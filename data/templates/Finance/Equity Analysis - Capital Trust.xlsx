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I59" i="18"/>
  <c r="I57"/>
  <c r="I55"/>
  <c r="I53"/>
  <c r="I34"/>
  <c r="I33"/>
  <c r="I29"/>
  <c r="I27"/>
  <c r="I25"/>
  <c r="I18"/>
  <c r="I16"/>
  <c r="I15"/>
  <c r="I14"/>
  <c r="I13"/>
  <c r="I12"/>
  <c r="I10"/>
  <c r="I9"/>
  <c r="I7"/>
  <c r="I6"/>
  <c r="G55"/>
  <c r="G53"/>
  <c r="C1"/>
  <c r="AI47" l="1"/>
  <c r="AJ47" s="1"/>
  <c r="AH47"/>
  <c r="W47"/>
  <c r="X47" s="1"/>
  <c r="Y47" s="1"/>
  <c r="Z47" s="1"/>
  <c r="AA47" s="1"/>
  <c r="AB47" s="1"/>
  <c r="AC47" s="1"/>
  <c r="AD47" s="1"/>
  <c r="AE47" s="1"/>
  <c r="AF47" s="1"/>
  <c r="AG47" s="1"/>
  <c r="V47"/>
  <c r="U48"/>
  <c r="T48"/>
  <c r="S48"/>
  <c r="R48"/>
  <c r="Q48"/>
  <c r="P48"/>
  <c r="O48"/>
  <c r="N48"/>
  <c r="M48"/>
  <c r="L48"/>
  <c r="K48"/>
  <c r="J48"/>
  <c r="I48"/>
  <c r="H48"/>
  <c r="G48"/>
  <c r="AI57"/>
  <c r="X57"/>
  <c r="Y57" s="1"/>
  <c r="Z57" s="1"/>
  <c r="AA57" s="1"/>
  <c r="AB57" s="1"/>
  <c r="AC57" s="1"/>
  <c r="AD57" s="1"/>
  <c r="AE57" s="1"/>
  <c r="AF57" s="1"/>
  <c r="AG57" s="1"/>
  <c r="W57"/>
  <c r="V57"/>
  <c r="U58"/>
  <c r="T58"/>
  <c r="S58"/>
  <c r="R58"/>
  <c r="Q58"/>
  <c r="P58"/>
  <c r="O58"/>
  <c r="N58"/>
  <c r="M58"/>
  <c r="L58"/>
  <c r="K58"/>
  <c r="J58"/>
  <c r="I58"/>
  <c r="H58"/>
  <c r="G58"/>
  <c r="G106"/>
  <c r="H106"/>
  <c r="I106"/>
  <c r="J106"/>
  <c r="K106"/>
  <c r="L106"/>
  <c r="M106"/>
  <c r="N106"/>
  <c r="O106"/>
  <c r="P106"/>
  <c r="Q106"/>
  <c r="R106"/>
  <c r="S106"/>
  <c r="T106"/>
  <c r="U106"/>
  <c r="U254"/>
  <c r="U253"/>
  <c r="V253" s="1"/>
  <c r="U252"/>
  <c r="V252" s="1"/>
  <c r="X61"/>
  <c r="X63"/>
  <c r="V254"/>
  <c r="V205"/>
  <c r="S174"/>
  <c r="S248" s="1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106"/>
  <c r="V6"/>
  <c r="U70"/>
  <c r="U71"/>
  <c r="U72"/>
  <c r="U74"/>
  <c r="U75"/>
  <c r="U76"/>
  <c r="U77"/>
  <c r="U78"/>
  <c r="U79"/>
  <c r="U80"/>
  <c r="U82"/>
  <c r="U83"/>
  <c r="U84"/>
  <c r="U86"/>
  <c r="U87"/>
  <c r="U88"/>
  <c r="U89"/>
  <c r="U90"/>
  <c r="U92"/>
  <c r="U94"/>
  <c r="U96" s="1"/>
  <c r="U97"/>
  <c r="U98"/>
  <c r="U99"/>
  <c r="U100"/>
  <c r="U102"/>
  <c r="U103"/>
  <c r="U104"/>
  <c r="U109"/>
  <c r="U110"/>
  <c r="U111"/>
  <c r="U112"/>
  <c r="U113"/>
  <c r="U114"/>
  <c r="U116"/>
  <c r="U117"/>
  <c r="U123" s="1"/>
  <c r="U118"/>
  <c r="U119"/>
  <c r="U125" s="1"/>
  <c r="U120"/>
  <c r="U122"/>
  <c r="U124"/>
  <c r="U126"/>
  <c r="U128"/>
  <c r="U129"/>
  <c r="U130"/>
  <c r="U131"/>
  <c r="U132"/>
  <c r="U133"/>
  <c r="U134"/>
  <c r="U135"/>
  <c r="U136"/>
  <c r="U138"/>
  <c r="U139"/>
  <c r="U140"/>
  <c r="U141"/>
  <c r="U143"/>
  <c r="U144" s="1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08"/>
  <c r="U209"/>
  <c r="U210"/>
  <c r="U211"/>
  <c r="U212"/>
  <c r="U213"/>
  <c r="U215"/>
  <c r="U216"/>
  <c r="U218"/>
  <c r="U219"/>
  <c r="U220"/>
  <c r="U221" s="1"/>
  <c r="U8"/>
  <c r="U11"/>
  <c r="U26"/>
  <c r="U28"/>
  <c r="U30"/>
  <c r="U37"/>
  <c r="U39"/>
  <c r="U44"/>
  <c r="U46"/>
  <c r="U50"/>
  <c r="U54"/>
  <c r="U56"/>
  <c r="U60"/>
  <c r="U62"/>
  <c r="U64"/>
  <c r="P60"/>
  <c r="O60"/>
  <c r="N60"/>
  <c r="M60"/>
  <c r="L60"/>
  <c r="K60"/>
  <c r="J60"/>
  <c r="I60"/>
  <c r="H60"/>
  <c r="G60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U224" l="1"/>
  <c r="U223" s="1"/>
  <c r="T174"/>
  <c r="U229" s="1"/>
  <c r="U228" s="1"/>
  <c r="AJ57"/>
  <c r="AH57"/>
  <c r="S249"/>
  <c r="U147"/>
  <c r="G215"/>
  <c r="V215" s="1"/>
  <c r="G216"/>
  <c r="V216" s="1"/>
  <c r="G62"/>
  <c r="G64"/>
  <c r="G70"/>
  <c r="G206" s="1"/>
  <c r="V206" s="1"/>
  <c r="G71"/>
  <c r="V71" s="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62"/>
  <c r="Q62"/>
  <c r="P62"/>
  <c r="O62"/>
  <c r="N62"/>
  <c r="M62"/>
  <c r="L62"/>
  <c r="K62"/>
  <c r="J62"/>
  <c r="I62"/>
  <c r="H62"/>
  <c r="R60"/>
  <c r="Q60"/>
  <c r="R56"/>
  <c r="Q56"/>
  <c r="R54"/>
  <c r="Q54"/>
  <c r="R30"/>
  <c r="Q30"/>
  <c r="R28"/>
  <c r="Q28"/>
  <c r="R26"/>
  <c r="Q26"/>
  <c r="R11"/>
  <c r="Q11"/>
  <c r="R8"/>
  <c r="Q8"/>
  <c r="U230" l="1"/>
  <c r="U225"/>
  <c r="U226" s="1"/>
  <c r="V144"/>
  <c r="V143"/>
  <c r="V145"/>
  <c r="V102"/>
  <c r="V117"/>
  <c r="V79"/>
  <c r="V90"/>
  <c r="V116"/>
  <c r="V120"/>
  <c r="V72"/>
  <c r="V84"/>
  <c r="V166"/>
  <c r="V94"/>
  <c r="V74"/>
  <c r="V118"/>
  <c r="V70"/>
  <c r="V75"/>
  <c r="V92"/>
  <c r="V119"/>
  <c r="U231"/>
  <c r="G207"/>
  <c r="G219" s="1"/>
  <c r="V219" s="1"/>
  <c r="G88"/>
  <c r="G147"/>
  <c r="V147" s="1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M28" s="1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G211" i="18" l="1"/>
  <c r="V211" s="1"/>
  <c r="V88"/>
  <c r="G220"/>
  <c r="V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I64"/>
  <c r="H64"/>
  <c r="H70"/>
  <c r="I70"/>
  <c r="I206" s="1"/>
  <c r="H71"/>
  <c r="I71"/>
  <c r="H72"/>
  <c r="I72"/>
  <c r="I114" s="1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H116"/>
  <c r="I116"/>
  <c r="H117"/>
  <c r="I117"/>
  <c r="H118"/>
  <c r="I118"/>
  <c r="H119"/>
  <c r="I119"/>
  <c r="H120"/>
  <c r="I120"/>
  <c r="H122"/>
  <c r="I122"/>
  <c r="H123"/>
  <c r="I123"/>
  <c r="H124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I167" s="1"/>
  <c r="H167"/>
  <c r="H168"/>
  <c r="H170"/>
  <c r="I170"/>
  <c r="H171"/>
  <c r="I171"/>
  <c r="J49"/>
  <c r="I49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I88" l="1"/>
  <c r="I211" s="1"/>
  <c r="G46"/>
  <c r="V45"/>
  <c r="G39"/>
  <c r="V38"/>
  <c r="I147"/>
  <c r="H145"/>
  <c r="H146" s="1"/>
  <c r="H147"/>
  <c r="G40"/>
  <c r="V40" s="1"/>
  <c r="G42"/>
  <c r="V42" s="1"/>
  <c r="G41"/>
  <c r="V41" s="1"/>
  <c r="H43"/>
  <c r="G43" s="1"/>
  <c r="V43" s="1"/>
  <c r="I129"/>
  <c r="I130"/>
  <c r="I131"/>
  <c r="I132"/>
  <c r="I135"/>
  <c r="H49"/>
  <c r="G49" s="1"/>
  <c r="V49" s="1"/>
  <c r="I133"/>
  <c r="I39"/>
  <c r="H39"/>
  <c r="H36"/>
  <c r="G36" s="1"/>
  <c r="V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50"/>
  <c r="S50"/>
  <c r="R50"/>
  <c r="Q50"/>
  <c r="P50"/>
  <c r="O50"/>
  <c r="N50"/>
  <c r="M50"/>
  <c r="L50"/>
  <c r="K50"/>
  <c r="J50"/>
  <c r="T134"/>
  <c r="S134"/>
  <c r="R134"/>
  <c r="Q134"/>
  <c r="P134"/>
  <c r="O134"/>
  <c r="N134"/>
  <c r="M134"/>
  <c r="L134"/>
  <c r="K134"/>
  <c r="Y49" l="1"/>
  <c r="Z49" s="1"/>
  <c r="AA49" s="1"/>
  <c r="AB49" s="1"/>
  <c r="AC49" s="1"/>
  <c r="AD49" s="1"/>
  <c r="AE49" s="1"/>
  <c r="AF49" s="1"/>
  <c r="AG49" s="1"/>
  <c r="AH49" s="1"/>
  <c r="X49"/>
  <c r="G133"/>
  <c r="V133" s="1"/>
  <c r="G50"/>
  <c r="G129"/>
  <c r="V129" s="1"/>
  <c r="G131"/>
  <c r="V131" s="1"/>
  <c r="G135"/>
  <c r="V135" s="1"/>
  <c r="G44"/>
  <c r="G130"/>
  <c r="V130" s="1"/>
  <c r="G132"/>
  <c r="V132" s="1"/>
  <c r="G37"/>
  <c r="G128"/>
  <c r="V128" s="1"/>
  <c r="G136"/>
  <c r="V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K46"/>
  <c r="W51"/>
  <c r="X51" s="1"/>
  <c r="J51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30"/>
  <c r="I51" l="1"/>
  <c r="J134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6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Y45" l="1"/>
  <c r="Z45" s="1"/>
  <c r="AA45" s="1"/>
  <c r="AB45" s="1"/>
  <c r="AC45" s="1"/>
  <c r="AD45" s="1"/>
  <c r="AE45" s="1"/>
  <c r="AF45" s="1"/>
  <c r="AG45" s="1"/>
  <c r="AH45" s="1"/>
  <c r="X45"/>
  <c r="Y40"/>
  <c r="Z40" s="1"/>
  <c r="AA40" s="1"/>
  <c r="AB40" s="1"/>
  <c r="AC40" s="1"/>
  <c r="AD40" s="1"/>
  <c r="AE40" s="1"/>
  <c r="AF40" s="1"/>
  <c r="AG40" s="1"/>
  <c r="X40"/>
  <c r="H51"/>
  <c r="G51" s="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AH51" i="18"/>
  <c r="AH40"/>
  <c r="W43"/>
  <c r="W42"/>
  <c r="W41"/>
  <c r="W38"/>
  <c r="X38" s="1"/>
  <c r="W36"/>
  <c r="X36" s="1"/>
  <c r="Y42" l="1"/>
  <c r="Z42" s="1"/>
  <c r="AA42" s="1"/>
  <c r="AB42" s="1"/>
  <c r="AC42" s="1"/>
  <c r="AD42" s="1"/>
  <c r="AE42" s="1"/>
  <c r="AF42" s="1"/>
  <c r="AG42" s="1"/>
  <c r="AH42" s="1"/>
  <c r="X42"/>
  <c r="G134"/>
  <c r="V134" s="1"/>
  <c r="V51"/>
  <c r="Y41"/>
  <c r="Z41" s="1"/>
  <c r="AA41" s="1"/>
  <c r="AB41" s="1"/>
  <c r="AC41" s="1"/>
  <c r="AD41" s="1"/>
  <c r="AE41" s="1"/>
  <c r="AF41" s="1"/>
  <c r="AG41" s="1"/>
  <c r="AH41" s="1"/>
  <c r="X41"/>
  <c r="Y43"/>
  <c r="Z43" s="1"/>
  <c r="AA43" s="1"/>
  <c r="AB43" s="1"/>
  <c r="AC43" s="1"/>
  <c r="AD43" s="1"/>
  <c r="AE43" s="1"/>
  <c r="AF43" s="1"/>
  <c r="AG43" s="1"/>
  <c r="AH43" s="1"/>
  <c r="X43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31"/>
  <c r="Y36"/>
  <c r="X130"/>
  <c r="X132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64"/>
  <c r="S64"/>
  <c r="R64"/>
  <c r="Q64"/>
  <c r="P64"/>
  <c r="O64"/>
  <c r="N64"/>
  <c r="M64"/>
  <c r="L64"/>
  <c r="K64"/>
  <c r="J64"/>
  <c r="T62"/>
  <c r="S62"/>
  <c r="T60"/>
  <c r="S60"/>
  <c r="T56"/>
  <c r="S56"/>
  <c r="T54"/>
  <c r="S54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I55" i="18"/>
  <c r="W55"/>
  <c r="X55" s="1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134"/>
  <c r="J65" i="20"/>
  <c r="P64"/>
  <c r="F78"/>
  <c r="G78" s="1"/>
  <c r="X136" i="18"/>
  <c r="X129"/>
  <c r="X72"/>
  <c r="AD55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35" l="1"/>
  <c r="X114"/>
  <c r="X128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N73" i="20" l="1"/>
  <c r="J74" s="1"/>
  <c r="M73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N75" i="20" l="1"/>
  <c r="J76" s="1"/>
  <c r="M75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N77" i="20" l="1"/>
  <c r="J78" s="1"/>
  <c r="M77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X248" s="1"/>
  <c r="X247" s="1"/>
  <c r="K218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N79" i="20" l="1"/>
  <c r="J80" s="1"/>
  <c r="M79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5" l="1"/>
  <c r="X236" s="1"/>
  <c r="X233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G233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U233" l="1"/>
  <c r="V233" s="1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U236" l="1"/>
  <c r="V236" s="1"/>
  <c r="V235"/>
  <c r="J236"/>
  <c r="AH236" s="1"/>
  <c r="AH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<sst xmlns="http://schemas.openxmlformats.org/spreadsheetml/2006/main" count="767" uniqueCount="511">
  <si>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</si>
  <si>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</si>
  <si>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</si>
  <si>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</si>
  <si>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</si>
  <si>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</si>
  <si>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</si>
  <si>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</si>
  <si>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</si>
  <si>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</si>
  <si>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</si>
  <si>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</si>
  <si>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</si>
  <si>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</si>
  <si>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</si>
  <si>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</si>
  <si>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</si>
  <si>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</si>
  <si>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</si>
  <si>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</si>
  <si>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</si>
  <si>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</si>
  <si>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</si>
  <si>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</si>
  <si>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</si>
  <si>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</si>
  <si>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</si>
  <si>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</si>
  <si>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</si>
  <si>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</si>
  <si>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</si>
  <si>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</si>
  <si>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</si>
  <si>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</si>
  <si>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</si>
  <si>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</si>
  <si>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</si>
  <si>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</si>
  <si>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</si>
  <si>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</si>
  <si>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</si>
  <si>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</si>
  <si>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</si>
  <si>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</si>
  <si>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</si>
  <si>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</si>
  <si>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</si>
  <si>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</si>
  <si>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</si>
  <si>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</si>
  <si>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</si>
  <si>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</si>
  <si>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</si>
  <si>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</si>
  <si>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</si>
  <si>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</si>
  <si>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</si>
  <si>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</si>
  <si>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</si>
  <si>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</si>
  <si>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</si>
  <si>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</si>
  <si>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</si>
  <si>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</si>
  <si>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</si>
  <si>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</si>
  <si>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</si>
  <si>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</si>
  <si>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</si>
  <si>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</si>
  <si>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</si>
  <si>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</si>
  <si>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</si>
  <si>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</si>
  <si>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</si>
  <si>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</si>
  <si>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</si>
  <si>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</si>
  <si>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</si>
  <si>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</si>
  <si>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</si>
  <si>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</si>
  <si>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</si>
  <si>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</si>
  <si>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</si>
  <si>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</si>
  <si>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</si>
  <si>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</si>
  <si>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</si>
  <si>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</si>
  <si>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</si>
  <si>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</si>
  <si>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</si>
  <si>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</si>
  <si>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</si>
  <si>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</si>
  <si>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</si>
  <si>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</si>
  <si>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</si>
  <si>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</si>
  <si>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</si>
  <si>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</si>
  <si>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</si>
  <si>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</si>
  <si>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</si>
  <si>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</si>
  <si>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</si>
  <si>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</si>
  <si>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</si>
  <si>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</si>
  <si>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</si>
  <si>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</si>
  <si>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</si>
  <si>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</si>
  <si>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</si>
  <si>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</si>
  <si>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</si>
  <si>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</si>
  <si>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</si>
  <si>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</si>
  <si>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</si>
  <si>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</si>
  <si>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</si>
  <si>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</si>
  <si>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</si>
  <si>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</si>
  <si>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</si>
  <si>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</si>
  <si>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</si>
  <si>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</si>
  <si>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</si>
  <si>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</si>
  <si>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</si>
  <si>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</si>
  <si>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</si>
  <si>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</si>
  <si>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</si>
  <si>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</si>
  <si>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</si>
  <si>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</si>
  <si>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</si>
  <si>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</si>
  <si>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</si>
  <si>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</si>
  <si>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</si>
  <si>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</si>
  <si>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</si>
  <si>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</si>
  <si>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</si>
  <si>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</si>
  <si>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</si>
  <si>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</si>
  <si>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</si>
  <si>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</si>
  <si>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</si>
  <si>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</si>
  <si>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</si>
  <si>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</si>
  <si>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</si>
  <si>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</si>
  <si>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</si>
  <si>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</si>
  <si>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</si>
  <si>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</si>
  <si>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</si>
  <si>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</si>
  <si>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</si>
  <si>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</si>
  <si>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</si>
  <si>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</si>
  <si>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</si>
  <si>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</si>
  <si>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</si>
  <si>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</si>
  <si>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</si>
  <si>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</si>
  <si>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</si>
  <si>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</si>
  <si>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</si>
  <si>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</si>
  <si>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</si>
  <si>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</si>
  <si>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</si>
  <si>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</si>
  <si>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</si>
  <si>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</si>
  <si>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</si>
  <si>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</si>
  <si>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</si>
  <si>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</si>
  <si>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</si>
  <si>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</si>
  <si>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</si>
  <si>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</si>
  <si>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</si>
  <si>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</si>
  <si>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</si>
  <si>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</si>
  <si>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</si>
  <si>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</si>
  <si>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</si>
  <si>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</si>
  <si>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</si>
  <si>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</si>
  <si>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</si>
  <si>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</si>
  <si>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</si>
  <si>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</si>
  <si>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</si>
  <si>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</si>
  <si>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</si>
  <si>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</si>
  <si>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</si>
  <si>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</si>
  <si>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</si>
  <si>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</si>
  <si>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</si>
  <si>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</si>
  <si>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</si>
  <si>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</si>
  <si>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</si>
  <si>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</si>
  <si>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</si>
  <si>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</si>
  <si>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</si>
  <si>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</si>
  <si>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</si>
  <si>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</si>
  <si>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</si>
  <si>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</si>
  <si>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</si>
  <si>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</si>
  <si>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</si>
  <si>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</si>
  <si>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</si>
  <si>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</si>
  <si>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</si>
  <si>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</si>
  <si>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</si>
  <si>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</si>
  <si>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</si>
  <si>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</si>
  <si>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</si>
  <si>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</si>
  <si>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</si>
  <si>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</si>
  <si>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</si>
  <si>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</si>
  <si>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</si>
  <si>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</si>
  <si>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</si>
  <si>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</si>
  <si>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</si>
  <si>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</si>
  <si>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</si>
  <si>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</si>
  <si>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</si>
  <si>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</si>
  <si>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</si>
  <si>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</si>
  <si>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</si>
  <si>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</si>
  <si>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</si>
  <si>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</si>
  <si>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</si>
  <si>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</si>
  <si>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</si>
  <si>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</si>
  <si>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</si>
  <si>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</si>
  <si>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</si>
  <si>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</si>
  <si>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</si>
  <si>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</si>
  <si>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</si>
  <si>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</si>
  <si>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</si>
  <si>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</si>
  <si>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</si>
  <si>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</si>
  <si>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</si>
  <si>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</si>
  <si>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</si>
  <si>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</si>
  <si>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</si>
  <si>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</si>
  <si>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</si>
  <si>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</si>
  <si>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</si>
  <si>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</si>
  <si>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</si>
  <si>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</si>
  <si>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</si>
  <si>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</si>
  <si>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</si>
  <si>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</si>
  <si>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</si>
  <si>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</si>
  <si>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</si>
  <si>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</si>
  <si>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</si>
  <si>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</si>
  <si>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</si>
  <si>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</si>
  <si>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</si>
  <si>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</si>
  <si>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</si>
  <si>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</si>
  <si>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</si>
  <si>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</si>
  <si>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</si>
  <si>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</si>
  <si>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</si>
  <si>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</si>
  <si>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</si>
  <si>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</si>
  <si>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</si>
  <si>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</si>
  <si>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</si>
  <si>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</si>
  <si>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</si>
  <si>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</si>
  <si>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</si>
  <si>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</si>
  <si>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</si>
  <si>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</si>
  <si>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</si>
  <si>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</si>
  <si>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</si>
  <si>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</si>
  <si>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</si>
  <si>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</si>
  <si>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</si>
  <si>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</si>
  <si>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</si>
  <si>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</si>
  <si>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</si>
  <si>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</si>
  <si>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</si>
  <si>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</si>
  <si>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</si>
  <si>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</si>
  <si>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</si>
  <si>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</si>
  <si>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</si>
  <si>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</si>
  <si>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</si>
  <si>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</si>
  <si>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</si>
  <si>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</si>
  <si>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</si>
  <si>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</si>
  <si>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</si>
  <si>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</si>
  <si>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</si>
  <si>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</si>
  <si>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</si>
  <si>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</si>
  <si>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</si>
  <si>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</si>
  <si>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</si>
  <si>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</si>
  <si>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</si>
  <si>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</si>
  <si>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</si>
  <si>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</si>
  <si>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</si>
  <si>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</si>
  <si>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</si>
  <si>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</si>
  <si>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</si>
  <si>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</si>
  <si>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</si>
  <si>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</si>
  <si>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</si>
  <si>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</si>
  <si>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</si>
  <si>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</si>
  <si>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</si>
  <si>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</si>
  <si>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</si>
  <si>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</si>
  <si>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</si>
  <si>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</si>
  <si>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</si>
  <si>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</si>
  <si>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</si>
  <si>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</si>
  <si>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</si>
  <si>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</si>
  <si>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</si>
  <si>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</si>
  <si>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</si>
  <si>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</si>
  <si>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</si>
  <si>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</si>
  <si>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</si>
  <si>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</si>
  <si>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</si>
  <si>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</si>
  <si>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</si>
  <si>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</si>
  <si>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</si>
  <si>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</si>
  <si>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</si>
  <si>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</si>
  <si>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</si>
  <si>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</si>
  <si>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</si>
  <si>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</si>
  <si>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</si>
  <si>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</si>
  <si>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</si>
  <si>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</si>
  <si>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</si>
  <si>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</si>
  <si>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</si>
  <si>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</si>
  <si>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</si>
  <si>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</si>
  <si>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</si>
  <si>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</si>
  <si>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</si>
  <si>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</si>
  <si>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</si>
  <si>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</si>
  <si>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</si>
  <si>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</si>
  <si>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</si>
  <si>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</si>
  <si>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</si>
  <si>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</si>
  <si>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</si>
  <si>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</si>
  <si>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</si>
  <si>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</si>
  <si>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</si>
  <si>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</si>
  <si>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</si>
  <si>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</si>
  <si>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</si>
  <si>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</si>
  <si>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</si>
  <si>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</si>
  <si>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</si>
  <si>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</si>
  <si>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</si>
  <si>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</si>
  <si>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</si>
  <si>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</si>
  <si>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</si>
  <si>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</si>
  <si>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</si>
  <si>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</si>
  <si>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</si>
  <si>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</si>
  <si>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</si>
  <si>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</si>
  <si>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</si>
  <si>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</si>
  <si>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</si>
  <si>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</si>
  <si>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</si>
  <si>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</si>
  <si>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</si>
  <si>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</si>
  <si>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</si>
  <si>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</si>
  <si>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</si>
  <si>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</si>
  <si>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</si>
  <si>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</si>
  <si>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</si>
  <si>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</si>
  <si>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</si>
  <si>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</si>
  <si>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</si>
  <si>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</si>
  <si>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</si>
  <si>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</si>
  <si>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</si>
  <si>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</si>
  <si>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</si>
  <si>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</si>
  <si>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</si>
  <si>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</si>
  <si>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</si>
  <si>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</si>
  <si>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</si>
  <si>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</si>
  <si>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</si>
  <si>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</si>
  <si>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</si>
  <si>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</si>
  <si>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</si>
  <si>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</si>
  <si>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</si>
  <si>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</si>
  <si>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</si>
  <si>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</si>
  <si>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</si>
  <si>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</si>
  <si>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</si>
  <si>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</si>
  <si>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</si>
  <si>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</si>
  <si>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</si>
  <si>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</si>
  <si>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</si>
  <si>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</si>
  <si>
    <t>`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</si>
</sst>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174" fontId="4" fillId="16" borderId="1" xfId="0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42273024"/>
        <c:axId val="42278912"/>
      </c:lineChart>
      <c:catAx>
        <c:axId val="42273024"/>
        <c:scaling>
          <c:orientation val="minMax"/>
        </c:scaling>
        <c:axPos val="b"/>
        <c:tickLblPos val="nextTo"/>
        <c:crossAx val="42278912"/>
        <c:crosses val="autoZero"/>
        <c:auto val="1"/>
        <c:lblAlgn val="ctr"/>
        <c:lblOffset val="100"/>
      </c:catAx>
      <c:valAx>
        <c:axId val="42278912"/>
        <c:scaling>
          <c:orientation val="minMax"/>
        </c:scaling>
        <c:axPos val="l"/>
        <c:majorGridlines/>
        <c:numFmt formatCode="General" sourceLinked="1"/>
        <c:tickLblPos val="nextTo"/>
        <c:crossAx val="4227302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755" l="0.70000000000000062" r="0.70000000000000062" t="0.750000000000007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L29" sqref="L29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9" t="s">
        <v>435</v>
      </c>
      <c r="C3" s="279"/>
      <c r="D3" s="279"/>
      <c r="G3" s="279" t="s">
        <v>436</v>
      </c>
      <c r="H3" s="279"/>
      <c r="I3" s="279"/>
      <c r="P3" s="280" t="s">
        <v>437</v>
      </c>
      <c r="Q3" s="281"/>
      <c r="R3" s="281"/>
      <c r="S3" s="282"/>
      <c r="T3" s="280" t="s">
        <v>438</v>
      </c>
      <c r="U3" s="281"/>
      <c r="V3" s="281"/>
      <c r="W3" s="282"/>
    </row>
    <row r="4" spans="2:23">
      <c r="B4" s="183" t="s">
        <v>439</v>
      </c>
      <c r="C4" s="283">
        <v>9500000</v>
      </c>
      <c r="D4" s="283"/>
      <c r="G4" s="183" t="s">
        <v>440</v>
      </c>
      <c r="H4" s="284">
        <v>200000</v>
      </c>
      <c r="I4" s="284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85">
        <v>0.08</v>
      </c>
      <c r="D5" s="286"/>
      <c r="G5" s="183" t="s">
        <v>446</v>
      </c>
      <c r="H5" s="287">
        <v>0.12</v>
      </c>
      <c r="I5" s="287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84">
        <v>30</v>
      </c>
      <c r="D6" s="284"/>
      <c r="G6" s="183" t="s">
        <v>448</v>
      </c>
      <c r="H6" s="284">
        <v>10</v>
      </c>
      <c r="I6" s="284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88"/>
      <c r="D7" s="288"/>
      <c r="G7" s="183"/>
      <c r="H7" s="288"/>
      <c r="I7" s="288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88"/>
      <c r="D8" s="288"/>
      <c r="G8" s="183"/>
      <c r="H8" s="288"/>
      <c r="I8" s="288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89">
        <f>C4*(1/(1+C5)^C6)</f>
        <v>944084.6592231117</v>
      </c>
      <c r="D9" s="289"/>
      <c r="G9" s="201" t="s">
        <v>453</v>
      </c>
      <c r="H9" s="289">
        <f>H4*((1+H5)^H6)</f>
        <v>621169.64166884217</v>
      </c>
      <c r="I9" s="289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89">
        <f>C4-C9</f>
        <v>8555915.3407768887</v>
      </c>
      <c r="D10" s="289"/>
      <c r="G10" s="201" t="s">
        <v>455</v>
      </c>
      <c r="H10" s="290">
        <f>H9-H4</f>
        <v>421169.64166884217</v>
      </c>
      <c r="I10" s="290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79" t="s">
        <v>459</v>
      </c>
      <c r="C14" s="279"/>
      <c r="D14" s="279"/>
      <c r="G14" s="279" t="s">
        <v>460</v>
      </c>
      <c r="H14" s="279"/>
      <c r="I14" s="279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84">
        <v>24000</v>
      </c>
      <c r="D15" s="284"/>
      <c r="G15" s="183" t="s">
        <v>461</v>
      </c>
      <c r="H15" s="284">
        <v>200000</v>
      </c>
      <c r="I15" s="284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85">
        <v>0.1</v>
      </c>
      <c r="D16" s="286"/>
      <c r="G16" s="183" t="s">
        <v>446</v>
      </c>
      <c r="H16" s="285">
        <v>0.12</v>
      </c>
      <c r="I16" s="286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84">
        <v>20</v>
      </c>
      <c r="D17" s="284"/>
      <c r="G17" s="183" t="s">
        <v>448</v>
      </c>
      <c r="H17" s="284">
        <v>10</v>
      </c>
      <c r="I17" s="284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88"/>
      <c r="D18" s="288"/>
      <c r="G18" s="183"/>
      <c r="H18" s="288"/>
      <c r="I18" s="288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91">
        <f>( ( 1-  (1/ ( (1+C16)^C17) ) ) / C16)</f>
        <v>8.5135637197585652</v>
      </c>
      <c r="D19" s="292"/>
      <c r="G19" s="201" t="s">
        <v>463</v>
      </c>
      <c r="H19" s="291">
        <f>( ((1+H16)^H17) -1 ) / H16</f>
        <v>17.548735069535095</v>
      </c>
      <c r="I19" s="292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3">
        <f>C19 * C15</f>
        <v>204325.52927420556</v>
      </c>
      <c r="D20" s="294"/>
      <c r="G20" s="201" t="s">
        <v>465</v>
      </c>
      <c r="H20" s="291">
        <f>H19 * H15</f>
        <v>3509747.013907019</v>
      </c>
      <c r="I20" s="292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95"/>
      <c r="D21" s="296"/>
      <c r="G21" s="201"/>
      <c r="H21" s="295"/>
      <c r="I21" s="296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89"/>
      <c r="D22" s="289"/>
      <c r="G22" s="201"/>
      <c r="H22" s="289"/>
      <c r="I22" s="289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79" t="s">
        <v>466</v>
      </c>
      <c r="C26" s="279"/>
      <c r="D26" s="279"/>
      <c r="G26" s="279" t="s">
        <v>467</v>
      </c>
      <c r="H26" s="279"/>
      <c r="I26" s="279"/>
      <c r="K26" s="279" t="s">
        <v>15</v>
      </c>
      <c r="L26" s="279"/>
    </row>
    <row r="27" spans="2:18">
      <c r="B27" s="183" t="s">
        <v>461</v>
      </c>
      <c r="C27" s="284">
        <v>100</v>
      </c>
      <c r="D27" s="284"/>
      <c r="G27" s="183" t="s">
        <v>461</v>
      </c>
      <c r="H27" s="284">
        <v>200000</v>
      </c>
      <c r="I27" s="284"/>
      <c r="K27" s="10" t="s">
        <v>16</v>
      </c>
      <c r="L27" s="11">
        <v>136</v>
      </c>
      <c r="M27" s="273">
        <v>2000000</v>
      </c>
    </row>
    <row r="28" spans="2:18">
      <c r="B28" s="183" t="s">
        <v>446</v>
      </c>
      <c r="C28" s="285">
        <v>0.05</v>
      </c>
      <c r="D28" s="286"/>
      <c r="G28" s="183" t="s">
        <v>446</v>
      </c>
      <c r="H28" s="285">
        <v>0.12</v>
      </c>
      <c r="I28" s="286"/>
      <c r="K28" s="10" t="s">
        <v>17</v>
      </c>
      <c r="L28" s="11">
        <v>202</v>
      </c>
      <c r="M28" s="212">
        <f>L41*M27</f>
        <v>2970588.2352941176</v>
      </c>
      <c r="R28">
        <v>416</v>
      </c>
    </row>
    <row r="29" spans="2:18">
      <c r="B29" s="183" t="s">
        <v>448</v>
      </c>
      <c r="C29" s="284">
        <v>3</v>
      </c>
      <c r="D29" s="284"/>
      <c r="G29" s="183" t="s">
        <v>448</v>
      </c>
      <c r="H29" s="284">
        <v>11</v>
      </c>
      <c r="I29" s="284"/>
      <c r="K29" s="10" t="s">
        <v>18</v>
      </c>
      <c r="L29" s="12">
        <v>2</v>
      </c>
      <c r="M29" s="272"/>
    </row>
    <row r="30" spans="2:18" ht="15.75" thickBot="1">
      <c r="B30" s="183"/>
      <c r="C30" s="288"/>
      <c r="D30" s="288"/>
      <c r="G30" s="183"/>
      <c r="H30" s="288"/>
      <c r="I30" s="288"/>
      <c r="K30" s="13" t="s">
        <v>19</v>
      </c>
      <c r="L30" s="3">
        <f>((L28/L27)^(1/L29))-1</f>
        <v>0.21872643265298009</v>
      </c>
      <c r="M30" s="3"/>
    </row>
    <row r="31" spans="2:18">
      <c r="B31" s="201" t="s">
        <v>462</v>
      </c>
      <c r="C31" s="291">
        <f>( ( ( 1-  (1/ ( (1+C28)^C29) ) ) / C28) ) * (1+C28)</f>
        <v>2.859410430839004</v>
      </c>
      <c r="D31" s="292"/>
      <c r="G31" s="201" t="s">
        <v>463</v>
      </c>
      <c r="H31" s="291">
        <f>(( ((1+H28)^H29) -1 ) / H28 ) * ( 1+H28)</f>
        <v>23.133133271224832</v>
      </c>
      <c r="I31" s="292"/>
      <c r="K31" s="13" t="s">
        <v>20</v>
      </c>
      <c r="L31" s="14">
        <f>L29*12</f>
        <v>24</v>
      </c>
      <c r="M31" s="274"/>
      <c r="P31" s="215" t="s">
        <v>468</v>
      </c>
      <c r="Q31" s="216" t="s">
        <v>469</v>
      </c>
    </row>
    <row r="32" spans="2:18">
      <c r="B32" s="201" t="s">
        <v>470</v>
      </c>
      <c r="C32" s="291">
        <f>C31 * C27</f>
        <v>285.94104308390041</v>
      </c>
      <c r="D32" s="292"/>
      <c r="G32" s="201" t="s">
        <v>471</v>
      </c>
      <c r="H32" s="291">
        <f>H31 * H27</f>
        <v>4626626.6542449668</v>
      </c>
      <c r="I32" s="292"/>
      <c r="K32" s="10" t="s">
        <v>18</v>
      </c>
      <c r="L32" s="15">
        <f>L31/12</f>
        <v>2</v>
      </c>
      <c r="M32" s="275"/>
      <c r="P32" s="217">
        <v>0.05</v>
      </c>
      <c r="Q32" s="218">
        <v>14</v>
      </c>
    </row>
    <row r="33" spans="2:17">
      <c r="B33" s="201"/>
      <c r="C33" s="295"/>
      <c r="D33" s="296"/>
      <c r="G33" s="201"/>
      <c r="H33" s="295"/>
      <c r="I33" s="296"/>
      <c r="K33" s="13" t="s">
        <v>21</v>
      </c>
      <c r="L33" s="3">
        <f>((L28/L27)^(1/L32))-1</f>
        <v>0.21872643265298009</v>
      </c>
      <c r="M33" s="276"/>
      <c r="P33" s="217">
        <v>0.08</v>
      </c>
      <c r="Q33" s="218">
        <v>9</v>
      </c>
    </row>
    <row r="34" spans="2:17">
      <c r="B34" s="201"/>
      <c r="C34" s="289"/>
      <c r="D34" s="289"/>
      <c r="G34" s="201"/>
      <c r="H34" s="289"/>
      <c r="I34" s="289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79" t="s">
        <v>24</v>
      </c>
      <c r="C36" s="279"/>
      <c r="D36" s="279"/>
      <c r="E36" s="219"/>
      <c r="G36" s="279" t="s">
        <v>53</v>
      </c>
      <c r="H36" s="279"/>
      <c r="K36" s="279" t="s">
        <v>334</v>
      </c>
      <c r="L36" s="279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136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202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0.48529411764705882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1.4852941176470589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99" t="s">
        <v>453</v>
      </c>
      <c r="D43" s="299"/>
      <c r="E43" s="299"/>
      <c r="F43" s="299"/>
      <c r="J43" s="299" t="s">
        <v>453</v>
      </c>
      <c r="K43" s="299"/>
      <c r="L43" s="299"/>
      <c r="M43" s="299"/>
    </row>
    <row r="44" spans="2:17" ht="15.75" thickBot="1">
      <c r="B44" s="229"/>
      <c r="C44" s="297" t="s">
        <v>474</v>
      </c>
      <c r="D44" s="298"/>
      <c r="E44" s="230" t="s">
        <v>475</v>
      </c>
      <c r="F44" s="230"/>
      <c r="G44" s="231"/>
      <c r="I44" s="229"/>
      <c r="J44" s="297" t="s">
        <v>476</v>
      </c>
      <c r="K44" s="298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300" t="s">
        <v>478</v>
      </c>
      <c r="C46" s="301"/>
      <c r="D46" s="301"/>
      <c r="E46" s="301"/>
      <c r="F46" s="301"/>
      <c r="G46" s="302"/>
      <c r="I46" s="300" t="s">
        <v>478</v>
      </c>
      <c r="J46" s="301"/>
      <c r="K46" s="301"/>
      <c r="L46" s="301"/>
      <c r="M46" s="301"/>
      <c r="N46" s="302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303" t="s">
        <v>486</v>
      </c>
      <c r="C81" s="304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303" t="s">
        <v>486</v>
      </c>
      <c r="J81" s="304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99" t="s">
        <v>488</v>
      </c>
      <c r="D84" s="299"/>
      <c r="E84" s="299"/>
      <c r="F84" s="299"/>
      <c r="H84" s="250">
        <f t="shared" si="14"/>
        <v>0</v>
      </c>
      <c r="J84" s="299" t="s">
        <v>488</v>
      </c>
      <c r="K84" s="299"/>
      <c r="L84" s="299"/>
      <c r="M84" s="299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97" t="s">
        <v>474</v>
      </c>
      <c r="D86" s="298"/>
      <c r="E86" s="230" t="s">
        <v>475</v>
      </c>
      <c r="F86" s="230"/>
      <c r="G86" s="231"/>
      <c r="H86" s="250">
        <f t="shared" si="14"/>
        <v>0</v>
      </c>
      <c r="I86" s="229"/>
      <c r="J86" s="297" t="s">
        <v>489</v>
      </c>
      <c r="K86" s="298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300" t="s">
        <v>491</v>
      </c>
      <c r="C88" s="301"/>
      <c r="D88" s="301"/>
      <c r="E88" s="301"/>
      <c r="F88" s="301"/>
      <c r="G88" s="302"/>
      <c r="H88" s="250">
        <f t="shared" si="14"/>
        <v>0</v>
      </c>
      <c r="I88" s="300" t="s">
        <v>491</v>
      </c>
      <c r="J88" s="301"/>
      <c r="K88" s="301"/>
      <c r="L88" s="301"/>
      <c r="M88" s="301"/>
      <c r="N88" s="302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303" t="s">
        <v>497</v>
      </c>
      <c r="C124" s="304"/>
      <c r="D124" s="255">
        <f>SUM(D91:D123)</f>
        <v>1900</v>
      </c>
      <c r="E124" s="253"/>
      <c r="F124" s="253"/>
      <c r="G124" s="267">
        <f>G121</f>
        <v>1413.1902480939689</v>
      </c>
      <c r="I124" s="303" t="s">
        <v>497</v>
      </c>
      <c r="J124" s="304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tabSelected="1" zoomScale="80" zoomScaleNormal="80" workbookViewId="0">
      <pane xSplit="2" ySplit="3" topLeftCell="M4" activePane="bottomRight" state="frozen"/>
      <selection pane="topRight" activeCell="C1" sqref="C1"/>
      <selection pane="bottomLeft" activeCell="A5" sqref="A5"/>
      <selection pane="bottomRight" activeCell="S11" sqref="S11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509</v>
      </c>
      <c r="C1" s="278">
        <f>S2</f>
        <v>0.22</v>
      </c>
      <c r="I1" s="89" t="s">
        <v>209</v>
      </c>
      <c r="K1" s="107">
        <v>2004</v>
      </c>
      <c r="M1" s="89" t="s">
        <v>271</v>
      </c>
      <c r="O1" s="139">
        <v>0.05</v>
      </c>
      <c r="Q1" s="89" t="s">
        <v>340</v>
      </c>
      <c r="S1" s="139">
        <v>0.05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0.15</v>
      </c>
      <c r="Q2" s="89" t="s">
        <v>406</v>
      </c>
      <c r="S2" s="139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9" t="s">
        <v>240</v>
      </c>
      <c r="AJ2" s="310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1" t="s">
        <v>241</v>
      </c>
      <c r="AJ3" s="312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>
        <v>0.87</v>
      </c>
      <c r="G6" s="124">
        <v>0.67</v>
      </c>
      <c r="H6" s="124">
        <v>0.8</v>
      </c>
      <c r="I6" s="124">
        <f>J6</f>
        <v>0.75</v>
      </c>
      <c r="J6" s="124">
        <v>0.75</v>
      </c>
      <c r="K6" s="124">
        <v>0.77</v>
      </c>
      <c r="L6" s="124">
        <v>-0.55000000000000004</v>
      </c>
      <c r="M6" s="124">
        <v>-3.3000000000000002E-2</v>
      </c>
      <c r="N6" s="124">
        <v>0.16</v>
      </c>
      <c r="O6" s="124">
        <v>0.34</v>
      </c>
      <c r="P6" s="124">
        <v>1.88</v>
      </c>
      <c r="Q6" s="124">
        <v>3</v>
      </c>
      <c r="R6" s="124">
        <v>11</v>
      </c>
      <c r="S6" s="180">
        <v>136</v>
      </c>
      <c r="T6" s="180">
        <v>204</v>
      </c>
      <c r="U6" s="180">
        <v>202</v>
      </c>
      <c r="V6" s="101">
        <f>((U6/G6)^(1/($K$2-$K$1) ))-1</f>
        <v>0.50345759499781284</v>
      </c>
      <c r="W6" s="21">
        <f>$O$2</f>
        <v>0.15</v>
      </c>
      <c r="X6" s="130">
        <f>U6*(1+$W6)</f>
        <v>232.29999999999998</v>
      </c>
      <c r="Y6" s="130">
        <f>X6*(1+$W6)</f>
        <v>267.14499999999998</v>
      </c>
      <c r="Z6" s="130">
        <f t="shared" ref="Z6:AG6" si="0">Y6*(1+$W6)</f>
        <v>307.21674999999993</v>
      </c>
      <c r="AA6" s="130">
        <f t="shared" si="0"/>
        <v>353.29926249999988</v>
      </c>
      <c r="AB6" s="130">
        <f t="shared" si="0"/>
        <v>406.29415187499984</v>
      </c>
      <c r="AC6" s="130">
        <f t="shared" si="0"/>
        <v>467.23827465624976</v>
      </c>
      <c r="AD6" s="130">
        <f t="shared" si="0"/>
        <v>537.32401585468722</v>
      </c>
      <c r="AE6" s="130">
        <f t="shared" si="0"/>
        <v>617.92261823289027</v>
      </c>
      <c r="AF6" s="130">
        <f t="shared" si="0"/>
        <v>710.61101096782374</v>
      </c>
      <c r="AG6" s="130">
        <f t="shared" si="0"/>
        <v>817.20266261299719</v>
      </c>
      <c r="AH6" s="115">
        <f>((AG6/J6)^(1/($AG$3-$K$1) ))-1</f>
        <v>0.33829807897879105</v>
      </c>
      <c r="AI6" s="21">
        <f>$O$1</f>
        <v>0.05</v>
      </c>
      <c r="AJ6" s="123">
        <f t="shared" ref="AJ6:AJ63" si="1">(AG6*(1+AI6))/($C$1-AI6)</f>
        <v>5047.4282102567477</v>
      </c>
    </row>
    <row r="7" spans="2:36">
      <c r="B7" s="10" t="s">
        <v>198</v>
      </c>
      <c r="C7" s="118"/>
      <c r="D7" s="118"/>
      <c r="E7" s="124"/>
      <c r="F7" s="124">
        <v>8.3699999999999992</v>
      </c>
      <c r="G7" s="124">
        <v>8.17</v>
      </c>
      <c r="H7" s="124">
        <v>8.31</v>
      </c>
      <c r="I7" s="124">
        <f>J7</f>
        <v>8.25</v>
      </c>
      <c r="J7" s="124">
        <v>8.25</v>
      </c>
      <c r="K7" s="124">
        <v>8.27</v>
      </c>
      <c r="L7" s="124">
        <v>7</v>
      </c>
      <c r="M7" s="124">
        <v>7</v>
      </c>
      <c r="N7" s="124">
        <v>7.6</v>
      </c>
      <c r="O7" s="124">
        <v>7.84</v>
      </c>
      <c r="P7" s="124">
        <v>9.3800000000000008</v>
      </c>
      <c r="Q7" s="124">
        <v>14</v>
      </c>
      <c r="R7" s="124">
        <v>22</v>
      </c>
      <c r="S7" s="180">
        <v>160</v>
      </c>
      <c r="T7" s="180">
        <v>220</v>
      </c>
      <c r="U7" s="180">
        <v>218</v>
      </c>
      <c r="V7" s="101">
        <f t="shared" ref="V7:V74" si="2">((U7/G7)^(1/($K$2-$K$1) ))-1</f>
        <v>0.26436914313585858</v>
      </c>
      <c r="W7" s="21">
        <f>$O$2</f>
        <v>0.15</v>
      </c>
      <c r="X7" s="130">
        <f>U7*(1+$W7)</f>
        <v>250.7</v>
      </c>
      <c r="Y7" s="130">
        <f t="shared" ref="Y7:AG7" si="3">X7*(1+$W7)</f>
        <v>288.30499999999995</v>
      </c>
      <c r="Z7" s="130">
        <f t="shared" si="3"/>
        <v>331.55074999999994</v>
      </c>
      <c r="AA7" s="130">
        <f t="shared" si="3"/>
        <v>381.2833624999999</v>
      </c>
      <c r="AB7" s="130">
        <f t="shared" si="3"/>
        <v>438.47586687499984</v>
      </c>
      <c r="AC7" s="130">
        <f t="shared" si="3"/>
        <v>504.24724690624976</v>
      </c>
      <c r="AD7" s="130">
        <f t="shared" si="3"/>
        <v>579.88433394218714</v>
      </c>
      <c r="AE7" s="130">
        <f t="shared" si="3"/>
        <v>666.86698403351511</v>
      </c>
      <c r="AF7" s="130">
        <f t="shared" si="3"/>
        <v>766.89703163854233</v>
      </c>
      <c r="AG7" s="130">
        <f t="shared" si="3"/>
        <v>881.93158638432362</v>
      </c>
      <c r="AH7" s="115">
        <f>((AG7/J7)^(1/($AG$3-$K$1) ))-1</f>
        <v>0.21490095334802861</v>
      </c>
      <c r="AI7" s="21">
        <f>$O$1</f>
        <v>0.05</v>
      </c>
      <c r="AJ7" s="123">
        <f t="shared" si="1"/>
        <v>5447.2245041384695</v>
      </c>
    </row>
    <row r="8" spans="2:36">
      <c r="B8" s="10"/>
      <c r="C8" s="118"/>
      <c r="D8" s="118"/>
      <c r="E8" s="124"/>
      <c r="F8" s="268"/>
      <c r="G8" s="268">
        <f>(G7-F7)/G7</f>
        <v>-2.4479804161566622E-2</v>
      </c>
      <c r="H8" s="127">
        <f>(H7-G7)/H7</f>
        <v>1.684717208182919E-2</v>
      </c>
      <c r="I8" s="127">
        <f t="shared" ref="I8:P8" si="4">(I7-H7)/I7</f>
        <v>-7.2727272727273334E-3</v>
      </c>
      <c r="J8" s="127">
        <f t="shared" si="4"/>
        <v>0</v>
      </c>
      <c r="K8" s="127">
        <f t="shared" si="4"/>
        <v>2.4183796856105896E-3</v>
      </c>
      <c r="L8" s="127">
        <f t="shared" si="4"/>
        <v>-0.18142857142857136</v>
      </c>
      <c r="M8" s="127">
        <f t="shared" si="4"/>
        <v>0</v>
      </c>
      <c r="N8" s="127">
        <f t="shared" si="4"/>
        <v>7.8947368421052586E-2</v>
      </c>
      <c r="O8" s="127">
        <f t="shared" si="4"/>
        <v>3.0612244897959211E-2</v>
      </c>
      <c r="P8" s="127">
        <f t="shared" si="4"/>
        <v>0.16417910447761203</v>
      </c>
      <c r="Q8" s="127">
        <f t="shared" ref="Q8:R8" si="5">(Q7-P7)/Q7</f>
        <v>0.32999999999999996</v>
      </c>
      <c r="R8" s="127">
        <f t="shared" si="5"/>
        <v>0.36363636363636365</v>
      </c>
      <c r="S8" s="127">
        <f t="shared" ref="S8:U8" si="6">(S7-R7)/R7</f>
        <v>6.2727272727272725</v>
      </c>
      <c r="T8" s="127">
        <f t="shared" si="6"/>
        <v>0.375</v>
      </c>
      <c r="U8" s="127">
        <f t="shared" si="6"/>
        <v>-9.0909090909090905E-3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>
        <v>2.95</v>
      </c>
      <c r="G9" s="124">
        <v>2.2400000000000002</v>
      </c>
      <c r="H9" s="124">
        <v>2.4500000000000002</v>
      </c>
      <c r="I9" s="124">
        <f>J9</f>
        <v>1.19</v>
      </c>
      <c r="J9" s="124">
        <v>1.19</v>
      </c>
      <c r="K9" s="124">
        <v>0.13</v>
      </c>
      <c r="L9" s="124">
        <v>0.35</v>
      </c>
      <c r="M9" s="124">
        <v>0.52</v>
      </c>
      <c r="N9" s="124">
        <v>0.83</v>
      </c>
      <c r="O9" s="124">
        <v>1.1200000000000001</v>
      </c>
      <c r="P9" s="124">
        <v>1.34</v>
      </c>
      <c r="Q9" s="124">
        <v>3</v>
      </c>
      <c r="R9" s="124">
        <v>24</v>
      </c>
      <c r="S9" s="180">
        <v>37</v>
      </c>
      <c r="T9" s="180">
        <v>144</v>
      </c>
      <c r="U9" s="180">
        <v>234</v>
      </c>
      <c r="V9" s="101">
        <f t="shared" si="2"/>
        <v>0.39383699883030876</v>
      </c>
      <c r="W9" s="21">
        <f t="shared" ref="W9:W59" si="7">$O$2</f>
        <v>0.15</v>
      </c>
      <c r="X9" s="130">
        <f t="shared" ref="X9:X63" si="8">U9*(1+$W9)</f>
        <v>269.09999999999997</v>
      </c>
      <c r="Y9" s="130">
        <f t="shared" ref="Y9" si="9">X9*(1+$W9)</f>
        <v>309.46499999999992</v>
      </c>
      <c r="Z9" s="130">
        <f t="shared" ref="Z9" si="10">Y9*(1+$W9)</f>
        <v>355.88474999999988</v>
      </c>
      <c r="AA9" s="130">
        <f t="shared" ref="AA9" si="11">Z9*(1+$W9)</f>
        <v>409.26746249999985</v>
      </c>
      <c r="AB9" s="130">
        <f t="shared" ref="AB9" si="12">AA9*(1+$W9)</f>
        <v>470.65758187499978</v>
      </c>
      <c r="AC9" s="130">
        <f t="shared" ref="AC9" si="13">AB9*(1+$W9)</f>
        <v>541.2562191562497</v>
      </c>
      <c r="AD9" s="130">
        <f t="shared" ref="AD9" si="14">AC9*(1+$W9)</f>
        <v>622.44465202968706</v>
      </c>
      <c r="AE9" s="130">
        <f t="shared" ref="AE9" si="15">AD9*(1+$W9)</f>
        <v>715.81134983414006</v>
      </c>
      <c r="AF9" s="130">
        <f t="shared" ref="AF9" si="16">AE9*(1+$W9)</f>
        <v>823.18305230926103</v>
      </c>
      <c r="AG9" s="130">
        <f t="shared" ref="AG9" si="17">AF9*(1+$W9)</f>
        <v>946.66051015565006</v>
      </c>
      <c r="AH9" s="115">
        <f>((AG9/J9)^(1/($AG$3-$K$1) ))-1</f>
        <v>0.32087069248441513</v>
      </c>
      <c r="AI9" s="21">
        <f t="shared" ref="AI9:AI103" si="18">$O$1</f>
        <v>0.05</v>
      </c>
      <c r="AJ9" s="123">
        <f t="shared" si="1"/>
        <v>5847.0207980201922</v>
      </c>
    </row>
    <row r="10" spans="2:36">
      <c r="B10" s="10" t="s">
        <v>3</v>
      </c>
      <c r="C10" s="118"/>
      <c r="D10" s="118"/>
      <c r="E10" s="124"/>
      <c r="F10" s="124">
        <v>1.63</v>
      </c>
      <c r="G10" s="124">
        <v>3.38</v>
      </c>
      <c r="H10" s="124">
        <v>2.02</v>
      </c>
      <c r="I10" s="124">
        <f>J10</f>
        <v>3.27</v>
      </c>
      <c r="J10" s="124">
        <v>3.27</v>
      </c>
      <c r="K10" s="124">
        <v>0.31</v>
      </c>
      <c r="L10" s="124">
        <v>1.56</v>
      </c>
      <c r="M10" s="124">
        <v>6.88</v>
      </c>
      <c r="N10" s="124">
        <v>11.47</v>
      </c>
      <c r="O10" s="124">
        <v>6.4</v>
      </c>
      <c r="P10" s="124">
        <v>19.16</v>
      </c>
      <c r="Q10" s="124">
        <v>52</v>
      </c>
      <c r="R10" s="124">
        <v>77</v>
      </c>
      <c r="S10" s="180">
        <v>43</v>
      </c>
      <c r="T10" s="180">
        <v>229</v>
      </c>
      <c r="U10" s="180">
        <v>337</v>
      </c>
      <c r="V10" s="101">
        <f t="shared" si="2"/>
        <v>0.38920145215419155</v>
      </c>
      <c r="W10" s="21">
        <f t="shared" si="7"/>
        <v>0.15</v>
      </c>
      <c r="X10" s="130">
        <f t="shared" si="8"/>
        <v>387.54999999999995</v>
      </c>
      <c r="Y10" s="130">
        <f t="shared" ref="Y10:AG10" si="19">X10*(1+$W10)</f>
        <v>445.68249999999989</v>
      </c>
      <c r="Z10" s="130">
        <f t="shared" si="19"/>
        <v>512.53487499999983</v>
      </c>
      <c r="AA10" s="130">
        <f t="shared" si="19"/>
        <v>589.41510624999978</v>
      </c>
      <c r="AB10" s="130">
        <f t="shared" si="19"/>
        <v>677.82737218749969</v>
      </c>
      <c r="AC10" s="130">
        <f t="shared" si="19"/>
        <v>779.50147801562457</v>
      </c>
      <c r="AD10" s="130">
        <f t="shared" si="19"/>
        <v>896.42669971796818</v>
      </c>
      <c r="AE10" s="130">
        <f t="shared" si="19"/>
        <v>1030.8907046756633</v>
      </c>
      <c r="AF10" s="130">
        <f t="shared" si="19"/>
        <v>1185.5243103770126</v>
      </c>
      <c r="AG10" s="130">
        <f t="shared" si="19"/>
        <v>1363.3529569335644</v>
      </c>
      <c r="AH10" s="115">
        <f t="shared" ref="AH10:AH61" si="20">((AG10/J10)^(1/($AG$3-$K$1) ))-1</f>
        <v>0.28578747121426828</v>
      </c>
      <c r="AI10" s="21">
        <f t="shared" si="18"/>
        <v>0.05</v>
      </c>
      <c r="AJ10" s="123">
        <f t="shared" si="1"/>
        <v>8420.7094398837817</v>
      </c>
    </row>
    <row r="11" spans="2:36">
      <c r="B11" s="10"/>
      <c r="C11" s="118"/>
      <c r="D11" s="118"/>
      <c r="E11" s="124"/>
      <c r="F11" s="268"/>
      <c r="G11" s="268">
        <f>(G10-F10)/G10</f>
        <v>0.51775147928994081</v>
      </c>
      <c r="H11" s="268">
        <f t="shared" ref="H11:P11" si="21">(H10-G10)/H10</f>
        <v>-0.6732673267326732</v>
      </c>
      <c r="I11" s="268">
        <f t="shared" si="21"/>
        <v>0.38226299694189603</v>
      </c>
      <c r="J11" s="268">
        <f t="shared" si="21"/>
        <v>0</v>
      </c>
      <c r="K11" s="268">
        <f t="shared" si="21"/>
        <v>-9.5483870967741939</v>
      </c>
      <c r="L11" s="268">
        <f t="shared" si="21"/>
        <v>0.80128205128205121</v>
      </c>
      <c r="M11" s="268">
        <f t="shared" si="21"/>
        <v>0.77325581395348841</v>
      </c>
      <c r="N11" s="268">
        <f t="shared" si="21"/>
        <v>0.40017436791630345</v>
      </c>
      <c r="O11" s="268">
        <f t="shared" si="21"/>
        <v>-0.79218750000000004</v>
      </c>
      <c r="P11" s="268">
        <f t="shared" si="21"/>
        <v>0.66597077244258873</v>
      </c>
      <c r="Q11" s="268">
        <f t="shared" ref="Q11:R11" si="22">(Q10-P10)/Q10</f>
        <v>0.6315384615384616</v>
      </c>
      <c r="R11" s="268">
        <f t="shared" si="22"/>
        <v>0.32467532467532467</v>
      </c>
      <c r="S11" s="127">
        <f t="shared" ref="S11:U11" si="23">(S10-R10)/R10</f>
        <v>-0.44155844155844154</v>
      </c>
      <c r="T11" s="127">
        <f t="shared" si="23"/>
        <v>4.3255813953488369</v>
      </c>
      <c r="U11" s="127">
        <f t="shared" si="23"/>
        <v>0.47161572052401746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8"/>
        <v>0.05</v>
      </c>
      <c r="AJ11" s="130"/>
    </row>
    <row r="12" spans="2:36">
      <c r="B12" s="10" t="s">
        <v>2</v>
      </c>
      <c r="C12" s="118"/>
      <c r="D12" s="118"/>
      <c r="E12" s="124"/>
      <c r="F12" s="124">
        <v>0.31</v>
      </c>
      <c r="G12" s="124">
        <v>0.24</v>
      </c>
      <c r="H12" s="124">
        <v>0.39</v>
      </c>
      <c r="I12" s="124">
        <f>J12</f>
        <v>0.44</v>
      </c>
      <c r="J12" s="124">
        <v>0.44</v>
      </c>
      <c r="K12" s="124">
        <v>0.52</v>
      </c>
      <c r="L12" s="124">
        <v>3.41</v>
      </c>
      <c r="M12" s="124">
        <v>1.1100000000000001</v>
      </c>
      <c r="N12" s="124">
        <v>3.71</v>
      </c>
      <c r="O12" s="124">
        <v>1.7</v>
      </c>
      <c r="P12" s="124">
        <v>1.91</v>
      </c>
      <c r="Q12" s="124">
        <v>2.2999999999999998</v>
      </c>
      <c r="R12" s="124">
        <v>26.93</v>
      </c>
      <c r="S12" s="180">
        <v>78</v>
      </c>
      <c r="T12" s="180">
        <v>40</v>
      </c>
      <c r="U12" s="180">
        <v>39</v>
      </c>
      <c r="V12" s="101">
        <f t="shared" si="2"/>
        <v>0.43852726452260482</v>
      </c>
      <c r="W12" s="21">
        <f t="shared" si="7"/>
        <v>0.15</v>
      </c>
      <c r="X12" s="130">
        <f t="shared" si="8"/>
        <v>44.849999999999994</v>
      </c>
      <c r="Y12" s="130">
        <f t="shared" ref="Y12:AG12" si="24">X12*(1+$W12)</f>
        <v>51.577499999999986</v>
      </c>
      <c r="Z12" s="130">
        <f t="shared" si="24"/>
        <v>59.314124999999983</v>
      </c>
      <c r="AA12" s="130">
        <f t="shared" si="24"/>
        <v>68.21124374999998</v>
      </c>
      <c r="AB12" s="130">
        <f t="shared" si="24"/>
        <v>78.442930312499968</v>
      </c>
      <c r="AC12" s="130">
        <f t="shared" si="24"/>
        <v>90.209369859374959</v>
      </c>
      <c r="AD12" s="130">
        <f t="shared" si="24"/>
        <v>103.7407753382812</v>
      </c>
      <c r="AE12" s="130">
        <f t="shared" si="24"/>
        <v>119.30189163902337</v>
      </c>
      <c r="AF12" s="130">
        <f t="shared" si="24"/>
        <v>137.19717538487686</v>
      </c>
      <c r="AG12" s="130">
        <f t="shared" si="24"/>
        <v>157.77675169260837</v>
      </c>
      <c r="AH12" s="115">
        <f t="shared" si="20"/>
        <v>0.27773639064867273</v>
      </c>
      <c r="AI12" s="21">
        <f t="shared" si="18"/>
        <v>0.05</v>
      </c>
      <c r="AJ12" s="123">
        <f t="shared" si="1"/>
        <v>974.50346633669892</v>
      </c>
    </row>
    <row r="13" spans="2:36">
      <c r="B13" s="10" t="s">
        <v>191</v>
      </c>
      <c r="C13" s="118"/>
      <c r="D13" s="118"/>
      <c r="E13" s="124"/>
      <c r="F13" s="124">
        <v>3.21</v>
      </c>
      <c r="G13" s="124">
        <v>4.29</v>
      </c>
      <c r="H13" s="124">
        <v>2.96</v>
      </c>
      <c r="I13" s="124">
        <f>J13</f>
        <v>2.95</v>
      </c>
      <c r="J13" s="124">
        <v>2.95</v>
      </c>
      <c r="K13" s="124">
        <v>0</v>
      </c>
      <c r="L13" s="124">
        <v>0</v>
      </c>
      <c r="M13" s="124">
        <v>0</v>
      </c>
      <c r="N13" s="124">
        <v>0</v>
      </c>
      <c r="O13" s="124">
        <v>0</v>
      </c>
      <c r="P13" s="124">
        <v>0</v>
      </c>
      <c r="Q13" s="124">
        <v>0</v>
      </c>
      <c r="R13" s="124">
        <v>0</v>
      </c>
      <c r="S13" s="180">
        <v>0.15</v>
      </c>
      <c r="T13" s="180">
        <v>0.15</v>
      </c>
      <c r="U13" s="180">
        <v>0.18</v>
      </c>
      <c r="V13" s="101">
        <f t="shared" si="2"/>
        <v>-0.20268550771068361</v>
      </c>
      <c r="W13" s="21">
        <f t="shared" si="7"/>
        <v>0.15</v>
      </c>
      <c r="X13" s="130">
        <f t="shared" si="8"/>
        <v>0.20699999999999999</v>
      </c>
      <c r="Y13" s="130">
        <f t="shared" ref="Y13:AG13" si="25">X13*(1+$W13)</f>
        <v>0.23804999999999996</v>
      </c>
      <c r="Z13" s="130">
        <f t="shared" si="25"/>
        <v>0.27375749999999993</v>
      </c>
      <c r="AA13" s="130">
        <f t="shared" si="25"/>
        <v>0.31482112499999992</v>
      </c>
      <c r="AB13" s="130">
        <f t="shared" si="25"/>
        <v>0.36204429374999986</v>
      </c>
      <c r="AC13" s="130">
        <f t="shared" si="25"/>
        <v>0.41635093781249982</v>
      </c>
      <c r="AD13" s="130">
        <f t="shared" si="25"/>
        <v>0.47880357848437477</v>
      </c>
      <c r="AE13" s="130">
        <f t="shared" si="25"/>
        <v>0.55062411525703092</v>
      </c>
      <c r="AF13" s="130">
        <f t="shared" si="25"/>
        <v>0.63321773254558555</v>
      </c>
      <c r="AG13" s="130">
        <f t="shared" si="25"/>
        <v>0.72820039242742329</v>
      </c>
      <c r="AH13" s="115">
        <f t="shared" si="20"/>
        <v>-5.6624621613845183E-2</v>
      </c>
      <c r="AI13" s="21">
        <f t="shared" si="18"/>
        <v>0.05</v>
      </c>
      <c r="AJ13" s="123">
        <f t="shared" si="1"/>
        <v>4.4977083061693799</v>
      </c>
    </row>
    <row r="14" spans="2:36">
      <c r="B14" s="10" t="s">
        <v>315</v>
      </c>
      <c r="C14" s="118"/>
      <c r="D14" s="118"/>
      <c r="E14" s="124"/>
      <c r="F14" s="124">
        <v>6.39</v>
      </c>
      <c r="G14" s="124">
        <v>1.22</v>
      </c>
      <c r="H14" s="124">
        <v>0.71</v>
      </c>
      <c r="I14" s="124">
        <f>J14</f>
        <v>1.22</v>
      </c>
      <c r="J14" s="124">
        <v>1.22</v>
      </c>
      <c r="K14" s="124">
        <v>0.3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 t="s">
        <v>57</v>
      </c>
      <c r="R14" s="124" t="s">
        <v>57</v>
      </c>
      <c r="S14" s="180">
        <v>0</v>
      </c>
      <c r="T14" s="180">
        <v>0</v>
      </c>
      <c r="U14" s="180">
        <v>0</v>
      </c>
      <c r="V14" s="101">
        <f t="shared" si="2"/>
        <v>-1</v>
      </c>
      <c r="W14" s="21">
        <f t="shared" si="7"/>
        <v>0.15</v>
      </c>
      <c r="X14" s="130">
        <f t="shared" si="8"/>
        <v>0</v>
      </c>
      <c r="Y14" s="130">
        <f t="shared" ref="Y14" si="26">X14*(1+$W14)</f>
        <v>0</v>
      </c>
      <c r="Z14" s="130">
        <f t="shared" ref="Z14" si="27">Y14*(1+$W14)</f>
        <v>0</v>
      </c>
      <c r="AA14" s="130">
        <f t="shared" ref="AA14" si="28">Z14*(1+$W14)</f>
        <v>0</v>
      </c>
      <c r="AB14" s="130">
        <f t="shared" ref="AB14" si="29">AA14*(1+$W14)</f>
        <v>0</v>
      </c>
      <c r="AC14" s="130">
        <f t="shared" ref="AC14" si="30">AB14*(1+$W14)</f>
        <v>0</v>
      </c>
      <c r="AD14" s="130">
        <f t="shared" ref="AD14" si="31">AC14*(1+$W14)</f>
        <v>0</v>
      </c>
      <c r="AE14" s="130">
        <f t="shared" ref="AE14" si="32">AD14*(1+$W14)</f>
        <v>0</v>
      </c>
      <c r="AF14" s="130">
        <f t="shared" ref="AF14" si="33">AE14*(1+$W14)</f>
        <v>0</v>
      </c>
      <c r="AG14" s="130">
        <f t="shared" ref="AG14" si="34">AF14*(1+$W14)</f>
        <v>0</v>
      </c>
      <c r="AH14" s="115">
        <f t="shared" ref="AH14" si="35">((AG14/J14)^(1/($AG$3-$K$1) ))-1</f>
        <v>-1</v>
      </c>
      <c r="AI14" s="21">
        <f t="shared" si="18"/>
        <v>0.05</v>
      </c>
      <c r="AJ14" s="123">
        <f t="shared" ref="AJ14" si="36">(AG14*(1+AI14))/($C$1-AI14)</f>
        <v>0</v>
      </c>
    </row>
    <row r="15" spans="2:36">
      <c r="B15" s="10" t="s">
        <v>11</v>
      </c>
      <c r="C15" s="118"/>
      <c r="D15" s="118"/>
      <c r="E15" s="124"/>
      <c r="F15" s="124">
        <v>7</v>
      </c>
      <c r="G15" s="124">
        <v>1.4</v>
      </c>
      <c r="H15" s="124">
        <v>1</v>
      </c>
      <c r="I15" s="124">
        <f>J15</f>
        <v>2.1</v>
      </c>
      <c r="J15" s="124">
        <v>2.1</v>
      </c>
      <c r="K15" s="124">
        <v>5</v>
      </c>
      <c r="L15" s="124">
        <v>3.77</v>
      </c>
      <c r="M15" s="124">
        <v>1.46</v>
      </c>
      <c r="N15" s="124">
        <v>4</v>
      </c>
      <c r="O15" s="124">
        <v>1.91</v>
      </c>
      <c r="P15" s="124">
        <v>2.44</v>
      </c>
      <c r="Q15" s="124">
        <v>3</v>
      </c>
      <c r="R15" s="124">
        <v>29.8</v>
      </c>
      <c r="S15" s="180">
        <v>82</v>
      </c>
      <c r="T15" s="180">
        <v>40</v>
      </c>
      <c r="U15" s="180">
        <v>39</v>
      </c>
      <c r="V15" s="101">
        <f t="shared" si="2"/>
        <v>0.26826426291057626</v>
      </c>
      <c r="W15" s="21">
        <f t="shared" si="7"/>
        <v>0.15</v>
      </c>
      <c r="X15" s="130">
        <f t="shared" si="8"/>
        <v>44.849999999999994</v>
      </c>
      <c r="Y15" s="130">
        <f t="shared" ref="Y15:AG15" si="37">X15*(1+$W15)</f>
        <v>51.577499999999986</v>
      </c>
      <c r="Z15" s="130">
        <f t="shared" si="37"/>
        <v>59.314124999999983</v>
      </c>
      <c r="AA15" s="130">
        <f t="shared" si="37"/>
        <v>68.21124374999998</v>
      </c>
      <c r="AB15" s="130">
        <f t="shared" si="37"/>
        <v>78.442930312499968</v>
      </c>
      <c r="AC15" s="130">
        <f t="shared" si="37"/>
        <v>90.209369859374959</v>
      </c>
      <c r="AD15" s="130">
        <f t="shared" si="37"/>
        <v>103.7407753382812</v>
      </c>
      <c r="AE15" s="130">
        <f t="shared" si="37"/>
        <v>119.30189163902337</v>
      </c>
      <c r="AF15" s="130">
        <f t="shared" si="37"/>
        <v>137.19717538487686</v>
      </c>
      <c r="AG15" s="130">
        <f t="shared" si="37"/>
        <v>157.77675169260837</v>
      </c>
      <c r="AH15" s="115">
        <f t="shared" si="20"/>
        <v>0.19717963765872648</v>
      </c>
      <c r="AI15" s="21">
        <f t="shared" si="18"/>
        <v>0.05</v>
      </c>
      <c r="AJ15" s="123">
        <f t="shared" si="1"/>
        <v>974.50346633669892</v>
      </c>
    </row>
    <row r="16" spans="2:36">
      <c r="B16" s="10" t="s">
        <v>12</v>
      </c>
      <c r="C16" s="118"/>
      <c r="D16" s="118"/>
      <c r="E16" s="124"/>
      <c r="F16" s="124">
        <v>4</v>
      </c>
      <c r="G16" s="124">
        <v>7</v>
      </c>
      <c r="H16" s="124">
        <v>6</v>
      </c>
      <c r="I16" s="124">
        <f>J16</f>
        <v>8</v>
      </c>
      <c r="J16" s="124">
        <v>8</v>
      </c>
      <c r="K16" s="124">
        <v>8</v>
      </c>
      <c r="L16" s="124">
        <v>8</v>
      </c>
      <c r="M16" s="124">
        <v>13</v>
      </c>
      <c r="N16" s="124">
        <v>18</v>
      </c>
      <c r="O16" s="124">
        <v>13.7</v>
      </c>
      <c r="P16" s="124">
        <v>28</v>
      </c>
      <c r="Q16" s="124">
        <v>65</v>
      </c>
      <c r="R16" s="124">
        <v>98</v>
      </c>
      <c r="S16" s="180">
        <v>202</v>
      </c>
      <c r="T16" s="180">
        <v>448</v>
      </c>
      <c r="U16" s="180">
        <v>554</v>
      </c>
      <c r="V16" s="101">
        <f t="shared" si="2"/>
        <v>0.36647231579941852</v>
      </c>
      <c r="W16" s="21">
        <f t="shared" si="7"/>
        <v>0.15</v>
      </c>
      <c r="X16" s="130">
        <f t="shared" si="8"/>
        <v>637.09999999999991</v>
      </c>
      <c r="Y16" s="130">
        <f t="shared" ref="Y16:AG16" si="38">X16*(1+$W16)</f>
        <v>732.66499999999985</v>
      </c>
      <c r="Z16" s="130">
        <f t="shared" si="38"/>
        <v>842.56474999999978</v>
      </c>
      <c r="AA16" s="130">
        <f t="shared" si="38"/>
        <v>968.94946249999964</v>
      </c>
      <c r="AB16" s="130">
        <f t="shared" si="38"/>
        <v>1114.2918818749995</v>
      </c>
      <c r="AC16" s="130">
        <f t="shared" si="38"/>
        <v>1281.4356641562492</v>
      </c>
      <c r="AD16" s="130">
        <f t="shared" si="38"/>
        <v>1473.6510137796865</v>
      </c>
      <c r="AE16" s="130">
        <f t="shared" si="38"/>
        <v>1694.6986658466394</v>
      </c>
      <c r="AF16" s="130">
        <f t="shared" si="38"/>
        <v>1948.9034657236352</v>
      </c>
      <c r="AG16" s="130">
        <f t="shared" si="38"/>
        <v>2241.2389855821802</v>
      </c>
      <c r="AH16" s="115">
        <f t="shared" si="20"/>
        <v>0.26466332481818267</v>
      </c>
      <c r="AI16" s="21">
        <f t="shared" si="18"/>
        <v>0.05</v>
      </c>
      <c r="AJ16" s="123">
        <f t="shared" si="1"/>
        <v>13842.946675654646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>
        <v>2.8</v>
      </c>
      <c r="G18" s="124">
        <v>0.71</v>
      </c>
      <c r="H18" s="124">
        <v>0.89</v>
      </c>
      <c r="I18" s="124">
        <f>J18</f>
        <v>0.8</v>
      </c>
      <c r="J18" s="124">
        <v>0.8</v>
      </c>
      <c r="K18" s="124">
        <v>0.54</v>
      </c>
      <c r="L18" s="124">
        <v>0.51</v>
      </c>
      <c r="M18" s="124">
        <v>0.46</v>
      </c>
      <c r="N18" s="124">
        <v>0.46</v>
      </c>
      <c r="O18" s="124">
        <v>0.54</v>
      </c>
      <c r="P18" s="124">
        <v>0.47</v>
      </c>
      <c r="Q18" s="124">
        <v>0.61</v>
      </c>
      <c r="R18" s="124">
        <v>0.87</v>
      </c>
      <c r="S18" s="180">
        <v>1</v>
      </c>
      <c r="T18" s="180">
        <v>1</v>
      </c>
      <c r="U18" s="180">
        <v>1.7</v>
      </c>
      <c r="V18" s="101">
        <f t="shared" si="2"/>
        <v>6.4351412641019623E-2</v>
      </c>
      <c r="W18" s="21">
        <f t="shared" si="7"/>
        <v>0.15</v>
      </c>
      <c r="X18" s="130">
        <f t="shared" si="8"/>
        <v>1.9549999999999998</v>
      </c>
      <c r="Y18" s="130">
        <f t="shared" ref="Y18:Y34" si="39">X18*(1+$W18)</f>
        <v>2.2482499999999996</v>
      </c>
      <c r="Z18" s="130">
        <f t="shared" ref="Z18:Z34" si="40">Y18*(1+$W18)</f>
        <v>2.5854874999999993</v>
      </c>
      <c r="AA18" s="130">
        <f t="shared" ref="AA18:AA34" si="41">Z18*(1+$W18)</f>
        <v>2.973310624999999</v>
      </c>
      <c r="AB18" s="130">
        <f t="shared" ref="AB18:AB53" si="42">AA18*(1+$W18)</f>
        <v>3.4193072187499984</v>
      </c>
      <c r="AC18" s="130">
        <f t="shared" ref="AC18:AC53" si="43">AB18*(1+$W18)</f>
        <v>3.932203301562498</v>
      </c>
      <c r="AD18" s="130">
        <f t="shared" ref="AD18:AD53" si="44">AC18*(1+$W18)</f>
        <v>4.5220337967968725</v>
      </c>
      <c r="AE18" s="130">
        <f t="shared" ref="AE18:AE53" si="45">AD18*(1+$W18)</f>
        <v>5.200338866316403</v>
      </c>
      <c r="AF18" s="130">
        <f t="shared" ref="AF18:AF53" si="46">AE18*(1+$W18)</f>
        <v>5.9803896962638632</v>
      </c>
      <c r="AG18" s="130">
        <f t="shared" ref="AG18:AG53" si="47">AF18*(1+$W18)</f>
        <v>6.877448150703442</v>
      </c>
      <c r="AH18" s="115">
        <f t="shared" si="20"/>
        <v>9.3781874963336564E-2</v>
      </c>
      <c r="AI18" s="21">
        <f t="shared" si="18"/>
        <v>0.05</v>
      </c>
      <c r="AJ18" s="123">
        <f t="shared" si="1"/>
        <v>42.47835622493303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80"/>
      <c r="T20" s="180"/>
      <c r="U20" s="180"/>
      <c r="V20" s="101" t="e">
        <f t="shared" si="2"/>
        <v>#DIV/0!</v>
      </c>
      <c r="W20" s="21">
        <f t="shared" si="7"/>
        <v>0.15</v>
      </c>
      <c r="X20" s="130">
        <f t="shared" si="8"/>
        <v>0</v>
      </c>
      <c r="Y20" s="130">
        <f t="shared" ref="Y20:Y22" si="48">X20*(1+$W20)</f>
        <v>0</v>
      </c>
      <c r="Z20" s="130">
        <f t="shared" ref="Z20:Z22" si="49">Y20*(1+$W20)</f>
        <v>0</v>
      </c>
      <c r="AA20" s="130">
        <f t="shared" ref="AA20:AA22" si="50">Z20*(1+$W20)</f>
        <v>0</v>
      </c>
      <c r="AB20" s="130">
        <f t="shared" ref="AB20:AB22" si="51">AA20*(1+$W20)</f>
        <v>0</v>
      </c>
      <c r="AC20" s="130">
        <f t="shared" ref="AC20:AC22" si="52">AB20*(1+$W20)</f>
        <v>0</v>
      </c>
      <c r="AD20" s="130">
        <f t="shared" ref="AD20:AD22" si="53">AC20*(1+$W20)</f>
        <v>0</v>
      </c>
      <c r="AE20" s="130">
        <f t="shared" ref="AE20:AE22" si="54">AD20*(1+$W20)</f>
        <v>0</v>
      </c>
      <c r="AF20" s="130">
        <f t="shared" ref="AF20:AF22" si="55">AE20*(1+$W20)</f>
        <v>0</v>
      </c>
      <c r="AG20" s="130">
        <f t="shared" ref="AG20:AG22" si="56">AF20*(1+$W20)</f>
        <v>0</v>
      </c>
      <c r="AH20" s="115" t="e">
        <f t="shared" ref="AH20:AH22" si="57">((AG20/J20)^(1/($AG$3-$K$1) ))-1</f>
        <v>#DIV/0!</v>
      </c>
      <c r="AI20" s="21">
        <f t="shared" si="18"/>
        <v>0.05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80"/>
      <c r="T21" s="180"/>
      <c r="U21" s="180"/>
      <c r="V21" s="101" t="e">
        <f t="shared" si="2"/>
        <v>#DIV/0!</v>
      </c>
      <c r="W21" s="21">
        <f t="shared" si="7"/>
        <v>0.15</v>
      </c>
      <c r="X21" s="130">
        <f t="shared" si="8"/>
        <v>0</v>
      </c>
      <c r="Y21" s="130">
        <f t="shared" si="48"/>
        <v>0</v>
      </c>
      <c r="Z21" s="130">
        <f t="shared" si="49"/>
        <v>0</v>
      </c>
      <c r="AA21" s="130">
        <f t="shared" si="50"/>
        <v>0</v>
      </c>
      <c r="AB21" s="130">
        <f t="shared" si="51"/>
        <v>0</v>
      </c>
      <c r="AC21" s="130">
        <f t="shared" si="52"/>
        <v>0</v>
      </c>
      <c r="AD21" s="130">
        <f t="shared" si="53"/>
        <v>0</v>
      </c>
      <c r="AE21" s="130">
        <f t="shared" si="54"/>
        <v>0</v>
      </c>
      <c r="AF21" s="130">
        <f t="shared" si="55"/>
        <v>0</v>
      </c>
      <c r="AG21" s="130">
        <f t="shared" si="56"/>
        <v>0</v>
      </c>
      <c r="AH21" s="115" t="e">
        <f t="shared" si="57"/>
        <v>#DIV/0!</v>
      </c>
      <c r="AI21" s="21">
        <f t="shared" si="18"/>
        <v>0.05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80"/>
      <c r="T22" s="180"/>
      <c r="U22" s="180"/>
      <c r="V22" s="101" t="e">
        <f t="shared" si="2"/>
        <v>#DIV/0!</v>
      </c>
      <c r="W22" s="21">
        <f t="shared" si="7"/>
        <v>0.15</v>
      </c>
      <c r="X22" s="130">
        <f t="shared" si="8"/>
        <v>0</v>
      </c>
      <c r="Y22" s="130">
        <f t="shared" si="48"/>
        <v>0</v>
      </c>
      <c r="Z22" s="130">
        <f t="shared" si="49"/>
        <v>0</v>
      </c>
      <c r="AA22" s="130">
        <f t="shared" si="50"/>
        <v>0</v>
      </c>
      <c r="AB22" s="130">
        <f t="shared" si="51"/>
        <v>0</v>
      </c>
      <c r="AC22" s="130">
        <f t="shared" si="52"/>
        <v>0</v>
      </c>
      <c r="AD22" s="130">
        <f t="shared" si="53"/>
        <v>0</v>
      </c>
      <c r="AE22" s="130">
        <f t="shared" si="54"/>
        <v>0</v>
      </c>
      <c r="AF22" s="130">
        <f t="shared" si="55"/>
        <v>0</v>
      </c>
      <c r="AG22" s="130">
        <f t="shared" si="56"/>
        <v>0</v>
      </c>
      <c r="AH22" s="115" t="e">
        <f t="shared" si="57"/>
        <v>#DIV/0!</v>
      </c>
      <c r="AI22" s="21">
        <f t="shared" si="18"/>
        <v>0.05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80"/>
      <c r="T23" s="180"/>
      <c r="U23" s="180"/>
      <c r="V23" s="101" t="e">
        <f t="shared" si="2"/>
        <v>#DIV/0!</v>
      </c>
      <c r="W23" s="21">
        <f t="shared" si="7"/>
        <v>0.15</v>
      </c>
      <c r="X23" s="130">
        <f t="shared" si="8"/>
        <v>0</v>
      </c>
      <c r="Y23" s="130">
        <f t="shared" ref="Y23" si="58">X23*(1+$W23)</f>
        <v>0</v>
      </c>
      <c r="Z23" s="130">
        <f t="shared" ref="Z23" si="59">Y23*(1+$W23)</f>
        <v>0</v>
      </c>
      <c r="AA23" s="130">
        <f t="shared" ref="AA23" si="60">Z23*(1+$W23)</f>
        <v>0</v>
      </c>
      <c r="AB23" s="130">
        <f t="shared" ref="AB23" si="61">AA23*(1+$W23)</f>
        <v>0</v>
      </c>
      <c r="AC23" s="130">
        <f t="shared" ref="AC23" si="62">AB23*(1+$W23)</f>
        <v>0</v>
      </c>
      <c r="AD23" s="130">
        <f t="shared" ref="AD23" si="63">AC23*(1+$W23)</f>
        <v>0</v>
      </c>
      <c r="AE23" s="130">
        <f t="shared" ref="AE23" si="64">AD23*(1+$W23)</f>
        <v>0</v>
      </c>
      <c r="AF23" s="130">
        <f t="shared" ref="AF23" si="65">AE23*(1+$W23)</f>
        <v>0</v>
      </c>
      <c r="AG23" s="130">
        <f t="shared" ref="AG23" si="66">AF23*(1+$W23)</f>
        <v>0</v>
      </c>
      <c r="AH23" s="115" t="e">
        <f t="shared" ref="AH23" si="67">((AG23/J23)^(1/($AG$3-$K$1) ))-1</f>
        <v>#DIV/0!</v>
      </c>
      <c r="AI23" s="21">
        <f t="shared" si="18"/>
        <v>0.05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>
        <v>2.14</v>
      </c>
      <c r="G25" s="124">
        <v>2.2400000000000002</v>
      </c>
      <c r="H25" s="124">
        <v>2.9</v>
      </c>
      <c r="I25" s="124">
        <f>J25</f>
        <v>3.68</v>
      </c>
      <c r="J25" s="124">
        <v>3.68</v>
      </c>
      <c r="K25" s="124">
        <v>3.21</v>
      </c>
      <c r="L25" s="124">
        <v>1.68</v>
      </c>
      <c r="M25" s="124">
        <v>3.89</v>
      </c>
      <c r="N25" s="124">
        <v>7.35</v>
      </c>
      <c r="O25" s="124">
        <v>5.77</v>
      </c>
      <c r="P25" s="124">
        <v>9</v>
      </c>
      <c r="Q25" s="124">
        <v>18</v>
      </c>
      <c r="R25" s="124">
        <v>40</v>
      </c>
      <c r="S25" s="180">
        <v>61</v>
      </c>
      <c r="T25" s="180">
        <v>125</v>
      </c>
      <c r="U25" s="180">
        <v>182</v>
      </c>
      <c r="V25" s="101">
        <f t="shared" si="2"/>
        <v>0.3690394251197886</v>
      </c>
      <c r="W25" s="21">
        <f t="shared" si="7"/>
        <v>0.15</v>
      </c>
      <c r="X25" s="130">
        <f t="shared" si="8"/>
        <v>209.29999999999998</v>
      </c>
      <c r="Y25" s="130">
        <f t="shared" si="39"/>
        <v>240.69499999999996</v>
      </c>
      <c r="Z25" s="130">
        <f t="shared" si="40"/>
        <v>276.79924999999992</v>
      </c>
      <c r="AA25" s="130">
        <f t="shared" si="41"/>
        <v>318.3191374999999</v>
      </c>
      <c r="AB25" s="130">
        <f t="shared" si="42"/>
        <v>366.06700812499986</v>
      </c>
      <c r="AC25" s="130">
        <f t="shared" si="43"/>
        <v>420.97705934374983</v>
      </c>
      <c r="AD25" s="130">
        <f t="shared" si="44"/>
        <v>484.12361824531229</v>
      </c>
      <c r="AE25" s="130">
        <f t="shared" si="45"/>
        <v>556.74216098210911</v>
      </c>
      <c r="AF25" s="130">
        <f t="shared" si="46"/>
        <v>640.25348512942548</v>
      </c>
      <c r="AG25" s="130">
        <f t="shared" si="47"/>
        <v>736.2915078988392</v>
      </c>
      <c r="AH25" s="115">
        <f t="shared" si="20"/>
        <v>0.24704870450522409</v>
      </c>
      <c r="AI25" s="21">
        <f t="shared" si="18"/>
        <v>0.05</v>
      </c>
      <c r="AJ25" s="123">
        <f t="shared" si="1"/>
        <v>4547.6828429045963</v>
      </c>
    </row>
    <row r="26" spans="2:36" s="106" customFormat="1">
      <c r="B26" s="13"/>
      <c r="C26" s="125"/>
      <c r="D26" s="125"/>
      <c r="E26" s="126"/>
      <c r="F26" s="268"/>
      <c r="G26" s="268">
        <f>(G25-F25)/G25</f>
        <v>4.4642857142857179E-2</v>
      </c>
      <c r="H26" s="268">
        <f>(H25-G25)/H25</f>
        <v>0.22758620689655162</v>
      </c>
      <c r="I26" s="268">
        <f t="shared" ref="I26:P26" si="68">(I25-H25)/I25</f>
        <v>0.21195652173913049</v>
      </c>
      <c r="J26" s="268">
        <f t="shared" si="68"/>
        <v>0</v>
      </c>
      <c r="K26" s="268">
        <f t="shared" si="68"/>
        <v>-0.14641744548286612</v>
      </c>
      <c r="L26" s="268">
        <f t="shared" si="68"/>
        <v>-0.91071428571428581</v>
      </c>
      <c r="M26" s="268">
        <f t="shared" si="68"/>
        <v>0.56812339331619532</v>
      </c>
      <c r="N26" s="268">
        <f t="shared" si="68"/>
        <v>0.47074829931972784</v>
      </c>
      <c r="O26" s="268">
        <f t="shared" si="68"/>
        <v>-0.27383015597920279</v>
      </c>
      <c r="P26" s="268">
        <f t="shared" si="68"/>
        <v>0.35888888888888892</v>
      </c>
      <c r="Q26" s="268">
        <f t="shared" ref="Q26:R26" si="69">(Q25-P25)/Q25</f>
        <v>0.5</v>
      </c>
      <c r="R26" s="268">
        <f t="shared" si="69"/>
        <v>0.55000000000000004</v>
      </c>
      <c r="S26" s="127">
        <f t="shared" ref="S26:U26" si="70">(S25-R25)/R25</f>
        <v>0.52500000000000002</v>
      </c>
      <c r="T26" s="127">
        <f t="shared" si="70"/>
        <v>1.0491803278688525</v>
      </c>
      <c r="U26" s="127">
        <f t="shared" si="70"/>
        <v>0.45600000000000002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>
        <v>1.2</v>
      </c>
      <c r="G27" s="124">
        <v>2.2000000000000002</v>
      </c>
      <c r="H27" s="124">
        <v>2.21</v>
      </c>
      <c r="I27" s="124">
        <f>J27</f>
        <v>3.03</v>
      </c>
      <c r="J27" s="124">
        <v>3.03</v>
      </c>
      <c r="K27" s="124">
        <v>2.3199999999999998</v>
      </c>
      <c r="L27" s="124">
        <v>2.6</v>
      </c>
      <c r="M27" s="124">
        <v>3.18</v>
      </c>
      <c r="N27" s="124">
        <v>4.91</v>
      </c>
      <c r="O27" s="124">
        <v>3.88</v>
      </c>
      <c r="P27" s="124">
        <v>4.22</v>
      </c>
      <c r="Q27" s="124">
        <v>8</v>
      </c>
      <c r="R27" s="124">
        <v>11</v>
      </c>
      <c r="S27" s="180">
        <v>18</v>
      </c>
      <c r="T27" s="180">
        <v>39</v>
      </c>
      <c r="U27" s="180">
        <v>109</v>
      </c>
      <c r="V27" s="101">
        <f t="shared" si="2"/>
        <v>0.32151379568190475</v>
      </c>
      <c r="W27" s="21">
        <f t="shared" si="7"/>
        <v>0.15</v>
      </c>
      <c r="X27" s="130">
        <f t="shared" si="8"/>
        <v>125.35</v>
      </c>
      <c r="Y27" s="130">
        <f t="shared" si="39"/>
        <v>144.15249999999997</v>
      </c>
      <c r="Z27" s="130">
        <f t="shared" si="40"/>
        <v>165.77537499999997</v>
      </c>
      <c r="AA27" s="130">
        <f t="shared" si="41"/>
        <v>190.64168124999995</v>
      </c>
      <c r="AB27" s="130">
        <f t="shared" si="42"/>
        <v>219.23793343749992</v>
      </c>
      <c r="AC27" s="130">
        <f t="shared" si="43"/>
        <v>252.12362345312488</v>
      </c>
      <c r="AD27" s="130">
        <f t="shared" si="44"/>
        <v>289.94216697109357</v>
      </c>
      <c r="AE27" s="130">
        <f t="shared" si="45"/>
        <v>333.43349201675755</v>
      </c>
      <c r="AF27" s="130">
        <f t="shared" si="46"/>
        <v>383.44851581927117</v>
      </c>
      <c r="AG27" s="130">
        <f t="shared" si="47"/>
        <v>440.96579319216181</v>
      </c>
      <c r="AH27" s="115">
        <f t="shared" si="20"/>
        <v>0.230618467274748</v>
      </c>
      <c r="AI27" s="21">
        <f t="shared" si="18"/>
        <v>0.05</v>
      </c>
      <c r="AJ27" s="123">
        <f t="shared" si="1"/>
        <v>2723.6122520692347</v>
      </c>
    </row>
    <row r="28" spans="2:36" s="106" customFormat="1">
      <c r="B28" s="13"/>
      <c r="C28" s="125"/>
      <c r="D28" s="125"/>
      <c r="E28" s="126"/>
      <c r="F28" s="268"/>
      <c r="G28" s="268">
        <f t="shared" ref="G28:P28" si="71">(G27-F27)/G27</f>
        <v>0.45454545454545459</v>
      </c>
      <c r="H28" s="268">
        <f t="shared" si="71"/>
        <v>4.5248868778279576E-3</v>
      </c>
      <c r="I28" s="268">
        <f t="shared" si="71"/>
        <v>0.27062706270627057</v>
      </c>
      <c r="J28" s="268">
        <f t="shared" si="71"/>
        <v>0</v>
      </c>
      <c r="K28" s="268">
        <f t="shared" si="71"/>
        <v>-0.30603448275862072</v>
      </c>
      <c r="L28" s="268">
        <f t="shared" si="71"/>
        <v>0.10769230769230778</v>
      </c>
      <c r="M28" s="268">
        <f t="shared" si="71"/>
        <v>0.18238993710691825</v>
      </c>
      <c r="N28" s="268">
        <f t="shared" si="71"/>
        <v>0.35234215885947046</v>
      </c>
      <c r="O28" s="268">
        <f t="shared" si="71"/>
        <v>-0.26546391752577325</v>
      </c>
      <c r="P28" s="268">
        <f t="shared" si="71"/>
        <v>8.0568720379146891E-2</v>
      </c>
      <c r="Q28" s="268">
        <f t="shared" ref="Q28:R28" si="72">(Q27-P27)/Q27</f>
        <v>0.47250000000000003</v>
      </c>
      <c r="R28" s="268">
        <f t="shared" si="72"/>
        <v>0.27272727272727271</v>
      </c>
      <c r="S28" s="127">
        <f t="shared" ref="S28:U28" si="73">(S27-R27)/R27</f>
        <v>0.63636363636363635</v>
      </c>
      <c r="T28" s="127">
        <f t="shared" si="73"/>
        <v>1.1666666666666667</v>
      </c>
      <c r="U28" s="127">
        <f t="shared" si="73"/>
        <v>1.7948717948717949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>
        <v>0.32</v>
      </c>
      <c r="G29" s="124">
        <v>0.28999999999999998</v>
      </c>
      <c r="H29" s="124">
        <v>0.41</v>
      </c>
      <c r="I29" s="124">
        <f>J29</f>
        <v>0.76</v>
      </c>
      <c r="J29" s="124">
        <v>0.76</v>
      </c>
      <c r="K29" s="124">
        <v>0.65</v>
      </c>
      <c r="L29" s="124">
        <v>0.26</v>
      </c>
      <c r="M29" s="124">
        <v>0.34</v>
      </c>
      <c r="N29" s="124">
        <v>1.77</v>
      </c>
      <c r="O29" s="124">
        <v>1.61</v>
      </c>
      <c r="P29" s="124">
        <v>3.25</v>
      </c>
      <c r="Q29" s="124">
        <v>7</v>
      </c>
      <c r="R29" s="124">
        <v>14</v>
      </c>
      <c r="S29" s="180">
        <v>12</v>
      </c>
      <c r="T29" s="180">
        <v>28</v>
      </c>
      <c r="U29" s="180">
        <v>65</v>
      </c>
      <c r="V29" s="101">
        <f t="shared" si="2"/>
        <v>0.47195303780919207</v>
      </c>
      <c r="W29" s="21">
        <f t="shared" si="7"/>
        <v>0.15</v>
      </c>
      <c r="X29" s="130">
        <f t="shared" si="8"/>
        <v>74.75</v>
      </c>
      <c r="Y29" s="130">
        <f t="shared" ref="Y29" si="74">X29*(1+$W29)</f>
        <v>85.962499999999991</v>
      </c>
      <c r="Z29" s="130">
        <f t="shared" ref="Z29" si="75">Y29*(1+$W29)</f>
        <v>98.856874999999988</v>
      </c>
      <c r="AA29" s="130">
        <f t="shared" ref="AA29" si="76">Z29*(1+$W29)</f>
        <v>113.68540624999997</v>
      </c>
      <c r="AB29" s="130">
        <f t="shared" ref="AB29" si="77">AA29*(1+$W29)</f>
        <v>130.73821718749997</v>
      </c>
      <c r="AC29" s="130">
        <f t="shared" ref="AC29" si="78">AB29*(1+$W29)</f>
        <v>150.34894976562495</v>
      </c>
      <c r="AD29" s="130">
        <f t="shared" ref="AD29" si="79">AC29*(1+$W29)</f>
        <v>172.90129223046867</v>
      </c>
      <c r="AE29" s="130">
        <f t="shared" ref="AE29" si="80">AD29*(1+$W29)</f>
        <v>198.83648606503897</v>
      </c>
      <c r="AF29" s="130">
        <f t="shared" ref="AF29" si="81">AE29*(1+$W29)</f>
        <v>228.6619589747948</v>
      </c>
      <c r="AG29" s="130">
        <f t="shared" ref="AG29" si="82">AF29*(1+$W29)</f>
        <v>262.961252821014</v>
      </c>
      <c r="AH29" s="115">
        <f t="shared" ref="AH29" si="83">((AG29/J29)^(1/($AG$3-$K$1) ))-1</f>
        <v>0.2758362093940081</v>
      </c>
      <c r="AI29" s="21">
        <f t="shared" si="18"/>
        <v>0.05</v>
      </c>
      <c r="AJ29" s="123">
        <f t="shared" ref="AJ29" si="84">(AG29*(1+AI29))/($C$1-AI29)</f>
        <v>1624.1724438944987</v>
      </c>
    </row>
    <row r="30" spans="2:36" s="106" customFormat="1">
      <c r="B30" s="13"/>
      <c r="C30" s="125"/>
      <c r="D30" s="125"/>
      <c r="E30" s="126"/>
      <c r="F30" s="268"/>
      <c r="G30" s="268">
        <f t="shared" ref="G30:P30" si="85">(G29-F29)/G29</f>
        <v>-0.10344827586206906</v>
      </c>
      <c r="H30" s="268">
        <f t="shared" si="85"/>
        <v>0.29268292682926828</v>
      </c>
      <c r="I30" s="268">
        <f t="shared" si="85"/>
        <v>0.46052631578947373</v>
      </c>
      <c r="J30" s="268">
        <f t="shared" si="85"/>
        <v>0</v>
      </c>
      <c r="K30" s="268">
        <f t="shared" si="85"/>
        <v>-0.16923076923076921</v>
      </c>
      <c r="L30" s="268">
        <f t="shared" si="85"/>
        <v>-1.5</v>
      </c>
      <c r="M30" s="268">
        <f t="shared" si="85"/>
        <v>0.23529411764705885</v>
      </c>
      <c r="N30" s="268">
        <f t="shared" si="85"/>
        <v>0.80790960451977401</v>
      </c>
      <c r="O30" s="268">
        <f t="shared" si="85"/>
        <v>-9.9378881987577578E-2</v>
      </c>
      <c r="P30" s="268">
        <f t="shared" si="85"/>
        <v>0.50461538461538458</v>
      </c>
      <c r="Q30" s="268">
        <f t="shared" ref="Q30:R30" si="86">(Q29-P29)/Q29</f>
        <v>0.5357142857142857</v>
      </c>
      <c r="R30" s="268">
        <f t="shared" si="86"/>
        <v>0.5</v>
      </c>
      <c r="S30" s="127">
        <f t="shared" ref="S30:U30" si="87">(S29-R29)/R29</f>
        <v>-0.14285714285714285</v>
      </c>
      <c r="T30" s="127">
        <f t="shared" si="87"/>
        <v>1.3333333333333333</v>
      </c>
      <c r="U30" s="127">
        <f t="shared" si="87"/>
        <v>1.3214285714285714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7"/>
        <v>0.15</v>
      </c>
      <c r="X31" s="130">
        <f t="shared" si="8"/>
        <v>0</v>
      </c>
      <c r="Y31" s="130">
        <f>X31*(1+$W31)</f>
        <v>0</v>
      </c>
      <c r="Z31" s="130">
        <f t="shared" ref="Z31:AG32" si="88">Y31*(1+$W31)</f>
        <v>0</v>
      </c>
      <c r="AA31" s="130">
        <f t="shared" si="88"/>
        <v>0</v>
      </c>
      <c r="AB31" s="130">
        <f t="shared" si="88"/>
        <v>0</v>
      </c>
      <c r="AC31" s="130">
        <f t="shared" si="88"/>
        <v>0</v>
      </c>
      <c r="AD31" s="130">
        <f t="shared" si="88"/>
        <v>0</v>
      </c>
      <c r="AE31" s="130">
        <f t="shared" si="88"/>
        <v>0</v>
      </c>
      <c r="AF31" s="130">
        <f t="shared" si="88"/>
        <v>0</v>
      </c>
      <c r="AG31" s="130">
        <f t="shared" si="88"/>
        <v>0</v>
      </c>
      <c r="AH31" s="115" t="e">
        <f t="shared" ref="AH31" si="89">((AG31/J31)^(1/($AG$3-$K$1) ))-1</f>
        <v>#DIV/0!</v>
      </c>
      <c r="AI31" s="21">
        <f t="shared" si="18"/>
        <v>0.05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/>
      <c r="H32" s="124"/>
      <c r="I32" s="124" t="s">
        <v>510</v>
      </c>
      <c r="J32" s="124"/>
      <c r="K32" s="124"/>
      <c r="L32" s="124"/>
      <c r="M32" s="124"/>
      <c r="N32" s="124"/>
      <c r="O32" s="124"/>
      <c r="P32" s="124"/>
      <c r="Q32" s="124"/>
      <c r="R32" s="124"/>
      <c r="S32" s="180"/>
      <c r="T32" s="180"/>
      <c r="U32" s="180"/>
      <c r="V32" s="101" t="e">
        <f t="shared" si="2"/>
        <v>#DIV/0!</v>
      </c>
      <c r="W32" s="21">
        <f t="shared" si="7"/>
        <v>0.15</v>
      </c>
      <c r="X32" s="130">
        <f t="shared" si="8"/>
        <v>0</v>
      </c>
      <c r="Y32" s="130">
        <f>X32*(1+$W32)</f>
        <v>0</v>
      </c>
      <c r="Z32" s="130">
        <f t="shared" si="88"/>
        <v>0</v>
      </c>
      <c r="AA32" s="130">
        <f t="shared" si="88"/>
        <v>0</v>
      </c>
      <c r="AB32" s="130">
        <f t="shared" si="88"/>
        <v>0</v>
      </c>
      <c r="AC32" s="130">
        <f t="shared" si="88"/>
        <v>0</v>
      </c>
      <c r="AD32" s="130">
        <f t="shared" si="88"/>
        <v>0</v>
      </c>
      <c r="AE32" s="130">
        <f t="shared" si="88"/>
        <v>0</v>
      </c>
      <c r="AF32" s="130">
        <f t="shared" si="88"/>
        <v>0</v>
      </c>
      <c r="AG32" s="130">
        <f t="shared" si="88"/>
        <v>0</v>
      </c>
      <c r="AH32" s="115" t="e">
        <f t="shared" ref="AH32" si="90">((AG32/J32)^(1/($AG$3-$K$1) ))-1</f>
        <v>#DIV/0!</v>
      </c>
      <c r="AI32" s="21">
        <f t="shared" si="18"/>
        <v>0.05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>
        <v>0.32</v>
      </c>
      <c r="G33" s="124">
        <v>0.28999999999999998</v>
      </c>
      <c r="H33" s="124">
        <v>0.41</v>
      </c>
      <c r="I33" s="124">
        <f>J33</f>
        <v>0.76</v>
      </c>
      <c r="J33" s="124">
        <v>0.76</v>
      </c>
      <c r="K33" s="124">
        <v>0.76</v>
      </c>
      <c r="L33" s="124">
        <v>0.26</v>
      </c>
      <c r="M33" s="124">
        <v>0.34</v>
      </c>
      <c r="N33" s="124">
        <v>1.77</v>
      </c>
      <c r="O33" s="124">
        <v>1.61</v>
      </c>
      <c r="P33" s="124">
        <v>3.25</v>
      </c>
      <c r="Q33" s="124">
        <v>7</v>
      </c>
      <c r="R33" s="124">
        <v>14</v>
      </c>
      <c r="S33" s="180">
        <v>12</v>
      </c>
      <c r="T33" s="180">
        <v>28</v>
      </c>
      <c r="U33" s="180">
        <v>74</v>
      </c>
      <c r="V33" s="101">
        <f t="shared" si="2"/>
        <v>0.48565064013004089</v>
      </c>
      <c r="W33" s="21">
        <f t="shared" si="7"/>
        <v>0.15</v>
      </c>
      <c r="X33" s="130">
        <f t="shared" si="8"/>
        <v>85.1</v>
      </c>
      <c r="Y33" s="130">
        <f t="shared" si="39"/>
        <v>97.864999999999981</v>
      </c>
      <c r="Z33" s="130">
        <f t="shared" si="40"/>
        <v>112.54474999999996</v>
      </c>
      <c r="AA33" s="130">
        <f t="shared" si="41"/>
        <v>129.42646249999996</v>
      </c>
      <c r="AB33" s="130">
        <f t="shared" si="42"/>
        <v>148.84043187499995</v>
      </c>
      <c r="AC33" s="130">
        <f t="shared" si="43"/>
        <v>171.16649665624993</v>
      </c>
      <c r="AD33" s="130">
        <f t="shared" si="44"/>
        <v>196.84147115468741</v>
      </c>
      <c r="AE33" s="130">
        <f t="shared" si="45"/>
        <v>226.3676918278905</v>
      </c>
      <c r="AF33" s="130">
        <f t="shared" si="46"/>
        <v>260.32284560207404</v>
      </c>
      <c r="AG33" s="130">
        <f t="shared" si="47"/>
        <v>299.37127244238513</v>
      </c>
      <c r="AH33" s="115">
        <f t="shared" si="20"/>
        <v>0.28274851962713021</v>
      </c>
      <c r="AI33" s="21">
        <f t="shared" si="18"/>
        <v>0.05</v>
      </c>
      <c r="AJ33" s="123">
        <f t="shared" si="1"/>
        <v>1849.0578592029674</v>
      </c>
    </row>
    <row r="34" spans="1:36">
      <c r="B34" s="10" t="s">
        <v>499</v>
      </c>
      <c r="C34" s="118"/>
      <c r="D34" s="118"/>
      <c r="E34" s="124"/>
      <c r="F34" s="124">
        <v>0.45</v>
      </c>
      <c r="G34" s="124">
        <v>0.48</v>
      </c>
      <c r="H34" s="124">
        <v>0.53</v>
      </c>
      <c r="I34" s="124">
        <f>J34</f>
        <v>0.77</v>
      </c>
      <c r="J34" s="124">
        <v>0.77</v>
      </c>
      <c r="K34" s="124">
        <v>0.77</v>
      </c>
      <c r="L34" s="124">
        <v>1.1200000000000001</v>
      </c>
      <c r="M34" s="124">
        <v>1.79</v>
      </c>
      <c r="N34" s="124">
        <v>2.71</v>
      </c>
      <c r="O34" s="124">
        <v>2.5099999999999998</v>
      </c>
      <c r="P34" s="124">
        <v>2.67</v>
      </c>
      <c r="Q34" s="124">
        <v>5</v>
      </c>
      <c r="R34" s="124">
        <v>6</v>
      </c>
      <c r="S34" s="180">
        <v>10</v>
      </c>
      <c r="T34" s="180">
        <v>20</v>
      </c>
      <c r="U34" s="180">
        <v>29</v>
      </c>
      <c r="V34" s="101">
        <f t="shared" si="2"/>
        <v>0.34037241951753705</v>
      </c>
      <c r="W34" s="21">
        <f t="shared" si="7"/>
        <v>0.15</v>
      </c>
      <c r="X34" s="130">
        <f t="shared" si="8"/>
        <v>33.349999999999994</v>
      </c>
      <c r="Y34" s="130">
        <f t="shared" si="39"/>
        <v>38.352499999999992</v>
      </c>
      <c r="Z34" s="130">
        <f t="shared" si="40"/>
        <v>44.105374999999988</v>
      </c>
      <c r="AA34" s="130">
        <f t="shared" si="41"/>
        <v>50.721181249999979</v>
      </c>
      <c r="AB34" s="130">
        <f t="shared" si="42"/>
        <v>58.32935843749997</v>
      </c>
      <c r="AC34" s="130">
        <f t="shared" si="43"/>
        <v>67.078762203124967</v>
      </c>
      <c r="AD34" s="130">
        <f t="shared" si="44"/>
        <v>77.140576533593702</v>
      </c>
      <c r="AE34" s="130">
        <f t="shared" si="45"/>
        <v>88.711663013632744</v>
      </c>
      <c r="AF34" s="130">
        <f t="shared" si="46"/>
        <v>102.01841246567764</v>
      </c>
      <c r="AG34" s="130">
        <f t="shared" si="47"/>
        <v>117.32117433552928</v>
      </c>
      <c r="AH34" s="115">
        <f t="shared" si="20"/>
        <v>0.23297300979694668</v>
      </c>
      <c r="AI34" s="21">
        <f t="shared" si="18"/>
        <v>0.05</v>
      </c>
      <c r="AJ34" s="123">
        <f t="shared" si="1"/>
        <v>724.63078266062212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5" t="s">
        <v>418</v>
      </c>
      <c r="B36" s="177" t="s">
        <v>412</v>
      </c>
      <c r="C36" s="118"/>
      <c r="D36" s="118"/>
      <c r="E36" s="124"/>
      <c r="F36" s="180"/>
      <c r="G36" s="180">
        <f t="shared" ref="G36" si="91">H36</f>
        <v>0</v>
      </c>
      <c r="H36" s="180">
        <f t="shared" ref="H36:I36" si="92">I36</f>
        <v>0</v>
      </c>
      <c r="I36" s="180">
        <f t="shared" si="92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7"/>
        <v>0.15</v>
      </c>
      <c r="X36" s="130">
        <f t="shared" si="8"/>
        <v>0</v>
      </c>
      <c r="Y36" s="130">
        <f t="shared" ref="Y36:Y51" si="93">X36*(1+$W36)</f>
        <v>0</v>
      </c>
      <c r="Z36" s="130">
        <f t="shared" ref="Z36:Z51" si="94">Y36*(1+$W36)</f>
        <v>0</v>
      </c>
      <c r="AA36" s="130">
        <f t="shared" ref="AA36:AA51" si="95">Z36*(1+$W36)</f>
        <v>0</v>
      </c>
      <c r="AB36" s="130">
        <f t="shared" ref="AB36:AB51" si="96">AA36*(1+$W36)</f>
        <v>0</v>
      </c>
      <c r="AC36" s="130">
        <f t="shared" ref="AC36:AC51" si="97">AB36*(1+$W36)</f>
        <v>0</v>
      </c>
      <c r="AD36" s="130">
        <f t="shared" ref="AD36:AD51" si="98">AC36*(1+$W36)</f>
        <v>0</v>
      </c>
      <c r="AE36" s="130">
        <f t="shared" ref="AE36:AE51" si="99">AD36*(1+$W36)</f>
        <v>0</v>
      </c>
      <c r="AF36" s="130">
        <f t="shared" ref="AF36:AF51" si="100">AE36*(1+$W36)</f>
        <v>0</v>
      </c>
      <c r="AG36" s="130">
        <f t="shared" ref="AG36:AG51" si="101">AF36*(1+$W36)</f>
        <v>0</v>
      </c>
      <c r="AH36" s="115" t="e">
        <f t="shared" ref="AH36:AH51" si="102">((AG36/J36)^(1/($AG$3-$K$1) ))-1</f>
        <v>#DIV/0!</v>
      </c>
      <c r="AI36" s="21">
        <f t="shared" si="18"/>
        <v>0.05</v>
      </c>
      <c r="AJ36" s="123">
        <f t="shared" ref="AJ36:AJ51" si="103">(AG36*(1+AI36))/($C$1-AI36)</f>
        <v>0</v>
      </c>
    </row>
    <row r="37" spans="1:36">
      <c r="A37" s="305"/>
      <c r="B37" s="177"/>
      <c r="C37" s="118"/>
      <c r="D37" s="118"/>
      <c r="E37" s="124"/>
      <c r="F37" s="127"/>
      <c r="G37" s="127" t="e">
        <f t="shared" ref="G37" si="104">(G36-E36)/E36</f>
        <v>#DIV/0!</v>
      </c>
      <c r="H37" s="127" t="e">
        <f t="shared" ref="H37" si="105">(H36-F36)/F36</f>
        <v>#DIV/0!</v>
      </c>
      <c r="I37" s="127" t="e">
        <f t="shared" ref="I37" si="106">(I36-H36)/H36</f>
        <v>#DIV/0!</v>
      </c>
      <c r="J37" s="127" t="e">
        <f t="shared" ref="J37" si="107">(J36-I36)/I36</f>
        <v>#DIV/0!</v>
      </c>
      <c r="K37" s="127" t="e">
        <f t="shared" ref="K37" si="108">(K36-J36)/J36</f>
        <v>#DIV/0!</v>
      </c>
      <c r="L37" s="127" t="e">
        <f t="shared" ref="L37" si="109">(L36-K36)/K36</f>
        <v>#DIV/0!</v>
      </c>
      <c r="M37" s="127" t="e">
        <f t="shared" ref="M37" si="110">(M36-L36)/L36</f>
        <v>#DIV/0!</v>
      </c>
      <c r="N37" s="127" t="e">
        <f t="shared" ref="N37" si="111">(N36-M36)/M36</f>
        <v>#DIV/0!</v>
      </c>
      <c r="O37" s="127" t="e">
        <f t="shared" ref="O37" si="112">(O36-N36)/N36</f>
        <v>#DIV/0!</v>
      </c>
      <c r="P37" s="127" t="e">
        <f t="shared" ref="P37" si="113">(P36-O36)/O36</f>
        <v>#DIV/0!</v>
      </c>
      <c r="Q37" s="127" t="e">
        <f t="shared" ref="Q37" si="114">(Q36-P36)/P36</f>
        <v>#DIV/0!</v>
      </c>
      <c r="R37" s="127" t="e">
        <f t="shared" ref="R37" si="115">(R36-Q36)/Q36</f>
        <v>#DIV/0!</v>
      </c>
      <c r="S37" s="127" t="e">
        <f t="shared" ref="S37" si="116">(S36-R36)/R36</f>
        <v>#DIV/0!</v>
      </c>
      <c r="T37" s="127" t="e">
        <f t="shared" ref="T37:U37" si="117">(T36-S36)/S36</f>
        <v>#DIV/0!</v>
      </c>
      <c r="U37" s="127" t="e">
        <f t="shared" si="117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5"/>
      <c r="B38" s="177" t="s">
        <v>413</v>
      </c>
      <c r="C38" s="118"/>
      <c r="D38" s="118"/>
      <c r="E38" s="124"/>
      <c r="F38" s="180"/>
      <c r="G38" s="180">
        <f t="shared" ref="G38" si="118">H38</f>
        <v>0</v>
      </c>
      <c r="H38" s="180">
        <f t="shared" ref="H38:I38" si="119">I38</f>
        <v>0</v>
      </c>
      <c r="I38" s="180">
        <f t="shared" si="119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7"/>
        <v>0.15</v>
      </c>
      <c r="X38" s="130">
        <f t="shared" si="8"/>
        <v>1.1499999999999999</v>
      </c>
      <c r="Y38" s="130">
        <f t="shared" si="93"/>
        <v>1.3224999999999998</v>
      </c>
      <c r="Z38" s="130">
        <f t="shared" si="94"/>
        <v>1.5208749999999995</v>
      </c>
      <c r="AA38" s="130">
        <f t="shared" si="95"/>
        <v>1.7490062499999994</v>
      </c>
      <c r="AB38" s="130">
        <f t="shared" si="96"/>
        <v>2.0113571874999994</v>
      </c>
      <c r="AC38" s="130">
        <f t="shared" si="97"/>
        <v>2.3130607656249991</v>
      </c>
      <c r="AD38" s="130">
        <f t="shared" si="98"/>
        <v>2.6600198804687487</v>
      </c>
      <c r="AE38" s="130">
        <f t="shared" si="99"/>
        <v>3.0590228625390607</v>
      </c>
      <c r="AF38" s="130">
        <f t="shared" si="100"/>
        <v>3.5178762919199196</v>
      </c>
      <c r="AG38" s="130">
        <f t="shared" si="101"/>
        <v>4.0455577357079076</v>
      </c>
      <c r="AH38" s="115" t="e">
        <f t="shared" si="102"/>
        <v>#DIV/0!</v>
      </c>
      <c r="AI38" s="21">
        <f t="shared" si="18"/>
        <v>0.05</v>
      </c>
      <c r="AJ38" s="123">
        <f t="shared" si="103"/>
        <v>24.987268367607669</v>
      </c>
    </row>
    <row r="39" spans="1:36">
      <c r="A39" s="305"/>
      <c r="B39" s="177"/>
      <c r="C39" s="118"/>
      <c r="D39" s="118"/>
      <c r="E39" s="124"/>
      <c r="F39" s="127"/>
      <c r="G39" s="127" t="e">
        <f t="shared" ref="G39" si="120">(G38-E38)/E38</f>
        <v>#DIV/0!</v>
      </c>
      <c r="H39" s="127" t="e">
        <f t="shared" ref="H39" si="121">(H38-F38)/F38</f>
        <v>#DIV/0!</v>
      </c>
      <c r="I39" s="127" t="e">
        <f t="shared" ref="I39" si="122">(I38-H38)/H38</f>
        <v>#DIV/0!</v>
      </c>
      <c r="J39" s="127" t="e">
        <f t="shared" ref="J39" si="123">(J38-I38)/I38</f>
        <v>#DIV/0!</v>
      </c>
      <c r="K39" s="127" t="e">
        <f t="shared" ref="K39" si="124">(K38-J38)/J38</f>
        <v>#DIV/0!</v>
      </c>
      <c r="L39" s="127" t="e">
        <f t="shared" ref="L39" si="125">(L38-K38)/K38</f>
        <v>#DIV/0!</v>
      </c>
      <c r="M39" s="127" t="e">
        <f t="shared" ref="M39" si="126">(M38-L38)/L38</f>
        <v>#DIV/0!</v>
      </c>
      <c r="N39" s="127" t="e">
        <f t="shared" ref="N39" si="127">(N38-M38)/M38</f>
        <v>#DIV/0!</v>
      </c>
      <c r="O39" s="127" t="e">
        <f t="shared" ref="O39" si="128">(O38-N38)/N38</f>
        <v>#DIV/0!</v>
      </c>
      <c r="P39" s="127" t="e">
        <f t="shared" ref="P39" si="129">(P38-O38)/O38</f>
        <v>#DIV/0!</v>
      </c>
      <c r="Q39" s="127" t="e">
        <f t="shared" ref="Q39" si="130">(Q38-P38)/P38</f>
        <v>#DIV/0!</v>
      </c>
      <c r="R39" s="127" t="e">
        <f t="shared" ref="R39" si="131">(R38-Q38)/Q38</f>
        <v>#DIV/0!</v>
      </c>
      <c r="S39" s="127" t="e">
        <f t="shared" ref="S39" si="132">(S38-R38)/R38</f>
        <v>#DIV/0!</v>
      </c>
      <c r="T39" s="127" t="e">
        <f t="shared" ref="T39:U39" si="133">(T38-S38)/S38</f>
        <v>#DIV/0!</v>
      </c>
      <c r="U39" s="127" t="e">
        <f t="shared" si="133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5"/>
      <c r="B40" s="177" t="s">
        <v>417</v>
      </c>
      <c r="C40" s="118"/>
      <c r="D40" s="118"/>
      <c r="E40" s="124"/>
      <c r="F40" s="180"/>
      <c r="G40" s="180">
        <f t="shared" ref="G40:G43" si="134">H40</f>
        <v>0</v>
      </c>
      <c r="H40" s="180">
        <f t="shared" ref="H40:I40" si="135">I40</f>
        <v>0</v>
      </c>
      <c r="I40" s="180">
        <f t="shared" si="135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7"/>
        <v>0.15</v>
      </c>
      <c r="X40" s="130">
        <f t="shared" si="8"/>
        <v>0</v>
      </c>
      <c r="Y40" s="130">
        <f t="shared" si="93"/>
        <v>0</v>
      </c>
      <c r="Z40" s="130">
        <f t="shared" si="94"/>
        <v>0</v>
      </c>
      <c r="AA40" s="130">
        <f t="shared" si="95"/>
        <v>0</v>
      </c>
      <c r="AB40" s="130">
        <f t="shared" si="96"/>
        <v>0</v>
      </c>
      <c r="AC40" s="130">
        <f t="shared" si="97"/>
        <v>0</v>
      </c>
      <c r="AD40" s="130">
        <f t="shared" si="98"/>
        <v>0</v>
      </c>
      <c r="AE40" s="130">
        <f t="shared" si="99"/>
        <v>0</v>
      </c>
      <c r="AF40" s="130">
        <f t="shared" si="100"/>
        <v>0</v>
      </c>
      <c r="AG40" s="130">
        <f t="shared" si="101"/>
        <v>0</v>
      </c>
      <c r="AH40" s="115" t="e">
        <f t="shared" si="102"/>
        <v>#DIV/0!</v>
      </c>
      <c r="AI40" s="21">
        <f t="shared" si="18"/>
        <v>0.05</v>
      </c>
      <c r="AJ40" s="123">
        <f t="shared" si="103"/>
        <v>0</v>
      </c>
    </row>
    <row r="41" spans="1:36">
      <c r="A41" s="305"/>
      <c r="B41" s="177" t="s">
        <v>414</v>
      </c>
      <c r="C41" s="118"/>
      <c r="D41" s="118"/>
      <c r="E41" s="124"/>
      <c r="F41" s="180"/>
      <c r="G41" s="180">
        <f t="shared" si="134"/>
        <v>0</v>
      </c>
      <c r="H41" s="180">
        <f t="shared" ref="H41:I41" si="136">I41</f>
        <v>0</v>
      </c>
      <c r="I41" s="180">
        <f t="shared" si="136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7"/>
        <v>0.15</v>
      </c>
      <c r="X41" s="130">
        <f t="shared" si="8"/>
        <v>0</v>
      </c>
      <c r="Y41" s="130">
        <f t="shared" si="93"/>
        <v>0</v>
      </c>
      <c r="Z41" s="130">
        <f t="shared" si="94"/>
        <v>0</v>
      </c>
      <c r="AA41" s="130">
        <f t="shared" si="95"/>
        <v>0</v>
      </c>
      <c r="AB41" s="130">
        <f t="shared" si="96"/>
        <v>0</v>
      </c>
      <c r="AC41" s="130">
        <f t="shared" si="97"/>
        <v>0</v>
      </c>
      <c r="AD41" s="130">
        <f t="shared" si="98"/>
        <v>0</v>
      </c>
      <c r="AE41" s="130">
        <f t="shared" si="99"/>
        <v>0</v>
      </c>
      <c r="AF41" s="130">
        <f t="shared" si="100"/>
        <v>0</v>
      </c>
      <c r="AG41" s="130">
        <f t="shared" si="101"/>
        <v>0</v>
      </c>
      <c r="AH41" s="115" t="e">
        <f t="shared" si="102"/>
        <v>#DIV/0!</v>
      </c>
      <c r="AI41" s="21">
        <f t="shared" si="18"/>
        <v>0.05</v>
      </c>
      <c r="AJ41" s="123">
        <f t="shared" si="103"/>
        <v>0</v>
      </c>
    </row>
    <row r="42" spans="1:36">
      <c r="A42" s="305"/>
      <c r="B42" s="177" t="s">
        <v>416</v>
      </c>
      <c r="C42" s="118"/>
      <c r="D42" s="118"/>
      <c r="E42" s="124"/>
      <c r="F42" s="180"/>
      <c r="G42" s="180">
        <f t="shared" si="134"/>
        <v>0</v>
      </c>
      <c r="H42" s="180">
        <f t="shared" ref="H42:I42" si="137">I42</f>
        <v>0</v>
      </c>
      <c r="I42" s="180">
        <f t="shared" si="137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7"/>
        <v>0.15</v>
      </c>
      <c r="X42" s="130">
        <f t="shared" si="8"/>
        <v>0</v>
      </c>
      <c r="Y42" s="130">
        <f t="shared" si="93"/>
        <v>0</v>
      </c>
      <c r="Z42" s="130">
        <f t="shared" si="94"/>
        <v>0</v>
      </c>
      <c r="AA42" s="130">
        <f t="shared" si="95"/>
        <v>0</v>
      </c>
      <c r="AB42" s="130">
        <f t="shared" si="96"/>
        <v>0</v>
      </c>
      <c r="AC42" s="130">
        <f t="shared" si="97"/>
        <v>0</v>
      </c>
      <c r="AD42" s="130">
        <f t="shared" si="98"/>
        <v>0</v>
      </c>
      <c r="AE42" s="130">
        <f t="shared" si="99"/>
        <v>0</v>
      </c>
      <c r="AF42" s="130">
        <f t="shared" si="100"/>
        <v>0</v>
      </c>
      <c r="AG42" s="130">
        <f t="shared" si="101"/>
        <v>0</v>
      </c>
      <c r="AH42" s="115" t="e">
        <f t="shared" si="102"/>
        <v>#DIV/0!</v>
      </c>
      <c r="AI42" s="21">
        <f t="shared" si="18"/>
        <v>0.05</v>
      </c>
      <c r="AJ42" s="123">
        <f t="shared" si="103"/>
        <v>0</v>
      </c>
    </row>
    <row r="43" spans="1:36">
      <c r="A43" s="305"/>
      <c r="B43" s="177" t="s">
        <v>415</v>
      </c>
      <c r="C43" s="118"/>
      <c r="D43" s="118"/>
      <c r="E43" s="124"/>
      <c r="F43" s="180"/>
      <c r="G43" s="180">
        <f t="shared" si="134"/>
        <v>0</v>
      </c>
      <c r="H43" s="180">
        <f t="shared" ref="H43:I43" si="138">I43</f>
        <v>0</v>
      </c>
      <c r="I43" s="180">
        <f t="shared" si="138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7"/>
        <v>0.15</v>
      </c>
      <c r="X43" s="130">
        <f t="shared" si="8"/>
        <v>0</v>
      </c>
      <c r="Y43" s="130">
        <f t="shared" si="93"/>
        <v>0</v>
      </c>
      <c r="Z43" s="130">
        <f t="shared" si="94"/>
        <v>0</v>
      </c>
      <c r="AA43" s="130">
        <f t="shared" si="95"/>
        <v>0</v>
      </c>
      <c r="AB43" s="130">
        <f t="shared" si="96"/>
        <v>0</v>
      </c>
      <c r="AC43" s="130">
        <f t="shared" si="97"/>
        <v>0</v>
      </c>
      <c r="AD43" s="130">
        <f t="shared" si="98"/>
        <v>0</v>
      </c>
      <c r="AE43" s="130">
        <f t="shared" si="99"/>
        <v>0</v>
      </c>
      <c r="AF43" s="130">
        <f t="shared" si="100"/>
        <v>0</v>
      </c>
      <c r="AG43" s="130">
        <f t="shared" si="101"/>
        <v>0</v>
      </c>
      <c r="AH43" s="115" t="e">
        <f t="shared" si="102"/>
        <v>#DIV/0!</v>
      </c>
      <c r="AI43" s="21">
        <f t="shared" si="18"/>
        <v>0.05</v>
      </c>
      <c r="AJ43" s="123">
        <f t="shared" si="103"/>
        <v>0</v>
      </c>
    </row>
    <row r="44" spans="1:36">
      <c r="A44" s="305"/>
      <c r="B44" s="177"/>
      <c r="C44" s="118"/>
      <c r="D44" s="118"/>
      <c r="E44" s="124"/>
      <c r="F44" s="127"/>
      <c r="G44" s="127" t="e">
        <f t="shared" ref="G44" si="139">(G43-E43)/E43</f>
        <v>#DIV/0!</v>
      </c>
      <c r="H44" s="127" t="e">
        <f t="shared" ref="H44" si="140">(H43-F43)/F43</f>
        <v>#DIV/0!</v>
      </c>
      <c r="I44" s="127" t="e">
        <f t="shared" ref="I44" si="141">(I43-H43)/H43</f>
        <v>#DIV/0!</v>
      </c>
      <c r="J44" s="127" t="e">
        <f t="shared" ref="J44" si="142">(J43-I43)/I43</f>
        <v>#DIV/0!</v>
      </c>
      <c r="K44" s="127" t="e">
        <f t="shared" ref="K44" si="143">(K43-J43)/J43</f>
        <v>#DIV/0!</v>
      </c>
      <c r="L44" s="127" t="e">
        <f t="shared" ref="L44" si="144">(L43-K43)/K43</f>
        <v>#DIV/0!</v>
      </c>
      <c r="M44" s="127" t="e">
        <f t="shared" ref="M44" si="145">(M43-L43)/L43</f>
        <v>#DIV/0!</v>
      </c>
      <c r="N44" s="127" t="e">
        <f t="shared" ref="N44" si="146">(N43-M43)/M43</f>
        <v>#DIV/0!</v>
      </c>
      <c r="O44" s="127" t="e">
        <f t="shared" ref="O44" si="147">(O43-N43)/N43</f>
        <v>#DIV/0!</v>
      </c>
      <c r="P44" s="127" t="e">
        <f t="shared" ref="P44" si="148">(P43-O43)/O43</f>
        <v>#DIV/0!</v>
      </c>
      <c r="Q44" s="127" t="e">
        <f t="shared" ref="Q44" si="149">(Q43-P43)/P43</f>
        <v>#DIV/0!</v>
      </c>
      <c r="R44" s="127" t="e">
        <f t="shared" ref="R44" si="150">(R43-Q43)/Q43</f>
        <v>#DIV/0!</v>
      </c>
      <c r="S44" s="127" t="e">
        <f t="shared" ref="S44" si="151">(S43-R43)/R43</f>
        <v>#DIV/0!</v>
      </c>
      <c r="T44" s="127" t="e">
        <f t="shared" ref="T44:U44" si="152">(T43-S43)/S43</f>
        <v>#DIV/0!</v>
      </c>
      <c r="U44" s="127" t="e">
        <f t="shared" si="152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5"/>
      <c r="B45" s="177" t="s">
        <v>191</v>
      </c>
      <c r="C45" s="118"/>
      <c r="D45" s="118"/>
      <c r="E45" s="124"/>
      <c r="F45" s="180"/>
      <c r="G45" s="180">
        <f t="shared" ref="G45" si="153">H45</f>
        <v>0</v>
      </c>
      <c r="H45" s="180">
        <f t="shared" ref="H45:I45" si="154">I45</f>
        <v>0</v>
      </c>
      <c r="I45" s="180">
        <f t="shared" si="154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7"/>
        <v>0.15</v>
      </c>
      <c r="X45" s="130">
        <f t="shared" si="8"/>
        <v>0</v>
      </c>
      <c r="Y45" s="130">
        <f t="shared" si="93"/>
        <v>0</v>
      </c>
      <c r="Z45" s="130">
        <f t="shared" si="94"/>
        <v>0</v>
      </c>
      <c r="AA45" s="130">
        <f t="shared" si="95"/>
        <v>0</v>
      </c>
      <c r="AB45" s="130">
        <f t="shared" si="96"/>
        <v>0</v>
      </c>
      <c r="AC45" s="130">
        <f t="shared" si="97"/>
        <v>0</v>
      </c>
      <c r="AD45" s="130">
        <f t="shared" si="98"/>
        <v>0</v>
      </c>
      <c r="AE45" s="130">
        <f t="shared" si="99"/>
        <v>0</v>
      </c>
      <c r="AF45" s="130">
        <f t="shared" si="100"/>
        <v>0</v>
      </c>
      <c r="AG45" s="130">
        <f t="shared" si="101"/>
        <v>0</v>
      </c>
      <c r="AH45" s="115" t="e">
        <f t="shared" si="102"/>
        <v>#DIV/0!</v>
      </c>
      <c r="AI45" s="21">
        <f t="shared" si="18"/>
        <v>0.05</v>
      </c>
      <c r="AJ45" s="123">
        <f t="shared" si="103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55">(G45-E45)/E45</f>
        <v>#DIV/0!</v>
      </c>
      <c r="H46" s="127" t="e">
        <f t="shared" ref="H46" si="156">(H45-F45)/F45</f>
        <v>#DIV/0!</v>
      </c>
      <c r="I46" s="127" t="e">
        <f t="shared" ref="I46" si="157">(I45-H45)/H45</f>
        <v>#DIV/0!</v>
      </c>
      <c r="J46" s="127" t="e">
        <f t="shared" ref="J46" si="158">(J45-I45)/I45</f>
        <v>#DIV/0!</v>
      </c>
      <c r="K46" s="127" t="e">
        <f t="shared" ref="K46" si="159">(K45-J45)/J45</f>
        <v>#DIV/0!</v>
      </c>
      <c r="L46" s="127" t="e">
        <f t="shared" ref="L46" si="160">(L45-K45)/K45</f>
        <v>#DIV/0!</v>
      </c>
      <c r="M46" s="127" t="e">
        <f t="shared" ref="M46" si="161">(M45-L45)/L45</f>
        <v>#DIV/0!</v>
      </c>
      <c r="N46" s="127" t="e">
        <f t="shared" ref="N46" si="162">(N45-M45)/M45</f>
        <v>#DIV/0!</v>
      </c>
      <c r="O46" s="127" t="e">
        <f t="shared" ref="O46" si="163">(O45-N45)/N45</f>
        <v>#DIV/0!</v>
      </c>
      <c r="P46" s="127" t="e">
        <f t="shared" ref="P46" si="164">(P45-O45)/O45</f>
        <v>#DIV/0!</v>
      </c>
      <c r="Q46" s="127" t="e">
        <f t="shared" ref="Q46" si="165">(Q45-P45)/P45</f>
        <v>#DIV/0!</v>
      </c>
      <c r="R46" s="127" t="e">
        <f t="shared" ref="R46" si="166">(R45-Q45)/Q45</f>
        <v>#DIV/0!</v>
      </c>
      <c r="S46" s="127" t="e">
        <f t="shared" ref="S46" si="167">(S45-R45)/R45</f>
        <v>#DIV/0!</v>
      </c>
      <c r="T46" s="127" t="e">
        <f t="shared" ref="T46:U46" si="168">(T45-S45)/S45</f>
        <v>#DIV/0!</v>
      </c>
      <c r="U46" s="127" t="e">
        <f t="shared" si="168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508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9">((U47/G47)^(1/($K$2-$K$1) ))-1</f>
        <v>#DIV/0!</v>
      </c>
      <c r="W47" s="21">
        <f t="shared" si="7"/>
        <v>0.15</v>
      </c>
      <c r="X47" s="130">
        <f t="shared" ref="X47" si="170">U47*(1+$W47)</f>
        <v>0</v>
      </c>
      <c r="Y47" s="130">
        <f t="shared" ref="Y47" si="171">X47*(1+$W47)</f>
        <v>0</v>
      </c>
      <c r="Z47" s="130">
        <f t="shared" ref="Z47" si="172">Y47*(1+$W47)</f>
        <v>0</v>
      </c>
      <c r="AA47" s="130">
        <f t="shared" ref="AA47" si="173">Z47*(1+$W47)</f>
        <v>0</v>
      </c>
      <c r="AB47" s="130">
        <f t="shared" ref="AB47" si="174">AA47*(1+$W47)</f>
        <v>0</v>
      </c>
      <c r="AC47" s="130">
        <f t="shared" ref="AC47" si="175">AB47*(1+$W47)</f>
        <v>0</v>
      </c>
      <c r="AD47" s="130">
        <f t="shared" ref="AD47" si="176">AC47*(1+$W47)</f>
        <v>0</v>
      </c>
      <c r="AE47" s="130">
        <f t="shared" ref="AE47" si="177">AD47*(1+$W47)</f>
        <v>0</v>
      </c>
      <c r="AF47" s="130">
        <f t="shared" ref="AF47" si="178">AE47*(1+$W47)</f>
        <v>0</v>
      </c>
      <c r="AG47" s="130">
        <f t="shared" ref="AG47" si="179">AF47*(1+$W47)</f>
        <v>0</v>
      </c>
      <c r="AH47" s="115" t="e">
        <f t="shared" ref="AH47" si="180">((AG47/J47)^(1/($AG$3-$K$1) ))-1</f>
        <v>#DIV/0!</v>
      </c>
      <c r="AI47" s="21">
        <f t="shared" si="18"/>
        <v>0.05</v>
      </c>
      <c r="AJ47" s="123">
        <f t="shared" ref="AJ47" si="181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82">(G47-E47)/E47</f>
        <v>#DIV/0!</v>
      </c>
      <c r="H48" s="127" t="e">
        <f t="shared" ref="H48" si="183">(H47-F47)/F47</f>
        <v>#DIV/0!</v>
      </c>
      <c r="I48" s="127" t="e">
        <f t="shared" ref="I48" si="184">(I47-H47)/H47</f>
        <v>#DIV/0!</v>
      </c>
      <c r="J48" s="127" t="e">
        <f t="shared" ref="J48" si="185">(J47-I47)/I47</f>
        <v>#DIV/0!</v>
      </c>
      <c r="K48" s="127" t="e">
        <f t="shared" ref="K48" si="186">(K47-J47)/J47</f>
        <v>#DIV/0!</v>
      </c>
      <c r="L48" s="127" t="e">
        <f t="shared" ref="L48" si="187">(L47-K47)/K47</f>
        <v>#DIV/0!</v>
      </c>
      <c r="M48" s="127" t="e">
        <f t="shared" ref="M48" si="188">(M47-L47)/L47</f>
        <v>#DIV/0!</v>
      </c>
      <c r="N48" s="127" t="e">
        <f t="shared" ref="N48" si="189">(N47-M47)/M47</f>
        <v>#DIV/0!</v>
      </c>
      <c r="O48" s="127" t="e">
        <f t="shared" ref="O48" si="190">(O47-N47)/N47</f>
        <v>#DIV/0!</v>
      </c>
      <c r="P48" s="127" t="e">
        <f t="shared" ref="P48" si="191">(P47-O47)/O47</f>
        <v>#DIV/0!</v>
      </c>
      <c r="Q48" s="127" t="e">
        <f t="shared" ref="Q48" si="192">(Q47-P47)/P47</f>
        <v>#DIV/0!</v>
      </c>
      <c r="R48" s="127" t="e">
        <f t="shared" ref="R48" si="193">(R47-Q47)/Q47</f>
        <v>#DIV/0!</v>
      </c>
      <c r="S48" s="127" t="e">
        <f t="shared" ref="S48" si="194">(S47-R47)/R47</f>
        <v>#DIV/0!</v>
      </c>
      <c r="T48" s="127" t="e">
        <f t="shared" ref="T48" si="195">(T47-S47)/S47</f>
        <v>#DIV/0!</v>
      </c>
      <c r="U48" s="127" t="e">
        <f t="shared" ref="U48" si="196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f t="shared" ref="G49" si="197">H49</f>
        <v>0</v>
      </c>
      <c r="H49" s="180">
        <f t="shared" ref="H49:I49" si="198">I49</f>
        <v>0</v>
      </c>
      <c r="I49" s="180">
        <f t="shared" si="198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7"/>
        <v>0.15</v>
      </c>
      <c r="X49" s="130">
        <f t="shared" si="8"/>
        <v>0</v>
      </c>
      <c r="Y49" s="130">
        <f t="shared" ref="Y49" si="199">X49*(1+$W49)</f>
        <v>0</v>
      </c>
      <c r="Z49" s="130">
        <f t="shared" ref="Z49" si="200">Y49*(1+$W49)</f>
        <v>0</v>
      </c>
      <c r="AA49" s="130">
        <f t="shared" ref="AA49" si="201">Z49*(1+$W49)</f>
        <v>0</v>
      </c>
      <c r="AB49" s="130">
        <f t="shared" ref="AB49" si="202">AA49*(1+$W49)</f>
        <v>0</v>
      </c>
      <c r="AC49" s="130">
        <f t="shared" ref="AC49" si="203">AB49*(1+$W49)</f>
        <v>0</v>
      </c>
      <c r="AD49" s="130">
        <f t="shared" ref="AD49" si="204">AC49*(1+$W49)</f>
        <v>0</v>
      </c>
      <c r="AE49" s="130">
        <f t="shared" ref="AE49" si="205">AD49*(1+$W49)</f>
        <v>0</v>
      </c>
      <c r="AF49" s="130">
        <f t="shared" ref="AF49" si="206">AE49*(1+$W49)</f>
        <v>0</v>
      </c>
      <c r="AG49" s="130">
        <f t="shared" ref="AG49" si="207">AF49*(1+$W49)</f>
        <v>0</v>
      </c>
      <c r="AH49" s="115" t="e">
        <f t="shared" ref="AH49" si="208">((AG49/J49)^(1/($AG$3-$K$1) ))-1</f>
        <v>#DIV/0!</v>
      </c>
      <c r="AI49" s="21">
        <f t="shared" si="18"/>
        <v>0.05</v>
      </c>
      <c r="AJ49" s="123">
        <f t="shared" si="103"/>
        <v>0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209">(G49-E49)/E49</f>
        <v>#DIV/0!</v>
      </c>
      <c r="H50" s="127" t="e">
        <f t="shared" ref="H50" si="210">(H49-F49)/F49</f>
        <v>#DIV/0!</v>
      </c>
      <c r="I50" s="127" t="e">
        <f t="shared" ref="I50" si="211">(I49-H49)/H49</f>
        <v>#DIV/0!</v>
      </c>
      <c r="J50" s="127" t="e">
        <f t="shared" ref="J50" si="212">(J49-I49)/I49</f>
        <v>#DIV/0!</v>
      </c>
      <c r="K50" s="127" t="e">
        <f t="shared" ref="K50" si="213">(K49-J49)/J49</f>
        <v>#DIV/0!</v>
      </c>
      <c r="L50" s="127" t="e">
        <f t="shared" ref="L50" si="214">(L49-K49)/K49</f>
        <v>#DIV/0!</v>
      </c>
      <c r="M50" s="127" t="e">
        <f t="shared" ref="M50" si="215">(M49-L49)/L49</f>
        <v>#DIV/0!</v>
      </c>
      <c r="N50" s="127" t="e">
        <f t="shared" ref="N50" si="216">(N49-M49)/M49</f>
        <v>#DIV/0!</v>
      </c>
      <c r="O50" s="127" t="e">
        <f t="shared" ref="O50" si="217">(O49-N49)/N49</f>
        <v>#DIV/0!</v>
      </c>
      <c r="P50" s="127" t="e">
        <f t="shared" ref="P50" si="218">(P49-O49)/O49</f>
        <v>#DIV/0!</v>
      </c>
      <c r="Q50" s="127" t="e">
        <f t="shared" ref="Q50" si="219">(Q49-P49)/P49</f>
        <v>#DIV/0!</v>
      </c>
      <c r="R50" s="127" t="e">
        <f t="shared" ref="R50" si="220">(R49-Q49)/Q49</f>
        <v>#DIV/0!</v>
      </c>
      <c r="S50" s="127" t="e">
        <f t="shared" ref="S50" si="221">(S49-R49)/R49</f>
        <v>#DIV/0!</v>
      </c>
      <c r="T50" s="127" t="e">
        <f t="shared" ref="T50:U50" si="222">(T49-S49)/S49</f>
        <v>#DIV/0!</v>
      </c>
      <c r="U50" s="127" t="e">
        <f t="shared" si="222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f t="shared" ref="G51" si="223">H51</f>
        <v>0</v>
      </c>
      <c r="H51" s="180">
        <f t="shared" ref="H51:I51" si="224">I51</f>
        <v>0</v>
      </c>
      <c r="I51" s="180">
        <f t="shared" si="224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7"/>
        <v>0.15</v>
      </c>
      <c r="X51" s="130">
        <f t="shared" si="8"/>
        <v>0</v>
      </c>
      <c r="Y51" s="130">
        <f t="shared" si="93"/>
        <v>0</v>
      </c>
      <c r="Z51" s="130">
        <f t="shared" si="94"/>
        <v>0</v>
      </c>
      <c r="AA51" s="130">
        <f t="shared" si="95"/>
        <v>0</v>
      </c>
      <c r="AB51" s="130">
        <f t="shared" si="96"/>
        <v>0</v>
      </c>
      <c r="AC51" s="130">
        <f t="shared" si="97"/>
        <v>0</v>
      </c>
      <c r="AD51" s="130">
        <f t="shared" si="98"/>
        <v>0</v>
      </c>
      <c r="AE51" s="130">
        <f t="shared" si="99"/>
        <v>0</v>
      </c>
      <c r="AF51" s="130">
        <f t="shared" si="100"/>
        <v>0</v>
      </c>
      <c r="AG51" s="130">
        <f t="shared" si="101"/>
        <v>0</v>
      </c>
      <c r="AH51" s="115" t="e">
        <f t="shared" si="102"/>
        <v>#DIV/0!</v>
      </c>
      <c r="AI51" s="21">
        <f t="shared" si="18"/>
        <v>0.05</v>
      </c>
      <c r="AJ51" s="123">
        <f t="shared" si="103"/>
        <v>0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>
        <v>0.4</v>
      </c>
      <c r="G53" s="124">
        <f>0.2</f>
        <v>0.2</v>
      </c>
      <c r="H53" s="124">
        <v>0.2</v>
      </c>
      <c r="I53" s="124">
        <f>J53</f>
        <v>0.28000000000000003</v>
      </c>
      <c r="J53" s="124">
        <v>0.28000000000000003</v>
      </c>
      <c r="K53" s="124">
        <v>0.65</v>
      </c>
      <c r="L53" s="124">
        <v>-1.23</v>
      </c>
      <c r="M53" s="124">
        <v>0.08</v>
      </c>
      <c r="N53" s="124">
        <v>2.27</v>
      </c>
      <c r="O53" s="124">
        <v>1.59</v>
      </c>
      <c r="P53" s="124">
        <v>4.7699999999999996</v>
      </c>
      <c r="Q53" s="124">
        <v>9</v>
      </c>
      <c r="R53" s="124">
        <v>26</v>
      </c>
      <c r="S53" s="180">
        <v>36</v>
      </c>
      <c r="T53" s="180">
        <v>81</v>
      </c>
      <c r="U53" s="180">
        <v>68</v>
      </c>
      <c r="V53" s="101">
        <f t="shared" si="2"/>
        <v>0.51642146288426649</v>
      </c>
      <c r="W53" s="21">
        <f t="shared" si="7"/>
        <v>0.15</v>
      </c>
      <c r="X53" s="130">
        <f t="shared" si="8"/>
        <v>78.199999999999989</v>
      </c>
      <c r="Y53" s="130">
        <f t="shared" ref="Y53" si="225">X53*(1+$W53)</f>
        <v>89.929999999999978</v>
      </c>
      <c r="Z53" s="130">
        <f t="shared" ref="Z53" si="226">Y53*(1+$W53)</f>
        <v>103.41949999999997</v>
      </c>
      <c r="AA53" s="130">
        <f t="shared" ref="AA53" si="227">Z53*(1+$W53)</f>
        <v>118.93242499999995</v>
      </c>
      <c r="AB53" s="130">
        <f t="shared" si="42"/>
        <v>136.77228874999994</v>
      </c>
      <c r="AC53" s="130">
        <f t="shared" si="43"/>
        <v>157.28813206249993</v>
      </c>
      <c r="AD53" s="130">
        <f t="shared" si="44"/>
        <v>180.8813518718749</v>
      </c>
      <c r="AE53" s="130">
        <f t="shared" si="45"/>
        <v>208.01355465265613</v>
      </c>
      <c r="AF53" s="130">
        <f t="shared" si="46"/>
        <v>239.21558785055453</v>
      </c>
      <c r="AG53" s="130">
        <f t="shared" si="47"/>
        <v>275.09792602813769</v>
      </c>
      <c r="AH53" s="115">
        <f t="shared" si="20"/>
        <v>0.33254040619621739</v>
      </c>
      <c r="AI53" s="21">
        <f t="shared" si="18"/>
        <v>0.05</v>
      </c>
      <c r="AJ53" s="123">
        <f t="shared" si="1"/>
        <v>1699.1342489973215</v>
      </c>
    </row>
    <row r="54" spans="1:36" s="106" customFormat="1">
      <c r="B54" s="13"/>
      <c r="C54" s="125"/>
      <c r="D54" s="125"/>
      <c r="E54" s="126"/>
      <c r="F54" s="268"/>
      <c r="G54" s="268">
        <f t="shared" ref="G54:P54" si="228">(G53-F53)/G53</f>
        <v>-1</v>
      </c>
      <c r="H54" s="268">
        <f t="shared" si="228"/>
        <v>0</v>
      </c>
      <c r="I54" s="268">
        <f t="shared" si="228"/>
        <v>0.28571428571428575</v>
      </c>
      <c r="J54" s="268">
        <f t="shared" si="228"/>
        <v>0</v>
      </c>
      <c r="K54" s="268">
        <f t="shared" si="228"/>
        <v>0.56923076923076921</v>
      </c>
      <c r="L54" s="268">
        <f t="shared" si="228"/>
        <v>1.5284552845528454</v>
      </c>
      <c r="M54" s="268">
        <f t="shared" si="228"/>
        <v>16.375</v>
      </c>
      <c r="N54" s="268">
        <f t="shared" si="228"/>
        <v>0.96475770925110127</v>
      </c>
      <c r="O54" s="268">
        <f t="shared" si="228"/>
        <v>-0.42767295597484273</v>
      </c>
      <c r="P54" s="268">
        <f t="shared" si="228"/>
        <v>0.66666666666666663</v>
      </c>
      <c r="Q54" s="268">
        <f t="shared" ref="Q54:R54" si="229">(Q53-P53)/Q53</f>
        <v>0.47000000000000003</v>
      </c>
      <c r="R54" s="268">
        <f t="shared" si="229"/>
        <v>0.65384615384615385</v>
      </c>
      <c r="S54" s="127">
        <f t="shared" ref="S54:U54" si="230">(S53-R53)/R53</f>
        <v>0.38461538461538464</v>
      </c>
      <c r="T54" s="127">
        <f t="shared" si="230"/>
        <v>1.25</v>
      </c>
      <c r="U54" s="127">
        <f t="shared" si="230"/>
        <v>-0.16049382716049382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>
        <v>0.02</v>
      </c>
      <c r="G55" s="124">
        <f>0.58</f>
        <v>0.57999999999999996</v>
      </c>
      <c r="H55" s="124">
        <v>0.22</v>
      </c>
      <c r="I55" s="124">
        <f>J55</f>
        <v>-0.14000000000000001</v>
      </c>
      <c r="J55" s="124">
        <v>-0.14000000000000001</v>
      </c>
      <c r="K55" s="124">
        <v>0.06</v>
      </c>
      <c r="L55" s="124">
        <v>-1.29</v>
      </c>
      <c r="M55" s="124">
        <v>0.28999999999999998</v>
      </c>
      <c r="N55" s="124">
        <v>0.6</v>
      </c>
      <c r="O55" s="124">
        <v>0.21</v>
      </c>
      <c r="P55" s="124">
        <v>1.54</v>
      </c>
      <c r="Q55" s="124">
        <v>3</v>
      </c>
      <c r="R55" s="124">
        <v>14</v>
      </c>
      <c r="S55" s="180">
        <v>31</v>
      </c>
      <c r="T55" s="180">
        <v>57</v>
      </c>
      <c r="U55" s="180">
        <v>7</v>
      </c>
      <c r="V55" s="101">
        <f t="shared" si="2"/>
        <v>0.19470902980904325</v>
      </c>
      <c r="W55" s="21">
        <f t="shared" si="7"/>
        <v>0.15</v>
      </c>
      <c r="X55" s="130">
        <f t="shared" si="8"/>
        <v>8.0499999999999989</v>
      </c>
      <c r="Y55" s="130">
        <f t="shared" ref="Y55" si="231">X55*(1+$W55)</f>
        <v>9.2574999999999985</v>
      </c>
      <c r="Z55" s="130">
        <f t="shared" ref="Z55" si="232">Y55*(1+$W55)</f>
        <v>10.646124999999998</v>
      </c>
      <c r="AA55" s="130">
        <f t="shared" ref="AA55" si="233">Z55*(1+$W55)</f>
        <v>12.243043749999996</v>
      </c>
      <c r="AB55" s="130">
        <f t="shared" ref="AB55" si="234">AA55*(1+$W55)</f>
        <v>14.079500312499995</v>
      </c>
      <c r="AC55" s="130">
        <f t="shared" ref="AC55" si="235">AB55*(1+$W55)</f>
        <v>16.191425359374993</v>
      </c>
      <c r="AD55" s="130">
        <f t="shared" ref="AD55" si="236">AC55*(1+$W55)</f>
        <v>18.620139163281241</v>
      </c>
      <c r="AE55" s="130">
        <f t="shared" ref="AE55" si="237">AD55*(1+$W55)</f>
        <v>21.413160037773427</v>
      </c>
      <c r="AF55" s="130">
        <f t="shared" ref="AF55" si="238">AE55*(1+$W55)</f>
        <v>24.625134043439438</v>
      </c>
      <c r="AG55" s="130">
        <f t="shared" ref="AG55" si="239">AF55*(1+$W55)</f>
        <v>28.318904149955351</v>
      </c>
      <c r="AH55" s="115" t="e">
        <f t="shared" ref="AH55" si="240">((AG55/J55)^(1/($AG$3-$K$1) ))-1</f>
        <v>#NUM!</v>
      </c>
      <c r="AI55" s="21">
        <f t="shared" si="18"/>
        <v>0.05</v>
      </c>
      <c r="AJ55" s="123">
        <f t="shared" ref="AJ55" si="241">(AG55*(1+AI55))/($C$1-AI55)</f>
        <v>174.91087857325365</v>
      </c>
    </row>
    <row r="56" spans="1:36" s="106" customFormat="1">
      <c r="B56" s="13"/>
      <c r="C56" s="125"/>
      <c r="D56" s="125"/>
      <c r="E56" s="126"/>
      <c r="F56" s="268"/>
      <c r="G56" s="268">
        <f t="shared" ref="G56:P56" si="242">(G55-F55)/G55</f>
        <v>0.96551724137931028</v>
      </c>
      <c r="H56" s="268">
        <f t="shared" si="242"/>
        <v>-1.6363636363636362</v>
      </c>
      <c r="I56" s="268">
        <f t="shared" si="242"/>
        <v>2.5714285714285712</v>
      </c>
      <c r="J56" s="268">
        <f t="shared" si="242"/>
        <v>0</v>
      </c>
      <c r="K56" s="268">
        <f t="shared" si="242"/>
        <v>3.3333333333333335</v>
      </c>
      <c r="L56" s="268">
        <f t="shared" si="242"/>
        <v>1.0465116279069768</v>
      </c>
      <c r="M56" s="268">
        <f t="shared" si="242"/>
        <v>5.4482758620689662</v>
      </c>
      <c r="N56" s="268">
        <f t="shared" si="242"/>
        <v>0.51666666666666672</v>
      </c>
      <c r="O56" s="268">
        <f t="shared" si="242"/>
        <v>-1.8571428571428572</v>
      </c>
      <c r="P56" s="268">
        <f t="shared" si="242"/>
        <v>0.86363636363636365</v>
      </c>
      <c r="Q56" s="268">
        <f t="shared" ref="Q56:R56" si="243">(Q55-P55)/Q55</f>
        <v>0.48666666666666664</v>
      </c>
      <c r="R56" s="268">
        <f t="shared" si="243"/>
        <v>0.7857142857142857</v>
      </c>
      <c r="S56" s="127">
        <f t="shared" ref="S56:U56" si="244">(S55-R55)/R55</f>
        <v>1.2142857142857142</v>
      </c>
      <c r="T56" s="127">
        <f t="shared" si="244"/>
        <v>0.83870967741935487</v>
      </c>
      <c r="U56" s="127">
        <f t="shared" si="244"/>
        <v>-0.8771929824561403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507</v>
      </c>
      <c r="C57" s="125"/>
      <c r="D57" s="125"/>
      <c r="E57" s="126"/>
      <c r="F57" s="268">
        <v>5.1000000000000004E-3</v>
      </c>
      <c r="G57" s="124">
        <v>0.3</v>
      </c>
      <c r="H57" s="124">
        <v>0.06</v>
      </c>
      <c r="I57" s="124">
        <f>J57</f>
        <v>7.0000000000000007E-2</v>
      </c>
      <c r="J57" s="124">
        <v>7.0000000000000007E-2</v>
      </c>
      <c r="K57" s="124">
        <v>0.06</v>
      </c>
      <c r="L57" s="124">
        <v>0.05</v>
      </c>
      <c r="M57" s="124">
        <v>0.05</v>
      </c>
      <c r="N57" s="124">
        <v>7.0000000000000007E-2</v>
      </c>
      <c r="O57" s="124">
        <v>7.0000000000000007E-2</v>
      </c>
      <c r="P57" s="124">
        <v>7.0000000000000007E-2</v>
      </c>
      <c r="Q57" s="124">
        <v>7.0000000000000007E-2</v>
      </c>
      <c r="R57" s="124">
        <v>0.11</v>
      </c>
      <c r="S57" s="180">
        <v>0.21</v>
      </c>
      <c r="T57" s="180">
        <v>0.39</v>
      </c>
      <c r="U57" s="180">
        <v>0.44</v>
      </c>
      <c r="V57" s="101">
        <f t="shared" si="2"/>
        <v>2.7734216605775464E-2</v>
      </c>
      <c r="W57" s="21">
        <f t="shared" si="7"/>
        <v>0.15</v>
      </c>
      <c r="X57" s="130">
        <f t="shared" ref="X57" si="245">U57*(1+$W57)</f>
        <v>0.50600000000000001</v>
      </c>
      <c r="Y57" s="130">
        <f t="shared" ref="Y57" si="246">X57*(1+$W57)</f>
        <v>0.58189999999999997</v>
      </c>
      <c r="Z57" s="130">
        <f t="shared" ref="Z57" si="247">Y57*(1+$W57)</f>
        <v>0.66918499999999992</v>
      </c>
      <c r="AA57" s="130">
        <f t="shared" ref="AA57" si="248">Z57*(1+$W57)</f>
        <v>0.76956274999999985</v>
      </c>
      <c r="AB57" s="130">
        <f t="shared" ref="AB57" si="249">AA57*(1+$W57)</f>
        <v>0.88499716249999971</v>
      </c>
      <c r="AC57" s="130">
        <f t="shared" ref="AC57" si="250">AB57*(1+$W57)</f>
        <v>1.0177467368749995</v>
      </c>
      <c r="AD57" s="130">
        <f t="shared" ref="AD57" si="251">AC57*(1+$W57)</f>
        <v>1.1704087474062492</v>
      </c>
      <c r="AE57" s="130">
        <f t="shared" ref="AE57" si="252">AD57*(1+$W57)</f>
        <v>1.3459700595171864</v>
      </c>
      <c r="AF57" s="130">
        <f t="shared" ref="AF57" si="253">AE57*(1+$W57)</f>
        <v>1.5478655684447642</v>
      </c>
      <c r="AG57" s="130">
        <f t="shared" ref="AG57" si="254">AF57*(1+$W57)</f>
        <v>1.7800454037114788</v>
      </c>
      <c r="AH57" s="115">
        <f t="shared" ref="AH57" si="255">((AG57/J57)^(1/($AG$3-$K$1) ))-1</f>
        <v>0.14434122397924143</v>
      </c>
      <c r="AI57" s="21">
        <f t="shared" si="18"/>
        <v>0.05</v>
      </c>
      <c r="AJ57" s="123">
        <f t="shared" ref="AJ57" si="256">(AG57*(1+AI57))/($C$1-AI57)</f>
        <v>10.99439808174737</v>
      </c>
    </row>
    <row r="58" spans="1:36" s="106" customFormat="1">
      <c r="B58" s="13"/>
      <c r="C58" s="125"/>
      <c r="D58" s="125"/>
      <c r="E58" s="126"/>
      <c r="F58" s="268"/>
      <c r="G58" s="268">
        <f t="shared" ref="G58" si="257">(G57-F57)/G57</f>
        <v>0.98299999999999998</v>
      </c>
      <c r="H58" s="268">
        <f t="shared" ref="H58" si="258">(H57-G57)/H57</f>
        <v>-4</v>
      </c>
      <c r="I58" s="268">
        <f t="shared" ref="I58" si="259">(I57-H57)/I57</f>
        <v>0.14285714285714296</v>
      </c>
      <c r="J58" s="268">
        <f t="shared" ref="J58" si="260">(J57-I57)/J57</f>
        <v>0</v>
      </c>
      <c r="K58" s="268">
        <f t="shared" ref="K58" si="261">(K57-J57)/K57</f>
        <v>-0.16666666666666682</v>
      </c>
      <c r="L58" s="268">
        <f t="shared" ref="L58" si="262">(L57-K57)/L57</f>
        <v>-0.1999999999999999</v>
      </c>
      <c r="M58" s="268">
        <f t="shared" ref="M58" si="263">(M57-L57)/M57</f>
        <v>0</v>
      </c>
      <c r="N58" s="268">
        <f t="shared" ref="N58" si="264">(N57-M57)/N57</f>
        <v>0.28571428571428575</v>
      </c>
      <c r="O58" s="268">
        <f t="shared" ref="O58" si="265">(O57-N57)/O57</f>
        <v>0</v>
      </c>
      <c r="P58" s="268">
        <f t="shared" ref="P58" si="266">(P57-O57)/P57</f>
        <v>0</v>
      </c>
      <c r="Q58" s="268">
        <f t="shared" ref="Q58" si="267">(Q57-P57)/Q57</f>
        <v>0</v>
      </c>
      <c r="R58" s="268">
        <f t="shared" ref="R58" si="268">(R57-Q57)/R57</f>
        <v>0.36363636363636359</v>
      </c>
      <c r="S58" s="127">
        <f t="shared" ref="S58" si="269">(S57-R57)/R57</f>
        <v>0.90909090909090906</v>
      </c>
      <c r="T58" s="127">
        <f t="shared" ref="T58" si="270">(T57-S57)/S57</f>
        <v>0.85714285714285732</v>
      </c>
      <c r="U58" s="127">
        <f t="shared" ref="U58" si="271">(U57-T57)/T57</f>
        <v>0.12820512820512817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>
        <v>0.14000000000000001</v>
      </c>
      <c r="G59" s="124">
        <v>-0.21</v>
      </c>
      <c r="H59" s="124">
        <v>0.14000000000000001</v>
      </c>
      <c r="I59" s="124">
        <f>J59</f>
        <v>-0.15</v>
      </c>
      <c r="J59" s="124">
        <v>-0.15</v>
      </c>
      <c r="K59" s="124">
        <v>0.03</v>
      </c>
      <c r="L59" s="124">
        <v>-1.33</v>
      </c>
      <c r="M59" s="124">
        <v>0.22</v>
      </c>
      <c r="N59" s="124">
        <v>0.49</v>
      </c>
      <c r="O59" s="124">
        <v>0.18</v>
      </c>
      <c r="P59" s="124">
        <v>1.54</v>
      </c>
      <c r="Q59" s="124">
        <v>1.82</v>
      </c>
      <c r="R59" s="124">
        <v>9.65</v>
      </c>
      <c r="S59" s="180">
        <v>20</v>
      </c>
      <c r="T59" s="180">
        <v>38</v>
      </c>
      <c r="U59" s="180">
        <v>1.37</v>
      </c>
      <c r="V59" s="101" t="e">
        <f t="shared" si="2"/>
        <v>#NUM!</v>
      </c>
      <c r="W59" s="21">
        <f t="shared" si="7"/>
        <v>0.15</v>
      </c>
      <c r="X59" s="324">
        <v>38</v>
      </c>
      <c r="Y59" s="130">
        <f t="shared" ref="Y59:AG59" si="272">X59*(1+$W59)</f>
        <v>43.699999999999996</v>
      </c>
      <c r="Z59" s="130">
        <f t="shared" si="272"/>
        <v>50.254999999999988</v>
      </c>
      <c r="AA59" s="130">
        <f t="shared" si="272"/>
        <v>57.793249999999979</v>
      </c>
      <c r="AB59" s="130">
        <f t="shared" si="272"/>
        <v>66.462237499999972</v>
      </c>
      <c r="AC59" s="130">
        <f t="shared" si="272"/>
        <v>76.431573124999957</v>
      </c>
      <c r="AD59" s="130">
        <f t="shared" si="272"/>
        <v>87.896309093749949</v>
      </c>
      <c r="AE59" s="130">
        <f t="shared" si="272"/>
        <v>101.08075545781243</v>
      </c>
      <c r="AF59" s="130">
        <f t="shared" si="272"/>
        <v>116.24286877648429</v>
      </c>
      <c r="AG59" s="130">
        <f t="shared" si="272"/>
        <v>133.67929909295691</v>
      </c>
      <c r="AH59" s="115" t="e">
        <f t="shared" si="20"/>
        <v>#NUM!</v>
      </c>
      <c r="AI59" s="21">
        <f t="shared" si="18"/>
        <v>0.05</v>
      </c>
      <c r="AJ59" s="123">
        <f t="shared" si="1"/>
        <v>825.66625910355742</v>
      </c>
    </row>
    <row r="60" spans="1:36" s="106" customFormat="1">
      <c r="B60" s="13"/>
      <c r="C60" s="125"/>
      <c r="D60" s="125"/>
      <c r="E60" s="126"/>
      <c r="F60" s="268"/>
      <c r="G60" s="268">
        <f>(G59-F59)/G59</f>
        <v>1.6666666666666665</v>
      </c>
      <c r="H60" s="268">
        <f t="shared" ref="H60:P60" si="273">(H59-G59)/H59</f>
        <v>2.4999999999999996</v>
      </c>
      <c r="I60" s="268">
        <f t="shared" si="273"/>
        <v>1.9333333333333336</v>
      </c>
      <c r="J60" s="268">
        <f t="shared" si="273"/>
        <v>0</v>
      </c>
      <c r="K60" s="268">
        <f t="shared" si="273"/>
        <v>6</v>
      </c>
      <c r="L60" s="268">
        <f t="shared" si="273"/>
        <v>1.0225563909774436</v>
      </c>
      <c r="M60" s="268">
        <f t="shared" si="273"/>
        <v>7.0454545454545459</v>
      </c>
      <c r="N60" s="268">
        <f t="shared" si="273"/>
        <v>0.55102040816326536</v>
      </c>
      <c r="O60" s="268">
        <f t="shared" si="273"/>
        <v>-1.7222222222222223</v>
      </c>
      <c r="P60" s="268">
        <f t="shared" si="273"/>
        <v>0.88311688311688319</v>
      </c>
      <c r="Q60" s="268">
        <f t="shared" ref="Q60:R60" si="274">(Q59-P59)/Q59</f>
        <v>0.15384615384615385</v>
      </c>
      <c r="R60" s="268">
        <f t="shared" si="274"/>
        <v>0.81139896373056997</v>
      </c>
      <c r="S60" s="127">
        <f t="shared" ref="S60:U60" si="275">(S59-R59)/R59</f>
        <v>1.0725388601036268</v>
      </c>
      <c r="T60" s="127">
        <f t="shared" si="275"/>
        <v>0.9</v>
      </c>
      <c r="U60" s="127">
        <f t="shared" si="275"/>
        <v>-0.96394736842105266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124">
        <v>0.75</v>
      </c>
      <c r="G61" s="270">
        <v>0.75</v>
      </c>
      <c r="H61" s="270">
        <v>0.75</v>
      </c>
      <c r="I61" s="270">
        <v>0.75</v>
      </c>
      <c r="J61" s="270">
        <v>0.75</v>
      </c>
      <c r="K61" s="270">
        <v>0.75</v>
      </c>
      <c r="L61" s="270">
        <v>0.75</v>
      </c>
      <c r="M61" s="270">
        <v>0.75</v>
      </c>
      <c r="N61" s="270">
        <v>0.75</v>
      </c>
      <c r="O61" s="270">
        <v>0.75</v>
      </c>
      <c r="P61" s="270">
        <v>0.75</v>
      </c>
      <c r="Q61" s="270">
        <v>0.75</v>
      </c>
      <c r="R61" s="270">
        <v>0.75</v>
      </c>
      <c r="S61" s="122">
        <v>1.46</v>
      </c>
      <c r="T61" s="122">
        <v>1.63</v>
      </c>
      <c r="U61" s="122">
        <v>1.63</v>
      </c>
      <c r="V61" s="101">
        <f t="shared" si="2"/>
        <v>5.701330249190284E-2</v>
      </c>
      <c r="W61" s="21">
        <v>0.02</v>
      </c>
      <c r="X61" s="130">
        <f t="shared" si="8"/>
        <v>1.6625999999999999</v>
      </c>
      <c r="Y61" s="130">
        <f>X61*(1+$W61)</f>
        <v>1.6958519999999999</v>
      </c>
      <c r="Z61" s="130">
        <f t="shared" ref="Z61:AG61" si="276">Y61*(1+$W61)</f>
        <v>1.7297690399999999</v>
      </c>
      <c r="AA61" s="130">
        <f t="shared" si="276"/>
        <v>1.7643644208</v>
      </c>
      <c r="AB61" s="130">
        <f t="shared" si="276"/>
        <v>1.799651709216</v>
      </c>
      <c r="AC61" s="130">
        <f t="shared" si="276"/>
        <v>1.83564474340032</v>
      </c>
      <c r="AD61" s="130">
        <f t="shared" si="276"/>
        <v>1.8723576382683265</v>
      </c>
      <c r="AE61" s="130">
        <f t="shared" si="276"/>
        <v>1.909804791033693</v>
      </c>
      <c r="AF61" s="130">
        <f t="shared" si="276"/>
        <v>1.948000886854367</v>
      </c>
      <c r="AG61" s="130">
        <f t="shared" si="276"/>
        <v>1.9869609045914545</v>
      </c>
      <c r="AH61" s="115">
        <f t="shared" si="20"/>
        <v>4.1430603651103848E-2</v>
      </c>
      <c r="AI61" s="21">
        <f t="shared" si="18"/>
        <v>0.05</v>
      </c>
      <c r="AJ61" s="123">
        <f t="shared" si="1"/>
        <v>12.272405587182515</v>
      </c>
    </row>
    <row r="62" spans="1:36">
      <c r="B62" s="10"/>
      <c r="C62" s="119"/>
      <c r="D62" s="119"/>
      <c r="E62" s="120"/>
      <c r="F62" s="268"/>
      <c r="G62" s="268">
        <f t="shared" ref="G62" si="277">(G61-E61)/G61</f>
        <v>1</v>
      </c>
      <c r="H62" s="268">
        <f>(H61-F61)/H61</f>
        <v>0</v>
      </c>
      <c r="I62" s="268">
        <f t="shared" ref="I62:R62" si="278">(I61-H61)/I61</f>
        <v>0</v>
      </c>
      <c r="J62" s="268">
        <f t="shared" si="278"/>
        <v>0</v>
      </c>
      <c r="K62" s="268">
        <f t="shared" si="278"/>
        <v>0</v>
      </c>
      <c r="L62" s="268">
        <f t="shared" si="278"/>
        <v>0</v>
      </c>
      <c r="M62" s="268">
        <f t="shared" si="278"/>
        <v>0</v>
      </c>
      <c r="N62" s="268">
        <f t="shared" si="278"/>
        <v>0</v>
      </c>
      <c r="O62" s="268">
        <f t="shared" si="278"/>
        <v>0</v>
      </c>
      <c r="P62" s="268">
        <f t="shared" si="278"/>
        <v>0</v>
      </c>
      <c r="Q62" s="268">
        <f t="shared" si="278"/>
        <v>0</v>
      </c>
      <c r="R62" s="268">
        <f t="shared" si="278"/>
        <v>0</v>
      </c>
      <c r="S62" s="127">
        <f t="shared" ref="S62:U62" si="279">(S61-R61)/R61</f>
        <v>0.94666666666666666</v>
      </c>
      <c r="T62" s="127">
        <f t="shared" si="279"/>
        <v>0.11643835616438351</v>
      </c>
      <c r="U62" s="127">
        <f t="shared" si="279"/>
        <v>0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>
        <v>0</v>
      </c>
      <c r="G63" s="271">
        <v>0</v>
      </c>
      <c r="H63" s="271">
        <v>0</v>
      </c>
      <c r="I63" s="271">
        <v>0</v>
      </c>
      <c r="J63" s="271">
        <v>0</v>
      </c>
      <c r="K63" s="271">
        <v>0</v>
      </c>
      <c r="L63" s="271">
        <v>0</v>
      </c>
      <c r="M63" s="271">
        <v>0</v>
      </c>
      <c r="N63" s="271">
        <v>0</v>
      </c>
      <c r="O63" s="271">
        <v>0</v>
      </c>
      <c r="P63" s="271">
        <v>0</v>
      </c>
      <c r="Q63" s="271">
        <v>0</v>
      </c>
      <c r="R63" s="271">
        <v>1</v>
      </c>
      <c r="S63" s="271">
        <v>1.5</v>
      </c>
      <c r="T63" s="271">
        <v>1.5</v>
      </c>
      <c r="U63" s="271">
        <v>0.5</v>
      </c>
      <c r="V63" s="101" t="e">
        <f t="shared" si="2"/>
        <v>#DIV/0!</v>
      </c>
      <c r="W63" s="21">
        <v>0.02</v>
      </c>
      <c r="X63" s="130">
        <f t="shared" si="8"/>
        <v>0.51</v>
      </c>
      <c r="Y63" s="130">
        <f t="shared" ref="Y63" si="280">X63*(1+$W63)</f>
        <v>0.5202</v>
      </c>
      <c r="Z63" s="130">
        <f t="shared" ref="Z63" si="281">Y63*(1+$W63)</f>
        <v>0.53060399999999996</v>
      </c>
      <c r="AA63" s="130">
        <f t="shared" ref="AA63" si="282">Z63*(1+$W63)</f>
        <v>0.54121607999999999</v>
      </c>
      <c r="AB63" s="130">
        <f t="shared" ref="AB63" si="283">AA63*(1+$W63)</f>
        <v>0.55204040160000001</v>
      </c>
      <c r="AC63" s="130">
        <f t="shared" ref="AC63" si="284">AB63*(1+$W63)</f>
        <v>0.56308120963200003</v>
      </c>
      <c r="AD63" s="130">
        <f t="shared" ref="AD63" si="285">AC63*(1+$W63)</f>
        <v>0.57434283382464002</v>
      </c>
      <c r="AE63" s="130">
        <f t="shared" ref="AE63" si="286">AD63*(1+$W63)</f>
        <v>0.58582969050113287</v>
      </c>
      <c r="AF63" s="130">
        <f t="shared" ref="AF63" si="287">AE63*(1+$W63)</f>
        <v>0.59754628431115553</v>
      </c>
      <c r="AG63" s="130">
        <f t="shared" ref="AG63" si="288">AF63*(1+$W63)</f>
        <v>0.60949720999737866</v>
      </c>
      <c r="AH63" s="115" t="e">
        <f t="shared" ref="AH63" si="289">((AG63/J63)^(1/($AG$3-$K$1) ))-1</f>
        <v>#DIV/0!</v>
      </c>
      <c r="AI63" s="21">
        <f t="shared" si="18"/>
        <v>0.05</v>
      </c>
      <c r="AJ63" s="123">
        <f t="shared" si="1"/>
        <v>3.7645415911602802</v>
      </c>
    </row>
    <row r="64" spans="1:36">
      <c r="B64" s="10"/>
      <c r="C64" s="122"/>
      <c r="D64" s="122"/>
      <c r="E64" s="122"/>
      <c r="F64" s="127"/>
      <c r="G64" s="127" t="e">
        <f t="shared" ref="G64" si="290">(G63-E63)/E63</f>
        <v>#DIV/0!</v>
      </c>
      <c r="H64" s="127" t="e">
        <f t="shared" ref="H64" si="291">(H63-F63)/F63</f>
        <v>#DIV/0!</v>
      </c>
      <c r="I64" s="127" t="e">
        <f t="shared" ref="I64" si="292">(I63-H63)/H63</f>
        <v>#DIV/0!</v>
      </c>
      <c r="J64" s="127" t="e">
        <f t="shared" ref="J64:U64" si="293">(J63-I63)/I63</f>
        <v>#DIV/0!</v>
      </c>
      <c r="K64" s="127" t="e">
        <f t="shared" si="293"/>
        <v>#DIV/0!</v>
      </c>
      <c r="L64" s="127" t="e">
        <f t="shared" si="293"/>
        <v>#DIV/0!</v>
      </c>
      <c r="M64" s="127" t="e">
        <f t="shared" si="293"/>
        <v>#DIV/0!</v>
      </c>
      <c r="N64" s="127" t="e">
        <f t="shared" si="293"/>
        <v>#DIV/0!</v>
      </c>
      <c r="O64" s="127" t="e">
        <f t="shared" si="293"/>
        <v>#DIV/0!</v>
      </c>
      <c r="P64" s="127" t="e">
        <f t="shared" si="293"/>
        <v>#DIV/0!</v>
      </c>
      <c r="Q64" s="127" t="e">
        <f t="shared" si="293"/>
        <v>#DIV/0!</v>
      </c>
      <c r="R64" s="127" t="e">
        <f t="shared" si="293"/>
        <v>#DIV/0!</v>
      </c>
      <c r="S64" s="127">
        <f t="shared" si="293"/>
        <v>0.5</v>
      </c>
      <c r="T64" s="127">
        <f t="shared" si="293"/>
        <v>0</v>
      </c>
      <c r="U64" s="127">
        <f t="shared" si="293"/>
        <v>-0.66666666666666663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94">G25/G61</f>
        <v>2.9866666666666668</v>
      </c>
      <c r="H70" s="111">
        <f t="shared" ref="H70:I70" si="295">H25/H61</f>
        <v>3.8666666666666667</v>
      </c>
      <c r="I70" s="111">
        <f t="shared" si="295"/>
        <v>4.9066666666666672</v>
      </c>
      <c r="J70" s="111">
        <f t="shared" ref="J70:S70" si="296">J25/J61</f>
        <v>4.9066666666666672</v>
      </c>
      <c r="K70" s="111">
        <f t="shared" si="296"/>
        <v>4.28</v>
      </c>
      <c r="L70" s="111">
        <f t="shared" si="296"/>
        <v>2.2399999999999998</v>
      </c>
      <c r="M70" s="111">
        <f t="shared" si="296"/>
        <v>5.1866666666666665</v>
      </c>
      <c r="N70" s="111">
        <f t="shared" si="296"/>
        <v>9.7999999999999989</v>
      </c>
      <c r="O70" s="111">
        <f t="shared" si="296"/>
        <v>7.6933333333333325</v>
      </c>
      <c r="P70" s="111">
        <f t="shared" si="296"/>
        <v>12</v>
      </c>
      <c r="Q70" s="111">
        <f t="shared" si="296"/>
        <v>24</v>
      </c>
      <c r="R70" s="111">
        <f t="shared" si="296"/>
        <v>53.333333333333336</v>
      </c>
      <c r="S70" s="111">
        <f t="shared" si="296"/>
        <v>41.780821917808218</v>
      </c>
      <c r="T70" s="111">
        <f t="shared" ref="T70:U70" si="297">T25/T61</f>
        <v>76.687116564417181</v>
      </c>
      <c r="U70" s="111">
        <f t="shared" si="297"/>
        <v>111.65644171779142</v>
      </c>
      <c r="V70" s="101">
        <f t="shared" si="2"/>
        <v>0.29519602250254162</v>
      </c>
      <c r="W70" s="109"/>
      <c r="X70" s="134">
        <f t="shared" ref="X70:AG70" si="298">X25/X61</f>
        <v>125.88716468182365</v>
      </c>
      <c r="Y70" s="134">
        <f t="shared" si="298"/>
        <v>141.93160723931098</v>
      </c>
      <c r="Z70" s="134">
        <f t="shared" si="298"/>
        <v>160.02092973059567</v>
      </c>
      <c r="AA70" s="134">
        <f t="shared" si="298"/>
        <v>180.41575410802452</v>
      </c>
      <c r="AB70" s="134">
        <f t="shared" si="298"/>
        <v>203.40991884728254</v>
      </c>
      <c r="AC70" s="134">
        <f t="shared" si="298"/>
        <v>229.33471242585776</v>
      </c>
      <c r="AD70" s="134">
        <f t="shared" si="298"/>
        <v>258.56364636248668</v>
      </c>
      <c r="AE70" s="134">
        <f t="shared" si="298"/>
        <v>291.51783658515649</v>
      </c>
      <c r="AF70" s="134">
        <f t="shared" si="298"/>
        <v>328.67207065973525</v>
      </c>
      <c r="AG70" s="134">
        <f t="shared" si="298"/>
        <v>370.5616482928387</v>
      </c>
      <c r="AH70" s="115">
        <f t="shared" ref="AH70" si="299">((AG70/J70)^(1/($AG$3-$K$1) ))-1</f>
        <v>0.19743812034450792</v>
      </c>
      <c r="AI70" s="21">
        <f t="shared" si="18"/>
        <v>0.05</v>
      </c>
      <c r="AJ70" s="123">
        <f t="shared" ref="AJ70:AJ71" si="300">(AG70*(1+AI70))/($C$1-AI70)</f>
        <v>2288.7631218087099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301">G27/G61</f>
        <v>2.9333333333333336</v>
      </c>
      <c r="H71" s="111">
        <f t="shared" ref="H71:I71" si="302">H27/H61</f>
        <v>2.9466666666666668</v>
      </c>
      <c r="I71" s="111">
        <f t="shared" si="302"/>
        <v>4.04</v>
      </c>
      <c r="J71" s="111">
        <f t="shared" ref="J71:S71" si="303">J27/J61</f>
        <v>4.04</v>
      </c>
      <c r="K71" s="111">
        <f t="shared" si="303"/>
        <v>3.0933333333333333</v>
      </c>
      <c r="L71" s="111">
        <f t="shared" si="303"/>
        <v>3.4666666666666668</v>
      </c>
      <c r="M71" s="111">
        <f t="shared" si="303"/>
        <v>4.24</v>
      </c>
      <c r="N71" s="111">
        <f t="shared" si="303"/>
        <v>6.5466666666666669</v>
      </c>
      <c r="O71" s="111">
        <f t="shared" si="303"/>
        <v>5.1733333333333329</v>
      </c>
      <c r="P71" s="111">
        <f t="shared" si="303"/>
        <v>5.626666666666666</v>
      </c>
      <c r="Q71" s="111">
        <f t="shared" si="303"/>
        <v>10.666666666666666</v>
      </c>
      <c r="R71" s="111">
        <f t="shared" si="303"/>
        <v>14.666666666666666</v>
      </c>
      <c r="S71" s="111">
        <f t="shared" si="303"/>
        <v>12.328767123287671</v>
      </c>
      <c r="T71" s="111">
        <f t="shared" ref="T71:U71" si="304">T27/T61</f>
        <v>23.926380368098162</v>
      </c>
      <c r="U71" s="111">
        <f t="shared" si="304"/>
        <v>66.871165644171782</v>
      </c>
      <c r="V71" s="101">
        <f t="shared" si="2"/>
        <v>0.25023383581497338</v>
      </c>
      <c r="W71" s="109"/>
      <c r="X71" s="134">
        <f t="shared" ref="X71:AG71" si="305">X27/X61</f>
        <v>75.393961265487789</v>
      </c>
      <c r="Y71" s="134">
        <f t="shared" si="305"/>
        <v>85.002995544422504</v>
      </c>
      <c r="Z71" s="134">
        <f t="shared" si="305"/>
        <v>95.83671066282929</v>
      </c>
      <c r="AA71" s="134">
        <f t="shared" si="305"/>
        <v>108.05119339436634</v>
      </c>
      <c r="AB71" s="134">
        <f t="shared" si="305"/>
        <v>121.82242392502086</v>
      </c>
      <c r="AC71" s="134">
        <f t="shared" si="305"/>
        <v>137.34881128801371</v>
      </c>
      <c r="AD71" s="134">
        <f t="shared" si="305"/>
        <v>154.85405194236836</v>
      </c>
      <c r="AE71" s="134">
        <f t="shared" si="305"/>
        <v>174.59035268012116</v>
      </c>
      <c r="AF71" s="134">
        <f t="shared" si="305"/>
        <v>196.842064296215</v>
      </c>
      <c r="AG71" s="134">
        <f t="shared" si="305"/>
        <v>221.92977837318355</v>
      </c>
      <c r="AH71" s="115">
        <f t="shared" ref="AH71" si="306">((AG71/J71)^(1/($AG$3-$K$1) ))-1</f>
        <v>0.18166151730166091</v>
      </c>
      <c r="AI71" s="21">
        <f t="shared" si="18"/>
        <v>0.05</v>
      </c>
      <c r="AJ71" s="123">
        <f t="shared" si="300"/>
        <v>1370.7427487755456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307">G55-G59</f>
        <v>0.78999999999999992</v>
      </c>
      <c r="H72" s="111">
        <f t="shared" ref="H72:I72" si="308">H55-H59</f>
        <v>7.9999999999999988E-2</v>
      </c>
      <c r="I72" s="111">
        <f t="shared" si="308"/>
        <v>9.9999999999999811E-3</v>
      </c>
      <c r="J72" s="111">
        <f>J55-J59</f>
        <v>9.9999999999999811E-3</v>
      </c>
      <c r="K72" s="111">
        <f t="shared" ref="K72:S72" si="309">K55-K59</f>
        <v>0.03</v>
      </c>
      <c r="L72" s="111">
        <f t="shared" si="309"/>
        <v>4.0000000000000036E-2</v>
      </c>
      <c r="M72" s="111">
        <f t="shared" si="309"/>
        <v>6.9999999999999979E-2</v>
      </c>
      <c r="N72" s="111">
        <f t="shared" si="309"/>
        <v>0.10999999999999999</v>
      </c>
      <c r="O72" s="111">
        <f t="shared" si="309"/>
        <v>0.03</v>
      </c>
      <c r="P72" s="111">
        <f t="shared" si="309"/>
        <v>0</v>
      </c>
      <c r="Q72" s="111">
        <f t="shared" si="309"/>
        <v>1.18</v>
      </c>
      <c r="R72" s="111">
        <f t="shared" si="309"/>
        <v>4.3499999999999996</v>
      </c>
      <c r="S72" s="111">
        <f t="shared" si="309"/>
        <v>11</v>
      </c>
      <c r="T72" s="111">
        <f t="shared" ref="T72:U72" si="310">T55-T59</f>
        <v>19</v>
      </c>
      <c r="U72" s="111">
        <f t="shared" si="310"/>
        <v>5.63</v>
      </c>
      <c r="V72" s="101">
        <f t="shared" si="2"/>
        <v>0.15058866988504316</v>
      </c>
      <c r="W72" s="109"/>
      <c r="X72" s="111">
        <f t="shared" ref="X72:AG72" si="311">X55-X59</f>
        <v>-29.950000000000003</v>
      </c>
      <c r="Y72" s="111">
        <f t="shared" si="311"/>
        <v>-34.442499999999995</v>
      </c>
      <c r="Z72" s="111">
        <f t="shared" si="311"/>
        <v>-39.608874999999991</v>
      </c>
      <c r="AA72" s="111">
        <f t="shared" si="311"/>
        <v>-45.550206249999981</v>
      </c>
      <c r="AB72" s="111">
        <f t="shared" si="311"/>
        <v>-52.382737187499977</v>
      </c>
      <c r="AC72" s="111">
        <f t="shared" si="311"/>
        <v>-60.240147765624968</v>
      </c>
      <c r="AD72" s="111">
        <f t="shared" si="311"/>
        <v>-69.276169930468711</v>
      </c>
      <c r="AE72" s="111">
        <f t="shared" si="311"/>
        <v>-79.667595420039007</v>
      </c>
      <c r="AF72" s="111">
        <f t="shared" si="311"/>
        <v>-91.617734733044841</v>
      </c>
      <c r="AG72" s="111">
        <f t="shared" si="311"/>
        <v>-105.36039494300155</v>
      </c>
      <c r="AH72" s="115" t="e">
        <f t="shared" ref="AH72" si="312">((AG72/J72)^(1/($AG$3-$K$1) ))-1</f>
        <v>#NUM!</v>
      </c>
      <c r="AI72" s="21">
        <f t="shared" si="18"/>
        <v>0.05</v>
      </c>
      <c r="AJ72" s="123">
        <f t="shared" ref="AJ72" si="313">(AG72*(1+AI72))/($C$1-AI72)</f>
        <v>-650.7553805303038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314">G53/G61</f>
        <v>0.26666666666666666</v>
      </c>
      <c r="H74" s="15">
        <f t="shared" ref="H74:I74" si="315">H53/H61</f>
        <v>0.26666666666666666</v>
      </c>
      <c r="I74" s="15">
        <f t="shared" si="315"/>
        <v>0.37333333333333335</v>
      </c>
      <c r="J74" s="15">
        <f t="shared" ref="J74:S74" si="316">J53/J61</f>
        <v>0.37333333333333335</v>
      </c>
      <c r="K74" s="15">
        <f t="shared" si="316"/>
        <v>0.8666666666666667</v>
      </c>
      <c r="L74" s="15">
        <f t="shared" si="316"/>
        <v>-1.64</v>
      </c>
      <c r="M74" s="15">
        <f t="shared" si="316"/>
        <v>0.10666666666666667</v>
      </c>
      <c r="N74" s="15">
        <f t="shared" si="316"/>
        <v>3.0266666666666668</v>
      </c>
      <c r="O74" s="15">
        <f t="shared" si="316"/>
        <v>2.12</v>
      </c>
      <c r="P74" s="15">
        <f t="shared" si="316"/>
        <v>6.3599999999999994</v>
      </c>
      <c r="Q74" s="15">
        <f t="shared" si="316"/>
        <v>12</v>
      </c>
      <c r="R74" s="15">
        <f t="shared" si="316"/>
        <v>34.666666666666664</v>
      </c>
      <c r="S74" s="15">
        <f t="shared" si="316"/>
        <v>24.657534246575342</v>
      </c>
      <c r="T74" s="15">
        <f>T53/T61</f>
        <v>49.693251533742334</v>
      </c>
      <c r="U74" s="15">
        <f>U53/U61</f>
        <v>41.717791411042946</v>
      </c>
      <c r="V74" s="101">
        <f t="shared" si="2"/>
        <v>0.43462855132410483</v>
      </c>
      <c r="W74" s="109"/>
      <c r="X74" s="96">
        <f>X53/X61</f>
        <v>47.034764826175866</v>
      </c>
      <c r="Y74" s="96">
        <f t="shared" ref="Y74:AG74" si="317">Y53/Y61</f>
        <v>53.02939171578651</v>
      </c>
      <c r="Z74" s="96">
        <f t="shared" si="317"/>
        <v>59.788039679563219</v>
      </c>
      <c r="AA74" s="96">
        <f t="shared" si="317"/>
        <v>67.40808395244872</v>
      </c>
      <c r="AB74" s="96">
        <f t="shared" si="317"/>
        <v>75.999310338545115</v>
      </c>
      <c r="AC74" s="96">
        <f t="shared" si="317"/>
        <v>85.68549695032047</v>
      </c>
      <c r="AD74" s="96">
        <f t="shared" si="317"/>
        <v>96.606197542027971</v>
      </c>
      <c r="AE74" s="96">
        <f t="shared" si="317"/>
        <v>108.91875213071781</v>
      </c>
      <c r="AF74" s="96">
        <f t="shared" si="317"/>
        <v>122.80055387286809</v>
      </c>
      <c r="AG74" s="96">
        <f t="shared" si="317"/>
        <v>138.451604856665</v>
      </c>
      <c r="AH74" s="115">
        <f t="shared" ref="AH74:AH75" si="318">((AG74/J74)^(1/($AG$3-$K$1) ))-1</f>
        <v>0.27952875738865823</v>
      </c>
      <c r="AI74" s="21">
        <f t="shared" si="18"/>
        <v>0.05</v>
      </c>
      <c r="AJ74" s="123">
        <f t="shared" ref="AJ74:AJ75" si="319">(AG74*(1+AI74))/($C$1-AI74)</f>
        <v>855.14226529116627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320">G55/G61</f>
        <v>0.77333333333333332</v>
      </c>
      <c r="H75" s="15">
        <f t="shared" ref="H75:I75" si="321">H55/H61</f>
        <v>0.29333333333333333</v>
      </c>
      <c r="I75" s="15">
        <f t="shared" si="321"/>
        <v>-0.18666666666666668</v>
      </c>
      <c r="J75" s="15">
        <f t="shared" ref="J75:S75" si="322">J55/J61</f>
        <v>-0.18666666666666668</v>
      </c>
      <c r="K75" s="15">
        <f t="shared" si="322"/>
        <v>0.08</v>
      </c>
      <c r="L75" s="15">
        <f t="shared" si="322"/>
        <v>-1.72</v>
      </c>
      <c r="M75" s="15">
        <f t="shared" si="322"/>
        <v>0.38666666666666666</v>
      </c>
      <c r="N75" s="15">
        <f t="shared" si="322"/>
        <v>0.79999999999999993</v>
      </c>
      <c r="O75" s="15">
        <f t="shared" si="322"/>
        <v>0.27999999999999997</v>
      </c>
      <c r="P75" s="15">
        <f t="shared" si="322"/>
        <v>2.0533333333333332</v>
      </c>
      <c r="Q75" s="15">
        <f t="shared" si="322"/>
        <v>4</v>
      </c>
      <c r="R75" s="15">
        <f t="shared" si="322"/>
        <v>18.666666666666668</v>
      </c>
      <c r="S75" s="15">
        <f t="shared" si="322"/>
        <v>21.232876712328768</v>
      </c>
      <c r="T75" s="15">
        <f>T55/T61</f>
        <v>34.969325153374236</v>
      </c>
      <c r="U75" s="15">
        <f>U55/U61</f>
        <v>4.294478527607362</v>
      </c>
      <c r="V75" s="101">
        <f t="shared" ref="V75:V138" si="323">((U75/G75)^(1/($K$2-$K$1) ))-1</f>
        <v>0.13026867967746814</v>
      </c>
      <c r="W75" s="109"/>
      <c r="X75" s="96">
        <f>X55/X61</f>
        <v>4.8418140262239859</v>
      </c>
      <c r="Y75" s="96">
        <f t="shared" ref="Y75:AG75" si="324">Y55/Y61</f>
        <v>5.4589079707427297</v>
      </c>
      <c r="Z75" s="96">
        <f t="shared" si="324"/>
        <v>6.1546511434844495</v>
      </c>
      <c r="AA75" s="96">
        <f t="shared" si="324"/>
        <v>6.9390674656932507</v>
      </c>
      <c r="AB75" s="96">
        <f t="shared" si="324"/>
        <v>7.8234584172031747</v>
      </c>
      <c r="AC75" s="96">
        <f t="shared" si="324"/>
        <v>8.8205658625329892</v>
      </c>
      <c r="AD75" s="96">
        <f t="shared" si="324"/>
        <v>9.9447556293264103</v>
      </c>
      <c r="AE75" s="96">
        <f t="shared" si="324"/>
        <v>11.21222448404448</v>
      </c>
      <c r="AF75" s="96">
        <f t="shared" si="324"/>
        <v>12.641233486912894</v>
      </c>
      <c r="AG75" s="96">
        <f t="shared" si="324"/>
        <v>14.252371088186102</v>
      </c>
      <c r="AH75" s="115" t="e">
        <f t="shared" si="318"/>
        <v>#NUM!</v>
      </c>
      <c r="AI75" s="21">
        <f t="shared" si="18"/>
        <v>0.05</v>
      </c>
      <c r="AJ75" s="123">
        <f t="shared" si="319"/>
        <v>88.029350838796518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325">G59/G61</f>
        <v>-0.27999999999999997</v>
      </c>
      <c r="H76" s="111">
        <f t="shared" ref="H76:I76" si="326">H59/H61</f>
        <v>0.18666666666666668</v>
      </c>
      <c r="I76" s="111">
        <f t="shared" si="326"/>
        <v>-0.19999999999999998</v>
      </c>
      <c r="J76" s="111">
        <f t="shared" ref="J76:S76" si="327">J59/J61</f>
        <v>-0.19999999999999998</v>
      </c>
      <c r="K76" s="111">
        <f t="shared" si="327"/>
        <v>0.04</v>
      </c>
      <c r="L76" s="111">
        <f t="shared" si="327"/>
        <v>-1.7733333333333334</v>
      </c>
      <c r="M76" s="111">
        <f t="shared" si="327"/>
        <v>0.29333333333333333</v>
      </c>
      <c r="N76" s="111">
        <f t="shared" si="327"/>
        <v>0.65333333333333332</v>
      </c>
      <c r="O76" s="111">
        <f t="shared" si="327"/>
        <v>0.24</v>
      </c>
      <c r="P76" s="111">
        <f t="shared" si="327"/>
        <v>2.0533333333333332</v>
      </c>
      <c r="Q76" s="111">
        <f t="shared" si="327"/>
        <v>2.4266666666666667</v>
      </c>
      <c r="R76" s="111">
        <f t="shared" si="327"/>
        <v>12.866666666666667</v>
      </c>
      <c r="S76" s="111">
        <f t="shared" si="327"/>
        <v>13.698630136986301</v>
      </c>
      <c r="T76" s="111">
        <f t="shared" ref="T76:U76" si="328">T59/T61</f>
        <v>23.312883435582823</v>
      </c>
      <c r="U76" s="111">
        <f t="shared" si="328"/>
        <v>0.84049079754601241</v>
      </c>
      <c r="V76" s="101" t="e">
        <f t="shared" si="323"/>
        <v>#NUM!</v>
      </c>
      <c r="W76" s="109"/>
      <c r="X76" s="134">
        <f t="shared" ref="X76:AG76" si="329">X59/X61</f>
        <v>22.855768074100808</v>
      </c>
      <c r="Y76" s="134">
        <f t="shared" si="329"/>
        <v>25.768758122760712</v>
      </c>
      <c r="Z76" s="134">
        <f t="shared" si="329"/>
        <v>29.053011608994918</v>
      </c>
      <c r="AA76" s="134">
        <f t="shared" si="329"/>
        <v>32.755846421906028</v>
      </c>
      <c r="AB76" s="134">
        <f t="shared" si="329"/>
        <v>36.930611161952868</v>
      </c>
      <c r="AC76" s="134">
        <f t="shared" si="329"/>
        <v>41.637453761025291</v>
      </c>
      <c r="AD76" s="134">
        <f t="shared" si="329"/>
        <v>46.944188063901059</v>
      </c>
      <c r="AE76" s="134">
        <f t="shared" si="329"/>
        <v>52.92727085635903</v>
      </c>
      <c r="AF76" s="134">
        <f t="shared" si="329"/>
        <v>59.672903416483216</v>
      </c>
      <c r="AG76" s="134">
        <f t="shared" si="329"/>
        <v>67.27827345976047</v>
      </c>
      <c r="AH76" s="115" t="e">
        <f t="shared" ref="AH76:AH90" si="330">((AG76/J76)^(1/($AG$3-$K$1) ))-1</f>
        <v>#NUM!</v>
      </c>
      <c r="AI76" s="21">
        <f t="shared" si="18"/>
        <v>0.05</v>
      </c>
      <c r="AJ76" s="123">
        <f t="shared" ref="AJ76:AJ104" si="331">(AG76*(1+AI76))/($C$1-AI76)</f>
        <v>415.54227725146183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332">G20/G61</f>
        <v>0</v>
      </c>
      <c r="H77" s="111">
        <f t="shared" ref="H77:I77" si="333">H20/H61</f>
        <v>0</v>
      </c>
      <c r="I77" s="111">
        <f t="shared" si="333"/>
        <v>0</v>
      </c>
      <c r="J77" s="111">
        <f>J20/J61</f>
        <v>0</v>
      </c>
      <c r="K77" s="111">
        <f t="shared" ref="K77:S77" si="334">K20/K61</f>
        <v>0</v>
      </c>
      <c r="L77" s="111">
        <f t="shared" si="334"/>
        <v>0</v>
      </c>
      <c r="M77" s="111">
        <f t="shared" si="334"/>
        <v>0</v>
      </c>
      <c r="N77" s="111">
        <f t="shared" si="334"/>
        <v>0</v>
      </c>
      <c r="O77" s="111">
        <f t="shared" si="334"/>
        <v>0</v>
      </c>
      <c r="P77" s="111">
        <f t="shared" si="334"/>
        <v>0</v>
      </c>
      <c r="Q77" s="111">
        <f t="shared" si="334"/>
        <v>0</v>
      </c>
      <c r="R77" s="111">
        <f t="shared" si="334"/>
        <v>0</v>
      </c>
      <c r="S77" s="111">
        <f t="shared" si="334"/>
        <v>0</v>
      </c>
      <c r="T77" s="111">
        <f t="shared" ref="T77:U77" si="335">T20/T61</f>
        <v>0</v>
      </c>
      <c r="U77" s="111">
        <f t="shared" si="335"/>
        <v>0</v>
      </c>
      <c r="V77" s="101" t="e">
        <f t="shared" si="323"/>
        <v>#DIV/0!</v>
      </c>
      <c r="W77" s="109"/>
      <c r="X77" s="111">
        <f t="shared" ref="X77:AG77" si="336">X20/X61</f>
        <v>0</v>
      </c>
      <c r="Y77" s="111">
        <f t="shared" si="336"/>
        <v>0</v>
      </c>
      <c r="Z77" s="111">
        <f t="shared" si="336"/>
        <v>0</v>
      </c>
      <c r="AA77" s="111">
        <f t="shared" si="336"/>
        <v>0</v>
      </c>
      <c r="AB77" s="111">
        <f t="shared" si="336"/>
        <v>0</v>
      </c>
      <c r="AC77" s="111">
        <f t="shared" si="336"/>
        <v>0</v>
      </c>
      <c r="AD77" s="111">
        <f t="shared" si="336"/>
        <v>0</v>
      </c>
      <c r="AE77" s="111">
        <f t="shared" si="336"/>
        <v>0</v>
      </c>
      <c r="AF77" s="111">
        <f t="shared" si="336"/>
        <v>0</v>
      </c>
      <c r="AG77" s="111">
        <f t="shared" si="336"/>
        <v>0</v>
      </c>
      <c r="AH77" s="115" t="e">
        <f t="shared" ref="AH77" si="337">((AG77/J77)^(1/($AG$3-$K$1) ))-1</f>
        <v>#DIV/0!</v>
      </c>
      <c r="AI77" s="21">
        <f t="shared" si="18"/>
        <v>0.05</v>
      </c>
      <c r="AJ77" s="123">
        <f t="shared" si="331"/>
        <v>0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338">G7/G61</f>
        <v>10.893333333333333</v>
      </c>
      <c r="H78" s="111">
        <f t="shared" ref="H78:I78" si="339">H7/H61</f>
        <v>11.08</v>
      </c>
      <c r="I78" s="111">
        <f t="shared" si="339"/>
        <v>11</v>
      </c>
      <c r="J78" s="111">
        <f t="shared" ref="J78:S78" si="340">J7/J61</f>
        <v>11</v>
      </c>
      <c r="K78" s="111">
        <f t="shared" si="340"/>
        <v>11.026666666666666</v>
      </c>
      <c r="L78" s="111">
        <f t="shared" si="340"/>
        <v>9.3333333333333339</v>
      </c>
      <c r="M78" s="111">
        <f t="shared" si="340"/>
        <v>9.3333333333333339</v>
      </c>
      <c r="N78" s="111">
        <f t="shared" si="340"/>
        <v>10.133333333333333</v>
      </c>
      <c r="O78" s="111">
        <f t="shared" si="340"/>
        <v>10.453333333333333</v>
      </c>
      <c r="P78" s="111">
        <f t="shared" si="340"/>
        <v>12.506666666666668</v>
      </c>
      <c r="Q78" s="111">
        <f t="shared" si="340"/>
        <v>18.666666666666668</v>
      </c>
      <c r="R78" s="111">
        <f t="shared" si="340"/>
        <v>29.333333333333332</v>
      </c>
      <c r="S78" s="111">
        <f t="shared" si="340"/>
        <v>109.58904109589041</v>
      </c>
      <c r="T78" s="111">
        <f t="shared" ref="T78:U78" si="341">T7/T61</f>
        <v>134.96932515337423</v>
      </c>
      <c r="U78" s="111">
        <f t="shared" si="341"/>
        <v>133.74233128834356</v>
      </c>
      <c r="V78" s="101">
        <f t="shared" si="323"/>
        <v>0.19617145797041102</v>
      </c>
      <c r="W78" s="109"/>
      <c r="X78" s="134">
        <f t="shared" ref="X78:AG78" si="342">X7/X61</f>
        <v>150.78792253097558</v>
      </c>
      <c r="Y78" s="134">
        <f t="shared" si="342"/>
        <v>170.00599108884501</v>
      </c>
      <c r="Z78" s="134">
        <f t="shared" si="342"/>
        <v>191.67342132565858</v>
      </c>
      <c r="AA78" s="134">
        <f t="shared" si="342"/>
        <v>216.10238678873267</v>
      </c>
      <c r="AB78" s="134">
        <f t="shared" si="342"/>
        <v>243.64484785004171</v>
      </c>
      <c r="AC78" s="134">
        <f t="shared" si="342"/>
        <v>274.69762257602741</v>
      </c>
      <c r="AD78" s="134">
        <f t="shared" si="342"/>
        <v>309.70810388473672</v>
      </c>
      <c r="AE78" s="134">
        <f t="shared" si="342"/>
        <v>349.18070536024231</v>
      </c>
      <c r="AF78" s="134">
        <f t="shared" si="342"/>
        <v>393.68412859243</v>
      </c>
      <c r="AG78" s="134">
        <f t="shared" si="342"/>
        <v>443.8595567463671</v>
      </c>
      <c r="AH78" s="115">
        <f t="shared" si="330"/>
        <v>0.16656928372256674</v>
      </c>
      <c r="AI78" s="21">
        <f t="shared" si="18"/>
        <v>0.05</v>
      </c>
      <c r="AJ78" s="123">
        <f t="shared" si="331"/>
        <v>2741.4854975510912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343">G6/G61</f>
        <v>0.89333333333333342</v>
      </c>
      <c r="H79" s="121">
        <f t="shared" ref="H79:I79" si="344">H6/H61</f>
        <v>1.0666666666666667</v>
      </c>
      <c r="I79" s="121">
        <f t="shared" si="344"/>
        <v>1</v>
      </c>
      <c r="J79" s="121">
        <f t="shared" ref="J79:S79" si="345">J6/J61</f>
        <v>1</v>
      </c>
      <c r="K79" s="121">
        <f t="shared" si="345"/>
        <v>1.0266666666666666</v>
      </c>
      <c r="L79" s="121">
        <f t="shared" si="345"/>
        <v>-0.73333333333333339</v>
      </c>
      <c r="M79" s="121">
        <f t="shared" si="345"/>
        <v>-4.4000000000000004E-2</v>
      </c>
      <c r="N79" s="121">
        <f t="shared" si="345"/>
        <v>0.21333333333333335</v>
      </c>
      <c r="O79" s="121">
        <f t="shared" si="345"/>
        <v>0.45333333333333337</v>
      </c>
      <c r="P79" s="121">
        <f t="shared" si="345"/>
        <v>2.5066666666666664</v>
      </c>
      <c r="Q79" s="121">
        <f t="shared" si="345"/>
        <v>4</v>
      </c>
      <c r="R79" s="121">
        <f t="shared" si="345"/>
        <v>14.666666666666666</v>
      </c>
      <c r="S79" s="121">
        <f t="shared" si="345"/>
        <v>93.150684931506845</v>
      </c>
      <c r="T79" s="121">
        <f t="shared" ref="T79:U79" si="346">T6/T61</f>
        <v>125.15337423312884</v>
      </c>
      <c r="U79" s="121">
        <f t="shared" si="346"/>
        <v>123.92638036809817</v>
      </c>
      <c r="V79" s="101">
        <f t="shared" si="323"/>
        <v>0.42236393000298111</v>
      </c>
      <c r="W79" s="109"/>
      <c r="X79" s="133">
        <f t="shared" ref="X79:AG79" si="347">X6/X61</f>
        <v>139.72091904246361</v>
      </c>
      <c r="Y79" s="133">
        <f t="shared" si="347"/>
        <v>157.52848715571878</v>
      </c>
      <c r="Z79" s="133">
        <f t="shared" si="347"/>
        <v>177.60564728340839</v>
      </c>
      <c r="AA79" s="133">
        <f t="shared" si="347"/>
        <v>200.24166115286238</v>
      </c>
      <c r="AB79" s="133">
        <f t="shared" si="347"/>
        <v>225.76265718214873</v>
      </c>
      <c r="AC79" s="133">
        <f t="shared" si="347"/>
        <v>254.53632917595198</v>
      </c>
      <c r="AD79" s="133">
        <f t="shared" si="347"/>
        <v>286.9772338748478</v>
      </c>
      <c r="AE79" s="133">
        <f t="shared" si="347"/>
        <v>323.55276368242642</v>
      </c>
      <c r="AF79" s="133">
        <f t="shared" si="347"/>
        <v>364.78988062234345</v>
      </c>
      <c r="AG79" s="133">
        <f t="shared" si="347"/>
        <v>411.28270854479894</v>
      </c>
      <c r="AH79" s="115">
        <f t="shared" si="330"/>
        <v>0.28505737615825089</v>
      </c>
      <c r="AI79" s="21">
        <f t="shared" si="18"/>
        <v>0.05</v>
      </c>
      <c r="AJ79" s="123">
        <f t="shared" si="331"/>
        <v>2540.2755527766999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348">G10/G61</f>
        <v>4.5066666666666668</v>
      </c>
      <c r="H80" s="121">
        <f t="shared" ref="H80:I80" si="349">H10/H61</f>
        <v>2.6933333333333334</v>
      </c>
      <c r="I80" s="121">
        <f t="shared" si="349"/>
        <v>4.3600000000000003</v>
      </c>
      <c r="J80" s="121">
        <f t="shared" ref="J80:S80" si="350">J10/J61</f>
        <v>4.3600000000000003</v>
      </c>
      <c r="K80" s="121">
        <f t="shared" si="350"/>
        <v>0.41333333333333333</v>
      </c>
      <c r="L80" s="121">
        <f t="shared" si="350"/>
        <v>2.08</v>
      </c>
      <c r="M80" s="121">
        <f t="shared" si="350"/>
        <v>9.1733333333333338</v>
      </c>
      <c r="N80" s="121">
        <f t="shared" si="350"/>
        <v>15.293333333333335</v>
      </c>
      <c r="O80" s="121">
        <f t="shared" si="350"/>
        <v>8.5333333333333332</v>
      </c>
      <c r="P80" s="121">
        <f t="shared" si="350"/>
        <v>25.546666666666667</v>
      </c>
      <c r="Q80" s="121">
        <f t="shared" si="350"/>
        <v>69.333333333333329</v>
      </c>
      <c r="R80" s="121">
        <f t="shared" si="350"/>
        <v>102.66666666666667</v>
      </c>
      <c r="S80" s="121">
        <f t="shared" si="350"/>
        <v>29.452054794520549</v>
      </c>
      <c r="T80" s="121">
        <f t="shared" ref="T80:U80" si="351">T10/T61</f>
        <v>140.49079754601229</v>
      </c>
      <c r="U80" s="121">
        <f t="shared" si="351"/>
        <v>206.74846625766872</v>
      </c>
      <c r="V80" s="101">
        <f t="shared" si="323"/>
        <v>0.31427054785323594</v>
      </c>
      <c r="W80" s="109"/>
      <c r="X80" s="133">
        <f t="shared" ref="X80:AG80" si="352">X10/X61</f>
        <v>233.09876097678335</v>
      </c>
      <c r="Y80" s="133">
        <f t="shared" si="352"/>
        <v>262.80742659147137</v>
      </c>
      <c r="Z80" s="133">
        <f t="shared" si="352"/>
        <v>296.30249076489417</v>
      </c>
      <c r="AA80" s="133">
        <f t="shared" si="352"/>
        <v>334.06653370551788</v>
      </c>
      <c r="AB80" s="133">
        <f t="shared" si="352"/>
        <v>376.64364094249567</v>
      </c>
      <c r="AC80" s="133">
        <f t="shared" si="352"/>
        <v>424.6472422390882</v>
      </c>
      <c r="AD80" s="133">
        <f t="shared" si="352"/>
        <v>478.76894958328563</v>
      </c>
      <c r="AE80" s="133">
        <f t="shared" si="352"/>
        <v>539.78852158899849</v>
      </c>
      <c r="AF80" s="133">
        <f t="shared" si="352"/>
        <v>608.5850978699491</v>
      </c>
      <c r="AG80" s="133">
        <f t="shared" si="352"/>
        <v>686.1498652455308</v>
      </c>
      <c r="AH80" s="115">
        <f t="shared" si="330"/>
        <v>0.23463576613408987</v>
      </c>
      <c r="AI80" s="21">
        <f t="shared" si="18"/>
        <v>0.05</v>
      </c>
      <c r="AJ80" s="123">
        <f t="shared" si="331"/>
        <v>4237.9844618106317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353">(G7-G10)/G61</f>
        <v>6.3866666666666667</v>
      </c>
      <c r="H82" s="121">
        <f t="shared" ref="H82:I82" si="354">(H7-H10)/H61</f>
        <v>8.3866666666666685</v>
      </c>
      <c r="I82" s="121">
        <f t="shared" si="354"/>
        <v>6.6400000000000006</v>
      </c>
      <c r="J82" s="121">
        <f t="shared" ref="J82:S82" si="355">(J7-J10)/J61</f>
        <v>6.6400000000000006</v>
      </c>
      <c r="K82" s="121">
        <f t="shared" si="355"/>
        <v>10.613333333333333</v>
      </c>
      <c r="L82" s="121">
        <f t="shared" si="355"/>
        <v>7.253333333333333</v>
      </c>
      <c r="M82" s="121">
        <f t="shared" si="355"/>
        <v>0.16000000000000014</v>
      </c>
      <c r="N82" s="121">
        <f t="shared" si="355"/>
        <v>-5.160000000000001</v>
      </c>
      <c r="O82" s="121">
        <f t="shared" si="355"/>
        <v>1.9199999999999993</v>
      </c>
      <c r="P82" s="121">
        <f t="shared" si="355"/>
        <v>-13.04</v>
      </c>
      <c r="Q82" s="121">
        <f t="shared" si="355"/>
        <v>-50.666666666666664</v>
      </c>
      <c r="R82" s="121">
        <f t="shared" si="355"/>
        <v>-73.333333333333329</v>
      </c>
      <c r="S82" s="121">
        <f t="shared" si="355"/>
        <v>80.136986301369859</v>
      </c>
      <c r="T82" s="121">
        <f t="shared" ref="T82:U82" si="356">(T7-T10)/T61</f>
        <v>-5.5214723926380369</v>
      </c>
      <c r="U82" s="121">
        <f t="shared" si="356"/>
        <v>-73.00613496932516</v>
      </c>
      <c r="V82" s="101" t="e">
        <f t="shared" si="323"/>
        <v>#NUM!</v>
      </c>
      <c r="W82" s="109"/>
      <c r="X82" s="133">
        <f t="shared" ref="X82:AG82" si="357">(X7-X10)/X61</f>
        <v>-82.310838445807761</v>
      </c>
      <c r="Y82" s="133">
        <f t="shared" si="357"/>
        <v>-92.801435502626376</v>
      </c>
      <c r="Z82" s="133">
        <f t="shared" si="357"/>
        <v>-104.62906943923561</v>
      </c>
      <c r="AA82" s="133">
        <f t="shared" si="357"/>
        <v>-117.96414691678524</v>
      </c>
      <c r="AB82" s="133">
        <f t="shared" si="357"/>
        <v>-132.99879309245392</v>
      </c>
      <c r="AC82" s="133">
        <f t="shared" si="357"/>
        <v>-149.94961966306079</v>
      </c>
      <c r="AD82" s="133">
        <f t="shared" si="357"/>
        <v>-169.06084569854895</v>
      </c>
      <c r="AE82" s="133">
        <f t="shared" si="357"/>
        <v>-190.60781622875615</v>
      </c>
      <c r="AF82" s="133">
        <f t="shared" si="357"/>
        <v>-214.9009692775191</v>
      </c>
      <c r="AG82" s="133">
        <f t="shared" si="357"/>
        <v>-242.29030849916367</v>
      </c>
      <c r="AH82" s="115" t="e">
        <f t="shared" si="330"/>
        <v>#NUM!</v>
      </c>
      <c r="AI82" s="21">
        <f t="shared" si="18"/>
        <v>0.05</v>
      </c>
      <c r="AJ82" s="123">
        <f t="shared" si="331"/>
        <v>-1496.4989642595406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58">(G7-G10-G9)/G61</f>
        <v>3.4</v>
      </c>
      <c r="H83" s="121">
        <f t="shared" ref="H83:I83" si="359">(H7-H10-H9)/H61</f>
        <v>5.120000000000001</v>
      </c>
      <c r="I83" s="121">
        <f t="shared" si="359"/>
        <v>5.0533333333333337</v>
      </c>
      <c r="J83" s="121">
        <f t="shared" ref="J83:S83" si="360">(J7-J10-J9)/J61</f>
        <v>5.0533333333333337</v>
      </c>
      <c r="K83" s="121">
        <f t="shared" si="360"/>
        <v>10.44</v>
      </c>
      <c r="L83" s="121">
        <f t="shared" si="360"/>
        <v>6.7866666666666662</v>
      </c>
      <c r="M83" s="121">
        <f t="shared" si="360"/>
        <v>-0.53333333333333321</v>
      </c>
      <c r="N83" s="121">
        <f t="shared" si="360"/>
        <v>-6.2666666666666684</v>
      </c>
      <c r="O83" s="121">
        <f t="shared" si="360"/>
        <v>0.42666666666666586</v>
      </c>
      <c r="P83" s="121">
        <f t="shared" si="360"/>
        <v>-14.826666666666666</v>
      </c>
      <c r="Q83" s="121">
        <f t="shared" si="360"/>
        <v>-54.666666666666664</v>
      </c>
      <c r="R83" s="121">
        <f t="shared" si="360"/>
        <v>-105.33333333333333</v>
      </c>
      <c r="S83" s="121">
        <f t="shared" si="360"/>
        <v>54.794520547945204</v>
      </c>
      <c r="T83" s="121">
        <f t="shared" ref="T83:U83" si="361">(T7-T10-T9)/T61</f>
        <v>-93.865030674846636</v>
      </c>
      <c r="U83" s="121">
        <f t="shared" si="361"/>
        <v>-216.56441717791412</v>
      </c>
      <c r="V83" s="101" t="e">
        <f t="shared" si="323"/>
        <v>#NUM!</v>
      </c>
      <c r="W83" s="109"/>
      <c r="X83" s="133">
        <f t="shared" ref="X83:AG83" si="362">(X7-X10-X9)/X61</f>
        <v>-244.1657644652953</v>
      </c>
      <c r="Y83" s="133">
        <f t="shared" si="362"/>
        <v>-275.2849305245976</v>
      </c>
      <c r="Z83" s="133">
        <f t="shared" si="362"/>
        <v>-310.37026480714434</v>
      </c>
      <c r="AA83" s="133">
        <f t="shared" si="362"/>
        <v>-349.92725934138815</v>
      </c>
      <c r="AB83" s="133">
        <f t="shared" si="362"/>
        <v>-394.52583161038859</v>
      </c>
      <c r="AC83" s="133">
        <f t="shared" si="362"/>
        <v>-444.80853563916355</v>
      </c>
      <c r="AD83" s="133">
        <f t="shared" si="362"/>
        <v>-501.49981959317455</v>
      </c>
      <c r="AE83" s="133">
        <f t="shared" si="362"/>
        <v>-565.4164632668145</v>
      </c>
      <c r="AF83" s="133">
        <f t="shared" si="362"/>
        <v>-637.47934584003576</v>
      </c>
      <c r="AG83" s="133">
        <f t="shared" si="362"/>
        <v>-718.72671344709897</v>
      </c>
      <c r="AH83" s="115" t="e">
        <f t="shared" si="330"/>
        <v>#NUM!</v>
      </c>
      <c r="AI83" s="21">
        <f t="shared" si="18"/>
        <v>0.05</v>
      </c>
      <c r="AJ83" s="123">
        <f t="shared" si="331"/>
        <v>-4439.1944065850239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63">(G7+G15-G10-G9)/G61</f>
        <v>5.2666666666666666</v>
      </c>
      <c r="H84" s="121">
        <f t="shared" ref="H84:I84" si="364">(H7+H15-H10-H9)/H61</f>
        <v>6.453333333333334</v>
      </c>
      <c r="I84" s="121">
        <f t="shared" si="364"/>
        <v>7.8533333333333344</v>
      </c>
      <c r="J84" s="121">
        <f t="shared" ref="J84:S84" si="365">(J7+J15-J10-J9)/J61</f>
        <v>7.8533333333333344</v>
      </c>
      <c r="K84" s="121">
        <f t="shared" si="365"/>
        <v>17.106666666666666</v>
      </c>
      <c r="L84" s="121">
        <f t="shared" si="365"/>
        <v>11.813333333333333</v>
      </c>
      <c r="M84" s="121">
        <f t="shared" si="365"/>
        <v>1.4133333333333347</v>
      </c>
      <c r="N84" s="121">
        <f t="shared" si="365"/>
        <v>-0.93333333333333457</v>
      </c>
      <c r="O84" s="121">
        <f t="shared" si="365"/>
        <v>2.9733333333333327</v>
      </c>
      <c r="P84" s="121">
        <f t="shared" si="365"/>
        <v>-11.573333333333332</v>
      </c>
      <c r="Q84" s="121">
        <f t="shared" si="365"/>
        <v>-50.666666666666664</v>
      </c>
      <c r="R84" s="121">
        <f t="shared" si="365"/>
        <v>-65.600000000000009</v>
      </c>
      <c r="S84" s="121">
        <f t="shared" si="365"/>
        <v>110.95890410958904</v>
      </c>
      <c r="T84" s="121">
        <f t="shared" ref="T84:U84" si="366">(T7+T15-T10-T9)/T61</f>
        <v>-69.325153374233139</v>
      </c>
      <c r="U84" s="121">
        <f t="shared" si="366"/>
        <v>-192.63803680981596</v>
      </c>
      <c r="V84" s="101" t="e">
        <f t="shared" si="323"/>
        <v>#NUM!</v>
      </c>
      <c r="W84" s="109"/>
      <c r="X84" s="133">
        <f t="shared" ref="X84:AG84" si="367">(X7+X15-X10-X9)/X61</f>
        <v>-217.18994346204738</v>
      </c>
      <c r="Y84" s="133">
        <f t="shared" si="367"/>
        <v>-244.87101468760238</v>
      </c>
      <c r="Z84" s="133">
        <f t="shared" si="367"/>
        <v>-276.08006557915951</v>
      </c>
      <c r="AA84" s="133">
        <f t="shared" si="367"/>
        <v>-311.2667406039543</v>
      </c>
      <c r="AB84" s="133">
        <f t="shared" si="367"/>
        <v>-350.93799185739948</v>
      </c>
      <c r="AC84" s="133">
        <f t="shared" si="367"/>
        <v>-395.66538297647975</v>
      </c>
      <c r="AD84" s="133">
        <f t="shared" si="367"/>
        <v>-446.09332394407028</v>
      </c>
      <c r="AE84" s="133">
        <f t="shared" si="367"/>
        <v>-502.94835542713804</v>
      </c>
      <c r="AF84" s="133">
        <f t="shared" si="367"/>
        <v>-567.0496164129496</v>
      </c>
      <c r="AG84" s="133">
        <f t="shared" si="367"/>
        <v>-639.3206459557764</v>
      </c>
      <c r="AH84" s="115" t="e">
        <f t="shared" si="330"/>
        <v>#NUM!</v>
      </c>
      <c r="AI84" s="21">
        <f t="shared" si="18"/>
        <v>0.05</v>
      </c>
      <c r="AJ84" s="123">
        <f t="shared" si="331"/>
        <v>-3948.7451661974428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68">G12/G61</f>
        <v>0.32</v>
      </c>
      <c r="H86" s="121">
        <f t="shared" ref="H86:I86" si="369">H12/H61</f>
        <v>0.52</v>
      </c>
      <c r="I86" s="121">
        <f t="shared" si="369"/>
        <v>0.58666666666666667</v>
      </c>
      <c r="J86" s="121">
        <f t="shared" ref="J86:S86" si="370">J12/J61</f>
        <v>0.58666666666666667</v>
      </c>
      <c r="K86" s="121">
        <f t="shared" si="370"/>
        <v>0.69333333333333336</v>
      </c>
      <c r="L86" s="121">
        <f t="shared" si="370"/>
        <v>4.5466666666666669</v>
      </c>
      <c r="M86" s="121">
        <f t="shared" si="370"/>
        <v>1.4800000000000002</v>
      </c>
      <c r="N86" s="121">
        <f t="shared" si="370"/>
        <v>4.9466666666666663</v>
      </c>
      <c r="O86" s="121">
        <f t="shared" si="370"/>
        <v>2.2666666666666666</v>
      </c>
      <c r="P86" s="121">
        <f t="shared" si="370"/>
        <v>2.5466666666666664</v>
      </c>
      <c r="Q86" s="121">
        <f t="shared" si="370"/>
        <v>3.0666666666666664</v>
      </c>
      <c r="R86" s="121">
        <f t="shared" si="370"/>
        <v>35.906666666666666</v>
      </c>
      <c r="S86" s="121">
        <f t="shared" si="370"/>
        <v>53.424657534246577</v>
      </c>
      <c r="T86" s="121">
        <f t="shared" ref="T86:U86" si="371">T12/T61</f>
        <v>24.539877300613497</v>
      </c>
      <c r="U86" s="121">
        <f t="shared" si="371"/>
        <v>23.926380368098162</v>
      </c>
      <c r="V86" s="101">
        <f t="shared" si="323"/>
        <v>0.36093581900179017</v>
      </c>
      <c r="W86" s="109"/>
      <c r="X86" s="133">
        <f t="shared" ref="X86:AG86" si="372">X12/X61</f>
        <v>26.975821003247923</v>
      </c>
      <c r="Y86" s="133">
        <f t="shared" si="372"/>
        <v>30.413915836995201</v>
      </c>
      <c r="Z86" s="133">
        <f t="shared" si="372"/>
        <v>34.290199227984786</v>
      </c>
      <c r="AA86" s="133">
        <f t="shared" si="372"/>
        <v>38.660518737433826</v>
      </c>
      <c r="AB86" s="133">
        <f t="shared" si="372"/>
        <v>43.587839752989112</v>
      </c>
      <c r="AC86" s="133">
        <f t="shared" si="372"/>
        <v>49.143152662683804</v>
      </c>
      <c r="AD86" s="133">
        <f t="shared" si="372"/>
        <v>55.406495649104279</v>
      </c>
      <c r="AE86" s="133">
        <f t="shared" si="372"/>
        <v>62.468107839676385</v>
      </c>
      <c r="AF86" s="133">
        <f t="shared" si="372"/>
        <v>70.429729427086116</v>
      </c>
      <c r="AG86" s="133">
        <f t="shared" si="372"/>
        <v>79.40606749132256</v>
      </c>
      <c r="AH86" s="115">
        <f t="shared" si="330"/>
        <v>0.22690497683582089</v>
      </c>
      <c r="AI86" s="21">
        <f t="shared" si="18"/>
        <v>0.05</v>
      </c>
      <c r="AJ86" s="123">
        <f t="shared" si="331"/>
        <v>490.44924038758057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73">G13/G61</f>
        <v>5.72</v>
      </c>
      <c r="H87" s="121">
        <f t="shared" ref="H87:I87" si="374">H13/H61</f>
        <v>3.9466666666666668</v>
      </c>
      <c r="I87" s="121">
        <f t="shared" si="374"/>
        <v>3.9333333333333336</v>
      </c>
      <c r="J87" s="121">
        <f t="shared" ref="J87:S87" si="375">J13/J61</f>
        <v>3.9333333333333336</v>
      </c>
      <c r="K87" s="121">
        <f t="shared" si="375"/>
        <v>0</v>
      </c>
      <c r="L87" s="121">
        <f t="shared" si="375"/>
        <v>0</v>
      </c>
      <c r="M87" s="121">
        <f t="shared" si="375"/>
        <v>0</v>
      </c>
      <c r="N87" s="121">
        <f t="shared" si="375"/>
        <v>0</v>
      </c>
      <c r="O87" s="121">
        <f t="shared" si="375"/>
        <v>0</v>
      </c>
      <c r="P87" s="121">
        <f t="shared" si="375"/>
        <v>0</v>
      </c>
      <c r="Q87" s="121">
        <f t="shared" si="375"/>
        <v>0</v>
      </c>
      <c r="R87" s="121">
        <f t="shared" si="375"/>
        <v>0</v>
      </c>
      <c r="S87" s="121">
        <f t="shared" si="375"/>
        <v>0.10273972602739725</v>
      </c>
      <c r="T87" s="121">
        <f t="shared" ref="T87:U87" si="376">T13/T61</f>
        <v>9.202453987730061E-2</v>
      </c>
      <c r="U87" s="121">
        <f t="shared" si="376"/>
        <v>0.11042944785276074</v>
      </c>
      <c r="V87" s="101">
        <f t="shared" si="323"/>
        <v>-0.24569114654503221</v>
      </c>
      <c r="W87" s="109"/>
      <c r="X87" s="133">
        <f t="shared" ref="X87:AG87" si="377">X13/X61</f>
        <v>0.12450378924575965</v>
      </c>
      <c r="Y87" s="133">
        <f t="shared" si="377"/>
        <v>0.14037191924767017</v>
      </c>
      <c r="Z87" s="133">
        <f t="shared" si="377"/>
        <v>0.15826245797531441</v>
      </c>
      <c r="AA87" s="133">
        <f t="shared" si="377"/>
        <v>0.17843316340354073</v>
      </c>
      <c r="AB87" s="133">
        <f t="shared" si="377"/>
        <v>0.20117464501379589</v>
      </c>
      <c r="AC87" s="133">
        <f t="shared" si="377"/>
        <v>0.2268145507508483</v>
      </c>
      <c r="AD87" s="133">
        <f t="shared" si="377"/>
        <v>0.25572228761125054</v>
      </c>
      <c r="AE87" s="133">
        <f t="shared" si="377"/>
        <v>0.28831434387542948</v>
      </c>
      <c r="AF87" s="133">
        <f t="shared" si="377"/>
        <v>0.32506028966347439</v>
      </c>
      <c r="AG87" s="133">
        <f t="shared" si="377"/>
        <v>0.36648954226764263</v>
      </c>
      <c r="AH87" s="115">
        <f t="shared" si="330"/>
        <v>-9.4154353560555792E-2</v>
      </c>
      <c r="AI87" s="21">
        <f t="shared" si="18"/>
        <v>0.05</v>
      </c>
      <c r="AJ87" s="123">
        <f t="shared" si="331"/>
        <v>2.2636118787119108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78">(G86+G87)</f>
        <v>6.04</v>
      </c>
      <c r="H88" s="121">
        <f t="shared" ref="H88:I88" si="379">(H86+H87)</f>
        <v>4.4666666666666668</v>
      </c>
      <c r="I88" s="121">
        <f t="shared" si="379"/>
        <v>4.5200000000000005</v>
      </c>
      <c r="J88" s="121">
        <f t="shared" ref="J88:S88" si="380">(J86+J87)</f>
        <v>4.5200000000000005</v>
      </c>
      <c r="K88" s="121">
        <f t="shared" si="380"/>
        <v>0.69333333333333336</v>
      </c>
      <c r="L88" s="121">
        <f t="shared" si="380"/>
        <v>4.5466666666666669</v>
      </c>
      <c r="M88" s="121">
        <f t="shared" si="380"/>
        <v>1.4800000000000002</v>
      </c>
      <c r="N88" s="121">
        <f t="shared" si="380"/>
        <v>4.9466666666666663</v>
      </c>
      <c r="O88" s="121">
        <f t="shared" si="380"/>
        <v>2.2666666666666666</v>
      </c>
      <c r="P88" s="121">
        <f t="shared" si="380"/>
        <v>2.5466666666666664</v>
      </c>
      <c r="Q88" s="121">
        <f t="shared" si="380"/>
        <v>3.0666666666666664</v>
      </c>
      <c r="R88" s="121">
        <f t="shared" ref="R88" si="381">(R86+R87)</f>
        <v>35.906666666666666</v>
      </c>
      <c r="S88" s="121">
        <f t="shared" si="380"/>
        <v>53.527397260273972</v>
      </c>
      <c r="T88" s="121">
        <f t="shared" ref="T88:U88" si="382">(T86+T87)</f>
        <v>24.631901840490798</v>
      </c>
      <c r="U88" s="121">
        <f t="shared" si="382"/>
        <v>24.036809815950921</v>
      </c>
      <c r="V88" s="101">
        <f t="shared" si="323"/>
        <v>0.10368643881082185</v>
      </c>
      <c r="W88" s="109"/>
      <c r="X88" s="133">
        <f t="shared" ref="X88:AG88" si="383">(X86+X87)</f>
        <v>27.100324792493684</v>
      </c>
      <c r="Y88" s="133">
        <f t="shared" si="383"/>
        <v>30.554287756242871</v>
      </c>
      <c r="Z88" s="133">
        <f t="shared" si="383"/>
        <v>34.448461685960098</v>
      </c>
      <c r="AA88" s="133">
        <f t="shared" si="383"/>
        <v>38.838951900837365</v>
      </c>
      <c r="AB88" s="133">
        <f t="shared" si="383"/>
        <v>43.789014398002905</v>
      </c>
      <c r="AC88" s="133">
        <f t="shared" si="383"/>
        <v>49.369967213434649</v>
      </c>
      <c r="AD88" s="133">
        <f t="shared" si="383"/>
        <v>55.662217936715528</v>
      </c>
      <c r="AE88" s="133">
        <f t="shared" si="383"/>
        <v>62.756422183551813</v>
      </c>
      <c r="AF88" s="133">
        <f t="shared" si="383"/>
        <v>70.754789716749585</v>
      </c>
      <c r="AG88" s="133">
        <f t="shared" si="383"/>
        <v>79.772557033590203</v>
      </c>
      <c r="AH88" s="115">
        <f t="shared" si="330"/>
        <v>0.12705850752880798</v>
      </c>
      <c r="AI88" s="21">
        <f t="shared" si="18"/>
        <v>0.05</v>
      </c>
      <c r="AJ88" s="123">
        <f t="shared" si="331"/>
        <v>492.71285226629249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84">G15/G61</f>
        <v>1.8666666666666665</v>
      </c>
      <c r="H89" s="121">
        <f t="shared" ref="H89:I89" si="385">H15/H61</f>
        <v>1.3333333333333333</v>
      </c>
      <c r="I89" s="121">
        <f t="shared" si="385"/>
        <v>2.8000000000000003</v>
      </c>
      <c r="J89" s="121">
        <f t="shared" ref="J89:S89" si="386">J15/J61</f>
        <v>2.8000000000000003</v>
      </c>
      <c r="K89" s="121">
        <f t="shared" si="386"/>
        <v>6.666666666666667</v>
      </c>
      <c r="L89" s="121">
        <f t="shared" si="386"/>
        <v>5.0266666666666664</v>
      </c>
      <c r="M89" s="121">
        <f t="shared" si="386"/>
        <v>1.9466666666666665</v>
      </c>
      <c r="N89" s="121">
        <f t="shared" si="386"/>
        <v>5.333333333333333</v>
      </c>
      <c r="O89" s="121">
        <f t="shared" si="386"/>
        <v>2.5466666666666664</v>
      </c>
      <c r="P89" s="121">
        <f t="shared" si="386"/>
        <v>3.2533333333333334</v>
      </c>
      <c r="Q89" s="121">
        <f t="shared" si="386"/>
        <v>4</v>
      </c>
      <c r="R89" s="121">
        <f t="shared" si="386"/>
        <v>39.733333333333334</v>
      </c>
      <c r="S89" s="121">
        <f t="shared" si="386"/>
        <v>56.164383561643838</v>
      </c>
      <c r="T89" s="121">
        <f t="shared" ref="T89:U89" si="387">T15/T61</f>
        <v>24.539877300613497</v>
      </c>
      <c r="U89" s="121">
        <f t="shared" si="387"/>
        <v>23.926380368098162</v>
      </c>
      <c r="V89" s="101">
        <f t="shared" si="323"/>
        <v>0.19985648233626807</v>
      </c>
      <c r="W89" s="109"/>
      <c r="X89" s="133">
        <f t="shared" ref="X89:AG89" si="388">X15/X61</f>
        <v>26.975821003247923</v>
      </c>
      <c r="Y89" s="133">
        <f t="shared" si="388"/>
        <v>30.413915836995201</v>
      </c>
      <c r="Z89" s="133">
        <f t="shared" si="388"/>
        <v>34.290199227984786</v>
      </c>
      <c r="AA89" s="133">
        <f t="shared" si="388"/>
        <v>38.660518737433826</v>
      </c>
      <c r="AB89" s="133">
        <f t="shared" si="388"/>
        <v>43.587839752989112</v>
      </c>
      <c r="AC89" s="133">
        <f t="shared" si="388"/>
        <v>49.143152662683804</v>
      </c>
      <c r="AD89" s="133">
        <f t="shared" si="388"/>
        <v>55.406495649104279</v>
      </c>
      <c r="AE89" s="133">
        <f t="shared" si="388"/>
        <v>62.468107839676385</v>
      </c>
      <c r="AF89" s="133">
        <f t="shared" si="388"/>
        <v>70.429729427086116</v>
      </c>
      <c r="AG89" s="133">
        <f t="shared" si="388"/>
        <v>79.40606749132256</v>
      </c>
      <c r="AH89" s="115">
        <f t="shared" si="330"/>
        <v>0.14955296441413291</v>
      </c>
      <c r="AI89" s="21">
        <f t="shared" si="18"/>
        <v>0.05</v>
      </c>
      <c r="AJ89" s="123">
        <f t="shared" si="331"/>
        <v>490.44924038758057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89">G16/G61</f>
        <v>9.3333333333333339</v>
      </c>
      <c r="H90" s="121">
        <f t="shared" ref="H90:I90" si="390">H16/H61</f>
        <v>8</v>
      </c>
      <c r="I90" s="121">
        <f t="shared" si="390"/>
        <v>10.666666666666666</v>
      </c>
      <c r="J90" s="121">
        <f t="shared" ref="J90:S90" si="391">J16/J61</f>
        <v>10.666666666666666</v>
      </c>
      <c r="K90" s="121">
        <f t="shared" si="391"/>
        <v>10.666666666666666</v>
      </c>
      <c r="L90" s="121">
        <f t="shared" si="391"/>
        <v>10.666666666666666</v>
      </c>
      <c r="M90" s="121">
        <f t="shared" si="391"/>
        <v>17.333333333333332</v>
      </c>
      <c r="N90" s="121">
        <f t="shared" si="391"/>
        <v>24</v>
      </c>
      <c r="O90" s="121">
        <f t="shared" si="391"/>
        <v>18.266666666666666</v>
      </c>
      <c r="P90" s="121">
        <f t="shared" si="391"/>
        <v>37.333333333333336</v>
      </c>
      <c r="Q90" s="121">
        <f t="shared" si="391"/>
        <v>86.666666666666671</v>
      </c>
      <c r="R90" s="121">
        <f t="shared" si="391"/>
        <v>130.66666666666666</v>
      </c>
      <c r="S90" s="121">
        <f t="shared" si="391"/>
        <v>138.35616438356163</v>
      </c>
      <c r="T90" s="121">
        <f t="shared" ref="T90:U90" si="392">T16/T61</f>
        <v>274.84662576687117</v>
      </c>
      <c r="U90" s="121">
        <f t="shared" si="392"/>
        <v>339.87730061349697</v>
      </c>
      <c r="V90" s="101">
        <f t="shared" si="323"/>
        <v>0.29276737821365884</v>
      </c>
      <c r="W90" s="109"/>
      <c r="X90" s="133">
        <f t="shared" ref="X90:AG90" si="393">X16/X61</f>
        <v>383.19499578972693</v>
      </c>
      <c r="Y90" s="133">
        <f t="shared" si="393"/>
        <v>432.03357368449599</v>
      </c>
      <c r="Z90" s="133">
        <f t="shared" si="393"/>
        <v>487.09667621291214</v>
      </c>
      <c r="AA90" s="133">
        <f t="shared" si="393"/>
        <v>549.17762514200865</v>
      </c>
      <c r="AB90" s="133">
        <f t="shared" si="393"/>
        <v>619.17085187579403</v>
      </c>
      <c r="AC90" s="133">
        <f t="shared" si="393"/>
        <v>698.08478397761075</v>
      </c>
      <c r="AD90" s="133">
        <f t="shared" si="393"/>
        <v>787.05637409240433</v>
      </c>
      <c r="AE90" s="133">
        <f t="shared" si="393"/>
        <v>887.3674805943773</v>
      </c>
      <c r="AF90" s="133">
        <f t="shared" si="393"/>
        <v>1000.4633359642488</v>
      </c>
      <c r="AG90" s="133">
        <f t="shared" si="393"/>
        <v>1127.9733689792999</v>
      </c>
      <c r="AH90" s="115">
        <f t="shared" si="330"/>
        <v>0.21435198887420581</v>
      </c>
      <c r="AI90" s="114"/>
      <c r="AJ90" s="123">
        <f t="shared" si="331"/>
        <v>5127.1516771786364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8"/>
        <v>0.05</v>
      </c>
      <c r="AJ91" s="123">
        <f t="shared" si="331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94">G63</f>
        <v>0</v>
      </c>
      <c r="H92" s="135">
        <f t="shared" ref="H92:I92" si="395">H63</f>
        <v>0</v>
      </c>
      <c r="I92" s="135">
        <f t="shared" si="395"/>
        <v>0</v>
      </c>
      <c r="J92" s="135">
        <f t="shared" ref="J92:S92" si="396">J63</f>
        <v>0</v>
      </c>
      <c r="K92" s="135">
        <f t="shared" si="396"/>
        <v>0</v>
      </c>
      <c r="L92" s="135">
        <f t="shared" si="396"/>
        <v>0</v>
      </c>
      <c r="M92" s="135">
        <f t="shared" si="396"/>
        <v>0</v>
      </c>
      <c r="N92" s="135">
        <f t="shared" si="396"/>
        <v>0</v>
      </c>
      <c r="O92" s="135">
        <f t="shared" si="396"/>
        <v>0</v>
      </c>
      <c r="P92" s="135">
        <f t="shared" si="396"/>
        <v>0</v>
      </c>
      <c r="Q92" s="135">
        <f t="shared" si="396"/>
        <v>0</v>
      </c>
      <c r="R92" s="135">
        <f t="shared" si="396"/>
        <v>1</v>
      </c>
      <c r="S92" s="135">
        <f t="shared" si="396"/>
        <v>1.5</v>
      </c>
      <c r="T92" s="135">
        <f t="shared" ref="T92:U92" si="397">T63</f>
        <v>1.5</v>
      </c>
      <c r="U92" s="135">
        <f t="shared" si="397"/>
        <v>0.5</v>
      </c>
      <c r="V92" s="101" t="e">
        <f t="shared" si="323"/>
        <v>#DIV/0!</v>
      </c>
      <c r="W92" s="109"/>
      <c r="X92" s="135">
        <f t="shared" ref="X92:AG92" si="398">X63</f>
        <v>0.51</v>
      </c>
      <c r="Y92" s="135">
        <f t="shared" si="398"/>
        <v>0.5202</v>
      </c>
      <c r="Z92" s="135">
        <f t="shared" si="398"/>
        <v>0.53060399999999996</v>
      </c>
      <c r="AA92" s="135">
        <f t="shared" si="398"/>
        <v>0.54121607999999999</v>
      </c>
      <c r="AB92" s="135">
        <f t="shared" si="398"/>
        <v>0.55204040160000001</v>
      </c>
      <c r="AC92" s="135">
        <f t="shared" si="398"/>
        <v>0.56308120963200003</v>
      </c>
      <c r="AD92" s="135">
        <f t="shared" si="398"/>
        <v>0.57434283382464002</v>
      </c>
      <c r="AE92" s="135">
        <f t="shared" si="398"/>
        <v>0.58582969050113287</v>
      </c>
      <c r="AF92" s="135">
        <f t="shared" si="398"/>
        <v>0.59754628431115553</v>
      </c>
      <c r="AG92" s="135">
        <f t="shared" si="398"/>
        <v>0.60949720999737866</v>
      </c>
      <c r="AH92" s="115" t="e">
        <f t="shared" ref="AH92" si="399">((AG92/J92)^(1/($AG$3-$K$1) ))-1</f>
        <v>#DIV/0!</v>
      </c>
      <c r="AI92" s="21">
        <f t="shared" si="18"/>
        <v>0.05</v>
      </c>
      <c r="AJ92" s="123">
        <f t="shared" si="331"/>
        <v>3.7645415911602802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400">G20+G21</f>
        <v>0</v>
      </c>
      <c r="H94" s="121">
        <f t="shared" ref="H94:I94" si="401">H20+H21</f>
        <v>0</v>
      </c>
      <c r="I94" s="121">
        <f t="shared" si="401"/>
        <v>0</v>
      </c>
      <c r="J94" s="121">
        <f t="shared" ref="J94:S94" si="402">J20+J21</f>
        <v>0</v>
      </c>
      <c r="K94" s="121">
        <f t="shared" si="402"/>
        <v>0</v>
      </c>
      <c r="L94" s="121">
        <f t="shared" si="402"/>
        <v>0</v>
      </c>
      <c r="M94" s="121">
        <f t="shared" si="402"/>
        <v>0</v>
      </c>
      <c r="N94" s="121">
        <f t="shared" si="402"/>
        <v>0</v>
      </c>
      <c r="O94" s="121">
        <f t="shared" si="402"/>
        <v>0</v>
      </c>
      <c r="P94" s="121">
        <f t="shared" si="402"/>
        <v>0</v>
      </c>
      <c r="Q94" s="121">
        <f t="shared" si="402"/>
        <v>0</v>
      </c>
      <c r="R94" s="121">
        <f t="shared" si="402"/>
        <v>0</v>
      </c>
      <c r="S94" s="121">
        <f t="shared" si="402"/>
        <v>0</v>
      </c>
      <c r="T94" s="121">
        <f t="shared" ref="T94:U94" si="403">T20+T21</f>
        <v>0</v>
      </c>
      <c r="U94" s="121">
        <f t="shared" si="403"/>
        <v>0</v>
      </c>
      <c r="V94" s="101" t="e">
        <f t="shared" si="323"/>
        <v>#DIV/0!</v>
      </c>
      <c r="W94" s="109"/>
      <c r="X94" s="121">
        <f t="shared" ref="X94:AG94" si="404">X20+X21</f>
        <v>0</v>
      </c>
      <c r="Y94" s="121">
        <f t="shared" si="404"/>
        <v>0</v>
      </c>
      <c r="Z94" s="121">
        <f t="shared" si="404"/>
        <v>0</v>
      </c>
      <c r="AA94" s="121">
        <f t="shared" si="404"/>
        <v>0</v>
      </c>
      <c r="AB94" s="121">
        <f t="shared" si="404"/>
        <v>0</v>
      </c>
      <c r="AC94" s="121">
        <f t="shared" si="404"/>
        <v>0</v>
      </c>
      <c r="AD94" s="121">
        <f t="shared" si="404"/>
        <v>0</v>
      </c>
      <c r="AE94" s="121">
        <f t="shared" si="404"/>
        <v>0</v>
      </c>
      <c r="AF94" s="121">
        <f t="shared" si="404"/>
        <v>0</v>
      </c>
      <c r="AG94" s="121">
        <f t="shared" si="404"/>
        <v>0</v>
      </c>
      <c r="AH94" s="115" t="e">
        <f t="shared" ref="AH94:AH99" si="405">((AG94/J94)^(1/($AG$3-$K$1) ))-1</f>
        <v>#DIV/0!</v>
      </c>
      <c r="AI94" s="21">
        <f t="shared" si="18"/>
        <v>0.05</v>
      </c>
      <c r="AJ94" s="123">
        <f t="shared" si="331"/>
        <v>0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406">G94/G61</f>
        <v>0</v>
      </c>
      <c r="H96" s="121">
        <f t="shared" ref="H96:I96" si="407">H94/H61</f>
        <v>0</v>
      </c>
      <c r="I96" s="121">
        <f t="shared" si="407"/>
        <v>0</v>
      </c>
      <c r="J96" s="121">
        <f t="shared" ref="J96:S96" si="408">J94/J61</f>
        <v>0</v>
      </c>
      <c r="K96" s="121">
        <f t="shared" si="408"/>
        <v>0</v>
      </c>
      <c r="L96" s="121">
        <f t="shared" si="408"/>
        <v>0</v>
      </c>
      <c r="M96" s="121">
        <f t="shared" si="408"/>
        <v>0</v>
      </c>
      <c r="N96" s="121">
        <f t="shared" si="408"/>
        <v>0</v>
      </c>
      <c r="O96" s="121">
        <f t="shared" si="408"/>
        <v>0</v>
      </c>
      <c r="P96" s="121">
        <f t="shared" si="408"/>
        <v>0</v>
      </c>
      <c r="Q96" s="121">
        <f t="shared" si="408"/>
        <v>0</v>
      </c>
      <c r="R96" s="121">
        <f t="shared" si="408"/>
        <v>0</v>
      </c>
      <c r="S96" s="121">
        <f t="shared" si="408"/>
        <v>0</v>
      </c>
      <c r="T96" s="121">
        <f t="shared" ref="T96:U96" si="409">T94/T61</f>
        <v>0</v>
      </c>
      <c r="U96" s="121">
        <f t="shared" si="409"/>
        <v>0</v>
      </c>
      <c r="V96" s="101" t="e">
        <f t="shared" si="323"/>
        <v>#DIV/0!</v>
      </c>
      <c r="W96" s="109"/>
      <c r="X96" s="123">
        <f t="shared" ref="X96:AG96" si="410">X94/X61</f>
        <v>0</v>
      </c>
      <c r="Y96" s="123">
        <f t="shared" si="410"/>
        <v>0</v>
      </c>
      <c r="Z96" s="123">
        <f t="shared" si="410"/>
        <v>0</v>
      </c>
      <c r="AA96" s="123">
        <f t="shared" si="410"/>
        <v>0</v>
      </c>
      <c r="AB96" s="123">
        <f t="shared" si="410"/>
        <v>0</v>
      </c>
      <c r="AC96" s="123">
        <f t="shared" si="410"/>
        <v>0</v>
      </c>
      <c r="AD96" s="123">
        <f t="shared" si="410"/>
        <v>0</v>
      </c>
      <c r="AE96" s="123">
        <f t="shared" si="410"/>
        <v>0</v>
      </c>
      <c r="AF96" s="123">
        <f t="shared" si="410"/>
        <v>0</v>
      </c>
      <c r="AG96" s="123">
        <f t="shared" si="410"/>
        <v>0</v>
      </c>
      <c r="AH96" s="115" t="e">
        <f t="shared" si="405"/>
        <v>#DIV/0!</v>
      </c>
      <c r="AI96" s="21">
        <f t="shared" si="18"/>
        <v>0.05</v>
      </c>
      <c r="AJ96" s="123">
        <f t="shared" si="331"/>
        <v>0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411">G20/G61</f>
        <v>0</v>
      </c>
      <c r="H97" s="121">
        <f t="shared" ref="H97:I97" si="412">H20/H61</f>
        <v>0</v>
      </c>
      <c r="I97" s="121">
        <f t="shared" si="412"/>
        <v>0</v>
      </c>
      <c r="J97" s="121">
        <f t="shared" ref="J97:S97" si="413">J20/J61</f>
        <v>0</v>
      </c>
      <c r="K97" s="121">
        <f t="shared" si="413"/>
        <v>0</v>
      </c>
      <c r="L97" s="121">
        <f t="shared" si="413"/>
        <v>0</v>
      </c>
      <c r="M97" s="121">
        <f t="shared" si="413"/>
        <v>0</v>
      </c>
      <c r="N97" s="121">
        <f t="shared" si="413"/>
        <v>0</v>
      </c>
      <c r="O97" s="121">
        <f t="shared" si="413"/>
        <v>0</v>
      </c>
      <c r="P97" s="121">
        <f t="shared" si="413"/>
        <v>0</v>
      </c>
      <c r="Q97" s="121">
        <f t="shared" si="413"/>
        <v>0</v>
      </c>
      <c r="R97" s="121">
        <f t="shared" si="413"/>
        <v>0</v>
      </c>
      <c r="S97" s="121">
        <f t="shared" si="413"/>
        <v>0</v>
      </c>
      <c r="T97" s="121">
        <f t="shared" ref="T97:U97" si="414">T20/T61</f>
        <v>0</v>
      </c>
      <c r="U97" s="121">
        <f t="shared" si="414"/>
        <v>0</v>
      </c>
      <c r="V97" s="101" t="e">
        <f t="shared" si="323"/>
        <v>#DIV/0!</v>
      </c>
      <c r="W97" s="109"/>
      <c r="X97" s="123">
        <f t="shared" ref="X97:AG97" si="415">X20/X61</f>
        <v>0</v>
      </c>
      <c r="Y97" s="123">
        <f t="shared" si="415"/>
        <v>0</v>
      </c>
      <c r="Z97" s="123">
        <f t="shared" si="415"/>
        <v>0</v>
      </c>
      <c r="AA97" s="123">
        <f t="shared" si="415"/>
        <v>0</v>
      </c>
      <c r="AB97" s="123">
        <f t="shared" si="415"/>
        <v>0</v>
      </c>
      <c r="AC97" s="123">
        <f t="shared" si="415"/>
        <v>0</v>
      </c>
      <c r="AD97" s="123">
        <f t="shared" si="415"/>
        <v>0</v>
      </c>
      <c r="AE97" s="123">
        <f t="shared" si="415"/>
        <v>0</v>
      </c>
      <c r="AF97" s="123">
        <f t="shared" si="415"/>
        <v>0</v>
      </c>
      <c r="AG97" s="123">
        <f t="shared" si="415"/>
        <v>0</v>
      </c>
      <c r="AH97" s="115" t="e">
        <f t="shared" si="405"/>
        <v>#DIV/0!</v>
      </c>
      <c r="AI97" s="21">
        <f t="shared" si="18"/>
        <v>0.05</v>
      </c>
      <c r="AJ97" s="123">
        <f t="shared" si="331"/>
        <v>0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416">G21/G61</f>
        <v>0</v>
      </c>
      <c r="H98" s="121">
        <f t="shared" ref="H98:I98" si="417">H21/H61</f>
        <v>0</v>
      </c>
      <c r="I98" s="121">
        <f t="shared" si="417"/>
        <v>0</v>
      </c>
      <c r="J98" s="121">
        <f t="shared" ref="J98:S98" si="418">J21/J61</f>
        <v>0</v>
      </c>
      <c r="K98" s="121">
        <f t="shared" si="418"/>
        <v>0</v>
      </c>
      <c r="L98" s="121">
        <f t="shared" si="418"/>
        <v>0</v>
      </c>
      <c r="M98" s="121">
        <f t="shared" si="418"/>
        <v>0</v>
      </c>
      <c r="N98" s="121">
        <f t="shared" si="418"/>
        <v>0</v>
      </c>
      <c r="O98" s="121">
        <f t="shared" si="418"/>
        <v>0</v>
      </c>
      <c r="P98" s="121">
        <f t="shared" si="418"/>
        <v>0</v>
      </c>
      <c r="Q98" s="121">
        <f t="shared" si="418"/>
        <v>0</v>
      </c>
      <c r="R98" s="121">
        <f t="shared" si="418"/>
        <v>0</v>
      </c>
      <c r="S98" s="121">
        <f t="shared" si="418"/>
        <v>0</v>
      </c>
      <c r="T98" s="121">
        <f t="shared" ref="T98:U98" si="419">T21/T61</f>
        <v>0</v>
      </c>
      <c r="U98" s="121">
        <f t="shared" si="419"/>
        <v>0</v>
      </c>
      <c r="V98" s="101" t="e">
        <f t="shared" si="323"/>
        <v>#DIV/0!</v>
      </c>
      <c r="W98" s="109"/>
      <c r="X98" s="123">
        <f t="shared" ref="X98:AG98" si="420">X21/X61</f>
        <v>0</v>
      </c>
      <c r="Y98" s="123">
        <f t="shared" si="420"/>
        <v>0</v>
      </c>
      <c r="Z98" s="123">
        <f t="shared" si="420"/>
        <v>0</v>
      </c>
      <c r="AA98" s="123">
        <f t="shared" si="420"/>
        <v>0</v>
      </c>
      <c r="AB98" s="123">
        <f t="shared" si="420"/>
        <v>0</v>
      </c>
      <c r="AC98" s="123">
        <f t="shared" si="420"/>
        <v>0</v>
      </c>
      <c r="AD98" s="123">
        <f t="shared" si="420"/>
        <v>0</v>
      </c>
      <c r="AE98" s="123">
        <f t="shared" si="420"/>
        <v>0</v>
      </c>
      <c r="AF98" s="123">
        <f t="shared" si="420"/>
        <v>0</v>
      </c>
      <c r="AG98" s="123">
        <f t="shared" si="420"/>
        <v>0</v>
      </c>
      <c r="AH98" s="115" t="e">
        <f t="shared" si="405"/>
        <v>#DIV/0!</v>
      </c>
      <c r="AI98" s="21">
        <f t="shared" si="18"/>
        <v>0.05</v>
      </c>
      <c r="AJ98" s="123">
        <f t="shared" si="331"/>
        <v>0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421">G22/G61</f>
        <v>0</v>
      </c>
      <c r="H99" s="121">
        <f t="shared" ref="H99:I99" si="422">H22/H61</f>
        <v>0</v>
      </c>
      <c r="I99" s="121">
        <f t="shared" si="422"/>
        <v>0</v>
      </c>
      <c r="J99" s="121">
        <f t="shared" ref="J99:S99" si="423">J22/J61</f>
        <v>0</v>
      </c>
      <c r="K99" s="121">
        <f t="shared" si="423"/>
        <v>0</v>
      </c>
      <c r="L99" s="121">
        <f t="shared" si="423"/>
        <v>0</v>
      </c>
      <c r="M99" s="121">
        <f t="shared" si="423"/>
        <v>0</v>
      </c>
      <c r="N99" s="121">
        <f t="shared" si="423"/>
        <v>0</v>
      </c>
      <c r="O99" s="121">
        <f t="shared" si="423"/>
        <v>0</v>
      </c>
      <c r="P99" s="121">
        <f t="shared" si="423"/>
        <v>0</v>
      </c>
      <c r="Q99" s="121">
        <f t="shared" si="423"/>
        <v>0</v>
      </c>
      <c r="R99" s="121">
        <f t="shared" si="423"/>
        <v>0</v>
      </c>
      <c r="S99" s="121">
        <f t="shared" si="423"/>
        <v>0</v>
      </c>
      <c r="T99" s="121">
        <f t="shared" ref="T99:U99" si="424">T22/T61</f>
        <v>0</v>
      </c>
      <c r="U99" s="121">
        <f t="shared" si="424"/>
        <v>0</v>
      </c>
      <c r="V99" s="101" t="e">
        <f t="shared" si="323"/>
        <v>#DIV/0!</v>
      </c>
      <c r="W99" s="109"/>
      <c r="X99" s="123">
        <f t="shared" ref="X99:AG99" si="425">X22/X61</f>
        <v>0</v>
      </c>
      <c r="Y99" s="123">
        <f t="shared" si="425"/>
        <v>0</v>
      </c>
      <c r="Z99" s="123">
        <f t="shared" si="425"/>
        <v>0</v>
      </c>
      <c r="AA99" s="123">
        <f t="shared" si="425"/>
        <v>0</v>
      </c>
      <c r="AB99" s="123">
        <f t="shared" si="425"/>
        <v>0</v>
      </c>
      <c r="AC99" s="123">
        <f t="shared" si="425"/>
        <v>0</v>
      </c>
      <c r="AD99" s="123">
        <f t="shared" si="425"/>
        <v>0</v>
      </c>
      <c r="AE99" s="123">
        <f t="shared" si="425"/>
        <v>0</v>
      </c>
      <c r="AF99" s="123">
        <f t="shared" si="425"/>
        <v>0</v>
      </c>
      <c r="AG99" s="123">
        <f t="shared" si="425"/>
        <v>0</v>
      </c>
      <c r="AH99" s="115" t="e">
        <f t="shared" si="405"/>
        <v>#DIV/0!</v>
      </c>
      <c r="AI99" s="21">
        <f t="shared" si="18"/>
        <v>0.05</v>
      </c>
      <c r="AJ99" s="123">
        <f t="shared" si="331"/>
        <v>0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426">G23/G61</f>
        <v>0</v>
      </c>
      <c r="H100" s="121">
        <f t="shared" ref="H100:I100" si="427">H23/H61</f>
        <v>0</v>
      </c>
      <c r="I100" s="121">
        <f t="shared" si="427"/>
        <v>0</v>
      </c>
      <c r="J100" s="121">
        <f t="shared" ref="J100:S100" si="428">J23/J61</f>
        <v>0</v>
      </c>
      <c r="K100" s="121">
        <f t="shared" si="428"/>
        <v>0</v>
      </c>
      <c r="L100" s="121">
        <f t="shared" si="428"/>
        <v>0</v>
      </c>
      <c r="M100" s="121">
        <f t="shared" si="428"/>
        <v>0</v>
      </c>
      <c r="N100" s="121">
        <f t="shared" si="428"/>
        <v>0</v>
      </c>
      <c r="O100" s="121">
        <f t="shared" si="428"/>
        <v>0</v>
      </c>
      <c r="P100" s="121">
        <f t="shared" si="428"/>
        <v>0</v>
      </c>
      <c r="Q100" s="121">
        <f t="shared" si="428"/>
        <v>0</v>
      </c>
      <c r="R100" s="121">
        <f t="shared" si="428"/>
        <v>0</v>
      </c>
      <c r="S100" s="121">
        <f t="shared" si="428"/>
        <v>0</v>
      </c>
      <c r="T100" s="121">
        <f t="shared" ref="T100:U100" si="429">T23/T61</f>
        <v>0</v>
      </c>
      <c r="U100" s="121">
        <f t="shared" si="429"/>
        <v>0</v>
      </c>
      <c r="V100" s="101" t="e">
        <f t="shared" si="323"/>
        <v>#DIV/0!</v>
      </c>
      <c r="W100" s="109"/>
      <c r="X100" s="123">
        <f t="shared" ref="X100:AG100" si="430">X23/X61</f>
        <v>0</v>
      </c>
      <c r="Y100" s="123">
        <f t="shared" si="430"/>
        <v>0</v>
      </c>
      <c r="Z100" s="123">
        <f t="shared" si="430"/>
        <v>0</v>
      </c>
      <c r="AA100" s="123">
        <f t="shared" si="430"/>
        <v>0</v>
      </c>
      <c r="AB100" s="123">
        <f t="shared" si="430"/>
        <v>0</v>
      </c>
      <c r="AC100" s="123">
        <f t="shared" si="430"/>
        <v>0</v>
      </c>
      <c r="AD100" s="123">
        <f t="shared" si="430"/>
        <v>0</v>
      </c>
      <c r="AE100" s="123">
        <f t="shared" si="430"/>
        <v>0</v>
      </c>
      <c r="AF100" s="123">
        <f t="shared" si="430"/>
        <v>0</v>
      </c>
      <c r="AG100" s="123">
        <f t="shared" si="430"/>
        <v>0</v>
      </c>
      <c r="AH100" s="115" t="e">
        <f t="shared" ref="AH100" si="431">((AG100/J100)^(1/($AG$3-$K$1) ))-1</f>
        <v>#DIV/0!</v>
      </c>
      <c r="AI100" s="21">
        <f t="shared" si="18"/>
        <v>0.05</v>
      </c>
      <c r="AJ100" s="123">
        <f t="shared" si="331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432">G53/G61</f>
        <v>0.26666666666666666</v>
      </c>
      <c r="H102" s="121">
        <f t="shared" ref="H102:I102" si="433">H53/H61</f>
        <v>0.26666666666666666</v>
      </c>
      <c r="I102" s="121">
        <f t="shared" si="433"/>
        <v>0.37333333333333335</v>
      </c>
      <c r="J102" s="121">
        <f t="shared" ref="J102:S102" si="434">J53/J61</f>
        <v>0.37333333333333335</v>
      </c>
      <c r="K102" s="121">
        <f t="shared" si="434"/>
        <v>0.8666666666666667</v>
      </c>
      <c r="L102" s="121">
        <f t="shared" si="434"/>
        <v>-1.64</v>
      </c>
      <c r="M102" s="121">
        <f t="shared" si="434"/>
        <v>0.10666666666666667</v>
      </c>
      <c r="N102" s="121">
        <f t="shared" si="434"/>
        <v>3.0266666666666668</v>
      </c>
      <c r="O102" s="121">
        <f t="shared" si="434"/>
        <v>2.12</v>
      </c>
      <c r="P102" s="121">
        <f t="shared" si="434"/>
        <v>6.3599999999999994</v>
      </c>
      <c r="Q102" s="121">
        <f t="shared" si="434"/>
        <v>12</v>
      </c>
      <c r="R102" s="121">
        <f t="shared" si="434"/>
        <v>34.666666666666664</v>
      </c>
      <c r="S102" s="121">
        <f t="shared" si="434"/>
        <v>24.657534246575342</v>
      </c>
      <c r="T102" s="121">
        <f t="shared" ref="T102:U102" si="435">T53/T61</f>
        <v>49.693251533742334</v>
      </c>
      <c r="U102" s="121">
        <f t="shared" si="435"/>
        <v>41.717791411042946</v>
      </c>
      <c r="V102" s="101">
        <f t="shared" si="323"/>
        <v>0.43462855132410483</v>
      </c>
      <c r="W102" s="109"/>
      <c r="X102" s="121">
        <f t="shared" ref="X102:AG102" si="436">X53/X61</f>
        <v>47.034764826175866</v>
      </c>
      <c r="Y102" s="121">
        <f t="shared" si="436"/>
        <v>53.02939171578651</v>
      </c>
      <c r="Z102" s="121">
        <f t="shared" si="436"/>
        <v>59.788039679563219</v>
      </c>
      <c r="AA102" s="121">
        <f t="shared" si="436"/>
        <v>67.40808395244872</v>
      </c>
      <c r="AB102" s="121">
        <f t="shared" si="436"/>
        <v>75.999310338545115</v>
      </c>
      <c r="AC102" s="121">
        <f t="shared" si="436"/>
        <v>85.68549695032047</v>
      </c>
      <c r="AD102" s="121">
        <f t="shared" si="436"/>
        <v>96.606197542027971</v>
      </c>
      <c r="AE102" s="121">
        <f t="shared" si="436"/>
        <v>108.91875213071781</v>
      </c>
      <c r="AF102" s="121">
        <f t="shared" si="436"/>
        <v>122.80055387286809</v>
      </c>
      <c r="AG102" s="121">
        <f t="shared" si="436"/>
        <v>138.451604856665</v>
      </c>
      <c r="AH102" s="115">
        <f t="shared" ref="AH102:AH104" si="437">((AG102/J102)^(1/($AG$3-$K$1) ))-1</f>
        <v>0.27952875738865823</v>
      </c>
      <c r="AI102" s="21">
        <f t="shared" si="18"/>
        <v>0.05</v>
      </c>
      <c r="AJ102" s="123">
        <f t="shared" si="331"/>
        <v>855.14226529116627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438">G59/G61</f>
        <v>-0.27999999999999997</v>
      </c>
      <c r="H103" s="121">
        <f t="shared" ref="H103:I103" si="439">H59/H61</f>
        <v>0.18666666666666668</v>
      </c>
      <c r="I103" s="121">
        <f t="shared" si="439"/>
        <v>-0.19999999999999998</v>
      </c>
      <c r="J103" s="121">
        <f t="shared" ref="J103:S103" si="440">J59/J61</f>
        <v>-0.19999999999999998</v>
      </c>
      <c r="K103" s="121">
        <f t="shared" si="440"/>
        <v>0.04</v>
      </c>
      <c r="L103" s="121">
        <f t="shared" si="440"/>
        <v>-1.7733333333333334</v>
      </c>
      <c r="M103" s="121">
        <f t="shared" si="440"/>
        <v>0.29333333333333333</v>
      </c>
      <c r="N103" s="121">
        <f t="shared" si="440"/>
        <v>0.65333333333333332</v>
      </c>
      <c r="O103" s="121">
        <f t="shared" si="440"/>
        <v>0.24</v>
      </c>
      <c r="P103" s="121">
        <f t="shared" si="440"/>
        <v>2.0533333333333332</v>
      </c>
      <c r="Q103" s="121">
        <f t="shared" si="440"/>
        <v>2.4266666666666667</v>
      </c>
      <c r="R103" s="121">
        <f t="shared" si="440"/>
        <v>12.866666666666667</v>
      </c>
      <c r="S103" s="121">
        <f t="shared" si="440"/>
        <v>13.698630136986301</v>
      </c>
      <c r="T103" s="121">
        <f t="shared" ref="T103:U103" si="441">T59/T61</f>
        <v>23.312883435582823</v>
      </c>
      <c r="U103" s="121">
        <f t="shared" si="441"/>
        <v>0.84049079754601241</v>
      </c>
      <c r="V103" s="101" t="e">
        <f t="shared" si="323"/>
        <v>#NUM!</v>
      </c>
      <c r="W103" s="109"/>
      <c r="X103" s="121">
        <f t="shared" ref="X103:AG103" si="442">X59/X61</f>
        <v>22.855768074100808</v>
      </c>
      <c r="Y103" s="121">
        <f t="shared" si="442"/>
        <v>25.768758122760712</v>
      </c>
      <c r="Z103" s="121">
        <f t="shared" si="442"/>
        <v>29.053011608994918</v>
      </c>
      <c r="AA103" s="121">
        <f t="shared" si="442"/>
        <v>32.755846421906028</v>
      </c>
      <c r="AB103" s="121">
        <f t="shared" si="442"/>
        <v>36.930611161952868</v>
      </c>
      <c r="AC103" s="121">
        <f t="shared" si="442"/>
        <v>41.637453761025291</v>
      </c>
      <c r="AD103" s="121">
        <f t="shared" si="442"/>
        <v>46.944188063901059</v>
      </c>
      <c r="AE103" s="121">
        <f t="shared" si="442"/>
        <v>52.92727085635903</v>
      </c>
      <c r="AF103" s="121">
        <f t="shared" si="442"/>
        <v>59.672903416483216</v>
      </c>
      <c r="AG103" s="121">
        <f t="shared" si="442"/>
        <v>67.27827345976047</v>
      </c>
      <c r="AH103" s="115" t="e">
        <f t="shared" si="437"/>
        <v>#NUM!</v>
      </c>
      <c r="AI103" s="21">
        <f t="shared" si="18"/>
        <v>0.05</v>
      </c>
      <c r="AJ103" s="123">
        <f t="shared" si="331"/>
        <v>415.54227725146183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443">G6/G61</f>
        <v>0.89333333333333342</v>
      </c>
      <c r="H104" s="121">
        <f t="shared" ref="H104:I104" si="444">H6/H61</f>
        <v>1.0666666666666667</v>
      </c>
      <c r="I104" s="121">
        <f t="shared" si="444"/>
        <v>1</v>
      </c>
      <c r="J104" s="121">
        <f t="shared" ref="J104:S104" si="445">J6/J61</f>
        <v>1</v>
      </c>
      <c r="K104" s="121">
        <f t="shared" si="445"/>
        <v>1.0266666666666666</v>
      </c>
      <c r="L104" s="121">
        <f t="shared" si="445"/>
        <v>-0.73333333333333339</v>
      </c>
      <c r="M104" s="121">
        <f t="shared" si="445"/>
        <v>-4.4000000000000004E-2</v>
      </c>
      <c r="N104" s="121">
        <f t="shared" si="445"/>
        <v>0.21333333333333335</v>
      </c>
      <c r="O104" s="121">
        <f t="shared" si="445"/>
        <v>0.45333333333333337</v>
      </c>
      <c r="P104" s="121">
        <f t="shared" si="445"/>
        <v>2.5066666666666664</v>
      </c>
      <c r="Q104" s="121">
        <f t="shared" si="445"/>
        <v>4</v>
      </c>
      <c r="R104" s="121">
        <f t="shared" si="445"/>
        <v>14.666666666666666</v>
      </c>
      <c r="S104" s="121">
        <f t="shared" si="445"/>
        <v>93.150684931506845</v>
      </c>
      <c r="T104" s="121">
        <f t="shared" ref="T104:U104" si="446">T6/T61</f>
        <v>125.15337423312884</v>
      </c>
      <c r="U104" s="121">
        <f t="shared" si="446"/>
        <v>123.92638036809817</v>
      </c>
      <c r="V104" s="101">
        <f t="shared" si="323"/>
        <v>0.42236393000298111</v>
      </c>
      <c r="W104" s="109"/>
      <c r="X104" s="121">
        <f t="shared" ref="X104:AG104" si="447">X6/X61</f>
        <v>139.72091904246361</v>
      </c>
      <c r="Y104" s="121">
        <f t="shared" si="447"/>
        <v>157.52848715571878</v>
      </c>
      <c r="Z104" s="121">
        <f t="shared" si="447"/>
        <v>177.60564728340839</v>
      </c>
      <c r="AA104" s="121">
        <f t="shared" si="447"/>
        <v>200.24166115286238</v>
      </c>
      <c r="AB104" s="121">
        <f t="shared" si="447"/>
        <v>225.76265718214873</v>
      </c>
      <c r="AC104" s="121">
        <f t="shared" si="447"/>
        <v>254.53632917595198</v>
      </c>
      <c r="AD104" s="121">
        <f t="shared" si="447"/>
        <v>286.9772338748478</v>
      </c>
      <c r="AE104" s="121">
        <f t="shared" si="447"/>
        <v>323.55276368242642</v>
      </c>
      <c r="AF104" s="121">
        <f t="shared" si="447"/>
        <v>364.78988062234345</v>
      </c>
      <c r="AG104" s="121">
        <f t="shared" si="447"/>
        <v>411.28270854479894</v>
      </c>
      <c r="AH104" s="115">
        <f t="shared" si="437"/>
        <v>0.28505737615825089</v>
      </c>
      <c r="AI104" s="21">
        <f t="shared" ref="AI104" si="448">$O$1</f>
        <v>0.05</v>
      </c>
      <c r="AJ104" s="123">
        <f t="shared" si="331"/>
        <v>2540.2755527766999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449">G59/$U$61</f>
        <v>-0.12883435582822086</v>
      </c>
      <c r="H106" s="121">
        <f t="shared" si="449"/>
        <v>8.5889570552147257E-2</v>
      </c>
      <c r="I106" s="121">
        <f t="shared" si="449"/>
        <v>-9.202453987730061E-2</v>
      </c>
      <c r="J106" s="121">
        <f t="shared" si="449"/>
        <v>-9.202453987730061E-2</v>
      </c>
      <c r="K106" s="121">
        <f t="shared" si="449"/>
        <v>1.8404907975460124E-2</v>
      </c>
      <c r="L106" s="121">
        <f t="shared" si="449"/>
        <v>-0.81595092024539884</v>
      </c>
      <c r="M106" s="121">
        <f t="shared" si="449"/>
        <v>0.13496932515337423</v>
      </c>
      <c r="N106" s="121">
        <f t="shared" si="449"/>
        <v>0.30061349693251538</v>
      </c>
      <c r="O106" s="121">
        <f t="shared" si="449"/>
        <v>0.11042944785276074</v>
      </c>
      <c r="P106" s="121">
        <f t="shared" si="449"/>
        <v>0.94478527607361973</v>
      </c>
      <c r="Q106" s="121">
        <f t="shared" si="449"/>
        <v>1.1165644171779143</v>
      </c>
      <c r="R106" s="121">
        <f t="shared" si="449"/>
        <v>5.920245398773007</v>
      </c>
      <c r="S106" s="121">
        <f t="shared" si="449"/>
        <v>12.269938650306749</v>
      </c>
      <c r="T106" s="121">
        <f t="shared" si="449"/>
        <v>23.312883435582823</v>
      </c>
      <c r="U106" s="121">
        <f>U59/$U$61</f>
        <v>0.84049079754601241</v>
      </c>
      <c r="V106" s="101" t="e">
        <f t="shared" si="323"/>
        <v>#NUM!</v>
      </c>
      <c r="W106" s="109"/>
      <c r="X106" s="121">
        <f t="shared" ref="X106:AG106" si="450">X59/X61</f>
        <v>22.855768074100808</v>
      </c>
      <c r="Y106" s="121">
        <f t="shared" si="450"/>
        <v>25.768758122760712</v>
      </c>
      <c r="Z106" s="121">
        <f t="shared" si="450"/>
        <v>29.053011608994918</v>
      </c>
      <c r="AA106" s="121">
        <f t="shared" si="450"/>
        <v>32.755846421906028</v>
      </c>
      <c r="AB106" s="121">
        <f t="shared" si="450"/>
        <v>36.930611161952868</v>
      </c>
      <c r="AC106" s="121">
        <f t="shared" si="450"/>
        <v>41.637453761025291</v>
      </c>
      <c r="AD106" s="121">
        <f t="shared" si="450"/>
        <v>46.944188063901059</v>
      </c>
      <c r="AE106" s="121">
        <f t="shared" si="450"/>
        <v>52.92727085635903</v>
      </c>
      <c r="AF106" s="121">
        <f t="shared" si="450"/>
        <v>59.672903416483216</v>
      </c>
      <c r="AG106" s="121">
        <f t="shared" si="450"/>
        <v>67.27827345976047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>
        <f t="shared" ref="G109" si="451">G53/G25</f>
        <v>8.9285714285714288E-2</v>
      </c>
      <c r="H109" s="128">
        <f t="shared" ref="H109:I109" si="452">H53/H25</f>
        <v>6.8965517241379309E-2</v>
      </c>
      <c r="I109" s="128">
        <f t="shared" si="452"/>
        <v>7.6086956521739135E-2</v>
      </c>
      <c r="J109" s="128">
        <f t="shared" ref="J109:S109" si="453">J53/J25</f>
        <v>7.6086956521739135E-2</v>
      </c>
      <c r="K109" s="128">
        <f t="shared" si="453"/>
        <v>0.20249221183800625</v>
      </c>
      <c r="L109" s="128">
        <f t="shared" si="453"/>
        <v>-0.73214285714285721</v>
      </c>
      <c r="M109" s="128">
        <f t="shared" si="453"/>
        <v>2.056555269922879E-2</v>
      </c>
      <c r="N109" s="128">
        <f t="shared" si="453"/>
        <v>0.30884353741496601</v>
      </c>
      <c r="O109" s="128">
        <f t="shared" si="453"/>
        <v>0.27556325823223576</v>
      </c>
      <c r="P109" s="128">
        <f t="shared" si="453"/>
        <v>0.52999999999999992</v>
      </c>
      <c r="Q109" s="128">
        <f t="shared" si="453"/>
        <v>0.5</v>
      </c>
      <c r="R109" s="128">
        <f t="shared" si="453"/>
        <v>0.65</v>
      </c>
      <c r="S109" s="128">
        <f t="shared" si="453"/>
        <v>0.5901639344262295</v>
      </c>
      <c r="T109" s="128">
        <f t="shared" ref="T109:U109" si="454">T53/T25</f>
        <v>0.64800000000000002</v>
      </c>
      <c r="U109" s="128">
        <f t="shared" si="454"/>
        <v>0.37362637362637363</v>
      </c>
      <c r="V109" s="101">
        <f t="shared" si="323"/>
        <v>0.10765361103576865</v>
      </c>
      <c r="W109" s="128"/>
      <c r="X109" s="128">
        <f t="shared" ref="X109:AG109" si="455">X53/X25</f>
        <v>0.37362637362637358</v>
      </c>
      <c r="Y109" s="128">
        <f t="shared" si="455"/>
        <v>0.37362637362637358</v>
      </c>
      <c r="Z109" s="128">
        <f t="shared" si="455"/>
        <v>0.37362637362637363</v>
      </c>
      <c r="AA109" s="128">
        <f t="shared" si="455"/>
        <v>0.37362637362637358</v>
      </c>
      <c r="AB109" s="128">
        <f t="shared" si="455"/>
        <v>0.37362637362637363</v>
      </c>
      <c r="AC109" s="128">
        <f t="shared" si="455"/>
        <v>0.37362637362637358</v>
      </c>
      <c r="AD109" s="128">
        <f t="shared" si="455"/>
        <v>0.37362637362637358</v>
      </c>
      <c r="AE109" s="128">
        <f t="shared" si="455"/>
        <v>0.37362637362637358</v>
      </c>
      <c r="AF109" s="128">
        <f t="shared" si="455"/>
        <v>0.37362637362637358</v>
      </c>
      <c r="AG109" s="128">
        <f t="shared" si="455"/>
        <v>0.37362637362637358</v>
      </c>
      <c r="AH109" s="115">
        <f t="shared" ref="AH109:AH158" si="456">((AG109/J109)^(1/($AG$3-$K$1) ))-1</f>
        <v>6.8555222728780896E-2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>
        <f t="shared" ref="G110" si="457">G59/G25</f>
        <v>-9.3749999999999986E-2</v>
      </c>
      <c r="H110" s="128">
        <f t="shared" ref="H110:I110" si="458">H59/H25</f>
        <v>4.8275862068965524E-2</v>
      </c>
      <c r="I110" s="128">
        <f t="shared" si="458"/>
        <v>-4.0760869565217385E-2</v>
      </c>
      <c r="J110" s="128">
        <f t="shared" ref="J110:S110" si="459">J59/J25</f>
        <v>-4.0760869565217385E-2</v>
      </c>
      <c r="K110" s="128">
        <f t="shared" si="459"/>
        <v>9.3457943925233638E-3</v>
      </c>
      <c r="L110" s="128">
        <f t="shared" si="459"/>
        <v>-0.79166666666666674</v>
      </c>
      <c r="M110" s="128">
        <f t="shared" si="459"/>
        <v>5.6555269922879174E-2</v>
      </c>
      <c r="N110" s="128">
        <f t="shared" si="459"/>
        <v>6.6666666666666666E-2</v>
      </c>
      <c r="O110" s="128">
        <f t="shared" si="459"/>
        <v>3.1195840554592721E-2</v>
      </c>
      <c r="P110" s="128">
        <f t="shared" si="459"/>
        <v>0.1711111111111111</v>
      </c>
      <c r="Q110" s="128">
        <f t="shared" si="459"/>
        <v>0.10111111111111111</v>
      </c>
      <c r="R110" s="128">
        <f t="shared" si="459"/>
        <v>0.24125000000000002</v>
      </c>
      <c r="S110" s="128">
        <f t="shared" si="459"/>
        <v>0.32786885245901637</v>
      </c>
      <c r="T110" s="128">
        <f t="shared" ref="T110:U110" si="460">T59/T25</f>
        <v>0.30399999999999999</v>
      </c>
      <c r="U110" s="128">
        <f t="shared" si="460"/>
        <v>7.5274725274725278E-3</v>
      </c>
      <c r="V110" s="101" t="e">
        <f t="shared" si="323"/>
        <v>#NUM!</v>
      </c>
      <c r="W110" s="128"/>
      <c r="X110" s="128">
        <f t="shared" ref="X110:AG110" si="461">X59/X25</f>
        <v>0.1815575728619207</v>
      </c>
      <c r="Y110" s="128">
        <f t="shared" si="461"/>
        <v>0.1815575728619207</v>
      </c>
      <c r="Z110" s="128">
        <f t="shared" si="461"/>
        <v>0.1815575728619207</v>
      </c>
      <c r="AA110" s="128">
        <f t="shared" si="461"/>
        <v>0.18155757286192067</v>
      </c>
      <c r="AB110" s="128">
        <f t="shared" si="461"/>
        <v>0.18155757286192067</v>
      </c>
      <c r="AC110" s="128">
        <f t="shared" si="461"/>
        <v>0.18155757286192065</v>
      </c>
      <c r="AD110" s="128">
        <f t="shared" si="461"/>
        <v>0.18155757286192067</v>
      </c>
      <c r="AE110" s="128">
        <f t="shared" si="461"/>
        <v>0.18155757286192065</v>
      </c>
      <c r="AF110" s="128">
        <f t="shared" si="461"/>
        <v>0.18155757286192065</v>
      </c>
      <c r="AG110" s="128">
        <f t="shared" si="461"/>
        <v>0.18155757286192065</v>
      </c>
      <c r="AH110" s="115" t="e">
        <f t="shared" si="456"/>
        <v>#NUM!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62">G59/G7</f>
        <v>-2.5703794369645042E-2</v>
      </c>
      <c r="H111" s="128">
        <f t="shared" ref="H111:I111" si="463">H59/H7</f>
        <v>1.684717208182912E-2</v>
      </c>
      <c r="I111" s="128">
        <f t="shared" si="463"/>
        <v>-1.8181818181818181E-2</v>
      </c>
      <c r="J111" s="128">
        <f>J59/J7</f>
        <v>-1.8181818181818181E-2</v>
      </c>
      <c r="K111" s="128">
        <f t="shared" ref="K111:R111" si="464">K59/K7</f>
        <v>3.6275695284159614E-3</v>
      </c>
      <c r="L111" s="128">
        <f t="shared" si="464"/>
        <v>-0.19</v>
      </c>
      <c r="M111" s="128">
        <f t="shared" si="464"/>
        <v>3.1428571428571431E-2</v>
      </c>
      <c r="N111" s="128">
        <f t="shared" si="464"/>
        <v>6.4473684210526322E-2</v>
      </c>
      <c r="O111" s="128">
        <f t="shared" si="464"/>
        <v>2.2959183673469389E-2</v>
      </c>
      <c r="P111" s="128">
        <f t="shared" si="464"/>
        <v>0.16417910447761194</v>
      </c>
      <c r="Q111" s="128">
        <f t="shared" si="464"/>
        <v>0.13</v>
      </c>
      <c r="R111" s="128">
        <f t="shared" si="464"/>
        <v>0.43863636363636366</v>
      </c>
      <c r="S111" s="128">
        <f t="shared" ref="S111:T111" si="465">S59/S7</f>
        <v>0.125</v>
      </c>
      <c r="T111" s="128">
        <f t="shared" si="465"/>
        <v>0.17272727272727273</v>
      </c>
      <c r="U111" s="128">
        <f t="shared" ref="U111" si="466">U59/U7</f>
        <v>6.2844036697247713E-3</v>
      </c>
      <c r="V111" s="101" t="e">
        <f t="shared" si="323"/>
        <v>#NUM!</v>
      </c>
      <c r="W111" s="10"/>
      <c r="X111" s="128">
        <f t="shared" ref="X111" si="467">X59/X7</f>
        <v>0.1515755883526127</v>
      </c>
      <c r="Y111" s="128">
        <f t="shared" ref="Y111:AG111" si="468">Y59/Y7</f>
        <v>0.1515755883526127</v>
      </c>
      <c r="Z111" s="128">
        <f t="shared" si="468"/>
        <v>0.15157558835261267</v>
      </c>
      <c r="AA111" s="128">
        <f t="shared" si="468"/>
        <v>0.15157558835261267</v>
      </c>
      <c r="AB111" s="128">
        <f t="shared" si="468"/>
        <v>0.15157558835261267</v>
      </c>
      <c r="AC111" s="128">
        <f t="shared" si="468"/>
        <v>0.15157558835261267</v>
      </c>
      <c r="AD111" s="128">
        <f t="shared" si="468"/>
        <v>0.1515755883526127</v>
      </c>
      <c r="AE111" s="128">
        <f t="shared" si="468"/>
        <v>0.1515755883526127</v>
      </c>
      <c r="AF111" s="128">
        <f t="shared" si="468"/>
        <v>0.1515755883526127</v>
      </c>
      <c r="AG111" s="128">
        <f t="shared" si="468"/>
        <v>0.15157558835261267</v>
      </c>
      <c r="AH111" s="115" t="e">
        <f t="shared" si="456"/>
        <v>#NUM!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69">(G59)/(G7+G10)</f>
        <v>-1.8181818181818181E-2</v>
      </c>
      <c r="H112" s="128">
        <f t="shared" ref="H112:I112" si="470">(H59)/(H7+H10)</f>
        <v>1.3552758954501453E-2</v>
      </c>
      <c r="I112" s="128">
        <f t="shared" si="470"/>
        <v>-1.3020833333333334E-2</v>
      </c>
      <c r="J112" s="128">
        <f>(J59)/(J7+J10)</f>
        <v>-1.3020833333333334E-2</v>
      </c>
      <c r="K112" s="128">
        <f t="shared" ref="K112:R112" si="471">(K59)/(K7+K10)</f>
        <v>3.4965034965034965E-3</v>
      </c>
      <c r="L112" s="128">
        <f t="shared" si="471"/>
        <v>-0.15537383177570094</v>
      </c>
      <c r="M112" s="128">
        <f t="shared" si="471"/>
        <v>1.5850144092219021E-2</v>
      </c>
      <c r="N112" s="128">
        <f t="shared" si="471"/>
        <v>2.5694808599895123E-2</v>
      </c>
      <c r="O112" s="128">
        <f t="shared" si="471"/>
        <v>1.2640449438202247E-2</v>
      </c>
      <c r="P112" s="128">
        <f t="shared" si="471"/>
        <v>5.3959355290819903E-2</v>
      </c>
      <c r="Q112" s="128">
        <f t="shared" si="471"/>
        <v>2.7575757575757576E-2</v>
      </c>
      <c r="R112" s="128">
        <f t="shared" si="471"/>
        <v>9.7474747474747478E-2</v>
      </c>
      <c r="S112" s="128">
        <f t="shared" ref="S112:T112" si="472">(S59)/(S7+S10)</f>
        <v>9.8522167487684734E-2</v>
      </c>
      <c r="T112" s="128">
        <f t="shared" si="472"/>
        <v>8.4632516703786187E-2</v>
      </c>
      <c r="U112" s="128">
        <f t="shared" ref="U112" si="473">(U59)/(U7+U10)</f>
        <v>2.4684684684684686E-3</v>
      </c>
      <c r="V112" s="101" t="e">
        <f t="shared" si="323"/>
        <v>#NUM!</v>
      </c>
      <c r="W112" s="10"/>
      <c r="X112" s="128">
        <f t="shared" ref="X112:AG112" si="474">(X59)/(X7+X10)</f>
        <v>5.9537798668233451E-2</v>
      </c>
      <c r="Y112" s="128">
        <f t="shared" si="474"/>
        <v>5.9537798668233458E-2</v>
      </c>
      <c r="Z112" s="128">
        <f t="shared" si="474"/>
        <v>5.9537798668233458E-2</v>
      </c>
      <c r="AA112" s="128">
        <f t="shared" si="474"/>
        <v>5.9537798668233451E-2</v>
      </c>
      <c r="AB112" s="128">
        <f t="shared" si="474"/>
        <v>5.9537798668233458E-2</v>
      </c>
      <c r="AC112" s="128">
        <f t="shared" si="474"/>
        <v>5.9537798668233451E-2</v>
      </c>
      <c r="AD112" s="128">
        <f t="shared" si="474"/>
        <v>5.9537798668233451E-2</v>
      </c>
      <c r="AE112" s="128">
        <f t="shared" si="474"/>
        <v>5.9537798668233458E-2</v>
      </c>
      <c r="AF112" s="128">
        <f t="shared" si="474"/>
        <v>5.9537798668233458E-2</v>
      </c>
      <c r="AG112" s="128">
        <f t="shared" si="474"/>
        <v>5.9537798668233451E-2</v>
      </c>
      <c r="AH112" s="115" t="e">
        <f t="shared" si="456"/>
        <v>#NUM!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>
        <f t="shared" ref="G113" si="475">G20/G25</f>
        <v>0</v>
      </c>
      <c r="H113" s="128">
        <f t="shared" ref="H113:I113" si="476">H20/H25</f>
        <v>0</v>
      </c>
      <c r="I113" s="128">
        <f t="shared" si="476"/>
        <v>0</v>
      </c>
      <c r="J113" s="128">
        <f>J20/J25</f>
        <v>0</v>
      </c>
      <c r="K113" s="128">
        <f t="shared" ref="K113:S113" si="477">K20/K25</f>
        <v>0</v>
      </c>
      <c r="L113" s="128">
        <f t="shared" si="477"/>
        <v>0</v>
      </c>
      <c r="M113" s="128">
        <f t="shared" si="477"/>
        <v>0</v>
      </c>
      <c r="N113" s="128">
        <f t="shared" si="477"/>
        <v>0</v>
      </c>
      <c r="O113" s="128">
        <f t="shared" si="477"/>
        <v>0</v>
      </c>
      <c r="P113" s="128">
        <f t="shared" si="477"/>
        <v>0</v>
      </c>
      <c r="Q113" s="128">
        <f t="shared" si="477"/>
        <v>0</v>
      </c>
      <c r="R113" s="128">
        <f t="shared" si="477"/>
        <v>0</v>
      </c>
      <c r="S113" s="128">
        <f t="shared" si="477"/>
        <v>0</v>
      </c>
      <c r="T113" s="128">
        <f t="shared" ref="T113:U113" si="478">T20/T25</f>
        <v>0</v>
      </c>
      <c r="U113" s="128">
        <f t="shared" si="478"/>
        <v>0</v>
      </c>
      <c r="V113" s="101" t="e">
        <f t="shared" si="323"/>
        <v>#DIV/0!</v>
      </c>
      <c r="W113" s="10"/>
      <c r="X113" s="128">
        <f t="shared" ref="X113:AG113" si="479">X20/X25</f>
        <v>0</v>
      </c>
      <c r="Y113" s="128">
        <f t="shared" si="479"/>
        <v>0</v>
      </c>
      <c r="Z113" s="128">
        <f t="shared" si="479"/>
        <v>0</v>
      </c>
      <c r="AA113" s="128">
        <f t="shared" si="479"/>
        <v>0</v>
      </c>
      <c r="AB113" s="128">
        <f t="shared" si="479"/>
        <v>0</v>
      </c>
      <c r="AC113" s="128">
        <f t="shared" si="479"/>
        <v>0</v>
      </c>
      <c r="AD113" s="128">
        <f t="shared" si="479"/>
        <v>0</v>
      </c>
      <c r="AE113" s="128">
        <f t="shared" si="479"/>
        <v>0</v>
      </c>
      <c r="AF113" s="128">
        <f t="shared" si="479"/>
        <v>0</v>
      </c>
      <c r="AG113" s="128">
        <f t="shared" si="479"/>
        <v>0</v>
      </c>
      <c r="AH113" s="115" t="e">
        <f t="shared" si="456"/>
        <v>#DIV/0!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>
        <f t="shared" ref="G114" si="480">G72/G25</f>
        <v>0.35267857142857134</v>
      </c>
      <c r="H114" s="128">
        <f t="shared" ref="H114:I114" si="481">H72/H25</f>
        <v>2.758620689655172E-2</v>
      </c>
      <c r="I114" s="128">
        <f t="shared" si="481"/>
        <v>2.7173913043478208E-3</v>
      </c>
      <c r="J114" s="128">
        <f>J72/J25</f>
        <v>2.7173913043478208E-3</v>
      </c>
      <c r="K114" s="128">
        <f t="shared" ref="K114:S114" si="482">K72/K25</f>
        <v>9.3457943925233638E-3</v>
      </c>
      <c r="L114" s="128">
        <f t="shared" si="482"/>
        <v>2.3809523809523832E-2</v>
      </c>
      <c r="M114" s="128">
        <f t="shared" si="482"/>
        <v>1.7994858611825187E-2</v>
      </c>
      <c r="N114" s="128">
        <f t="shared" si="482"/>
        <v>1.4965986394557823E-2</v>
      </c>
      <c r="O114" s="128">
        <f t="shared" si="482"/>
        <v>5.1993067590987872E-3</v>
      </c>
      <c r="P114" s="128">
        <f t="shared" si="482"/>
        <v>0</v>
      </c>
      <c r="Q114" s="128">
        <f t="shared" si="482"/>
        <v>6.5555555555555547E-2</v>
      </c>
      <c r="R114" s="128">
        <f t="shared" si="482"/>
        <v>0.10874999999999999</v>
      </c>
      <c r="S114" s="128">
        <f t="shared" si="482"/>
        <v>0.18032786885245902</v>
      </c>
      <c r="T114" s="128">
        <f t="shared" ref="T114:U114" si="483">T72/T25</f>
        <v>0.152</v>
      </c>
      <c r="U114" s="128">
        <f t="shared" si="483"/>
        <v>3.0934065934065932E-2</v>
      </c>
      <c r="V114" s="101">
        <f t="shared" si="323"/>
        <v>-0.15956498492775784</v>
      </c>
      <c r="W114" s="10"/>
      <c r="X114" s="128">
        <f t="shared" ref="X114:AG114" si="484">X72/X25</f>
        <v>-0.14309603440038224</v>
      </c>
      <c r="Y114" s="128">
        <f t="shared" si="484"/>
        <v>-0.14309603440038224</v>
      </c>
      <c r="Z114" s="128">
        <f t="shared" si="484"/>
        <v>-0.14309603440038224</v>
      </c>
      <c r="AA114" s="128">
        <f t="shared" si="484"/>
        <v>-0.14309603440038221</v>
      </c>
      <c r="AB114" s="128">
        <f t="shared" si="484"/>
        <v>-0.14309603440038221</v>
      </c>
      <c r="AC114" s="128">
        <f t="shared" si="484"/>
        <v>-0.14309603440038221</v>
      </c>
      <c r="AD114" s="128">
        <f t="shared" si="484"/>
        <v>-0.14309603440038221</v>
      </c>
      <c r="AE114" s="128">
        <f t="shared" si="484"/>
        <v>-0.14309603440038218</v>
      </c>
      <c r="AF114" s="128">
        <f t="shared" si="484"/>
        <v>-0.14309603440038215</v>
      </c>
      <c r="AG114" s="128">
        <f t="shared" si="484"/>
        <v>-0.14309603440038215</v>
      </c>
      <c r="AH114" s="115" t="e">
        <f t="shared" si="456"/>
        <v>#NUM!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>
        <f t="shared" ref="G116" si="485">G29/G25</f>
        <v>0.1294642857142857</v>
      </c>
      <c r="H116" s="128">
        <f t="shared" ref="H116:I116" si="486">H29/H25</f>
        <v>0.14137931034482759</v>
      </c>
      <c r="I116" s="128">
        <f t="shared" si="486"/>
        <v>0.20652173913043478</v>
      </c>
      <c r="J116" s="128">
        <f>J29/J25</f>
        <v>0.20652173913043478</v>
      </c>
      <c r="K116" s="128">
        <f t="shared" ref="K116:S116" si="487">K29/K25</f>
        <v>0.20249221183800625</v>
      </c>
      <c r="L116" s="128">
        <f t="shared" si="487"/>
        <v>0.15476190476190477</v>
      </c>
      <c r="M116" s="128">
        <f t="shared" si="487"/>
        <v>8.7403598971722368E-2</v>
      </c>
      <c r="N116" s="128">
        <f t="shared" si="487"/>
        <v>0.24081632653061225</v>
      </c>
      <c r="O116" s="128">
        <f t="shared" si="487"/>
        <v>0.27902946273830159</v>
      </c>
      <c r="P116" s="128">
        <f t="shared" si="487"/>
        <v>0.3611111111111111</v>
      </c>
      <c r="Q116" s="128">
        <f t="shared" si="487"/>
        <v>0.3888888888888889</v>
      </c>
      <c r="R116" s="128">
        <f t="shared" si="487"/>
        <v>0.35</v>
      </c>
      <c r="S116" s="128">
        <f t="shared" si="487"/>
        <v>0.19672131147540983</v>
      </c>
      <c r="T116" s="128">
        <f t="shared" ref="T116:U116" si="488">T29/T25</f>
        <v>0.224</v>
      </c>
      <c r="U116" s="128">
        <f t="shared" si="488"/>
        <v>0.35714285714285715</v>
      </c>
      <c r="V116" s="101">
        <f t="shared" si="323"/>
        <v>7.5172132227235622E-2</v>
      </c>
      <c r="W116" s="10"/>
      <c r="X116" s="128">
        <f t="shared" ref="X116:AG116" si="489">X29/X25</f>
        <v>0.35714285714285715</v>
      </c>
      <c r="Y116" s="128">
        <f t="shared" si="489"/>
        <v>0.35714285714285715</v>
      </c>
      <c r="Z116" s="128">
        <f t="shared" si="489"/>
        <v>0.35714285714285721</v>
      </c>
      <c r="AA116" s="128">
        <f t="shared" si="489"/>
        <v>0.35714285714285715</v>
      </c>
      <c r="AB116" s="128">
        <f t="shared" si="489"/>
        <v>0.35714285714285721</v>
      </c>
      <c r="AC116" s="128">
        <f t="shared" si="489"/>
        <v>0.35714285714285715</v>
      </c>
      <c r="AD116" s="128">
        <f t="shared" si="489"/>
        <v>0.35714285714285715</v>
      </c>
      <c r="AE116" s="128">
        <f t="shared" si="489"/>
        <v>0.35714285714285715</v>
      </c>
      <c r="AF116" s="128">
        <f t="shared" si="489"/>
        <v>0.3571428571428571</v>
      </c>
      <c r="AG116" s="128">
        <f t="shared" si="489"/>
        <v>0.35714285714285715</v>
      </c>
      <c r="AH116" s="115">
        <f t="shared" si="456"/>
        <v>2.308450727287803E-2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>
        <f t="shared" ref="G117" si="490">G29/G53</f>
        <v>1.4499999999999997</v>
      </c>
      <c r="H117" s="128">
        <f t="shared" ref="H117:I117" si="491">H29/H53</f>
        <v>2.0499999999999998</v>
      </c>
      <c r="I117" s="128">
        <f t="shared" si="491"/>
        <v>2.714285714285714</v>
      </c>
      <c r="J117" s="128">
        <f>J29/J53</f>
        <v>2.714285714285714</v>
      </c>
      <c r="K117" s="128">
        <f t="shared" ref="K117:S117" si="492">K29/K53</f>
        <v>1</v>
      </c>
      <c r="L117" s="128">
        <f t="shared" si="492"/>
        <v>-0.21138211382113822</v>
      </c>
      <c r="M117" s="128">
        <f t="shared" si="492"/>
        <v>4.25</v>
      </c>
      <c r="N117" s="128">
        <f t="shared" si="492"/>
        <v>0.77973568281938321</v>
      </c>
      <c r="O117" s="128">
        <f t="shared" si="492"/>
        <v>1.0125786163522013</v>
      </c>
      <c r="P117" s="128">
        <f t="shared" si="492"/>
        <v>0.68134171907756824</v>
      </c>
      <c r="Q117" s="128">
        <f t="shared" si="492"/>
        <v>0.77777777777777779</v>
      </c>
      <c r="R117" s="128">
        <f t="shared" si="492"/>
        <v>0.53846153846153844</v>
      </c>
      <c r="S117" s="128">
        <f t="shared" si="492"/>
        <v>0.33333333333333331</v>
      </c>
      <c r="T117" s="128">
        <f t="shared" ref="T117:U117" si="493">T29/T53</f>
        <v>0.34567901234567899</v>
      </c>
      <c r="U117" s="128">
        <f t="shared" si="493"/>
        <v>0.95588235294117652</v>
      </c>
      <c r="V117" s="101">
        <f t="shared" si="323"/>
        <v>-2.9324581696762886E-2</v>
      </c>
      <c r="W117" s="10"/>
      <c r="X117" s="128">
        <f t="shared" ref="X117:AG117" si="494">X29/X53</f>
        <v>0.95588235294117663</v>
      </c>
      <c r="Y117" s="128">
        <f t="shared" si="494"/>
        <v>0.95588235294117663</v>
      </c>
      <c r="Z117" s="128">
        <f t="shared" si="494"/>
        <v>0.95588235294117663</v>
      </c>
      <c r="AA117" s="128">
        <f t="shared" si="494"/>
        <v>0.95588235294117663</v>
      </c>
      <c r="AB117" s="128">
        <f t="shared" si="494"/>
        <v>0.95588235294117663</v>
      </c>
      <c r="AC117" s="128">
        <f t="shared" si="494"/>
        <v>0.95588235294117663</v>
      </c>
      <c r="AD117" s="128">
        <f t="shared" si="494"/>
        <v>0.95588235294117652</v>
      </c>
      <c r="AE117" s="128">
        <f t="shared" si="494"/>
        <v>0.95588235294117663</v>
      </c>
      <c r="AF117" s="128">
        <f t="shared" si="494"/>
        <v>0.95588235294117663</v>
      </c>
      <c r="AG117" s="128">
        <f t="shared" si="494"/>
        <v>0.95588235294117663</v>
      </c>
      <c r="AH117" s="115">
        <f t="shared" ref="AH117" si="495">((AG117/J117)^(1/($AG$3-$K$1) ))-1</f>
        <v>-4.2553453942963948E-2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496">G29/G59</f>
        <v>-1.3809523809523809</v>
      </c>
      <c r="H118" s="146">
        <f t="shared" ref="H118:I118" si="497">H29/H59</f>
        <v>2.9285714285714279</v>
      </c>
      <c r="I118" s="146">
        <f t="shared" si="497"/>
        <v>-5.0666666666666673</v>
      </c>
      <c r="J118" s="146">
        <f t="shared" ref="J118:S118" si="498">J29/J59</f>
        <v>-5.0666666666666673</v>
      </c>
      <c r="K118" s="146">
        <f t="shared" si="498"/>
        <v>21.666666666666668</v>
      </c>
      <c r="L118" s="146">
        <f t="shared" si="498"/>
        <v>-0.19548872180451127</v>
      </c>
      <c r="M118" s="146">
        <f t="shared" si="498"/>
        <v>1.5454545454545456</v>
      </c>
      <c r="N118" s="146">
        <f t="shared" si="498"/>
        <v>3.6122448979591839</v>
      </c>
      <c r="O118" s="146">
        <f t="shared" si="498"/>
        <v>8.9444444444444446</v>
      </c>
      <c r="P118" s="146">
        <f t="shared" si="498"/>
        <v>2.1103896103896105</v>
      </c>
      <c r="Q118" s="146">
        <f t="shared" si="498"/>
        <v>3.8461538461538458</v>
      </c>
      <c r="R118" s="146">
        <f t="shared" si="498"/>
        <v>1.4507772020725389</v>
      </c>
      <c r="S118" s="146">
        <f t="shared" si="498"/>
        <v>0.6</v>
      </c>
      <c r="T118" s="146">
        <f t="shared" ref="T118:U118" si="499">T29/T59</f>
        <v>0.73684210526315785</v>
      </c>
      <c r="U118" s="146">
        <f t="shared" si="499"/>
        <v>47.445255474452551</v>
      </c>
      <c r="V118" s="101" t="e">
        <f t="shared" si="323"/>
        <v>#NUM!</v>
      </c>
      <c r="W118" s="10"/>
      <c r="X118" s="146">
        <f t="shared" ref="X118:AG118" si="500">X29/X59</f>
        <v>1.9671052631578947</v>
      </c>
      <c r="Y118" s="146">
        <f t="shared" si="500"/>
        <v>1.9671052631578947</v>
      </c>
      <c r="Z118" s="146">
        <f t="shared" si="500"/>
        <v>1.9671052631578949</v>
      </c>
      <c r="AA118" s="146">
        <f t="shared" si="500"/>
        <v>1.9671052631578949</v>
      </c>
      <c r="AB118" s="146">
        <f t="shared" si="500"/>
        <v>1.9671052631578951</v>
      </c>
      <c r="AC118" s="146">
        <f t="shared" si="500"/>
        <v>1.9671052631578951</v>
      </c>
      <c r="AD118" s="146">
        <f t="shared" si="500"/>
        <v>1.9671052631578949</v>
      </c>
      <c r="AE118" s="146">
        <f t="shared" si="500"/>
        <v>1.9671052631578951</v>
      </c>
      <c r="AF118" s="146">
        <f t="shared" si="500"/>
        <v>1.9671052631578951</v>
      </c>
      <c r="AG118" s="146">
        <f t="shared" si="500"/>
        <v>1.9671052631578954</v>
      </c>
      <c r="AH118" s="115" t="e">
        <f t="shared" ref="AH118" si="501">((AG118/J118)^(1/($AG$3-$K$1) ))-1</f>
        <v>#NUM!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502">G29/G12</f>
        <v>1.2083333333333333</v>
      </c>
      <c r="H119" s="146">
        <f t="shared" ref="H119:I119" si="503">H29/H12</f>
        <v>1.0512820512820511</v>
      </c>
      <c r="I119" s="146">
        <f t="shared" si="503"/>
        <v>1.7272727272727273</v>
      </c>
      <c r="J119" s="146">
        <f t="shared" ref="J119:S119" si="504">J29/J12</f>
        <v>1.7272727272727273</v>
      </c>
      <c r="K119" s="146">
        <f t="shared" si="504"/>
        <v>1.25</v>
      </c>
      <c r="L119" s="146">
        <f t="shared" si="504"/>
        <v>7.6246334310850442E-2</v>
      </c>
      <c r="M119" s="146">
        <f t="shared" si="504"/>
        <v>0.30630630630630629</v>
      </c>
      <c r="N119" s="146">
        <f t="shared" si="504"/>
        <v>0.47708894878706198</v>
      </c>
      <c r="O119" s="146">
        <f t="shared" si="504"/>
        <v>0.94705882352941184</v>
      </c>
      <c r="P119" s="146">
        <f t="shared" si="504"/>
        <v>1.7015706806282722</v>
      </c>
      <c r="Q119" s="146">
        <f t="shared" si="504"/>
        <v>3.0434782608695654</v>
      </c>
      <c r="R119" s="146">
        <f t="shared" si="504"/>
        <v>0.51986632008911993</v>
      </c>
      <c r="S119" s="146">
        <f t="shared" si="504"/>
        <v>0.15384615384615385</v>
      </c>
      <c r="T119" s="146">
        <f t="shared" ref="T119:U119" si="505">T29/T12</f>
        <v>0.7</v>
      </c>
      <c r="U119" s="146">
        <f t="shared" si="505"/>
        <v>1.6666666666666667</v>
      </c>
      <c r="V119" s="101">
        <f t="shared" si="323"/>
        <v>2.3236106892753128E-2</v>
      </c>
      <c r="W119" s="10"/>
      <c r="X119" s="128">
        <f t="shared" ref="X119:AG119" si="506">X29/X12</f>
        <v>1.666666666666667</v>
      </c>
      <c r="Y119" s="128">
        <f t="shared" si="506"/>
        <v>1.666666666666667</v>
      </c>
      <c r="Z119" s="128">
        <f t="shared" si="506"/>
        <v>1.666666666666667</v>
      </c>
      <c r="AA119" s="128">
        <f t="shared" si="506"/>
        <v>1.6666666666666667</v>
      </c>
      <c r="AB119" s="128">
        <f t="shared" si="506"/>
        <v>1.666666666666667</v>
      </c>
      <c r="AC119" s="128">
        <f t="shared" si="506"/>
        <v>1.666666666666667</v>
      </c>
      <c r="AD119" s="128">
        <f t="shared" si="506"/>
        <v>1.6666666666666667</v>
      </c>
      <c r="AE119" s="128">
        <f t="shared" si="506"/>
        <v>1.666666666666667</v>
      </c>
      <c r="AF119" s="128">
        <f t="shared" si="506"/>
        <v>1.666666666666667</v>
      </c>
      <c r="AG119" s="128">
        <f t="shared" si="506"/>
        <v>1.666666666666667</v>
      </c>
      <c r="AH119" s="115">
        <f t="shared" si="456"/>
        <v>-1.4871465417838348E-3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 t="e">
        <f t="shared" ref="G120" si="507">G29/G23</f>
        <v>#DIV/0!</v>
      </c>
      <c r="H120" s="146" t="e">
        <f t="shared" ref="H120:I120" si="508">H29/H23</f>
        <v>#DIV/0!</v>
      </c>
      <c r="I120" s="146" t="e">
        <f t="shared" si="508"/>
        <v>#DIV/0!</v>
      </c>
      <c r="J120" s="146" t="e">
        <f>J29/J23</f>
        <v>#DIV/0!</v>
      </c>
      <c r="K120" s="146" t="e">
        <f t="shared" ref="K120:S120" si="509">K29/K23</f>
        <v>#DIV/0!</v>
      </c>
      <c r="L120" s="146" t="e">
        <f t="shared" si="509"/>
        <v>#DIV/0!</v>
      </c>
      <c r="M120" s="146" t="e">
        <f t="shared" si="509"/>
        <v>#DIV/0!</v>
      </c>
      <c r="N120" s="146" t="e">
        <f t="shared" si="509"/>
        <v>#DIV/0!</v>
      </c>
      <c r="O120" s="146" t="e">
        <f t="shared" si="509"/>
        <v>#DIV/0!</v>
      </c>
      <c r="P120" s="146" t="e">
        <f t="shared" si="509"/>
        <v>#DIV/0!</v>
      </c>
      <c r="Q120" s="146" t="e">
        <f t="shared" si="509"/>
        <v>#DIV/0!</v>
      </c>
      <c r="R120" s="146" t="e">
        <f t="shared" si="509"/>
        <v>#DIV/0!</v>
      </c>
      <c r="S120" s="146" t="e">
        <f t="shared" si="509"/>
        <v>#DIV/0!</v>
      </c>
      <c r="T120" s="146" t="e">
        <f t="shared" ref="T120:U120" si="510">T29/T23</f>
        <v>#DIV/0!</v>
      </c>
      <c r="U120" s="146" t="e">
        <f t="shared" si="510"/>
        <v>#DIV/0!</v>
      </c>
      <c r="V120" s="101" t="e">
        <f t="shared" si="323"/>
        <v>#DIV/0!</v>
      </c>
      <c r="W120" s="10"/>
      <c r="X120" s="146" t="e">
        <f t="shared" ref="X120:AG120" si="511">X29/X23</f>
        <v>#DIV/0!</v>
      </c>
      <c r="Y120" s="146" t="e">
        <f t="shared" si="511"/>
        <v>#DIV/0!</v>
      </c>
      <c r="Z120" s="146" t="e">
        <f t="shared" si="511"/>
        <v>#DIV/0!</v>
      </c>
      <c r="AA120" s="146" t="e">
        <f t="shared" si="511"/>
        <v>#DIV/0!</v>
      </c>
      <c r="AB120" s="146" t="e">
        <f t="shared" si="511"/>
        <v>#DIV/0!</v>
      </c>
      <c r="AC120" s="146" t="e">
        <f t="shared" si="511"/>
        <v>#DIV/0!</v>
      </c>
      <c r="AD120" s="146" t="e">
        <f t="shared" si="511"/>
        <v>#DIV/0!</v>
      </c>
      <c r="AE120" s="146" t="e">
        <f t="shared" si="511"/>
        <v>#DIV/0!</v>
      </c>
      <c r="AF120" s="146" t="e">
        <f t="shared" si="511"/>
        <v>#DIV/0!</v>
      </c>
      <c r="AG120" s="146" t="e">
        <f t="shared" si="511"/>
        <v>#DIV/0!</v>
      </c>
      <c r="AH120" s="115" t="e">
        <f t="shared" ref="AH120" si="512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>
        <f t="shared" ref="G122" si="513">1/G116</f>
        <v>7.724137931034484</v>
      </c>
      <c r="H122" s="108">
        <f t="shared" ref="H122:I122" si="514">1/H116</f>
        <v>7.0731707317073171</v>
      </c>
      <c r="I122" s="108">
        <f t="shared" si="514"/>
        <v>4.8421052631578947</v>
      </c>
      <c r="J122" s="108">
        <f>1/J116</f>
        <v>4.8421052631578947</v>
      </c>
      <c r="K122" s="108">
        <f t="shared" ref="K122:S122" si="515">1/K116</f>
        <v>4.9384615384615378</v>
      </c>
      <c r="L122" s="108">
        <f t="shared" si="515"/>
        <v>6.4615384615384617</v>
      </c>
      <c r="M122" s="108">
        <f t="shared" si="515"/>
        <v>11.441176470588236</v>
      </c>
      <c r="N122" s="108">
        <f t="shared" si="515"/>
        <v>4.1525423728813555</v>
      </c>
      <c r="O122" s="108">
        <f t="shared" si="515"/>
        <v>3.5838509316770182</v>
      </c>
      <c r="P122" s="108">
        <f t="shared" si="515"/>
        <v>2.7692307692307692</v>
      </c>
      <c r="Q122" s="108">
        <f t="shared" si="515"/>
        <v>2.5714285714285712</v>
      </c>
      <c r="R122" s="108">
        <f t="shared" si="515"/>
        <v>2.8571428571428572</v>
      </c>
      <c r="S122" s="108">
        <f t="shared" si="515"/>
        <v>5.083333333333333</v>
      </c>
      <c r="T122" s="108">
        <f t="shared" ref="T122:U122" si="516">1/T116</f>
        <v>4.4642857142857144</v>
      </c>
      <c r="U122" s="108">
        <f t="shared" si="516"/>
        <v>2.8</v>
      </c>
      <c r="V122" s="101">
        <f t="shared" si="323"/>
        <v>-6.9916369643542975E-2</v>
      </c>
      <c r="W122" s="10"/>
      <c r="X122" s="108">
        <f t="shared" ref="X122:AG122" si="517">1/X116</f>
        <v>2.8</v>
      </c>
      <c r="Y122" s="108">
        <f t="shared" si="517"/>
        <v>2.8</v>
      </c>
      <c r="Z122" s="108">
        <f t="shared" si="517"/>
        <v>2.7999999999999994</v>
      </c>
      <c r="AA122" s="108">
        <f t="shared" si="517"/>
        <v>2.8</v>
      </c>
      <c r="AB122" s="108">
        <f t="shared" si="517"/>
        <v>2.7999999999999994</v>
      </c>
      <c r="AC122" s="108">
        <f t="shared" si="517"/>
        <v>2.8</v>
      </c>
      <c r="AD122" s="108">
        <f t="shared" si="517"/>
        <v>2.8</v>
      </c>
      <c r="AE122" s="108">
        <f t="shared" si="517"/>
        <v>2.8</v>
      </c>
      <c r="AF122" s="108">
        <f t="shared" si="517"/>
        <v>2.8000000000000003</v>
      </c>
      <c r="AG122" s="108">
        <f t="shared" si="517"/>
        <v>2.8</v>
      </c>
      <c r="AH122" s="115">
        <f t="shared" si="456"/>
        <v>-2.2563636834274647E-2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>
        <f t="shared" ref="G123" si="518">1/G117</f>
        <v>0.68965517241379326</v>
      </c>
      <c r="H123" s="108">
        <f t="shared" ref="H123:I123" si="519">1/H117</f>
        <v>0.48780487804878053</v>
      </c>
      <c r="I123" s="108">
        <f t="shared" si="519"/>
        <v>0.36842105263157898</v>
      </c>
      <c r="J123" s="108">
        <f t="shared" ref="J123:S126" si="520">1/J117</f>
        <v>0.36842105263157898</v>
      </c>
      <c r="K123" s="108">
        <f t="shared" si="520"/>
        <v>1</v>
      </c>
      <c r="L123" s="108">
        <f t="shared" si="520"/>
        <v>-4.7307692307692308</v>
      </c>
      <c r="M123" s="108">
        <f t="shared" si="520"/>
        <v>0.23529411764705882</v>
      </c>
      <c r="N123" s="108">
        <f t="shared" si="520"/>
        <v>1.2824858757062148</v>
      </c>
      <c r="O123" s="108">
        <f t="shared" si="520"/>
        <v>0.98757763975155277</v>
      </c>
      <c r="P123" s="108">
        <f t="shared" si="520"/>
        <v>1.4676923076923074</v>
      </c>
      <c r="Q123" s="108">
        <f t="shared" si="520"/>
        <v>1.2857142857142856</v>
      </c>
      <c r="R123" s="108">
        <f t="shared" si="520"/>
        <v>1.8571428571428572</v>
      </c>
      <c r="S123" s="108">
        <f t="shared" si="520"/>
        <v>3</v>
      </c>
      <c r="T123" s="108">
        <f t="shared" ref="T123:U123" si="521">1/T117</f>
        <v>2.8928571428571432</v>
      </c>
      <c r="U123" s="108">
        <f t="shared" si="521"/>
        <v>1.0461538461538462</v>
      </c>
      <c r="V123" s="101">
        <f t="shared" si="323"/>
        <v>3.0210491729586453E-2</v>
      </c>
      <c r="W123" s="10"/>
      <c r="X123" s="108">
        <f t="shared" ref="X123:AG123" si="522">1/X117</f>
        <v>1.046153846153846</v>
      </c>
      <c r="Y123" s="108">
        <f t="shared" si="522"/>
        <v>1.046153846153846</v>
      </c>
      <c r="Z123" s="108">
        <f t="shared" si="522"/>
        <v>1.046153846153846</v>
      </c>
      <c r="AA123" s="108">
        <f t="shared" si="522"/>
        <v>1.046153846153846</v>
      </c>
      <c r="AB123" s="108">
        <f t="shared" si="522"/>
        <v>1.046153846153846</v>
      </c>
      <c r="AC123" s="108">
        <f t="shared" si="522"/>
        <v>1.046153846153846</v>
      </c>
      <c r="AD123" s="108">
        <f t="shared" si="522"/>
        <v>1.0461538461538462</v>
      </c>
      <c r="AE123" s="108">
        <f t="shared" si="522"/>
        <v>1.046153846153846</v>
      </c>
      <c r="AF123" s="108">
        <f t="shared" si="522"/>
        <v>1.046153846153846</v>
      </c>
      <c r="AG123" s="108">
        <f t="shared" si="522"/>
        <v>1.046153846153846</v>
      </c>
      <c r="AH123" s="115">
        <f t="shared" si="456"/>
        <v>4.4444730745761163E-2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>
        <f t="shared" ref="G124" si="523">1/G118</f>
        <v>-0.72413793103448276</v>
      </c>
      <c r="H124" s="108">
        <f t="shared" ref="H124:I124" si="524">1/H118</f>
        <v>0.34146341463414642</v>
      </c>
      <c r="I124" s="108">
        <f t="shared" si="524"/>
        <v>-0.19736842105263155</v>
      </c>
      <c r="J124" s="108">
        <f t="shared" si="520"/>
        <v>-0.19736842105263155</v>
      </c>
      <c r="K124" s="108">
        <f t="shared" si="520"/>
        <v>4.6153846153846149E-2</v>
      </c>
      <c r="L124" s="108">
        <f t="shared" si="520"/>
        <v>-5.1153846153846159</v>
      </c>
      <c r="M124" s="108">
        <f t="shared" si="520"/>
        <v>0.64705882352941169</v>
      </c>
      <c r="N124" s="108">
        <f t="shared" si="520"/>
        <v>0.2768361581920904</v>
      </c>
      <c r="O124" s="108">
        <f t="shared" si="520"/>
        <v>0.11180124223602485</v>
      </c>
      <c r="P124" s="108">
        <f t="shared" si="520"/>
        <v>0.47384615384615381</v>
      </c>
      <c r="Q124" s="108">
        <f t="shared" si="520"/>
        <v>0.26</v>
      </c>
      <c r="R124" s="108">
        <f t="shared" si="520"/>
        <v>0.68928571428571428</v>
      </c>
      <c r="S124" s="108">
        <f t="shared" si="520"/>
        <v>1.6666666666666667</v>
      </c>
      <c r="T124" s="108">
        <f t="shared" ref="T124:U124" si="525">1/T118</f>
        <v>1.3571428571428572</v>
      </c>
      <c r="U124" s="108">
        <f t="shared" si="525"/>
        <v>2.107692307692308E-2</v>
      </c>
      <c r="V124" s="101" t="e">
        <f t="shared" si="323"/>
        <v>#NUM!</v>
      </c>
      <c r="W124" s="10"/>
      <c r="X124" s="108">
        <f t="shared" ref="X124:AG124" si="526">1/X118</f>
        <v>0.50836120401337792</v>
      </c>
      <c r="Y124" s="108">
        <f t="shared" si="526"/>
        <v>0.50836120401337792</v>
      </c>
      <c r="Z124" s="108">
        <f t="shared" si="526"/>
        <v>0.50836120401337792</v>
      </c>
      <c r="AA124" s="108">
        <f t="shared" si="526"/>
        <v>0.50836120401337792</v>
      </c>
      <c r="AB124" s="108">
        <f t="shared" si="526"/>
        <v>0.50836120401337781</v>
      </c>
      <c r="AC124" s="108">
        <f t="shared" si="526"/>
        <v>0.50836120401337781</v>
      </c>
      <c r="AD124" s="108">
        <f t="shared" si="526"/>
        <v>0.50836120401337792</v>
      </c>
      <c r="AE124" s="108">
        <f t="shared" si="526"/>
        <v>0.50836120401337781</v>
      </c>
      <c r="AF124" s="108">
        <f t="shared" si="526"/>
        <v>0.50836120401337781</v>
      </c>
      <c r="AG124" s="108">
        <f t="shared" si="526"/>
        <v>0.50836120401337781</v>
      </c>
      <c r="AH124" s="115" t="e">
        <f t="shared" si="456"/>
        <v>#NUM!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>
        <f t="shared" ref="G125" si="527">1/G119</f>
        <v>0.82758620689655182</v>
      </c>
      <c r="H125" s="108">
        <f t="shared" ref="H125:I125" si="528">1/H119</f>
        <v>0.95121951219512213</v>
      </c>
      <c r="I125" s="108">
        <f t="shared" si="528"/>
        <v>0.57894736842105265</v>
      </c>
      <c r="J125" s="108">
        <f t="shared" si="520"/>
        <v>0.57894736842105265</v>
      </c>
      <c r="K125" s="108">
        <f t="shared" si="520"/>
        <v>0.8</v>
      </c>
      <c r="L125" s="108">
        <f t="shared" si="520"/>
        <v>13.115384615384615</v>
      </c>
      <c r="M125" s="108">
        <f t="shared" si="520"/>
        <v>3.2647058823529416</v>
      </c>
      <c r="N125" s="108">
        <f t="shared" si="520"/>
        <v>2.0960451977401129</v>
      </c>
      <c r="O125" s="108">
        <f t="shared" si="520"/>
        <v>1.0559006211180124</v>
      </c>
      <c r="P125" s="108">
        <f t="shared" si="520"/>
        <v>0.58769230769230774</v>
      </c>
      <c r="Q125" s="108">
        <f t="shared" si="520"/>
        <v>0.32857142857142857</v>
      </c>
      <c r="R125" s="108">
        <f t="shared" si="520"/>
        <v>1.9235714285714287</v>
      </c>
      <c r="S125" s="108">
        <f t="shared" si="520"/>
        <v>6.5</v>
      </c>
      <c r="T125" s="108">
        <f t="shared" ref="T125:U125" si="529">1/T119</f>
        <v>1.4285714285714286</v>
      </c>
      <c r="U125" s="108">
        <f t="shared" si="529"/>
        <v>0.6</v>
      </c>
      <c r="V125" s="101">
        <f t="shared" si="323"/>
        <v>-2.2708450900265853E-2</v>
      </c>
      <c r="W125" s="10"/>
      <c r="X125" s="108">
        <f t="shared" ref="X125:AG125" si="530">1/X119</f>
        <v>0.59999999999999987</v>
      </c>
      <c r="Y125" s="108">
        <f t="shared" si="530"/>
        <v>0.59999999999999987</v>
      </c>
      <c r="Z125" s="108">
        <f t="shared" si="530"/>
        <v>0.59999999999999987</v>
      </c>
      <c r="AA125" s="108">
        <f t="shared" si="530"/>
        <v>0.6</v>
      </c>
      <c r="AB125" s="108">
        <f t="shared" si="530"/>
        <v>0.59999999999999987</v>
      </c>
      <c r="AC125" s="108">
        <f t="shared" si="530"/>
        <v>0.59999999999999987</v>
      </c>
      <c r="AD125" s="108">
        <f t="shared" si="530"/>
        <v>0.6</v>
      </c>
      <c r="AE125" s="108">
        <f t="shared" si="530"/>
        <v>0.59999999999999987</v>
      </c>
      <c r="AF125" s="108">
        <f t="shared" si="530"/>
        <v>0.59999999999999987</v>
      </c>
      <c r="AG125" s="108">
        <f t="shared" si="530"/>
        <v>0.59999999999999987</v>
      </c>
      <c r="AH125" s="115">
        <f t="shared" si="456"/>
        <v>1.4893614404996036E-3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 t="e">
        <f t="shared" ref="G126" si="531">1/G120</f>
        <v>#DIV/0!</v>
      </c>
      <c r="H126" s="108" t="e">
        <f t="shared" ref="H126:I126" si="532">1/H120</f>
        <v>#DIV/0!</v>
      </c>
      <c r="I126" s="108" t="e">
        <f t="shared" si="532"/>
        <v>#DIV/0!</v>
      </c>
      <c r="J126" s="108" t="e">
        <f t="shared" si="520"/>
        <v>#DIV/0!</v>
      </c>
      <c r="K126" s="108" t="e">
        <f t="shared" si="520"/>
        <v>#DIV/0!</v>
      </c>
      <c r="L126" s="108" t="e">
        <f t="shared" si="520"/>
        <v>#DIV/0!</v>
      </c>
      <c r="M126" s="108" t="e">
        <f t="shared" si="520"/>
        <v>#DIV/0!</v>
      </c>
      <c r="N126" s="108" t="e">
        <f t="shared" si="520"/>
        <v>#DIV/0!</v>
      </c>
      <c r="O126" s="108" t="e">
        <f t="shared" si="520"/>
        <v>#DIV/0!</v>
      </c>
      <c r="P126" s="108" t="e">
        <f t="shared" si="520"/>
        <v>#DIV/0!</v>
      </c>
      <c r="Q126" s="108" t="e">
        <f t="shared" si="520"/>
        <v>#DIV/0!</v>
      </c>
      <c r="R126" s="108" t="e">
        <f t="shared" si="520"/>
        <v>#DIV/0!</v>
      </c>
      <c r="S126" s="108" t="e">
        <f t="shared" si="520"/>
        <v>#DIV/0!</v>
      </c>
      <c r="T126" s="108" t="e">
        <f t="shared" ref="T126:U126" si="533">1/T120</f>
        <v>#DIV/0!</v>
      </c>
      <c r="U126" s="108" t="e">
        <f t="shared" si="533"/>
        <v>#DIV/0!</v>
      </c>
      <c r="V126" s="101" t="e">
        <f t="shared" si="323"/>
        <v>#DIV/0!</v>
      </c>
      <c r="W126" s="10"/>
      <c r="X126" s="108" t="e">
        <f t="shared" ref="X126:AG126" si="534">1/X120</f>
        <v>#DIV/0!</v>
      </c>
      <c r="Y126" s="108" t="e">
        <f t="shared" si="534"/>
        <v>#DIV/0!</v>
      </c>
      <c r="Z126" s="108" t="e">
        <f t="shared" si="534"/>
        <v>#DIV/0!</v>
      </c>
      <c r="AA126" s="108" t="e">
        <f t="shared" si="534"/>
        <v>#DIV/0!</v>
      </c>
      <c r="AB126" s="108" t="e">
        <f t="shared" si="534"/>
        <v>#DIV/0!</v>
      </c>
      <c r="AC126" s="108" t="e">
        <f t="shared" si="534"/>
        <v>#DIV/0!</v>
      </c>
      <c r="AD126" s="108" t="e">
        <f t="shared" si="534"/>
        <v>#DIV/0!</v>
      </c>
      <c r="AE126" s="108" t="e">
        <f t="shared" si="534"/>
        <v>#DIV/0!</v>
      </c>
      <c r="AF126" s="108" t="e">
        <f t="shared" si="534"/>
        <v>#DIV/0!</v>
      </c>
      <c r="AG126" s="108" t="e">
        <f t="shared" si="534"/>
        <v>#DIV/0!</v>
      </c>
      <c r="AH126" s="115" t="e">
        <f t="shared" si="456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5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35">G25/(G36+G38)</f>
        <v>#DIV/0!</v>
      </c>
      <c r="H128" s="146" t="e">
        <f t="shared" ref="H128:I128" si="536">H25/(H36+H38)</f>
        <v>#DIV/0!</v>
      </c>
      <c r="I128" s="146" t="e">
        <f t="shared" si="536"/>
        <v>#DIV/0!</v>
      </c>
      <c r="J128" s="146" t="e">
        <f t="shared" ref="J128:T128" si="537">J25/(J36+J38)</f>
        <v>#DIV/0!</v>
      </c>
      <c r="K128" s="146" t="e">
        <f t="shared" si="537"/>
        <v>#DIV/0!</v>
      </c>
      <c r="L128" s="146" t="e">
        <f t="shared" si="537"/>
        <v>#DIV/0!</v>
      </c>
      <c r="M128" s="146" t="e">
        <f t="shared" si="537"/>
        <v>#DIV/0!</v>
      </c>
      <c r="N128" s="146" t="e">
        <f t="shared" si="537"/>
        <v>#DIV/0!</v>
      </c>
      <c r="O128" s="146" t="e">
        <f t="shared" si="537"/>
        <v>#DIV/0!</v>
      </c>
      <c r="P128" s="146" t="e">
        <f t="shared" si="537"/>
        <v>#DIV/0!</v>
      </c>
      <c r="Q128" s="146" t="e">
        <f t="shared" si="537"/>
        <v>#DIV/0!</v>
      </c>
      <c r="R128" s="146" t="e">
        <f t="shared" si="537"/>
        <v>#DIV/0!</v>
      </c>
      <c r="S128" s="146" t="e">
        <f t="shared" si="537"/>
        <v>#DIV/0!</v>
      </c>
      <c r="T128" s="146" t="e">
        <f t="shared" si="537"/>
        <v>#DIV/0!</v>
      </c>
      <c r="U128" s="146">
        <f t="shared" ref="U128" si="538">U25/(U36+U38)</f>
        <v>182</v>
      </c>
      <c r="V128" s="101" t="e">
        <f t="shared" si="323"/>
        <v>#DIV/0!</v>
      </c>
      <c r="W128" s="10"/>
      <c r="X128" s="146">
        <f t="shared" ref="X128:AG128" si="539">X25/(X36+X38)</f>
        <v>182</v>
      </c>
      <c r="Y128" s="146">
        <f t="shared" si="539"/>
        <v>182</v>
      </c>
      <c r="Z128" s="146">
        <f t="shared" si="539"/>
        <v>182</v>
      </c>
      <c r="AA128" s="146">
        <f t="shared" si="539"/>
        <v>182</v>
      </c>
      <c r="AB128" s="146">
        <f t="shared" si="539"/>
        <v>182</v>
      </c>
      <c r="AC128" s="146">
        <f t="shared" si="539"/>
        <v>182</v>
      </c>
      <c r="AD128" s="146">
        <f t="shared" si="539"/>
        <v>182</v>
      </c>
      <c r="AE128" s="146">
        <f t="shared" si="539"/>
        <v>182.00000000000003</v>
      </c>
      <c r="AF128" s="146">
        <f t="shared" si="539"/>
        <v>182.00000000000003</v>
      </c>
      <c r="AG128" s="146">
        <f t="shared" si="539"/>
        <v>182</v>
      </c>
      <c r="AH128" s="115" t="e">
        <f t="shared" ref="AH128:AH136" si="540">((AG128/J128)^(1/($AG$3-$K$1) ))-1</f>
        <v>#DIV/0!</v>
      </c>
      <c r="AI128" s="123"/>
      <c r="AJ128" s="123"/>
    </row>
    <row r="129" spans="1:36" ht="12" customHeight="1">
      <c r="A129" s="305"/>
      <c r="B129" s="177" t="s">
        <v>420</v>
      </c>
      <c r="C129" s="128"/>
      <c r="D129" s="128"/>
      <c r="E129" s="128"/>
      <c r="F129" s="146"/>
      <c r="G129" s="146" t="e">
        <f t="shared" ref="G129" si="541">G25/G43</f>
        <v>#DIV/0!</v>
      </c>
      <c r="H129" s="146" t="e">
        <f t="shared" ref="H129:I129" si="542">H25/H43</f>
        <v>#DIV/0!</v>
      </c>
      <c r="I129" s="146" t="e">
        <f t="shared" si="542"/>
        <v>#DIV/0!</v>
      </c>
      <c r="J129" s="146" t="e">
        <f t="shared" ref="J129:T129" si="543">J25/J43</f>
        <v>#DIV/0!</v>
      </c>
      <c r="K129" s="146" t="e">
        <f t="shared" si="543"/>
        <v>#DIV/0!</v>
      </c>
      <c r="L129" s="146" t="e">
        <f t="shared" si="543"/>
        <v>#DIV/0!</v>
      </c>
      <c r="M129" s="146" t="e">
        <f t="shared" si="543"/>
        <v>#DIV/0!</v>
      </c>
      <c r="N129" s="146" t="e">
        <f t="shared" si="543"/>
        <v>#DIV/0!</v>
      </c>
      <c r="O129" s="146" t="e">
        <f t="shared" si="543"/>
        <v>#DIV/0!</v>
      </c>
      <c r="P129" s="146" t="e">
        <f t="shared" si="543"/>
        <v>#DIV/0!</v>
      </c>
      <c r="Q129" s="146" t="e">
        <f t="shared" si="543"/>
        <v>#DIV/0!</v>
      </c>
      <c r="R129" s="146" t="e">
        <f t="shared" si="543"/>
        <v>#DIV/0!</v>
      </c>
      <c r="S129" s="146" t="e">
        <f t="shared" si="543"/>
        <v>#DIV/0!</v>
      </c>
      <c r="T129" s="146" t="e">
        <f t="shared" si="543"/>
        <v>#DIV/0!</v>
      </c>
      <c r="U129" s="146" t="e">
        <f t="shared" ref="U129" si="544">U25/U43</f>
        <v>#DIV/0!</v>
      </c>
      <c r="V129" s="101" t="e">
        <f t="shared" si="323"/>
        <v>#DIV/0!</v>
      </c>
      <c r="W129" s="10"/>
      <c r="X129" s="146" t="e">
        <f t="shared" ref="X129:AG129" si="545">X25/X43</f>
        <v>#DIV/0!</v>
      </c>
      <c r="Y129" s="146" t="e">
        <f t="shared" si="545"/>
        <v>#DIV/0!</v>
      </c>
      <c r="Z129" s="146" t="e">
        <f t="shared" si="545"/>
        <v>#DIV/0!</v>
      </c>
      <c r="AA129" s="146" t="e">
        <f t="shared" si="545"/>
        <v>#DIV/0!</v>
      </c>
      <c r="AB129" s="146" t="e">
        <f t="shared" si="545"/>
        <v>#DIV/0!</v>
      </c>
      <c r="AC129" s="146" t="e">
        <f t="shared" si="545"/>
        <v>#DIV/0!</v>
      </c>
      <c r="AD129" s="146" t="e">
        <f t="shared" si="545"/>
        <v>#DIV/0!</v>
      </c>
      <c r="AE129" s="146" t="e">
        <f t="shared" si="545"/>
        <v>#DIV/0!</v>
      </c>
      <c r="AF129" s="146" t="e">
        <f t="shared" si="545"/>
        <v>#DIV/0!</v>
      </c>
      <c r="AG129" s="146" t="e">
        <f t="shared" si="545"/>
        <v>#DIV/0!</v>
      </c>
      <c r="AH129" s="115" t="e">
        <f t="shared" si="540"/>
        <v>#DIV/0!</v>
      </c>
      <c r="AI129" s="123"/>
      <c r="AJ129" s="123"/>
    </row>
    <row r="130" spans="1:36" ht="12" customHeight="1">
      <c r="A130" s="305"/>
      <c r="B130" s="177" t="s">
        <v>426</v>
      </c>
      <c r="C130" s="128"/>
      <c r="D130" s="128"/>
      <c r="E130" s="128"/>
      <c r="F130" s="146"/>
      <c r="G130" s="146" t="e">
        <f t="shared" ref="G130" si="546">G43/(G36)</f>
        <v>#DIV/0!</v>
      </c>
      <c r="H130" s="146" t="e">
        <f t="shared" ref="H130:I130" si="547">H43/(H36)</f>
        <v>#DIV/0!</v>
      </c>
      <c r="I130" s="146" t="e">
        <f t="shared" si="547"/>
        <v>#DIV/0!</v>
      </c>
      <c r="J130" s="146" t="e">
        <f t="shared" ref="J130:T130" si="548">J43/(J36)</f>
        <v>#DIV/0!</v>
      </c>
      <c r="K130" s="146" t="e">
        <f t="shared" si="548"/>
        <v>#DIV/0!</v>
      </c>
      <c r="L130" s="146" t="e">
        <f t="shared" si="548"/>
        <v>#DIV/0!</v>
      </c>
      <c r="M130" s="146" t="e">
        <f t="shared" si="548"/>
        <v>#DIV/0!</v>
      </c>
      <c r="N130" s="146" t="e">
        <f t="shared" si="548"/>
        <v>#DIV/0!</v>
      </c>
      <c r="O130" s="146" t="e">
        <f t="shared" si="548"/>
        <v>#DIV/0!</v>
      </c>
      <c r="P130" s="146" t="e">
        <f t="shared" si="548"/>
        <v>#DIV/0!</v>
      </c>
      <c r="Q130" s="146" t="e">
        <f t="shared" si="548"/>
        <v>#DIV/0!</v>
      </c>
      <c r="R130" s="146" t="e">
        <f t="shared" si="548"/>
        <v>#DIV/0!</v>
      </c>
      <c r="S130" s="146" t="e">
        <f t="shared" si="548"/>
        <v>#DIV/0!</v>
      </c>
      <c r="T130" s="146" t="e">
        <f t="shared" si="548"/>
        <v>#DIV/0!</v>
      </c>
      <c r="U130" s="146" t="e">
        <f t="shared" ref="U130" si="549">U43/(U36)</f>
        <v>#DIV/0!</v>
      </c>
      <c r="V130" s="101" t="e">
        <f t="shared" si="323"/>
        <v>#DIV/0!</v>
      </c>
      <c r="W130" s="10"/>
      <c r="X130" s="146">
        <f t="shared" ref="X130:AG130" si="550">X43/(X36+X38)</f>
        <v>0</v>
      </c>
      <c r="Y130" s="146">
        <f t="shared" si="550"/>
        <v>0</v>
      </c>
      <c r="Z130" s="146">
        <f t="shared" si="550"/>
        <v>0</v>
      </c>
      <c r="AA130" s="146">
        <f t="shared" si="550"/>
        <v>0</v>
      </c>
      <c r="AB130" s="146">
        <f t="shared" si="550"/>
        <v>0</v>
      </c>
      <c r="AC130" s="146">
        <f t="shared" si="550"/>
        <v>0</v>
      </c>
      <c r="AD130" s="146">
        <f t="shared" si="550"/>
        <v>0</v>
      </c>
      <c r="AE130" s="146">
        <f t="shared" si="550"/>
        <v>0</v>
      </c>
      <c r="AF130" s="146">
        <f t="shared" si="550"/>
        <v>0</v>
      </c>
      <c r="AG130" s="146">
        <f t="shared" si="550"/>
        <v>0</v>
      </c>
      <c r="AH130" s="115" t="e">
        <f t="shared" si="540"/>
        <v>#DIV/0!</v>
      </c>
      <c r="AI130" s="123"/>
      <c r="AJ130" s="123"/>
    </row>
    <row r="131" spans="1:36" ht="12" customHeight="1">
      <c r="A131" s="305"/>
      <c r="B131" s="177" t="s">
        <v>424</v>
      </c>
      <c r="C131" s="128"/>
      <c r="D131" s="128"/>
      <c r="E131" s="128"/>
      <c r="F131" s="146"/>
      <c r="G131" s="146" t="e">
        <f t="shared" ref="G131" si="551">G43/G38</f>
        <v>#DIV/0!</v>
      </c>
      <c r="H131" s="146" t="e">
        <f t="shared" ref="H131:I131" si="552">H43/H38</f>
        <v>#DIV/0!</v>
      </c>
      <c r="I131" s="146" t="e">
        <f t="shared" si="552"/>
        <v>#DIV/0!</v>
      </c>
      <c r="J131" s="146" t="e">
        <f t="shared" ref="J131:T131" si="553">J43/J38</f>
        <v>#DIV/0!</v>
      </c>
      <c r="K131" s="146" t="e">
        <f t="shared" si="553"/>
        <v>#DIV/0!</v>
      </c>
      <c r="L131" s="146" t="e">
        <f t="shared" si="553"/>
        <v>#DIV/0!</v>
      </c>
      <c r="M131" s="146" t="e">
        <f t="shared" si="553"/>
        <v>#DIV/0!</v>
      </c>
      <c r="N131" s="146" t="e">
        <f t="shared" si="553"/>
        <v>#DIV/0!</v>
      </c>
      <c r="O131" s="146" t="e">
        <f t="shared" si="553"/>
        <v>#DIV/0!</v>
      </c>
      <c r="P131" s="146" t="e">
        <f t="shared" si="553"/>
        <v>#DIV/0!</v>
      </c>
      <c r="Q131" s="146" t="e">
        <f t="shared" si="553"/>
        <v>#DIV/0!</v>
      </c>
      <c r="R131" s="146" t="e">
        <f t="shared" si="553"/>
        <v>#DIV/0!</v>
      </c>
      <c r="S131" s="146" t="e">
        <f t="shared" si="553"/>
        <v>#DIV/0!</v>
      </c>
      <c r="T131" s="146" t="e">
        <f t="shared" si="553"/>
        <v>#DIV/0!</v>
      </c>
      <c r="U131" s="146">
        <f t="shared" ref="U131" si="554">U43/U38</f>
        <v>0</v>
      </c>
      <c r="V131" s="101" t="e">
        <f t="shared" si="323"/>
        <v>#DIV/0!</v>
      </c>
      <c r="W131" s="10"/>
      <c r="X131" s="146">
        <f t="shared" ref="X131:AG131" si="555">X43/X38</f>
        <v>0</v>
      </c>
      <c r="Y131" s="146">
        <f t="shared" si="555"/>
        <v>0</v>
      </c>
      <c r="Z131" s="146">
        <f t="shared" si="555"/>
        <v>0</v>
      </c>
      <c r="AA131" s="146">
        <f t="shared" si="555"/>
        <v>0</v>
      </c>
      <c r="AB131" s="146">
        <f t="shared" si="555"/>
        <v>0</v>
      </c>
      <c r="AC131" s="146">
        <f t="shared" si="555"/>
        <v>0</v>
      </c>
      <c r="AD131" s="146">
        <f t="shared" si="555"/>
        <v>0</v>
      </c>
      <c r="AE131" s="146">
        <f t="shared" si="555"/>
        <v>0</v>
      </c>
      <c r="AF131" s="146">
        <f t="shared" si="555"/>
        <v>0</v>
      </c>
      <c r="AG131" s="146">
        <f t="shared" si="555"/>
        <v>0</v>
      </c>
      <c r="AH131" s="115" t="e">
        <f t="shared" si="540"/>
        <v>#DIV/0!</v>
      </c>
      <c r="AI131" s="123"/>
      <c r="AJ131" s="123"/>
    </row>
    <row r="132" spans="1:36" ht="12" customHeight="1">
      <c r="A132" s="305"/>
      <c r="B132" s="177" t="s">
        <v>423</v>
      </c>
      <c r="C132" s="128"/>
      <c r="D132" s="128"/>
      <c r="E132" s="128"/>
      <c r="F132" s="146"/>
      <c r="G132" s="146" t="e">
        <f t="shared" ref="G132" si="556">G43/(G36+G38)</f>
        <v>#DIV/0!</v>
      </c>
      <c r="H132" s="146" t="e">
        <f t="shared" ref="H132:I132" si="557">H43/(H36+H38)</f>
        <v>#DIV/0!</v>
      </c>
      <c r="I132" s="146" t="e">
        <f t="shared" si="557"/>
        <v>#DIV/0!</v>
      </c>
      <c r="J132" s="146" t="e">
        <f t="shared" ref="J132:T132" si="558">J43/(J36+J38)</f>
        <v>#DIV/0!</v>
      </c>
      <c r="K132" s="146" t="e">
        <f t="shared" si="558"/>
        <v>#DIV/0!</v>
      </c>
      <c r="L132" s="146" t="e">
        <f t="shared" si="558"/>
        <v>#DIV/0!</v>
      </c>
      <c r="M132" s="146" t="e">
        <f t="shared" si="558"/>
        <v>#DIV/0!</v>
      </c>
      <c r="N132" s="146" t="e">
        <f t="shared" si="558"/>
        <v>#DIV/0!</v>
      </c>
      <c r="O132" s="146" t="e">
        <f t="shared" si="558"/>
        <v>#DIV/0!</v>
      </c>
      <c r="P132" s="146" t="e">
        <f t="shared" si="558"/>
        <v>#DIV/0!</v>
      </c>
      <c r="Q132" s="146" t="e">
        <f t="shared" si="558"/>
        <v>#DIV/0!</v>
      </c>
      <c r="R132" s="146" t="e">
        <f t="shared" si="558"/>
        <v>#DIV/0!</v>
      </c>
      <c r="S132" s="146" t="e">
        <f t="shared" si="558"/>
        <v>#DIV/0!</v>
      </c>
      <c r="T132" s="146" t="e">
        <f t="shared" si="558"/>
        <v>#DIV/0!</v>
      </c>
      <c r="U132" s="146">
        <f t="shared" ref="U132" si="559">U43/(U36+U38)</f>
        <v>0</v>
      </c>
      <c r="V132" s="101" t="e">
        <f t="shared" si="323"/>
        <v>#DIV/0!</v>
      </c>
      <c r="W132" s="10"/>
      <c r="X132" s="146">
        <f t="shared" ref="X132:AG132" si="560">X43/(X36+X38)</f>
        <v>0</v>
      </c>
      <c r="Y132" s="146">
        <f t="shared" si="560"/>
        <v>0</v>
      </c>
      <c r="Z132" s="146">
        <f t="shared" si="560"/>
        <v>0</v>
      </c>
      <c r="AA132" s="146">
        <f t="shared" si="560"/>
        <v>0</v>
      </c>
      <c r="AB132" s="146">
        <f t="shared" si="560"/>
        <v>0</v>
      </c>
      <c r="AC132" s="146">
        <f t="shared" si="560"/>
        <v>0</v>
      </c>
      <c r="AD132" s="146">
        <f t="shared" si="560"/>
        <v>0</v>
      </c>
      <c r="AE132" s="146">
        <f t="shared" si="560"/>
        <v>0</v>
      </c>
      <c r="AF132" s="146">
        <f t="shared" si="560"/>
        <v>0</v>
      </c>
      <c r="AG132" s="146">
        <f t="shared" si="560"/>
        <v>0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5"/>
      <c r="B133" s="177" t="s">
        <v>429</v>
      </c>
      <c r="C133" s="128"/>
      <c r="D133" s="128"/>
      <c r="E133" s="128"/>
      <c r="F133" s="146"/>
      <c r="G133" s="146">
        <f t="shared" ref="G133" si="561">G49/G25</f>
        <v>0</v>
      </c>
      <c r="H133" s="146">
        <f t="shared" ref="H133:I133" si="562">H49/H25</f>
        <v>0</v>
      </c>
      <c r="I133" s="146">
        <f t="shared" si="562"/>
        <v>0</v>
      </c>
      <c r="J133" s="146">
        <f t="shared" ref="J133:T133" si="563">J49/J25</f>
        <v>0</v>
      </c>
      <c r="K133" s="146">
        <f t="shared" si="563"/>
        <v>0</v>
      </c>
      <c r="L133" s="146">
        <f t="shared" si="563"/>
        <v>0</v>
      </c>
      <c r="M133" s="146">
        <f t="shared" si="563"/>
        <v>0</v>
      </c>
      <c r="N133" s="146">
        <f t="shared" si="563"/>
        <v>0</v>
      </c>
      <c r="O133" s="146">
        <f t="shared" si="563"/>
        <v>0</v>
      </c>
      <c r="P133" s="146">
        <f t="shared" si="563"/>
        <v>0</v>
      </c>
      <c r="Q133" s="146">
        <f t="shared" si="563"/>
        <v>0</v>
      </c>
      <c r="R133" s="146">
        <f t="shared" si="563"/>
        <v>0</v>
      </c>
      <c r="S133" s="146">
        <f t="shared" si="563"/>
        <v>0</v>
      </c>
      <c r="T133" s="146">
        <f t="shared" si="563"/>
        <v>0</v>
      </c>
      <c r="U133" s="146">
        <f t="shared" ref="U133" si="564">U49/U25</f>
        <v>0</v>
      </c>
      <c r="V133" s="101" t="e">
        <f t="shared" si="323"/>
        <v>#DIV/0!</v>
      </c>
      <c r="W133" s="10"/>
      <c r="X133" s="146">
        <f t="shared" ref="X133:AG133" si="565">X49/X25</f>
        <v>0</v>
      </c>
      <c r="Y133" s="146">
        <f t="shared" si="565"/>
        <v>0</v>
      </c>
      <c r="Z133" s="146">
        <f t="shared" si="565"/>
        <v>0</v>
      </c>
      <c r="AA133" s="146">
        <f t="shared" si="565"/>
        <v>0</v>
      </c>
      <c r="AB133" s="146">
        <f t="shared" si="565"/>
        <v>0</v>
      </c>
      <c r="AC133" s="146">
        <f t="shared" si="565"/>
        <v>0</v>
      </c>
      <c r="AD133" s="146">
        <f t="shared" si="565"/>
        <v>0</v>
      </c>
      <c r="AE133" s="146">
        <f t="shared" si="565"/>
        <v>0</v>
      </c>
      <c r="AF133" s="146">
        <f t="shared" si="565"/>
        <v>0</v>
      </c>
      <c r="AG133" s="146">
        <f t="shared" si="565"/>
        <v>0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5"/>
      <c r="B134" s="177" t="s">
        <v>427</v>
      </c>
      <c r="C134" s="128"/>
      <c r="D134" s="128"/>
      <c r="E134" s="128"/>
      <c r="F134" s="181"/>
      <c r="G134" s="181" t="e">
        <f t="shared" ref="G134" si="566">G59/G51</f>
        <v>#DIV/0!</v>
      </c>
      <c r="H134" s="181" t="e">
        <f t="shared" ref="H134:I134" si="567">H59/H51</f>
        <v>#DIV/0!</v>
      </c>
      <c r="I134" s="181" t="e">
        <f t="shared" si="567"/>
        <v>#DIV/0!</v>
      </c>
      <c r="J134" s="181" t="e">
        <f t="shared" ref="J134:T134" si="568">J59/J51</f>
        <v>#DIV/0!</v>
      </c>
      <c r="K134" s="181" t="e">
        <f t="shared" si="568"/>
        <v>#DIV/0!</v>
      </c>
      <c r="L134" s="181" t="e">
        <f t="shared" si="568"/>
        <v>#DIV/0!</v>
      </c>
      <c r="M134" s="181" t="e">
        <f t="shared" si="568"/>
        <v>#DIV/0!</v>
      </c>
      <c r="N134" s="181" t="e">
        <f t="shared" si="568"/>
        <v>#DIV/0!</v>
      </c>
      <c r="O134" s="181" t="e">
        <f t="shared" si="568"/>
        <v>#DIV/0!</v>
      </c>
      <c r="P134" s="181" t="e">
        <f t="shared" si="568"/>
        <v>#DIV/0!</v>
      </c>
      <c r="Q134" s="181" t="e">
        <f t="shared" si="568"/>
        <v>#DIV/0!</v>
      </c>
      <c r="R134" s="181" t="e">
        <f t="shared" si="568"/>
        <v>#DIV/0!</v>
      </c>
      <c r="S134" s="181" t="e">
        <f t="shared" si="568"/>
        <v>#DIV/0!</v>
      </c>
      <c r="T134" s="181" t="e">
        <f t="shared" si="568"/>
        <v>#DIV/0!</v>
      </c>
      <c r="U134" s="181" t="e">
        <f t="shared" ref="U134" si="569">U59/U51</f>
        <v>#DIV/0!</v>
      </c>
      <c r="V134" s="101" t="e">
        <f t="shared" si="323"/>
        <v>#DIV/0!</v>
      </c>
      <c r="W134" s="10"/>
      <c r="X134" s="181" t="e">
        <f t="shared" ref="X134:AG134" si="570">X59/X51</f>
        <v>#DIV/0!</v>
      </c>
      <c r="Y134" s="181" t="e">
        <f t="shared" si="570"/>
        <v>#DIV/0!</v>
      </c>
      <c r="Z134" s="181" t="e">
        <f t="shared" si="570"/>
        <v>#DIV/0!</v>
      </c>
      <c r="AA134" s="181" t="e">
        <f t="shared" si="570"/>
        <v>#DIV/0!</v>
      </c>
      <c r="AB134" s="181" t="e">
        <f t="shared" si="570"/>
        <v>#DIV/0!</v>
      </c>
      <c r="AC134" s="181" t="e">
        <f t="shared" si="570"/>
        <v>#DIV/0!</v>
      </c>
      <c r="AD134" s="181" t="e">
        <f t="shared" si="570"/>
        <v>#DIV/0!</v>
      </c>
      <c r="AE134" s="181" t="e">
        <f t="shared" si="570"/>
        <v>#DIV/0!</v>
      </c>
      <c r="AF134" s="181" t="e">
        <f t="shared" si="570"/>
        <v>#DIV/0!</v>
      </c>
      <c r="AG134" s="181" t="e">
        <f t="shared" si="570"/>
        <v>#DIV/0!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5"/>
      <c r="B135" s="177" t="s">
        <v>421</v>
      </c>
      <c r="C135" s="128"/>
      <c r="D135" s="128"/>
      <c r="E135" s="128"/>
      <c r="F135" s="146"/>
      <c r="G135" s="146" t="e">
        <f t="shared" ref="G135" si="571">G59/G43</f>
        <v>#DIV/0!</v>
      </c>
      <c r="H135" s="146" t="e">
        <f t="shared" ref="H135:I135" si="572">H59/H43</f>
        <v>#DIV/0!</v>
      </c>
      <c r="I135" s="146" t="e">
        <f t="shared" si="572"/>
        <v>#DIV/0!</v>
      </c>
      <c r="J135" s="146" t="e">
        <f t="shared" ref="J135:T135" si="573">J59/J43</f>
        <v>#DIV/0!</v>
      </c>
      <c r="K135" s="146" t="e">
        <f t="shared" si="573"/>
        <v>#DIV/0!</v>
      </c>
      <c r="L135" s="146" t="e">
        <f t="shared" si="573"/>
        <v>#DIV/0!</v>
      </c>
      <c r="M135" s="146" t="e">
        <f t="shared" si="573"/>
        <v>#DIV/0!</v>
      </c>
      <c r="N135" s="146" t="e">
        <f t="shared" si="573"/>
        <v>#DIV/0!</v>
      </c>
      <c r="O135" s="146" t="e">
        <f t="shared" si="573"/>
        <v>#DIV/0!</v>
      </c>
      <c r="P135" s="146" t="e">
        <f t="shared" si="573"/>
        <v>#DIV/0!</v>
      </c>
      <c r="Q135" s="146" t="e">
        <f t="shared" si="573"/>
        <v>#DIV/0!</v>
      </c>
      <c r="R135" s="146" t="e">
        <f t="shared" si="573"/>
        <v>#DIV/0!</v>
      </c>
      <c r="S135" s="146" t="e">
        <f t="shared" si="573"/>
        <v>#DIV/0!</v>
      </c>
      <c r="T135" s="146" t="e">
        <f t="shared" si="573"/>
        <v>#DIV/0!</v>
      </c>
      <c r="U135" s="146" t="e">
        <f t="shared" ref="U135" si="574">U59/U43</f>
        <v>#DIV/0!</v>
      </c>
      <c r="V135" s="101" t="e">
        <f t="shared" si="323"/>
        <v>#DIV/0!</v>
      </c>
      <c r="W135" s="10"/>
      <c r="X135" s="146" t="e">
        <f t="shared" ref="X135:AG135" si="575">X59/X43</f>
        <v>#DIV/0!</v>
      </c>
      <c r="Y135" s="146" t="e">
        <f t="shared" si="575"/>
        <v>#DIV/0!</v>
      </c>
      <c r="Z135" s="146" t="e">
        <f t="shared" si="575"/>
        <v>#DIV/0!</v>
      </c>
      <c r="AA135" s="146" t="e">
        <f t="shared" si="575"/>
        <v>#DIV/0!</v>
      </c>
      <c r="AB135" s="146" t="e">
        <f t="shared" si="575"/>
        <v>#DIV/0!</v>
      </c>
      <c r="AC135" s="146" t="e">
        <f t="shared" si="575"/>
        <v>#DIV/0!</v>
      </c>
      <c r="AD135" s="146" t="e">
        <f t="shared" si="575"/>
        <v>#DIV/0!</v>
      </c>
      <c r="AE135" s="146" t="e">
        <f t="shared" si="575"/>
        <v>#DIV/0!</v>
      </c>
      <c r="AF135" s="146" t="e">
        <f t="shared" si="575"/>
        <v>#DIV/0!</v>
      </c>
      <c r="AG135" s="146" t="e">
        <f t="shared" si="575"/>
        <v>#DIV/0!</v>
      </c>
      <c r="AH135" s="115" t="e">
        <f t="shared" si="540"/>
        <v>#DIV/0!</v>
      </c>
      <c r="AI135" s="123"/>
      <c r="AJ135" s="123"/>
    </row>
    <row r="136" spans="1:36" ht="12" customHeight="1">
      <c r="A136" s="305"/>
      <c r="B136" s="177" t="s">
        <v>422</v>
      </c>
      <c r="C136" s="128"/>
      <c r="D136" s="128"/>
      <c r="E136" s="128"/>
      <c r="F136" s="146"/>
      <c r="G136" s="146" t="e">
        <f t="shared" ref="G136" si="576">G59/(G36+G38)</f>
        <v>#DIV/0!</v>
      </c>
      <c r="H136" s="146" t="e">
        <f t="shared" ref="H136:I136" si="577">H59/(H36+H38)</f>
        <v>#DIV/0!</v>
      </c>
      <c r="I136" s="146" t="e">
        <f t="shared" si="577"/>
        <v>#DIV/0!</v>
      </c>
      <c r="J136" s="146" t="e">
        <f t="shared" ref="J136:T136" si="578">J59/(J36+J38)</f>
        <v>#DIV/0!</v>
      </c>
      <c r="K136" s="146" t="e">
        <f t="shared" si="578"/>
        <v>#DIV/0!</v>
      </c>
      <c r="L136" s="146" t="e">
        <f t="shared" si="578"/>
        <v>#DIV/0!</v>
      </c>
      <c r="M136" s="146" t="e">
        <f t="shared" si="578"/>
        <v>#DIV/0!</v>
      </c>
      <c r="N136" s="146" t="e">
        <f t="shared" si="578"/>
        <v>#DIV/0!</v>
      </c>
      <c r="O136" s="146" t="e">
        <f t="shared" si="578"/>
        <v>#DIV/0!</v>
      </c>
      <c r="P136" s="146" t="e">
        <f t="shared" si="578"/>
        <v>#DIV/0!</v>
      </c>
      <c r="Q136" s="146" t="e">
        <f t="shared" si="578"/>
        <v>#DIV/0!</v>
      </c>
      <c r="R136" s="146" t="e">
        <f t="shared" si="578"/>
        <v>#DIV/0!</v>
      </c>
      <c r="S136" s="146" t="e">
        <f t="shared" si="578"/>
        <v>#DIV/0!</v>
      </c>
      <c r="T136" s="146" t="e">
        <f t="shared" si="578"/>
        <v>#DIV/0!</v>
      </c>
      <c r="U136" s="146">
        <f t="shared" ref="U136" si="579">U59/(U36+U38)</f>
        <v>1.37</v>
      </c>
      <c r="V136" s="101" t="e">
        <f t="shared" si="323"/>
        <v>#DIV/0!</v>
      </c>
      <c r="W136" s="10"/>
      <c r="X136" s="146">
        <f t="shared" ref="X136:AG136" si="580">X59/(X36+X38)</f>
        <v>33.04347826086957</v>
      </c>
      <c r="Y136" s="146">
        <f t="shared" si="580"/>
        <v>33.04347826086957</v>
      </c>
      <c r="Z136" s="146">
        <f t="shared" si="580"/>
        <v>33.04347826086957</v>
      </c>
      <c r="AA136" s="146">
        <f t="shared" si="580"/>
        <v>33.043478260869563</v>
      </c>
      <c r="AB136" s="146">
        <f t="shared" si="580"/>
        <v>33.043478260869563</v>
      </c>
      <c r="AC136" s="146">
        <f t="shared" si="580"/>
        <v>33.043478260869563</v>
      </c>
      <c r="AD136" s="146">
        <f t="shared" si="580"/>
        <v>33.043478260869563</v>
      </c>
      <c r="AE136" s="146">
        <f t="shared" si="580"/>
        <v>33.043478260869563</v>
      </c>
      <c r="AF136" s="146">
        <f t="shared" si="580"/>
        <v>33.043478260869563</v>
      </c>
      <c r="AG136" s="146">
        <f t="shared" si="580"/>
        <v>33.043478260869556</v>
      </c>
      <c r="AH136" s="115" t="e">
        <f t="shared" si="540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81">G10-(G12+G13)</f>
        <v>-1.1500000000000004</v>
      </c>
      <c r="H138" s="138">
        <f t="shared" ref="H138:I138" si="582">H10-(H12+H13)</f>
        <v>-1.33</v>
      </c>
      <c r="I138" s="138">
        <f t="shared" si="582"/>
        <v>-0.12000000000000011</v>
      </c>
      <c r="J138" s="138">
        <f t="shared" ref="J138:T138" si="583">J10-(J12+J13)</f>
        <v>-0.12000000000000011</v>
      </c>
      <c r="K138" s="138">
        <f t="shared" si="583"/>
        <v>-0.21000000000000002</v>
      </c>
      <c r="L138" s="138">
        <f t="shared" si="583"/>
        <v>-1.85</v>
      </c>
      <c r="M138" s="138">
        <f t="shared" si="583"/>
        <v>5.77</v>
      </c>
      <c r="N138" s="138">
        <f t="shared" si="583"/>
        <v>7.7600000000000007</v>
      </c>
      <c r="O138" s="138">
        <f t="shared" si="583"/>
        <v>4.7</v>
      </c>
      <c r="P138" s="138">
        <f t="shared" si="583"/>
        <v>17.25</v>
      </c>
      <c r="Q138" s="138">
        <f t="shared" si="583"/>
        <v>49.7</v>
      </c>
      <c r="R138" s="138">
        <f t="shared" si="583"/>
        <v>50.07</v>
      </c>
      <c r="S138" s="138">
        <f t="shared" si="583"/>
        <v>-35.150000000000006</v>
      </c>
      <c r="T138" s="138">
        <f t="shared" si="583"/>
        <v>188.85</v>
      </c>
      <c r="U138" s="138">
        <f t="shared" ref="U138" si="584">U10-(U12+U13)</f>
        <v>297.82</v>
      </c>
      <c r="V138" s="101" t="e">
        <f t="shared" si="323"/>
        <v>#NUM!</v>
      </c>
      <c r="W138" s="10"/>
      <c r="X138" s="138">
        <f t="shared" ref="X138:AG138" si="585">X10-(X12+X13)</f>
        <v>342.49299999999994</v>
      </c>
      <c r="Y138" s="138">
        <f t="shared" si="585"/>
        <v>393.86694999999992</v>
      </c>
      <c r="Z138" s="138">
        <f t="shared" si="585"/>
        <v>452.94699249999985</v>
      </c>
      <c r="AA138" s="138">
        <f t="shared" si="585"/>
        <v>520.88904137499981</v>
      </c>
      <c r="AB138" s="138">
        <f t="shared" si="585"/>
        <v>599.02239758124972</v>
      </c>
      <c r="AC138" s="138">
        <f t="shared" si="585"/>
        <v>688.87575721843712</v>
      </c>
      <c r="AD138" s="138">
        <f t="shared" si="585"/>
        <v>792.20712080120256</v>
      </c>
      <c r="AE138" s="138">
        <f t="shared" si="585"/>
        <v>911.03818892138293</v>
      </c>
      <c r="AF138" s="138">
        <f t="shared" si="585"/>
        <v>1047.6939172595903</v>
      </c>
      <c r="AG138" s="138">
        <f t="shared" si="585"/>
        <v>1204.8480048485287</v>
      </c>
      <c r="AH138" s="115" t="e">
        <f t="shared" si="456"/>
        <v>#NUM!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>
        <f t="shared" ref="G139" si="586">G59/G18</f>
        <v>-0.29577464788732394</v>
      </c>
      <c r="H139" s="128">
        <f t="shared" ref="H139:I139" si="587">H59/H18</f>
        <v>0.15730337078651688</v>
      </c>
      <c r="I139" s="128">
        <f t="shared" si="587"/>
        <v>-0.18749999999999997</v>
      </c>
      <c r="J139" s="128">
        <f t="shared" ref="J139:T139" si="588">J59/J18</f>
        <v>-0.18749999999999997</v>
      </c>
      <c r="K139" s="128">
        <f t="shared" si="588"/>
        <v>5.5555555555555552E-2</v>
      </c>
      <c r="L139" s="128">
        <f t="shared" si="588"/>
        <v>-2.607843137254902</v>
      </c>
      <c r="M139" s="128">
        <f t="shared" si="588"/>
        <v>0.47826086956521735</v>
      </c>
      <c r="N139" s="128">
        <f t="shared" si="588"/>
        <v>1.0652173913043477</v>
      </c>
      <c r="O139" s="128">
        <f t="shared" si="588"/>
        <v>0.33333333333333331</v>
      </c>
      <c r="P139" s="128">
        <f t="shared" si="588"/>
        <v>3.2765957446808511</v>
      </c>
      <c r="Q139" s="128">
        <f t="shared" si="588"/>
        <v>2.9836065573770494</v>
      </c>
      <c r="R139" s="128">
        <f t="shared" si="588"/>
        <v>11.091954022988507</v>
      </c>
      <c r="S139" s="128">
        <f t="shared" si="588"/>
        <v>20</v>
      </c>
      <c r="T139" s="128">
        <f t="shared" si="588"/>
        <v>38</v>
      </c>
      <c r="U139" s="128">
        <f t="shared" ref="U139" si="589">U59/U18</f>
        <v>0.80588235294117661</v>
      </c>
      <c r="V139" s="101" t="e">
        <f t="shared" ref="V139:V171" si="590">((U139/G139)^(1/($K$2-$K$1) ))-1</f>
        <v>#NUM!</v>
      </c>
      <c r="W139" s="10"/>
      <c r="X139" s="128">
        <f t="shared" ref="X139:AG139" si="591">X59/X18</f>
        <v>19.437340153452688</v>
      </c>
      <c r="Y139" s="128">
        <f t="shared" si="591"/>
        <v>19.437340153452688</v>
      </c>
      <c r="Z139" s="128">
        <f t="shared" si="591"/>
        <v>19.437340153452688</v>
      </c>
      <c r="AA139" s="128">
        <f t="shared" si="591"/>
        <v>19.437340153452684</v>
      </c>
      <c r="AB139" s="128">
        <f t="shared" si="591"/>
        <v>19.437340153452688</v>
      </c>
      <c r="AC139" s="128">
        <f t="shared" si="591"/>
        <v>19.437340153452684</v>
      </c>
      <c r="AD139" s="128">
        <f t="shared" si="591"/>
        <v>19.437340153452684</v>
      </c>
      <c r="AE139" s="128">
        <f t="shared" si="591"/>
        <v>19.437340153452684</v>
      </c>
      <c r="AF139" s="128">
        <f t="shared" si="591"/>
        <v>19.437340153452684</v>
      </c>
      <c r="AG139" s="128">
        <f t="shared" si="591"/>
        <v>19.437340153452684</v>
      </c>
      <c r="AH139" s="115" t="e">
        <f t="shared" si="456"/>
        <v>#NUM!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>
        <f t="shared" ref="G140" si="592">G59/G25</f>
        <v>-9.3749999999999986E-2</v>
      </c>
      <c r="H140" s="128">
        <f t="shared" ref="H140:I140" si="593">H59/H25</f>
        <v>4.8275862068965524E-2</v>
      </c>
      <c r="I140" s="128">
        <f t="shared" si="593"/>
        <v>-4.0760869565217385E-2</v>
      </c>
      <c r="J140" s="128">
        <f t="shared" ref="J140:T140" si="594">J59/J25</f>
        <v>-4.0760869565217385E-2</v>
      </c>
      <c r="K140" s="128">
        <f t="shared" si="594"/>
        <v>9.3457943925233638E-3</v>
      </c>
      <c r="L140" s="128">
        <f t="shared" si="594"/>
        <v>-0.79166666666666674</v>
      </c>
      <c r="M140" s="128">
        <f t="shared" si="594"/>
        <v>5.6555269922879174E-2</v>
      </c>
      <c r="N140" s="128">
        <f t="shared" si="594"/>
        <v>6.6666666666666666E-2</v>
      </c>
      <c r="O140" s="128">
        <f t="shared" si="594"/>
        <v>3.1195840554592721E-2</v>
      </c>
      <c r="P140" s="128">
        <f t="shared" si="594"/>
        <v>0.1711111111111111</v>
      </c>
      <c r="Q140" s="128">
        <f t="shared" si="594"/>
        <v>0.10111111111111111</v>
      </c>
      <c r="R140" s="128">
        <f t="shared" si="594"/>
        <v>0.24125000000000002</v>
      </c>
      <c r="S140" s="128">
        <f t="shared" si="594"/>
        <v>0.32786885245901637</v>
      </c>
      <c r="T140" s="128">
        <f t="shared" si="594"/>
        <v>0.30399999999999999</v>
      </c>
      <c r="U140" s="128">
        <f t="shared" ref="U140" si="595">U59/U25</f>
        <v>7.5274725274725278E-3</v>
      </c>
      <c r="V140" s="101" t="e">
        <f t="shared" si="590"/>
        <v>#NUM!</v>
      </c>
      <c r="W140" s="10"/>
      <c r="X140" s="128">
        <f t="shared" ref="X140:AG140" si="596">X59/X25</f>
        <v>0.1815575728619207</v>
      </c>
      <c r="Y140" s="128">
        <f t="shared" si="596"/>
        <v>0.1815575728619207</v>
      </c>
      <c r="Z140" s="128">
        <f t="shared" si="596"/>
        <v>0.1815575728619207</v>
      </c>
      <c r="AA140" s="128">
        <f t="shared" si="596"/>
        <v>0.18155757286192067</v>
      </c>
      <c r="AB140" s="128">
        <f t="shared" si="596"/>
        <v>0.18155757286192067</v>
      </c>
      <c r="AC140" s="128">
        <f t="shared" si="596"/>
        <v>0.18155757286192065</v>
      </c>
      <c r="AD140" s="128">
        <f t="shared" si="596"/>
        <v>0.18155757286192067</v>
      </c>
      <c r="AE140" s="128">
        <f t="shared" si="596"/>
        <v>0.18155757286192065</v>
      </c>
      <c r="AF140" s="128">
        <f t="shared" si="596"/>
        <v>0.18155757286192065</v>
      </c>
      <c r="AG140" s="128">
        <f t="shared" si="596"/>
        <v>0.18155757286192065</v>
      </c>
      <c r="AH140" s="115" t="e">
        <f t="shared" si="456"/>
        <v>#NUM!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>
        <f t="shared" ref="G141" si="597">G25/G18</f>
        <v>3.154929577464789</v>
      </c>
      <c r="H141" s="128">
        <f t="shared" ref="H141:I141" si="598">H25/H18</f>
        <v>3.2584269662921348</v>
      </c>
      <c r="I141" s="128">
        <f t="shared" si="598"/>
        <v>4.5999999999999996</v>
      </c>
      <c r="J141" s="128">
        <f t="shared" ref="J141:T141" si="599">J25/J18</f>
        <v>4.5999999999999996</v>
      </c>
      <c r="K141" s="128">
        <f t="shared" si="599"/>
        <v>5.9444444444444438</v>
      </c>
      <c r="L141" s="128">
        <f t="shared" si="599"/>
        <v>3.2941176470588234</v>
      </c>
      <c r="M141" s="128">
        <f t="shared" si="599"/>
        <v>8.4565217391304355</v>
      </c>
      <c r="N141" s="128">
        <f t="shared" si="599"/>
        <v>15.978260869565215</v>
      </c>
      <c r="O141" s="128">
        <f t="shared" si="599"/>
        <v>10.685185185185183</v>
      </c>
      <c r="P141" s="128">
        <f t="shared" si="599"/>
        <v>19.148936170212767</v>
      </c>
      <c r="Q141" s="128">
        <f t="shared" si="599"/>
        <v>29.508196721311474</v>
      </c>
      <c r="R141" s="128">
        <f t="shared" si="599"/>
        <v>45.977011494252871</v>
      </c>
      <c r="S141" s="128">
        <f t="shared" si="599"/>
        <v>61</v>
      </c>
      <c r="T141" s="128">
        <f t="shared" si="599"/>
        <v>125</v>
      </c>
      <c r="U141" s="128">
        <f t="shared" ref="U141" si="600">U25/U18</f>
        <v>107.05882352941177</v>
      </c>
      <c r="V141" s="101">
        <f t="shared" si="590"/>
        <v>0.28626636734829303</v>
      </c>
      <c r="W141" s="10"/>
      <c r="X141" s="128">
        <f t="shared" ref="X141:AG141" si="601">X25/X18</f>
        <v>107.05882352941177</v>
      </c>
      <c r="Y141" s="128">
        <f t="shared" si="601"/>
        <v>107.05882352941177</v>
      </c>
      <c r="Z141" s="128">
        <f t="shared" si="601"/>
        <v>107.05882352941177</v>
      </c>
      <c r="AA141" s="128">
        <f t="shared" si="601"/>
        <v>107.05882352941177</v>
      </c>
      <c r="AB141" s="128">
        <f t="shared" si="601"/>
        <v>107.05882352941177</v>
      </c>
      <c r="AC141" s="128">
        <f t="shared" si="601"/>
        <v>107.05882352941178</v>
      </c>
      <c r="AD141" s="128">
        <f t="shared" si="601"/>
        <v>107.05882352941178</v>
      </c>
      <c r="AE141" s="128">
        <f t="shared" si="601"/>
        <v>107.05882352941178</v>
      </c>
      <c r="AF141" s="128">
        <f t="shared" si="601"/>
        <v>107.05882352941178</v>
      </c>
      <c r="AG141" s="128">
        <f t="shared" si="601"/>
        <v>107.05882352941178</v>
      </c>
      <c r="AH141" s="115">
        <f t="shared" si="456"/>
        <v>0.14012558906868433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602">G92*G61</f>
        <v>0</v>
      </c>
      <c r="H143" s="140">
        <f t="shared" ref="H143:I143" si="603">H92*H61</f>
        <v>0</v>
      </c>
      <c r="I143" s="140">
        <f t="shared" si="603"/>
        <v>0</v>
      </c>
      <c r="J143" s="140">
        <f t="shared" ref="J143:T143" si="604">J92*J61</f>
        <v>0</v>
      </c>
      <c r="K143" s="140">
        <f t="shared" si="604"/>
        <v>0</v>
      </c>
      <c r="L143" s="140">
        <f t="shared" si="604"/>
        <v>0</v>
      </c>
      <c r="M143" s="140">
        <f t="shared" si="604"/>
        <v>0</v>
      </c>
      <c r="N143" s="140">
        <f t="shared" si="604"/>
        <v>0</v>
      </c>
      <c r="O143" s="140">
        <f t="shared" si="604"/>
        <v>0</v>
      </c>
      <c r="P143" s="140">
        <f t="shared" si="604"/>
        <v>0</v>
      </c>
      <c r="Q143" s="140">
        <f t="shared" si="604"/>
        <v>0</v>
      </c>
      <c r="R143" s="140">
        <f t="shared" si="604"/>
        <v>0.75</v>
      </c>
      <c r="S143" s="140">
        <f t="shared" si="604"/>
        <v>2.19</v>
      </c>
      <c r="T143" s="140">
        <f t="shared" si="604"/>
        <v>2.4449999999999998</v>
      </c>
      <c r="U143" s="140">
        <f t="shared" ref="U143" si="605">U92*U61</f>
        <v>0.81499999999999995</v>
      </c>
      <c r="V143" s="101" t="e">
        <f t="shared" si="590"/>
        <v>#DIV/0!</v>
      </c>
      <c r="W143" s="10"/>
      <c r="X143" s="140">
        <f t="shared" ref="X143:AG143" si="606">X92*X61</f>
        <v>0.84792599999999996</v>
      </c>
      <c r="Y143" s="140">
        <f t="shared" si="606"/>
        <v>0.8821822104</v>
      </c>
      <c r="Z143" s="140">
        <f t="shared" si="606"/>
        <v>0.9178223717001599</v>
      </c>
      <c r="AA143" s="140">
        <f t="shared" si="606"/>
        <v>0.95490239551684641</v>
      </c>
      <c r="AB143" s="140">
        <f t="shared" si="606"/>
        <v>0.99348045229572712</v>
      </c>
      <c r="AC143" s="140">
        <f t="shared" si="606"/>
        <v>1.0336170625684744</v>
      </c>
      <c r="AD143" s="140">
        <f t="shared" si="606"/>
        <v>1.0753751918962409</v>
      </c>
      <c r="AE143" s="140">
        <f t="shared" si="606"/>
        <v>1.1188203496488491</v>
      </c>
      <c r="AF143" s="140">
        <f t="shared" si="606"/>
        <v>1.1640206917746627</v>
      </c>
      <c r="AG143" s="140">
        <f t="shared" si="606"/>
        <v>1.2110471277223591</v>
      </c>
      <c r="AH143" s="115" t="e">
        <f t="shared" si="456"/>
        <v>#DIV/0!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607">(G143*0.17)+G143</f>
        <v>0</v>
      </c>
      <c r="H144" s="140">
        <f t="shared" ref="H144:I144" si="608">(H143*0.17)+H143</f>
        <v>0</v>
      </c>
      <c r="I144" s="140">
        <f t="shared" si="608"/>
        <v>0</v>
      </c>
      <c r="J144" s="140">
        <f t="shared" ref="J144:S144" si="609">(J143*0.17)+J143</f>
        <v>0</v>
      </c>
      <c r="K144" s="140">
        <f t="shared" si="609"/>
        <v>0</v>
      </c>
      <c r="L144" s="140">
        <f t="shared" si="609"/>
        <v>0</v>
      </c>
      <c r="M144" s="140">
        <f t="shared" si="609"/>
        <v>0</v>
      </c>
      <c r="N144" s="140">
        <f t="shared" si="609"/>
        <v>0</v>
      </c>
      <c r="O144" s="140">
        <f t="shared" si="609"/>
        <v>0</v>
      </c>
      <c r="P144" s="140">
        <f t="shared" si="609"/>
        <v>0</v>
      </c>
      <c r="Q144" s="140">
        <f t="shared" si="609"/>
        <v>0</v>
      </c>
      <c r="R144" s="140">
        <f t="shared" si="609"/>
        <v>0.87749999999999995</v>
      </c>
      <c r="S144" s="140">
        <f t="shared" si="609"/>
        <v>2.5623</v>
      </c>
      <c r="T144" s="140">
        <f t="shared" ref="T144:U144" si="610">(T143*0.17)+T143</f>
        <v>2.8606499999999997</v>
      </c>
      <c r="U144" s="140">
        <f t="shared" si="610"/>
        <v>0.9535499999999999</v>
      </c>
      <c r="V144" s="101" t="e">
        <f t="shared" si="590"/>
        <v>#DIV/0!</v>
      </c>
      <c r="W144" s="10"/>
      <c r="X144" s="140">
        <f t="shared" ref="X144:AG144" si="611">(X143*0.17)+X143</f>
        <v>0.99207341999999998</v>
      </c>
      <c r="Y144" s="140">
        <f t="shared" si="611"/>
        <v>1.032153186168</v>
      </c>
      <c r="Z144" s="140">
        <f t="shared" si="611"/>
        <v>1.0738521748891872</v>
      </c>
      <c r="AA144" s="140">
        <f t="shared" si="611"/>
        <v>1.1172358027547102</v>
      </c>
      <c r="AB144" s="140">
        <f t="shared" si="611"/>
        <v>1.1623721291860007</v>
      </c>
      <c r="AC144" s="140">
        <f t="shared" si="611"/>
        <v>1.2093319632051152</v>
      </c>
      <c r="AD144" s="140">
        <f t="shared" si="611"/>
        <v>1.2581889745186019</v>
      </c>
      <c r="AE144" s="140">
        <f t="shared" si="611"/>
        <v>1.3090198090891536</v>
      </c>
      <c r="AF144" s="140">
        <f t="shared" si="611"/>
        <v>1.3619042093763554</v>
      </c>
      <c r="AG144" s="140">
        <f t="shared" si="611"/>
        <v>1.4169251394351603</v>
      </c>
      <c r="AH144" s="115" t="e">
        <f t="shared" si="456"/>
        <v>#DIV/0!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612">G144/G59</f>
        <v>0</v>
      </c>
      <c r="H145" s="128">
        <f t="shared" ref="H145:I145" si="613">H144/H59</f>
        <v>0</v>
      </c>
      <c r="I145" s="128">
        <f t="shared" si="613"/>
        <v>0</v>
      </c>
      <c r="J145" s="128">
        <f t="shared" ref="J145:T145" si="614">J144/J59</f>
        <v>0</v>
      </c>
      <c r="K145" s="128">
        <f t="shared" si="614"/>
        <v>0</v>
      </c>
      <c r="L145" s="128">
        <f t="shared" si="614"/>
        <v>0</v>
      </c>
      <c r="M145" s="128">
        <f t="shared" si="614"/>
        <v>0</v>
      </c>
      <c r="N145" s="128">
        <f t="shared" si="614"/>
        <v>0</v>
      </c>
      <c r="O145" s="128">
        <f t="shared" si="614"/>
        <v>0</v>
      </c>
      <c r="P145" s="128">
        <f t="shared" si="614"/>
        <v>0</v>
      </c>
      <c r="Q145" s="128">
        <f t="shared" si="614"/>
        <v>0</v>
      </c>
      <c r="R145" s="128">
        <f t="shared" si="614"/>
        <v>9.0932642487046619E-2</v>
      </c>
      <c r="S145" s="128">
        <f t="shared" si="614"/>
        <v>0.12811500000000001</v>
      </c>
      <c r="T145" s="128">
        <f t="shared" si="614"/>
        <v>7.5280263157894725E-2</v>
      </c>
      <c r="U145" s="128">
        <f t="shared" ref="U145" si="615">U144/U59</f>
        <v>0.69602189781021884</v>
      </c>
      <c r="V145" s="101" t="e">
        <f t="shared" si="590"/>
        <v>#DIV/0!</v>
      </c>
      <c r="W145" s="10"/>
      <c r="X145" s="128">
        <f t="shared" ref="X145:AG145" si="616">X144/X59</f>
        <v>2.6107195263157894E-2</v>
      </c>
      <c r="Y145" s="128">
        <f t="shared" si="616"/>
        <v>2.3619066045034328E-2</v>
      </c>
      <c r="Z145" s="128">
        <f t="shared" si="616"/>
        <v>2.1368066359351057E-2</v>
      </c>
      <c r="AA145" s="128">
        <f t="shared" si="616"/>
        <v>1.9331596730668556E-2</v>
      </c>
      <c r="AB145" s="128">
        <f t="shared" si="616"/>
        <v>1.7489211511815282E-2</v>
      </c>
      <c r="AC145" s="128">
        <f t="shared" si="616"/>
        <v>1.5822413614689234E-2</v>
      </c>
      <c r="AD145" s="128">
        <f t="shared" si="616"/>
        <v>1.4314468804106679E-2</v>
      </c>
      <c r="AE145" s="128">
        <f t="shared" si="616"/>
        <v>1.295023769025443E-2</v>
      </c>
      <c r="AF145" s="128">
        <f t="shared" si="616"/>
        <v>1.171602373299192E-2</v>
      </c>
      <c r="AG145" s="128">
        <f t="shared" si="616"/>
        <v>1.0599435732004172E-2</v>
      </c>
      <c r="AH145" s="115" t="e">
        <f t="shared" si="456"/>
        <v>#DIV/0!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617">1-G145</f>
        <v>1</v>
      </c>
      <c r="H146" s="128">
        <f t="shared" ref="H146:I146" si="618">1-H145</f>
        <v>1</v>
      </c>
      <c r="I146" s="128">
        <f t="shared" si="618"/>
        <v>1</v>
      </c>
      <c r="J146" s="128">
        <f>1-J145</f>
        <v>1</v>
      </c>
      <c r="K146" s="128">
        <f t="shared" ref="K146:S146" si="619">1-K145</f>
        <v>1</v>
      </c>
      <c r="L146" s="128">
        <f t="shared" si="619"/>
        <v>1</v>
      </c>
      <c r="M146" s="128">
        <f t="shared" si="619"/>
        <v>1</v>
      </c>
      <c r="N146" s="128">
        <f t="shared" si="619"/>
        <v>1</v>
      </c>
      <c r="O146" s="128">
        <f t="shared" si="619"/>
        <v>1</v>
      </c>
      <c r="P146" s="128">
        <f t="shared" si="619"/>
        <v>1</v>
      </c>
      <c r="Q146" s="128">
        <f t="shared" si="619"/>
        <v>1</v>
      </c>
      <c r="R146" s="128">
        <f t="shared" si="619"/>
        <v>0.90906735751295342</v>
      </c>
      <c r="S146" s="128">
        <f t="shared" si="619"/>
        <v>0.87188500000000002</v>
      </c>
      <c r="T146" s="128">
        <f t="shared" ref="T146:U146" si="620">1-T145</f>
        <v>0.92471973684210529</v>
      </c>
      <c r="U146" s="128">
        <f t="shared" si="620"/>
        <v>0.30397810218978116</v>
      </c>
      <c r="V146" s="101">
        <f t="shared" si="590"/>
        <v>-8.1540175089672928E-2</v>
      </c>
      <c r="W146" s="10"/>
      <c r="X146" s="128">
        <f t="shared" ref="X146:AG146" si="621">1-X145</f>
        <v>0.97389280473684214</v>
      </c>
      <c r="Y146" s="128">
        <f t="shared" si="621"/>
        <v>0.97638093395496572</v>
      </c>
      <c r="Z146" s="128">
        <f t="shared" si="621"/>
        <v>0.97863193364064893</v>
      </c>
      <c r="AA146" s="128">
        <f t="shared" si="621"/>
        <v>0.98066840326933147</v>
      </c>
      <c r="AB146" s="128">
        <f t="shared" si="621"/>
        <v>0.98251078848818474</v>
      </c>
      <c r="AC146" s="128">
        <f t="shared" si="621"/>
        <v>0.98417758638531072</v>
      </c>
      <c r="AD146" s="128">
        <f t="shared" si="621"/>
        <v>0.98568553119589331</v>
      </c>
      <c r="AE146" s="128">
        <f t="shared" si="621"/>
        <v>0.98704976230974562</v>
      </c>
      <c r="AF146" s="128">
        <f t="shared" si="621"/>
        <v>0.98828397626700804</v>
      </c>
      <c r="AG146" s="128">
        <f t="shared" si="621"/>
        <v>0.98940056426799583</v>
      </c>
      <c r="AH146" s="115">
        <f t="shared" si="456"/>
        <v>-4.439018578776821E-4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 t="e">
        <f t="shared" ref="G147" si="622">G144/G20</f>
        <v>#DIV/0!</v>
      </c>
      <c r="H147" s="128" t="e">
        <f t="shared" ref="H147:I147" si="623">H144/H20</f>
        <v>#DIV/0!</v>
      </c>
      <c r="I147" s="128" t="e">
        <f t="shared" si="623"/>
        <v>#DIV/0!</v>
      </c>
      <c r="J147" s="128" t="e">
        <f t="shared" ref="J147:T147" si="624">J144/J20</f>
        <v>#DIV/0!</v>
      </c>
      <c r="K147" s="128" t="e">
        <f t="shared" si="624"/>
        <v>#DIV/0!</v>
      </c>
      <c r="L147" s="128" t="e">
        <f t="shared" si="624"/>
        <v>#DIV/0!</v>
      </c>
      <c r="M147" s="128" t="e">
        <f t="shared" si="624"/>
        <v>#DIV/0!</v>
      </c>
      <c r="N147" s="128" t="e">
        <f t="shared" si="624"/>
        <v>#DIV/0!</v>
      </c>
      <c r="O147" s="128" t="e">
        <f t="shared" si="624"/>
        <v>#DIV/0!</v>
      </c>
      <c r="P147" s="128" t="e">
        <f t="shared" si="624"/>
        <v>#DIV/0!</v>
      </c>
      <c r="Q147" s="128" t="e">
        <f t="shared" si="624"/>
        <v>#DIV/0!</v>
      </c>
      <c r="R147" s="128" t="e">
        <f t="shared" si="624"/>
        <v>#DIV/0!</v>
      </c>
      <c r="S147" s="128" t="e">
        <f t="shared" si="624"/>
        <v>#DIV/0!</v>
      </c>
      <c r="T147" s="128" t="e">
        <f t="shared" si="624"/>
        <v>#DIV/0!</v>
      </c>
      <c r="U147" s="128" t="e">
        <f t="shared" ref="U147" si="625">U144/U20</f>
        <v>#DIV/0!</v>
      </c>
      <c r="V147" s="101" t="e">
        <f t="shared" si="590"/>
        <v>#DIV/0!</v>
      </c>
      <c r="W147" s="10"/>
      <c r="X147" s="128" t="e">
        <f t="shared" ref="X147:AG147" si="626">X144/X20</f>
        <v>#DIV/0!</v>
      </c>
      <c r="Y147" s="128" t="e">
        <f t="shared" si="626"/>
        <v>#DIV/0!</v>
      </c>
      <c r="Z147" s="128" t="e">
        <f t="shared" si="626"/>
        <v>#DIV/0!</v>
      </c>
      <c r="AA147" s="128" t="e">
        <f t="shared" si="626"/>
        <v>#DIV/0!</v>
      </c>
      <c r="AB147" s="128" t="e">
        <f t="shared" si="626"/>
        <v>#DIV/0!</v>
      </c>
      <c r="AC147" s="128" t="e">
        <f t="shared" si="626"/>
        <v>#DIV/0!</v>
      </c>
      <c r="AD147" s="128" t="e">
        <f t="shared" si="626"/>
        <v>#DIV/0!</v>
      </c>
      <c r="AE147" s="128" t="e">
        <f t="shared" si="626"/>
        <v>#DIV/0!</v>
      </c>
      <c r="AF147" s="128" t="e">
        <f t="shared" si="626"/>
        <v>#DIV/0!</v>
      </c>
      <c r="AG147" s="128" t="e">
        <f t="shared" si="626"/>
        <v>#DIV/0!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>
        <f t="shared" ref="G149" si="627">G31/G25</f>
        <v>0</v>
      </c>
      <c r="H149" s="128">
        <f t="shared" ref="H149:I149" si="628">H31/H25</f>
        <v>0</v>
      </c>
      <c r="I149" s="128">
        <f t="shared" si="628"/>
        <v>0</v>
      </c>
      <c r="J149" s="128">
        <f t="shared" ref="J149:T149" si="629">J31/J25</f>
        <v>0</v>
      </c>
      <c r="K149" s="128">
        <f t="shared" si="629"/>
        <v>0</v>
      </c>
      <c r="L149" s="128">
        <f t="shared" si="629"/>
        <v>0</v>
      </c>
      <c r="M149" s="128">
        <f t="shared" si="629"/>
        <v>0</v>
      </c>
      <c r="N149" s="128">
        <f t="shared" si="629"/>
        <v>0</v>
      </c>
      <c r="O149" s="128">
        <f t="shared" si="629"/>
        <v>0</v>
      </c>
      <c r="P149" s="128">
        <f t="shared" si="629"/>
        <v>0</v>
      </c>
      <c r="Q149" s="128">
        <f t="shared" si="629"/>
        <v>0</v>
      </c>
      <c r="R149" s="128">
        <f t="shared" si="629"/>
        <v>0</v>
      </c>
      <c r="S149" s="128">
        <f t="shared" si="629"/>
        <v>0</v>
      </c>
      <c r="T149" s="128">
        <f t="shared" si="629"/>
        <v>0</v>
      </c>
      <c r="U149" s="128">
        <f t="shared" ref="U149" si="630">U31/U25</f>
        <v>0</v>
      </c>
      <c r="V149" s="101" t="e">
        <f t="shared" si="590"/>
        <v>#DIV/0!</v>
      </c>
      <c r="W149" s="10"/>
      <c r="X149" s="128">
        <f t="shared" ref="X149:AG149" si="631">X31/X25</f>
        <v>0</v>
      </c>
      <c r="Y149" s="128">
        <f t="shared" si="631"/>
        <v>0</v>
      </c>
      <c r="Z149" s="128">
        <f t="shared" si="631"/>
        <v>0</v>
      </c>
      <c r="AA149" s="128">
        <f t="shared" si="631"/>
        <v>0</v>
      </c>
      <c r="AB149" s="128">
        <f t="shared" si="631"/>
        <v>0</v>
      </c>
      <c r="AC149" s="128">
        <f t="shared" si="631"/>
        <v>0</v>
      </c>
      <c r="AD149" s="128">
        <f t="shared" si="631"/>
        <v>0</v>
      </c>
      <c r="AE149" s="128">
        <f t="shared" si="631"/>
        <v>0</v>
      </c>
      <c r="AF149" s="128">
        <f t="shared" si="631"/>
        <v>0</v>
      </c>
      <c r="AG149" s="128">
        <f t="shared" si="631"/>
        <v>0</v>
      </c>
      <c r="AH149" s="115" t="e">
        <f t="shared" si="456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>
        <f t="shared" ref="G150" si="632">G32/G25</f>
        <v>0</v>
      </c>
      <c r="H150" s="128">
        <f t="shared" ref="H150:I150" si="633">H32/H25</f>
        <v>0</v>
      </c>
      <c r="I150" s="128" t="e">
        <f t="shared" si="633"/>
        <v>#VALUE!</v>
      </c>
      <c r="J150" s="128">
        <f t="shared" ref="J150:T150" si="634">J32/J25</f>
        <v>0</v>
      </c>
      <c r="K150" s="128">
        <f t="shared" si="634"/>
        <v>0</v>
      </c>
      <c r="L150" s="128">
        <f t="shared" si="634"/>
        <v>0</v>
      </c>
      <c r="M150" s="128">
        <f t="shared" si="634"/>
        <v>0</v>
      </c>
      <c r="N150" s="128">
        <f t="shared" si="634"/>
        <v>0</v>
      </c>
      <c r="O150" s="128">
        <f t="shared" si="634"/>
        <v>0</v>
      </c>
      <c r="P150" s="128">
        <f t="shared" si="634"/>
        <v>0</v>
      </c>
      <c r="Q150" s="128">
        <f t="shared" si="634"/>
        <v>0</v>
      </c>
      <c r="R150" s="128">
        <f t="shared" si="634"/>
        <v>0</v>
      </c>
      <c r="S150" s="128">
        <f t="shared" si="634"/>
        <v>0</v>
      </c>
      <c r="T150" s="128">
        <f t="shared" si="634"/>
        <v>0</v>
      </c>
      <c r="U150" s="128">
        <f t="shared" ref="U150" si="635">U32/U25</f>
        <v>0</v>
      </c>
      <c r="V150" s="101" t="e">
        <f t="shared" si="590"/>
        <v>#DIV/0!</v>
      </c>
      <c r="W150" s="10"/>
      <c r="X150" s="128">
        <f t="shared" ref="X150:AG150" si="636">X32/X25</f>
        <v>0</v>
      </c>
      <c r="Y150" s="128">
        <f t="shared" si="636"/>
        <v>0</v>
      </c>
      <c r="Z150" s="128">
        <f t="shared" si="636"/>
        <v>0</v>
      </c>
      <c r="AA150" s="128">
        <f t="shared" si="636"/>
        <v>0</v>
      </c>
      <c r="AB150" s="128">
        <f t="shared" si="636"/>
        <v>0</v>
      </c>
      <c r="AC150" s="128">
        <f t="shared" si="636"/>
        <v>0</v>
      </c>
      <c r="AD150" s="128">
        <f t="shared" si="636"/>
        <v>0</v>
      </c>
      <c r="AE150" s="128">
        <f t="shared" si="636"/>
        <v>0</v>
      </c>
      <c r="AF150" s="128">
        <f t="shared" si="636"/>
        <v>0</v>
      </c>
      <c r="AG150" s="128">
        <f t="shared" si="636"/>
        <v>0</v>
      </c>
      <c r="AH150" s="115" t="e">
        <f t="shared" si="456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>
        <f t="shared" ref="G151" si="637">(G31+G32)/G25</f>
        <v>0</v>
      </c>
      <c r="H151" s="128">
        <f t="shared" ref="H151:I151" si="638">(H31+H32)/H25</f>
        <v>0</v>
      </c>
      <c r="I151" s="128" t="e">
        <f t="shared" si="638"/>
        <v>#VALUE!</v>
      </c>
      <c r="J151" s="128">
        <f t="shared" ref="J151:T151" si="639">(J31+J32)/J25</f>
        <v>0</v>
      </c>
      <c r="K151" s="128">
        <f t="shared" si="639"/>
        <v>0</v>
      </c>
      <c r="L151" s="128">
        <f t="shared" si="639"/>
        <v>0</v>
      </c>
      <c r="M151" s="128">
        <f t="shared" si="639"/>
        <v>0</v>
      </c>
      <c r="N151" s="128">
        <f t="shared" si="639"/>
        <v>0</v>
      </c>
      <c r="O151" s="128">
        <f t="shared" si="639"/>
        <v>0</v>
      </c>
      <c r="P151" s="128">
        <f t="shared" si="639"/>
        <v>0</v>
      </c>
      <c r="Q151" s="128">
        <f t="shared" si="639"/>
        <v>0</v>
      </c>
      <c r="R151" s="128">
        <f t="shared" si="639"/>
        <v>0</v>
      </c>
      <c r="S151" s="128">
        <f t="shared" si="639"/>
        <v>0</v>
      </c>
      <c r="T151" s="128">
        <f t="shared" si="639"/>
        <v>0</v>
      </c>
      <c r="U151" s="128">
        <f t="shared" ref="U151" si="640">(U31+U32)/U25</f>
        <v>0</v>
      </c>
      <c r="V151" s="101" t="e">
        <f t="shared" si="590"/>
        <v>#DIV/0!</v>
      </c>
      <c r="W151" s="10"/>
      <c r="X151" s="128">
        <f t="shared" ref="X151:AG151" si="641">(X31+X32)/X25</f>
        <v>0</v>
      </c>
      <c r="Y151" s="128">
        <f t="shared" si="641"/>
        <v>0</v>
      </c>
      <c r="Z151" s="128">
        <f t="shared" si="641"/>
        <v>0</v>
      </c>
      <c r="AA151" s="128">
        <f t="shared" si="641"/>
        <v>0</v>
      </c>
      <c r="AB151" s="128">
        <f t="shared" si="641"/>
        <v>0</v>
      </c>
      <c r="AC151" s="128">
        <f t="shared" si="641"/>
        <v>0</v>
      </c>
      <c r="AD151" s="128">
        <f t="shared" si="641"/>
        <v>0</v>
      </c>
      <c r="AE151" s="128">
        <f t="shared" si="641"/>
        <v>0</v>
      </c>
      <c r="AF151" s="128">
        <f t="shared" si="641"/>
        <v>0</v>
      </c>
      <c r="AG151" s="128">
        <f t="shared" si="641"/>
        <v>0</v>
      </c>
      <c r="AH151" s="115" t="e">
        <f t="shared" si="456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>
        <f t="shared" ref="G153" si="642">G27/G25</f>
        <v>0.9821428571428571</v>
      </c>
      <c r="H153" s="128">
        <f t="shared" ref="H153:I153" si="643">H27/H25</f>
        <v>0.76206896551724135</v>
      </c>
      <c r="I153" s="128">
        <f t="shared" si="643"/>
        <v>0.82336956521739124</v>
      </c>
      <c r="J153" s="128">
        <f t="shared" ref="J153:T153" si="644">J27/J25</f>
        <v>0.82336956521739124</v>
      </c>
      <c r="K153" s="128">
        <f t="shared" si="644"/>
        <v>0.72274143302180682</v>
      </c>
      <c r="L153" s="128">
        <f t="shared" si="644"/>
        <v>1.5476190476190477</v>
      </c>
      <c r="M153" s="128">
        <f t="shared" si="644"/>
        <v>0.81748071979434445</v>
      </c>
      <c r="N153" s="128">
        <f t="shared" si="644"/>
        <v>0.66802721088435379</v>
      </c>
      <c r="O153" s="128">
        <f t="shared" si="644"/>
        <v>0.67244367417677642</v>
      </c>
      <c r="P153" s="128">
        <f t="shared" si="644"/>
        <v>0.46888888888888886</v>
      </c>
      <c r="Q153" s="128">
        <f t="shared" si="644"/>
        <v>0.44444444444444442</v>
      </c>
      <c r="R153" s="128">
        <f t="shared" si="644"/>
        <v>0.27500000000000002</v>
      </c>
      <c r="S153" s="128">
        <f t="shared" si="644"/>
        <v>0.29508196721311475</v>
      </c>
      <c r="T153" s="128">
        <f t="shared" si="644"/>
        <v>0.312</v>
      </c>
      <c r="U153" s="128">
        <f t="shared" ref="U153" si="645">U27/U25</f>
        <v>0.59890109890109888</v>
      </c>
      <c r="V153" s="101">
        <f t="shared" si="590"/>
        <v>-3.4714580578076082E-2</v>
      </c>
      <c r="W153" s="10"/>
      <c r="X153" s="128">
        <f t="shared" ref="X153:AG153" si="646">X27/X25</f>
        <v>0.59890109890109888</v>
      </c>
      <c r="Y153" s="128">
        <f t="shared" si="646"/>
        <v>0.59890109890109888</v>
      </c>
      <c r="Z153" s="128">
        <f t="shared" si="646"/>
        <v>0.59890109890109899</v>
      </c>
      <c r="AA153" s="128">
        <f t="shared" si="646"/>
        <v>0.59890109890109888</v>
      </c>
      <c r="AB153" s="128">
        <f t="shared" si="646"/>
        <v>0.59890109890109888</v>
      </c>
      <c r="AC153" s="128">
        <f t="shared" si="646"/>
        <v>0.59890109890109888</v>
      </c>
      <c r="AD153" s="128">
        <f t="shared" si="646"/>
        <v>0.59890109890109877</v>
      </c>
      <c r="AE153" s="128">
        <f t="shared" si="646"/>
        <v>0.59890109890109877</v>
      </c>
      <c r="AF153" s="128">
        <f t="shared" si="646"/>
        <v>0.59890109890109866</v>
      </c>
      <c r="AG153" s="128">
        <f t="shared" si="646"/>
        <v>0.59890109890109877</v>
      </c>
      <c r="AH153" s="115">
        <f t="shared" si="456"/>
        <v>-1.3175297140455178E-2</v>
      </c>
      <c r="AI153" s="10"/>
      <c r="AJ153" s="10"/>
    </row>
    <row r="154" spans="2:36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47">G33/G25</f>
        <v>0.1294642857142857</v>
      </c>
      <c r="H154" s="128">
        <f t="shared" ref="H154:I154" si="648">H33/H25</f>
        <v>0.14137931034482759</v>
      </c>
      <c r="I154" s="128">
        <f t="shared" si="648"/>
        <v>0.20652173913043478</v>
      </c>
      <c r="J154" s="128">
        <f t="shared" ref="J154:T154" si="649">J33/J25</f>
        <v>0.20652173913043478</v>
      </c>
      <c r="K154" s="128">
        <f t="shared" si="649"/>
        <v>0.2367601246105919</v>
      </c>
      <c r="L154" s="128">
        <f t="shared" si="649"/>
        <v>0.15476190476190477</v>
      </c>
      <c r="M154" s="128">
        <f t="shared" si="649"/>
        <v>8.7403598971722368E-2</v>
      </c>
      <c r="N154" s="128">
        <f t="shared" si="649"/>
        <v>0.24081632653061225</v>
      </c>
      <c r="O154" s="128">
        <f t="shared" si="649"/>
        <v>0.27902946273830159</v>
      </c>
      <c r="P154" s="128">
        <f t="shared" si="649"/>
        <v>0.3611111111111111</v>
      </c>
      <c r="Q154" s="128">
        <f t="shared" si="649"/>
        <v>0.3888888888888889</v>
      </c>
      <c r="R154" s="128">
        <f t="shared" si="649"/>
        <v>0.35</v>
      </c>
      <c r="S154" s="128">
        <f t="shared" si="649"/>
        <v>0.19672131147540983</v>
      </c>
      <c r="T154" s="128">
        <f t="shared" si="649"/>
        <v>0.224</v>
      </c>
      <c r="U154" s="128">
        <f t="shared" ref="U154" si="650">U33/U25</f>
        <v>0.40659340659340659</v>
      </c>
      <c r="V154" s="101">
        <f t="shared" si="590"/>
        <v>8.5177397283536349E-2</v>
      </c>
      <c r="W154" s="10"/>
      <c r="X154" s="128">
        <f t="shared" ref="X154:AG154" si="651">X33/X25</f>
        <v>0.40659340659340659</v>
      </c>
      <c r="Y154" s="128">
        <f t="shared" si="651"/>
        <v>0.40659340659340659</v>
      </c>
      <c r="Z154" s="128">
        <f t="shared" si="651"/>
        <v>0.40659340659340659</v>
      </c>
      <c r="AA154" s="128">
        <f t="shared" si="651"/>
        <v>0.40659340659340659</v>
      </c>
      <c r="AB154" s="128">
        <f t="shared" si="651"/>
        <v>0.40659340659340659</v>
      </c>
      <c r="AC154" s="128">
        <f t="shared" si="651"/>
        <v>0.40659340659340659</v>
      </c>
      <c r="AD154" s="128">
        <f t="shared" si="651"/>
        <v>0.40659340659340659</v>
      </c>
      <c r="AE154" s="128">
        <f t="shared" si="651"/>
        <v>0.40659340659340654</v>
      </c>
      <c r="AF154" s="128">
        <f t="shared" si="651"/>
        <v>0.40659340659340648</v>
      </c>
      <c r="AG154" s="128">
        <f t="shared" si="651"/>
        <v>0.40659340659340654</v>
      </c>
      <c r="AH154" s="115">
        <f t="shared" si="456"/>
        <v>2.8627442531260483E-2</v>
      </c>
      <c r="AI154" s="10"/>
      <c r="AJ154" s="10"/>
    </row>
    <row r="155" spans="2:36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652">G34/G25</f>
        <v>0.21428571428571425</v>
      </c>
      <c r="H155" s="128">
        <f t="shared" ref="H155:I155" si="653">H34/H25</f>
        <v>0.18275862068965518</v>
      </c>
      <c r="I155" s="128">
        <f t="shared" si="653"/>
        <v>0.20923913043478259</v>
      </c>
      <c r="J155" s="128">
        <f t="shared" ref="J155:T155" si="654">J34/J25</f>
        <v>0.20923913043478259</v>
      </c>
      <c r="K155" s="128">
        <f t="shared" si="654"/>
        <v>0.23987538940809969</v>
      </c>
      <c r="L155" s="128">
        <f t="shared" si="654"/>
        <v>0.66666666666666674</v>
      </c>
      <c r="M155" s="128">
        <f t="shared" si="654"/>
        <v>0.46015424164524421</v>
      </c>
      <c r="N155" s="128">
        <f t="shared" si="654"/>
        <v>0.36870748299319728</v>
      </c>
      <c r="O155" s="128">
        <f t="shared" si="654"/>
        <v>0.43500866551126516</v>
      </c>
      <c r="P155" s="128">
        <f t="shared" si="654"/>
        <v>0.29666666666666663</v>
      </c>
      <c r="Q155" s="128">
        <f t="shared" si="654"/>
        <v>0.27777777777777779</v>
      </c>
      <c r="R155" s="128">
        <f t="shared" si="654"/>
        <v>0.15</v>
      </c>
      <c r="S155" s="128">
        <f t="shared" si="654"/>
        <v>0.16393442622950818</v>
      </c>
      <c r="T155" s="128">
        <f t="shared" si="654"/>
        <v>0.16</v>
      </c>
      <c r="U155" s="128">
        <f t="shared" ref="U155" si="655">U34/U25</f>
        <v>0.15934065934065933</v>
      </c>
      <c r="V155" s="101">
        <f t="shared" si="590"/>
        <v>-2.0939503330770104E-2</v>
      </c>
      <c r="W155" s="10"/>
      <c r="X155" s="128">
        <f t="shared" ref="X155:AG155" si="656">X34/X25</f>
        <v>0.15934065934065933</v>
      </c>
      <c r="Y155" s="128">
        <f t="shared" si="656"/>
        <v>0.15934065934065933</v>
      </c>
      <c r="Z155" s="128">
        <f t="shared" si="656"/>
        <v>0.15934065934065936</v>
      </c>
      <c r="AA155" s="128">
        <f t="shared" si="656"/>
        <v>0.15934065934065933</v>
      </c>
      <c r="AB155" s="128">
        <f t="shared" si="656"/>
        <v>0.15934065934065933</v>
      </c>
      <c r="AC155" s="128">
        <f t="shared" si="656"/>
        <v>0.15934065934065933</v>
      </c>
      <c r="AD155" s="128">
        <f t="shared" si="656"/>
        <v>0.1593406593406593</v>
      </c>
      <c r="AE155" s="128">
        <f t="shared" si="656"/>
        <v>0.1593406593406593</v>
      </c>
      <c r="AF155" s="128">
        <f t="shared" si="656"/>
        <v>0.15934065934065927</v>
      </c>
      <c r="AG155" s="128">
        <f t="shared" si="656"/>
        <v>0.15934065934065927</v>
      </c>
      <c r="AH155" s="115">
        <f t="shared" si="456"/>
        <v>-1.1287205269069345E-2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57">G15/G9</f>
        <v>0.62499999999999989</v>
      </c>
      <c r="H158" s="15">
        <f t="shared" ref="H158:I158" si="658">H15/H9</f>
        <v>0.4081632653061224</v>
      </c>
      <c r="I158" s="15">
        <f t="shared" si="658"/>
        <v>1.7647058823529413</v>
      </c>
      <c r="J158" s="15">
        <f t="shared" ref="J158:T158" si="659">J15/J9</f>
        <v>1.7647058823529413</v>
      </c>
      <c r="K158" s="15">
        <f t="shared" si="659"/>
        <v>38.46153846153846</v>
      </c>
      <c r="L158" s="15">
        <f t="shared" si="659"/>
        <v>10.771428571428572</v>
      </c>
      <c r="M158" s="15">
        <f t="shared" si="659"/>
        <v>2.8076923076923075</v>
      </c>
      <c r="N158" s="15">
        <f t="shared" si="659"/>
        <v>4.8192771084337354</v>
      </c>
      <c r="O158" s="15">
        <f t="shared" si="659"/>
        <v>1.7053571428571426</v>
      </c>
      <c r="P158" s="15">
        <f t="shared" si="659"/>
        <v>1.8208955223880596</v>
      </c>
      <c r="Q158" s="15">
        <f t="shared" si="659"/>
        <v>1</v>
      </c>
      <c r="R158" s="15">
        <f t="shared" si="659"/>
        <v>1.2416666666666667</v>
      </c>
      <c r="S158" s="15">
        <f t="shared" si="659"/>
        <v>2.2162162162162162</v>
      </c>
      <c r="T158" s="15">
        <f t="shared" si="659"/>
        <v>0.27777777777777779</v>
      </c>
      <c r="U158" s="15">
        <f t="shared" ref="U158" si="660">U15/U9</f>
        <v>0.16666666666666666</v>
      </c>
      <c r="V158" s="101">
        <f t="shared" si="590"/>
        <v>-9.0091406688953879E-2</v>
      </c>
      <c r="W158" s="10"/>
      <c r="X158" s="10">
        <f t="shared" ref="X158:AG158" si="661">X15/X9</f>
        <v>0.16666666666666666</v>
      </c>
      <c r="Y158" s="10">
        <f t="shared" si="661"/>
        <v>0.16666666666666666</v>
      </c>
      <c r="Z158" s="10">
        <f t="shared" si="661"/>
        <v>0.16666666666666669</v>
      </c>
      <c r="AA158" s="10">
        <f t="shared" si="661"/>
        <v>0.16666666666666669</v>
      </c>
      <c r="AB158" s="10">
        <f t="shared" si="661"/>
        <v>0.16666666666666669</v>
      </c>
      <c r="AC158" s="10">
        <f t="shared" si="661"/>
        <v>0.16666666666666669</v>
      </c>
      <c r="AD158" s="10">
        <f t="shared" si="661"/>
        <v>0.16666666666666669</v>
      </c>
      <c r="AE158" s="10">
        <f t="shared" si="661"/>
        <v>0.16666666666666671</v>
      </c>
      <c r="AF158" s="10">
        <f t="shared" si="661"/>
        <v>0.16666666666666669</v>
      </c>
      <c r="AG158" s="10">
        <f t="shared" si="661"/>
        <v>0.16666666666666669</v>
      </c>
      <c r="AH158" s="115">
        <f t="shared" si="456"/>
        <v>-9.3643575809104429E-2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62">G12/G9</f>
        <v>0.10714285714285712</v>
      </c>
      <c r="H159" s="15">
        <f t="shared" ref="H159:I159" si="663">H12/H9</f>
        <v>0.15918367346938775</v>
      </c>
      <c r="I159" s="15">
        <f t="shared" si="663"/>
        <v>0.36974789915966388</v>
      </c>
      <c r="J159" s="15">
        <f t="shared" ref="J159:T159" si="664">J12/J9</f>
        <v>0.36974789915966388</v>
      </c>
      <c r="K159" s="15">
        <f t="shared" si="664"/>
        <v>4</v>
      </c>
      <c r="L159" s="15">
        <f t="shared" si="664"/>
        <v>9.7428571428571438</v>
      </c>
      <c r="M159" s="15">
        <f t="shared" si="664"/>
        <v>2.1346153846153846</v>
      </c>
      <c r="N159" s="15">
        <f t="shared" si="664"/>
        <v>4.4698795180722897</v>
      </c>
      <c r="O159" s="15">
        <f t="shared" si="664"/>
        <v>1.5178571428571426</v>
      </c>
      <c r="P159" s="15">
        <f t="shared" si="664"/>
        <v>1.425373134328358</v>
      </c>
      <c r="Q159" s="15">
        <f t="shared" si="664"/>
        <v>0.76666666666666661</v>
      </c>
      <c r="R159" s="15">
        <f t="shared" si="664"/>
        <v>1.1220833333333333</v>
      </c>
      <c r="S159" s="15">
        <f t="shared" si="664"/>
        <v>2.1081081081081079</v>
      </c>
      <c r="T159" s="15">
        <f t="shared" si="664"/>
        <v>0.27777777777777779</v>
      </c>
      <c r="U159" s="15">
        <f t="shared" ref="U159" si="665">U12/U9</f>
        <v>0.16666666666666666</v>
      </c>
      <c r="V159" s="101">
        <f t="shared" si="590"/>
        <v>3.2062763242617143E-2</v>
      </c>
      <c r="W159" s="109"/>
      <c r="X159" s="10">
        <f t="shared" ref="X159:AG159" si="666">X12/X9</f>
        <v>0.16666666666666666</v>
      </c>
      <c r="Y159" s="10">
        <f t="shared" si="666"/>
        <v>0.16666666666666666</v>
      </c>
      <c r="Z159" s="10">
        <f t="shared" si="666"/>
        <v>0.16666666666666669</v>
      </c>
      <c r="AA159" s="10">
        <f t="shared" si="666"/>
        <v>0.16666666666666669</v>
      </c>
      <c r="AB159" s="10">
        <f t="shared" si="666"/>
        <v>0.16666666666666669</v>
      </c>
      <c r="AC159" s="10">
        <f t="shared" si="666"/>
        <v>0.16666666666666669</v>
      </c>
      <c r="AD159" s="10">
        <f t="shared" si="666"/>
        <v>0.16666666666666669</v>
      </c>
      <c r="AE159" s="10">
        <f t="shared" si="666"/>
        <v>0.16666666666666671</v>
      </c>
      <c r="AF159" s="10">
        <f t="shared" si="666"/>
        <v>0.16666666666666669</v>
      </c>
      <c r="AG159" s="10">
        <f t="shared" si="666"/>
        <v>0.16666666666666669</v>
      </c>
      <c r="AH159" s="101">
        <f t="shared" ref="AH159" si="667">((AG159/X159)^(1/($K$2-$K$1) ))-1</f>
        <v>0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68">G25/360</f>
        <v>6.2222222222222227E-3</v>
      </c>
      <c r="H160" s="15">
        <f t="shared" ref="H160:I160" si="669">H25/360</f>
        <v>8.0555555555555554E-3</v>
      </c>
      <c r="I160" s="15">
        <f t="shared" si="669"/>
        <v>1.0222222222222223E-2</v>
      </c>
      <c r="J160" s="15">
        <f t="shared" ref="J160:T160" si="670">J25/360</f>
        <v>1.0222222222222223E-2</v>
      </c>
      <c r="K160" s="15">
        <f t="shared" si="670"/>
        <v>8.9166666666666665E-3</v>
      </c>
      <c r="L160" s="15">
        <f t="shared" si="670"/>
        <v>4.6666666666666662E-3</v>
      </c>
      <c r="M160" s="15">
        <f t="shared" si="670"/>
        <v>1.0805555555555556E-2</v>
      </c>
      <c r="N160" s="15">
        <f t="shared" si="670"/>
        <v>2.0416666666666666E-2</v>
      </c>
      <c r="O160" s="15">
        <f t="shared" si="670"/>
        <v>1.6027777777777776E-2</v>
      </c>
      <c r="P160" s="15">
        <f t="shared" si="670"/>
        <v>2.5000000000000001E-2</v>
      </c>
      <c r="Q160" s="15">
        <f t="shared" si="670"/>
        <v>0.05</v>
      </c>
      <c r="R160" s="15">
        <f t="shared" si="670"/>
        <v>0.1111111111111111</v>
      </c>
      <c r="S160" s="15">
        <f t="shared" si="670"/>
        <v>0.16944444444444445</v>
      </c>
      <c r="T160" s="15">
        <f t="shared" si="670"/>
        <v>0.34722222222222221</v>
      </c>
      <c r="U160" s="15">
        <f t="shared" ref="U160" si="671">U25/360</f>
        <v>0.50555555555555554</v>
      </c>
      <c r="V160" s="101">
        <f t="shared" si="590"/>
        <v>0.3690394251197886</v>
      </c>
      <c r="W160" s="109"/>
      <c r="X160" s="15">
        <f t="shared" ref="X160:AG160" si="672">X25/360</f>
        <v>0.58138888888888884</v>
      </c>
      <c r="Y160" s="15">
        <f t="shared" si="672"/>
        <v>0.66859722222222218</v>
      </c>
      <c r="Z160" s="15">
        <f t="shared" si="672"/>
        <v>0.76888680555555533</v>
      </c>
      <c r="AA160" s="15">
        <f t="shared" si="672"/>
        <v>0.88421982638888863</v>
      </c>
      <c r="AB160" s="15">
        <f t="shared" si="672"/>
        <v>1.0168528003472219</v>
      </c>
      <c r="AC160" s="15">
        <f t="shared" si="672"/>
        <v>1.1693807203993052</v>
      </c>
      <c r="AD160" s="15">
        <f t="shared" si="672"/>
        <v>1.3447878284592008</v>
      </c>
      <c r="AE160" s="15">
        <f t="shared" si="672"/>
        <v>1.5465060027280808</v>
      </c>
      <c r="AF160" s="15">
        <f t="shared" si="672"/>
        <v>1.7784819031372929</v>
      </c>
      <c r="AG160" s="15">
        <f t="shared" si="672"/>
        <v>2.0452541886078865</v>
      </c>
      <c r="AH160" s="101">
        <f t="shared" ref="AH160:AH171" si="673">((AG160/X160)^(1/($K$2-$K$1) ))-1</f>
        <v>9.4006847318931053E-2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74">G27/360</f>
        <v>6.1111111111111114E-3</v>
      </c>
      <c r="H161" s="15">
        <f t="shared" ref="H161:I161" si="675">H27/360</f>
        <v>6.138888888888889E-3</v>
      </c>
      <c r="I161" s="15">
        <f t="shared" si="675"/>
        <v>8.416666666666666E-3</v>
      </c>
      <c r="J161" s="15">
        <f t="shared" ref="J161:T161" si="676">J27/360</f>
        <v>8.416666666666666E-3</v>
      </c>
      <c r="K161" s="15">
        <f t="shared" si="676"/>
        <v>6.4444444444444436E-3</v>
      </c>
      <c r="L161" s="15">
        <f t="shared" si="676"/>
        <v>7.2222222222222228E-3</v>
      </c>
      <c r="M161" s="15">
        <f t="shared" si="676"/>
        <v>8.8333333333333337E-3</v>
      </c>
      <c r="N161" s="15">
        <f t="shared" si="676"/>
        <v>1.363888888888889E-2</v>
      </c>
      <c r="O161" s="15">
        <f t="shared" si="676"/>
        <v>1.0777777777777777E-2</v>
      </c>
      <c r="P161" s="15">
        <f t="shared" si="676"/>
        <v>1.1722222222222221E-2</v>
      </c>
      <c r="Q161" s="15">
        <f t="shared" si="676"/>
        <v>2.2222222222222223E-2</v>
      </c>
      <c r="R161" s="15">
        <f t="shared" si="676"/>
        <v>3.0555555555555555E-2</v>
      </c>
      <c r="S161" s="15">
        <f t="shared" si="676"/>
        <v>0.05</v>
      </c>
      <c r="T161" s="15">
        <f t="shared" si="676"/>
        <v>0.10833333333333334</v>
      </c>
      <c r="U161" s="15">
        <f t="shared" ref="U161" si="677">U27/360</f>
        <v>0.30277777777777776</v>
      </c>
      <c r="V161" s="101">
        <f t="shared" si="590"/>
        <v>0.32151379568190475</v>
      </c>
      <c r="W161" s="109"/>
      <c r="X161" s="15">
        <f t="shared" ref="X161:AG161" si="678">X27/360</f>
        <v>0.34819444444444442</v>
      </c>
      <c r="Y161" s="15">
        <f t="shared" si="678"/>
        <v>0.40042361111111102</v>
      </c>
      <c r="Z161" s="15">
        <f t="shared" si="678"/>
        <v>0.46048715277777769</v>
      </c>
      <c r="AA161" s="15">
        <f t="shared" si="678"/>
        <v>0.52956022569444428</v>
      </c>
      <c r="AB161" s="15">
        <f t="shared" si="678"/>
        <v>0.60899425954861086</v>
      </c>
      <c r="AC161" s="15">
        <f t="shared" si="678"/>
        <v>0.70034339848090243</v>
      </c>
      <c r="AD161" s="15">
        <f t="shared" si="678"/>
        <v>0.80539490825303772</v>
      </c>
      <c r="AE161" s="15">
        <f t="shared" si="678"/>
        <v>0.9262041444909932</v>
      </c>
      <c r="AF161" s="15">
        <f t="shared" si="678"/>
        <v>1.0651347661646422</v>
      </c>
      <c r="AG161" s="15">
        <f t="shared" si="678"/>
        <v>1.2249049810893384</v>
      </c>
      <c r="AH161" s="101">
        <f t="shared" si="673"/>
        <v>9.4006847318931053E-2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79">G10/G7</f>
        <v>0.41370869033047736</v>
      </c>
      <c r="H163" s="15">
        <f t="shared" ref="H163:I163" si="680">H10/H7</f>
        <v>0.24308062575210587</v>
      </c>
      <c r="I163" s="15">
        <f t="shared" si="680"/>
        <v>0.39636363636363636</v>
      </c>
      <c r="J163" s="15">
        <f t="shared" ref="J163:T163" si="681">J10/J7</f>
        <v>0.39636363636363636</v>
      </c>
      <c r="K163" s="15">
        <f t="shared" si="681"/>
        <v>3.7484885126964934E-2</v>
      </c>
      <c r="L163" s="15">
        <f t="shared" si="681"/>
        <v>0.22285714285714286</v>
      </c>
      <c r="M163" s="15">
        <f t="shared" si="681"/>
        <v>0.98285714285714287</v>
      </c>
      <c r="N163" s="15">
        <f t="shared" si="681"/>
        <v>1.5092105263157896</v>
      </c>
      <c r="O163" s="15">
        <f t="shared" si="681"/>
        <v>0.81632653061224492</v>
      </c>
      <c r="P163" s="15">
        <f t="shared" si="681"/>
        <v>2.0426439232409379</v>
      </c>
      <c r="Q163" s="15">
        <f t="shared" si="681"/>
        <v>3.7142857142857144</v>
      </c>
      <c r="R163" s="15">
        <f t="shared" si="681"/>
        <v>3.5</v>
      </c>
      <c r="S163" s="15">
        <f t="shared" si="681"/>
        <v>0.26874999999999999</v>
      </c>
      <c r="T163" s="15">
        <f t="shared" si="681"/>
        <v>1.040909090909091</v>
      </c>
      <c r="U163" s="15">
        <f t="shared" ref="U163" si="682">U10/U7</f>
        <v>1.5458715596330275</v>
      </c>
      <c r="V163" s="101">
        <f t="shared" si="590"/>
        <v>9.873090441666954E-2</v>
      </c>
      <c r="W163" s="109"/>
      <c r="X163" s="15">
        <f t="shared" ref="X163:AG163" si="683">X10/X7</f>
        <v>1.5458715596330275</v>
      </c>
      <c r="Y163" s="15">
        <f t="shared" si="683"/>
        <v>1.5458715596330275</v>
      </c>
      <c r="Z163" s="15">
        <f t="shared" si="683"/>
        <v>1.5458715596330272</v>
      </c>
      <c r="AA163" s="15">
        <f t="shared" si="683"/>
        <v>1.5458715596330275</v>
      </c>
      <c r="AB163" s="15">
        <f t="shared" si="683"/>
        <v>1.5458715596330275</v>
      </c>
      <c r="AC163" s="15">
        <f t="shared" si="683"/>
        <v>1.5458715596330275</v>
      </c>
      <c r="AD163" s="15">
        <f t="shared" si="683"/>
        <v>1.5458715596330275</v>
      </c>
      <c r="AE163" s="15">
        <f t="shared" si="683"/>
        <v>1.5458715596330275</v>
      </c>
      <c r="AF163" s="15">
        <f t="shared" si="683"/>
        <v>1.5458715596330275</v>
      </c>
      <c r="AG163" s="15">
        <f t="shared" si="683"/>
        <v>1.5458715596330275</v>
      </c>
      <c r="AH163" s="101">
        <f t="shared" si="673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84">G10/(G10+G7)</f>
        <v>0.29264069264069259</v>
      </c>
      <c r="H164" s="15">
        <f t="shared" ref="H164:I164" si="685">H10/(H10+H7)</f>
        <v>0.19554695062923524</v>
      </c>
      <c r="I164" s="15">
        <f t="shared" si="685"/>
        <v>0.28385416666666669</v>
      </c>
      <c r="J164" s="15">
        <f t="shared" ref="J164:T164" si="686">J10/(J10+J7)</f>
        <v>0.28385416666666669</v>
      </c>
      <c r="K164" s="15">
        <f t="shared" si="686"/>
        <v>3.6130536130536128E-2</v>
      </c>
      <c r="L164" s="15">
        <f t="shared" si="686"/>
        <v>0.1822429906542056</v>
      </c>
      <c r="M164" s="15">
        <f t="shared" si="686"/>
        <v>0.49567723342939485</v>
      </c>
      <c r="N164" s="15">
        <f t="shared" si="686"/>
        <v>0.60146827477713694</v>
      </c>
      <c r="O164" s="15">
        <f t="shared" si="686"/>
        <v>0.44943820224719105</v>
      </c>
      <c r="P164" s="15">
        <f t="shared" si="686"/>
        <v>0.67133847231955157</v>
      </c>
      <c r="Q164" s="15">
        <f t="shared" si="686"/>
        <v>0.78787878787878785</v>
      </c>
      <c r="R164" s="15">
        <f t="shared" si="686"/>
        <v>0.77777777777777779</v>
      </c>
      <c r="S164" s="15">
        <f t="shared" si="686"/>
        <v>0.21182266009852216</v>
      </c>
      <c r="T164" s="15">
        <f t="shared" si="686"/>
        <v>0.51002227171492209</v>
      </c>
      <c r="U164" s="15">
        <f t="shared" ref="U164" si="687">U10/(U10+U7)</f>
        <v>0.60720720720720722</v>
      </c>
      <c r="V164" s="101">
        <f t="shared" si="590"/>
        <v>5.3520557327369156E-2</v>
      </c>
      <c r="W164" s="109"/>
      <c r="X164" s="15">
        <f t="shared" ref="X164:AG164" si="688">X10/(X10+X7)</f>
        <v>0.60720720720720711</v>
      </c>
      <c r="Y164" s="15">
        <f t="shared" si="688"/>
        <v>0.60720720720720722</v>
      </c>
      <c r="Z164" s="15">
        <f t="shared" si="688"/>
        <v>0.60720720720720722</v>
      </c>
      <c r="AA164" s="15">
        <f t="shared" si="688"/>
        <v>0.60720720720720722</v>
      </c>
      <c r="AB164" s="15">
        <f t="shared" si="688"/>
        <v>0.60720720720720722</v>
      </c>
      <c r="AC164" s="15">
        <f t="shared" si="688"/>
        <v>0.60720720720720722</v>
      </c>
      <c r="AD164" s="15">
        <f t="shared" si="688"/>
        <v>0.60720720720720722</v>
      </c>
      <c r="AE164" s="15">
        <f t="shared" si="688"/>
        <v>0.60720720720720722</v>
      </c>
      <c r="AF164" s="15">
        <f t="shared" si="688"/>
        <v>0.60720720720720722</v>
      </c>
      <c r="AG164" s="15">
        <f t="shared" si="688"/>
        <v>0.60720720720720711</v>
      </c>
      <c r="AH164" s="101">
        <f t="shared" si="673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89">G16</f>
        <v>7</v>
      </c>
      <c r="H166" s="15">
        <f t="shared" ref="H166:I166" si="690">H16</f>
        <v>6</v>
      </c>
      <c r="I166" s="15">
        <f t="shared" si="690"/>
        <v>8</v>
      </c>
      <c r="J166" s="15">
        <f t="shared" ref="J166:T166" si="691">J16</f>
        <v>8</v>
      </c>
      <c r="K166" s="15">
        <f t="shared" si="691"/>
        <v>8</v>
      </c>
      <c r="L166" s="15">
        <f t="shared" si="691"/>
        <v>8</v>
      </c>
      <c r="M166" s="15">
        <f t="shared" si="691"/>
        <v>13</v>
      </c>
      <c r="N166" s="15">
        <f t="shared" si="691"/>
        <v>18</v>
      </c>
      <c r="O166" s="15">
        <f t="shared" si="691"/>
        <v>13.7</v>
      </c>
      <c r="P166" s="15">
        <f t="shared" si="691"/>
        <v>28</v>
      </c>
      <c r="Q166" s="15">
        <f t="shared" si="691"/>
        <v>65</v>
      </c>
      <c r="R166" s="15">
        <f t="shared" si="691"/>
        <v>98</v>
      </c>
      <c r="S166" s="15">
        <f t="shared" si="691"/>
        <v>202</v>
      </c>
      <c r="T166" s="15">
        <f t="shared" si="691"/>
        <v>448</v>
      </c>
      <c r="U166" s="15">
        <f t="shared" ref="U166" si="692">U16</f>
        <v>554</v>
      </c>
      <c r="V166" s="101">
        <f t="shared" si="590"/>
        <v>0.36647231579941852</v>
      </c>
      <c r="W166" s="109"/>
      <c r="X166" s="15">
        <f t="shared" ref="X166:AG166" si="693">X16</f>
        <v>637.09999999999991</v>
      </c>
      <c r="Y166" s="15">
        <f t="shared" si="693"/>
        <v>732.66499999999985</v>
      </c>
      <c r="Z166" s="15">
        <f t="shared" si="693"/>
        <v>842.56474999999978</v>
      </c>
      <c r="AA166" s="15">
        <f t="shared" si="693"/>
        <v>968.94946249999964</v>
      </c>
      <c r="AB166" s="15">
        <f t="shared" si="693"/>
        <v>1114.2918818749995</v>
      </c>
      <c r="AC166" s="15">
        <f t="shared" si="693"/>
        <v>1281.4356641562492</v>
      </c>
      <c r="AD166" s="15">
        <f t="shared" si="693"/>
        <v>1473.6510137796865</v>
      </c>
      <c r="AE166" s="15">
        <f t="shared" si="693"/>
        <v>1694.6986658466394</v>
      </c>
      <c r="AF166" s="15">
        <f t="shared" si="693"/>
        <v>1948.9034657236352</v>
      </c>
      <c r="AG166" s="15">
        <f t="shared" si="693"/>
        <v>2241.2389855821802</v>
      </c>
      <c r="AH166" s="101">
        <f t="shared" si="673"/>
        <v>9.4006847318931053E-2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>
        <f t="shared" ref="G167" si="694">G166*365/G25</f>
        <v>1140.625</v>
      </c>
      <c r="H167" s="102">
        <f t="shared" ref="H167:I167" si="695">H166*365/H25</f>
        <v>755.17241379310349</v>
      </c>
      <c r="I167" s="102">
        <f t="shared" si="695"/>
        <v>793.47826086956513</v>
      </c>
      <c r="J167" s="102">
        <f t="shared" ref="J167:T167" si="696">J166*365/J25</f>
        <v>793.47826086956513</v>
      </c>
      <c r="K167" s="102">
        <f t="shared" si="696"/>
        <v>909.65732087227411</v>
      </c>
      <c r="L167" s="102">
        <f t="shared" si="696"/>
        <v>1738.0952380952381</v>
      </c>
      <c r="M167" s="102">
        <f t="shared" si="696"/>
        <v>1219.7943444730076</v>
      </c>
      <c r="N167" s="102">
        <f t="shared" si="696"/>
        <v>893.87755102040819</v>
      </c>
      <c r="O167" s="102">
        <f t="shared" si="696"/>
        <v>866.63778162911615</v>
      </c>
      <c r="P167" s="102">
        <f t="shared" si="696"/>
        <v>1135.5555555555557</v>
      </c>
      <c r="Q167" s="102">
        <f t="shared" si="696"/>
        <v>1318.0555555555557</v>
      </c>
      <c r="R167" s="102">
        <f t="shared" si="696"/>
        <v>894.25</v>
      </c>
      <c r="S167" s="102">
        <f t="shared" si="696"/>
        <v>1208.688524590164</v>
      </c>
      <c r="T167" s="102">
        <f t="shared" si="696"/>
        <v>1308.1600000000001</v>
      </c>
      <c r="U167" s="102">
        <f t="shared" ref="U167" si="697">U166*365/U25</f>
        <v>1111.0439560439561</v>
      </c>
      <c r="V167" s="101">
        <f t="shared" si="590"/>
        <v>-1.8751171611770534E-3</v>
      </c>
      <c r="W167" s="109"/>
      <c r="X167" s="102">
        <f t="shared" ref="X167:AG167" si="698">X166*365/X25</f>
        <v>1111.0439560439561</v>
      </c>
      <c r="Y167" s="102">
        <f t="shared" si="698"/>
        <v>1111.0439560439559</v>
      </c>
      <c r="Z167" s="102">
        <f t="shared" si="698"/>
        <v>1111.0439560439561</v>
      </c>
      <c r="AA167" s="102">
        <f t="shared" si="698"/>
        <v>1111.0439560439559</v>
      </c>
      <c r="AB167" s="102">
        <f t="shared" si="698"/>
        <v>1111.0439560439559</v>
      </c>
      <c r="AC167" s="102">
        <f t="shared" si="698"/>
        <v>1111.0439560439559</v>
      </c>
      <c r="AD167" s="102">
        <f t="shared" si="698"/>
        <v>1111.0439560439556</v>
      </c>
      <c r="AE167" s="102">
        <f t="shared" si="698"/>
        <v>1111.0439560439556</v>
      </c>
      <c r="AF167" s="102">
        <f t="shared" si="698"/>
        <v>1111.0439560439556</v>
      </c>
      <c r="AG167" s="102">
        <f t="shared" si="698"/>
        <v>1111.0439560439556</v>
      </c>
      <c r="AH167" s="101">
        <f t="shared" si="673"/>
        <v>0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>
        <f t="shared" ref="G168" si="699">G102/G29</f>
        <v>0.91954022988505757</v>
      </c>
      <c r="H168" s="111">
        <f t="shared" ref="H168:I168" si="700">H102/H29</f>
        <v>0.65040650406504064</v>
      </c>
      <c r="I168" s="111">
        <f t="shared" si="700"/>
        <v>0.49122807017543862</v>
      </c>
      <c r="J168" s="111">
        <f t="shared" ref="J168:T168" si="701">J102/J29</f>
        <v>0.49122807017543862</v>
      </c>
      <c r="K168" s="111">
        <f t="shared" si="701"/>
        <v>1.3333333333333333</v>
      </c>
      <c r="L168" s="111">
        <f t="shared" si="701"/>
        <v>-6.3076923076923075</v>
      </c>
      <c r="M168" s="111">
        <f t="shared" si="701"/>
        <v>0.31372549019607843</v>
      </c>
      <c r="N168" s="111">
        <f t="shared" si="701"/>
        <v>1.7099811676082863</v>
      </c>
      <c r="O168" s="111">
        <f t="shared" si="701"/>
        <v>1.3167701863354038</v>
      </c>
      <c r="P168" s="111">
        <f t="shared" si="701"/>
        <v>1.9569230769230768</v>
      </c>
      <c r="Q168" s="111">
        <f t="shared" si="701"/>
        <v>1.7142857142857142</v>
      </c>
      <c r="R168" s="111">
        <f t="shared" si="701"/>
        <v>2.4761904761904758</v>
      </c>
      <c r="S168" s="111">
        <f t="shared" si="701"/>
        <v>2.054794520547945</v>
      </c>
      <c r="T168" s="111">
        <f t="shared" si="701"/>
        <v>1.7747589833479405</v>
      </c>
      <c r="U168" s="111">
        <f t="shared" ref="U168" si="702">U102/U29</f>
        <v>0.64181217555450687</v>
      </c>
      <c r="V168" s="101">
        <f t="shared" si="590"/>
        <v>-2.5357117738375567E-2</v>
      </c>
      <c r="W168" s="109"/>
      <c r="X168" s="111">
        <f t="shared" ref="X168:AG168" si="703">X102/X29</f>
        <v>0.62922762309265368</v>
      </c>
      <c r="Y168" s="111">
        <f t="shared" si="703"/>
        <v>0.61688982656142521</v>
      </c>
      <c r="Z168" s="111">
        <f t="shared" si="703"/>
        <v>0.60479394760924043</v>
      </c>
      <c r="AA168" s="111">
        <f t="shared" si="703"/>
        <v>0.59293524275415721</v>
      </c>
      <c r="AB168" s="111">
        <f t="shared" si="703"/>
        <v>0.58130906152368345</v>
      </c>
      <c r="AC168" s="111">
        <f t="shared" si="703"/>
        <v>0.56991084463106234</v>
      </c>
      <c r="AD168" s="111">
        <f t="shared" si="703"/>
        <v>0.55873612218731594</v>
      </c>
      <c r="AE168" s="111">
        <f t="shared" si="703"/>
        <v>0.54778051194834898</v>
      </c>
      <c r="AF168" s="111">
        <f t="shared" si="703"/>
        <v>0.53703971759642055</v>
      </c>
      <c r="AG168" s="111">
        <f t="shared" si="703"/>
        <v>0.52650952705531429</v>
      </c>
      <c r="AH168" s="101">
        <f t="shared" si="673"/>
        <v>-1.2649573391514068E-2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>
        <f t="shared" ref="G170" si="704">G25/G14</f>
        <v>1.8360655737704921</v>
      </c>
      <c r="H170" s="155">
        <f t="shared" ref="H170:I170" si="705">H25/H14</f>
        <v>4.084507042253521</v>
      </c>
      <c r="I170" s="155">
        <f t="shared" si="705"/>
        <v>3.0163934426229511</v>
      </c>
      <c r="J170" s="155">
        <f t="shared" ref="J170:T170" si="706">J25/J14</f>
        <v>3.0163934426229511</v>
      </c>
      <c r="K170" s="155">
        <f t="shared" si="706"/>
        <v>10.700000000000001</v>
      </c>
      <c r="L170" s="155" t="e">
        <f t="shared" si="706"/>
        <v>#DIV/0!</v>
      </c>
      <c r="M170" s="155" t="e">
        <f t="shared" si="706"/>
        <v>#DIV/0!</v>
      </c>
      <c r="N170" s="155" t="e">
        <f t="shared" si="706"/>
        <v>#DIV/0!</v>
      </c>
      <c r="O170" s="155" t="e">
        <f t="shared" si="706"/>
        <v>#DIV/0!</v>
      </c>
      <c r="P170" s="155" t="e">
        <f t="shared" si="706"/>
        <v>#DIV/0!</v>
      </c>
      <c r="Q170" s="155" t="e">
        <f t="shared" si="706"/>
        <v>#VALUE!</v>
      </c>
      <c r="R170" s="155" t="e">
        <f t="shared" si="706"/>
        <v>#VALUE!</v>
      </c>
      <c r="S170" s="155" t="e">
        <f t="shared" si="706"/>
        <v>#DIV/0!</v>
      </c>
      <c r="T170" s="155" t="e">
        <f t="shared" si="706"/>
        <v>#DIV/0!</v>
      </c>
      <c r="U170" s="155" t="e">
        <f t="shared" ref="U170" si="707">U25/U14</f>
        <v>#DIV/0!</v>
      </c>
      <c r="V170" s="101" t="e">
        <f t="shared" si="590"/>
        <v>#DIV/0!</v>
      </c>
      <c r="W170" s="109"/>
      <c r="X170" s="10" t="e">
        <f t="shared" ref="X170:AG170" si="708">X25/X14</f>
        <v>#DIV/0!</v>
      </c>
      <c r="Y170" s="10" t="e">
        <f t="shared" si="708"/>
        <v>#DIV/0!</v>
      </c>
      <c r="Z170" s="10" t="e">
        <f t="shared" si="708"/>
        <v>#DIV/0!</v>
      </c>
      <c r="AA170" s="10" t="e">
        <f t="shared" si="708"/>
        <v>#DIV/0!</v>
      </c>
      <c r="AB170" s="10" t="e">
        <f t="shared" si="708"/>
        <v>#DIV/0!</v>
      </c>
      <c r="AC170" s="10" t="e">
        <f t="shared" si="708"/>
        <v>#DIV/0!</v>
      </c>
      <c r="AD170" s="10" t="e">
        <f t="shared" si="708"/>
        <v>#DIV/0!</v>
      </c>
      <c r="AE170" s="10" t="e">
        <f t="shared" si="708"/>
        <v>#DIV/0!</v>
      </c>
      <c r="AF170" s="10" t="e">
        <f t="shared" si="708"/>
        <v>#DIV/0!</v>
      </c>
      <c r="AG170" s="10" t="e">
        <f t="shared" si="708"/>
        <v>#DIV/0!</v>
      </c>
      <c r="AH170" s="101" t="e">
        <f t="shared" si="673"/>
        <v>#DIV/0!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>
        <f t="shared" ref="G171" si="709">G27/G14</f>
        <v>1.8032786885245904</v>
      </c>
      <c r="H171" s="155">
        <f t="shared" ref="H171:I171" si="710">H27/H14</f>
        <v>3.1126760563380285</v>
      </c>
      <c r="I171" s="155">
        <f t="shared" si="710"/>
        <v>2.4836065573770489</v>
      </c>
      <c r="J171" s="155">
        <f t="shared" ref="J171:T171" si="711">J27/J14</f>
        <v>2.4836065573770489</v>
      </c>
      <c r="K171" s="155">
        <f t="shared" si="711"/>
        <v>7.7333333333333334</v>
      </c>
      <c r="L171" s="155" t="e">
        <f t="shared" si="711"/>
        <v>#DIV/0!</v>
      </c>
      <c r="M171" s="155" t="e">
        <f t="shared" si="711"/>
        <v>#DIV/0!</v>
      </c>
      <c r="N171" s="155" t="e">
        <f t="shared" si="711"/>
        <v>#DIV/0!</v>
      </c>
      <c r="O171" s="155" t="e">
        <f t="shared" si="711"/>
        <v>#DIV/0!</v>
      </c>
      <c r="P171" s="155" t="e">
        <f t="shared" si="711"/>
        <v>#DIV/0!</v>
      </c>
      <c r="Q171" s="155" t="e">
        <f t="shared" si="711"/>
        <v>#VALUE!</v>
      </c>
      <c r="R171" s="155" t="e">
        <f t="shared" si="711"/>
        <v>#VALUE!</v>
      </c>
      <c r="S171" s="155" t="e">
        <f t="shared" si="711"/>
        <v>#DIV/0!</v>
      </c>
      <c r="T171" s="155" t="e">
        <f t="shared" si="711"/>
        <v>#DIV/0!</v>
      </c>
      <c r="U171" s="155" t="e">
        <f t="shared" ref="U171" si="712">U27/U14</f>
        <v>#DIV/0!</v>
      </c>
      <c r="V171" s="101" t="e">
        <f t="shared" si="590"/>
        <v>#DIV/0!</v>
      </c>
      <c r="W171" s="109"/>
      <c r="X171" s="10" t="e">
        <f t="shared" ref="X171:AG171" si="713">X27/X14</f>
        <v>#DIV/0!</v>
      </c>
      <c r="Y171" s="10" t="e">
        <f t="shared" si="713"/>
        <v>#DIV/0!</v>
      </c>
      <c r="Z171" s="10" t="e">
        <f t="shared" si="713"/>
        <v>#DIV/0!</v>
      </c>
      <c r="AA171" s="10" t="e">
        <f t="shared" si="713"/>
        <v>#DIV/0!</v>
      </c>
      <c r="AB171" s="10" t="e">
        <f t="shared" si="713"/>
        <v>#DIV/0!</v>
      </c>
      <c r="AC171" s="10" t="e">
        <f t="shared" si="713"/>
        <v>#DIV/0!</v>
      </c>
      <c r="AD171" s="10" t="e">
        <f t="shared" si="713"/>
        <v>#DIV/0!</v>
      </c>
      <c r="AE171" s="10" t="e">
        <f t="shared" si="713"/>
        <v>#DIV/0!</v>
      </c>
      <c r="AF171" s="10" t="e">
        <f t="shared" si="713"/>
        <v>#DIV/0!</v>
      </c>
      <c r="AG171" s="10" t="e">
        <f t="shared" si="713"/>
        <v>#DIV/0!</v>
      </c>
      <c r="AH171" s="101" t="e">
        <f t="shared" si="673"/>
        <v>#DIV/0!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502</v>
      </c>
      <c r="T173" s="13" t="s">
        <v>410</v>
      </c>
      <c r="U173" s="13" t="s">
        <v>410</v>
      </c>
      <c r="V173" s="13" t="s">
        <v>503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3.0775635407537254</v>
      </c>
      <c r="T174" s="111">
        <f>AVERAGE(Q106:U106)</f>
        <v>8.6920245398773002</v>
      </c>
      <c r="U174" s="111">
        <f>AVERAGE(Q76:U76)</f>
        <v>10.629067540689693</v>
      </c>
      <c r="V174" s="111">
        <f>AVERAGE(L76:U76)</f>
        <v>5.461200437011513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80.639396893263282</v>
      </c>
      <c r="X175" s="111">
        <f>PV($C$1, ($AG$3-$X$3), 0, -AG76)</f>
        <v>11.236637272012095</v>
      </c>
      <c r="Y175" s="111">
        <f>PV($C$1, ($AG$3-$X$3), 0, -AJ76)</f>
        <v>69.402759621251192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14">X176+Y176</f>
        <v>532.00781055634479</v>
      </c>
      <c r="X176" s="111">
        <f>PV($C$1, ($AG$3-$X$3), 0, -AG78)</f>
        <v>74.132235897195585</v>
      </c>
      <c r="Y176" s="111">
        <f>PV($C$1, ($AG$3-$X$3), 0, -AJ78)</f>
        <v>457.87557465914921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14"/>
        <v>492.96136574487008</v>
      </c>
      <c r="X177" s="111">
        <f>PV($C$1, ($AG$3-$X$3), 0, -AG79)</f>
        <v>68.691337849695003</v>
      </c>
      <c r="Y177" s="111">
        <f>PV($C$1, ($AG$3-$X$3), 0, -AJ79)</f>
        <v>424.27002789517508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14"/>
        <v>822.41574384168894</v>
      </c>
      <c r="X178" s="111">
        <f>PV($C$1, ($AG$3-$X$3), 0, -AG80)</f>
        <v>114.59891512548124</v>
      </c>
      <c r="Y178" s="111">
        <f>PV($C$1, ($AG$3-$X$3), 0, -AJ80)</f>
        <v>707.81682871620774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14"/>
        <v>95.175709227969946</v>
      </c>
      <c r="X179" s="111">
        <f>PV($C$1, ($AG$3-$X$3), 0, -AG86)</f>
        <v>13.262188990782697</v>
      </c>
      <c r="Y179" s="111">
        <f>PV($C$1, ($AG$3-$X$3), 0, -AJ86)</f>
        <v>81.913520237187257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14"/>
        <v>-290.40793328534414</v>
      </c>
      <c r="X181" s="111">
        <f>PV($C$1, ($AG$3-$X$3), 0, -AG82)</f>
        <v>-40.466679228285656</v>
      </c>
      <c r="Y181" s="111">
        <f>PV($C$1, ($AG$3-$X$3), 0, -$AJ$82)</f>
        <v>-249.9412540570585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14"/>
        <v>-861.46218865316382</v>
      </c>
      <c r="X182" s="111">
        <f>PV($C$1, ($AG$3-$X$3), 0, -AG83)</f>
        <v>-120.03981317298182</v>
      </c>
      <c r="Y182" s="111">
        <f>PV($C$1, ($AG$3-$X$3), 0, -$AJ$83)</f>
        <v>-741.42237548018204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14"/>
        <v>-766.28647942519376</v>
      </c>
      <c r="X183" s="111">
        <f>PV($C$1, ($AG$3-$X$3), 0, -AG84)</f>
        <v>-106.77762418219913</v>
      </c>
      <c r="Y183" s="111">
        <f>PV($C$1, ($AG$3-$X$3), 0, -$AJ$84)</f>
        <v>-659.50885524299463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14"/>
        <v>95.175709227969946</v>
      </c>
      <c r="X185" s="111">
        <f>PV($C$1, ($AG$3-$X$3), 0, -AG89)</f>
        <v>13.262188990782697</v>
      </c>
      <c r="Y185" s="111">
        <f>PV($C$1, ($AG$3-$X$3), 0, -AJ89)</f>
        <v>81.913520237187257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14"/>
        <v>1044.7142535070175</v>
      </c>
      <c r="X186" s="111">
        <f>PV($C$1, ($AG$3-$X$3), 0, -AG90)</f>
        <v>188.39109489470803</v>
      </c>
      <c r="Y186" s="111">
        <f>PV($C$1, ($AG$3-$X$3), 0, -AJ90)</f>
        <v>856.32315861230938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15">X188+Y188</f>
        <v>189.11041330274043</v>
      </c>
      <c r="X188" s="111">
        <f>PV($C$1, ($AG$3-$X$3), 0, -AG12)</f>
        <v>26.351451033988418</v>
      </c>
      <c r="Y188" s="111">
        <f>PV($C$1, ($AG$3-$X$3), 0, -AJ12)</f>
        <v>162.75896226875201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129.52768034434277</v>
      </c>
      <c r="X189" s="117">
        <f>X188/S61</f>
        <v>18.048939064375631</v>
      </c>
      <c r="Y189" s="117">
        <f>Y188/S61</f>
        <v>111.47874127996714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16">X192+Y192</f>
        <v>3.5459709510184325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2.9172272841558802</v>
      </c>
      <c r="Y192" s="111">
        <f>PV($C$1, ($AG$3-$X$3), 0, -AJ92)</f>
        <v>0.62874366686255212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14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17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17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17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17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18">X197+X198+X199</f>
        <v>0</v>
      </c>
      <c r="Y200" s="95">
        <f t="shared" si="718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335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285</v>
      </c>
      <c r="V204" s="10" t="s">
        <v>501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1</v>
      </c>
      <c r="G205" s="12">
        <v>1</v>
      </c>
      <c r="H205" s="12">
        <v>5</v>
      </c>
      <c r="I205" s="12">
        <v>6</v>
      </c>
      <c r="J205" s="12">
        <v>10</v>
      </c>
      <c r="K205" s="12">
        <v>5</v>
      </c>
      <c r="L205" s="12">
        <v>6</v>
      </c>
      <c r="M205" s="12">
        <v>65</v>
      </c>
      <c r="N205" s="12">
        <v>40</v>
      </c>
      <c r="O205" s="12">
        <v>38</v>
      </c>
      <c r="P205" s="12">
        <v>29</v>
      </c>
      <c r="Q205" s="12">
        <v>19.3</v>
      </c>
      <c r="R205" s="12">
        <v>143</v>
      </c>
      <c r="S205" s="12">
        <v>289</v>
      </c>
      <c r="T205" s="12">
        <v>445</v>
      </c>
      <c r="U205" s="12">
        <v>250</v>
      </c>
      <c r="V205" s="101">
        <f t="shared" ref="V205:V236" si="719">((U205/G205)^(1/($K$2-$K$1) ))-1</f>
        <v>0.48347908993722832</v>
      </c>
      <c r="W205" s="21">
        <v>0</v>
      </c>
      <c r="X205" s="172">
        <v>250</v>
      </c>
      <c r="Y205" s="102">
        <f t="shared" ref="Y205:AG205" si="720">X205*(1+$W205)</f>
        <v>250</v>
      </c>
      <c r="Z205" s="102">
        <f t="shared" si="720"/>
        <v>250</v>
      </c>
      <c r="AA205" s="102">
        <f t="shared" si="720"/>
        <v>250</v>
      </c>
      <c r="AB205" s="102">
        <f t="shared" si="720"/>
        <v>250</v>
      </c>
      <c r="AC205" s="102">
        <f t="shared" si="720"/>
        <v>250</v>
      </c>
      <c r="AD205" s="102">
        <f t="shared" si="720"/>
        <v>250</v>
      </c>
      <c r="AE205" s="102">
        <f t="shared" si="720"/>
        <v>250</v>
      </c>
      <c r="AF205" s="102">
        <f t="shared" si="720"/>
        <v>250</v>
      </c>
      <c r="AG205" s="102">
        <f t="shared" si="720"/>
        <v>250</v>
      </c>
      <c r="AH205" s="115">
        <f t="shared" ref="AH205:AH212" si="721">((AG205/J205)^(1/($AG$3-$K$1) ))-1</f>
        <v>0.14352983608292025</v>
      </c>
      <c r="AI205" s="21">
        <f t="shared" ref="AI205:AI212" si="722">$O$1</f>
        <v>0.05</v>
      </c>
      <c r="AJ205" s="108">
        <f t="shared" ref="AJ205:AJ216" si="723">(AG205*(1+AH205))/($C$1-AI205)</f>
        <v>1681.6615236513533</v>
      </c>
    </row>
    <row r="206" spans="2:36">
      <c r="B206" s="10" t="s">
        <v>303</v>
      </c>
      <c r="C206" s="15"/>
      <c r="D206" s="15"/>
      <c r="E206" s="15"/>
      <c r="F206" s="15"/>
      <c r="G206" s="15">
        <f t="shared" ref="G206" si="724">G205/G70</f>
        <v>0.33482142857142855</v>
      </c>
      <c r="H206" s="15">
        <f t="shared" ref="H206:I206" si="725">H205/H70</f>
        <v>1.2931034482758621</v>
      </c>
      <c r="I206" s="15">
        <f t="shared" si="725"/>
        <v>1.2228260869565215</v>
      </c>
      <c r="J206" s="15">
        <f t="shared" ref="J206:T206" si="726">J205/J70</f>
        <v>2.0380434782608692</v>
      </c>
      <c r="K206" s="15">
        <f t="shared" si="726"/>
        <v>1.1682242990654206</v>
      </c>
      <c r="L206" s="15">
        <f t="shared" si="726"/>
        <v>2.6785714285714288</v>
      </c>
      <c r="M206" s="15">
        <f t="shared" si="726"/>
        <v>12.532133676092545</v>
      </c>
      <c r="N206" s="15">
        <f t="shared" si="726"/>
        <v>4.0816326530612246</v>
      </c>
      <c r="O206" s="15">
        <f t="shared" si="726"/>
        <v>4.9393414211438484</v>
      </c>
      <c r="P206" s="15">
        <f t="shared" si="726"/>
        <v>2.4166666666666665</v>
      </c>
      <c r="Q206" s="15">
        <f t="shared" si="726"/>
        <v>0.8041666666666667</v>
      </c>
      <c r="R206" s="15">
        <f t="shared" si="726"/>
        <v>2.6812499999999999</v>
      </c>
      <c r="S206" s="15">
        <f t="shared" si="726"/>
        <v>6.9170491803278686</v>
      </c>
      <c r="T206" s="15">
        <f t="shared" si="726"/>
        <v>5.8027999999999995</v>
      </c>
      <c r="U206" s="15">
        <f t="shared" ref="U206" si="727">U205/U70</f>
        <v>2.2390109890109886</v>
      </c>
      <c r="V206" s="101">
        <f t="shared" si="719"/>
        <v>0.14537032554415297</v>
      </c>
      <c r="W206" s="109"/>
      <c r="X206" s="15">
        <f t="shared" ref="X206:AG206" si="728">X205/X70</f>
        <v>1.9859053989488773</v>
      </c>
      <c r="Y206" s="15">
        <f t="shared" si="728"/>
        <v>1.7614117451546563</v>
      </c>
      <c r="Z206" s="15">
        <f t="shared" si="728"/>
        <v>1.5622956348328261</v>
      </c>
      <c r="AA206" s="15">
        <f t="shared" si="728"/>
        <v>1.3856883021995501</v>
      </c>
      <c r="AB206" s="15">
        <f t="shared" si="728"/>
        <v>1.229045276733514</v>
      </c>
      <c r="AC206" s="15">
        <f t="shared" si="728"/>
        <v>1.0901097237114648</v>
      </c>
      <c r="AD206" s="15">
        <f t="shared" si="728"/>
        <v>0.96687992885712515</v>
      </c>
      <c r="AE206" s="15">
        <f t="shared" si="728"/>
        <v>0.85758045863849386</v>
      </c>
      <c r="AF206" s="15">
        <f t="shared" si="728"/>
        <v>0.76063658070544671</v>
      </c>
      <c r="AG206" s="15">
        <f t="shared" si="728"/>
        <v>0.67465157593004854</v>
      </c>
      <c r="AH206" s="115">
        <f t="shared" ref="AH206" si="729">((AG206/J206)^(1/($AG$3-$K$1) ))-1</f>
        <v>-4.5019682725716104E-2</v>
      </c>
      <c r="AI206" s="21">
        <f t="shared" si="722"/>
        <v>0.05</v>
      </c>
      <c r="AJ206" s="108">
        <f t="shared" ref="AJ206" si="730">(AG206*(1+AH206))/($C$1-AI206)</f>
        <v>3.7898763295957263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731">G205/G76</f>
        <v>-3.5714285714285716</v>
      </c>
      <c r="H207" s="15">
        <f t="shared" ref="H207:I207" si="732">H205/H76</f>
        <v>26.785714285714285</v>
      </c>
      <c r="I207" s="15">
        <f t="shared" si="732"/>
        <v>-30.000000000000004</v>
      </c>
      <c r="J207" s="15">
        <f t="shared" ref="J207:T207" si="733">J205/J76</f>
        <v>-50.000000000000007</v>
      </c>
      <c r="K207" s="15">
        <f t="shared" si="733"/>
        <v>125</v>
      </c>
      <c r="L207" s="15">
        <f t="shared" si="733"/>
        <v>-3.3834586466165413</v>
      </c>
      <c r="M207" s="15">
        <f t="shared" si="733"/>
        <v>221.59090909090909</v>
      </c>
      <c r="N207" s="15">
        <f t="shared" si="733"/>
        <v>61.224489795918366</v>
      </c>
      <c r="O207" s="15">
        <f t="shared" si="733"/>
        <v>158.33333333333334</v>
      </c>
      <c r="P207" s="15">
        <f t="shared" si="733"/>
        <v>14.123376623376624</v>
      </c>
      <c r="Q207" s="15">
        <f t="shared" si="733"/>
        <v>7.9532967032967035</v>
      </c>
      <c r="R207" s="15">
        <f t="shared" si="733"/>
        <v>11.1139896373057</v>
      </c>
      <c r="S207" s="15">
        <f t="shared" si="733"/>
        <v>21.097000000000001</v>
      </c>
      <c r="T207" s="15">
        <f t="shared" si="733"/>
        <v>19.088157894736842</v>
      </c>
      <c r="U207" s="15">
        <f t="shared" ref="U207" si="734">U205/U76</f>
        <v>297.44525547445249</v>
      </c>
      <c r="V207" s="101" t="e">
        <f t="shared" si="719"/>
        <v>#NUM!</v>
      </c>
      <c r="W207" s="109"/>
      <c r="X207" s="102">
        <f t="shared" ref="X207:AG207" si="735">X205/X76</f>
        <v>10.938157894736841</v>
      </c>
      <c r="Y207" s="102">
        <f t="shared" si="735"/>
        <v>9.7016704805491987</v>
      </c>
      <c r="Z207" s="102">
        <f t="shared" si="735"/>
        <v>8.6049599044871172</v>
      </c>
      <c r="AA207" s="102">
        <f t="shared" si="735"/>
        <v>7.6322253065885741</v>
      </c>
      <c r="AB207" s="102">
        <f t="shared" si="735"/>
        <v>6.7694520110611718</v>
      </c>
      <c r="AC207" s="102">
        <f t="shared" si="735"/>
        <v>6.0042096098107782</v>
      </c>
      <c r="AD207" s="102">
        <f t="shared" si="735"/>
        <v>5.3254728713104305</v>
      </c>
      <c r="AE207" s="102">
        <f t="shared" si="735"/>
        <v>4.7234628945535997</v>
      </c>
      <c r="AF207" s="102">
        <f t="shared" si="735"/>
        <v>4.1895062195171064</v>
      </c>
      <c r="AG207" s="102">
        <f t="shared" si="735"/>
        <v>3.7159098642673474</v>
      </c>
      <c r="AH207" s="115" t="e">
        <f t="shared" si="721"/>
        <v>#NUM!</v>
      </c>
      <c r="AI207" s="21">
        <f t="shared" si="722"/>
        <v>0.05</v>
      </c>
      <c r="AJ207" s="108" t="e">
        <f t="shared" si="723"/>
        <v>#NUM!</v>
      </c>
    </row>
    <row r="208" spans="2:36">
      <c r="B208" s="10" t="s">
        <v>404</v>
      </c>
      <c r="C208" s="15"/>
      <c r="D208" s="15"/>
      <c r="E208" s="15"/>
      <c r="F208" s="15"/>
      <c r="G208" s="15">
        <f t="shared" ref="G208" si="736">G205/G74</f>
        <v>3.75</v>
      </c>
      <c r="H208" s="15">
        <f t="shared" ref="H208:I208" si="737">H205/H74</f>
        <v>18.75</v>
      </c>
      <c r="I208" s="15">
        <f t="shared" si="737"/>
        <v>16.071428571428569</v>
      </c>
      <c r="J208" s="15">
        <f t="shared" ref="J208:T208" si="738">J205/J74</f>
        <v>26.785714285714285</v>
      </c>
      <c r="K208" s="15">
        <f t="shared" si="738"/>
        <v>5.7692307692307692</v>
      </c>
      <c r="L208" s="15">
        <f t="shared" si="738"/>
        <v>-3.6585365853658538</v>
      </c>
      <c r="M208" s="15">
        <f t="shared" si="738"/>
        <v>609.375</v>
      </c>
      <c r="N208" s="15">
        <f t="shared" si="738"/>
        <v>13.215859030837004</v>
      </c>
      <c r="O208" s="15">
        <f t="shared" si="738"/>
        <v>17.924528301886792</v>
      </c>
      <c r="P208" s="15">
        <f t="shared" si="738"/>
        <v>4.5597484276729565</v>
      </c>
      <c r="Q208" s="15">
        <f t="shared" si="738"/>
        <v>1.6083333333333334</v>
      </c>
      <c r="R208" s="15">
        <f t="shared" si="738"/>
        <v>4.125</v>
      </c>
      <c r="S208" s="15">
        <f t="shared" si="738"/>
        <v>11.720555555555556</v>
      </c>
      <c r="T208" s="15">
        <f t="shared" si="738"/>
        <v>8.9549382716049379</v>
      </c>
      <c r="U208" s="15">
        <f t="shared" ref="U208" si="739">U205/U74</f>
        <v>5.992647058823529</v>
      </c>
      <c r="V208" s="101">
        <f t="shared" si="719"/>
        <v>3.4051001263035285E-2</v>
      </c>
      <c r="W208" s="109"/>
      <c r="X208" s="15">
        <f t="shared" ref="X208:AG208" si="740">X205/X74</f>
        <v>5.3152173913043486</v>
      </c>
      <c r="Y208" s="15">
        <f t="shared" si="740"/>
        <v>4.7143667296786402</v>
      </c>
      <c r="Z208" s="15">
        <f t="shared" si="740"/>
        <v>4.1814383167584461</v>
      </c>
      <c r="AA208" s="15">
        <f t="shared" si="740"/>
        <v>3.7087539852987961</v>
      </c>
      <c r="AB208" s="15">
        <f t="shared" si="740"/>
        <v>3.2895035347867587</v>
      </c>
      <c r="AC208" s="15">
        <f t="shared" si="740"/>
        <v>2.9176466134630381</v>
      </c>
      <c r="AD208" s="15">
        <f t="shared" si="740"/>
        <v>2.5878256919411298</v>
      </c>
      <c r="AE208" s="15">
        <f t="shared" si="740"/>
        <v>2.2952888745912632</v>
      </c>
      <c r="AF208" s="15">
        <f t="shared" si="740"/>
        <v>2.0358214365939902</v>
      </c>
      <c r="AG208" s="15">
        <f t="shared" si="740"/>
        <v>1.8056851002833652</v>
      </c>
      <c r="AH208" s="115">
        <f t="shared" ref="AH208:AH209" si="741">((AG208/J208)^(1/($AG$3-$K$1) ))-1</f>
        <v>-0.10628828818454461</v>
      </c>
      <c r="AI208" s="21">
        <f t="shared" si="722"/>
        <v>0.05</v>
      </c>
      <c r="AJ208" s="108">
        <f t="shared" ref="AJ208:AJ209" si="742">(AG208*(1+AH208))/($C$1-AI208)</f>
        <v>9.4927171880818157</v>
      </c>
    </row>
    <row r="209" spans="2:36">
      <c r="B209" s="10" t="s">
        <v>405</v>
      </c>
      <c r="C209" s="15"/>
      <c r="D209" s="15"/>
      <c r="E209" s="15"/>
      <c r="F209" s="15"/>
      <c r="G209" s="15">
        <f t="shared" ref="G209" si="743">G205/G75</f>
        <v>1.2931034482758621</v>
      </c>
      <c r="H209" s="15">
        <f t="shared" ref="H209:I209" si="744">H205/H75</f>
        <v>17.045454545454547</v>
      </c>
      <c r="I209" s="15">
        <f t="shared" si="744"/>
        <v>-32.142857142857139</v>
      </c>
      <c r="J209" s="15">
        <f t="shared" ref="J209:T209" si="745">J205/J75</f>
        <v>-53.571428571428569</v>
      </c>
      <c r="K209" s="15">
        <f t="shared" si="745"/>
        <v>62.5</v>
      </c>
      <c r="L209" s="15">
        <f t="shared" si="745"/>
        <v>-3.4883720930232558</v>
      </c>
      <c r="M209" s="15">
        <f t="shared" si="745"/>
        <v>168.10344827586206</v>
      </c>
      <c r="N209" s="15">
        <f t="shared" si="745"/>
        <v>50.000000000000007</v>
      </c>
      <c r="O209" s="15">
        <f t="shared" si="745"/>
        <v>135.71428571428572</v>
      </c>
      <c r="P209" s="15">
        <f t="shared" si="745"/>
        <v>14.123376623376624</v>
      </c>
      <c r="Q209" s="15">
        <f t="shared" si="745"/>
        <v>4.8250000000000002</v>
      </c>
      <c r="R209" s="15">
        <f t="shared" si="745"/>
        <v>7.6607142857142856</v>
      </c>
      <c r="S209" s="15">
        <f t="shared" si="745"/>
        <v>13.610967741935484</v>
      </c>
      <c r="T209" s="15">
        <f t="shared" si="745"/>
        <v>12.725438596491227</v>
      </c>
      <c r="U209" s="15">
        <f t="shared" ref="U209" si="746">U205/U75</f>
        <v>58.214285714285715</v>
      </c>
      <c r="V209" s="101">
        <f t="shared" si="719"/>
        <v>0.31250128098794328</v>
      </c>
      <c r="W209" s="109"/>
      <c r="X209" s="15">
        <f t="shared" ref="X209:AG210" si="747">X205/X75</f>
        <v>51.633540372670815</v>
      </c>
      <c r="Y209" s="15">
        <f t="shared" si="747"/>
        <v>45.796705374021066</v>
      </c>
      <c r="Z209" s="15">
        <f t="shared" si="747"/>
        <v>40.619686505653469</v>
      </c>
      <c r="AA209" s="15">
        <f t="shared" si="747"/>
        <v>36.027895857188305</v>
      </c>
      <c r="AB209" s="15">
        <f t="shared" si="747"/>
        <v>31.955177195071364</v>
      </c>
      <c r="AC209" s="15">
        <f t="shared" si="747"/>
        <v>28.342852816498084</v>
      </c>
      <c r="AD209" s="15">
        <f t="shared" si="747"/>
        <v>25.138878150285258</v>
      </c>
      <c r="AE209" s="15">
        <f t="shared" si="747"/>
        <v>22.297091924600842</v>
      </c>
      <c r="AF209" s="15">
        <f t="shared" si="747"/>
        <v>19.776551098341617</v>
      </c>
      <c r="AG209" s="15">
        <f t="shared" si="747"/>
        <v>17.540940974181265</v>
      </c>
      <c r="AH209" s="115" t="e">
        <f t="shared" si="741"/>
        <v>#NUM!</v>
      </c>
      <c r="AI209" s="21">
        <f t="shared" si="722"/>
        <v>0.05</v>
      </c>
      <c r="AJ209" s="108" t="e">
        <f t="shared" si="742"/>
        <v>#NUM!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748">G205/G79</f>
        <v>1.1194029850746268</v>
      </c>
      <c r="H210" s="15">
        <f t="shared" ref="H210:I210" si="749">H205/H79</f>
        <v>4.6875</v>
      </c>
      <c r="I210" s="15">
        <f t="shared" si="749"/>
        <v>6</v>
      </c>
      <c r="J210" s="15">
        <f t="shared" ref="J210:T210" si="750">J205/J79</f>
        <v>10</v>
      </c>
      <c r="K210" s="15">
        <f t="shared" si="750"/>
        <v>4.8701298701298708</v>
      </c>
      <c r="L210" s="15">
        <f t="shared" si="750"/>
        <v>-8.1818181818181817</v>
      </c>
      <c r="M210" s="15">
        <f t="shared" si="750"/>
        <v>-1477.272727272727</v>
      </c>
      <c r="N210" s="15">
        <f t="shared" si="750"/>
        <v>187.5</v>
      </c>
      <c r="O210" s="15">
        <f t="shared" si="750"/>
        <v>83.823529411764696</v>
      </c>
      <c r="P210" s="15">
        <f t="shared" si="750"/>
        <v>11.569148936170214</v>
      </c>
      <c r="Q210" s="15">
        <f t="shared" si="750"/>
        <v>4.8250000000000002</v>
      </c>
      <c r="R210" s="15">
        <f t="shared" si="750"/>
        <v>9.75</v>
      </c>
      <c r="S210" s="15">
        <f t="shared" si="750"/>
        <v>3.1025</v>
      </c>
      <c r="T210" s="15">
        <f t="shared" si="750"/>
        <v>3.5556372549019604</v>
      </c>
      <c r="U210" s="15">
        <f t="shared" ref="U210" si="751">U205/U79</f>
        <v>2.0173267326732671</v>
      </c>
      <c r="V210" s="101">
        <f t="shared" si="719"/>
        <v>4.2967315639197201E-2</v>
      </c>
      <c r="W210" s="109"/>
      <c r="X210" s="15">
        <f t="shared" si="747"/>
        <v>8.6888587270852705E-2</v>
      </c>
      <c r="Y210" s="102">
        <f t="shared" ref="Y210:AG210" si="752">Y205/Y79</f>
        <v>1.5870145426640963</v>
      </c>
      <c r="Z210" s="102">
        <f t="shared" si="752"/>
        <v>1.4076128987107639</v>
      </c>
      <c r="AA210" s="102">
        <f t="shared" si="752"/>
        <v>1.2484914405956342</v>
      </c>
      <c r="AB210" s="102">
        <f t="shared" si="752"/>
        <v>1.1073576255717801</v>
      </c>
      <c r="AC210" s="102">
        <f t="shared" si="752"/>
        <v>0.98217806789844853</v>
      </c>
      <c r="AD210" s="102">
        <f t="shared" si="752"/>
        <v>0.87114924283166739</v>
      </c>
      <c r="AE210" s="102">
        <f t="shared" si="752"/>
        <v>0.77267150233765292</v>
      </c>
      <c r="AF210" s="102">
        <f t="shared" si="752"/>
        <v>0.68532602816035315</v>
      </c>
      <c r="AG210" s="102">
        <f t="shared" si="752"/>
        <v>0.60785439019440024</v>
      </c>
      <c r="AH210" s="115">
        <f t="shared" si="721"/>
        <v>-0.11013324595547247</v>
      </c>
      <c r="AI210" s="21">
        <f t="shared" si="722"/>
        <v>0.05</v>
      </c>
      <c r="AJ210" s="108">
        <f t="shared" si="723"/>
        <v>3.181820077258863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753">G205/G88</f>
        <v>0.16556291390728478</v>
      </c>
      <c r="H211" s="15">
        <f t="shared" ref="H211:I211" si="754">H205/H88</f>
        <v>1.1194029850746268</v>
      </c>
      <c r="I211" s="15">
        <f t="shared" si="754"/>
        <v>1.3274336283185839</v>
      </c>
      <c r="J211" s="15">
        <f t="shared" ref="J211:T211" si="755">J205/J88</f>
        <v>2.2123893805309733</v>
      </c>
      <c r="K211" s="15">
        <f t="shared" si="755"/>
        <v>7.2115384615384617</v>
      </c>
      <c r="L211" s="15">
        <f t="shared" si="755"/>
        <v>1.3196480938416422</v>
      </c>
      <c r="M211" s="15">
        <f t="shared" si="755"/>
        <v>43.918918918918912</v>
      </c>
      <c r="N211" s="15">
        <f t="shared" si="755"/>
        <v>8.0862533692722369</v>
      </c>
      <c r="O211" s="15">
        <f t="shared" si="755"/>
        <v>16.764705882352942</v>
      </c>
      <c r="P211" s="15">
        <f t="shared" si="755"/>
        <v>11.387434554973822</v>
      </c>
      <c r="Q211" s="15">
        <f t="shared" si="755"/>
        <v>6.2934782608695663</v>
      </c>
      <c r="R211" s="15">
        <f t="shared" si="755"/>
        <v>3.9825473449684368</v>
      </c>
      <c r="S211" s="15">
        <f t="shared" si="755"/>
        <v>5.3991042866282788</v>
      </c>
      <c r="T211" s="15">
        <f t="shared" si="755"/>
        <v>18.066002490660026</v>
      </c>
      <c r="U211" s="15">
        <f t="shared" ref="U211" si="756">U205/U88</f>
        <v>10.400714650331802</v>
      </c>
      <c r="V211" s="101">
        <f t="shared" si="719"/>
        <v>0.344112818433846</v>
      </c>
      <c r="W211" s="109"/>
      <c r="X211" s="102">
        <f t="shared" ref="X211:AG211" si="757">X205/X88</f>
        <v>9.2249816898595114</v>
      </c>
      <c r="Y211" s="102">
        <f t="shared" si="757"/>
        <v>8.1821576727449603</v>
      </c>
      <c r="Z211" s="102">
        <f t="shared" si="757"/>
        <v>7.2572181097390089</v>
      </c>
      <c r="AA211" s="102">
        <f t="shared" si="757"/>
        <v>6.4368369321163383</v>
      </c>
      <c r="AB211" s="102">
        <f t="shared" si="757"/>
        <v>5.7091944963118832</v>
      </c>
      <c r="AC211" s="102">
        <f t="shared" si="757"/>
        <v>5.0638072923809743</v>
      </c>
      <c r="AD211" s="102">
        <f t="shared" si="757"/>
        <v>4.4913769028074739</v>
      </c>
      <c r="AE211" s="102">
        <f t="shared" si="757"/>
        <v>3.9836560355335857</v>
      </c>
      <c r="AF211" s="102">
        <f t="shared" si="757"/>
        <v>3.5333297010819638</v>
      </c>
      <c r="AG211" s="102">
        <f t="shared" si="757"/>
        <v>3.1339098218292203</v>
      </c>
      <c r="AH211" s="115">
        <f t="shared" si="721"/>
        <v>1.4614439662256284E-2</v>
      </c>
      <c r="AI211" s="21">
        <f t="shared" si="722"/>
        <v>0.05</v>
      </c>
      <c r="AJ211" s="108">
        <f t="shared" si="723"/>
        <v>18.704177398984093</v>
      </c>
    </row>
    <row r="212" spans="2:36">
      <c r="B212" s="10" t="s">
        <v>217</v>
      </c>
      <c r="C212" s="15"/>
      <c r="D212" s="15"/>
      <c r="E212" s="15"/>
      <c r="F212" s="15"/>
      <c r="G212" s="15">
        <f t="shared" ref="G212" si="758">G205/G90</f>
        <v>0.10714285714285714</v>
      </c>
      <c r="H212" s="15">
        <f t="shared" ref="H212:I212" si="759">H205/H90</f>
        <v>0.625</v>
      </c>
      <c r="I212" s="15">
        <f t="shared" si="759"/>
        <v>0.5625</v>
      </c>
      <c r="J212" s="15">
        <f t="shared" ref="J212:T212" si="760">J205/J90</f>
        <v>0.9375</v>
      </c>
      <c r="K212" s="15">
        <f t="shared" si="760"/>
        <v>0.46875</v>
      </c>
      <c r="L212" s="15">
        <f t="shared" si="760"/>
        <v>0.5625</v>
      </c>
      <c r="M212" s="15">
        <f t="shared" si="760"/>
        <v>3.7500000000000004</v>
      </c>
      <c r="N212" s="15">
        <f t="shared" si="760"/>
        <v>1.6666666666666667</v>
      </c>
      <c r="O212" s="15">
        <f t="shared" si="760"/>
        <v>2.0802919708029197</v>
      </c>
      <c r="P212" s="15">
        <f t="shared" si="760"/>
        <v>0.77678571428571419</v>
      </c>
      <c r="Q212" s="15">
        <f t="shared" si="760"/>
        <v>0.22269230769230769</v>
      </c>
      <c r="R212" s="15">
        <f t="shared" si="760"/>
        <v>1.0943877551020409</v>
      </c>
      <c r="S212" s="15">
        <f t="shared" si="760"/>
        <v>2.0888118811881191</v>
      </c>
      <c r="T212" s="15">
        <f t="shared" si="760"/>
        <v>1.6190848214285714</v>
      </c>
      <c r="U212" s="15">
        <f t="shared" ref="U212" si="761">U205/U90</f>
        <v>0.73555956678700352</v>
      </c>
      <c r="V212" s="101">
        <f t="shared" si="719"/>
        <v>0.1475220638589243</v>
      </c>
      <c r="W212" s="109"/>
      <c r="X212" s="102">
        <f t="shared" ref="X212:AG212" si="762">X205/X90</f>
        <v>0.65240935488934237</v>
      </c>
      <c r="Y212" s="102">
        <f t="shared" si="762"/>
        <v>0.57865873216272112</v>
      </c>
      <c r="Z212" s="102">
        <f t="shared" si="762"/>
        <v>0.51324513635302216</v>
      </c>
      <c r="AA212" s="102">
        <f t="shared" si="762"/>
        <v>0.45522612093920239</v>
      </c>
      <c r="AB212" s="102">
        <f t="shared" si="762"/>
        <v>0.40376577683303172</v>
      </c>
      <c r="AC212" s="102">
        <f t="shared" si="762"/>
        <v>0.35812268901712391</v>
      </c>
      <c r="AD212" s="102">
        <f t="shared" si="762"/>
        <v>0.31763925460649245</v>
      </c>
      <c r="AE212" s="102">
        <f t="shared" si="762"/>
        <v>0.28173220843358465</v>
      </c>
      <c r="AF212" s="102">
        <f t="shared" si="762"/>
        <v>0.24988421965413599</v>
      </c>
      <c r="AG212" s="102">
        <f t="shared" si="762"/>
        <v>0.22163643830192936</v>
      </c>
      <c r="AH212" s="115">
        <f t="shared" si="721"/>
        <v>-5.8320942725134217E-2</v>
      </c>
      <c r="AI212" s="21">
        <f t="shared" si="722"/>
        <v>0.05</v>
      </c>
      <c r="AJ212" s="108">
        <f t="shared" si="723"/>
        <v>1.2277081898701165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63">G205/G84</f>
        <v>0.189873417721519</v>
      </c>
      <c r="H213" s="157">
        <f t="shared" ref="H213:I213" si="764">H205/H84</f>
        <v>0.77479338842975198</v>
      </c>
      <c r="I213" s="157">
        <f t="shared" si="764"/>
        <v>0.76400679117147696</v>
      </c>
      <c r="J213" s="157">
        <f t="shared" ref="J213:T213" si="765">J205/J84</f>
        <v>1.2733446519524616</v>
      </c>
      <c r="K213" s="157">
        <f t="shared" si="765"/>
        <v>0.29228371005455966</v>
      </c>
      <c r="L213" s="157">
        <f t="shared" si="765"/>
        <v>0.50790067720090293</v>
      </c>
      <c r="M213" s="157">
        <f t="shared" si="765"/>
        <v>45.990566037735803</v>
      </c>
      <c r="N213" s="157">
        <f t="shared" si="765"/>
        <v>-42.857142857142797</v>
      </c>
      <c r="O213" s="157">
        <f t="shared" si="765"/>
        <v>12.780269058295966</v>
      </c>
      <c r="P213" s="157">
        <f t="shared" si="765"/>
        <v>-2.5057603686635948</v>
      </c>
      <c r="Q213" s="157">
        <f t="shared" si="765"/>
        <v>-0.38092105263157899</v>
      </c>
      <c r="R213" s="157">
        <f t="shared" si="765"/>
        <v>-2.1798780487804876</v>
      </c>
      <c r="S213" s="157">
        <f t="shared" si="765"/>
        <v>2.6045679012345677</v>
      </c>
      <c r="T213" s="157">
        <f t="shared" si="765"/>
        <v>-6.4190265486725657</v>
      </c>
      <c r="U213" s="157">
        <f t="shared" ref="U213" si="766">U205/U84</f>
        <v>-1.2977707006369426</v>
      </c>
      <c r="V213" s="101" t="e">
        <f t="shared" si="719"/>
        <v>#NUM!</v>
      </c>
      <c r="W213" s="109"/>
      <c r="X213" s="112">
        <f t="shared" ref="X213:AG213" si="767">X205/X84</f>
        <v>-1.151066186651897</v>
      </c>
      <c r="Y213" s="112">
        <f t="shared" si="767"/>
        <v>-1.0209456612042915</v>
      </c>
      <c r="Z213" s="112">
        <f t="shared" si="767"/>
        <v>-0.9055344125464152</v>
      </c>
      <c r="AA213" s="112">
        <f t="shared" si="767"/>
        <v>-0.80316965286725539</v>
      </c>
      <c r="AB213" s="112">
        <f t="shared" si="767"/>
        <v>-0.71237656167356556</v>
      </c>
      <c r="AC213" s="112">
        <f t="shared" si="767"/>
        <v>-0.63184703731046699</v>
      </c>
      <c r="AD213" s="112">
        <f t="shared" si="767"/>
        <v>-0.56042085048406642</v>
      </c>
      <c r="AE213" s="112">
        <f t="shared" si="767"/>
        <v>-0.49706892825543281</v>
      </c>
      <c r="AF213" s="112">
        <f t="shared" si="767"/>
        <v>-0.44087852767003616</v>
      </c>
      <c r="AG213" s="112">
        <f t="shared" si="767"/>
        <v>-0.39104008541168433</v>
      </c>
      <c r="AH213" s="115" t="e">
        <f t="shared" ref="AH213" si="768">((AG213/J213)^(1/($AG$3-$K$1) ))-1</f>
        <v>#NUM!</v>
      </c>
      <c r="AI213" s="21">
        <f t="shared" ref="AI213:AI216" si="769">$O$1</f>
        <v>0.05</v>
      </c>
      <c r="AJ213" s="108" t="e">
        <f t="shared" si="723"/>
        <v>#NUM!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69"/>
        <v>0.05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>
        <f t="shared" ref="G215" si="770">G63/G205</f>
        <v>0</v>
      </c>
      <c r="H215" s="128">
        <f t="shared" ref="H215:I215" si="771">H63/H205</f>
        <v>0</v>
      </c>
      <c r="I215" s="128">
        <f t="shared" si="771"/>
        <v>0</v>
      </c>
      <c r="J215" s="128">
        <f t="shared" ref="J215:T215" si="772">J63/J205</f>
        <v>0</v>
      </c>
      <c r="K215" s="128">
        <f t="shared" si="772"/>
        <v>0</v>
      </c>
      <c r="L215" s="128">
        <f t="shared" si="772"/>
        <v>0</v>
      </c>
      <c r="M215" s="128">
        <f t="shared" si="772"/>
        <v>0</v>
      </c>
      <c r="N215" s="128">
        <f t="shared" si="772"/>
        <v>0</v>
      </c>
      <c r="O215" s="128">
        <f t="shared" si="772"/>
        <v>0</v>
      </c>
      <c r="P215" s="128">
        <f t="shared" si="772"/>
        <v>0</v>
      </c>
      <c r="Q215" s="128">
        <f t="shared" si="772"/>
        <v>0</v>
      </c>
      <c r="R215" s="128">
        <f t="shared" si="772"/>
        <v>6.993006993006993E-3</v>
      </c>
      <c r="S215" s="128">
        <f t="shared" si="772"/>
        <v>5.1903114186851208E-3</v>
      </c>
      <c r="T215" s="128">
        <f t="shared" si="772"/>
        <v>3.3707865168539327E-3</v>
      </c>
      <c r="U215" s="128">
        <f t="shared" ref="U215" si="773">U63/U205</f>
        <v>2E-3</v>
      </c>
      <c r="V215" s="101" t="e">
        <f t="shared" si="719"/>
        <v>#DIV/0!</v>
      </c>
      <c r="W215" s="109"/>
      <c r="X215" s="128">
        <f t="shared" ref="X215:AG215" si="774">X63/X205</f>
        <v>2.0400000000000001E-3</v>
      </c>
      <c r="Y215" s="128">
        <f t="shared" si="774"/>
        <v>2.0807999999999998E-3</v>
      </c>
      <c r="Z215" s="128">
        <f t="shared" si="774"/>
        <v>2.1224159999999998E-3</v>
      </c>
      <c r="AA215" s="128">
        <f t="shared" si="774"/>
        <v>2.1648643199999999E-3</v>
      </c>
      <c r="AB215" s="128">
        <f t="shared" si="774"/>
        <v>2.2081616064000002E-3</v>
      </c>
      <c r="AC215" s="128">
        <f t="shared" si="774"/>
        <v>2.2523248385280001E-3</v>
      </c>
      <c r="AD215" s="128">
        <f t="shared" si="774"/>
        <v>2.2973713352985601E-3</v>
      </c>
      <c r="AE215" s="128">
        <f t="shared" si="774"/>
        <v>2.3433187620045316E-3</v>
      </c>
      <c r="AF215" s="128">
        <f t="shared" si="774"/>
        <v>2.3901851372446223E-3</v>
      </c>
      <c r="AG215" s="128">
        <f t="shared" si="774"/>
        <v>2.4379888399895145E-3</v>
      </c>
      <c r="AH215" s="115" t="e">
        <f t="shared" ref="AH215:AH220" si="775">((AG215/J215)^(1/($AG$3-$K$1) ))-1</f>
        <v>#DIV/0!</v>
      </c>
      <c r="AI215" s="21">
        <f t="shared" si="769"/>
        <v>0.05</v>
      </c>
      <c r="AJ215" s="108" t="e">
        <f t="shared" si="723"/>
        <v>#DIV/0!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76">G205*G61</f>
        <v>0.75</v>
      </c>
      <c r="H216" s="140">
        <f t="shared" ref="H216:I216" si="777">H205*H61</f>
        <v>3.75</v>
      </c>
      <c r="I216" s="140">
        <f t="shared" si="777"/>
        <v>4.5</v>
      </c>
      <c r="J216" s="140">
        <f t="shared" ref="J216:T216" si="778">J205*J61</f>
        <v>7.5</v>
      </c>
      <c r="K216" s="140">
        <f t="shared" si="778"/>
        <v>3.75</v>
      </c>
      <c r="L216" s="140">
        <f t="shared" si="778"/>
        <v>4.5</v>
      </c>
      <c r="M216" s="140">
        <f t="shared" si="778"/>
        <v>48.75</v>
      </c>
      <c r="N216" s="140">
        <f t="shared" si="778"/>
        <v>30</v>
      </c>
      <c r="O216" s="140">
        <f t="shared" si="778"/>
        <v>28.5</v>
      </c>
      <c r="P216" s="140">
        <f t="shared" si="778"/>
        <v>21.75</v>
      </c>
      <c r="Q216" s="140">
        <f t="shared" si="778"/>
        <v>14.475000000000001</v>
      </c>
      <c r="R216" s="140">
        <f t="shared" si="778"/>
        <v>107.25</v>
      </c>
      <c r="S216" s="140">
        <f t="shared" si="778"/>
        <v>421.94</v>
      </c>
      <c r="T216" s="140">
        <f t="shared" si="778"/>
        <v>725.34999999999991</v>
      </c>
      <c r="U216" s="140">
        <f t="shared" ref="U216" si="779">U205*U61</f>
        <v>407.5</v>
      </c>
      <c r="V216" s="101">
        <f t="shared" si="719"/>
        <v>0.56805713203223229</v>
      </c>
      <c r="W216" s="109"/>
      <c r="X216" s="140">
        <f t="shared" ref="X216:AG216" si="780">X205*X61</f>
        <v>415.65</v>
      </c>
      <c r="Y216" s="140">
        <f t="shared" si="780"/>
        <v>423.96299999999997</v>
      </c>
      <c r="Z216" s="140">
        <f t="shared" si="780"/>
        <v>432.44225999999998</v>
      </c>
      <c r="AA216" s="140">
        <f t="shared" si="780"/>
        <v>441.09110520000002</v>
      </c>
      <c r="AB216" s="140">
        <f t="shared" si="780"/>
        <v>449.91292730399999</v>
      </c>
      <c r="AC216" s="140">
        <f t="shared" si="780"/>
        <v>458.91118585008002</v>
      </c>
      <c r="AD216" s="140">
        <f t="shared" si="780"/>
        <v>468.08940956708159</v>
      </c>
      <c r="AE216" s="140">
        <f t="shared" si="780"/>
        <v>477.45119775842329</v>
      </c>
      <c r="AF216" s="140">
        <f t="shared" si="780"/>
        <v>487.00022171359177</v>
      </c>
      <c r="AG216" s="140">
        <f t="shared" si="780"/>
        <v>496.74022614786361</v>
      </c>
      <c r="AH216" s="115">
        <f t="shared" si="775"/>
        <v>0.19090696748488356</v>
      </c>
      <c r="AI216" s="21">
        <f t="shared" si="769"/>
        <v>0.05</v>
      </c>
      <c r="AJ216" s="108">
        <f t="shared" si="723"/>
        <v>3479.8317432323975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>
        <f t="shared" ref="G218" si="781">G76/G205</f>
        <v>-0.27999999999999997</v>
      </c>
      <c r="H218" s="136">
        <f t="shared" ref="H218:I218" si="782">H76/H205</f>
        <v>3.7333333333333336E-2</v>
      </c>
      <c r="I218" s="136">
        <f t="shared" si="782"/>
        <v>-3.3333333333333333E-2</v>
      </c>
      <c r="J218" s="136">
        <f t="shared" ref="J218:T218" si="783">J76/J205</f>
        <v>-1.9999999999999997E-2</v>
      </c>
      <c r="K218" s="136">
        <f t="shared" si="783"/>
        <v>8.0000000000000002E-3</v>
      </c>
      <c r="L218" s="136">
        <f t="shared" si="783"/>
        <v>-0.29555555555555557</v>
      </c>
      <c r="M218" s="136">
        <f t="shared" si="783"/>
        <v>4.5128205128205125E-3</v>
      </c>
      <c r="N218" s="136">
        <f t="shared" si="783"/>
        <v>1.6333333333333332E-2</v>
      </c>
      <c r="O218" s="136">
        <f t="shared" si="783"/>
        <v>6.3157894736842104E-3</v>
      </c>
      <c r="P218" s="136">
        <f t="shared" si="783"/>
        <v>7.0804597701149427E-2</v>
      </c>
      <c r="Q218" s="136">
        <f t="shared" si="783"/>
        <v>0.12573402417962004</v>
      </c>
      <c r="R218" s="136">
        <f t="shared" si="783"/>
        <v>8.9976689976689977E-2</v>
      </c>
      <c r="S218" s="136">
        <f t="shared" si="783"/>
        <v>4.7400104280229415E-2</v>
      </c>
      <c r="T218" s="136">
        <f t="shared" si="783"/>
        <v>5.2388502102433308E-2</v>
      </c>
      <c r="U218" s="136">
        <f t="shared" ref="U218" si="784">U76/U205</f>
        <v>3.3619631901840499E-3</v>
      </c>
      <c r="V218" s="101" t="e">
        <f t="shared" si="719"/>
        <v>#NUM!</v>
      </c>
      <c r="W218" s="109"/>
      <c r="X218" s="136">
        <f t="shared" ref="X218:AG218" si="785">X76/X205</f>
        <v>9.1423072296403229E-2</v>
      </c>
      <c r="Y218" s="136">
        <f t="shared" si="785"/>
        <v>0.10307503249104284</v>
      </c>
      <c r="Z218" s="136">
        <f t="shared" si="785"/>
        <v>0.11621204643597967</v>
      </c>
      <c r="AA218" s="136">
        <f t="shared" si="785"/>
        <v>0.13102338568762412</v>
      </c>
      <c r="AB218" s="136">
        <f t="shared" si="785"/>
        <v>0.14772244464781148</v>
      </c>
      <c r="AC218" s="136">
        <f t="shared" si="785"/>
        <v>0.16654981504410116</v>
      </c>
      <c r="AD218" s="136">
        <f t="shared" si="785"/>
        <v>0.18777675225560422</v>
      </c>
      <c r="AE218" s="136">
        <f t="shared" si="785"/>
        <v>0.21170908342543612</v>
      </c>
      <c r="AF218" s="136">
        <f t="shared" si="785"/>
        <v>0.23869161366593286</v>
      </c>
      <c r="AG218" s="136">
        <f t="shared" si="785"/>
        <v>0.26911309383904186</v>
      </c>
      <c r="AH218" s="115" t="e">
        <f t="shared" ref="AH218" si="786">((AG218/J218)^(1/($AG$3-$K$1) ))-1</f>
        <v>#NUM!</v>
      </c>
      <c r="AI218" s="21">
        <f t="shared" ref="AI218" si="787">$O$1</f>
        <v>0.05</v>
      </c>
      <c r="AJ218" s="108" t="e">
        <f t="shared" ref="AJ218" si="788">(AG218*(1+AH218))/($C$1-AI218)</f>
        <v>#NUM!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89">G207</f>
        <v>-3.5714285714285716</v>
      </c>
      <c r="H219" s="156">
        <f t="shared" ref="H219:I219" si="790">H207</f>
        <v>26.785714285714285</v>
      </c>
      <c r="I219" s="156">
        <f t="shared" si="790"/>
        <v>-30.000000000000004</v>
      </c>
      <c r="J219" s="156">
        <f t="shared" ref="J219:T219" si="791">J207</f>
        <v>-50.000000000000007</v>
      </c>
      <c r="K219" s="156">
        <f t="shared" si="791"/>
        <v>125</v>
      </c>
      <c r="L219" s="156">
        <f t="shared" si="791"/>
        <v>-3.3834586466165413</v>
      </c>
      <c r="M219" s="156">
        <f t="shared" si="791"/>
        <v>221.59090909090909</v>
      </c>
      <c r="N219" s="156">
        <f t="shared" si="791"/>
        <v>61.224489795918366</v>
      </c>
      <c r="O219" s="156">
        <f t="shared" si="791"/>
        <v>158.33333333333334</v>
      </c>
      <c r="P219" s="156">
        <f t="shared" si="791"/>
        <v>14.123376623376624</v>
      </c>
      <c r="Q219" s="156">
        <f t="shared" si="791"/>
        <v>7.9532967032967035</v>
      </c>
      <c r="R219" s="156">
        <f t="shared" si="791"/>
        <v>11.1139896373057</v>
      </c>
      <c r="S219" s="156">
        <f t="shared" si="791"/>
        <v>21.097000000000001</v>
      </c>
      <c r="T219" s="156">
        <f t="shared" si="791"/>
        <v>19.088157894736842</v>
      </c>
      <c r="U219" s="156">
        <f t="shared" ref="U219" si="792">U207</f>
        <v>297.44525547445249</v>
      </c>
      <c r="V219" s="101" t="e">
        <f t="shared" si="719"/>
        <v>#NUM!</v>
      </c>
      <c r="W219" s="109"/>
      <c r="X219" s="128">
        <f t="shared" ref="X219:AG219" si="793">X207</f>
        <v>10.938157894736841</v>
      </c>
      <c r="Y219" s="128">
        <f t="shared" si="793"/>
        <v>9.7016704805491987</v>
      </c>
      <c r="Z219" s="128">
        <f t="shared" si="793"/>
        <v>8.6049599044871172</v>
      </c>
      <c r="AA219" s="128">
        <f t="shared" si="793"/>
        <v>7.6322253065885741</v>
      </c>
      <c r="AB219" s="128">
        <f t="shared" si="793"/>
        <v>6.7694520110611718</v>
      </c>
      <c r="AC219" s="128">
        <f t="shared" si="793"/>
        <v>6.0042096098107782</v>
      </c>
      <c r="AD219" s="128">
        <f t="shared" si="793"/>
        <v>5.3254728713104305</v>
      </c>
      <c r="AE219" s="128">
        <f t="shared" si="793"/>
        <v>4.7234628945535997</v>
      </c>
      <c r="AF219" s="128">
        <f t="shared" si="793"/>
        <v>4.1895062195171064</v>
      </c>
      <c r="AG219" s="128">
        <f t="shared" si="793"/>
        <v>3.7159098642673474</v>
      </c>
      <c r="AH219" s="115" t="e">
        <f t="shared" ref="AH219" si="794">((AG219/J219)^(1/($AG$3-$K$1) ))-1</f>
        <v>#NUM!</v>
      </c>
      <c r="AI219" s="21">
        <f t="shared" ref="AI219:AI221" si="795">$O$1</f>
        <v>0.05</v>
      </c>
      <c r="AJ219" s="156">
        <f>(AJ206)/($O$2*100)</f>
        <v>0.25265842197304844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796">(G207)/($O$2*100)</f>
        <v>-0.23809523809523811</v>
      </c>
      <c r="H220" s="156">
        <f t="shared" ref="H220:I220" si="797">(H207)/($O$2*100)</f>
        <v>1.7857142857142856</v>
      </c>
      <c r="I220" s="156">
        <f t="shared" si="797"/>
        <v>-2.0000000000000004</v>
      </c>
      <c r="J220" s="156">
        <f t="shared" ref="J220:T220" si="798">(J207)/($O$2*100)</f>
        <v>-3.3333333333333339</v>
      </c>
      <c r="K220" s="156">
        <f t="shared" si="798"/>
        <v>8.3333333333333339</v>
      </c>
      <c r="L220" s="156">
        <f t="shared" si="798"/>
        <v>-0.22556390977443608</v>
      </c>
      <c r="M220" s="156">
        <f t="shared" si="798"/>
        <v>14.772727272727273</v>
      </c>
      <c r="N220" s="156">
        <f t="shared" si="798"/>
        <v>4.0816326530612246</v>
      </c>
      <c r="O220" s="156">
        <f t="shared" si="798"/>
        <v>10.555555555555555</v>
      </c>
      <c r="P220" s="156">
        <f t="shared" si="798"/>
        <v>0.94155844155844159</v>
      </c>
      <c r="Q220" s="156">
        <f t="shared" si="798"/>
        <v>0.53021978021978022</v>
      </c>
      <c r="R220" s="156">
        <f t="shared" si="798"/>
        <v>0.74093264248704671</v>
      </c>
      <c r="S220" s="156">
        <f t="shared" si="798"/>
        <v>1.4064666666666668</v>
      </c>
      <c r="T220" s="156">
        <f t="shared" si="798"/>
        <v>1.2725438596491228</v>
      </c>
      <c r="U220" s="156">
        <f t="shared" ref="U220" si="799">(U207)/($O$2*100)</f>
        <v>19.829683698296833</v>
      </c>
      <c r="V220" s="101" t="e">
        <f t="shared" si="719"/>
        <v>#NUM!</v>
      </c>
      <c r="W220" s="109"/>
      <c r="X220" s="156">
        <f t="shared" ref="X220:AG220" si="800">(X207)/($O$2*100)</f>
        <v>0.72921052631578942</v>
      </c>
      <c r="Y220" s="156">
        <f t="shared" si="800"/>
        <v>0.64677803203661322</v>
      </c>
      <c r="Z220" s="156">
        <f t="shared" si="800"/>
        <v>0.57366399363247444</v>
      </c>
      <c r="AA220" s="156">
        <f t="shared" si="800"/>
        <v>0.50881502043923832</v>
      </c>
      <c r="AB220" s="156">
        <f t="shared" si="800"/>
        <v>0.45129680073741146</v>
      </c>
      <c r="AC220" s="156">
        <f t="shared" si="800"/>
        <v>0.40028064065405189</v>
      </c>
      <c r="AD220" s="156">
        <f t="shared" si="800"/>
        <v>0.35503152475402872</v>
      </c>
      <c r="AE220" s="156">
        <f t="shared" si="800"/>
        <v>0.31489752630357332</v>
      </c>
      <c r="AF220" s="156">
        <f t="shared" si="800"/>
        <v>0.27930041463447375</v>
      </c>
      <c r="AG220" s="156">
        <f t="shared" si="800"/>
        <v>0.24772732428448982</v>
      </c>
      <c r="AH220" s="115" t="e">
        <f t="shared" si="775"/>
        <v>#NUM!</v>
      </c>
      <c r="AI220" s="21">
        <f t="shared" si="795"/>
        <v>0.05</v>
      </c>
      <c r="AJ220" s="156" t="e">
        <f>(AJ207)/($O$2*100)</f>
        <v>#NUM!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801">G220-1</f>
        <v>-1.2380952380952381</v>
      </c>
      <c r="H221" s="128">
        <f t="shared" ref="H221:I221" si="802">H220-1</f>
        <v>0.78571428571428559</v>
      </c>
      <c r="I221" s="128">
        <f t="shared" si="802"/>
        <v>-3.0000000000000004</v>
      </c>
      <c r="J221" s="128">
        <f t="shared" ref="J221:S221" si="803">J220-1</f>
        <v>-4.3333333333333339</v>
      </c>
      <c r="K221" s="128">
        <f t="shared" si="803"/>
        <v>7.3333333333333339</v>
      </c>
      <c r="L221" s="128">
        <f t="shared" si="803"/>
        <v>-1.225563909774436</v>
      </c>
      <c r="M221" s="128">
        <f t="shared" si="803"/>
        <v>13.772727272727273</v>
      </c>
      <c r="N221" s="128">
        <f t="shared" si="803"/>
        <v>3.0816326530612246</v>
      </c>
      <c r="O221" s="128">
        <f t="shared" si="803"/>
        <v>9.5555555555555554</v>
      </c>
      <c r="P221" s="128">
        <f t="shared" si="803"/>
        <v>-5.8441558441558406E-2</v>
      </c>
      <c r="Q221" s="128">
        <f t="shared" si="803"/>
        <v>-0.46978021978021978</v>
      </c>
      <c r="R221" s="128">
        <f t="shared" si="803"/>
        <v>-0.25906735751295329</v>
      </c>
      <c r="S221" s="128">
        <f t="shared" si="803"/>
        <v>0.40646666666666675</v>
      </c>
      <c r="T221" s="128">
        <f>T220-1</f>
        <v>0.27254385964912275</v>
      </c>
      <c r="U221" s="128">
        <f>U220-1</f>
        <v>18.829683698296833</v>
      </c>
      <c r="V221" s="101" t="e">
        <f t="shared" si="719"/>
        <v>#NUM!</v>
      </c>
      <c r="W221" s="109"/>
      <c r="X221" s="128">
        <f t="shared" ref="X221:AG221" si="804">X220-1</f>
        <v>-0.27078947368421058</v>
      </c>
      <c r="Y221" s="128">
        <f t="shared" si="804"/>
        <v>-0.35322196796338678</v>
      </c>
      <c r="Z221" s="128">
        <f t="shared" si="804"/>
        <v>-0.42633600636752556</v>
      </c>
      <c r="AA221" s="128">
        <f t="shared" si="804"/>
        <v>-0.49118497956076168</v>
      </c>
      <c r="AB221" s="128">
        <f t="shared" si="804"/>
        <v>-0.54870319926258859</v>
      </c>
      <c r="AC221" s="128">
        <f t="shared" si="804"/>
        <v>-0.59971935934594811</v>
      </c>
      <c r="AD221" s="128">
        <f t="shared" si="804"/>
        <v>-0.64496847524597123</v>
      </c>
      <c r="AE221" s="128">
        <f t="shared" si="804"/>
        <v>-0.68510247369642663</v>
      </c>
      <c r="AF221" s="128">
        <f t="shared" si="804"/>
        <v>-0.72069958536552625</v>
      </c>
      <c r="AG221" s="128">
        <f t="shared" si="804"/>
        <v>-0.75227267571551015</v>
      </c>
      <c r="AH221" s="115">
        <f t="shared" ref="AH221" si="805">((AG221/J221)^(1/($AG$3-$K$1) ))-1</f>
        <v>-7.0360183590562175E-2</v>
      </c>
      <c r="AI221" s="21">
        <f t="shared" si="795"/>
        <v>0.05</v>
      </c>
      <c r="AJ221" s="156">
        <f>(AJ208)/($O$2*100)</f>
        <v>0.63284781253878775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505</v>
      </c>
      <c r="C223" s="128"/>
      <c r="D223" s="128"/>
      <c r="E223" s="128"/>
      <c r="F223" s="128"/>
      <c r="G223" s="128">
        <f t="shared" ref="G223:S223" si="806">1/G224</f>
        <v>3.0775635407537254</v>
      </c>
      <c r="H223" s="128">
        <f t="shared" si="806"/>
        <v>0.6155127081507451</v>
      </c>
      <c r="I223" s="128">
        <f t="shared" si="806"/>
        <v>0.51292725679228757</v>
      </c>
      <c r="J223" s="128">
        <f t="shared" si="806"/>
        <v>0.30775635407537255</v>
      </c>
      <c r="K223" s="128">
        <f t="shared" si="806"/>
        <v>0.6155127081507451</v>
      </c>
      <c r="L223" s="128">
        <f t="shared" si="806"/>
        <v>0.51292725679228757</v>
      </c>
      <c r="M223" s="128">
        <f t="shared" si="806"/>
        <v>4.7347131396211155E-2</v>
      </c>
      <c r="N223" s="128">
        <f t="shared" si="806"/>
        <v>7.6939088518843138E-2</v>
      </c>
      <c r="O223" s="128">
        <f t="shared" si="806"/>
        <v>8.0988514230361186E-2</v>
      </c>
      <c r="P223" s="128">
        <f t="shared" si="806"/>
        <v>0.1061228807156457</v>
      </c>
      <c r="Q223" s="128">
        <f t="shared" si="806"/>
        <v>0.1594592508162552</v>
      </c>
      <c r="R223" s="128">
        <f t="shared" si="806"/>
        <v>2.1521423361914163E-2</v>
      </c>
      <c r="S223" s="128">
        <f t="shared" si="806"/>
        <v>1.0649008791535382E-2</v>
      </c>
      <c r="T223" s="128">
        <f>1/T224</f>
        <v>6.9158731252892706E-3</v>
      </c>
      <c r="U223" s="128">
        <f>1/U224</f>
        <v>1.2310254163014902E-2</v>
      </c>
      <c r="V223" s="101">
        <f t="shared" si="719"/>
        <v>-0.32590893475801275</v>
      </c>
      <c r="W223" s="109"/>
      <c r="X223" s="128">
        <f t="shared" ref="X223:AG223" si="807">1/X224</f>
        <v>1.2310254163014902E-2</v>
      </c>
      <c r="Y223" s="128">
        <f t="shared" si="807"/>
        <v>1.2310254163014902E-2</v>
      </c>
      <c r="Z223" s="128">
        <f t="shared" si="807"/>
        <v>1.2310254163014902E-2</v>
      </c>
      <c r="AA223" s="128">
        <f t="shared" si="807"/>
        <v>1.2310254163014902E-2</v>
      </c>
      <c r="AB223" s="128">
        <f t="shared" si="807"/>
        <v>1.2310254163014902E-2</v>
      </c>
      <c r="AC223" s="128">
        <f t="shared" si="807"/>
        <v>1.2310254163014902E-2</v>
      </c>
      <c r="AD223" s="128">
        <f t="shared" si="807"/>
        <v>1.2310254163014902E-2</v>
      </c>
      <c r="AE223" s="128">
        <f t="shared" si="807"/>
        <v>1.2310254163014902E-2</v>
      </c>
      <c r="AF223" s="128">
        <f t="shared" si="807"/>
        <v>1.2310254163014902E-2</v>
      </c>
      <c r="AG223" s="128">
        <f t="shared" si="807"/>
        <v>1.2310254163014902E-2</v>
      </c>
      <c r="AH223" s="115">
        <f t="shared" ref="AH223" si="808">((AG223/J223)^(1/($AG$3-$K$1) ))-1</f>
        <v>-0.1255147277788321</v>
      </c>
      <c r="AI223" s="21">
        <f t="shared" ref="AI223:AI226" si="809">$O$1</f>
        <v>0.05</v>
      </c>
      <c r="AJ223" s="156">
        <f>(AJ210)/($O$2*100)</f>
        <v>0.2121213384839242</v>
      </c>
    </row>
    <row r="224" spans="2:36">
      <c r="B224" s="10" t="s">
        <v>504</v>
      </c>
      <c r="C224" s="110"/>
      <c r="D224" s="110"/>
      <c r="E224" s="110"/>
      <c r="F224" s="110"/>
      <c r="G224" s="112">
        <f t="shared" ref="G224:U224" si="810">G205/$S$174</f>
        <v>0.32493236508614548</v>
      </c>
      <c r="H224" s="112">
        <f t="shared" si="810"/>
        <v>1.6246618254307272</v>
      </c>
      <c r="I224" s="112">
        <f t="shared" si="810"/>
        <v>1.9495941905168728</v>
      </c>
      <c r="J224" s="112">
        <f t="shared" si="810"/>
        <v>3.2493236508614545</v>
      </c>
      <c r="K224" s="112">
        <f t="shared" si="810"/>
        <v>1.6246618254307272</v>
      </c>
      <c r="L224" s="112">
        <f t="shared" si="810"/>
        <v>1.9495941905168728</v>
      </c>
      <c r="M224" s="112">
        <f t="shared" si="810"/>
        <v>21.120603730599456</v>
      </c>
      <c r="N224" s="112">
        <f t="shared" si="810"/>
        <v>12.997294603445818</v>
      </c>
      <c r="O224" s="112">
        <f t="shared" si="810"/>
        <v>12.347429873273528</v>
      </c>
      <c r="P224" s="112">
        <f t="shared" si="810"/>
        <v>9.423038587498219</v>
      </c>
      <c r="Q224" s="112">
        <f t="shared" si="810"/>
        <v>6.2711946461626074</v>
      </c>
      <c r="R224" s="112">
        <f t="shared" si="810"/>
        <v>46.465328207318798</v>
      </c>
      <c r="S224" s="112">
        <f t="shared" si="810"/>
        <v>93.905453509896034</v>
      </c>
      <c r="T224" s="112">
        <f t="shared" si="810"/>
        <v>144.59490246333473</v>
      </c>
      <c r="U224" s="112">
        <f t="shared" si="810"/>
        <v>81.233091271536367</v>
      </c>
      <c r="V224" s="101">
        <f t="shared" si="719"/>
        <v>0.48347908993722832</v>
      </c>
      <c r="W224" s="109"/>
      <c r="X224" s="112">
        <f t="shared" ref="X224:AG224" si="811">X205/$S$174</f>
        <v>81.233091271536367</v>
      </c>
      <c r="Y224" s="112">
        <f t="shared" si="811"/>
        <v>81.233091271536367</v>
      </c>
      <c r="Z224" s="112">
        <f t="shared" si="811"/>
        <v>81.233091271536367</v>
      </c>
      <c r="AA224" s="112">
        <f t="shared" si="811"/>
        <v>81.233091271536367</v>
      </c>
      <c r="AB224" s="112">
        <f t="shared" si="811"/>
        <v>81.233091271536367</v>
      </c>
      <c r="AC224" s="112">
        <f t="shared" si="811"/>
        <v>81.233091271536367</v>
      </c>
      <c r="AD224" s="112">
        <f t="shared" si="811"/>
        <v>81.233091271536367</v>
      </c>
      <c r="AE224" s="112">
        <f t="shared" si="811"/>
        <v>81.233091271536367</v>
      </c>
      <c r="AF224" s="112">
        <f t="shared" si="811"/>
        <v>81.233091271536367</v>
      </c>
      <c r="AG224" s="112">
        <f t="shared" si="811"/>
        <v>81.233091271536367</v>
      </c>
      <c r="AH224" s="115">
        <f t="shared" ref="AH224:AH226" si="812">((AG224/J224)^(1/($AG$3-$K$1) ))-1</f>
        <v>0.14352983608292025</v>
      </c>
      <c r="AI224" s="21">
        <f t="shared" si="809"/>
        <v>0.05</v>
      </c>
      <c r="AJ224" s="156">
        <f>(AJ210)/($O$2*100)</f>
        <v>0.2121213384839242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813">(G224)/($O$2*100)</f>
        <v>2.1662157672409699E-2</v>
      </c>
      <c r="H225" s="156">
        <f t="shared" ref="H225:I225" si="814">(H224)/($O$2*100)</f>
        <v>0.10831078836204848</v>
      </c>
      <c r="I225" s="156">
        <f t="shared" si="814"/>
        <v>0.12997294603445819</v>
      </c>
      <c r="J225" s="156">
        <f t="shared" ref="J225:T225" si="815">(J224)/($O$2*100)</f>
        <v>0.21662157672409696</v>
      </c>
      <c r="K225" s="156">
        <f t="shared" si="815"/>
        <v>0.10831078836204848</v>
      </c>
      <c r="L225" s="156">
        <f t="shared" si="815"/>
        <v>0.12997294603445819</v>
      </c>
      <c r="M225" s="156">
        <f t="shared" si="815"/>
        <v>1.4080402487066304</v>
      </c>
      <c r="N225" s="156">
        <f t="shared" si="815"/>
        <v>0.86648630689638784</v>
      </c>
      <c r="O225" s="156">
        <f t="shared" si="815"/>
        <v>0.82316199155156855</v>
      </c>
      <c r="P225" s="156">
        <f t="shared" si="815"/>
        <v>0.62820257249988132</v>
      </c>
      <c r="Q225" s="156">
        <f t="shared" si="815"/>
        <v>0.41807964307750717</v>
      </c>
      <c r="R225" s="156">
        <f t="shared" si="815"/>
        <v>3.0976885471545867</v>
      </c>
      <c r="S225" s="156">
        <f t="shared" si="815"/>
        <v>6.2603635673264026</v>
      </c>
      <c r="T225" s="156">
        <f t="shared" si="815"/>
        <v>9.639660164222315</v>
      </c>
      <c r="U225" s="156">
        <f t="shared" ref="U225" si="816">(U224)/($O$2*100)</f>
        <v>5.4155394181024246</v>
      </c>
      <c r="V225" s="101">
        <f t="shared" si="719"/>
        <v>0.48347908993722832</v>
      </c>
      <c r="W225" s="109"/>
      <c r="X225" s="156">
        <f t="shared" ref="X225:AG225" si="817">(X224)/($O$2*100)</f>
        <v>5.4155394181024246</v>
      </c>
      <c r="Y225" s="156">
        <f t="shared" si="817"/>
        <v>5.4155394181024246</v>
      </c>
      <c r="Z225" s="156">
        <f t="shared" si="817"/>
        <v>5.4155394181024246</v>
      </c>
      <c r="AA225" s="156">
        <f t="shared" si="817"/>
        <v>5.4155394181024246</v>
      </c>
      <c r="AB225" s="156">
        <f t="shared" si="817"/>
        <v>5.4155394181024246</v>
      </c>
      <c r="AC225" s="156">
        <f t="shared" si="817"/>
        <v>5.4155394181024246</v>
      </c>
      <c r="AD225" s="156">
        <f t="shared" si="817"/>
        <v>5.4155394181024246</v>
      </c>
      <c r="AE225" s="156">
        <f t="shared" si="817"/>
        <v>5.4155394181024246</v>
      </c>
      <c r="AF225" s="156">
        <f t="shared" si="817"/>
        <v>5.4155394181024246</v>
      </c>
      <c r="AG225" s="156">
        <f t="shared" si="817"/>
        <v>5.4155394181024246</v>
      </c>
      <c r="AH225" s="115">
        <f t="shared" si="812"/>
        <v>0.14352983608292025</v>
      </c>
      <c r="AI225" s="21">
        <f t="shared" si="809"/>
        <v>0.05</v>
      </c>
      <c r="AJ225" s="156">
        <f>(AJ211)/($O$2*100)</f>
        <v>1.246945159932273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818">G225-1</f>
        <v>-0.97833784232759036</v>
      </c>
      <c r="H226" s="128">
        <f t="shared" ref="H226:I226" si="819">H225-1</f>
        <v>-0.89168921163795156</v>
      </c>
      <c r="I226" s="128">
        <f t="shared" si="819"/>
        <v>-0.87002705396554181</v>
      </c>
      <c r="J226" s="128">
        <f t="shared" ref="J226:T226" si="820">J225-1</f>
        <v>-0.78337842327590301</v>
      </c>
      <c r="K226" s="128">
        <f t="shared" si="820"/>
        <v>-0.89168921163795156</v>
      </c>
      <c r="L226" s="128">
        <f t="shared" si="820"/>
        <v>-0.87002705396554181</v>
      </c>
      <c r="M226" s="128">
        <f t="shared" si="820"/>
        <v>0.40804024870663036</v>
      </c>
      <c r="N226" s="128">
        <f t="shared" si="820"/>
        <v>-0.13351369310361216</v>
      </c>
      <c r="O226" s="128">
        <f t="shared" si="820"/>
        <v>-0.17683800844843145</v>
      </c>
      <c r="P226" s="128">
        <f t="shared" si="820"/>
        <v>-0.37179742750011868</v>
      </c>
      <c r="Q226" s="128">
        <f t="shared" si="820"/>
        <v>-0.58192035692249289</v>
      </c>
      <c r="R226" s="128">
        <f t="shared" si="820"/>
        <v>2.0976885471545867</v>
      </c>
      <c r="S226" s="128">
        <f t="shared" si="820"/>
        <v>5.2603635673264026</v>
      </c>
      <c r="T226" s="128">
        <f t="shared" si="820"/>
        <v>8.639660164222315</v>
      </c>
      <c r="U226" s="128">
        <f t="shared" ref="U226" si="821">U225-1</f>
        <v>4.4155394181024246</v>
      </c>
      <c r="V226" s="101" t="e">
        <f t="shared" si="719"/>
        <v>#NUM!</v>
      </c>
      <c r="W226" s="109"/>
      <c r="X226" s="128">
        <f t="shared" ref="X226:AG226" si="822">X225-1</f>
        <v>4.4155394181024246</v>
      </c>
      <c r="Y226" s="128">
        <f t="shared" si="822"/>
        <v>4.4155394181024246</v>
      </c>
      <c r="Z226" s="128">
        <f t="shared" si="822"/>
        <v>4.4155394181024246</v>
      </c>
      <c r="AA226" s="128">
        <f t="shared" si="822"/>
        <v>4.4155394181024246</v>
      </c>
      <c r="AB226" s="128">
        <f t="shared" si="822"/>
        <v>4.4155394181024246</v>
      </c>
      <c r="AC226" s="128">
        <f t="shared" si="822"/>
        <v>4.4155394181024246</v>
      </c>
      <c r="AD226" s="128">
        <f t="shared" si="822"/>
        <v>4.4155394181024246</v>
      </c>
      <c r="AE226" s="128">
        <f t="shared" si="822"/>
        <v>4.4155394181024246</v>
      </c>
      <c r="AF226" s="128">
        <f t="shared" si="822"/>
        <v>4.4155394181024246</v>
      </c>
      <c r="AG226" s="128">
        <f t="shared" si="822"/>
        <v>4.4155394181024246</v>
      </c>
      <c r="AH226" s="115" t="e">
        <f t="shared" si="812"/>
        <v>#NUM!</v>
      </c>
      <c r="AI226" s="21">
        <f t="shared" si="809"/>
        <v>0.05</v>
      </c>
      <c r="AJ226" s="156">
        <f>(AJ212)/($O$2*100)</f>
        <v>8.1847212658007776E-2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505</v>
      </c>
      <c r="C228" s="110"/>
      <c r="D228" s="110"/>
      <c r="E228" s="110"/>
      <c r="F228" s="110"/>
      <c r="G228" s="128">
        <f t="shared" ref="G228:U228" si="823">1/G229</f>
        <v>8.6920245398773002</v>
      </c>
      <c r="H228" s="128">
        <f t="shared" si="823"/>
        <v>1.7384049079754602</v>
      </c>
      <c r="I228" s="128">
        <f t="shared" si="823"/>
        <v>1.4486707566462167</v>
      </c>
      <c r="J228" s="128">
        <f t="shared" si="823"/>
        <v>0.86920245398773011</v>
      </c>
      <c r="K228" s="128">
        <f t="shared" si="823"/>
        <v>1.7384049079754602</v>
      </c>
      <c r="L228" s="128">
        <f t="shared" si="823"/>
        <v>1.4486707566462167</v>
      </c>
      <c r="M228" s="128">
        <f t="shared" si="823"/>
        <v>0.13372345445965075</v>
      </c>
      <c r="N228" s="128">
        <f t="shared" si="823"/>
        <v>0.21730061349693253</v>
      </c>
      <c r="O228" s="128">
        <f t="shared" si="823"/>
        <v>0.22873748789150791</v>
      </c>
      <c r="P228" s="128">
        <f t="shared" si="823"/>
        <v>0.29972498413370002</v>
      </c>
      <c r="Q228" s="128">
        <f t="shared" si="823"/>
        <v>0.45036396579675131</v>
      </c>
      <c r="R228" s="128">
        <f t="shared" si="823"/>
        <v>6.0783388390750349E-2</v>
      </c>
      <c r="S228" s="128">
        <f t="shared" si="823"/>
        <v>3.0076209480544291E-2</v>
      </c>
      <c r="T228" s="128">
        <f t="shared" si="823"/>
        <v>1.9532639415454609E-2</v>
      </c>
      <c r="U228" s="128">
        <f t="shared" si="823"/>
        <v>3.4768098159509202E-2</v>
      </c>
      <c r="V228" s="101">
        <f t="shared" si="719"/>
        <v>-0.32590893475801275</v>
      </c>
      <c r="W228" s="109"/>
      <c r="X228" s="128">
        <f t="shared" ref="X228:AG228" si="824">1/X229</f>
        <v>3.4768098159509202E-2</v>
      </c>
      <c r="Y228" s="128">
        <f t="shared" si="824"/>
        <v>3.4768098159509202E-2</v>
      </c>
      <c r="Z228" s="128">
        <f t="shared" si="824"/>
        <v>3.4768098159509202E-2</v>
      </c>
      <c r="AA228" s="128">
        <f t="shared" si="824"/>
        <v>3.4768098159509202E-2</v>
      </c>
      <c r="AB228" s="128">
        <f t="shared" si="824"/>
        <v>3.4768098159509202E-2</v>
      </c>
      <c r="AC228" s="128">
        <f t="shared" si="824"/>
        <v>3.4768098159509202E-2</v>
      </c>
      <c r="AD228" s="128">
        <f t="shared" si="824"/>
        <v>3.4768098159509202E-2</v>
      </c>
      <c r="AE228" s="128">
        <f t="shared" si="824"/>
        <v>3.4768098159509202E-2</v>
      </c>
      <c r="AF228" s="128">
        <f t="shared" si="824"/>
        <v>3.4768098159509202E-2</v>
      </c>
      <c r="AG228" s="128">
        <f t="shared" si="824"/>
        <v>3.4768098159509202E-2</v>
      </c>
      <c r="AH228" s="115">
        <f t="shared" ref="AH228" si="825">((AG228/J228)^(1/($AG$3-$K$1) ))-1</f>
        <v>-0.12551472777883221</v>
      </c>
      <c r="AI228" s="21">
        <f t="shared" ref="AI228" si="826">$O$1</f>
        <v>0.05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827">G205/$T$174</f>
        <v>0.1150479954827781</v>
      </c>
      <c r="H229" s="112">
        <f t="shared" ref="H229:I229" si="828">H205/$T$174</f>
        <v>0.57523997741389044</v>
      </c>
      <c r="I229" s="112">
        <f t="shared" si="828"/>
        <v>0.69028797289666854</v>
      </c>
      <c r="J229" s="112">
        <f t="shared" ref="J229:S229" si="829">J205/$T$174</f>
        <v>1.1504799548277809</v>
      </c>
      <c r="K229" s="112">
        <f t="shared" si="829"/>
        <v>0.57523997741389044</v>
      </c>
      <c r="L229" s="112">
        <f t="shared" si="829"/>
        <v>0.69028797289666854</v>
      </c>
      <c r="M229" s="112">
        <f t="shared" si="829"/>
        <v>7.4781197063805767</v>
      </c>
      <c r="N229" s="112">
        <f t="shared" si="829"/>
        <v>4.6019198193111235</v>
      </c>
      <c r="O229" s="112">
        <f t="shared" si="829"/>
        <v>4.3718238283455673</v>
      </c>
      <c r="P229" s="112">
        <f t="shared" si="829"/>
        <v>3.3363918690005647</v>
      </c>
      <c r="Q229" s="112">
        <f t="shared" si="829"/>
        <v>2.2204263128176174</v>
      </c>
      <c r="R229" s="112">
        <f t="shared" si="829"/>
        <v>16.451863354037268</v>
      </c>
      <c r="S229" s="112">
        <f t="shared" si="829"/>
        <v>33.248870694522871</v>
      </c>
      <c r="T229" s="112">
        <f>T205/$T$174</f>
        <v>51.196357989836251</v>
      </c>
      <c r="U229" s="112">
        <f>U205/$T$174</f>
        <v>28.761998870694523</v>
      </c>
      <c r="V229" s="101">
        <f t="shared" si="719"/>
        <v>0.48347908993722832</v>
      </c>
      <c r="W229" s="109"/>
      <c r="X229" s="112">
        <f t="shared" ref="X229:AG229" si="830">X205/$T$174</f>
        <v>28.761998870694523</v>
      </c>
      <c r="Y229" s="112">
        <f t="shared" si="830"/>
        <v>28.761998870694523</v>
      </c>
      <c r="Z229" s="112">
        <f t="shared" si="830"/>
        <v>28.761998870694523</v>
      </c>
      <c r="AA229" s="112">
        <f t="shared" si="830"/>
        <v>28.761998870694523</v>
      </c>
      <c r="AB229" s="112">
        <f t="shared" si="830"/>
        <v>28.761998870694523</v>
      </c>
      <c r="AC229" s="112">
        <f t="shared" si="830"/>
        <v>28.761998870694523</v>
      </c>
      <c r="AD229" s="112">
        <f t="shared" si="830"/>
        <v>28.761998870694523</v>
      </c>
      <c r="AE229" s="112">
        <f t="shared" si="830"/>
        <v>28.761998870694523</v>
      </c>
      <c r="AF229" s="112">
        <f t="shared" si="830"/>
        <v>28.761998870694523</v>
      </c>
      <c r="AG229" s="112">
        <f t="shared" si="830"/>
        <v>28.761998870694523</v>
      </c>
      <c r="AH229" s="115">
        <f t="shared" ref="AH229:AH231" si="831">((AG229/J229)^(1/($AG$3-$K$1) ))-1</f>
        <v>0.14352983608292025</v>
      </c>
      <c r="AI229" s="21">
        <f t="shared" ref="AI229:AI231" si="832">$O$1</f>
        <v>0.05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833">(G229)/($O$2*100)</f>
        <v>7.6698663655185399E-3</v>
      </c>
      <c r="H230" s="156">
        <f t="shared" ref="H230:I230" si="834">(H229)/($O$2*100)</f>
        <v>3.8349331827592696E-2</v>
      </c>
      <c r="I230" s="156">
        <f t="shared" si="834"/>
        <v>4.601919819311124E-2</v>
      </c>
      <c r="J230" s="156">
        <f t="shared" ref="J230:T230" si="835">(J229)/($O$2*100)</f>
        <v>7.6698663655185392E-2</v>
      </c>
      <c r="K230" s="156">
        <f t="shared" si="835"/>
        <v>3.8349331827592696E-2</v>
      </c>
      <c r="L230" s="156">
        <f t="shared" si="835"/>
        <v>4.601919819311124E-2</v>
      </c>
      <c r="M230" s="156">
        <f t="shared" si="835"/>
        <v>0.49854131375870508</v>
      </c>
      <c r="N230" s="156">
        <f t="shared" si="835"/>
        <v>0.30679465462074157</v>
      </c>
      <c r="O230" s="156">
        <f t="shared" si="835"/>
        <v>0.29145492188970451</v>
      </c>
      <c r="P230" s="156">
        <f t="shared" si="835"/>
        <v>0.22242612460003766</v>
      </c>
      <c r="Q230" s="156">
        <f t="shared" si="835"/>
        <v>0.14802842085450782</v>
      </c>
      <c r="R230" s="156">
        <f t="shared" si="835"/>
        <v>1.0967908902691512</v>
      </c>
      <c r="S230" s="156">
        <f t="shared" si="835"/>
        <v>2.216591379634858</v>
      </c>
      <c r="T230" s="156">
        <f t="shared" si="835"/>
        <v>3.4130905326557501</v>
      </c>
      <c r="U230" s="156">
        <f t="shared" ref="U230" si="836">(U229)/($O$2*100)</f>
        <v>1.9174665913796349</v>
      </c>
      <c r="V230" s="101">
        <f t="shared" si="719"/>
        <v>0.48347908993722832</v>
      </c>
      <c r="W230" s="109"/>
      <c r="X230" s="156">
        <f t="shared" ref="X230:AG230" si="837">(X229)/($O$2*100)</f>
        <v>1.9174665913796349</v>
      </c>
      <c r="Y230" s="156">
        <f t="shared" si="837"/>
        <v>1.9174665913796349</v>
      </c>
      <c r="Z230" s="156">
        <f t="shared" si="837"/>
        <v>1.9174665913796349</v>
      </c>
      <c r="AA230" s="156">
        <f t="shared" si="837"/>
        <v>1.9174665913796349</v>
      </c>
      <c r="AB230" s="156">
        <f t="shared" si="837"/>
        <v>1.9174665913796349</v>
      </c>
      <c r="AC230" s="156">
        <f t="shared" si="837"/>
        <v>1.9174665913796349</v>
      </c>
      <c r="AD230" s="156">
        <f t="shared" si="837"/>
        <v>1.9174665913796349</v>
      </c>
      <c r="AE230" s="156">
        <f t="shared" si="837"/>
        <v>1.9174665913796349</v>
      </c>
      <c r="AF230" s="156">
        <f t="shared" si="837"/>
        <v>1.9174665913796349</v>
      </c>
      <c r="AG230" s="156">
        <f t="shared" si="837"/>
        <v>1.9174665913796349</v>
      </c>
      <c r="AH230" s="115">
        <f t="shared" si="831"/>
        <v>0.14352983608292025</v>
      </c>
      <c r="AI230" s="21">
        <f t="shared" si="832"/>
        <v>0.05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838">G230-1</f>
        <v>-0.99233013363448141</v>
      </c>
      <c r="H231" s="128">
        <f t="shared" ref="H231:I231" si="839">H230-1</f>
        <v>-0.9616506681724073</v>
      </c>
      <c r="I231" s="128">
        <f t="shared" si="839"/>
        <v>-0.95398080180688871</v>
      </c>
      <c r="J231" s="128">
        <f t="shared" ref="J231:T231" si="840">J230-1</f>
        <v>-0.92330133634481459</v>
      </c>
      <c r="K231" s="128">
        <f t="shared" si="840"/>
        <v>-0.9616506681724073</v>
      </c>
      <c r="L231" s="128">
        <f t="shared" si="840"/>
        <v>-0.95398080180688871</v>
      </c>
      <c r="M231" s="128">
        <f t="shared" si="840"/>
        <v>-0.50145868624129486</v>
      </c>
      <c r="N231" s="128">
        <f t="shared" si="840"/>
        <v>-0.69320534537925838</v>
      </c>
      <c r="O231" s="128">
        <f t="shared" si="840"/>
        <v>-0.70854507811029555</v>
      </c>
      <c r="P231" s="128">
        <f t="shared" si="840"/>
        <v>-0.77757387539996237</v>
      </c>
      <c r="Q231" s="128">
        <f t="shared" si="840"/>
        <v>-0.85197157914549215</v>
      </c>
      <c r="R231" s="128">
        <f t="shared" si="840"/>
        <v>9.679089026915122E-2</v>
      </c>
      <c r="S231" s="128">
        <f t="shared" si="840"/>
        <v>1.216591379634858</v>
      </c>
      <c r="T231" s="128">
        <f t="shared" si="840"/>
        <v>2.4130905326557501</v>
      </c>
      <c r="U231" s="128">
        <f t="shared" ref="U231" si="841">U230-1</f>
        <v>0.91746659137963493</v>
      </c>
      <c r="V231" s="101" t="e">
        <f t="shared" si="719"/>
        <v>#NUM!</v>
      </c>
      <c r="W231" s="109"/>
      <c r="X231" s="128">
        <f t="shared" ref="X231:AG231" si="842">X230-1</f>
        <v>0.91746659137963493</v>
      </c>
      <c r="Y231" s="128">
        <f t="shared" si="842"/>
        <v>0.91746659137963493</v>
      </c>
      <c r="Z231" s="128">
        <f t="shared" si="842"/>
        <v>0.91746659137963493</v>
      </c>
      <c r="AA231" s="128">
        <f t="shared" si="842"/>
        <v>0.91746659137963493</v>
      </c>
      <c r="AB231" s="128">
        <f t="shared" si="842"/>
        <v>0.91746659137963493</v>
      </c>
      <c r="AC231" s="128">
        <f t="shared" si="842"/>
        <v>0.91746659137963493</v>
      </c>
      <c r="AD231" s="128">
        <f t="shared" si="842"/>
        <v>0.91746659137963493</v>
      </c>
      <c r="AE231" s="128">
        <f t="shared" si="842"/>
        <v>0.91746659137963493</v>
      </c>
      <c r="AF231" s="128">
        <f t="shared" si="842"/>
        <v>0.91746659137963493</v>
      </c>
      <c r="AG231" s="128">
        <f t="shared" si="842"/>
        <v>0.91746659137963493</v>
      </c>
      <c r="AH231" s="115" t="e">
        <f t="shared" si="831"/>
        <v>#NUM!</v>
      </c>
      <c r="AI231" s="21">
        <f t="shared" si="832"/>
        <v>0.05</v>
      </c>
      <c r="AJ231" s="156" t="e">
        <f>(AJ215)/($O$2*100)</f>
        <v>#DIV/0!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506</v>
      </c>
      <c r="C233" s="110"/>
      <c r="D233" s="110"/>
      <c r="E233" s="110"/>
      <c r="F233" s="110"/>
      <c r="G233" s="128">
        <f t="shared" ref="G233:S233" si="843">1/G234</f>
        <v>11.236637272012095</v>
      </c>
      <c r="H233" s="128">
        <f t="shared" si="843"/>
        <v>2.2473274544024191</v>
      </c>
      <c r="I233" s="128">
        <f t="shared" si="843"/>
        <v>1.8727728786686824</v>
      </c>
      <c r="J233" s="128">
        <f t="shared" si="843"/>
        <v>1.1236637272012096</v>
      </c>
      <c r="K233" s="128">
        <f t="shared" si="843"/>
        <v>2.2473274544024191</v>
      </c>
      <c r="L233" s="128">
        <f t="shared" si="843"/>
        <v>1.8727728786686824</v>
      </c>
      <c r="M233" s="128">
        <f t="shared" si="843"/>
        <v>0.17287134264633991</v>
      </c>
      <c r="N233" s="128">
        <f t="shared" si="843"/>
        <v>0.28091593180030239</v>
      </c>
      <c r="O233" s="128">
        <f t="shared" si="843"/>
        <v>0.29570098084242352</v>
      </c>
      <c r="P233" s="128">
        <f t="shared" si="843"/>
        <v>0.38747025075903774</v>
      </c>
      <c r="Q233" s="128">
        <f t="shared" si="843"/>
        <v>0.58220918507834685</v>
      </c>
      <c r="R233" s="128">
        <f t="shared" si="843"/>
        <v>7.8577883021063596E-2</v>
      </c>
      <c r="S233" s="128">
        <f t="shared" si="843"/>
        <v>3.8881097827031467E-2</v>
      </c>
      <c r="T233" s="128">
        <f>1/T234</f>
        <v>2.5250870274184482E-2</v>
      </c>
      <c r="U233" s="128">
        <f>1/U234</f>
        <v>4.4946549088048376E-2</v>
      </c>
      <c r="V233" s="101">
        <f t="shared" si="719"/>
        <v>-0.32590893475801275</v>
      </c>
      <c r="W233" s="109"/>
      <c r="X233" s="128">
        <f t="shared" ref="X233:AG233" si="844">1/X234</f>
        <v>100.03643531206419</v>
      </c>
      <c r="Y233" s="128">
        <f t="shared" si="844"/>
        <v>5.4769659043490151</v>
      </c>
      <c r="Z233" s="128">
        <f t="shared" si="844"/>
        <v>6.1750105784327118</v>
      </c>
      <c r="AA233" s="128">
        <f t="shared" si="844"/>
        <v>6.9620217305858993</v>
      </c>
      <c r="AB233" s="128">
        <f t="shared" si="844"/>
        <v>7.8493382256605724</v>
      </c>
      <c r="AC233" s="128">
        <f t="shared" si="844"/>
        <v>8.8497440779506444</v>
      </c>
      <c r="AD233" s="128">
        <f t="shared" si="844"/>
        <v>9.9776526369051375</v>
      </c>
      <c r="AE233" s="128">
        <f t="shared" si="844"/>
        <v>11.249314247491085</v>
      </c>
      <c r="AF233" s="128">
        <f t="shared" si="844"/>
        <v>12.683050377073281</v>
      </c>
      <c r="AG233" s="128">
        <f t="shared" si="844"/>
        <v>14.299517581994381</v>
      </c>
      <c r="AH233" s="115">
        <f t="shared" ref="AH233:AH236" si="845">((AG233/J233)^(1/($AG$3-$K$1) ))-1</f>
        <v>0.11180479486355432</v>
      </c>
      <c r="AI233" s="21">
        <f t="shared" ref="AI233:AI236" si="846">$O$1</f>
        <v>0.05</v>
      </c>
      <c r="AJ233" s="156">
        <f>(AJ219)/($O$2*100)</f>
        <v>1.6843894798203231E-2</v>
      </c>
    </row>
    <row r="234" spans="2:36">
      <c r="B234" s="10" t="s">
        <v>500</v>
      </c>
      <c r="C234" s="110"/>
      <c r="D234" s="110"/>
      <c r="E234" s="110"/>
      <c r="F234" s="110"/>
      <c r="G234" s="112">
        <f t="shared" ref="G234" si="847">G205/$X$175</f>
        <v>8.8994596496477854E-2</v>
      </c>
      <c r="H234" s="112">
        <f t="shared" ref="H234:S234" si="848">H205/$X$175</f>
        <v>0.44497298248238926</v>
      </c>
      <c r="I234" s="112">
        <f t="shared" si="848"/>
        <v>0.53396757897886715</v>
      </c>
      <c r="J234" s="112">
        <f t="shared" si="848"/>
        <v>0.88994596496477851</v>
      </c>
      <c r="K234" s="112">
        <f t="shared" si="848"/>
        <v>0.44497298248238926</v>
      </c>
      <c r="L234" s="112">
        <f t="shared" si="848"/>
        <v>0.53396757897886715</v>
      </c>
      <c r="M234" s="112">
        <f t="shared" si="848"/>
        <v>5.7846487722710602</v>
      </c>
      <c r="N234" s="112">
        <f t="shared" si="848"/>
        <v>3.5597838598591141</v>
      </c>
      <c r="O234" s="112">
        <f t="shared" si="848"/>
        <v>3.3817946668661585</v>
      </c>
      <c r="P234" s="112">
        <f t="shared" si="848"/>
        <v>2.5808432983978578</v>
      </c>
      <c r="Q234" s="112">
        <f t="shared" si="848"/>
        <v>1.7175957123820227</v>
      </c>
      <c r="R234" s="112">
        <f t="shared" si="848"/>
        <v>12.726227298996333</v>
      </c>
      <c r="S234" s="112">
        <f t="shared" si="848"/>
        <v>25.7194383874821</v>
      </c>
      <c r="T234" s="112">
        <f>T205/$X$175</f>
        <v>39.602595440932646</v>
      </c>
      <c r="U234" s="112">
        <f>U205/$X$175</f>
        <v>22.248649124119463</v>
      </c>
      <c r="V234" s="101">
        <f t="shared" si="719"/>
        <v>0.48347908993722832</v>
      </c>
      <c r="W234" s="109"/>
      <c r="X234" s="112">
        <f t="shared" ref="X234:AG234" si="849">X210/$T$174</f>
        <v>9.996357795842032E-3</v>
      </c>
      <c r="Y234" s="112">
        <f t="shared" si="849"/>
        <v>0.1825828419355221</v>
      </c>
      <c r="Z234" s="112">
        <f t="shared" si="849"/>
        <v>0.16194304241237614</v>
      </c>
      <c r="AA234" s="112">
        <f t="shared" si="849"/>
        <v>0.14363643761793365</v>
      </c>
      <c r="AB234" s="112">
        <f t="shared" si="849"/>
        <v>0.12739927510460203</v>
      </c>
      <c r="AC234" s="112">
        <f t="shared" si="849"/>
        <v>0.11299761791886442</v>
      </c>
      <c r="AD234" s="112">
        <f t="shared" si="849"/>
        <v>0.10022397415412324</v>
      </c>
      <c r="AE234" s="112">
        <f t="shared" si="849"/>
        <v>8.8894307510613654E-2</v>
      </c>
      <c r="AF234" s="112">
        <f t="shared" si="849"/>
        <v>7.8845385792022563E-2</v>
      </c>
      <c r="AG234" s="112">
        <f t="shared" si="849"/>
        <v>6.9932429137272198E-2</v>
      </c>
      <c r="AH234" s="115">
        <f t="shared" si="845"/>
        <v>-0.10056153326562645</v>
      </c>
      <c r="AI234" s="21">
        <f t="shared" si="846"/>
        <v>0.05</v>
      </c>
      <c r="AJ234" s="156">
        <f>(AJ219)/($O$2*100)</f>
        <v>1.6843894798203231E-2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850">(G234)/($O$2*100)</f>
        <v>5.9329730997651903E-3</v>
      </c>
      <c r="H235" s="156">
        <f t="shared" ref="H235:T235" si="851">(H234)/($O$2*100)</f>
        <v>2.9664865498825951E-2</v>
      </c>
      <c r="I235" s="156">
        <f t="shared" si="851"/>
        <v>3.5597838598591142E-2</v>
      </c>
      <c r="J235" s="156">
        <f t="shared" si="851"/>
        <v>5.9329730997651903E-2</v>
      </c>
      <c r="K235" s="156">
        <f t="shared" si="851"/>
        <v>2.9664865498825951E-2</v>
      </c>
      <c r="L235" s="156">
        <f t="shared" si="851"/>
        <v>3.5597838598591142E-2</v>
      </c>
      <c r="M235" s="156">
        <f t="shared" si="851"/>
        <v>0.38564325148473733</v>
      </c>
      <c r="N235" s="156">
        <f t="shared" si="851"/>
        <v>0.23731892399060761</v>
      </c>
      <c r="O235" s="156">
        <f t="shared" si="851"/>
        <v>0.22545297779107723</v>
      </c>
      <c r="P235" s="156">
        <f t="shared" si="851"/>
        <v>0.1720562198931905</v>
      </c>
      <c r="Q235" s="156">
        <f t="shared" si="851"/>
        <v>0.11450638082546818</v>
      </c>
      <c r="R235" s="156">
        <f t="shared" si="851"/>
        <v>0.84841515326642225</v>
      </c>
      <c r="S235" s="156">
        <f t="shared" si="851"/>
        <v>1.7146292258321401</v>
      </c>
      <c r="T235" s="156">
        <f t="shared" si="851"/>
        <v>2.6401730293955099</v>
      </c>
      <c r="U235" s="156">
        <f t="shared" ref="U235" si="852">(U234)/($O$2*100)</f>
        <v>1.4832432749412976</v>
      </c>
      <c r="V235" s="101">
        <f t="shared" si="719"/>
        <v>0.48347908993722832</v>
      </c>
      <c r="W235" s="109"/>
      <c r="X235" s="156">
        <f t="shared" ref="X235:AG235" si="853">(X234)/($O$2*100)</f>
        <v>6.6642385305613547E-4</v>
      </c>
      <c r="Y235" s="156">
        <f t="shared" si="853"/>
        <v>1.217218946236814E-2</v>
      </c>
      <c r="Z235" s="156">
        <f t="shared" si="853"/>
        <v>1.0796202827491743E-2</v>
      </c>
      <c r="AA235" s="156">
        <f t="shared" si="853"/>
        <v>9.5757625078622434E-3</v>
      </c>
      <c r="AB235" s="156">
        <f t="shared" si="853"/>
        <v>8.4932850069734684E-3</v>
      </c>
      <c r="AC235" s="156">
        <f t="shared" si="853"/>
        <v>7.5331745279242947E-3</v>
      </c>
      <c r="AD235" s="156">
        <f t="shared" si="853"/>
        <v>6.6815982769415491E-3</v>
      </c>
      <c r="AE235" s="156">
        <f t="shared" si="853"/>
        <v>5.9262871673742435E-3</v>
      </c>
      <c r="AF235" s="156">
        <f t="shared" si="853"/>
        <v>5.256359052801504E-3</v>
      </c>
      <c r="AG235" s="156">
        <f t="shared" si="853"/>
        <v>4.662161942484813E-3</v>
      </c>
      <c r="AH235" s="115">
        <f t="shared" si="845"/>
        <v>-0.10056153326562645</v>
      </c>
      <c r="AI235" s="21">
        <f t="shared" si="846"/>
        <v>0.05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54">G235-1</f>
        <v>-0.99406702690023485</v>
      </c>
      <c r="H236" s="128">
        <f t="shared" ref="H236:T236" si="855">H235-1</f>
        <v>-0.97033513450117403</v>
      </c>
      <c r="I236" s="128">
        <f t="shared" si="855"/>
        <v>-0.96440216140140889</v>
      </c>
      <c r="J236" s="128">
        <f t="shared" si="855"/>
        <v>-0.94067026900234807</v>
      </c>
      <c r="K236" s="128">
        <f t="shared" si="855"/>
        <v>-0.97033513450117403</v>
      </c>
      <c r="L236" s="128">
        <f t="shared" si="855"/>
        <v>-0.96440216140140889</v>
      </c>
      <c r="M236" s="128">
        <f t="shared" si="855"/>
        <v>-0.61435674851526267</v>
      </c>
      <c r="N236" s="128">
        <f t="shared" si="855"/>
        <v>-0.76268107600939239</v>
      </c>
      <c r="O236" s="128">
        <f t="shared" si="855"/>
        <v>-0.7745470222089228</v>
      </c>
      <c r="P236" s="128">
        <f t="shared" si="855"/>
        <v>-0.82794378010680947</v>
      </c>
      <c r="Q236" s="128">
        <f t="shared" si="855"/>
        <v>-0.88549361917453184</v>
      </c>
      <c r="R236" s="128">
        <f t="shared" si="855"/>
        <v>-0.15158484673357775</v>
      </c>
      <c r="S236" s="128">
        <f t="shared" si="855"/>
        <v>0.71462922583214006</v>
      </c>
      <c r="T236" s="128">
        <f t="shared" si="855"/>
        <v>1.6401730293955099</v>
      </c>
      <c r="U236" s="128">
        <f t="shared" ref="U236" si="856">U235-1</f>
        <v>0.4832432749412976</v>
      </c>
      <c r="V236" s="101" t="e">
        <f t="shared" si="719"/>
        <v>#NUM!</v>
      </c>
      <c r="W236" s="109"/>
      <c r="X236" s="128">
        <f t="shared" ref="X236:AG236" si="857">X235-1</f>
        <v>-0.99933357614694385</v>
      </c>
      <c r="Y236" s="128">
        <f t="shared" si="857"/>
        <v>-0.98782781053763191</v>
      </c>
      <c r="Z236" s="128">
        <f t="shared" si="857"/>
        <v>-0.98920379717250828</v>
      </c>
      <c r="AA236" s="128">
        <f t="shared" si="857"/>
        <v>-0.9904242374921377</v>
      </c>
      <c r="AB236" s="128">
        <f t="shared" si="857"/>
        <v>-0.99150671499302656</v>
      </c>
      <c r="AC236" s="128">
        <f t="shared" si="857"/>
        <v>-0.99246682547207565</v>
      </c>
      <c r="AD236" s="128">
        <f t="shared" si="857"/>
        <v>-0.99331840172305841</v>
      </c>
      <c r="AE236" s="128">
        <f t="shared" si="857"/>
        <v>-0.9940737128326258</v>
      </c>
      <c r="AF236" s="128">
        <f t="shared" si="857"/>
        <v>-0.99474364094719847</v>
      </c>
      <c r="AG236" s="128">
        <f t="shared" si="857"/>
        <v>-0.99533783805751519</v>
      </c>
      <c r="AH236" s="115">
        <f t="shared" si="845"/>
        <v>2.3565031146988158E-3</v>
      </c>
      <c r="AI236" s="21">
        <f t="shared" si="846"/>
        <v>0.05</v>
      </c>
      <c r="AJ236" s="156" t="e">
        <f>(AJ220)/($O$2*100)</f>
        <v>#NUM!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3" t="s">
        <v>293</v>
      </c>
      <c r="O240" s="314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0.99748502533254979</v>
      </c>
      <c r="T241" s="109">
        <f>(U205-X192)/U205</f>
        <v>0.98833109086337656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3.6515103094297356</v>
      </c>
      <c r="Q242" s="10"/>
      <c r="R242" s="10"/>
      <c r="S242" s="109">
        <f>(U205-Y183)/U205</f>
        <v>3.6380354209719785</v>
      </c>
      <c r="T242" s="109">
        <f>(U205-X183)/U205</f>
        <v>1.4271104967287966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-0.84085747597351135</v>
      </c>
      <c r="Q243" s="10"/>
      <c r="R243" s="10"/>
      <c r="S243" s="109">
        <f>(U205-Y176)/U205</f>
        <v>-0.83150229863659686</v>
      </c>
      <c r="T243" s="109">
        <f>(U205-X176)/U205</f>
        <v>0.70347105641121765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0.55180733444864094</v>
      </c>
      <c r="Q244" s="10"/>
      <c r="R244" s="10"/>
      <c r="S244" s="109">
        <f>(U205-Y189)/U205</f>
        <v>0.55408503488013139</v>
      </c>
      <c r="T244" s="109">
        <f>(U205-X189)/U205</f>
        <v>0.92780424374249737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3.60216223914315</v>
      </c>
      <c r="T246" s="15">
        <f>U205/X175</f>
        <v>22.248649124119463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0.27761103848500479</v>
      </c>
      <c r="T247" s="128">
        <f>1/T246</f>
        <v>4.4946549088048376E-2</v>
      </c>
      <c r="U247" s="128"/>
      <c r="V247" s="10"/>
      <c r="W247" s="10"/>
      <c r="X247" s="110">
        <f>U205-X248</f>
        <v>243.71961949743675</v>
      </c>
      <c r="Y247" s="160">
        <f>X247-Y248</f>
        <v>236.49718191948904</v>
      </c>
      <c r="Z247" s="160">
        <f t="shared" ref="Z247:AB247" si="858">Y247-Z248</f>
        <v>228.19137870484914</v>
      </c>
      <c r="AA247" s="160">
        <f t="shared" si="858"/>
        <v>218.63970500801327</v>
      </c>
      <c r="AB247" s="160">
        <f t="shared" si="858"/>
        <v>207.65528025665202</v>
      </c>
      <c r="AC247" s="160">
        <f>AB247-AC248</f>
        <v>195.0231917925866</v>
      </c>
      <c r="AD247" s="160">
        <f t="shared" ref="AD247:AG247" si="859">AC247-AD248</f>
        <v>180.49629005891137</v>
      </c>
      <c r="AE247" s="160">
        <f t="shared" si="859"/>
        <v>163.79035306518483</v>
      </c>
      <c r="AF247" s="160">
        <f t="shared" si="859"/>
        <v>144.57852552239933</v>
      </c>
      <c r="AG247" s="160">
        <f t="shared" si="859"/>
        <v>122.484923848196</v>
      </c>
      <c r="AH247" s="160">
        <f t="shared" ref="AH247" si="860">AG247-AH248</f>
        <v>97.077281922862184</v>
      </c>
      <c r="AI247" s="160">
        <f t="shared" ref="AI247" si="861">AH247-AI248</f>
        <v>67.85849370872829</v>
      </c>
      <c r="AJ247" s="160">
        <f t="shared" ref="AJ247" si="862">AI247-AJ248</f>
        <v>34.256887262474315</v>
      </c>
      <c r="AK247" s="160">
        <f t="shared" ref="AK247" si="863">AJ247-AK248</f>
        <v>-4.3849601507177525</v>
      </c>
      <c r="AL247" s="160">
        <f t="shared" ref="AL247" si="864">AK247-AL248</f>
        <v>-48.82308467588863</v>
      </c>
      <c r="AM247" s="160">
        <f t="shared" ref="AM247" si="865">AL247-AM248</f>
        <v>-99.926927879835134</v>
      </c>
      <c r="AN247" s="160">
        <f t="shared" ref="AN247" si="866">AM247-AN248</f>
        <v>-158.69634756437361</v>
      </c>
      <c r="AO247" s="160">
        <f t="shared" ref="AO247" si="867">AN247-AO248</f>
        <v>-226.28118020159286</v>
      </c>
      <c r="AP247" s="160">
        <f t="shared" ref="AP247" si="868">AO247-AP248</f>
        <v>-304.00373773439497</v>
      </c>
      <c r="AQ247" s="160">
        <f t="shared" ref="AQ247" si="869">AP247-AQ248</f>
        <v>-393.3846788971174</v>
      </c>
      <c r="AR247" s="160">
        <f t="shared" ref="AR247" si="870">AQ247-AR248</f>
        <v>-496.17276123424818</v>
      </c>
      <c r="AS247" s="160">
        <f t="shared" ref="AS247" si="871">AR247-AS248</f>
        <v>-614.37905592194852</v>
      </c>
      <c r="AT247" s="160">
        <f t="shared" ref="AT247" si="872">AS247-AT248</f>
        <v>-750.3162948128039</v>
      </c>
      <c r="AU247" s="160">
        <f t="shared" ref="AU247" si="873">AT247-AU248</f>
        <v>-906.64411953728768</v>
      </c>
      <c r="AV247" s="160">
        <f t="shared" ref="AV247" si="874">AU247-AV248</f>
        <v>-1086.4211179704439</v>
      </c>
      <c r="AW247" s="160">
        <f t="shared" ref="AW247" si="875">AV247-AW248</f>
        <v>-1293.1646661685736</v>
      </c>
      <c r="AX247" s="160">
        <f t="shared" ref="AX247" si="876">AW247-AX248</f>
        <v>-1530.9197465964228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81.233091271536367</v>
      </c>
      <c r="T248" s="156" t="s">
        <v>409</v>
      </c>
      <c r="U248" s="156"/>
      <c r="V248" s="10"/>
      <c r="W248" s="10"/>
      <c r="X248" s="161">
        <f>V174*(1+$N$248)</f>
        <v>6.2803805025632391</v>
      </c>
      <c r="Y248" s="161">
        <f>X248*(1+$N$248)</f>
        <v>7.2224375779477246</v>
      </c>
      <c r="Z248" s="161">
        <f t="shared" ref="Z248:AG248" si="877">Y248*(1+$N$248)</f>
        <v>8.3058032146398819</v>
      </c>
      <c r="AA248" s="161">
        <f t="shared" si="877"/>
        <v>9.5516736968358629</v>
      </c>
      <c r="AB248" s="161">
        <f t="shared" si="877"/>
        <v>10.984424751361242</v>
      </c>
      <c r="AC248" s="161">
        <f t="shared" si="877"/>
        <v>12.632088464065427</v>
      </c>
      <c r="AD248" s="161">
        <f t="shared" si="877"/>
        <v>14.52690173367524</v>
      </c>
      <c r="AE248" s="161">
        <f t="shared" si="877"/>
        <v>16.705936993726525</v>
      </c>
      <c r="AF248" s="161">
        <f t="shared" si="877"/>
        <v>19.211827542785503</v>
      </c>
      <c r="AG248" s="161">
        <f t="shared" si="877"/>
        <v>22.093601674203327</v>
      </c>
      <c r="AH248" s="161">
        <f t="shared" ref="AH248" si="878">AG248*(1+$N$248)</f>
        <v>25.407641925333824</v>
      </c>
      <c r="AI248" s="161">
        <f t="shared" ref="AI248" si="879">AH248*(1+$N$248)</f>
        <v>29.218788214133895</v>
      </c>
      <c r="AJ248" s="161">
        <f t="shared" ref="AJ248" si="880">AI248*(1+$N$248)</f>
        <v>33.601606446253975</v>
      </c>
      <c r="AK248" s="161">
        <f t="shared" ref="AK248" si="881">AJ248*(1+$N$248)</f>
        <v>38.641847413192068</v>
      </c>
      <c r="AL248" s="161">
        <f t="shared" ref="AL248" si="882">AK248*(1+$N$248)</f>
        <v>44.438124525170878</v>
      </c>
      <c r="AM248" s="161">
        <f t="shared" ref="AM248" si="883">AL248*(1+$N$248)</f>
        <v>51.103843203946504</v>
      </c>
      <c r="AN248" s="161">
        <f t="shared" ref="AN248" si="884">AM248*(1+$N$248)</f>
        <v>58.769419684538477</v>
      </c>
      <c r="AO248" s="161">
        <f t="shared" ref="AO248" si="885">AN248*(1+$N$248)</f>
        <v>67.584832637219236</v>
      </c>
      <c r="AP248" s="161">
        <f t="shared" ref="AP248" si="886">AO248*(1+$N$248)</f>
        <v>77.722557532802114</v>
      </c>
      <c r="AQ248" s="161">
        <f t="shared" ref="AQ248" si="887">AP248*(1+$N$248)</f>
        <v>89.380941162722422</v>
      </c>
      <c r="AR248" s="161">
        <f t="shared" ref="AR248" si="888">AQ248*(1+$N$248)</f>
        <v>102.78808233713077</v>
      </c>
      <c r="AS248" s="161">
        <f t="shared" ref="AS248" si="889">AR248*(1+$N$248)</f>
        <v>118.20629468770038</v>
      </c>
      <c r="AT248" s="161">
        <f t="shared" ref="AT248" si="890">AS248*(1+$N$248)</f>
        <v>135.93723889085541</v>
      </c>
      <c r="AU248" s="161">
        <f t="shared" ref="AU248" si="891">AT248*(1+$N$248)</f>
        <v>156.32782472448372</v>
      </c>
      <c r="AV248" s="161">
        <f t="shared" ref="AV248" si="892">AU248*(1+$N$248)</f>
        <v>179.77699843315625</v>
      </c>
      <c r="AW248" s="161">
        <f t="shared" ref="AW248" si="893">AV248*(1+$N$248)</f>
        <v>206.74354819812967</v>
      </c>
      <c r="AX248" s="161">
        <f t="shared" ref="AX248" si="894">AW248*(1+$N$248)</f>
        <v>237.75508042784909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19.088157894736842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297.44525547445249</v>
      </c>
      <c r="T249" s="156" t="s">
        <v>409</v>
      </c>
      <c r="U249" s="156"/>
      <c r="V249" s="10"/>
      <c r="W249" s="10"/>
      <c r="X249" s="161">
        <f>T76*(1+$N$249)</f>
        <v>26.809815950920242</v>
      </c>
      <c r="Y249" s="161">
        <f>X249*(1+$N$249)</f>
        <v>30.831288343558278</v>
      </c>
      <c r="Z249" s="161">
        <f t="shared" ref="Z249:AG249" si="895">Y249*(1+$N$249)</f>
        <v>35.45598159509202</v>
      </c>
      <c r="AA249" s="161">
        <f t="shared" si="895"/>
        <v>40.774378834355822</v>
      </c>
      <c r="AB249" s="161">
        <f t="shared" si="895"/>
        <v>46.89053565950919</v>
      </c>
      <c r="AC249" s="161">
        <f t="shared" si="895"/>
        <v>53.924116008435561</v>
      </c>
      <c r="AD249" s="161">
        <f t="shared" si="895"/>
        <v>62.012733409700893</v>
      </c>
      <c r="AE249" s="161">
        <f t="shared" si="895"/>
        <v>71.314643421156021</v>
      </c>
      <c r="AF249" s="161">
        <f t="shared" si="895"/>
        <v>82.011839934329416</v>
      </c>
      <c r="AG249" s="161">
        <f t="shared" si="895"/>
        <v>94.313615924478825</v>
      </c>
      <c r="AH249" s="161">
        <f t="shared" ref="AH249" si="896">AG249*(1+$N$249)</f>
        <v>108.46065831315065</v>
      </c>
      <c r="AI249" s="161">
        <f t="shared" ref="AI249" si="897">AH249*(1+$N$249)</f>
        <v>124.72975706012323</v>
      </c>
      <c r="AJ249" s="161">
        <f t="shared" ref="AJ249" si="898">AI249*(1+$N$249)</f>
        <v>143.43922061914171</v>
      </c>
      <c r="AK249" s="161">
        <f t="shared" ref="AK249" si="899">AJ249*(1+$N$249)</f>
        <v>164.95510371201294</v>
      </c>
      <c r="AL249" s="161">
        <f t="shared" ref="AL249" si="900">AK249*(1+$N$249)</f>
        <v>189.69836926881487</v>
      </c>
      <c r="AM249" s="161">
        <f t="shared" ref="AM249" si="901">AL249*(1+$N$249)</f>
        <v>218.15312465913709</v>
      </c>
      <c r="AN249" s="161">
        <f t="shared" ref="AN249" si="902">AM249*(1+$N$249)</f>
        <v>250.87609335800764</v>
      </c>
      <c r="AO249" s="161">
        <f t="shared" ref="AO249" si="903">AN249*(1+$N$249)</f>
        <v>288.50750736170875</v>
      </c>
      <c r="AP249" s="161">
        <f t="shared" ref="AP249" si="904">AO249*(1+$N$249)</f>
        <v>331.78363346596501</v>
      </c>
      <c r="AQ249" s="161">
        <f t="shared" ref="AQ249" si="905">AP249*(1+$N$249)</f>
        <v>381.55117848585974</v>
      </c>
      <c r="AR249" s="161">
        <f t="shared" ref="AR249" si="906">AQ249*(1+$N$249)</f>
        <v>438.78385525873864</v>
      </c>
      <c r="AS249" s="161">
        <f t="shared" ref="AS249" si="907">AR249*(1+$N$249)</f>
        <v>504.60143354754939</v>
      </c>
      <c r="AT249" s="161">
        <f t="shared" ref="AT249" si="908">AS249*(1+$N$249)</f>
        <v>580.29164857968181</v>
      </c>
      <c r="AU249" s="161">
        <f t="shared" ref="AU249" si="909">AT249*(1+$N$249)</f>
        <v>667.33539586663403</v>
      </c>
      <c r="AV249" s="161">
        <f t="shared" ref="AV249" si="910">AU249*(1+$N$249)</f>
        <v>767.43570524662903</v>
      </c>
      <c r="AW249" s="161">
        <f t="shared" ref="AW249" si="911">AV249*(1+$N$249)</f>
        <v>882.55106103362334</v>
      </c>
      <c r="AX249" s="161">
        <f t="shared" ref="AX249" si="912">AW249*(1+$N$249)</f>
        <v>1014.9337201886667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223.19018404907976</v>
      </c>
      <c r="Y250" s="160">
        <f>X250-Y249</f>
        <v>192.35889570552149</v>
      </c>
      <c r="Z250" s="160">
        <f t="shared" ref="Z250:AE250" si="913">Y250-Z249</f>
        <v>156.90291411042946</v>
      </c>
      <c r="AA250" s="160">
        <f t="shared" si="913"/>
        <v>116.12853527607365</v>
      </c>
      <c r="AB250" s="160">
        <f t="shared" si="913"/>
        <v>69.237999616564451</v>
      </c>
      <c r="AC250" s="160">
        <f t="shared" si="913"/>
        <v>15.31388360812889</v>
      </c>
      <c r="AD250" s="160">
        <f t="shared" si="913"/>
        <v>-46.698849801572003</v>
      </c>
      <c r="AE250" s="160">
        <f t="shared" si="913"/>
        <v>-118.01349322272802</v>
      </c>
      <c r="AF250" s="160">
        <f>AE250-AF249</f>
        <v>-200.02533315705745</v>
      </c>
      <c r="AG250" s="160">
        <f t="shared" ref="AG250" si="914">AF250-AG249</f>
        <v>-294.33894908153627</v>
      </c>
      <c r="AH250" s="160">
        <f t="shared" ref="AH250" si="915">AG250-AH249</f>
        <v>-402.79960739468692</v>
      </c>
      <c r="AI250" s="160">
        <f t="shared" ref="AI250" si="916">AH250-AI249</f>
        <v>-527.52936445481009</v>
      </c>
      <c r="AJ250" s="160">
        <f t="shared" ref="AJ250" si="917">AI250-AJ249</f>
        <v>-670.96858507395177</v>
      </c>
      <c r="AK250" s="160">
        <f t="shared" ref="AK250" si="918">AJ250-AK249</f>
        <v>-835.92368878596471</v>
      </c>
      <c r="AL250" s="160">
        <f t="shared" ref="AL250" si="919">AK250-AL249</f>
        <v>-1025.6220580547797</v>
      </c>
      <c r="AM250" s="160">
        <f t="shared" ref="AM250" si="920">AL250-AM249</f>
        <v>-1243.7751827139168</v>
      </c>
      <c r="AN250" s="160">
        <f t="shared" ref="AN250" si="921">AM250-AN249</f>
        <v>-1494.6512760719245</v>
      </c>
      <c r="AO250" s="160">
        <f t="shared" ref="AO250" si="922">AN250-AO249</f>
        <v>-1783.1587834336333</v>
      </c>
      <c r="AP250" s="160">
        <f t="shared" ref="AP250" si="923">AO250-AP249</f>
        <v>-2114.9424168995984</v>
      </c>
      <c r="AQ250" s="160">
        <f t="shared" ref="AQ250" si="924">AP250-AQ249</f>
        <v>-2496.4935953854583</v>
      </c>
      <c r="AR250" s="160">
        <f t="shared" ref="AR250" si="925">AQ250-AR249</f>
        <v>-2935.277450644197</v>
      </c>
      <c r="AS250" s="160">
        <f t="shared" ref="AS250" si="926">AR250-AS249</f>
        <v>-3439.8788841917462</v>
      </c>
      <c r="AT250" s="160">
        <f t="shared" ref="AT250" si="927">AS250-AT249</f>
        <v>-4020.170532771428</v>
      </c>
      <c r="AU250" s="160">
        <f t="shared" ref="AU250" si="928">AT250-AU249</f>
        <v>-4687.505928638062</v>
      </c>
      <c r="AV250" s="160">
        <f t="shared" ref="AV250" si="929">AU250-AV249</f>
        <v>-5454.9416338846913</v>
      </c>
      <c r="AW250" s="160">
        <f t="shared" ref="AW250" si="930">AV250-AW249</f>
        <v>-6337.4926949183146</v>
      </c>
      <c r="AX250" s="160">
        <f t="shared" ref="AX250" si="931">AW250-AX249</f>
        <v>-7352.426415106981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>
        <f t="shared" ref="H252:I252" si="932">H10/H7</f>
        <v>0.24308062575210587</v>
      </c>
      <c r="I252" s="15">
        <f t="shared" si="932"/>
        <v>0.39636363636363636</v>
      </c>
      <c r="J252" s="15">
        <f t="shared" ref="J252:T252" si="933">J10/J7</f>
        <v>0.39636363636363636</v>
      </c>
      <c r="K252" s="15">
        <f t="shared" si="933"/>
        <v>3.7484885126964934E-2</v>
      </c>
      <c r="L252" s="15">
        <f t="shared" si="933"/>
        <v>0.22285714285714286</v>
      </c>
      <c r="M252" s="15">
        <f t="shared" si="933"/>
        <v>0.98285714285714287</v>
      </c>
      <c r="N252" s="15">
        <f t="shared" si="933"/>
        <v>1.5092105263157896</v>
      </c>
      <c r="O252" s="15">
        <f t="shared" si="933"/>
        <v>0.81632653061224492</v>
      </c>
      <c r="P252" s="15">
        <f t="shared" si="933"/>
        <v>2.0426439232409379</v>
      </c>
      <c r="Q252" s="15">
        <f t="shared" si="933"/>
        <v>3.7142857142857144</v>
      </c>
      <c r="R252" s="15">
        <f t="shared" si="933"/>
        <v>3.5</v>
      </c>
      <c r="S252" s="15">
        <f t="shared" si="933"/>
        <v>0.26874999999999999</v>
      </c>
      <c r="T252" s="15">
        <f t="shared" si="933"/>
        <v>1.040909090909091</v>
      </c>
      <c r="U252" s="15">
        <f t="shared" ref="U252" si="934">U10/U7</f>
        <v>1.5458715596330275</v>
      </c>
      <c r="V252" s="101" t="e">
        <f t="shared" ref="V252:V254" si="935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>
        <f t="shared" ref="H253:I253" si="936">H10/H12</f>
        <v>5.1794871794871797</v>
      </c>
      <c r="I253" s="96">
        <f t="shared" si="936"/>
        <v>7.4318181818181817</v>
      </c>
      <c r="J253" s="96">
        <f t="shared" ref="J253:T253" si="937">J10/J12</f>
        <v>7.4318181818181817</v>
      </c>
      <c r="K253" s="96">
        <f t="shared" si="937"/>
        <v>0.59615384615384615</v>
      </c>
      <c r="L253" s="96">
        <f t="shared" si="937"/>
        <v>0.45747800586510262</v>
      </c>
      <c r="M253" s="96">
        <f t="shared" si="937"/>
        <v>6.198198198198198</v>
      </c>
      <c r="N253" s="96">
        <f t="shared" si="937"/>
        <v>3.0916442048517521</v>
      </c>
      <c r="O253" s="96">
        <f t="shared" si="937"/>
        <v>3.7647058823529416</v>
      </c>
      <c r="P253" s="96">
        <f t="shared" si="937"/>
        <v>10.031413612565446</v>
      </c>
      <c r="Q253" s="96">
        <f t="shared" si="937"/>
        <v>22.608695652173914</v>
      </c>
      <c r="R253" s="96">
        <f t="shared" si="937"/>
        <v>2.8592647604901598</v>
      </c>
      <c r="S253" s="96">
        <f t="shared" si="937"/>
        <v>0.55128205128205132</v>
      </c>
      <c r="T253" s="96">
        <f t="shared" si="937"/>
        <v>5.7249999999999996</v>
      </c>
      <c r="U253" s="96">
        <f t="shared" ref="U253" si="938">U10/U12</f>
        <v>8.6410256410256405</v>
      </c>
      <c r="V253" s="101" t="e">
        <f t="shared" si="935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>
        <f t="shared" ref="H254:I254" si="939">H10/(H12+H13)</f>
        <v>0.60298507462686568</v>
      </c>
      <c r="I254" s="15">
        <f t="shared" si="939"/>
        <v>0.96460176991150437</v>
      </c>
      <c r="J254" s="15">
        <f t="shared" ref="J254:T254" si="940">J10/(J12+J13)</f>
        <v>0.96460176991150437</v>
      </c>
      <c r="K254" s="15">
        <f t="shared" si="940"/>
        <v>0.59615384615384615</v>
      </c>
      <c r="L254" s="15">
        <f t="shared" si="940"/>
        <v>0.45747800586510262</v>
      </c>
      <c r="M254" s="15">
        <f t="shared" si="940"/>
        <v>6.198198198198198</v>
      </c>
      <c r="N254" s="15">
        <f t="shared" si="940"/>
        <v>3.0916442048517521</v>
      </c>
      <c r="O254" s="15">
        <f t="shared" si="940"/>
        <v>3.7647058823529416</v>
      </c>
      <c r="P254" s="15">
        <f t="shared" si="940"/>
        <v>10.031413612565446</v>
      </c>
      <c r="Q254" s="15">
        <f t="shared" si="940"/>
        <v>22.608695652173914</v>
      </c>
      <c r="R254" s="15">
        <f t="shared" si="940"/>
        <v>2.8592647604901598</v>
      </c>
      <c r="S254" s="15">
        <f t="shared" si="940"/>
        <v>0.55022392834293021</v>
      </c>
      <c r="T254" s="15">
        <f t="shared" si="940"/>
        <v>5.7036114570361152</v>
      </c>
      <c r="U254" s="15">
        <f t="shared" ref="U254" si="941">U10/(U12+U13)</f>
        <v>8.601327207759061</v>
      </c>
      <c r="V254" s="101" t="e">
        <f t="shared" si="935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5" t="s">
        <v>281</v>
      </c>
      <c r="N257" s="315"/>
      <c r="O257" s="315"/>
      <c r="P257" s="316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/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0</v>
      </c>
      <c r="K259" s="152">
        <f>J259+D260</f>
        <v>0</v>
      </c>
      <c r="L259" s="10"/>
      <c r="M259" s="142" t="s">
        <v>283</v>
      </c>
      <c r="N259" s="142"/>
      <c r="O259" s="11">
        <v>1</v>
      </c>
      <c r="P259" s="148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/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0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0</v>
      </c>
      <c r="L261" s="10"/>
      <c r="M261" s="142" t="s">
        <v>285</v>
      </c>
      <c r="N261" s="142"/>
      <c r="O261" s="143">
        <f>O259*O260</f>
        <v>1</v>
      </c>
      <c r="P261" s="148">
        <f>O261</f>
        <v>1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42">G262/H262</f>
        <v>0</v>
      </c>
      <c r="J262" s="142">
        <f t="shared" ref="J262:J264" si="943">I262*K261</f>
        <v>0</v>
      </c>
      <c r="K262" s="142">
        <f t="shared" ref="K262:K264" si="944">J262+K261</f>
        <v>0</v>
      </c>
      <c r="L262" s="10"/>
      <c r="M262" s="142" t="s">
        <v>287</v>
      </c>
      <c r="N262" s="142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42"/>
        <v>0</v>
      </c>
      <c r="J263" s="142">
        <f t="shared" si="943"/>
        <v>0</v>
      </c>
      <c r="K263" s="142">
        <f t="shared" si="944"/>
        <v>0</v>
      </c>
      <c r="L263" s="10"/>
      <c r="M263" s="142" t="s">
        <v>288</v>
      </c>
      <c r="N263" s="142"/>
      <c r="O263" s="143">
        <f>O262*O260</f>
        <v>1</v>
      </c>
      <c r="P263" s="143">
        <f>P262*P260</f>
        <v>1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42"/>
        <v>0</v>
      </c>
      <c r="J264" s="142">
        <f t="shared" si="943"/>
        <v>0</v>
      </c>
      <c r="K264" s="142">
        <f t="shared" si="944"/>
        <v>0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42"/>
        <v>10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1</v>
      </c>
      <c r="P266" s="145">
        <f>P263/P261</f>
        <v>1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/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/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0</v>
      </c>
      <c r="K268" s="152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0</v>
      </c>
      <c r="E269" s="142"/>
      <c r="F269" s="142"/>
      <c r="G269" s="142"/>
      <c r="H269" s="142"/>
      <c r="I269" s="144" t="s">
        <v>329</v>
      </c>
      <c r="J269" s="142"/>
      <c r="K269" s="142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0</v>
      </c>
      <c r="K270" s="142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 t="e">
        <f>D269/D261</f>
        <v>#DIV/0!</v>
      </c>
      <c r="E271" s="151"/>
      <c r="F271" s="151"/>
      <c r="G271" s="142"/>
      <c r="H271" s="142"/>
      <c r="I271" s="144" t="s">
        <v>329</v>
      </c>
      <c r="J271" s="142"/>
      <c r="K271" s="142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6" t="s">
        <v>15</v>
      </c>
      <c r="E274" s="307"/>
      <c r="F274" s="307"/>
      <c r="G274" s="307"/>
      <c r="H274" s="307"/>
      <c r="I274" s="307"/>
      <c r="J274" s="308"/>
      <c r="K274" s="10"/>
      <c r="L274" s="306" t="s">
        <v>334</v>
      </c>
      <c r="M274" s="307"/>
      <c r="N274" s="308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8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9" t="s">
        <v>15</v>
      </c>
      <c r="K5" s="279"/>
      <c r="M5" s="279" t="s">
        <v>53</v>
      </c>
      <c r="N5" s="279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9" t="s">
        <v>24</v>
      </c>
      <c r="K14" s="279"/>
      <c r="L14" s="279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9" t="s">
        <v>15</v>
      </c>
      <c r="S5" s="279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9" t="s">
        <v>24</v>
      </c>
      <c r="S14" s="279"/>
      <c r="T14" s="279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9" t="s">
        <v>15</v>
      </c>
      <c r="C2" s="279"/>
      <c r="E2" s="279" t="s">
        <v>53</v>
      </c>
      <c r="F2" s="279"/>
      <c r="H2" s="320" t="s">
        <v>24</v>
      </c>
      <c r="I2" s="321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7" t="s">
        <v>56</v>
      </c>
      <c r="E10" s="318"/>
      <c r="F10" s="318"/>
      <c r="G10" s="318"/>
      <c r="H10" s="319"/>
      <c r="I10" s="317" t="s">
        <v>60</v>
      </c>
      <c r="J10" s="318"/>
      <c r="K10" s="318"/>
      <c r="L10" s="319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C29" sqref="C2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2" t="s">
        <v>373</v>
      </c>
      <c r="C3" s="323"/>
      <c r="F3" s="322" t="s">
        <v>374</v>
      </c>
      <c r="G3" s="323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2018-10-03T02:59:27Z</dcterms:modified>
</cp:coreProperties>
</file>
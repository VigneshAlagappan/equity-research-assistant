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G63" i="18"/>
  <c r="G61"/>
  <c r="G59"/>
  <c r="G57"/>
  <c r="G55"/>
  <c r="G53"/>
  <c r="G34"/>
  <c r="G33"/>
  <c r="G29"/>
  <c r="G27"/>
  <c r="G25"/>
  <c r="G18"/>
  <c r="G16"/>
  <c r="G15"/>
  <c r="G14"/>
  <c r="G13"/>
  <c r="G12"/>
  <c r="G10"/>
  <c r="G9"/>
  <c r="G7"/>
  <c r="G6"/>
  <c r="C1"/>
  <c r="AI47" l="1"/>
  <c r="W47"/>
  <c r="X47" s="1"/>
  <c r="Y47" s="1"/>
  <c r="Z47" s="1"/>
  <c r="AA47" s="1"/>
  <c r="AB47" s="1"/>
  <c r="AC47" s="1"/>
  <c r="AD47" s="1"/>
  <c r="AE47" s="1"/>
  <c r="AF47" s="1"/>
  <c r="AG47" s="1"/>
  <c r="AH47" s="1"/>
  <c r="V47"/>
  <c r="U48"/>
  <c r="T48"/>
  <c r="S48"/>
  <c r="R48"/>
  <c r="Q48"/>
  <c r="P48"/>
  <c r="O48"/>
  <c r="N48"/>
  <c r="M48"/>
  <c r="L48"/>
  <c r="K48"/>
  <c r="J48"/>
  <c r="I48"/>
  <c r="H48"/>
  <c r="G48"/>
  <c r="AI57"/>
  <c r="W57"/>
  <c r="X57" s="1"/>
  <c r="Y57" s="1"/>
  <c r="Z57" s="1"/>
  <c r="AA57" s="1"/>
  <c r="AB57" s="1"/>
  <c r="AC57" s="1"/>
  <c r="AD57" s="1"/>
  <c r="AE57" s="1"/>
  <c r="AF57" s="1"/>
  <c r="AG57" s="1"/>
  <c r="V57"/>
  <c r="U58"/>
  <c r="T58"/>
  <c r="S58"/>
  <c r="R58"/>
  <c r="Q58"/>
  <c r="P58"/>
  <c r="O58"/>
  <c r="N58"/>
  <c r="M58"/>
  <c r="L58"/>
  <c r="K58"/>
  <c r="J58"/>
  <c r="I58"/>
  <c r="H58"/>
  <c r="G58"/>
  <c r="M28" i="20"/>
  <c r="G106" i="18"/>
  <c r="H106"/>
  <c r="I106"/>
  <c r="J106"/>
  <c r="K106"/>
  <c r="L106"/>
  <c r="M106"/>
  <c r="N106"/>
  <c r="O106"/>
  <c r="P106"/>
  <c r="Q106"/>
  <c r="R106"/>
  <c r="S106"/>
  <c r="T106"/>
  <c r="U106"/>
  <c r="U254"/>
  <c r="V254" s="1"/>
  <c r="U253"/>
  <c r="V253" s="1"/>
  <c r="U252"/>
  <c r="V252" s="1"/>
  <c r="X61"/>
  <c r="X63"/>
  <c r="V205"/>
  <c r="S174"/>
  <c r="S248" s="1"/>
  <c r="T174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3"/>
  <c r="V55"/>
  <c r="V59"/>
  <c r="V61"/>
  <c r="V63"/>
  <c r="V65"/>
  <c r="V66"/>
  <c r="V67"/>
  <c r="V106"/>
  <c r="V6"/>
  <c r="U70"/>
  <c r="U71"/>
  <c r="U72"/>
  <c r="U74"/>
  <c r="U75"/>
  <c r="U76"/>
  <c r="U77"/>
  <c r="U78"/>
  <c r="U79"/>
  <c r="U80"/>
  <c r="U82"/>
  <c r="U83"/>
  <c r="U84"/>
  <c r="U86"/>
  <c r="U87"/>
  <c r="U88"/>
  <c r="U89"/>
  <c r="U90"/>
  <c r="U92"/>
  <c r="U94"/>
  <c r="U96" s="1"/>
  <c r="U97"/>
  <c r="U98"/>
  <c r="U99"/>
  <c r="U100"/>
  <c r="U102"/>
  <c r="U103"/>
  <c r="U104"/>
  <c r="U109"/>
  <c r="U110"/>
  <c r="U111"/>
  <c r="U112"/>
  <c r="U113"/>
  <c r="U114"/>
  <c r="U116"/>
  <c r="U122" s="1"/>
  <c r="U117"/>
  <c r="U118"/>
  <c r="U124" s="1"/>
  <c r="U119"/>
  <c r="U120"/>
  <c r="U126" s="1"/>
  <c r="U123"/>
  <c r="U125"/>
  <c r="U128"/>
  <c r="U129"/>
  <c r="U130"/>
  <c r="U131"/>
  <c r="U132"/>
  <c r="U133"/>
  <c r="U134"/>
  <c r="U135"/>
  <c r="U136"/>
  <c r="U138"/>
  <c r="U139"/>
  <c r="U140"/>
  <c r="U141"/>
  <c r="U143"/>
  <c r="U144" s="1"/>
  <c r="U145" s="1"/>
  <c r="U146" s="1"/>
  <c r="U149"/>
  <c r="U150"/>
  <c r="U151"/>
  <c r="U153"/>
  <c r="U154"/>
  <c r="U155"/>
  <c r="U158"/>
  <c r="U159"/>
  <c r="U160"/>
  <c r="U161"/>
  <c r="U163"/>
  <c r="U164"/>
  <c r="U166"/>
  <c r="U167" s="1"/>
  <c r="U168"/>
  <c r="U170"/>
  <c r="U171"/>
  <c r="U206"/>
  <c r="U207"/>
  <c r="U208"/>
  <c r="U209"/>
  <c r="U210"/>
  <c r="U211"/>
  <c r="U212"/>
  <c r="U213"/>
  <c r="U215"/>
  <c r="U216"/>
  <c r="U218"/>
  <c r="U219"/>
  <c r="U220"/>
  <c r="U221" s="1"/>
  <c r="U224"/>
  <c r="U223" s="1"/>
  <c r="U229"/>
  <c r="U228" s="1"/>
  <c r="U8"/>
  <c r="U11"/>
  <c r="U26"/>
  <c r="U28"/>
  <c r="U30"/>
  <c r="U37"/>
  <c r="U39"/>
  <c r="U44"/>
  <c r="U46"/>
  <c r="U50"/>
  <c r="U54"/>
  <c r="U56"/>
  <c r="U60"/>
  <c r="U62"/>
  <c r="U64"/>
  <c r="P60"/>
  <c r="O60"/>
  <c r="N60"/>
  <c r="M60"/>
  <c r="L60"/>
  <c r="K60"/>
  <c r="J60"/>
  <c r="I60"/>
  <c r="H60"/>
  <c r="G60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AJ47" l="1"/>
  <c r="AJ57"/>
  <c r="AH57"/>
  <c r="S249"/>
  <c r="U147"/>
  <c r="U230"/>
  <c r="U225"/>
  <c r="G215"/>
  <c r="V215" s="1"/>
  <c r="G216"/>
  <c r="V216" s="1"/>
  <c r="G62"/>
  <c r="G64"/>
  <c r="G70"/>
  <c r="G206" s="1"/>
  <c r="V206" s="1"/>
  <c r="G71"/>
  <c r="V71" s="1"/>
  <c r="G72"/>
  <c r="G114" s="1"/>
  <c r="V114" s="1"/>
  <c r="G74"/>
  <c r="G208" s="1"/>
  <c r="V208" s="1"/>
  <c r="G75"/>
  <c r="G209" s="1"/>
  <c r="V209" s="1"/>
  <c r="G76"/>
  <c r="V76" s="1"/>
  <c r="G77"/>
  <c r="V77" s="1"/>
  <c r="G78"/>
  <c r="V78" s="1"/>
  <c r="G79"/>
  <c r="G210" s="1"/>
  <c r="V210" s="1"/>
  <c r="G80"/>
  <c r="V80" s="1"/>
  <c r="G82"/>
  <c r="V82" s="1"/>
  <c r="G83"/>
  <c r="V83" s="1"/>
  <c r="G84"/>
  <c r="G213" s="1"/>
  <c r="V213" s="1"/>
  <c r="G86"/>
  <c r="V86" s="1"/>
  <c r="G87"/>
  <c r="V87" s="1"/>
  <c r="G89"/>
  <c r="V89" s="1"/>
  <c r="G90"/>
  <c r="G212" s="1"/>
  <c r="V212" s="1"/>
  <c r="G92"/>
  <c r="G143" s="1"/>
  <c r="G144" s="1"/>
  <c r="G145" s="1"/>
  <c r="G146" s="1"/>
  <c r="V146" s="1"/>
  <c r="G94"/>
  <c r="G96" s="1"/>
  <c r="V96" s="1"/>
  <c r="G97"/>
  <c r="V97" s="1"/>
  <c r="G98"/>
  <c r="V98" s="1"/>
  <c r="G99"/>
  <c r="V99" s="1"/>
  <c r="G100"/>
  <c r="V100" s="1"/>
  <c r="G102"/>
  <c r="G168" s="1"/>
  <c r="V168" s="1"/>
  <c r="G103"/>
  <c r="V103" s="1"/>
  <c r="G104"/>
  <c r="V104" s="1"/>
  <c r="G109"/>
  <c r="V109" s="1"/>
  <c r="G110"/>
  <c r="V110" s="1"/>
  <c r="G111"/>
  <c r="V111" s="1"/>
  <c r="G112"/>
  <c r="V112" s="1"/>
  <c r="G113"/>
  <c r="V113" s="1"/>
  <c r="G116"/>
  <c r="G122" s="1"/>
  <c r="V122" s="1"/>
  <c r="G117"/>
  <c r="G123" s="1"/>
  <c r="V123" s="1"/>
  <c r="G118"/>
  <c r="G124" s="1"/>
  <c r="V124" s="1"/>
  <c r="G119"/>
  <c r="G125" s="1"/>
  <c r="V125" s="1"/>
  <c r="G120"/>
  <c r="G126" s="1"/>
  <c r="V126" s="1"/>
  <c r="G138"/>
  <c r="V138" s="1"/>
  <c r="G139"/>
  <c r="V139" s="1"/>
  <c r="G140"/>
  <c r="V140" s="1"/>
  <c r="G141"/>
  <c r="V141" s="1"/>
  <c r="G149"/>
  <c r="V149" s="1"/>
  <c r="G150"/>
  <c r="V150" s="1"/>
  <c r="G151"/>
  <c r="V151" s="1"/>
  <c r="G153"/>
  <c r="V153" s="1"/>
  <c r="G154"/>
  <c r="V154" s="1"/>
  <c r="G155"/>
  <c r="V155" s="1"/>
  <c r="G158"/>
  <c r="V158" s="1"/>
  <c r="G159"/>
  <c r="V159" s="1"/>
  <c r="G160"/>
  <c r="V160" s="1"/>
  <c r="G161"/>
  <c r="V161" s="1"/>
  <c r="G163"/>
  <c r="V163" s="1"/>
  <c r="G164"/>
  <c r="V164" s="1"/>
  <c r="G166"/>
  <c r="G167" s="1"/>
  <c r="V167" s="1"/>
  <c r="G170"/>
  <c r="V170" s="1"/>
  <c r="G171"/>
  <c r="V171" s="1"/>
  <c r="AI236"/>
  <c r="AJ235"/>
  <c r="AI235"/>
  <c r="AI234"/>
  <c r="AI233"/>
  <c r="R62"/>
  <c r="Q62"/>
  <c r="P62"/>
  <c r="O62"/>
  <c r="N62"/>
  <c r="M62"/>
  <c r="L62"/>
  <c r="K62"/>
  <c r="J62"/>
  <c r="I62"/>
  <c r="H62"/>
  <c r="R60"/>
  <c r="Q60"/>
  <c r="R56"/>
  <c r="Q56"/>
  <c r="R54"/>
  <c r="Q54"/>
  <c r="R30"/>
  <c r="Q30"/>
  <c r="R28"/>
  <c r="Q28"/>
  <c r="R26"/>
  <c r="Q26"/>
  <c r="R11"/>
  <c r="Q11"/>
  <c r="R8"/>
  <c r="Q8"/>
  <c r="V144" l="1"/>
  <c r="V143"/>
  <c r="V145"/>
  <c r="V102"/>
  <c r="V117"/>
  <c r="V79"/>
  <c r="V90"/>
  <c r="V116"/>
  <c r="V120"/>
  <c r="V72"/>
  <c r="V84"/>
  <c r="V166"/>
  <c r="V94"/>
  <c r="V74"/>
  <c r="V118"/>
  <c r="V70"/>
  <c r="V75"/>
  <c r="V92"/>
  <c r="V119"/>
  <c r="U231"/>
  <c r="U226"/>
  <c r="G207"/>
  <c r="G219" s="1"/>
  <c r="V219" s="1"/>
  <c r="G88"/>
  <c r="G147"/>
  <c r="V147" s="1"/>
  <c r="G218"/>
  <c r="V218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L30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G211" i="18" l="1"/>
  <c r="V211" s="1"/>
  <c r="V88"/>
  <c r="G220"/>
  <c r="V207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221" i="18" l="1"/>
  <c r="V221" s="1"/>
  <c r="V220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7" i="18"/>
  <c r="G279" s="1"/>
  <c r="G280" s="1"/>
  <c r="H252"/>
  <c r="I252"/>
  <c r="H253"/>
  <c r="I253"/>
  <c r="H254"/>
  <c r="I254"/>
  <c r="H215"/>
  <c r="I215"/>
  <c r="H216"/>
  <c r="I216"/>
  <c r="I64"/>
  <c r="H64"/>
  <c r="H70"/>
  <c r="I70"/>
  <c r="I206" s="1"/>
  <c r="H71"/>
  <c r="I71"/>
  <c r="H72"/>
  <c r="I72"/>
  <c r="H74"/>
  <c r="H208" s="1"/>
  <c r="I74"/>
  <c r="I208" s="1"/>
  <c r="H75"/>
  <c r="H209" s="1"/>
  <c r="I75"/>
  <c r="I209" s="1"/>
  <c r="H76"/>
  <c r="I76"/>
  <c r="I207" s="1"/>
  <c r="H77"/>
  <c r="I77"/>
  <c r="H78"/>
  <c r="I78"/>
  <c r="I79"/>
  <c r="I210" s="1"/>
  <c r="H80"/>
  <c r="I80"/>
  <c r="H82"/>
  <c r="I82"/>
  <c r="H83"/>
  <c r="I83"/>
  <c r="H84"/>
  <c r="I84"/>
  <c r="I213" s="1"/>
  <c r="H86"/>
  <c r="I86"/>
  <c r="H87"/>
  <c r="I87"/>
  <c r="H88"/>
  <c r="H211" s="1"/>
  <c r="I88"/>
  <c r="I211" s="1"/>
  <c r="H89"/>
  <c r="I89"/>
  <c r="H90"/>
  <c r="H212" s="1"/>
  <c r="I90"/>
  <c r="I212" s="1"/>
  <c r="H92"/>
  <c r="H143" s="1"/>
  <c r="H144" s="1"/>
  <c r="I92"/>
  <c r="H94"/>
  <c r="I94"/>
  <c r="H96"/>
  <c r="I96"/>
  <c r="H97"/>
  <c r="I97"/>
  <c r="H98"/>
  <c r="I98"/>
  <c r="H99"/>
  <c r="I99"/>
  <c r="H100"/>
  <c r="I100"/>
  <c r="H102"/>
  <c r="I102"/>
  <c r="I168" s="1"/>
  <c r="H103"/>
  <c r="I103"/>
  <c r="I104"/>
  <c r="H109"/>
  <c r="I109"/>
  <c r="H110"/>
  <c r="I110"/>
  <c r="H111"/>
  <c r="I111"/>
  <c r="H112"/>
  <c r="I112"/>
  <c r="H113"/>
  <c r="I113"/>
  <c r="H114"/>
  <c r="I114"/>
  <c r="H116"/>
  <c r="I116"/>
  <c r="H117"/>
  <c r="I117"/>
  <c r="H118"/>
  <c r="I118"/>
  <c r="H119"/>
  <c r="I119"/>
  <c r="H120"/>
  <c r="I120"/>
  <c r="H122"/>
  <c r="I122"/>
  <c r="H123"/>
  <c r="I123"/>
  <c r="H124"/>
  <c r="I124"/>
  <c r="H125"/>
  <c r="I125"/>
  <c r="H126"/>
  <c r="I126"/>
  <c r="H138"/>
  <c r="I138"/>
  <c r="H139"/>
  <c r="I139"/>
  <c r="H140"/>
  <c r="I140"/>
  <c r="H141"/>
  <c r="I141"/>
  <c r="I143"/>
  <c r="I144" s="1"/>
  <c r="I145" s="1"/>
  <c r="I146" s="1"/>
  <c r="H149"/>
  <c r="I149"/>
  <c r="H150"/>
  <c r="I150"/>
  <c r="H151"/>
  <c r="I151"/>
  <c r="H153"/>
  <c r="I153"/>
  <c r="H154"/>
  <c r="I154"/>
  <c r="H155"/>
  <c r="I155"/>
  <c r="H158"/>
  <c r="I158"/>
  <c r="H159"/>
  <c r="I159"/>
  <c r="H160"/>
  <c r="I160"/>
  <c r="H161"/>
  <c r="I161"/>
  <c r="H163"/>
  <c r="I163"/>
  <c r="H164"/>
  <c r="I164"/>
  <c r="H166"/>
  <c r="I166"/>
  <c r="H167"/>
  <c r="I167"/>
  <c r="H168"/>
  <c r="H170"/>
  <c r="I170"/>
  <c r="H171"/>
  <c r="I171"/>
  <c r="J49"/>
  <c r="I49" s="1"/>
  <c r="J45"/>
  <c r="I45" s="1"/>
  <c r="H45" s="1"/>
  <c r="G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J36"/>
  <c r="I36" s="1"/>
  <c r="G46" l="1"/>
  <c r="V45"/>
  <c r="G39"/>
  <c r="V38"/>
  <c r="I147"/>
  <c r="H145"/>
  <c r="H146" s="1"/>
  <c r="H147"/>
  <c r="G40"/>
  <c r="V40" s="1"/>
  <c r="G42"/>
  <c r="V42" s="1"/>
  <c r="G41"/>
  <c r="V41" s="1"/>
  <c r="H43"/>
  <c r="G43" s="1"/>
  <c r="V43" s="1"/>
  <c r="I129"/>
  <c r="I130"/>
  <c r="I131"/>
  <c r="I132"/>
  <c r="I135"/>
  <c r="H49"/>
  <c r="G49" s="1"/>
  <c r="V49" s="1"/>
  <c r="I133"/>
  <c r="I39"/>
  <c r="H39"/>
  <c r="H36"/>
  <c r="G36" s="1"/>
  <c r="V36" s="1"/>
  <c r="I128"/>
  <c r="I136"/>
  <c r="I46"/>
  <c r="H46"/>
  <c r="I219"/>
  <c r="I220"/>
  <c r="I221" s="1"/>
  <c r="I218"/>
  <c r="H218"/>
  <c r="H207"/>
  <c r="H213"/>
  <c r="H206"/>
  <c r="G98" i="20"/>
  <c r="C99" s="1"/>
  <c r="J53"/>
  <c r="P52"/>
  <c r="I100"/>
  <c r="M99"/>
  <c r="N99" s="1"/>
  <c r="J100" s="1"/>
  <c r="B100"/>
  <c r="F99"/>
  <c r="G99" s="1"/>
  <c r="C100" s="1"/>
  <c r="F56"/>
  <c r="G56" s="1"/>
  <c r="H104" i="18"/>
  <c r="H79"/>
  <c r="T133"/>
  <c r="S133"/>
  <c r="R133"/>
  <c r="Q133"/>
  <c r="P133"/>
  <c r="O133"/>
  <c r="N133"/>
  <c r="M133"/>
  <c r="L133"/>
  <c r="K133"/>
  <c r="J133"/>
  <c r="AI49"/>
  <c r="W49"/>
  <c r="T50"/>
  <c r="S50"/>
  <c r="R50"/>
  <c r="Q50"/>
  <c r="P50"/>
  <c r="O50"/>
  <c r="N50"/>
  <c r="M50"/>
  <c r="L50"/>
  <c r="K50"/>
  <c r="J50"/>
  <c r="T134"/>
  <c r="S134"/>
  <c r="R134"/>
  <c r="Q134"/>
  <c r="P134"/>
  <c r="O134"/>
  <c r="N134"/>
  <c r="M134"/>
  <c r="L134"/>
  <c r="K134"/>
  <c r="X49" l="1"/>
  <c r="Y49" s="1"/>
  <c r="Z49" s="1"/>
  <c r="AA49" s="1"/>
  <c r="AB49" s="1"/>
  <c r="AC49" s="1"/>
  <c r="AD49" s="1"/>
  <c r="AE49" s="1"/>
  <c r="AF49" s="1"/>
  <c r="AG49" s="1"/>
  <c r="AH49" s="1"/>
  <c r="G133"/>
  <c r="V133" s="1"/>
  <c r="G50"/>
  <c r="G129"/>
  <c r="V129" s="1"/>
  <c r="G131"/>
  <c r="V131" s="1"/>
  <c r="G135"/>
  <c r="V135" s="1"/>
  <c r="G44"/>
  <c r="G130"/>
  <c r="V130" s="1"/>
  <c r="G132"/>
  <c r="V132" s="1"/>
  <c r="G37"/>
  <c r="G128"/>
  <c r="V128" s="1"/>
  <c r="G136"/>
  <c r="V136" s="1"/>
  <c r="I50"/>
  <c r="H133"/>
  <c r="H50"/>
  <c r="I44"/>
  <c r="H129"/>
  <c r="H130"/>
  <c r="H131"/>
  <c r="H132"/>
  <c r="H135"/>
  <c r="H44"/>
  <c r="I37"/>
  <c r="H128"/>
  <c r="H136"/>
  <c r="H37"/>
  <c r="H219"/>
  <c r="H220"/>
  <c r="H210"/>
  <c r="H56" i="20"/>
  <c r="H75" s="1"/>
  <c r="C57"/>
  <c r="B101"/>
  <c r="F100"/>
  <c r="G100" s="1"/>
  <c r="C101" s="1"/>
  <c r="I101"/>
  <c r="M100"/>
  <c r="N100" s="1"/>
  <c r="J101" s="1"/>
  <c r="M53"/>
  <c r="N53" s="1"/>
  <c r="T130" i="18"/>
  <c r="S130"/>
  <c r="R130"/>
  <c r="Q130"/>
  <c r="P130"/>
  <c r="O130"/>
  <c r="N130"/>
  <c r="M130"/>
  <c r="L130"/>
  <c r="K130"/>
  <c r="K46"/>
  <c r="W51"/>
  <c r="X51" s="1"/>
  <c r="J51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30"/>
  <c r="I51" l="1"/>
  <c r="J134"/>
  <c r="H221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6"/>
  <c r="T135"/>
  <c r="T132"/>
  <c r="T131"/>
  <c r="S136"/>
  <c r="S135"/>
  <c r="S132"/>
  <c r="S131"/>
  <c r="R136"/>
  <c r="R135"/>
  <c r="R132"/>
  <c r="R131"/>
  <c r="Q136"/>
  <c r="Q135"/>
  <c r="Q132"/>
  <c r="Q131"/>
  <c r="P136"/>
  <c r="P135"/>
  <c r="P132"/>
  <c r="P131"/>
  <c r="O136"/>
  <c r="O135"/>
  <c r="O132"/>
  <c r="O131"/>
  <c r="N136"/>
  <c r="N135"/>
  <c r="N132"/>
  <c r="N131"/>
  <c r="M136"/>
  <c r="M135"/>
  <c r="M132"/>
  <c r="M131"/>
  <c r="L136"/>
  <c r="L135"/>
  <c r="L132"/>
  <c r="L131"/>
  <c r="K136"/>
  <c r="K135"/>
  <c r="K132"/>
  <c r="K131"/>
  <c r="J136"/>
  <c r="J132"/>
  <c r="J135"/>
  <c r="J131"/>
  <c r="T129"/>
  <c r="S129"/>
  <c r="R129"/>
  <c r="Q129"/>
  <c r="P129"/>
  <c r="O129"/>
  <c r="N129"/>
  <c r="M129"/>
  <c r="L129"/>
  <c r="K129"/>
  <c r="J129"/>
  <c r="T128"/>
  <c r="S128"/>
  <c r="R128"/>
  <c r="Q128"/>
  <c r="P128"/>
  <c r="O128"/>
  <c r="N128"/>
  <c r="M128"/>
  <c r="L128"/>
  <c r="K128"/>
  <c r="J128"/>
  <c r="AI51"/>
  <c r="AI45"/>
  <c r="AI43"/>
  <c r="AI42"/>
  <c r="AI41"/>
  <c r="AI40"/>
  <c r="AI38"/>
  <c r="AI36"/>
  <c r="W40"/>
  <c r="Y51"/>
  <c r="Z51" s="1"/>
  <c r="AA51" s="1"/>
  <c r="AB51" s="1"/>
  <c r="AC51" s="1"/>
  <c r="AD51" s="1"/>
  <c r="AE51" s="1"/>
  <c r="AF51" s="1"/>
  <c r="AG51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H51"/>
  <c r="G51" s="1"/>
  <c r="I134"/>
  <c r="B103" i="20"/>
  <c r="F102"/>
  <c r="G102" s="1"/>
  <c r="C103" s="1"/>
  <c r="I103"/>
  <c r="M102"/>
  <c r="N102" s="1"/>
  <c r="J103" s="1"/>
  <c r="H77"/>
  <c r="F58"/>
  <c r="G58" s="1"/>
  <c r="C59" s="1"/>
  <c r="N54"/>
  <c r="M54"/>
  <c r="AH51" i="18"/>
  <c r="W43"/>
  <c r="W42"/>
  <c r="W41"/>
  <c r="W38"/>
  <c r="X38" s="1"/>
  <c r="W36"/>
  <c r="X36" s="1"/>
  <c r="X42" l="1"/>
  <c r="Y42" s="1"/>
  <c r="Z42" s="1"/>
  <c r="AA42" s="1"/>
  <c r="AB42" s="1"/>
  <c r="AC42" s="1"/>
  <c r="AD42" s="1"/>
  <c r="AE42" s="1"/>
  <c r="AF42" s="1"/>
  <c r="AG42" s="1"/>
  <c r="AH42" s="1"/>
  <c r="G134"/>
  <c r="V134" s="1"/>
  <c r="V51"/>
  <c r="X4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H134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31"/>
  <c r="Y36"/>
  <c r="X130"/>
  <c r="B219"/>
  <c r="AI231"/>
  <c r="AI228"/>
  <c r="AI230"/>
  <c r="AI229"/>
  <c r="AI226"/>
  <c r="AI225"/>
  <c r="AI224"/>
  <c r="AI223"/>
  <c r="AI218"/>
  <c r="AI221"/>
  <c r="AI220"/>
  <c r="AI219"/>
  <c r="AI216"/>
  <c r="AI215"/>
  <c r="AI212"/>
  <c r="AI211"/>
  <c r="AI214"/>
  <c r="AI213"/>
  <c r="AI210"/>
  <c r="AI209"/>
  <c r="AI208"/>
  <c r="AI207"/>
  <c r="AI206"/>
  <c r="AI205"/>
  <c r="AJ228"/>
  <c r="X132" l="1"/>
  <c r="B105" i="20"/>
  <c r="F104"/>
  <c r="G104" s="1"/>
  <c r="C105" s="1"/>
  <c r="I105"/>
  <c r="M104"/>
  <c r="N104" s="1"/>
  <c r="J105" s="1"/>
  <c r="M55"/>
  <c r="N55"/>
  <c r="H79"/>
  <c r="F60"/>
  <c r="G60" s="1"/>
  <c r="C61" s="1"/>
  <c r="Z38" i="18"/>
  <c r="Y131"/>
  <c r="Z36"/>
  <c r="Y130"/>
  <c r="Y132"/>
  <c r="AJ229"/>
  <c r="T216"/>
  <c r="S216"/>
  <c r="R216"/>
  <c r="Q216"/>
  <c r="P216"/>
  <c r="O216"/>
  <c r="N216"/>
  <c r="M216"/>
  <c r="L216"/>
  <c r="K216"/>
  <c r="J216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31"/>
  <c r="AA36"/>
  <c r="Z132"/>
  <c r="Z130"/>
  <c r="T64"/>
  <c r="S64"/>
  <c r="R64"/>
  <c r="Q64"/>
  <c r="P64"/>
  <c r="O64"/>
  <c r="N64"/>
  <c r="M64"/>
  <c r="L64"/>
  <c r="K64"/>
  <c r="J64"/>
  <c r="T62"/>
  <c r="S62"/>
  <c r="T60"/>
  <c r="S60"/>
  <c r="T56"/>
  <c r="S56"/>
  <c r="T54"/>
  <c r="S54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31"/>
  <c r="AB36"/>
  <c r="AA132"/>
  <c r="AA130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31"/>
  <c r="AC36"/>
  <c r="AB130"/>
  <c r="AB132"/>
  <c r="G224"/>
  <c r="V224" s="1"/>
  <c r="AJ49"/>
  <c r="T229" l="1"/>
  <c r="G229"/>
  <c r="V229" s="1"/>
  <c r="G223"/>
  <c r="V223" s="1"/>
  <c r="G225"/>
  <c r="X229"/>
  <c r="X230" s="1"/>
  <c r="X231" s="1"/>
  <c r="H229"/>
  <c r="I229"/>
  <c r="X224"/>
  <c r="X225" s="1"/>
  <c r="X226" s="1"/>
  <c r="H224"/>
  <c r="I224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31"/>
  <c r="AD36"/>
  <c r="AC130"/>
  <c r="AC132"/>
  <c r="AJ45"/>
  <c r="AJ40"/>
  <c r="AJ51"/>
  <c r="AJ41"/>
  <c r="AJ42"/>
  <c r="AJ43"/>
  <c r="N229"/>
  <c r="N230" s="1"/>
  <c r="N231" s="1"/>
  <c r="S229"/>
  <c r="S228" s="1"/>
  <c r="R229"/>
  <c r="M229"/>
  <c r="L229"/>
  <c r="Q229"/>
  <c r="K229"/>
  <c r="P229"/>
  <c r="J229"/>
  <c r="O229"/>
  <c r="P224"/>
  <c r="S224"/>
  <c r="S223" s="1"/>
  <c r="O224"/>
  <c r="K224"/>
  <c r="R224"/>
  <c r="N224"/>
  <c r="J224"/>
  <c r="Q224"/>
  <c r="M224"/>
  <c r="T224"/>
  <c r="L224"/>
  <c r="AI75"/>
  <c r="AI74"/>
  <c r="AI72"/>
  <c r="J75"/>
  <c r="J209" s="1"/>
  <c r="K75"/>
  <c r="K209" s="1"/>
  <c r="L75"/>
  <c r="L209" s="1"/>
  <c r="M75"/>
  <c r="M209" s="1"/>
  <c r="N75"/>
  <c r="N209" s="1"/>
  <c r="O75"/>
  <c r="O209" s="1"/>
  <c r="P75"/>
  <c r="P209" s="1"/>
  <c r="Q75"/>
  <c r="Q209" s="1"/>
  <c r="R75"/>
  <c r="R209" s="1"/>
  <c r="S75"/>
  <c r="T75"/>
  <c r="J74"/>
  <c r="J208" s="1"/>
  <c r="K74"/>
  <c r="K208" s="1"/>
  <c r="L74"/>
  <c r="L208" s="1"/>
  <c r="M74"/>
  <c r="M208" s="1"/>
  <c r="N74"/>
  <c r="N208" s="1"/>
  <c r="O74"/>
  <c r="O208" s="1"/>
  <c r="P74"/>
  <c r="P208" s="1"/>
  <c r="Q74"/>
  <c r="Q208" s="1"/>
  <c r="R74"/>
  <c r="R208" s="1"/>
  <c r="S74"/>
  <c r="S208" s="1"/>
  <c r="T74"/>
  <c r="G226" l="1"/>
  <c r="V226" s="1"/>
  <c r="V225"/>
  <c r="X228"/>
  <c r="G228"/>
  <c r="V228" s="1"/>
  <c r="G230"/>
  <c r="T223"/>
  <c r="X223"/>
  <c r="T209"/>
  <c r="T208"/>
  <c r="H223"/>
  <c r="H225"/>
  <c r="I228"/>
  <c r="I230"/>
  <c r="I231" s="1"/>
  <c r="I223"/>
  <c r="I225"/>
  <c r="I226" s="1"/>
  <c r="H228"/>
  <c r="H230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31"/>
  <c r="AE36"/>
  <c r="AD132"/>
  <c r="AD130"/>
  <c r="N228"/>
  <c r="S230"/>
  <c r="S231" s="1"/>
  <c r="M225"/>
  <c r="M226" s="1"/>
  <c r="M223"/>
  <c r="R225"/>
  <c r="R226" s="1"/>
  <c r="R223"/>
  <c r="P225"/>
  <c r="P226" s="1"/>
  <c r="P223"/>
  <c r="O230"/>
  <c r="O231" s="1"/>
  <c r="O228"/>
  <c r="Q230"/>
  <c r="Q231" s="1"/>
  <c r="Q228"/>
  <c r="Q225"/>
  <c r="Q226" s="1"/>
  <c r="Q223"/>
  <c r="K225"/>
  <c r="K226" s="1"/>
  <c r="K223"/>
  <c r="J230"/>
  <c r="J231" s="1"/>
  <c r="J228"/>
  <c r="L230"/>
  <c r="L231" s="1"/>
  <c r="L228"/>
  <c r="L225"/>
  <c r="L226" s="1"/>
  <c r="L223"/>
  <c r="J225"/>
  <c r="J226" s="1"/>
  <c r="J223"/>
  <c r="O225"/>
  <c r="O226" s="1"/>
  <c r="O223"/>
  <c r="P230"/>
  <c r="P231" s="1"/>
  <c r="P228"/>
  <c r="M230"/>
  <c r="M231" s="1"/>
  <c r="M228"/>
  <c r="T225"/>
  <c r="T226" s="1"/>
  <c r="N225"/>
  <c r="N226" s="1"/>
  <c r="N223"/>
  <c r="K230"/>
  <c r="K231" s="1"/>
  <c r="K228"/>
  <c r="R230"/>
  <c r="R231" s="1"/>
  <c r="R228"/>
  <c r="T230"/>
  <c r="T231" s="1"/>
  <c r="T228"/>
  <c r="S225"/>
  <c r="S209"/>
  <c r="G231" l="1"/>
  <c r="V231" s="1"/>
  <c r="V230"/>
  <c r="H226"/>
  <c r="H231"/>
  <c r="M58" i="20"/>
  <c r="N58" s="1"/>
  <c r="B111"/>
  <c r="F110"/>
  <c r="G110" s="1"/>
  <c r="C111" s="1"/>
  <c r="I111"/>
  <c r="M110"/>
  <c r="N110" s="1"/>
  <c r="J111" s="1"/>
  <c r="F66"/>
  <c r="G66"/>
  <c r="AF38" i="18"/>
  <c r="AE131"/>
  <c r="AF36"/>
  <c r="AE132"/>
  <c r="AE130"/>
  <c r="S226"/>
  <c r="J151"/>
  <c r="K151"/>
  <c r="L151"/>
  <c r="M151"/>
  <c r="N151"/>
  <c r="O151"/>
  <c r="P151"/>
  <c r="Q151"/>
  <c r="R151"/>
  <c r="S151"/>
  <c r="T151"/>
  <c r="T150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31"/>
  <c r="AG36"/>
  <c r="AF130"/>
  <c r="AF132"/>
  <c r="I265"/>
  <c r="I262"/>
  <c r="I263"/>
  <c r="I264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31"/>
  <c r="AH131" s="1"/>
  <c r="AJ38"/>
  <c r="AG130"/>
  <c r="AH130" s="1"/>
  <c r="AG132"/>
  <c r="AH132" s="1"/>
  <c r="AH36"/>
  <c r="AJ36"/>
  <c r="T254"/>
  <c r="T253"/>
  <c r="T252"/>
  <c r="T215"/>
  <c r="T70"/>
  <c r="T71"/>
  <c r="T72"/>
  <c r="T76"/>
  <c r="T77"/>
  <c r="T78"/>
  <c r="T79"/>
  <c r="T80"/>
  <c r="T82"/>
  <c r="T83"/>
  <c r="T84"/>
  <c r="T86"/>
  <c r="T87"/>
  <c r="T89"/>
  <c r="T90"/>
  <c r="T92"/>
  <c r="T94"/>
  <c r="T97"/>
  <c r="T98"/>
  <c r="T99"/>
  <c r="T100"/>
  <c r="T102"/>
  <c r="T103"/>
  <c r="T104"/>
  <c r="T109"/>
  <c r="T110"/>
  <c r="T111"/>
  <c r="T112"/>
  <c r="T113"/>
  <c r="T116"/>
  <c r="T117"/>
  <c r="T118"/>
  <c r="T119"/>
  <c r="T120"/>
  <c r="T138"/>
  <c r="T139"/>
  <c r="T140"/>
  <c r="T141"/>
  <c r="T149"/>
  <c r="T153"/>
  <c r="T154"/>
  <c r="T155"/>
  <c r="T158"/>
  <c r="T159"/>
  <c r="T160"/>
  <c r="T161"/>
  <c r="T163"/>
  <c r="T164"/>
  <c r="T166"/>
  <c r="T170"/>
  <c r="T171"/>
  <c r="T96" l="1"/>
  <c r="T143"/>
  <c r="T218"/>
  <c r="T114"/>
  <c r="T168"/>
  <c r="T126"/>
  <c r="T124"/>
  <c r="T123"/>
  <c r="T206"/>
  <c r="T122"/>
  <c r="T167"/>
  <c r="T212"/>
  <c r="T125"/>
  <c r="T213"/>
  <c r="T210"/>
  <c r="J60" i="20"/>
  <c r="P59"/>
  <c r="H87"/>
  <c r="F68"/>
  <c r="G68" s="1"/>
  <c r="C69" s="1"/>
  <c r="I114"/>
  <c r="M113"/>
  <c r="N113" s="1"/>
  <c r="J114" s="1"/>
  <c r="B114"/>
  <c r="F113"/>
  <c r="G113" s="1"/>
  <c r="C114" s="1"/>
  <c r="T207" i="18"/>
  <c r="T88"/>
  <c r="K72"/>
  <c r="K114" s="1"/>
  <c r="L72"/>
  <c r="L114" s="1"/>
  <c r="M72"/>
  <c r="M114" s="1"/>
  <c r="N72"/>
  <c r="N114" s="1"/>
  <c r="O72"/>
  <c r="O114" s="1"/>
  <c r="P72"/>
  <c r="P114" s="1"/>
  <c r="Q72"/>
  <c r="Q114" s="1"/>
  <c r="R72"/>
  <c r="R114" s="1"/>
  <c r="S72"/>
  <c r="S114" s="1"/>
  <c r="J72"/>
  <c r="J114" s="1"/>
  <c r="T144" l="1"/>
  <c r="T211"/>
  <c r="F69" i="20"/>
  <c r="G69" s="1"/>
  <c r="C70" s="1"/>
  <c r="H88"/>
  <c r="B115"/>
  <c r="F114"/>
  <c r="G114" s="1"/>
  <c r="C115" s="1"/>
  <c r="I115"/>
  <c r="M114"/>
  <c r="N114" s="1"/>
  <c r="J115" s="1"/>
  <c r="N60"/>
  <c r="M60"/>
  <c r="T220" i="18"/>
  <c r="T219"/>
  <c r="K249"/>
  <c r="T147" l="1"/>
  <c r="T145"/>
  <c r="T146" s="1"/>
  <c r="T221"/>
  <c r="F70" i="20"/>
  <c r="G70" s="1"/>
  <c r="C71" s="1"/>
  <c r="J61"/>
  <c r="P60"/>
  <c r="I116"/>
  <c r="M115"/>
  <c r="N115" s="1"/>
  <c r="J116" s="1"/>
  <c r="B116"/>
  <c r="F115"/>
  <c r="G115" s="1"/>
  <c r="C116" s="1"/>
  <c r="N245" i="18"/>
  <c r="N244"/>
  <c r="N243"/>
  <c r="N242"/>
  <c r="F71" i="20" l="1"/>
  <c r="G71"/>
  <c r="C72" s="1"/>
  <c r="B117"/>
  <c r="F116"/>
  <c r="G116" s="1"/>
  <c r="C117" s="1"/>
  <c r="I117"/>
  <c r="M116"/>
  <c r="N116" s="1"/>
  <c r="J117" s="1"/>
  <c r="M61"/>
  <c r="N61"/>
  <c r="AI55" i="18"/>
  <c r="W55"/>
  <c r="X55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5" i="18"/>
  <c r="X249"/>
  <c r="X250" s="1"/>
  <c r="J63" i="20" l="1"/>
  <c r="P62"/>
  <c r="F74"/>
  <c r="G74" s="1"/>
  <c r="C75" s="1"/>
  <c r="I120"/>
  <c r="M119"/>
  <c r="N119" s="1"/>
  <c r="J120" s="1"/>
  <c r="B120"/>
  <c r="F119"/>
  <c r="G119" s="1"/>
  <c r="C120" s="1"/>
  <c r="Z55" i="18"/>
  <c r="D261"/>
  <c r="I261"/>
  <c r="O138"/>
  <c r="M138"/>
  <c r="K138"/>
  <c r="J138"/>
  <c r="L138"/>
  <c r="N138"/>
  <c r="P138"/>
  <c r="Q138"/>
  <c r="R138"/>
  <c r="S138"/>
  <c r="K171"/>
  <c r="L171"/>
  <c r="M171"/>
  <c r="N171"/>
  <c r="O171"/>
  <c r="P171"/>
  <c r="Q171"/>
  <c r="R171"/>
  <c r="S171"/>
  <c r="K170"/>
  <c r="L170"/>
  <c r="M170"/>
  <c r="N170"/>
  <c r="O170"/>
  <c r="P170"/>
  <c r="Q170"/>
  <c r="R170"/>
  <c r="S170"/>
  <c r="H279"/>
  <c r="H280" s="1"/>
  <c r="AI77"/>
  <c r="K77"/>
  <c r="L77"/>
  <c r="M77"/>
  <c r="N77"/>
  <c r="O77"/>
  <c r="P77"/>
  <c r="Q77"/>
  <c r="R77"/>
  <c r="S77"/>
  <c r="J77"/>
  <c r="I270"/>
  <c r="D269"/>
  <c r="I268"/>
  <c r="J268" s="1"/>
  <c r="K268" s="1"/>
  <c r="K269" s="1"/>
  <c r="I266"/>
  <c r="I260"/>
  <c r="I259"/>
  <c r="J259" s="1"/>
  <c r="K259" s="1"/>
  <c r="H276" l="1"/>
  <c r="N276" s="1"/>
  <c r="G276"/>
  <c r="H275"/>
  <c r="N275" s="1"/>
  <c r="N278" s="1"/>
  <c r="G275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5" i="18"/>
  <c r="D271"/>
  <c r="J260"/>
  <c r="K260" s="1"/>
  <c r="J270"/>
  <c r="K270" s="1"/>
  <c r="K271" s="1"/>
  <c r="K113"/>
  <c r="L113"/>
  <c r="M113"/>
  <c r="N113"/>
  <c r="O113"/>
  <c r="P113"/>
  <c r="Q113"/>
  <c r="R113"/>
  <c r="S113"/>
  <c r="J113"/>
  <c r="J171"/>
  <c r="J170"/>
  <c r="AI14"/>
  <c r="W14"/>
  <c r="X14" s="1"/>
  <c r="P260"/>
  <c r="P263" s="1"/>
  <c r="P259"/>
  <c r="K120"/>
  <c r="K126" s="1"/>
  <c r="L120"/>
  <c r="L126" s="1"/>
  <c r="M120"/>
  <c r="M126" s="1"/>
  <c r="N120"/>
  <c r="N126" s="1"/>
  <c r="O120"/>
  <c r="O126" s="1"/>
  <c r="P120"/>
  <c r="P126" s="1"/>
  <c r="Q120"/>
  <c r="Q126" s="1"/>
  <c r="R120"/>
  <c r="R126" s="1"/>
  <c r="S120"/>
  <c r="S126" s="1"/>
  <c r="J120"/>
  <c r="J126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R117"/>
  <c r="R123" s="1"/>
  <c r="S117"/>
  <c r="S123" s="1"/>
  <c r="J117"/>
  <c r="J123" s="1"/>
  <c r="K118"/>
  <c r="K124" s="1"/>
  <c r="L118"/>
  <c r="L124" s="1"/>
  <c r="M118"/>
  <c r="M124" s="1"/>
  <c r="N118"/>
  <c r="N124" s="1"/>
  <c r="O118"/>
  <c r="O124" s="1"/>
  <c r="P118"/>
  <c r="P124" s="1"/>
  <c r="Q118"/>
  <c r="Q124" s="1"/>
  <c r="R118"/>
  <c r="R124" s="1"/>
  <c r="S118"/>
  <c r="S124" s="1"/>
  <c r="J118"/>
  <c r="J124" s="1"/>
  <c r="K166"/>
  <c r="K167" s="1"/>
  <c r="L166"/>
  <c r="L167" s="1"/>
  <c r="M166"/>
  <c r="M167" s="1"/>
  <c r="N166"/>
  <c r="N167" s="1"/>
  <c r="O166"/>
  <c r="O167" s="1"/>
  <c r="P166"/>
  <c r="P167" s="1"/>
  <c r="Q166"/>
  <c r="Q167" s="1"/>
  <c r="R166"/>
  <c r="R167" s="1"/>
  <c r="S166"/>
  <c r="S167" s="1"/>
  <c r="J166"/>
  <c r="J167" s="1"/>
  <c r="N279" l="1"/>
  <c r="H278"/>
  <c r="H281"/>
  <c r="G281"/>
  <c r="G278"/>
  <c r="J64" i="20"/>
  <c r="P63"/>
  <c r="F76"/>
  <c r="G76" s="1"/>
  <c r="C77" s="1"/>
  <c r="N121"/>
  <c r="N124" s="1"/>
  <c r="N89" s="1"/>
  <c r="G121"/>
  <c r="G124" s="1"/>
  <c r="G89" s="1"/>
  <c r="AB55" i="18"/>
  <c r="Y14"/>
  <c r="Z14" s="1"/>
  <c r="AA14" s="1"/>
  <c r="AB14" s="1"/>
  <c r="AC14" s="1"/>
  <c r="AD14" s="1"/>
  <c r="AE14" s="1"/>
  <c r="AF14" s="1"/>
  <c r="AG14" s="1"/>
  <c r="J261"/>
  <c r="K261" s="1"/>
  <c r="S112"/>
  <c r="S111"/>
  <c r="K112"/>
  <c r="L112"/>
  <c r="M112"/>
  <c r="N112"/>
  <c r="O112"/>
  <c r="P112"/>
  <c r="Q112"/>
  <c r="R112"/>
  <c r="J112"/>
  <c r="J111"/>
  <c r="K164"/>
  <c r="L164"/>
  <c r="M164"/>
  <c r="N164"/>
  <c r="O164"/>
  <c r="P164"/>
  <c r="Q164"/>
  <c r="R164"/>
  <c r="S164"/>
  <c r="J164"/>
  <c r="K163"/>
  <c r="L163"/>
  <c r="M163"/>
  <c r="N163"/>
  <c r="O163"/>
  <c r="P163"/>
  <c r="Q163"/>
  <c r="R163"/>
  <c r="S163"/>
  <c r="J163"/>
  <c r="K160"/>
  <c r="L160"/>
  <c r="M160"/>
  <c r="N160"/>
  <c r="O160"/>
  <c r="P160"/>
  <c r="Q160"/>
  <c r="R160"/>
  <c r="S160"/>
  <c r="J160"/>
  <c r="K161"/>
  <c r="L161"/>
  <c r="M161"/>
  <c r="N161"/>
  <c r="O161"/>
  <c r="P161"/>
  <c r="Q161"/>
  <c r="R161"/>
  <c r="S161"/>
  <c r="J161"/>
  <c r="K159"/>
  <c r="L159"/>
  <c r="M159"/>
  <c r="N159"/>
  <c r="O159"/>
  <c r="P159"/>
  <c r="Q159"/>
  <c r="R159"/>
  <c r="S159"/>
  <c r="J159"/>
  <c r="K158"/>
  <c r="L158"/>
  <c r="M158"/>
  <c r="N158"/>
  <c r="O158"/>
  <c r="P158"/>
  <c r="Q158"/>
  <c r="R158"/>
  <c r="S158"/>
  <c r="J158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3"/>
  <c r="L153"/>
  <c r="M153"/>
  <c r="N153"/>
  <c r="O153"/>
  <c r="P153"/>
  <c r="Q153"/>
  <c r="R153"/>
  <c r="S153"/>
  <c r="J153"/>
  <c r="B155"/>
  <c r="B154"/>
  <c r="AI32"/>
  <c r="W32"/>
  <c r="X32" s="1"/>
  <c r="J141"/>
  <c r="K141"/>
  <c r="L141"/>
  <c r="M141"/>
  <c r="N141"/>
  <c r="O141"/>
  <c r="P141"/>
  <c r="Q141"/>
  <c r="R141"/>
  <c r="S141"/>
  <c r="O263"/>
  <c r="O261"/>
  <c r="P261" s="1"/>
  <c r="P266" s="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F77" i="20" l="1"/>
  <c r="G77"/>
  <c r="C78" s="1"/>
  <c r="M64"/>
  <c r="N64" s="1"/>
  <c r="J262" i="18"/>
  <c r="K262" s="1"/>
  <c r="J263" s="1"/>
  <c r="K263" s="1"/>
  <c r="J264" s="1"/>
  <c r="K264" s="1"/>
  <c r="J265" s="1"/>
  <c r="K265" s="1"/>
  <c r="J266" s="1"/>
  <c r="K266" s="1"/>
  <c r="K267" s="1"/>
  <c r="AC55"/>
  <c r="AH14"/>
  <c r="AJ14"/>
  <c r="Y32"/>
  <c r="Z32" s="1"/>
  <c r="AA32" s="1"/>
  <c r="AB32" s="1"/>
  <c r="AC32" s="1"/>
  <c r="AD32" s="1"/>
  <c r="AE32" s="1"/>
  <c r="AF32" s="1"/>
  <c r="AG32" s="1"/>
  <c r="AH32" s="1"/>
  <c r="O266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3"/>
  <c r="X53" s="1"/>
  <c r="W59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3"/>
  <c r="AI59"/>
  <c r="AI61"/>
  <c r="AI63"/>
  <c r="AI70"/>
  <c r="AI71"/>
  <c r="AI76"/>
  <c r="AI78"/>
  <c r="AI79"/>
  <c r="AI80"/>
  <c r="AI82"/>
  <c r="AI83"/>
  <c r="AI84"/>
  <c r="AI86"/>
  <c r="AI87"/>
  <c r="AI88"/>
  <c r="AI89"/>
  <c r="AI91"/>
  <c r="AI92"/>
  <c r="AI94"/>
  <c r="AI96"/>
  <c r="AI97"/>
  <c r="AI98"/>
  <c r="AI99"/>
  <c r="AI100"/>
  <c r="AI102"/>
  <c r="AI103"/>
  <c r="AI104"/>
  <c r="AI7"/>
  <c r="AI6"/>
  <c r="X25" l="1"/>
  <c r="X133" s="1"/>
  <c r="X59"/>
  <c r="X134" s="1"/>
  <c r="J65" i="20"/>
  <c r="P64"/>
  <c r="F78"/>
  <c r="G78" s="1"/>
  <c r="X136" i="18"/>
  <c r="X129"/>
  <c r="X72"/>
  <c r="AD55"/>
  <c r="AJ32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K119"/>
  <c r="K125" s="1"/>
  <c r="L119"/>
  <c r="L125" s="1"/>
  <c r="M119"/>
  <c r="M125" s="1"/>
  <c r="N119"/>
  <c r="N125" s="1"/>
  <c r="O119"/>
  <c r="O125" s="1"/>
  <c r="P119"/>
  <c r="P125" s="1"/>
  <c r="Q119"/>
  <c r="Q125" s="1"/>
  <c r="R119"/>
  <c r="R125" s="1"/>
  <c r="S119"/>
  <c r="S125" s="1"/>
  <c r="J119"/>
  <c r="J125" s="1"/>
  <c r="J116"/>
  <c r="J122" s="1"/>
  <c r="X135" l="1"/>
  <c r="X114"/>
  <c r="X128"/>
  <c r="G81" i="20"/>
  <c r="G82" s="1"/>
  <c r="C79"/>
  <c r="M65"/>
  <c r="N65"/>
  <c r="J66" s="1"/>
  <c r="AE55" i="18"/>
  <c r="Y31"/>
  <c r="X151"/>
  <c r="Y29"/>
  <c r="K140"/>
  <c r="L140"/>
  <c r="M140"/>
  <c r="N140"/>
  <c r="O140"/>
  <c r="P140"/>
  <c r="Q140"/>
  <c r="R140"/>
  <c r="S140"/>
  <c r="J140"/>
  <c r="K139"/>
  <c r="L139"/>
  <c r="M139"/>
  <c r="N139"/>
  <c r="O139"/>
  <c r="P139"/>
  <c r="Q139"/>
  <c r="R139"/>
  <c r="S139"/>
  <c r="J139"/>
  <c r="M66" i="20" l="1"/>
  <c r="N66"/>
  <c r="J67" s="1"/>
  <c r="F79"/>
  <c r="G79"/>
  <c r="AF55" i="18"/>
  <c r="Z31"/>
  <c r="Z29"/>
  <c r="AJ91"/>
  <c r="M67" i="20" l="1"/>
  <c r="N67"/>
  <c r="J68" s="1"/>
  <c r="AG55" i="18"/>
  <c r="AA31"/>
  <c r="AA29"/>
  <c r="J215"/>
  <c r="K215"/>
  <c r="L215"/>
  <c r="M215"/>
  <c r="N215"/>
  <c r="O215"/>
  <c r="P215"/>
  <c r="Q215"/>
  <c r="R215"/>
  <c r="S215"/>
  <c r="J92"/>
  <c r="J143" s="1"/>
  <c r="J144" s="1"/>
  <c r="J147" s="1"/>
  <c r="K92"/>
  <c r="K143" s="1"/>
  <c r="K144" s="1"/>
  <c r="K147" s="1"/>
  <c r="L92"/>
  <c r="L143" s="1"/>
  <c r="L144" s="1"/>
  <c r="L147" s="1"/>
  <c r="M92"/>
  <c r="M143" s="1"/>
  <c r="M144" s="1"/>
  <c r="M147" s="1"/>
  <c r="N92"/>
  <c r="N143" s="1"/>
  <c r="N144" s="1"/>
  <c r="N147" s="1"/>
  <c r="O92"/>
  <c r="O143" s="1"/>
  <c r="O144" s="1"/>
  <c r="O147" s="1"/>
  <c r="P92"/>
  <c r="P143" s="1"/>
  <c r="P144" s="1"/>
  <c r="P147" s="1"/>
  <c r="Q92"/>
  <c r="Q143" s="1"/>
  <c r="Q144" s="1"/>
  <c r="Q147" s="1"/>
  <c r="R92"/>
  <c r="R143" s="1"/>
  <c r="R144" s="1"/>
  <c r="R147" s="1"/>
  <c r="S92"/>
  <c r="S143" s="1"/>
  <c r="M68" i="20" l="1"/>
  <c r="N68" s="1"/>
  <c r="J69" s="1"/>
  <c r="AH55" i="18"/>
  <c r="AJ55"/>
  <c r="AB31"/>
  <c r="X92"/>
  <c r="AB29"/>
  <c r="Q145"/>
  <c r="Q146" s="1"/>
  <c r="M145"/>
  <c r="M146" s="1"/>
  <c r="O145"/>
  <c r="O146" s="1"/>
  <c r="K145"/>
  <c r="K146" s="1"/>
  <c r="P145"/>
  <c r="P146" s="1"/>
  <c r="L145"/>
  <c r="L146" s="1"/>
  <c r="R145"/>
  <c r="R146" s="1"/>
  <c r="N145"/>
  <c r="N146" s="1"/>
  <c r="J145"/>
  <c r="J146" s="1"/>
  <c r="S144"/>
  <c r="S147" s="1"/>
  <c r="Y63"/>
  <c r="M69" i="20" l="1"/>
  <c r="N69"/>
  <c r="J70" s="1"/>
  <c r="AC31" i="18"/>
  <c r="Z63"/>
  <c r="AC29"/>
  <c r="S145"/>
  <c r="Y92"/>
  <c r="J102"/>
  <c r="J168" s="1"/>
  <c r="K102"/>
  <c r="K168" s="1"/>
  <c r="L102"/>
  <c r="L168" s="1"/>
  <c r="M102"/>
  <c r="M168" s="1"/>
  <c r="N102"/>
  <c r="N168" s="1"/>
  <c r="O102"/>
  <c r="O168" s="1"/>
  <c r="P102"/>
  <c r="P168" s="1"/>
  <c r="Q102"/>
  <c r="Q168" s="1"/>
  <c r="R102"/>
  <c r="R168" s="1"/>
  <c r="J103"/>
  <c r="K103"/>
  <c r="L103"/>
  <c r="M103"/>
  <c r="N103"/>
  <c r="O103"/>
  <c r="P103"/>
  <c r="Q103"/>
  <c r="R103"/>
  <c r="J104"/>
  <c r="K104"/>
  <c r="L104"/>
  <c r="M104"/>
  <c r="N104"/>
  <c r="O104"/>
  <c r="P104"/>
  <c r="Q104"/>
  <c r="R104"/>
  <c r="S104"/>
  <c r="S103"/>
  <c r="S102"/>
  <c r="S168" s="1"/>
  <c r="K111"/>
  <c r="L111"/>
  <c r="M111"/>
  <c r="N111"/>
  <c r="O111"/>
  <c r="P111"/>
  <c r="Q111"/>
  <c r="R111"/>
  <c r="J110"/>
  <c r="K110"/>
  <c r="L110"/>
  <c r="M110"/>
  <c r="N110"/>
  <c r="O110"/>
  <c r="P110"/>
  <c r="Q110"/>
  <c r="R110"/>
  <c r="J109"/>
  <c r="K109"/>
  <c r="L109"/>
  <c r="M109"/>
  <c r="N109"/>
  <c r="O109"/>
  <c r="P109"/>
  <c r="Q109"/>
  <c r="R109"/>
  <c r="S110"/>
  <c r="M70" i="20" l="1"/>
  <c r="N70"/>
  <c r="J71" s="1"/>
  <c r="AD31" i="18"/>
  <c r="AA63"/>
  <c r="Z92"/>
  <c r="AD29"/>
  <c r="S109"/>
  <c r="K254"/>
  <c r="L254"/>
  <c r="M254"/>
  <c r="N254"/>
  <c r="O254"/>
  <c r="P254"/>
  <c r="Q254"/>
  <c r="R254"/>
  <c r="S254"/>
  <c r="J254"/>
  <c r="K253"/>
  <c r="L253"/>
  <c r="M253"/>
  <c r="N253"/>
  <c r="O253"/>
  <c r="P253"/>
  <c r="Q253"/>
  <c r="R253"/>
  <c r="S253"/>
  <c r="J253"/>
  <c r="K252"/>
  <c r="L252"/>
  <c r="M252"/>
  <c r="N252"/>
  <c r="O252"/>
  <c r="P252"/>
  <c r="Q252"/>
  <c r="R252"/>
  <c r="S252"/>
  <c r="J252"/>
  <c r="K71"/>
  <c r="L71"/>
  <c r="M71"/>
  <c r="N71"/>
  <c r="O71"/>
  <c r="P71"/>
  <c r="Q71"/>
  <c r="R71"/>
  <c r="S71"/>
  <c r="J71"/>
  <c r="J76"/>
  <c r="K70"/>
  <c r="K206" s="1"/>
  <c r="L70"/>
  <c r="L206" s="1"/>
  <c r="M70"/>
  <c r="M206" s="1"/>
  <c r="N70"/>
  <c r="N206" s="1"/>
  <c r="O70"/>
  <c r="O206" s="1"/>
  <c r="P70"/>
  <c r="P206" s="1"/>
  <c r="Q70"/>
  <c r="Q206" s="1"/>
  <c r="R70"/>
  <c r="R206" s="1"/>
  <c r="S70"/>
  <c r="S206" s="1"/>
  <c r="J70"/>
  <c r="J206" s="1"/>
  <c r="X117"/>
  <c r="X123" s="1"/>
  <c r="J218" l="1"/>
  <c r="M71" i="20"/>
  <c r="N71" s="1"/>
  <c r="J72" s="1"/>
  <c r="AE31" i="18"/>
  <c r="AB63"/>
  <c r="AA92"/>
  <c r="AE29"/>
  <c r="Y53"/>
  <c r="M72" i="20" l="1"/>
  <c r="N72" s="1"/>
  <c r="J73" s="1"/>
  <c r="Y117" i="18"/>
  <c r="Y123" s="1"/>
  <c r="AF31"/>
  <c r="AC63"/>
  <c r="AB92"/>
  <c r="AF29"/>
  <c r="Z53"/>
  <c r="L99"/>
  <c r="M99"/>
  <c r="N99"/>
  <c r="O99"/>
  <c r="P99"/>
  <c r="Q99"/>
  <c r="R99"/>
  <c r="S99"/>
  <c r="L100"/>
  <c r="M100"/>
  <c r="N100"/>
  <c r="O100"/>
  <c r="P100"/>
  <c r="Q100"/>
  <c r="R100"/>
  <c r="S100"/>
  <c r="L94"/>
  <c r="L96" s="1"/>
  <c r="M94"/>
  <c r="M96" s="1"/>
  <c r="N94"/>
  <c r="N96" s="1"/>
  <c r="O94"/>
  <c r="O96" s="1"/>
  <c r="P94"/>
  <c r="P96" s="1"/>
  <c r="Q94"/>
  <c r="Q96" s="1"/>
  <c r="R94"/>
  <c r="R96" s="1"/>
  <c r="S94"/>
  <c r="S96" s="1"/>
  <c r="L97"/>
  <c r="M97"/>
  <c r="N97"/>
  <c r="O97"/>
  <c r="P97"/>
  <c r="Q97"/>
  <c r="R97"/>
  <c r="S97"/>
  <c r="L98"/>
  <c r="M98"/>
  <c r="N98"/>
  <c r="O98"/>
  <c r="P98"/>
  <c r="Q98"/>
  <c r="R98"/>
  <c r="S98"/>
  <c r="J97"/>
  <c r="J98"/>
  <c r="J99"/>
  <c r="J100"/>
  <c r="K100"/>
  <c r="K99"/>
  <c r="Y22"/>
  <c r="Z22" s="1"/>
  <c r="AA22" s="1"/>
  <c r="AB22" s="1"/>
  <c r="AC22" s="1"/>
  <c r="AD22" s="1"/>
  <c r="AE22" s="1"/>
  <c r="AF22" s="1"/>
  <c r="AG22" s="1"/>
  <c r="J94"/>
  <c r="J96" s="1"/>
  <c r="K94"/>
  <c r="K96" s="1"/>
  <c r="K98"/>
  <c r="K97"/>
  <c r="N73" i="20" l="1"/>
  <c r="J74" s="1"/>
  <c r="M73"/>
  <c r="Z117" i="18"/>
  <c r="Z123" s="1"/>
  <c r="AG31"/>
  <c r="AH31" s="1"/>
  <c r="AD63"/>
  <c r="AC92"/>
  <c r="Y23"/>
  <c r="X120"/>
  <c r="X126" s="1"/>
  <c r="AG29"/>
  <c r="AH22"/>
  <c r="AJ22"/>
  <c r="AA53"/>
  <c r="Y21"/>
  <c r="M74" i="20" l="1"/>
  <c r="N74" s="1"/>
  <c r="J75" s="1"/>
  <c r="AJ31" i="18"/>
  <c r="AA117"/>
  <c r="AA123" s="1"/>
  <c r="AD92"/>
  <c r="AE63"/>
  <c r="Z23"/>
  <c r="Y120"/>
  <c r="Y126" s="1"/>
  <c r="AJ29"/>
  <c r="AH29"/>
  <c r="Y20"/>
  <c r="X94"/>
  <c r="Z21"/>
  <c r="Y9"/>
  <c r="Z9" s="1"/>
  <c r="AA9" s="1"/>
  <c r="AB9" s="1"/>
  <c r="AC9" s="1"/>
  <c r="AD9" s="1"/>
  <c r="AE9" s="1"/>
  <c r="AF9" s="1"/>
  <c r="AG9" s="1"/>
  <c r="AJ9" s="1"/>
  <c r="X113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3"/>
  <c r="R90"/>
  <c r="R212" s="1"/>
  <c r="R89"/>
  <c r="R87"/>
  <c r="R86"/>
  <c r="R84"/>
  <c r="R213" s="1"/>
  <c r="R83"/>
  <c r="R82"/>
  <c r="R80"/>
  <c r="R79"/>
  <c r="R210" s="1"/>
  <c r="R78"/>
  <c r="R76"/>
  <c r="R218" s="1"/>
  <c r="N75" i="20" l="1"/>
  <c r="J76" s="1"/>
  <c r="M75"/>
  <c r="AB117" i="18"/>
  <c r="AB123" s="1"/>
  <c r="AE92"/>
  <c r="AF63"/>
  <c r="Y94"/>
  <c r="X160"/>
  <c r="X170"/>
  <c r="X161"/>
  <c r="X171"/>
  <c r="AA23"/>
  <c r="Z120"/>
  <c r="Z126" s="1"/>
  <c r="X154"/>
  <c r="X155"/>
  <c r="X153"/>
  <c r="X141"/>
  <c r="S146"/>
  <c r="X116"/>
  <c r="X122" s="1"/>
  <c r="X150"/>
  <c r="X149"/>
  <c r="Y18"/>
  <c r="R207"/>
  <c r="Z20"/>
  <c r="Y27"/>
  <c r="AC53"/>
  <c r="Y25"/>
  <c r="Y133" s="1"/>
  <c r="X109"/>
  <c r="AA21"/>
  <c r="AH33"/>
  <c r="AH34"/>
  <c r="AH9"/>
  <c r="R88"/>
  <c r="R211" s="1"/>
  <c r="J84"/>
  <c r="J213" s="1"/>
  <c r="K84"/>
  <c r="K213" s="1"/>
  <c r="L84"/>
  <c r="L213" s="1"/>
  <c r="M84"/>
  <c r="M213" s="1"/>
  <c r="N84"/>
  <c r="N213" s="1"/>
  <c r="O84"/>
  <c r="O213" s="1"/>
  <c r="P84"/>
  <c r="P213" s="1"/>
  <c r="Q84"/>
  <c r="Q213" s="1"/>
  <c r="S84"/>
  <c r="M76" i="20" l="1"/>
  <c r="N76" s="1"/>
  <c r="J77" s="1"/>
  <c r="Y128" i="18"/>
  <c r="Y129"/>
  <c r="R220"/>
  <c r="R221" s="1"/>
  <c r="R219"/>
  <c r="AC117"/>
  <c r="AC123" s="1"/>
  <c r="Y113"/>
  <c r="Y151"/>
  <c r="AG63"/>
  <c r="AF92"/>
  <c r="Y161"/>
  <c r="Y171"/>
  <c r="Y160"/>
  <c r="Y170"/>
  <c r="AB23"/>
  <c r="AA120"/>
  <c r="AA126" s="1"/>
  <c r="Y153"/>
  <c r="Y155"/>
  <c r="Y154"/>
  <c r="Y141"/>
  <c r="Y116"/>
  <c r="Y122" s="1"/>
  <c r="Y150"/>
  <c r="Y149"/>
  <c r="Z18"/>
  <c r="AA20"/>
  <c r="Z94"/>
  <c r="Z27"/>
  <c r="Z25"/>
  <c r="Y109"/>
  <c r="AD53"/>
  <c r="AB21"/>
  <c r="S213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N77" i="20" l="1"/>
  <c r="J78" s="1"/>
  <c r="M77"/>
  <c r="Z129" i="18"/>
  <c r="Z133"/>
  <c r="Z151"/>
  <c r="Z128"/>
  <c r="AD117"/>
  <c r="AD123" s="1"/>
  <c r="AJ63"/>
  <c r="AG92"/>
  <c r="AH63"/>
  <c r="Z160"/>
  <c r="Z170"/>
  <c r="Z161"/>
  <c r="Z171"/>
  <c r="Z113"/>
  <c r="AC23"/>
  <c r="AB120"/>
  <c r="AB126" s="1"/>
  <c r="Z155"/>
  <c r="Z154"/>
  <c r="Z153"/>
  <c r="Z141"/>
  <c r="Z116"/>
  <c r="Z122" s="1"/>
  <c r="Z150"/>
  <c r="Z149"/>
  <c r="AA18"/>
  <c r="AB20"/>
  <c r="AA94"/>
  <c r="AA27"/>
  <c r="AA25"/>
  <c r="AA133" s="1"/>
  <c r="Z109"/>
  <c r="AE53"/>
  <c r="AC21"/>
  <c r="M78" i="20" l="1"/>
  <c r="N78" s="1"/>
  <c r="AA128" i="18"/>
  <c r="AA129"/>
  <c r="AE117"/>
  <c r="AE123" s="1"/>
  <c r="AA113"/>
  <c r="AA151"/>
  <c r="X192"/>
  <c r="T241" s="1"/>
  <c r="AJ92"/>
  <c r="Y192" s="1"/>
  <c r="S241" s="1"/>
  <c r="AH92"/>
  <c r="AA161"/>
  <c r="AA171"/>
  <c r="AA160"/>
  <c r="AA170"/>
  <c r="AD23"/>
  <c r="AC120"/>
  <c r="AC126" s="1"/>
  <c r="AA141"/>
  <c r="AA155"/>
  <c r="AA154"/>
  <c r="AA153"/>
  <c r="AA116"/>
  <c r="AA122" s="1"/>
  <c r="AA150"/>
  <c r="AA149"/>
  <c r="AB18"/>
  <c r="AC20"/>
  <c r="AB94"/>
  <c r="AB27"/>
  <c r="AB25"/>
  <c r="AA109"/>
  <c r="AF53"/>
  <c r="AD21"/>
  <c r="K76"/>
  <c r="L76"/>
  <c r="M76"/>
  <c r="M218" s="1"/>
  <c r="N76"/>
  <c r="N218" s="1"/>
  <c r="O76"/>
  <c r="O218" s="1"/>
  <c r="P76"/>
  <c r="P218" s="1"/>
  <c r="Q76"/>
  <c r="S76"/>
  <c r="S218" s="1"/>
  <c r="J90"/>
  <c r="K90"/>
  <c r="K212" s="1"/>
  <c r="L90"/>
  <c r="L212" s="1"/>
  <c r="M90"/>
  <c r="M212" s="1"/>
  <c r="N90"/>
  <c r="N212" s="1"/>
  <c r="O90"/>
  <c r="O212" s="1"/>
  <c r="P90"/>
  <c r="P212" s="1"/>
  <c r="Q90"/>
  <c r="S90"/>
  <c r="J89"/>
  <c r="K89"/>
  <c r="L89"/>
  <c r="M89"/>
  <c r="N89"/>
  <c r="O89"/>
  <c r="P89"/>
  <c r="Q89"/>
  <c r="S89"/>
  <c r="J87"/>
  <c r="K87"/>
  <c r="L87"/>
  <c r="M87"/>
  <c r="N87"/>
  <c r="O87"/>
  <c r="P87"/>
  <c r="Q87"/>
  <c r="S87"/>
  <c r="J86"/>
  <c r="K86"/>
  <c r="L86"/>
  <c r="M86"/>
  <c r="N86"/>
  <c r="O86"/>
  <c r="P86"/>
  <c r="Q86"/>
  <c r="S86"/>
  <c r="J80"/>
  <c r="K80"/>
  <c r="L80"/>
  <c r="M80"/>
  <c r="N80"/>
  <c r="O80"/>
  <c r="P80"/>
  <c r="Q80"/>
  <c r="S80"/>
  <c r="J79"/>
  <c r="K79"/>
  <c r="K210" s="1"/>
  <c r="L79"/>
  <c r="L210" s="1"/>
  <c r="M79"/>
  <c r="M210" s="1"/>
  <c r="N79"/>
  <c r="N210" s="1"/>
  <c r="O79"/>
  <c r="O210" s="1"/>
  <c r="P79"/>
  <c r="P210" s="1"/>
  <c r="Q79"/>
  <c r="S79"/>
  <c r="J78"/>
  <c r="K78"/>
  <c r="L78"/>
  <c r="M78"/>
  <c r="N78"/>
  <c r="O78"/>
  <c r="P78"/>
  <c r="Q78"/>
  <c r="S78"/>
  <c r="X158"/>
  <c r="X166"/>
  <c r="X167" s="1"/>
  <c r="X118"/>
  <c r="X124" s="1"/>
  <c r="Q218" l="1"/>
  <c r="U174"/>
  <c r="L218"/>
  <c r="V174"/>
  <c r="X248" s="1"/>
  <c r="X247" s="1"/>
  <c r="K218"/>
  <c r="N81" i="20"/>
  <c r="N82" s="1"/>
  <c r="J79"/>
  <c r="AB129" i="18"/>
  <c r="AB133"/>
  <c r="AB151"/>
  <c r="AB128"/>
  <c r="X215"/>
  <c r="AF117"/>
  <c r="AF123" s="1"/>
  <c r="X138"/>
  <c r="W192"/>
  <c r="AB160"/>
  <c r="AB170"/>
  <c r="AB113"/>
  <c r="AB161"/>
  <c r="AB171"/>
  <c r="AE23"/>
  <c r="AD120"/>
  <c r="AD126" s="1"/>
  <c r="X111"/>
  <c r="X112"/>
  <c r="X164"/>
  <c r="X163"/>
  <c r="X119"/>
  <c r="X125" s="1"/>
  <c r="X159"/>
  <c r="K207"/>
  <c r="AB141"/>
  <c r="AB154"/>
  <c r="AB153"/>
  <c r="AB155"/>
  <c r="X140"/>
  <c r="AB116"/>
  <c r="AB122" s="1"/>
  <c r="AB150"/>
  <c r="AB149"/>
  <c r="X139"/>
  <c r="AC18"/>
  <c r="S207"/>
  <c r="N207"/>
  <c r="M207"/>
  <c r="P207"/>
  <c r="L207"/>
  <c r="AD20"/>
  <c r="AC94"/>
  <c r="K88"/>
  <c r="K211" s="1"/>
  <c r="AC27"/>
  <c r="Y12"/>
  <c r="Y15"/>
  <c r="Y158" s="1"/>
  <c r="Y13"/>
  <c r="Y10"/>
  <c r="Y16"/>
  <c r="Y166" s="1"/>
  <c r="Y167" s="1"/>
  <c r="Y6"/>
  <c r="Y7"/>
  <c r="AC25"/>
  <c r="AC133" s="1"/>
  <c r="AB109"/>
  <c r="Y59"/>
  <c r="Y134" s="1"/>
  <c r="X110"/>
  <c r="AG53"/>
  <c r="O88"/>
  <c r="O211" s="1"/>
  <c r="N88"/>
  <c r="N211" s="1"/>
  <c r="M88"/>
  <c r="M211" s="1"/>
  <c r="AE21"/>
  <c r="Y205"/>
  <c r="L88"/>
  <c r="L211" s="1"/>
  <c r="J210"/>
  <c r="J207"/>
  <c r="J212"/>
  <c r="J88"/>
  <c r="Q210"/>
  <c r="Q207"/>
  <c r="Q212"/>
  <c r="S210"/>
  <c r="O207"/>
  <c r="Q88"/>
  <c r="P88"/>
  <c r="P211" s="1"/>
  <c r="S212"/>
  <c r="S88"/>
  <c r="C6" i="12"/>
  <c r="N79" i="20" l="1"/>
  <c r="J80" s="1"/>
  <c r="M79"/>
  <c r="Y136" i="18"/>
  <c r="Y135"/>
  <c r="AC128"/>
  <c r="AC129"/>
  <c r="Y215"/>
  <c r="Y224"/>
  <c r="Y229"/>
  <c r="J220"/>
  <c r="J221" s="1"/>
  <c r="J219"/>
  <c r="P220"/>
  <c r="P221" s="1"/>
  <c r="P219"/>
  <c r="N220"/>
  <c r="N221" s="1"/>
  <c r="N219"/>
  <c r="Q220"/>
  <c r="Q221" s="1"/>
  <c r="Q219"/>
  <c r="K220"/>
  <c r="K221" s="1"/>
  <c r="K219"/>
  <c r="L220"/>
  <c r="L221" s="1"/>
  <c r="L219"/>
  <c r="M220"/>
  <c r="M221" s="1"/>
  <c r="M219"/>
  <c r="S220"/>
  <c r="S221" s="1"/>
  <c r="S219"/>
  <c r="O220"/>
  <c r="O221" s="1"/>
  <c r="O219"/>
  <c r="AC113"/>
  <c r="AC151"/>
  <c r="Y118"/>
  <c r="Y124" s="1"/>
  <c r="Y72"/>
  <c r="Y114" s="1"/>
  <c r="Y249"/>
  <c r="Z249" s="1"/>
  <c r="AA249" s="1"/>
  <c r="AB249" s="1"/>
  <c r="AC249" s="1"/>
  <c r="AD249" s="1"/>
  <c r="AE249" s="1"/>
  <c r="AF249" s="1"/>
  <c r="AG249" s="1"/>
  <c r="AH249" s="1"/>
  <c r="AI249" s="1"/>
  <c r="AJ249" s="1"/>
  <c r="AK249" s="1"/>
  <c r="AL249" s="1"/>
  <c r="AM249" s="1"/>
  <c r="AN249" s="1"/>
  <c r="AO249" s="1"/>
  <c r="AP249" s="1"/>
  <c r="AQ249" s="1"/>
  <c r="AR249" s="1"/>
  <c r="AS249" s="1"/>
  <c r="AT249" s="1"/>
  <c r="AU249" s="1"/>
  <c r="AV249" s="1"/>
  <c r="AW249" s="1"/>
  <c r="AX249" s="1"/>
  <c r="Y138"/>
  <c r="AC160"/>
  <c r="AC170"/>
  <c r="AC161"/>
  <c r="AC171"/>
  <c r="AJ53"/>
  <c r="AG117"/>
  <c r="AF23"/>
  <c r="AE120"/>
  <c r="AE126" s="1"/>
  <c r="Y164"/>
  <c r="Y163"/>
  <c r="Y119"/>
  <c r="Y125" s="1"/>
  <c r="Y159"/>
  <c r="Y112"/>
  <c r="AC153"/>
  <c r="AC154"/>
  <c r="AC155"/>
  <c r="AC141"/>
  <c r="AC116"/>
  <c r="AC122" s="1"/>
  <c r="AC150"/>
  <c r="AC149"/>
  <c r="Y139"/>
  <c r="Y140"/>
  <c r="AD18"/>
  <c r="AE20"/>
  <c r="AD94"/>
  <c r="AD27"/>
  <c r="Z15"/>
  <c r="Z158" s="1"/>
  <c r="Z13"/>
  <c r="Z12"/>
  <c r="Z16"/>
  <c r="Z166" s="1"/>
  <c r="Z167" s="1"/>
  <c r="Z10"/>
  <c r="Z7"/>
  <c r="Z6"/>
  <c r="AH53"/>
  <c r="AD25"/>
  <c r="AD133" s="1"/>
  <c r="AC109"/>
  <c r="Z59"/>
  <c r="Z134" s="1"/>
  <c r="Y111"/>
  <c r="Y110"/>
  <c r="AF21"/>
  <c r="Z205"/>
  <c r="J211"/>
  <c r="Q211"/>
  <c r="S211"/>
  <c r="M80" i="20" l="1"/>
  <c r="N80" s="1"/>
  <c r="Z135" i="18"/>
  <c r="Z136"/>
  <c r="AD128"/>
  <c r="AD129"/>
  <c r="Y230"/>
  <c r="Y231" s="1"/>
  <c r="Y228"/>
  <c r="Y225"/>
  <c r="Y226" s="1"/>
  <c r="Y223"/>
  <c r="Z215"/>
  <c r="Z229"/>
  <c r="Z224"/>
  <c r="AD113"/>
  <c r="AD151"/>
  <c r="Z118"/>
  <c r="Z124" s="1"/>
  <c r="Z72"/>
  <c r="Z114" s="1"/>
  <c r="Y250"/>
  <c r="Z250" s="1"/>
  <c r="AA250" s="1"/>
  <c r="AB250" s="1"/>
  <c r="AC250" s="1"/>
  <c r="AD250" s="1"/>
  <c r="AE250" s="1"/>
  <c r="AF250" s="1"/>
  <c r="AG250" s="1"/>
  <c r="AH250" s="1"/>
  <c r="AI250" s="1"/>
  <c r="AJ250" s="1"/>
  <c r="AK250" s="1"/>
  <c r="AL250" s="1"/>
  <c r="AM250" s="1"/>
  <c r="AN250" s="1"/>
  <c r="AO250" s="1"/>
  <c r="AP250" s="1"/>
  <c r="AQ250" s="1"/>
  <c r="AR250" s="1"/>
  <c r="AS250" s="1"/>
  <c r="AT250" s="1"/>
  <c r="AU250" s="1"/>
  <c r="AV250" s="1"/>
  <c r="AW250" s="1"/>
  <c r="AX250" s="1"/>
  <c r="AH117"/>
  <c r="AG123"/>
  <c r="AH123" s="1"/>
  <c r="Y248"/>
  <c r="Z248" s="1"/>
  <c r="AA248" s="1"/>
  <c r="AB248" s="1"/>
  <c r="AC248" s="1"/>
  <c r="AD248" s="1"/>
  <c r="AE248" s="1"/>
  <c r="AF248" s="1"/>
  <c r="AG248" s="1"/>
  <c r="AH248" s="1"/>
  <c r="Z138"/>
  <c r="AD160"/>
  <c r="AD170"/>
  <c r="AD161"/>
  <c r="AD171"/>
  <c r="AG23"/>
  <c r="AF120"/>
  <c r="AF126" s="1"/>
  <c r="Z119"/>
  <c r="Z125" s="1"/>
  <c r="Z159"/>
  <c r="Z164"/>
  <c r="Z163"/>
  <c r="Z112"/>
  <c r="AD155"/>
  <c r="AD154"/>
  <c r="AD153"/>
  <c r="AD141"/>
  <c r="AD116"/>
  <c r="AD122" s="1"/>
  <c r="AD150"/>
  <c r="AD149"/>
  <c r="Z139"/>
  <c r="Z140"/>
  <c r="AE18"/>
  <c r="AF20"/>
  <c r="AE94"/>
  <c r="AE27"/>
  <c r="AA13"/>
  <c r="AA12"/>
  <c r="AA15"/>
  <c r="AA158" s="1"/>
  <c r="AA10"/>
  <c r="AA16"/>
  <c r="AA166" s="1"/>
  <c r="AA167" s="1"/>
  <c r="AA6"/>
  <c r="AA7"/>
  <c r="AA59"/>
  <c r="AA134" s="1"/>
  <c r="Z111"/>
  <c r="Z110"/>
  <c r="AE25"/>
  <c r="AE133" s="1"/>
  <c r="AD109"/>
  <c r="AG21"/>
  <c r="AJ21" s="1"/>
  <c r="AA205"/>
  <c r="AA136" l="1"/>
  <c r="AA135"/>
  <c r="AE128"/>
  <c r="AE129"/>
  <c r="Z225"/>
  <c r="Z226" s="1"/>
  <c r="Z223"/>
  <c r="Z230"/>
  <c r="Z231" s="1"/>
  <c r="Z228"/>
  <c r="AA215"/>
  <c r="AA224"/>
  <c r="AA229"/>
  <c r="AE113"/>
  <c r="AE151"/>
  <c r="AA118"/>
  <c r="AA124" s="1"/>
  <c r="AA72"/>
  <c r="AA114" s="1"/>
  <c r="Y247"/>
  <c r="Z247" s="1"/>
  <c r="AA247" s="1"/>
  <c r="AB247" s="1"/>
  <c r="AC247" s="1"/>
  <c r="AD247" s="1"/>
  <c r="AE247" s="1"/>
  <c r="AF247" s="1"/>
  <c r="AG247" s="1"/>
  <c r="AH247" s="1"/>
  <c r="AI248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W248" s="1"/>
  <c r="AX248" s="1"/>
  <c r="AA138"/>
  <c r="AE160"/>
  <c r="AE170"/>
  <c r="AE161"/>
  <c r="AE171"/>
  <c r="AJ23"/>
  <c r="AG120"/>
  <c r="AH23"/>
  <c r="AA112"/>
  <c r="AA163"/>
  <c r="AA164"/>
  <c r="AA119"/>
  <c r="AA125" s="1"/>
  <c r="AA159"/>
  <c r="AE155"/>
  <c r="AE154"/>
  <c r="AE153"/>
  <c r="AE141"/>
  <c r="AE116"/>
  <c r="AE122" s="1"/>
  <c r="AE150"/>
  <c r="AE149"/>
  <c r="AA140"/>
  <c r="AA139"/>
  <c r="AF18"/>
  <c r="AG20"/>
  <c r="AF94"/>
  <c r="AF27"/>
  <c r="AB12"/>
  <c r="AB15"/>
  <c r="AB158" s="1"/>
  <c r="AB13"/>
  <c r="AB16"/>
  <c r="AB166" s="1"/>
  <c r="AB167" s="1"/>
  <c r="AB10"/>
  <c r="AB7"/>
  <c r="AB6"/>
  <c r="AF25"/>
  <c r="AE109"/>
  <c r="AB59"/>
  <c r="AB134" s="1"/>
  <c r="AA110"/>
  <c r="AA111"/>
  <c r="AH21"/>
  <c r="AB20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9" i="18" l="1"/>
  <c r="AF133"/>
  <c r="AB136"/>
  <c r="AB135"/>
  <c r="AF151"/>
  <c r="AF128"/>
  <c r="AA230"/>
  <c r="AA231" s="1"/>
  <c r="AA228"/>
  <c r="AA225"/>
  <c r="AA226" s="1"/>
  <c r="AA223"/>
  <c r="AB215"/>
  <c r="AB229"/>
  <c r="AB224"/>
  <c r="AB118"/>
  <c r="AB124" s="1"/>
  <c r="AB72"/>
  <c r="AB114" s="1"/>
  <c r="AI247"/>
  <c r="AJ247" s="1"/>
  <c r="AK247" s="1"/>
  <c r="AL247" s="1"/>
  <c r="AM247" s="1"/>
  <c r="AN247" s="1"/>
  <c r="AO247" s="1"/>
  <c r="AP247" s="1"/>
  <c r="AQ247" s="1"/>
  <c r="AR247" s="1"/>
  <c r="AS247" s="1"/>
  <c r="AT247" s="1"/>
  <c r="AU247" s="1"/>
  <c r="AV247" s="1"/>
  <c r="AW247" s="1"/>
  <c r="AX247" s="1"/>
  <c r="AH120"/>
  <c r="AG126"/>
  <c r="AH126" s="1"/>
  <c r="AB138"/>
  <c r="AF160"/>
  <c r="AF170"/>
  <c r="AF161"/>
  <c r="AF171"/>
  <c r="AJ20"/>
  <c r="AF113"/>
  <c r="AB164"/>
  <c r="AB163"/>
  <c r="AB119"/>
  <c r="AB125" s="1"/>
  <c r="AB159"/>
  <c r="AB112"/>
  <c r="AF154"/>
  <c r="AF153"/>
  <c r="AF155"/>
  <c r="AF141"/>
  <c r="AF116"/>
  <c r="AF122" s="1"/>
  <c r="AF150"/>
  <c r="AF149"/>
  <c r="AB140"/>
  <c r="AB139"/>
  <c r="AG18"/>
  <c r="AH20"/>
  <c r="AG94"/>
  <c r="AG27"/>
  <c r="AG171" s="1"/>
  <c r="AH171" s="1"/>
  <c r="AC15"/>
  <c r="AC158" s="1"/>
  <c r="AC13"/>
  <c r="AC12"/>
  <c r="AC10"/>
  <c r="AC16"/>
  <c r="AC166" s="1"/>
  <c r="AC167" s="1"/>
  <c r="AC6"/>
  <c r="AC7"/>
  <c r="AC59"/>
  <c r="AC134" s="1"/>
  <c r="AB111"/>
  <c r="AB110"/>
  <c r="AG25"/>
  <c r="AG133" s="1"/>
  <c r="AH133" s="1"/>
  <c r="AF109"/>
  <c r="AC20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6" i="18" l="1"/>
  <c r="AC135"/>
  <c r="AG128"/>
  <c r="AH128" s="1"/>
  <c r="AG129"/>
  <c r="AH129" s="1"/>
  <c r="AB225"/>
  <c r="AB226" s="1"/>
  <c r="AB223"/>
  <c r="AB230"/>
  <c r="AB231" s="1"/>
  <c r="AB228"/>
  <c r="AC215"/>
  <c r="AC229"/>
  <c r="AC224"/>
  <c r="AG113"/>
  <c r="AH113" s="1"/>
  <c r="AG151"/>
  <c r="AH151" s="1"/>
  <c r="AC118"/>
  <c r="AC124" s="1"/>
  <c r="AC72"/>
  <c r="AC114" s="1"/>
  <c r="AC138"/>
  <c r="AG160"/>
  <c r="AH160" s="1"/>
  <c r="AG170"/>
  <c r="AH170" s="1"/>
  <c r="AC119"/>
  <c r="AC125" s="1"/>
  <c r="AC159"/>
  <c r="AC164"/>
  <c r="AC163"/>
  <c r="AJ27"/>
  <c r="AG161"/>
  <c r="AH161" s="1"/>
  <c r="AC112"/>
  <c r="AG153"/>
  <c r="AH153" s="1"/>
  <c r="AG155"/>
  <c r="AH155" s="1"/>
  <c r="AG154"/>
  <c r="AH154" s="1"/>
  <c r="N32" i="9"/>
  <c r="N33" s="1"/>
  <c r="N34" s="1"/>
  <c r="N35" s="1"/>
  <c r="N36" s="1"/>
  <c r="N37" s="1"/>
  <c r="N38" s="1"/>
  <c r="N39" s="1"/>
  <c r="N40" s="1"/>
  <c r="N41" s="1"/>
  <c r="N42" s="1"/>
  <c r="M45"/>
  <c r="AG141" i="18"/>
  <c r="AH141" s="1"/>
  <c r="AG116"/>
  <c r="AG150"/>
  <c r="AH150" s="1"/>
  <c r="AG149"/>
  <c r="AH149" s="1"/>
  <c r="AC140"/>
  <c r="AC139"/>
  <c r="AJ25"/>
  <c r="AJ18"/>
  <c r="AH18"/>
  <c r="X194"/>
  <c r="AJ94"/>
  <c r="AH94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8" s="1"/>
  <c r="AD13"/>
  <c r="AD10"/>
  <c r="AD16"/>
  <c r="AD166" s="1"/>
  <c r="AD167" s="1"/>
  <c r="AD7"/>
  <c r="AD6"/>
  <c r="AH25"/>
  <c r="AG109"/>
  <c r="AH109" s="1"/>
  <c r="AD59"/>
  <c r="AD134" s="1"/>
  <c r="AC111"/>
  <c r="AC110"/>
  <c r="O31" i="9"/>
  <c r="O32" s="1"/>
  <c r="AD205" i="18"/>
  <c r="P31" i="11"/>
  <c r="N32"/>
  <c r="T19" i="9"/>
  <c r="D22"/>
  <c r="AD135" i="18" l="1"/>
  <c r="AD136"/>
  <c r="AC225"/>
  <c r="AC226" s="1"/>
  <c r="AC223"/>
  <c r="AC230"/>
  <c r="AC231" s="1"/>
  <c r="AC228"/>
  <c r="AD215"/>
  <c r="AD224"/>
  <c r="AD229"/>
  <c r="AD118"/>
  <c r="AD124" s="1"/>
  <c r="AD72"/>
  <c r="AD114" s="1"/>
  <c r="AH116"/>
  <c r="AG122"/>
  <c r="AH122" s="1"/>
  <c r="AD138"/>
  <c r="AD164"/>
  <c r="AD163"/>
  <c r="AD119"/>
  <c r="AD125" s="1"/>
  <c r="AD159"/>
  <c r="AD112"/>
  <c r="AD139"/>
  <c r="AD140"/>
  <c r="Y194"/>
  <c r="W194" s="1"/>
  <c r="AE13"/>
  <c r="AE12"/>
  <c r="AE15"/>
  <c r="AE158" s="1"/>
  <c r="AE10"/>
  <c r="AE16"/>
  <c r="AE166" s="1"/>
  <c r="AE167" s="1"/>
  <c r="AE6"/>
  <c r="AE7"/>
  <c r="AE59"/>
  <c r="AE134" s="1"/>
  <c r="AD111"/>
  <c r="AD110"/>
  <c r="AE20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6" i="18" l="1"/>
  <c r="AE135"/>
  <c r="AD230"/>
  <c r="AD231" s="1"/>
  <c r="AD228"/>
  <c r="AD225"/>
  <c r="AD226" s="1"/>
  <c r="AD223"/>
  <c r="AE215"/>
  <c r="AE229"/>
  <c r="AE224"/>
  <c r="AE118"/>
  <c r="AE124" s="1"/>
  <c r="AE72"/>
  <c r="AE114" s="1"/>
  <c r="AE138"/>
  <c r="AE119"/>
  <c r="AE125" s="1"/>
  <c r="AE159"/>
  <c r="AE163"/>
  <c r="AE164"/>
  <c r="AE112"/>
  <c r="AE139"/>
  <c r="AE140"/>
  <c r="AF12"/>
  <c r="AF15"/>
  <c r="AF158" s="1"/>
  <c r="AF13"/>
  <c r="AF10"/>
  <c r="AF16"/>
  <c r="AF166" s="1"/>
  <c r="AF167" s="1"/>
  <c r="AF7"/>
  <c r="AF6"/>
  <c r="AF59"/>
  <c r="AF134" s="1"/>
  <c r="AE110"/>
  <c r="AE111"/>
  <c r="AF205"/>
  <c r="N34" i="11"/>
  <c r="O33"/>
  <c r="AF136" i="18" l="1"/>
  <c r="AF135"/>
  <c r="AE225"/>
  <c r="AE226" s="1"/>
  <c r="AE223"/>
  <c r="AE230"/>
  <c r="AE231" s="1"/>
  <c r="AE228"/>
  <c r="AF215"/>
  <c r="AF229"/>
  <c r="AF224"/>
  <c r="AF118"/>
  <c r="AF124" s="1"/>
  <c r="AF72"/>
  <c r="AF114" s="1"/>
  <c r="AF138"/>
  <c r="AF112"/>
  <c r="AF163"/>
  <c r="AF164"/>
  <c r="AF119"/>
  <c r="AF125" s="1"/>
  <c r="AF159"/>
  <c r="AF139"/>
  <c r="AF140"/>
  <c r="AG15"/>
  <c r="AG13"/>
  <c r="AJ13" s="1"/>
  <c r="AG12"/>
  <c r="AG159" s="1"/>
  <c r="AH159" s="1"/>
  <c r="AG10"/>
  <c r="AG16"/>
  <c r="AG6"/>
  <c r="AJ6" s="1"/>
  <c r="AG7"/>
  <c r="AJ7" s="1"/>
  <c r="AG59"/>
  <c r="AG134" s="1"/>
  <c r="AH134" s="1"/>
  <c r="AF111"/>
  <c r="AF110"/>
  <c r="AG205"/>
  <c r="N35" i="11"/>
  <c r="O34"/>
  <c r="AG136" i="18" l="1"/>
  <c r="AH136" s="1"/>
  <c r="AG135"/>
  <c r="AH135" s="1"/>
  <c r="AF225"/>
  <c r="AF226" s="1"/>
  <c r="AF223"/>
  <c r="AF230"/>
  <c r="AF231" s="1"/>
  <c r="AF228"/>
  <c r="AG215"/>
  <c r="AH215" s="1"/>
  <c r="AJ215" s="1"/>
  <c r="AJ231" s="1"/>
  <c r="AG229"/>
  <c r="AG228" s="1"/>
  <c r="AH228" s="1"/>
  <c r="AG224"/>
  <c r="AG223" s="1"/>
  <c r="AH223" s="1"/>
  <c r="AG118"/>
  <c r="AG124" s="1"/>
  <c r="AH124" s="1"/>
  <c r="AG72"/>
  <c r="AG138"/>
  <c r="AH138" s="1"/>
  <c r="AJ16"/>
  <c r="AG166"/>
  <c r="AG164"/>
  <c r="AH164" s="1"/>
  <c r="AG163"/>
  <c r="AH163" s="1"/>
  <c r="AJ15"/>
  <c r="AG158"/>
  <c r="AH158" s="1"/>
  <c r="AG112"/>
  <c r="AH112" s="1"/>
  <c r="AJ10"/>
  <c r="AJ12"/>
  <c r="AG119"/>
  <c r="AJ59"/>
  <c r="AG139"/>
  <c r="AH139" s="1"/>
  <c r="AG140"/>
  <c r="AH140" s="1"/>
  <c r="AH15"/>
  <c r="AH13"/>
  <c r="X188"/>
  <c r="AH12"/>
  <c r="AH10"/>
  <c r="AH16"/>
  <c r="AH7"/>
  <c r="AH6"/>
  <c r="AG111"/>
  <c r="AH111" s="1"/>
  <c r="AG110"/>
  <c r="AH110" s="1"/>
  <c r="AH59"/>
  <c r="AH205"/>
  <c r="AJ205" s="1"/>
  <c r="N36" i="11"/>
  <c r="O35"/>
  <c r="AG225" i="18" l="1"/>
  <c r="AH224"/>
  <c r="AH229"/>
  <c r="AG230"/>
  <c r="AH72"/>
  <c r="AJ72"/>
  <c r="AH118"/>
  <c r="AG114"/>
  <c r="AH114" s="1"/>
  <c r="AH119"/>
  <c r="AG125"/>
  <c r="AH125" s="1"/>
  <c r="AH166"/>
  <c r="AG167"/>
  <c r="AH167" s="1"/>
  <c r="Y188"/>
  <c r="Y189" s="1"/>
  <c r="S244" s="1"/>
  <c r="X189"/>
  <c r="T244" s="1"/>
  <c r="N37" i="11"/>
  <c r="O36"/>
  <c r="AH225" i="18" l="1"/>
  <c r="AG226"/>
  <c r="AH226" s="1"/>
  <c r="AG231"/>
  <c r="AH231" s="1"/>
  <c r="AH230"/>
  <c r="W188"/>
  <c r="W189"/>
  <c r="N38" i="11"/>
  <c r="O37"/>
  <c r="P244" i="18" l="1"/>
  <c r="N39" i="11"/>
  <c r="O38"/>
  <c r="N40" l="1"/>
  <c r="O39"/>
  <c r="N41" l="1"/>
  <c r="O40"/>
  <c r="N42" l="1"/>
  <c r="O41"/>
  <c r="X216" i="18"/>
  <c r="X97"/>
  <c r="X78"/>
  <c r="X83"/>
  <c r="X104"/>
  <c r="X106"/>
  <c r="X99"/>
  <c r="X96"/>
  <c r="X82"/>
  <c r="X77"/>
  <c r="X71"/>
  <c r="X89"/>
  <c r="X103"/>
  <c r="X87"/>
  <c r="X80"/>
  <c r="X98"/>
  <c r="X100"/>
  <c r="X84"/>
  <c r="X213" s="1"/>
  <c r="X70"/>
  <c r="X206" s="1"/>
  <c r="X75"/>
  <c r="X209" s="1"/>
  <c r="X90"/>
  <c r="X212" s="1"/>
  <c r="X102"/>
  <c r="X168" s="1"/>
  <c r="X74"/>
  <c r="X208" s="1"/>
  <c r="X86"/>
  <c r="X143"/>
  <c r="X144" s="1"/>
  <c r="X76"/>
  <c r="X218" s="1"/>
  <c r="X79"/>
  <c r="Y61"/>
  <c r="X210" l="1"/>
  <c r="X234" s="1"/>
  <c r="X235" s="1"/>
  <c r="X236" s="1"/>
  <c r="X88"/>
  <c r="X211" s="1"/>
  <c r="Y80"/>
  <c r="Y103"/>
  <c r="Y87"/>
  <c r="Y99"/>
  <c r="Y83"/>
  <c r="Y82"/>
  <c r="Y216"/>
  <c r="Y98"/>
  <c r="Y78"/>
  <c r="Y102"/>
  <c r="Y168" s="1"/>
  <c r="Y90"/>
  <c r="Y212" s="1"/>
  <c r="Y74"/>
  <c r="Y208" s="1"/>
  <c r="Y143"/>
  <c r="Y144" s="1"/>
  <c r="Y96"/>
  <c r="Y77"/>
  <c r="Y106"/>
  <c r="Y89"/>
  <c r="Y104"/>
  <c r="Y97"/>
  <c r="Y100"/>
  <c r="Y71"/>
  <c r="Y79"/>
  <c r="Y210" s="1"/>
  <c r="Y234" s="1"/>
  <c r="Y70"/>
  <c r="Y206" s="1"/>
  <c r="Y84"/>
  <c r="Y213" s="1"/>
  <c r="Y75"/>
  <c r="Y209" s="1"/>
  <c r="Y76"/>
  <c r="Y218" s="1"/>
  <c r="Z61"/>
  <c r="Y86"/>
  <c r="X145"/>
  <c r="X146" s="1"/>
  <c r="X147"/>
  <c r="X207"/>
  <c r="X233" l="1"/>
  <c r="Y235"/>
  <c r="Y236" s="1"/>
  <c r="Y233"/>
  <c r="Y88"/>
  <c r="Y211" s="1"/>
  <c r="X220"/>
  <c r="X221" s="1"/>
  <c r="X219"/>
  <c r="Z97"/>
  <c r="Z74"/>
  <c r="Z208" s="1"/>
  <c r="Z98"/>
  <c r="Z99"/>
  <c r="Z103"/>
  <c r="Z83"/>
  <c r="Z80"/>
  <c r="Z106"/>
  <c r="Z89"/>
  <c r="Z87"/>
  <c r="Z70"/>
  <c r="Z206" s="1"/>
  <c r="Z79"/>
  <c r="Z210" s="1"/>
  <c r="Z234" s="1"/>
  <c r="Z75"/>
  <c r="Z209" s="1"/>
  <c r="Z78"/>
  <c r="Z77"/>
  <c r="Z96"/>
  <c r="Z100"/>
  <c r="Z71"/>
  <c r="Z84"/>
  <c r="Z213" s="1"/>
  <c r="Z104"/>
  <c r="Z82"/>
  <c r="Z216"/>
  <c r="Z102"/>
  <c r="Z168" s="1"/>
  <c r="Z90"/>
  <c r="Z212" s="1"/>
  <c r="Z86"/>
  <c r="Z143"/>
  <c r="Z144" s="1"/>
  <c r="Z76"/>
  <c r="Z218" s="1"/>
  <c r="AA61"/>
  <c r="Y207"/>
  <c r="Y147"/>
  <c r="Y145"/>
  <c r="Y146" s="1"/>
  <c r="Z235" l="1"/>
  <c r="Z236" s="1"/>
  <c r="Z233"/>
  <c r="Y220"/>
  <c r="Y221" s="1"/>
  <c r="Y219"/>
  <c r="AA97"/>
  <c r="AA216"/>
  <c r="AA71"/>
  <c r="AA98"/>
  <c r="AA83"/>
  <c r="AA78"/>
  <c r="AA82"/>
  <c r="AA96"/>
  <c r="AA102"/>
  <c r="AA168" s="1"/>
  <c r="AA74"/>
  <c r="AA208" s="1"/>
  <c r="AA75"/>
  <c r="AA209" s="1"/>
  <c r="AA90"/>
  <c r="AA212" s="1"/>
  <c r="AA106"/>
  <c r="AA77"/>
  <c r="AA100"/>
  <c r="AA104"/>
  <c r="AA103"/>
  <c r="AA80"/>
  <c r="AA99"/>
  <c r="AA89"/>
  <c r="AA87"/>
  <c r="AA84"/>
  <c r="AA213" s="1"/>
  <c r="AA70"/>
  <c r="AA206" s="1"/>
  <c r="AA143"/>
  <c r="AA144" s="1"/>
  <c r="AA76"/>
  <c r="AA218" s="1"/>
  <c r="AA79"/>
  <c r="AA210" s="1"/>
  <c r="AA234" s="1"/>
  <c r="AB61"/>
  <c r="AA86"/>
  <c r="Z207"/>
  <c r="Z145"/>
  <c r="Z146" s="1"/>
  <c r="Z147"/>
  <c r="Z88"/>
  <c r="Z211" s="1"/>
  <c r="AA235" l="1"/>
  <c r="AA236" s="1"/>
  <c r="AA233"/>
  <c r="Z220"/>
  <c r="Z221" s="1"/>
  <c r="Z219"/>
  <c r="AA207"/>
  <c r="AA88"/>
  <c r="AA211" s="1"/>
  <c r="AA147"/>
  <c r="AA145"/>
  <c r="AA146" s="1"/>
  <c r="AB77"/>
  <c r="AB98"/>
  <c r="AB87"/>
  <c r="AB97"/>
  <c r="AB96"/>
  <c r="AB82"/>
  <c r="AB71"/>
  <c r="AB80"/>
  <c r="AB79"/>
  <c r="AB210" s="1"/>
  <c r="AB234" s="1"/>
  <c r="AB70"/>
  <c r="AB206" s="1"/>
  <c r="AB102"/>
  <c r="AB168" s="1"/>
  <c r="AB216"/>
  <c r="AB100"/>
  <c r="AB78"/>
  <c r="AB106"/>
  <c r="AB99"/>
  <c r="AB83"/>
  <c r="AB89"/>
  <c r="AB103"/>
  <c r="AB104"/>
  <c r="AB74"/>
  <c r="AB208" s="1"/>
  <c r="AB75"/>
  <c r="AB209" s="1"/>
  <c r="AB90"/>
  <c r="AB212" s="1"/>
  <c r="AB84"/>
  <c r="AB213" s="1"/>
  <c r="AB86"/>
  <c r="AB76"/>
  <c r="AB218" s="1"/>
  <c r="AB143"/>
  <c r="AB144" s="1"/>
  <c r="AC61"/>
  <c r="AB235" l="1"/>
  <c r="AB236" s="1"/>
  <c r="AB233"/>
  <c r="AB88"/>
  <c r="AB211" s="1"/>
  <c r="AA220"/>
  <c r="AA221" s="1"/>
  <c r="AA219"/>
  <c r="AC77"/>
  <c r="AC80"/>
  <c r="AC82"/>
  <c r="AC71"/>
  <c r="AC84"/>
  <c r="AC213" s="1"/>
  <c r="AC96"/>
  <c r="AC89"/>
  <c r="AC97"/>
  <c r="AC87"/>
  <c r="AC75"/>
  <c r="AC209" s="1"/>
  <c r="AC70"/>
  <c r="AC206" s="1"/>
  <c r="AC79"/>
  <c r="AC210" s="1"/>
  <c r="AC234" s="1"/>
  <c r="AC99"/>
  <c r="AC98"/>
  <c r="AC78"/>
  <c r="AC104"/>
  <c r="AC90"/>
  <c r="AC212" s="1"/>
  <c r="AC106"/>
  <c r="AC216"/>
  <c r="AC103"/>
  <c r="AC100"/>
  <c r="AC83"/>
  <c r="AC102"/>
  <c r="AC168" s="1"/>
  <c r="AC74"/>
  <c r="AC208" s="1"/>
  <c r="AD61"/>
  <c r="AC143"/>
  <c r="AC144" s="1"/>
  <c r="AC86"/>
  <c r="AC76"/>
  <c r="AC218" s="1"/>
  <c r="AB145"/>
  <c r="AB146" s="1"/>
  <c r="AB147"/>
  <c r="AB207"/>
  <c r="AC235" l="1"/>
  <c r="AC236" s="1"/>
  <c r="AC233"/>
  <c r="AB220"/>
  <c r="AB221" s="1"/>
  <c r="AB219"/>
  <c r="AC88"/>
  <c r="AC211" s="1"/>
  <c r="AD96"/>
  <c r="AD83"/>
  <c r="AD216"/>
  <c r="AD82"/>
  <c r="AD84"/>
  <c r="AD213" s="1"/>
  <c r="AD99"/>
  <c r="AD71"/>
  <c r="AD87"/>
  <c r="AD104"/>
  <c r="AD102"/>
  <c r="AD168" s="1"/>
  <c r="AD70"/>
  <c r="AD206" s="1"/>
  <c r="AD103"/>
  <c r="AD78"/>
  <c r="AD80"/>
  <c r="AD100"/>
  <c r="AD90"/>
  <c r="AD212" s="1"/>
  <c r="AD77"/>
  <c r="AD106"/>
  <c r="AD98"/>
  <c r="AD97"/>
  <c r="AD89"/>
  <c r="AD74"/>
  <c r="AD208" s="1"/>
  <c r="AD75"/>
  <c r="AD209" s="1"/>
  <c r="AD79"/>
  <c r="AD210" s="1"/>
  <c r="AD234" s="1"/>
  <c r="AD143"/>
  <c r="AD144" s="1"/>
  <c r="AD76"/>
  <c r="AD218" s="1"/>
  <c r="AD86"/>
  <c r="AE61"/>
  <c r="AC207"/>
  <c r="AC145"/>
  <c r="AC146" s="1"/>
  <c r="AC147"/>
  <c r="AD235" l="1"/>
  <c r="AD236" s="1"/>
  <c r="AD233"/>
  <c r="AC220"/>
  <c r="AC221" s="1"/>
  <c r="AC219"/>
  <c r="AD88"/>
  <c r="AD211" s="1"/>
  <c r="AD147"/>
  <c r="AD145"/>
  <c r="AD146" s="1"/>
  <c r="AE96"/>
  <c r="AE98"/>
  <c r="AE80"/>
  <c r="AE100"/>
  <c r="AE70"/>
  <c r="AE206" s="1"/>
  <c r="AE78"/>
  <c r="AE87"/>
  <c r="AE104"/>
  <c r="AE99"/>
  <c r="AE74"/>
  <c r="AE208" s="1"/>
  <c r="AE84"/>
  <c r="AE213" s="1"/>
  <c r="AE89"/>
  <c r="AE83"/>
  <c r="AE216"/>
  <c r="AE103"/>
  <c r="AE106"/>
  <c r="AE97"/>
  <c r="AE71"/>
  <c r="AE77"/>
  <c r="AE82"/>
  <c r="AE75"/>
  <c r="AE209" s="1"/>
  <c r="AE90"/>
  <c r="AE212" s="1"/>
  <c r="AE102"/>
  <c r="AE168" s="1"/>
  <c r="AE79"/>
  <c r="AE210" s="1"/>
  <c r="AE234" s="1"/>
  <c r="AE143"/>
  <c r="AE144" s="1"/>
  <c r="AE86"/>
  <c r="AE76"/>
  <c r="AE218" s="1"/>
  <c r="AF61"/>
  <c r="AD207"/>
  <c r="AE235" l="1"/>
  <c r="AE236" s="1"/>
  <c r="AE233"/>
  <c r="AD220"/>
  <c r="AD221" s="1"/>
  <c r="AD219"/>
  <c r="AE207"/>
  <c r="AE88"/>
  <c r="AE211" s="1"/>
  <c r="AE145"/>
  <c r="AE146" s="1"/>
  <c r="AE147"/>
  <c r="AF83"/>
  <c r="AF96"/>
  <c r="AF87"/>
  <c r="AF77"/>
  <c r="AF102"/>
  <c r="AF168" s="1"/>
  <c r="AF104"/>
  <c r="AF97"/>
  <c r="AF103"/>
  <c r="AF80"/>
  <c r="AF70"/>
  <c r="AF206" s="1"/>
  <c r="AF90"/>
  <c r="AF212" s="1"/>
  <c r="AF100"/>
  <c r="AF75"/>
  <c r="AF209" s="1"/>
  <c r="AF106"/>
  <c r="AF98"/>
  <c r="AF99"/>
  <c r="AF89"/>
  <c r="AF82"/>
  <c r="AF71"/>
  <c r="AF216"/>
  <c r="AF78"/>
  <c r="AF74"/>
  <c r="AF208" s="1"/>
  <c r="AF84"/>
  <c r="AF213" s="1"/>
  <c r="AF79"/>
  <c r="AF210" s="1"/>
  <c r="AF234" s="1"/>
  <c r="AF143"/>
  <c r="AF144" s="1"/>
  <c r="AF76"/>
  <c r="AF218" s="1"/>
  <c r="AG61"/>
  <c r="AF86"/>
  <c r="AF235" l="1"/>
  <c r="AF236" s="1"/>
  <c r="AF233"/>
  <c r="AE220"/>
  <c r="AE221" s="1"/>
  <c r="AE219"/>
  <c r="AF88"/>
  <c r="AF211" s="1"/>
  <c r="AF207"/>
  <c r="AG216"/>
  <c r="AG103"/>
  <c r="AG104"/>
  <c r="AG71"/>
  <c r="AH61"/>
  <c r="AG77"/>
  <c r="AJ61"/>
  <c r="AG106"/>
  <c r="AG102"/>
  <c r="AG74"/>
  <c r="AG70"/>
  <c r="AG75"/>
  <c r="AG79"/>
  <c r="AG89"/>
  <c r="AG76"/>
  <c r="AG218" s="1"/>
  <c r="AG90"/>
  <c r="AG97"/>
  <c r="AG99"/>
  <c r="AG84"/>
  <c r="AG86"/>
  <c r="AG82"/>
  <c r="AG87"/>
  <c r="AG98"/>
  <c r="AG96"/>
  <c r="AG80"/>
  <c r="AG100"/>
  <c r="AG143"/>
  <c r="AG78"/>
  <c r="AG83"/>
  <c r="AF147"/>
  <c r="AF145"/>
  <c r="AF146" s="1"/>
  <c r="AF220" l="1"/>
  <c r="AF221" s="1"/>
  <c r="AF219"/>
  <c r="AG144"/>
  <c r="AH143"/>
  <c r="AH98"/>
  <c r="X198"/>
  <c r="AJ98"/>
  <c r="Y198" s="1"/>
  <c r="AJ84"/>
  <c r="Y183" s="1"/>
  <c r="S242" s="1"/>
  <c r="AG213"/>
  <c r="AH84"/>
  <c r="X183"/>
  <c r="T242" s="1"/>
  <c r="AH76"/>
  <c r="AJ76"/>
  <c r="Y175" s="1"/>
  <c r="S246" s="1"/>
  <c r="X175"/>
  <c r="T246" s="1"/>
  <c r="AG207"/>
  <c r="AG219" s="1"/>
  <c r="AH219" s="1"/>
  <c r="AJ70"/>
  <c r="AH70"/>
  <c r="AG206"/>
  <c r="AH104"/>
  <c r="AJ104"/>
  <c r="X202"/>
  <c r="T245" s="1"/>
  <c r="AJ100"/>
  <c r="Y202" s="1"/>
  <c r="S245" s="1"/>
  <c r="AH100"/>
  <c r="AJ87"/>
  <c r="AH87"/>
  <c r="AJ99"/>
  <c r="Y199" s="1"/>
  <c r="AH99"/>
  <c r="X199"/>
  <c r="AH89"/>
  <c r="X185"/>
  <c r="AJ89"/>
  <c r="Y185" s="1"/>
  <c r="AH74"/>
  <c r="AJ74"/>
  <c r="AG208"/>
  <c r="AH77"/>
  <c r="AJ77"/>
  <c r="AJ103"/>
  <c r="AH103"/>
  <c r="AH83"/>
  <c r="AJ83"/>
  <c r="Y182" s="1"/>
  <c r="X182"/>
  <c r="AH80"/>
  <c r="X178"/>
  <c r="AJ80"/>
  <c r="Y178" s="1"/>
  <c r="X181"/>
  <c r="AH82"/>
  <c r="AJ82"/>
  <c r="Y181" s="1"/>
  <c r="AH97"/>
  <c r="X197"/>
  <c r="AJ97"/>
  <c r="Y197" s="1"/>
  <c r="AH79"/>
  <c r="AJ79"/>
  <c r="Y177" s="1"/>
  <c r="AG210"/>
  <c r="AG234" s="1"/>
  <c r="X177"/>
  <c r="AJ102"/>
  <c r="AH102"/>
  <c r="AG168"/>
  <c r="AH168" s="1"/>
  <c r="AH216"/>
  <c r="AJ216" s="1"/>
  <c r="X176"/>
  <c r="T243" s="1"/>
  <c r="AJ78"/>
  <c r="Y176" s="1"/>
  <c r="S243" s="1"/>
  <c r="AH78"/>
  <c r="AH96"/>
  <c r="X196"/>
  <c r="AJ96"/>
  <c r="Y196" s="1"/>
  <c r="AH86"/>
  <c r="AJ86"/>
  <c r="Y179" s="1"/>
  <c r="X179"/>
  <c r="AG88"/>
  <c r="AH90"/>
  <c r="AG212"/>
  <c r="X186"/>
  <c r="AJ90"/>
  <c r="Y186" s="1"/>
  <c r="AH75"/>
  <c r="AJ75"/>
  <c r="AG209"/>
  <c r="AH71"/>
  <c r="AJ71"/>
  <c r="G234" l="1"/>
  <c r="G235" s="1"/>
  <c r="G236" s="1"/>
  <c r="U234"/>
  <c r="G233"/>
  <c r="AG235"/>
  <c r="AG236" s="1"/>
  <c r="AG233"/>
  <c r="I234"/>
  <c r="K234"/>
  <c r="M234"/>
  <c r="O234"/>
  <c r="Q234"/>
  <c r="S234"/>
  <c r="H234"/>
  <c r="J234"/>
  <c r="L234"/>
  <c r="N234"/>
  <c r="P234"/>
  <c r="R234"/>
  <c r="T234"/>
  <c r="W179"/>
  <c r="Y200"/>
  <c r="AH218"/>
  <c r="AJ218" s="1"/>
  <c r="W196"/>
  <c r="W181"/>
  <c r="W177"/>
  <c r="W185"/>
  <c r="AJ88"/>
  <c r="AG211"/>
  <c r="AH88"/>
  <c r="AH210"/>
  <c r="AJ210" s="1"/>
  <c r="X200"/>
  <c r="W197"/>
  <c r="W182"/>
  <c r="W202"/>
  <c r="AJ230"/>
  <c r="W198"/>
  <c r="AH209"/>
  <c r="AJ209" s="1"/>
  <c r="W186"/>
  <c r="W176"/>
  <c r="W199"/>
  <c r="AH213"/>
  <c r="AJ213" s="1"/>
  <c r="AH212"/>
  <c r="AJ212" s="1"/>
  <c r="AJ226" s="1"/>
  <c r="W178"/>
  <c r="AG220"/>
  <c r="AH207"/>
  <c r="AJ207" s="1"/>
  <c r="AJ220" s="1"/>
  <c r="AJ236" s="1"/>
  <c r="AH208"/>
  <c r="AJ208" s="1"/>
  <c r="AJ221" s="1"/>
  <c r="AH206"/>
  <c r="AJ206" s="1"/>
  <c r="AJ219" s="1"/>
  <c r="W175"/>
  <c r="S247" s="1"/>
  <c r="T247"/>
  <c r="W183"/>
  <c r="AG147"/>
  <c r="AH144"/>
  <c r="AG145"/>
  <c r="U233" l="1"/>
  <c r="V233" s="1"/>
  <c r="V234"/>
  <c r="U235"/>
  <c r="AJ234"/>
  <c r="AJ233"/>
  <c r="T235"/>
  <c r="T233"/>
  <c r="P235"/>
  <c r="P236" s="1"/>
  <c r="P233"/>
  <c r="L235"/>
  <c r="L236" s="1"/>
  <c r="L233"/>
  <c r="H235"/>
  <c r="H236" s="1"/>
  <c r="H233"/>
  <c r="Q235"/>
  <c r="Q236" s="1"/>
  <c r="Q233"/>
  <c r="M235"/>
  <c r="M236" s="1"/>
  <c r="M233"/>
  <c r="I235"/>
  <c r="I236" s="1"/>
  <c r="I233"/>
  <c r="R233"/>
  <c r="R235"/>
  <c r="R236" s="1"/>
  <c r="N233"/>
  <c r="N235"/>
  <c r="N236" s="1"/>
  <c r="J233"/>
  <c r="AH233" s="1"/>
  <c r="J235"/>
  <c r="AH234"/>
  <c r="S235"/>
  <c r="S236" s="1"/>
  <c r="S233"/>
  <c r="O235"/>
  <c r="O236" s="1"/>
  <c r="O233"/>
  <c r="K235"/>
  <c r="K236" s="1"/>
  <c r="K233"/>
  <c r="AJ224"/>
  <c r="AJ223"/>
  <c r="AH220"/>
  <c r="AG221"/>
  <c r="AH221" s="1"/>
  <c r="W200"/>
  <c r="AH145"/>
  <c r="AG146"/>
  <c r="AH146" s="1"/>
  <c r="P242"/>
  <c r="P243"/>
  <c r="P245"/>
  <c r="AH211"/>
  <c r="AJ211" s="1"/>
  <c r="AJ225" s="1"/>
  <c r="U236" l="1"/>
  <c r="V236" s="1"/>
  <c r="V235"/>
  <c r="J236"/>
  <c r="AH236" s="1"/>
  <c r="AH235"/>
  <c r="T236"/>
</calcChain>
</file>

<file path=xl/comments1.xml><?xml version="1.0" encoding="utf-8"?>
<comments xmlns="http://schemas.openxmlformats.org/spreadsheetml/2006/main">
  <authors>
    <author>Author</author>
  </authors>
  <commentList>
    <comment ref="B1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<sst xmlns="http://schemas.openxmlformats.org/spreadsheetml/2006/main" count="764" uniqueCount="510">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</sst>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3394432"/>
        <c:axId val="73408512"/>
      </c:lineChart>
      <c:catAx>
        <c:axId val="73394432"/>
        <c:scaling>
          <c:orientation val="minMax"/>
        </c:scaling>
        <c:axPos val="b"/>
        <c:tickLblPos val="nextTo"/>
        <c:crossAx val="73408512"/>
        <c:crosses val="autoZero"/>
        <c:auto val="1"/>
        <c:lblAlgn val="ctr"/>
        <c:lblOffset val="100"/>
      </c:catAx>
      <c:valAx>
        <c:axId val="73408512"/>
        <c:scaling>
          <c:orientation val="minMax"/>
        </c:scaling>
        <c:axPos val="l"/>
        <c:majorGridlines/>
        <c:numFmt formatCode="General" sourceLinked="1"/>
        <c:tickLblPos val="nextTo"/>
        <c:crossAx val="7339443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11" zoomScale="80" zoomScaleNormal="80" workbookViewId="0">
      <selection activeCell="L30" sqref="L30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9" t="s">
        <v>435</v>
      </c>
      <c r="C3" s="279"/>
      <c r="D3" s="279"/>
      <c r="G3" s="279" t="s">
        <v>436</v>
      </c>
      <c r="H3" s="279"/>
      <c r="I3" s="279"/>
      <c r="P3" s="280" t="s">
        <v>437</v>
      </c>
      <c r="Q3" s="281"/>
      <c r="R3" s="281"/>
      <c r="S3" s="282"/>
      <c r="T3" s="280" t="s">
        <v>438</v>
      </c>
      <c r="U3" s="281"/>
      <c r="V3" s="281"/>
      <c r="W3" s="282"/>
    </row>
    <row r="4" spans="2:23">
      <c r="B4" s="183" t="s">
        <v>439</v>
      </c>
      <c r="C4" s="283">
        <v>9500000</v>
      </c>
      <c r="D4" s="283"/>
      <c r="G4" s="183" t="s">
        <v>440</v>
      </c>
      <c r="H4" s="284">
        <v>200000</v>
      </c>
      <c r="I4" s="284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85">
        <v>0.08</v>
      </c>
      <c r="D5" s="286"/>
      <c r="G5" s="183" t="s">
        <v>446</v>
      </c>
      <c r="H5" s="287">
        <v>0.12</v>
      </c>
      <c r="I5" s="287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84">
        <v>30</v>
      </c>
      <c r="D6" s="284"/>
      <c r="G6" s="183" t="s">
        <v>448</v>
      </c>
      <c r="H6" s="284">
        <v>10</v>
      </c>
      <c r="I6" s="284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88"/>
      <c r="D7" s="288"/>
      <c r="G7" s="183"/>
      <c r="H7" s="288"/>
      <c r="I7" s="288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88"/>
      <c r="D8" s="288"/>
      <c r="G8" s="183"/>
      <c r="H8" s="288"/>
      <c r="I8" s="288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89">
        <f>C4*(1/(1+C5)^C6)</f>
        <v>944084.6592231117</v>
      </c>
      <c r="D9" s="289"/>
      <c r="G9" s="201" t="s">
        <v>453</v>
      </c>
      <c r="H9" s="289">
        <f>H4*((1+H5)^H6)</f>
        <v>621169.64166884217</v>
      </c>
      <c r="I9" s="289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89">
        <f>C4-C9</f>
        <v>8555915.3407768887</v>
      </c>
      <c r="D10" s="289"/>
      <c r="G10" s="201" t="s">
        <v>455</v>
      </c>
      <c r="H10" s="290">
        <f>H9-H4</f>
        <v>421169.64166884217</v>
      </c>
      <c r="I10" s="290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79" t="s">
        <v>459</v>
      </c>
      <c r="C14" s="279"/>
      <c r="D14" s="279"/>
      <c r="G14" s="279" t="s">
        <v>460</v>
      </c>
      <c r="H14" s="279"/>
      <c r="I14" s="279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84">
        <v>24000</v>
      </c>
      <c r="D15" s="284"/>
      <c r="G15" s="183" t="s">
        <v>461</v>
      </c>
      <c r="H15" s="284">
        <v>200000</v>
      </c>
      <c r="I15" s="284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85">
        <v>0.1</v>
      </c>
      <c r="D16" s="286"/>
      <c r="G16" s="183" t="s">
        <v>446</v>
      </c>
      <c r="H16" s="285">
        <v>0.12</v>
      </c>
      <c r="I16" s="286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84">
        <v>20</v>
      </c>
      <c r="D17" s="284"/>
      <c r="G17" s="183" t="s">
        <v>448</v>
      </c>
      <c r="H17" s="284">
        <v>10</v>
      </c>
      <c r="I17" s="284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88"/>
      <c r="D18" s="288"/>
      <c r="G18" s="183"/>
      <c r="H18" s="288"/>
      <c r="I18" s="288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91">
        <f>( ( 1-  (1/ ( (1+C16)^C17) ) ) / C16)</f>
        <v>8.5135637197585652</v>
      </c>
      <c r="D19" s="292"/>
      <c r="G19" s="201" t="s">
        <v>463</v>
      </c>
      <c r="H19" s="291">
        <f>( ((1+H16)^H17) -1 ) / H16</f>
        <v>17.548735069535095</v>
      </c>
      <c r="I19" s="292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3">
        <f>C19 * C15</f>
        <v>204325.52927420556</v>
      </c>
      <c r="D20" s="294"/>
      <c r="G20" s="201" t="s">
        <v>465</v>
      </c>
      <c r="H20" s="291">
        <f>H19 * H15</f>
        <v>3509747.013907019</v>
      </c>
      <c r="I20" s="292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95"/>
      <c r="D21" s="296"/>
      <c r="G21" s="201"/>
      <c r="H21" s="295"/>
      <c r="I21" s="296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89"/>
      <c r="D22" s="289"/>
      <c r="G22" s="201"/>
      <c r="H22" s="289"/>
      <c r="I22" s="289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79" t="s">
        <v>466</v>
      </c>
      <c r="C26" s="279"/>
      <c r="D26" s="279"/>
      <c r="G26" s="279" t="s">
        <v>467</v>
      </c>
      <c r="H26" s="279"/>
      <c r="I26" s="279"/>
      <c r="K26" s="279" t="s">
        <v>15</v>
      </c>
      <c r="L26" s="279"/>
    </row>
    <row r="27" spans="2:18">
      <c r="B27" s="183" t="s">
        <v>461</v>
      </c>
      <c r="C27" s="284">
        <v>100</v>
      </c>
      <c r="D27" s="284"/>
      <c r="G27" s="183" t="s">
        <v>461</v>
      </c>
      <c r="H27" s="284">
        <v>200000</v>
      </c>
      <c r="I27" s="284"/>
      <c r="K27" s="10" t="s">
        <v>16</v>
      </c>
      <c r="L27" s="11">
        <v>45</v>
      </c>
      <c r="M27" s="273">
        <v>2000000</v>
      </c>
    </row>
    <row r="28" spans="2:18">
      <c r="B28" s="183" t="s">
        <v>446</v>
      </c>
      <c r="C28" s="285">
        <v>0.05</v>
      </c>
      <c r="D28" s="286"/>
      <c r="G28" s="183" t="s">
        <v>446</v>
      </c>
      <c r="H28" s="285">
        <v>0.12</v>
      </c>
      <c r="I28" s="286"/>
      <c r="K28" s="10" t="s">
        <v>17</v>
      </c>
      <c r="L28" s="11">
        <v>240</v>
      </c>
      <c r="M28" s="212">
        <f>L41*M27</f>
        <v>10666666.666666666</v>
      </c>
      <c r="R28">
        <v>416</v>
      </c>
    </row>
    <row r="29" spans="2:18">
      <c r="B29" s="183" t="s">
        <v>448</v>
      </c>
      <c r="C29" s="284">
        <v>3</v>
      </c>
      <c r="D29" s="284"/>
      <c r="G29" s="183" t="s">
        <v>448</v>
      </c>
      <c r="H29" s="284">
        <v>11</v>
      </c>
      <c r="I29" s="284"/>
      <c r="K29" s="10" t="s">
        <v>18</v>
      </c>
      <c r="L29" s="12">
        <v>8</v>
      </c>
      <c r="M29" s="272"/>
    </row>
    <row r="30" spans="2:18" ht="15.75" thickBot="1">
      <c r="B30" s="183"/>
      <c r="C30" s="288"/>
      <c r="D30" s="288"/>
      <c r="G30" s="183"/>
      <c r="H30" s="288"/>
      <c r="I30" s="288"/>
      <c r="K30" s="13" t="s">
        <v>19</v>
      </c>
      <c r="L30" s="3">
        <f>((L28/L27)^(1/L29))-1</f>
        <v>0.23274951685376255</v>
      </c>
      <c r="M30" s="3"/>
    </row>
    <row r="31" spans="2:18">
      <c r="B31" s="201" t="s">
        <v>462</v>
      </c>
      <c r="C31" s="291">
        <f>( ( ( 1-  (1/ ( (1+C28)^C29) ) ) / C28) ) * (1+C28)</f>
        <v>2.859410430839004</v>
      </c>
      <c r="D31" s="292"/>
      <c r="G31" s="201" t="s">
        <v>463</v>
      </c>
      <c r="H31" s="291">
        <f>(( ((1+H28)^H29) -1 ) / H28 ) * ( 1+H28)</f>
        <v>23.133133271224832</v>
      </c>
      <c r="I31" s="292"/>
      <c r="K31" s="13" t="s">
        <v>20</v>
      </c>
      <c r="L31" s="14">
        <f>L29*12</f>
        <v>96</v>
      </c>
      <c r="M31" s="274"/>
      <c r="P31" s="215" t="s">
        <v>468</v>
      </c>
      <c r="Q31" s="216" t="s">
        <v>469</v>
      </c>
    </row>
    <row r="32" spans="2:18">
      <c r="B32" s="201" t="s">
        <v>470</v>
      </c>
      <c r="C32" s="291">
        <f>C31 * C27</f>
        <v>285.94104308390041</v>
      </c>
      <c r="D32" s="292"/>
      <c r="G32" s="201" t="s">
        <v>471</v>
      </c>
      <c r="H32" s="291">
        <f>H31 * H27</f>
        <v>4626626.6542449668</v>
      </c>
      <c r="I32" s="292"/>
      <c r="K32" s="10" t="s">
        <v>18</v>
      </c>
      <c r="L32" s="15">
        <f>L31/12</f>
        <v>8</v>
      </c>
      <c r="M32" s="275"/>
      <c r="P32" s="217">
        <v>0.05</v>
      </c>
      <c r="Q32" s="218">
        <v>14</v>
      </c>
    </row>
    <row r="33" spans="2:17">
      <c r="B33" s="201"/>
      <c r="C33" s="295"/>
      <c r="D33" s="296"/>
      <c r="G33" s="201"/>
      <c r="H33" s="295"/>
      <c r="I33" s="296"/>
      <c r="K33" s="13" t="s">
        <v>21</v>
      </c>
      <c r="L33" s="3">
        <f>((L28/L27)^(1/L32))-1</f>
        <v>0.23274951685376255</v>
      </c>
      <c r="M33" s="276"/>
      <c r="P33" s="217">
        <v>0.08</v>
      </c>
      <c r="Q33" s="218">
        <v>9</v>
      </c>
    </row>
    <row r="34" spans="2:17">
      <c r="B34" s="201"/>
      <c r="C34" s="289"/>
      <c r="D34" s="289"/>
      <c r="G34" s="201"/>
      <c r="H34" s="289"/>
      <c r="I34" s="289"/>
      <c r="P34" s="217">
        <v>0.1</v>
      </c>
      <c r="Q34" s="218">
        <v>10</v>
      </c>
    </row>
    <row r="35" spans="2:17">
      <c r="P35" s="217">
        <v>0.15</v>
      </c>
      <c r="Q35" s="218">
        <v>5</v>
      </c>
    </row>
    <row r="36" spans="2:17">
      <c r="B36" s="279" t="s">
        <v>24</v>
      </c>
      <c r="C36" s="279"/>
      <c r="D36" s="279"/>
      <c r="E36" s="219"/>
      <c r="G36" s="279" t="s">
        <v>53</v>
      </c>
      <c r="H36" s="279"/>
      <c r="K36" s="279" t="s">
        <v>334</v>
      </c>
      <c r="L36" s="279"/>
      <c r="P36" s="217">
        <v>0.2</v>
      </c>
      <c r="Q36" s="218">
        <v>4</v>
      </c>
    </row>
    <row r="37" spans="2:17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45</v>
      </c>
      <c r="M37" s="214"/>
      <c r="P37" s="217">
        <v>0.25</v>
      </c>
      <c r="Q37" s="218">
        <v>3</v>
      </c>
    </row>
    <row r="38" spans="2:17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240</v>
      </c>
      <c r="M38" s="214"/>
      <c r="P38" s="217">
        <v>0.3</v>
      </c>
      <c r="Q38" s="218">
        <v>2.5</v>
      </c>
    </row>
    <row r="39" spans="2:17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4.333333333333333</v>
      </c>
      <c r="P40" s="222">
        <v>0.5</v>
      </c>
      <c r="Q40" s="223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5.333333333333333</v>
      </c>
      <c r="P41" s="222">
        <v>0.75</v>
      </c>
      <c r="Q41" s="223">
        <v>1.3</v>
      </c>
    </row>
    <row r="42" spans="2:17" ht="15.75" thickBot="1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>
      <c r="C43" s="299" t="s">
        <v>453</v>
      </c>
      <c r="D43" s="299"/>
      <c r="E43" s="299"/>
      <c r="F43" s="299"/>
      <c r="J43" s="299" t="s">
        <v>453</v>
      </c>
      <c r="K43" s="299"/>
      <c r="L43" s="299"/>
      <c r="M43" s="299"/>
    </row>
    <row r="44" spans="2:17" ht="15.75" thickBot="1">
      <c r="B44" s="229"/>
      <c r="C44" s="297" t="s">
        <v>474</v>
      </c>
      <c r="D44" s="298"/>
      <c r="E44" s="230" t="s">
        <v>475</v>
      </c>
      <c r="F44" s="230"/>
      <c r="G44" s="231"/>
      <c r="I44" s="229"/>
      <c r="J44" s="297" t="s">
        <v>476</v>
      </c>
      <c r="K44" s="298"/>
      <c r="L44" s="230" t="s">
        <v>477</v>
      </c>
      <c r="M44" s="230"/>
      <c r="N44" s="231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300" t="s">
        <v>478</v>
      </c>
      <c r="C46" s="301"/>
      <c r="D46" s="301"/>
      <c r="E46" s="301"/>
      <c r="F46" s="301"/>
      <c r="G46" s="302"/>
      <c r="I46" s="300" t="s">
        <v>478</v>
      </c>
      <c r="J46" s="301"/>
      <c r="K46" s="301"/>
      <c r="L46" s="301"/>
      <c r="M46" s="301"/>
      <c r="N46" s="302"/>
    </row>
    <row r="47" spans="2:17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2332630920.4101562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>
      <c r="A65">
        <f t="shared" si="8"/>
        <v>2029</v>
      </c>
      <c r="B65" s="238">
        <f t="shared" si="8"/>
        <v>16</v>
      </c>
      <c r="C65" s="239">
        <f t="shared" si="2"/>
        <v>2332630920.4101562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>
      <c r="B81" s="303" t="s">
        <v>486</v>
      </c>
      <c r="C81" s="304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303" t="s">
        <v>486</v>
      </c>
      <c r="J81" s="304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>
      <c r="G83" s="261"/>
      <c r="H83" s="250">
        <f t="shared" si="14"/>
        <v>0</v>
      </c>
    </row>
    <row r="84" spans="2:14" ht="15.75" thickBot="1">
      <c r="C84" s="299" t="s">
        <v>488</v>
      </c>
      <c r="D84" s="299"/>
      <c r="E84" s="299"/>
      <c r="F84" s="299"/>
      <c r="H84" s="250">
        <f t="shared" si="14"/>
        <v>0</v>
      </c>
      <c r="J84" s="299" t="s">
        <v>488</v>
      </c>
      <c r="K84" s="299"/>
      <c r="L84" s="299"/>
      <c r="M84" s="299"/>
    </row>
    <row r="85" spans="2:14" ht="15.75" thickBot="1">
      <c r="H85" s="250">
        <f t="shared" si="14"/>
        <v>1.4999999999999999E-7</v>
      </c>
    </row>
    <row r="86" spans="2:14" ht="15.75" thickBot="1">
      <c r="B86" s="229"/>
      <c r="C86" s="297" t="s">
        <v>474</v>
      </c>
      <c r="D86" s="298"/>
      <c r="E86" s="230" t="s">
        <v>475</v>
      </c>
      <c r="F86" s="230"/>
      <c r="G86" s="231"/>
      <c r="H86" s="250">
        <f t="shared" si="14"/>
        <v>0</v>
      </c>
      <c r="I86" s="229"/>
      <c r="J86" s="297" t="s">
        <v>489</v>
      </c>
      <c r="K86" s="298"/>
      <c r="L86" s="230" t="s">
        <v>490</v>
      </c>
      <c r="M86" s="230"/>
      <c r="N86" s="231"/>
    </row>
    <row r="87" spans="2:14" ht="15.75" thickBot="1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300" t="s">
        <v>491</v>
      </c>
      <c r="C88" s="301"/>
      <c r="D88" s="301"/>
      <c r="E88" s="301"/>
      <c r="F88" s="301"/>
      <c r="G88" s="302"/>
      <c r="H88" s="250">
        <f t="shared" si="14"/>
        <v>0</v>
      </c>
      <c r="I88" s="300" t="s">
        <v>491</v>
      </c>
      <c r="J88" s="301"/>
      <c r="K88" s="301"/>
      <c r="L88" s="301"/>
      <c r="M88" s="301"/>
      <c r="N88" s="302"/>
    </row>
    <row r="89" spans="2:14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303" t="s">
        <v>497</v>
      </c>
      <c r="C124" s="304"/>
      <c r="D124" s="255">
        <f>SUM(D91:D123)</f>
        <v>1900</v>
      </c>
      <c r="E124" s="253"/>
      <c r="F124" s="253"/>
      <c r="G124" s="267">
        <f>G121</f>
        <v>1413.1902480939689</v>
      </c>
      <c r="I124" s="303" t="s">
        <v>497</v>
      </c>
      <c r="J124" s="304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83"/>
  <sheetViews>
    <sheetView tabSelected="1" zoomScale="80" zoomScaleNormal="80" workbookViewId="0">
      <pane xSplit="2" ySplit="3" topLeftCell="S4" activePane="bottomRight" state="frozen"/>
      <selection pane="topRight" activeCell="C1" sqref="C1"/>
      <selection pane="bottomLeft" activeCell="A5" sqref="A5"/>
      <selection pane="bottomRight" activeCell="AK2" sqref="AK2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509</v>
      </c>
      <c r="C1" s="278">
        <f>S2</f>
        <v>0.15</v>
      </c>
      <c r="I1" s="89" t="s">
        <v>209</v>
      </c>
      <c r="K1" s="107">
        <v>2011</v>
      </c>
      <c r="M1" s="89" t="s">
        <v>271</v>
      </c>
      <c r="O1" s="139">
        <v>0.01</v>
      </c>
      <c r="Q1" s="89" t="s">
        <v>340</v>
      </c>
      <c r="S1" s="139">
        <v>0.01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0.2</v>
      </c>
      <c r="Q2" s="89" t="s">
        <v>406</v>
      </c>
      <c r="S2" s="139">
        <v>0.15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9" t="s">
        <v>240</v>
      </c>
      <c r="AJ2" s="310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1" t="s">
        <v>241</v>
      </c>
      <c r="AJ3" s="312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/>
      <c r="G6" s="124">
        <f>N6</f>
        <v>23</v>
      </c>
      <c r="H6" s="124"/>
      <c r="I6" s="124"/>
      <c r="J6" s="124"/>
      <c r="K6" s="124"/>
      <c r="L6" s="124"/>
      <c r="M6" s="124"/>
      <c r="N6" s="124">
        <v>23</v>
      </c>
      <c r="O6" s="124">
        <v>30</v>
      </c>
      <c r="P6" s="124">
        <v>52</v>
      </c>
      <c r="Q6" s="124">
        <v>68</v>
      </c>
      <c r="R6" s="124">
        <v>100</v>
      </c>
      <c r="S6" s="180">
        <v>123</v>
      </c>
      <c r="T6" s="180">
        <v>241</v>
      </c>
      <c r="U6" s="180">
        <v>665</v>
      </c>
      <c r="V6" s="101">
        <f>((U6/G6)^(1/($K$2-$K$1) ))-1</f>
        <v>0.6170657810277822</v>
      </c>
      <c r="W6" s="21">
        <f>$O$2</f>
        <v>0.2</v>
      </c>
      <c r="X6" s="130">
        <f>U6*(1+$W6)</f>
        <v>798</v>
      </c>
      <c r="Y6" s="130">
        <f>X6*(1+$W6)</f>
        <v>957.59999999999991</v>
      </c>
      <c r="Z6" s="130">
        <f t="shared" ref="Z6:AG6" si="0">Y6*(1+$W6)</f>
        <v>1149.1199999999999</v>
      </c>
      <c r="AA6" s="130">
        <f t="shared" si="0"/>
        <v>1378.9439999999997</v>
      </c>
      <c r="AB6" s="130">
        <f t="shared" si="0"/>
        <v>1654.7327999999995</v>
      </c>
      <c r="AC6" s="130">
        <f t="shared" si="0"/>
        <v>1985.6793599999994</v>
      </c>
      <c r="AD6" s="130">
        <f t="shared" si="0"/>
        <v>2382.815231999999</v>
      </c>
      <c r="AE6" s="130">
        <f t="shared" si="0"/>
        <v>2859.3782783999986</v>
      </c>
      <c r="AF6" s="130">
        <f t="shared" si="0"/>
        <v>3431.2539340799981</v>
      </c>
      <c r="AG6" s="130">
        <f t="shared" si="0"/>
        <v>4117.5047208959977</v>
      </c>
      <c r="AH6" s="115" t="e">
        <f>((AG6/J6)^(1/($AG$3-$K$1) ))-1</f>
        <v>#DIV/0!</v>
      </c>
      <c r="AI6" s="21">
        <f>$O$1</f>
        <v>0.01</v>
      </c>
      <c r="AJ6" s="123">
        <f t="shared" ref="AJ6:AJ63" si="1">(AG6*(1+AI6))/($C$1-AI6)</f>
        <v>29704.855486463985</v>
      </c>
    </row>
    <row r="7" spans="2:36">
      <c r="B7" s="10" t="s">
        <v>198</v>
      </c>
      <c r="C7" s="118"/>
      <c r="D7" s="118"/>
      <c r="E7" s="124"/>
      <c r="F7" s="124"/>
      <c r="G7" s="124">
        <f>N7</f>
        <v>116</v>
      </c>
      <c r="H7" s="124"/>
      <c r="I7" s="124"/>
      <c r="J7" s="124"/>
      <c r="K7" s="124"/>
      <c r="L7" s="124"/>
      <c r="M7" s="124"/>
      <c r="N7" s="124">
        <v>116</v>
      </c>
      <c r="O7" s="124">
        <v>124</v>
      </c>
      <c r="P7" s="124">
        <v>106</v>
      </c>
      <c r="Q7" s="124">
        <v>127</v>
      </c>
      <c r="R7" s="124">
        <v>160</v>
      </c>
      <c r="S7" s="180">
        <v>185</v>
      </c>
      <c r="T7" s="180">
        <v>335</v>
      </c>
      <c r="U7" s="180">
        <v>723</v>
      </c>
      <c r="V7" s="101">
        <f t="shared" ref="V7:V74" si="2">((U7/G7)^(1/($K$2-$K$1) ))-1</f>
        <v>0.29875059130863413</v>
      </c>
      <c r="W7" s="21">
        <f>$O$2</f>
        <v>0.2</v>
      </c>
      <c r="X7" s="130">
        <f>U7*(1+$W7)</f>
        <v>867.6</v>
      </c>
      <c r="Y7" s="130">
        <f t="shared" ref="Y7:AG7" si="3">X7*(1+$W7)</f>
        <v>1041.1199999999999</v>
      </c>
      <c r="Z7" s="130">
        <f t="shared" si="3"/>
        <v>1249.3439999999998</v>
      </c>
      <c r="AA7" s="130">
        <f t="shared" si="3"/>
        <v>1499.2127999999998</v>
      </c>
      <c r="AB7" s="130">
        <f t="shared" si="3"/>
        <v>1799.0553599999996</v>
      </c>
      <c r="AC7" s="130">
        <f t="shared" si="3"/>
        <v>2158.8664319999993</v>
      </c>
      <c r="AD7" s="130">
        <f t="shared" si="3"/>
        <v>2590.6397183999993</v>
      </c>
      <c r="AE7" s="130">
        <f t="shared" si="3"/>
        <v>3108.7676620799989</v>
      </c>
      <c r="AF7" s="130">
        <f t="shared" si="3"/>
        <v>3730.5211944959983</v>
      </c>
      <c r="AG7" s="130">
        <f t="shared" si="3"/>
        <v>4476.6254333951974</v>
      </c>
      <c r="AH7" s="115" t="e">
        <f>((AG7/J7)^(1/($AG$3-$K$1) ))-1</f>
        <v>#DIV/0!</v>
      </c>
      <c r="AI7" s="21">
        <f>$O$1</f>
        <v>0.01</v>
      </c>
      <c r="AJ7" s="123">
        <f t="shared" si="1"/>
        <v>32295.65491235107</v>
      </c>
    </row>
    <row r="8" spans="2:36">
      <c r="B8" s="10"/>
      <c r="C8" s="118"/>
      <c r="D8" s="118"/>
      <c r="E8" s="124"/>
      <c r="F8" s="268"/>
      <c r="G8" s="268">
        <f>(G7-F7)/G7</f>
        <v>1</v>
      </c>
      <c r="H8" s="127" t="e">
        <f>(H7-G7)/H7</f>
        <v>#DIV/0!</v>
      </c>
      <c r="I8" s="127" t="e">
        <f t="shared" ref="I8:P8" si="4">(I7-H7)/I7</f>
        <v>#DIV/0!</v>
      </c>
      <c r="J8" s="127" t="e">
        <f t="shared" si="4"/>
        <v>#DIV/0!</v>
      </c>
      <c r="K8" s="127" t="e">
        <f t="shared" si="4"/>
        <v>#DIV/0!</v>
      </c>
      <c r="L8" s="127" t="e">
        <f t="shared" si="4"/>
        <v>#DIV/0!</v>
      </c>
      <c r="M8" s="127" t="e">
        <f t="shared" si="4"/>
        <v>#DIV/0!</v>
      </c>
      <c r="N8" s="127">
        <f t="shared" si="4"/>
        <v>1</v>
      </c>
      <c r="O8" s="127">
        <f t="shared" si="4"/>
        <v>6.4516129032258063E-2</v>
      </c>
      <c r="P8" s="127">
        <f t="shared" si="4"/>
        <v>-0.16981132075471697</v>
      </c>
      <c r="Q8" s="127">
        <f t="shared" ref="Q8:R8" si="5">(Q7-P7)/Q7</f>
        <v>0.16535433070866143</v>
      </c>
      <c r="R8" s="127">
        <f t="shared" si="5"/>
        <v>0.20624999999999999</v>
      </c>
      <c r="S8" s="127">
        <f t="shared" ref="S8:U8" si="6">(S7-R7)/R7</f>
        <v>0.15625</v>
      </c>
      <c r="T8" s="127">
        <f t="shared" si="6"/>
        <v>0.81081081081081086</v>
      </c>
      <c r="U8" s="127">
        <f t="shared" si="6"/>
        <v>1.1582089552238806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/>
      <c r="G9" s="124">
        <f>N9</f>
        <v>11</v>
      </c>
      <c r="H9" s="124"/>
      <c r="I9" s="124"/>
      <c r="J9" s="124"/>
      <c r="K9" s="124"/>
      <c r="L9" s="124"/>
      <c r="M9" s="124"/>
      <c r="N9" s="124">
        <v>11</v>
      </c>
      <c r="O9" s="124">
        <v>147</v>
      </c>
      <c r="P9" s="124">
        <v>212</v>
      </c>
      <c r="Q9" s="124">
        <v>287</v>
      </c>
      <c r="R9" s="124">
        <v>433</v>
      </c>
      <c r="S9" s="180">
        <v>554</v>
      </c>
      <c r="T9" s="180">
        <v>708</v>
      </c>
      <c r="U9" s="180">
        <v>852</v>
      </c>
      <c r="V9" s="101">
        <f t="shared" si="2"/>
        <v>0.86150344476651175</v>
      </c>
      <c r="W9" s="21">
        <f t="shared" ref="W9:W59" si="7">$O$2</f>
        <v>0.2</v>
      </c>
      <c r="X9" s="130">
        <f t="shared" ref="X9:X63" si="8">U9*(1+$W9)</f>
        <v>1022.4</v>
      </c>
      <c r="Y9" s="130">
        <f t="shared" ref="Y9" si="9">X9*(1+$W9)</f>
        <v>1226.8799999999999</v>
      </c>
      <c r="Z9" s="130">
        <f t="shared" ref="Z9" si="10">Y9*(1+$W9)</f>
        <v>1472.2559999999999</v>
      </c>
      <c r="AA9" s="130">
        <f t="shared" ref="AA9" si="11">Z9*(1+$W9)</f>
        <v>1766.7071999999998</v>
      </c>
      <c r="AB9" s="130">
        <f t="shared" ref="AB9" si="12">AA9*(1+$W9)</f>
        <v>2120.0486399999995</v>
      </c>
      <c r="AC9" s="130">
        <f t="shared" ref="AC9" si="13">AB9*(1+$W9)</f>
        <v>2544.0583679999995</v>
      </c>
      <c r="AD9" s="130">
        <f t="shared" ref="AD9" si="14">AC9*(1+$W9)</f>
        <v>3052.8700415999992</v>
      </c>
      <c r="AE9" s="130">
        <f t="shared" ref="AE9" si="15">AD9*(1+$W9)</f>
        <v>3663.4440499199991</v>
      </c>
      <c r="AF9" s="130">
        <f t="shared" ref="AF9" si="16">AE9*(1+$W9)</f>
        <v>4396.1328599039989</v>
      </c>
      <c r="AG9" s="130">
        <f t="shared" ref="AG9" si="17">AF9*(1+$W9)</f>
        <v>5275.3594318847981</v>
      </c>
      <c r="AH9" s="115" t="e">
        <f>((AG9/J9)^(1/($AG$3-$K$1) ))-1</f>
        <v>#DIV/0!</v>
      </c>
      <c r="AI9" s="21">
        <f t="shared" ref="AI9:AI103" si="18">$O$1</f>
        <v>0.01</v>
      </c>
      <c r="AJ9" s="123">
        <f t="shared" si="1"/>
        <v>38057.950187168906</v>
      </c>
    </row>
    <row r="10" spans="2:36">
      <c r="B10" s="10" t="s">
        <v>3</v>
      </c>
      <c r="C10" s="118"/>
      <c r="D10" s="118"/>
      <c r="E10" s="124"/>
      <c r="F10" s="124"/>
      <c r="G10" s="124">
        <f>N10</f>
        <v>341</v>
      </c>
      <c r="H10" s="124"/>
      <c r="I10" s="124"/>
      <c r="J10" s="124"/>
      <c r="K10" s="124"/>
      <c r="L10" s="124"/>
      <c r="M10" s="124"/>
      <c r="N10" s="124">
        <v>341</v>
      </c>
      <c r="O10" s="124">
        <v>305</v>
      </c>
      <c r="P10" s="124">
        <v>475</v>
      </c>
      <c r="Q10" s="124">
        <v>703</v>
      </c>
      <c r="R10" s="124">
        <v>960</v>
      </c>
      <c r="S10" s="180">
        <v>1185</v>
      </c>
      <c r="T10" s="180">
        <v>1128</v>
      </c>
      <c r="U10" s="180">
        <v>1252</v>
      </c>
      <c r="V10" s="101">
        <f t="shared" si="2"/>
        <v>0.20418399319859004</v>
      </c>
      <c r="W10" s="21">
        <f t="shared" si="7"/>
        <v>0.2</v>
      </c>
      <c r="X10" s="130">
        <f t="shared" si="8"/>
        <v>1502.3999999999999</v>
      </c>
      <c r="Y10" s="130">
        <f t="shared" ref="Y10:AG10" si="19">X10*(1+$W10)</f>
        <v>1802.8799999999999</v>
      </c>
      <c r="Z10" s="130">
        <f t="shared" si="19"/>
        <v>2163.4559999999997</v>
      </c>
      <c r="AA10" s="130">
        <f t="shared" si="19"/>
        <v>2596.1471999999994</v>
      </c>
      <c r="AB10" s="130">
        <f t="shared" si="19"/>
        <v>3115.376639999999</v>
      </c>
      <c r="AC10" s="130">
        <f t="shared" si="19"/>
        <v>3738.4519679999985</v>
      </c>
      <c r="AD10" s="130">
        <f t="shared" si="19"/>
        <v>4486.1423615999984</v>
      </c>
      <c r="AE10" s="130">
        <f t="shared" si="19"/>
        <v>5383.3708339199975</v>
      </c>
      <c r="AF10" s="130">
        <f t="shared" si="19"/>
        <v>6460.0450007039972</v>
      </c>
      <c r="AG10" s="130">
        <f t="shared" si="19"/>
        <v>7752.0540008447961</v>
      </c>
      <c r="AH10" s="115" t="e">
        <f t="shared" ref="AH10:AH61" si="20">((AG10/J10)^(1/($AG$3-$K$1) ))-1</f>
        <v>#DIV/0!</v>
      </c>
      <c r="AI10" s="21">
        <f t="shared" si="18"/>
        <v>0.01</v>
      </c>
      <c r="AJ10" s="123">
        <f t="shared" si="1"/>
        <v>55925.532434666035</v>
      </c>
    </row>
    <row r="11" spans="2:36">
      <c r="B11" s="10"/>
      <c r="C11" s="118"/>
      <c r="D11" s="118"/>
      <c r="E11" s="124"/>
      <c r="F11" s="268"/>
      <c r="G11" s="268">
        <f>(G10-F10)/G10</f>
        <v>1</v>
      </c>
      <c r="H11" s="268" t="e">
        <f t="shared" ref="H11:P11" si="21">(H10-G10)/H10</f>
        <v>#DIV/0!</v>
      </c>
      <c r="I11" s="268" t="e">
        <f t="shared" si="21"/>
        <v>#DIV/0!</v>
      </c>
      <c r="J11" s="268" t="e">
        <f t="shared" si="21"/>
        <v>#DIV/0!</v>
      </c>
      <c r="K11" s="268" t="e">
        <f t="shared" si="21"/>
        <v>#DIV/0!</v>
      </c>
      <c r="L11" s="268" t="e">
        <f t="shared" si="21"/>
        <v>#DIV/0!</v>
      </c>
      <c r="M11" s="268" t="e">
        <f t="shared" si="21"/>
        <v>#DIV/0!</v>
      </c>
      <c r="N11" s="268">
        <f t="shared" si="21"/>
        <v>1</v>
      </c>
      <c r="O11" s="268">
        <f t="shared" si="21"/>
        <v>-0.11803278688524591</v>
      </c>
      <c r="P11" s="268">
        <f t="shared" si="21"/>
        <v>0.35789473684210527</v>
      </c>
      <c r="Q11" s="268">
        <f t="shared" ref="Q11:R11" si="22">(Q10-P10)/Q10</f>
        <v>0.32432432432432434</v>
      </c>
      <c r="R11" s="268">
        <f t="shared" si="22"/>
        <v>0.26770833333333333</v>
      </c>
      <c r="S11" s="127">
        <f t="shared" ref="S11:U11" si="23">(S10-R10)/R10</f>
        <v>0.234375</v>
      </c>
      <c r="T11" s="127">
        <f t="shared" si="23"/>
        <v>-4.810126582278481E-2</v>
      </c>
      <c r="U11" s="127">
        <f t="shared" si="23"/>
        <v>0.1099290780141844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0.01</v>
      </c>
      <c r="AJ11" s="130"/>
    </row>
    <row r="12" spans="2:36">
      <c r="B12" s="10" t="s">
        <v>2</v>
      </c>
      <c r="C12" s="118"/>
      <c r="D12" s="118"/>
      <c r="E12" s="124"/>
      <c r="F12" s="124"/>
      <c r="G12" s="124">
        <f>N12</f>
        <v>102</v>
      </c>
      <c r="H12" s="124"/>
      <c r="I12" s="124"/>
      <c r="J12" s="124"/>
      <c r="K12" s="124"/>
      <c r="L12" s="124"/>
      <c r="M12" s="124"/>
      <c r="N12" s="124">
        <v>102</v>
      </c>
      <c r="O12" s="124">
        <v>141</v>
      </c>
      <c r="P12" s="124">
        <v>175</v>
      </c>
      <c r="Q12" s="124">
        <v>185</v>
      </c>
      <c r="R12" s="124">
        <v>218</v>
      </c>
      <c r="S12" s="180">
        <v>182</v>
      </c>
      <c r="T12" s="180">
        <v>47</v>
      </c>
      <c r="U12" s="180">
        <v>57</v>
      </c>
      <c r="V12" s="101">
        <f t="shared" si="2"/>
        <v>-7.9770008434935313E-2</v>
      </c>
      <c r="W12" s="21">
        <f t="shared" si="7"/>
        <v>0.2</v>
      </c>
      <c r="X12" s="130">
        <f t="shared" si="8"/>
        <v>68.399999999999991</v>
      </c>
      <c r="Y12" s="130">
        <f t="shared" ref="Y12:AG12" si="24">X12*(1+$W12)</f>
        <v>82.079999999999984</v>
      </c>
      <c r="Z12" s="130">
        <f t="shared" si="24"/>
        <v>98.495999999999981</v>
      </c>
      <c r="AA12" s="130">
        <f t="shared" si="24"/>
        <v>118.19519999999997</v>
      </c>
      <c r="AB12" s="130">
        <f t="shared" si="24"/>
        <v>141.83423999999997</v>
      </c>
      <c r="AC12" s="130">
        <f t="shared" si="24"/>
        <v>170.20108799999994</v>
      </c>
      <c r="AD12" s="130">
        <f t="shared" si="24"/>
        <v>204.24130559999992</v>
      </c>
      <c r="AE12" s="130">
        <f t="shared" si="24"/>
        <v>245.08956671999988</v>
      </c>
      <c r="AF12" s="130">
        <f t="shared" si="24"/>
        <v>294.10748006399984</v>
      </c>
      <c r="AG12" s="130">
        <f t="shared" si="24"/>
        <v>352.92897607679981</v>
      </c>
      <c r="AH12" s="115" t="e">
        <f t="shared" si="20"/>
        <v>#DIV/0!</v>
      </c>
      <c r="AI12" s="21">
        <f t="shared" si="18"/>
        <v>0.01</v>
      </c>
      <c r="AJ12" s="123">
        <f t="shared" si="1"/>
        <v>2546.1304702683419</v>
      </c>
    </row>
    <row r="13" spans="2:36">
      <c r="B13" s="10" t="s">
        <v>191</v>
      </c>
      <c r="C13" s="118"/>
      <c r="D13" s="118"/>
      <c r="E13" s="124"/>
      <c r="F13" s="124"/>
      <c r="G13" s="124">
        <f>N13</f>
        <v>0</v>
      </c>
      <c r="H13" s="124"/>
      <c r="I13" s="124"/>
      <c r="J13" s="124"/>
      <c r="K13" s="124"/>
      <c r="L13" s="124"/>
      <c r="M13" s="124"/>
      <c r="N13" s="124">
        <v>0</v>
      </c>
      <c r="O13" s="124">
        <v>0</v>
      </c>
      <c r="P13" s="124">
        <v>0.08</v>
      </c>
      <c r="Q13" s="124">
        <v>0.08</v>
      </c>
      <c r="R13" s="124">
        <v>0.08</v>
      </c>
      <c r="S13" s="124">
        <v>0.08</v>
      </c>
      <c r="T13" s="124">
        <v>0.08</v>
      </c>
      <c r="U13" s="124">
        <v>0.08</v>
      </c>
      <c r="V13" s="101" t="e">
        <f t="shared" si="2"/>
        <v>#DIV/0!</v>
      </c>
      <c r="W13" s="21">
        <f t="shared" si="7"/>
        <v>0.2</v>
      </c>
      <c r="X13" s="130">
        <f t="shared" si="8"/>
        <v>9.6000000000000002E-2</v>
      </c>
      <c r="Y13" s="130">
        <f t="shared" ref="Y13:AG13" si="25">X13*(1+$W13)</f>
        <v>0.1152</v>
      </c>
      <c r="Z13" s="130">
        <f t="shared" si="25"/>
        <v>0.13824</v>
      </c>
      <c r="AA13" s="130">
        <f t="shared" si="25"/>
        <v>0.16588800000000001</v>
      </c>
      <c r="AB13" s="130">
        <f t="shared" si="25"/>
        <v>0.19906560000000001</v>
      </c>
      <c r="AC13" s="130">
        <f t="shared" si="25"/>
        <v>0.23887871999999999</v>
      </c>
      <c r="AD13" s="130">
        <f t="shared" si="25"/>
        <v>0.286654464</v>
      </c>
      <c r="AE13" s="130">
        <f t="shared" si="25"/>
        <v>0.34398535679999998</v>
      </c>
      <c r="AF13" s="130">
        <f t="shared" si="25"/>
        <v>0.41278242815999994</v>
      </c>
      <c r="AG13" s="130">
        <f t="shared" si="25"/>
        <v>0.4953389137919999</v>
      </c>
      <c r="AH13" s="115" t="e">
        <f t="shared" si="20"/>
        <v>#DIV/0!</v>
      </c>
      <c r="AI13" s="21">
        <f t="shared" si="18"/>
        <v>0.01</v>
      </c>
      <c r="AJ13" s="123">
        <f t="shared" si="1"/>
        <v>3.573516449499428</v>
      </c>
    </row>
    <row r="14" spans="2:36">
      <c r="B14" s="10" t="s">
        <v>315</v>
      </c>
      <c r="C14" s="118"/>
      <c r="D14" s="118"/>
      <c r="E14" s="124"/>
      <c r="F14" s="124"/>
      <c r="G14" s="124">
        <f>N14</f>
        <v>0</v>
      </c>
      <c r="H14" s="124"/>
      <c r="I14" s="124"/>
      <c r="J14" s="124"/>
      <c r="K14" s="124"/>
      <c r="L14" s="124"/>
      <c r="M14" s="124"/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80">
        <v>0</v>
      </c>
      <c r="T14" s="180">
        <v>0</v>
      </c>
      <c r="U14" s="180">
        <v>0</v>
      </c>
      <c r="V14" s="101" t="e">
        <f t="shared" si="2"/>
        <v>#DIV/0!</v>
      </c>
      <c r="W14" s="21">
        <f t="shared" si="7"/>
        <v>0.2</v>
      </c>
      <c r="X14" s="130">
        <f t="shared" si="8"/>
        <v>0</v>
      </c>
      <c r="Y14" s="130">
        <f t="shared" ref="Y14" si="26">X14*(1+$W14)</f>
        <v>0</v>
      </c>
      <c r="Z14" s="130">
        <f t="shared" ref="Z14" si="27">Y14*(1+$W14)</f>
        <v>0</v>
      </c>
      <c r="AA14" s="130">
        <f t="shared" ref="AA14" si="28">Z14*(1+$W14)</f>
        <v>0</v>
      </c>
      <c r="AB14" s="130">
        <f t="shared" ref="AB14" si="29">AA14*(1+$W14)</f>
        <v>0</v>
      </c>
      <c r="AC14" s="130">
        <f t="shared" ref="AC14" si="30">AB14*(1+$W14)</f>
        <v>0</v>
      </c>
      <c r="AD14" s="130">
        <f t="shared" ref="AD14" si="31">AC14*(1+$W14)</f>
        <v>0</v>
      </c>
      <c r="AE14" s="130">
        <f t="shared" ref="AE14" si="32">AD14*(1+$W14)</f>
        <v>0</v>
      </c>
      <c r="AF14" s="130">
        <f t="shared" ref="AF14" si="33">AE14*(1+$W14)</f>
        <v>0</v>
      </c>
      <c r="AG14" s="130">
        <f t="shared" ref="AG14" si="34">AF14*(1+$W14)</f>
        <v>0</v>
      </c>
      <c r="AH14" s="115" t="e">
        <f t="shared" ref="AH14" si="35">((AG14/J14)^(1/($AG$3-$K$1) ))-1</f>
        <v>#DIV/0!</v>
      </c>
      <c r="AI14" s="21">
        <f t="shared" si="18"/>
        <v>0.01</v>
      </c>
      <c r="AJ14" s="123">
        <f t="shared" ref="AJ14" si="36">(AG14*(1+AI14))/($C$1-AI14)</f>
        <v>0</v>
      </c>
    </row>
    <row r="15" spans="2:36">
      <c r="B15" s="10" t="s">
        <v>11</v>
      </c>
      <c r="C15" s="118"/>
      <c r="D15" s="118"/>
      <c r="E15" s="124"/>
      <c r="F15" s="124"/>
      <c r="G15" s="124">
        <f>N15</f>
        <v>122</v>
      </c>
      <c r="H15" s="124"/>
      <c r="I15" s="124"/>
      <c r="J15" s="124"/>
      <c r="K15" s="124"/>
      <c r="L15" s="124"/>
      <c r="M15" s="124"/>
      <c r="N15" s="124">
        <v>122</v>
      </c>
      <c r="O15" s="124">
        <v>140</v>
      </c>
      <c r="P15" s="124">
        <v>175</v>
      </c>
      <c r="Q15" s="124">
        <v>185</v>
      </c>
      <c r="R15" s="124">
        <v>218</v>
      </c>
      <c r="S15" s="180">
        <v>182</v>
      </c>
      <c r="T15" s="180">
        <v>47</v>
      </c>
      <c r="U15" s="180">
        <v>57</v>
      </c>
      <c r="V15" s="101">
        <f t="shared" si="2"/>
        <v>-0.10300946438099556</v>
      </c>
      <c r="W15" s="21">
        <f t="shared" si="7"/>
        <v>0.2</v>
      </c>
      <c r="X15" s="130">
        <f t="shared" si="8"/>
        <v>68.399999999999991</v>
      </c>
      <c r="Y15" s="130">
        <f t="shared" ref="Y15:AG15" si="37">X15*(1+$W15)</f>
        <v>82.079999999999984</v>
      </c>
      <c r="Z15" s="130">
        <f t="shared" si="37"/>
        <v>98.495999999999981</v>
      </c>
      <c r="AA15" s="130">
        <f t="shared" si="37"/>
        <v>118.19519999999997</v>
      </c>
      <c r="AB15" s="130">
        <f t="shared" si="37"/>
        <v>141.83423999999997</v>
      </c>
      <c r="AC15" s="130">
        <f t="shared" si="37"/>
        <v>170.20108799999994</v>
      </c>
      <c r="AD15" s="130">
        <f t="shared" si="37"/>
        <v>204.24130559999992</v>
      </c>
      <c r="AE15" s="130">
        <f t="shared" si="37"/>
        <v>245.08956671999988</v>
      </c>
      <c r="AF15" s="130">
        <f t="shared" si="37"/>
        <v>294.10748006399984</v>
      </c>
      <c r="AG15" s="130">
        <f t="shared" si="37"/>
        <v>352.92897607679981</v>
      </c>
      <c r="AH15" s="115" t="e">
        <f t="shared" si="20"/>
        <v>#DIV/0!</v>
      </c>
      <c r="AI15" s="21">
        <f t="shared" si="18"/>
        <v>0.01</v>
      </c>
      <c r="AJ15" s="123">
        <f t="shared" si="1"/>
        <v>2546.1304702683419</v>
      </c>
    </row>
    <row r="16" spans="2:36">
      <c r="B16" s="10" t="s">
        <v>12</v>
      </c>
      <c r="C16" s="118"/>
      <c r="D16" s="118"/>
      <c r="E16" s="124"/>
      <c r="F16" s="124"/>
      <c r="G16" s="124">
        <f>N16</f>
        <v>443</v>
      </c>
      <c r="H16" s="124"/>
      <c r="I16" s="124"/>
      <c r="J16" s="124"/>
      <c r="K16" s="124"/>
      <c r="L16" s="124"/>
      <c r="M16" s="124"/>
      <c r="N16" s="124">
        <v>443</v>
      </c>
      <c r="O16" s="124">
        <v>412</v>
      </c>
      <c r="P16" s="124">
        <v>578</v>
      </c>
      <c r="Q16" s="124">
        <v>832</v>
      </c>
      <c r="R16" s="124">
        <v>1124</v>
      </c>
      <c r="S16" s="180">
        <v>1372</v>
      </c>
      <c r="T16" s="180">
        <v>1466</v>
      </c>
      <c r="U16" s="180">
        <v>1929</v>
      </c>
      <c r="V16" s="101">
        <f t="shared" si="2"/>
        <v>0.23388731705459187</v>
      </c>
      <c r="W16" s="21">
        <f t="shared" si="7"/>
        <v>0.2</v>
      </c>
      <c r="X16" s="130">
        <f t="shared" si="8"/>
        <v>2314.7999999999997</v>
      </c>
      <c r="Y16" s="130">
        <f t="shared" ref="Y16:AG16" si="38">X16*(1+$W16)</f>
        <v>2777.7599999999998</v>
      </c>
      <c r="Z16" s="130">
        <f t="shared" si="38"/>
        <v>3333.3119999999994</v>
      </c>
      <c r="AA16" s="130">
        <f t="shared" si="38"/>
        <v>3999.9743999999992</v>
      </c>
      <c r="AB16" s="130">
        <f t="shared" si="38"/>
        <v>4799.9692799999984</v>
      </c>
      <c r="AC16" s="130">
        <f t="shared" si="38"/>
        <v>5759.9631359999976</v>
      </c>
      <c r="AD16" s="130">
        <f t="shared" si="38"/>
        <v>6911.9557631999969</v>
      </c>
      <c r="AE16" s="130">
        <f t="shared" si="38"/>
        <v>8294.3469158399967</v>
      </c>
      <c r="AF16" s="130">
        <f t="shared" si="38"/>
        <v>9953.216299007996</v>
      </c>
      <c r="AG16" s="130">
        <f t="shared" si="38"/>
        <v>11943.859558809594</v>
      </c>
      <c r="AH16" s="115" t="e">
        <f t="shared" si="20"/>
        <v>#DIV/0!</v>
      </c>
      <c r="AI16" s="21">
        <f t="shared" si="18"/>
        <v>0.01</v>
      </c>
      <c r="AJ16" s="123">
        <f t="shared" si="1"/>
        <v>86166.415388554931</v>
      </c>
    </row>
    <row r="17" spans="2:36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/>
      <c r="G18" s="124">
        <f>N18</f>
        <v>15</v>
      </c>
      <c r="H18" s="124"/>
      <c r="I18" s="124"/>
      <c r="J18" s="124"/>
      <c r="K18" s="124"/>
      <c r="L18" s="124"/>
      <c r="M18" s="124"/>
      <c r="N18" s="124">
        <v>15</v>
      </c>
      <c r="O18" s="124">
        <v>6</v>
      </c>
      <c r="P18" s="124">
        <v>6</v>
      </c>
      <c r="Q18" s="124">
        <v>6</v>
      </c>
      <c r="R18" s="124">
        <v>4</v>
      </c>
      <c r="S18" s="180">
        <v>8</v>
      </c>
      <c r="T18" s="180">
        <v>9</v>
      </c>
      <c r="U18" s="180">
        <v>58</v>
      </c>
      <c r="V18" s="101">
        <f t="shared" si="2"/>
        <v>0.21312414818833236</v>
      </c>
      <c r="W18" s="21">
        <f t="shared" si="7"/>
        <v>0.2</v>
      </c>
      <c r="X18" s="130">
        <f t="shared" si="8"/>
        <v>69.599999999999994</v>
      </c>
      <c r="Y18" s="130">
        <f t="shared" ref="Y18:Y34" si="39">X18*(1+$W18)</f>
        <v>83.52</v>
      </c>
      <c r="Z18" s="130">
        <f t="shared" ref="Z18:Z34" si="40">Y18*(1+$W18)</f>
        <v>100.22399999999999</v>
      </c>
      <c r="AA18" s="130">
        <f t="shared" ref="AA18:AA34" si="41">Z18*(1+$W18)</f>
        <v>120.26879999999998</v>
      </c>
      <c r="AB18" s="130">
        <f t="shared" ref="AB18:AB53" si="42">AA18*(1+$W18)</f>
        <v>144.32255999999998</v>
      </c>
      <c r="AC18" s="130">
        <f t="shared" ref="AC18:AC53" si="43">AB18*(1+$W18)</f>
        <v>173.18707199999997</v>
      </c>
      <c r="AD18" s="130">
        <f t="shared" ref="AD18:AD53" si="44">AC18*(1+$W18)</f>
        <v>207.82448639999996</v>
      </c>
      <c r="AE18" s="130">
        <f t="shared" ref="AE18:AE53" si="45">AD18*(1+$W18)</f>
        <v>249.38938367999992</v>
      </c>
      <c r="AF18" s="130">
        <f t="shared" ref="AF18:AF53" si="46">AE18*(1+$W18)</f>
        <v>299.26726041599989</v>
      </c>
      <c r="AG18" s="130">
        <f t="shared" ref="AG18:AG53" si="47">AF18*(1+$W18)</f>
        <v>359.12071249919984</v>
      </c>
      <c r="AH18" s="115" t="e">
        <f t="shared" si="20"/>
        <v>#DIV/0!</v>
      </c>
      <c r="AI18" s="21">
        <f t="shared" si="18"/>
        <v>0.01</v>
      </c>
      <c r="AJ18" s="123">
        <f t="shared" si="1"/>
        <v>2590.7994258870849</v>
      </c>
    </row>
    <row r="19" spans="2:36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80"/>
      <c r="T20" s="180"/>
      <c r="U20" s="180"/>
      <c r="V20" s="101" t="e">
        <f t="shared" si="2"/>
        <v>#DIV/0!</v>
      </c>
      <c r="W20" s="21">
        <f t="shared" si="7"/>
        <v>0.2</v>
      </c>
      <c r="X20" s="130">
        <f t="shared" si="8"/>
        <v>0</v>
      </c>
      <c r="Y20" s="130">
        <f t="shared" ref="Y20:Y22" si="48">X20*(1+$W20)</f>
        <v>0</v>
      </c>
      <c r="Z20" s="130">
        <f t="shared" ref="Z20:Z22" si="49">Y20*(1+$W20)</f>
        <v>0</v>
      </c>
      <c r="AA20" s="130">
        <f t="shared" ref="AA20:AA22" si="50">Z20*(1+$W20)</f>
        <v>0</v>
      </c>
      <c r="AB20" s="130">
        <f t="shared" ref="AB20:AB22" si="51">AA20*(1+$W20)</f>
        <v>0</v>
      </c>
      <c r="AC20" s="130">
        <f t="shared" ref="AC20:AC22" si="52">AB20*(1+$W20)</f>
        <v>0</v>
      </c>
      <c r="AD20" s="130">
        <f t="shared" ref="AD20:AD22" si="53">AC20*(1+$W20)</f>
        <v>0</v>
      </c>
      <c r="AE20" s="130">
        <f t="shared" ref="AE20:AE22" si="54">AD20*(1+$W20)</f>
        <v>0</v>
      </c>
      <c r="AF20" s="130">
        <f t="shared" ref="AF20:AF22" si="55">AE20*(1+$W20)</f>
        <v>0</v>
      </c>
      <c r="AG20" s="130">
        <f t="shared" ref="AG20:AG22" si="56">AF20*(1+$W20)</f>
        <v>0</v>
      </c>
      <c r="AH20" s="115" t="e">
        <f t="shared" ref="AH20:AH22" si="57">((AG20/J20)^(1/($AG$3-$K$1) ))-1</f>
        <v>#DIV/0!</v>
      </c>
      <c r="AI20" s="21">
        <f t="shared" si="18"/>
        <v>0.01</v>
      </c>
      <c r="AJ20" s="123">
        <f t="shared" si="1"/>
        <v>0</v>
      </c>
    </row>
    <row r="21" spans="2:36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80"/>
      <c r="T21" s="180"/>
      <c r="U21" s="180"/>
      <c r="V21" s="101" t="e">
        <f t="shared" si="2"/>
        <v>#DIV/0!</v>
      </c>
      <c r="W21" s="21">
        <f t="shared" si="7"/>
        <v>0.2</v>
      </c>
      <c r="X21" s="130">
        <f t="shared" si="8"/>
        <v>0</v>
      </c>
      <c r="Y21" s="130">
        <f t="shared" si="48"/>
        <v>0</v>
      </c>
      <c r="Z21" s="130">
        <f t="shared" si="49"/>
        <v>0</v>
      </c>
      <c r="AA21" s="130">
        <f t="shared" si="50"/>
        <v>0</v>
      </c>
      <c r="AB21" s="130">
        <f t="shared" si="51"/>
        <v>0</v>
      </c>
      <c r="AC21" s="130">
        <f t="shared" si="52"/>
        <v>0</v>
      </c>
      <c r="AD21" s="130">
        <f t="shared" si="53"/>
        <v>0</v>
      </c>
      <c r="AE21" s="130">
        <f t="shared" si="54"/>
        <v>0</v>
      </c>
      <c r="AF21" s="130">
        <f t="shared" si="55"/>
        <v>0</v>
      </c>
      <c r="AG21" s="130">
        <f t="shared" si="56"/>
        <v>0</v>
      </c>
      <c r="AH21" s="115" t="e">
        <f t="shared" si="57"/>
        <v>#DIV/0!</v>
      </c>
      <c r="AI21" s="21">
        <f t="shared" si="18"/>
        <v>0.01</v>
      </c>
      <c r="AJ21" s="123">
        <f t="shared" si="1"/>
        <v>0</v>
      </c>
    </row>
    <row r="22" spans="2:36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80"/>
      <c r="T22" s="180"/>
      <c r="U22" s="180"/>
      <c r="V22" s="101" t="e">
        <f t="shared" si="2"/>
        <v>#DIV/0!</v>
      </c>
      <c r="W22" s="21">
        <f t="shared" si="7"/>
        <v>0.2</v>
      </c>
      <c r="X22" s="130">
        <f t="shared" si="8"/>
        <v>0</v>
      </c>
      <c r="Y22" s="130">
        <f t="shared" si="48"/>
        <v>0</v>
      </c>
      <c r="Z22" s="130">
        <f t="shared" si="49"/>
        <v>0</v>
      </c>
      <c r="AA22" s="130">
        <f t="shared" si="50"/>
        <v>0</v>
      </c>
      <c r="AB22" s="130">
        <f t="shared" si="51"/>
        <v>0</v>
      </c>
      <c r="AC22" s="130">
        <f t="shared" si="52"/>
        <v>0</v>
      </c>
      <c r="AD22" s="130">
        <f t="shared" si="53"/>
        <v>0</v>
      </c>
      <c r="AE22" s="130">
        <f t="shared" si="54"/>
        <v>0</v>
      </c>
      <c r="AF22" s="130">
        <f t="shared" si="55"/>
        <v>0</v>
      </c>
      <c r="AG22" s="130">
        <f t="shared" si="56"/>
        <v>0</v>
      </c>
      <c r="AH22" s="115" t="e">
        <f t="shared" si="57"/>
        <v>#DIV/0!</v>
      </c>
      <c r="AI22" s="21">
        <f t="shared" si="18"/>
        <v>0.01</v>
      </c>
      <c r="AJ22" s="123">
        <f t="shared" si="1"/>
        <v>0</v>
      </c>
    </row>
    <row r="23" spans="2:36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80"/>
      <c r="T23" s="180"/>
      <c r="U23" s="180"/>
      <c r="V23" s="101" t="e">
        <f t="shared" si="2"/>
        <v>#DIV/0!</v>
      </c>
      <c r="W23" s="21">
        <f t="shared" si="7"/>
        <v>0.2</v>
      </c>
      <c r="X23" s="130">
        <f t="shared" si="8"/>
        <v>0</v>
      </c>
      <c r="Y23" s="130">
        <f t="shared" ref="Y23" si="58">X23*(1+$W23)</f>
        <v>0</v>
      </c>
      <c r="Z23" s="130">
        <f t="shared" ref="Z23" si="59">Y23*(1+$W23)</f>
        <v>0</v>
      </c>
      <c r="AA23" s="130">
        <f t="shared" ref="AA23" si="60">Z23*(1+$W23)</f>
        <v>0</v>
      </c>
      <c r="AB23" s="130">
        <f t="shared" ref="AB23" si="61">AA23*(1+$W23)</f>
        <v>0</v>
      </c>
      <c r="AC23" s="130">
        <f t="shared" ref="AC23" si="62">AB23*(1+$W23)</f>
        <v>0</v>
      </c>
      <c r="AD23" s="130">
        <f t="shared" ref="AD23" si="63">AC23*(1+$W23)</f>
        <v>0</v>
      </c>
      <c r="AE23" s="130">
        <f t="shared" ref="AE23" si="64">AD23*(1+$W23)</f>
        <v>0</v>
      </c>
      <c r="AF23" s="130">
        <f t="shared" ref="AF23" si="65">AE23*(1+$W23)</f>
        <v>0</v>
      </c>
      <c r="AG23" s="130">
        <f t="shared" ref="AG23" si="66">AF23*(1+$W23)</f>
        <v>0</v>
      </c>
      <c r="AH23" s="115" t="e">
        <f t="shared" ref="AH23" si="67">((AG23/J23)^(1/($AG$3-$K$1) ))-1</f>
        <v>#DIV/0!</v>
      </c>
      <c r="AI23" s="21">
        <f t="shared" si="18"/>
        <v>0.01</v>
      </c>
      <c r="AJ23" s="123">
        <f t="shared" si="1"/>
        <v>0</v>
      </c>
    </row>
    <row r="24" spans="2:36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/>
      <c r="G25" s="124">
        <f>N25</f>
        <v>90</v>
      </c>
      <c r="H25" s="124"/>
      <c r="I25" s="124"/>
      <c r="J25" s="124"/>
      <c r="K25" s="124"/>
      <c r="L25" s="124"/>
      <c r="M25" s="124"/>
      <c r="N25" s="124">
        <v>90</v>
      </c>
      <c r="O25" s="124">
        <v>109</v>
      </c>
      <c r="P25" s="124">
        <v>143</v>
      </c>
      <c r="Q25" s="124">
        <v>185</v>
      </c>
      <c r="R25" s="124">
        <v>238</v>
      </c>
      <c r="S25" s="180">
        <v>304</v>
      </c>
      <c r="T25" s="180">
        <v>364</v>
      </c>
      <c r="U25" s="180">
        <v>455</v>
      </c>
      <c r="V25" s="101">
        <f t="shared" si="2"/>
        <v>0.26048712047484734</v>
      </c>
      <c r="W25" s="21">
        <f t="shared" si="7"/>
        <v>0.2</v>
      </c>
      <c r="X25" s="130">
        <f t="shared" si="8"/>
        <v>546</v>
      </c>
      <c r="Y25" s="130">
        <f t="shared" si="39"/>
        <v>655.19999999999993</v>
      </c>
      <c r="Z25" s="130">
        <f t="shared" si="40"/>
        <v>786.2399999999999</v>
      </c>
      <c r="AA25" s="130">
        <f t="shared" si="41"/>
        <v>943.48799999999983</v>
      </c>
      <c r="AB25" s="130">
        <f t="shared" si="42"/>
        <v>1132.1855999999998</v>
      </c>
      <c r="AC25" s="130">
        <f t="shared" si="43"/>
        <v>1358.6227199999996</v>
      </c>
      <c r="AD25" s="130">
        <f t="shared" si="44"/>
        <v>1630.3472639999995</v>
      </c>
      <c r="AE25" s="130">
        <f t="shared" si="45"/>
        <v>1956.4167167999994</v>
      </c>
      <c r="AF25" s="130">
        <f t="shared" si="46"/>
        <v>2347.7000601599993</v>
      </c>
      <c r="AG25" s="130">
        <f t="shared" si="47"/>
        <v>2817.2400721919989</v>
      </c>
      <c r="AH25" s="115" t="e">
        <f t="shared" si="20"/>
        <v>#DIV/0!</v>
      </c>
      <c r="AI25" s="21">
        <f t="shared" si="18"/>
        <v>0.01</v>
      </c>
      <c r="AJ25" s="123">
        <f t="shared" si="1"/>
        <v>20324.374806527994</v>
      </c>
    </row>
    <row r="26" spans="2:36" s="106" customFormat="1">
      <c r="B26" s="13"/>
      <c r="C26" s="125"/>
      <c r="D26" s="125"/>
      <c r="E26" s="126"/>
      <c r="F26" s="268"/>
      <c r="G26" s="268">
        <f>(G25-F25)/G25</f>
        <v>1</v>
      </c>
      <c r="H26" s="268" t="e">
        <f>(H25-G25)/H25</f>
        <v>#DIV/0!</v>
      </c>
      <c r="I26" s="268" t="e">
        <f t="shared" ref="I26:P26" si="68">(I25-H25)/I25</f>
        <v>#DIV/0!</v>
      </c>
      <c r="J26" s="268" t="e">
        <f t="shared" si="68"/>
        <v>#DIV/0!</v>
      </c>
      <c r="K26" s="268" t="e">
        <f t="shared" si="68"/>
        <v>#DIV/0!</v>
      </c>
      <c r="L26" s="268" t="e">
        <f t="shared" si="68"/>
        <v>#DIV/0!</v>
      </c>
      <c r="M26" s="268" t="e">
        <f t="shared" si="68"/>
        <v>#DIV/0!</v>
      </c>
      <c r="N26" s="268">
        <f t="shared" si="68"/>
        <v>1</v>
      </c>
      <c r="O26" s="268">
        <f t="shared" si="68"/>
        <v>0.1743119266055046</v>
      </c>
      <c r="P26" s="268">
        <f t="shared" si="68"/>
        <v>0.23776223776223776</v>
      </c>
      <c r="Q26" s="268">
        <f t="shared" ref="Q26:R26" si="69">(Q25-P25)/Q25</f>
        <v>0.22702702702702704</v>
      </c>
      <c r="R26" s="268">
        <f t="shared" si="69"/>
        <v>0.22268907563025211</v>
      </c>
      <c r="S26" s="127">
        <f t="shared" ref="S26:U26" si="70">(S25-R25)/R25</f>
        <v>0.27731092436974791</v>
      </c>
      <c r="T26" s="127">
        <f t="shared" si="70"/>
        <v>0.19736842105263158</v>
      </c>
      <c r="U26" s="127">
        <f t="shared" si="70"/>
        <v>0.25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/>
      <c r="G27" s="124">
        <f>N27</f>
        <v>30</v>
      </c>
      <c r="H27" s="124"/>
      <c r="I27" s="124"/>
      <c r="J27" s="124"/>
      <c r="K27" s="124"/>
      <c r="L27" s="124"/>
      <c r="M27" s="124"/>
      <c r="N27" s="124">
        <v>30</v>
      </c>
      <c r="O27" s="124">
        <v>38</v>
      </c>
      <c r="P27" s="124">
        <v>46</v>
      </c>
      <c r="Q27" s="124">
        <v>56</v>
      </c>
      <c r="R27" s="124">
        <v>63</v>
      </c>
      <c r="S27" s="180">
        <v>82</v>
      </c>
      <c r="T27" s="180">
        <v>93</v>
      </c>
      <c r="U27" s="180">
        <v>125</v>
      </c>
      <c r="V27" s="101">
        <f t="shared" si="2"/>
        <v>0.22614336159122739</v>
      </c>
      <c r="W27" s="21">
        <f t="shared" si="7"/>
        <v>0.2</v>
      </c>
      <c r="X27" s="130">
        <f t="shared" si="8"/>
        <v>150</v>
      </c>
      <c r="Y27" s="130">
        <f t="shared" si="39"/>
        <v>180</v>
      </c>
      <c r="Z27" s="130">
        <f t="shared" si="40"/>
        <v>216</v>
      </c>
      <c r="AA27" s="130">
        <f t="shared" si="41"/>
        <v>259.2</v>
      </c>
      <c r="AB27" s="130">
        <f t="shared" si="42"/>
        <v>311.03999999999996</v>
      </c>
      <c r="AC27" s="130">
        <f t="shared" si="43"/>
        <v>373.24799999999993</v>
      </c>
      <c r="AD27" s="130">
        <f t="shared" si="44"/>
        <v>447.8975999999999</v>
      </c>
      <c r="AE27" s="130">
        <f t="shared" si="45"/>
        <v>537.4771199999999</v>
      </c>
      <c r="AF27" s="130">
        <f t="shared" si="46"/>
        <v>644.97254399999986</v>
      </c>
      <c r="AG27" s="130">
        <f t="shared" si="47"/>
        <v>773.96705279999981</v>
      </c>
      <c r="AH27" s="115" t="e">
        <f t="shared" si="20"/>
        <v>#DIV/0!</v>
      </c>
      <c r="AI27" s="21">
        <f t="shared" si="18"/>
        <v>0.01</v>
      </c>
      <c r="AJ27" s="123">
        <f t="shared" si="1"/>
        <v>5583.6194523428567</v>
      </c>
    </row>
    <row r="28" spans="2:36" s="106" customFormat="1">
      <c r="B28" s="13"/>
      <c r="C28" s="125"/>
      <c r="D28" s="125"/>
      <c r="E28" s="126"/>
      <c r="F28" s="268"/>
      <c r="G28" s="268">
        <f t="shared" ref="G28:P28" si="71">(G27-F27)/G27</f>
        <v>1</v>
      </c>
      <c r="H28" s="268" t="e">
        <f t="shared" si="71"/>
        <v>#DIV/0!</v>
      </c>
      <c r="I28" s="268" t="e">
        <f t="shared" si="71"/>
        <v>#DIV/0!</v>
      </c>
      <c r="J28" s="268" t="e">
        <f t="shared" si="71"/>
        <v>#DIV/0!</v>
      </c>
      <c r="K28" s="268" t="e">
        <f t="shared" si="71"/>
        <v>#DIV/0!</v>
      </c>
      <c r="L28" s="268" t="e">
        <f t="shared" si="71"/>
        <v>#DIV/0!</v>
      </c>
      <c r="M28" s="268" t="e">
        <f t="shared" si="71"/>
        <v>#DIV/0!</v>
      </c>
      <c r="N28" s="268">
        <f t="shared" si="71"/>
        <v>1</v>
      </c>
      <c r="O28" s="268">
        <f t="shared" si="71"/>
        <v>0.21052631578947367</v>
      </c>
      <c r="P28" s="268">
        <f t="shared" si="71"/>
        <v>0.17391304347826086</v>
      </c>
      <c r="Q28" s="268">
        <f t="shared" ref="Q28:R28" si="72">(Q27-P27)/Q27</f>
        <v>0.17857142857142858</v>
      </c>
      <c r="R28" s="268">
        <f t="shared" si="72"/>
        <v>0.1111111111111111</v>
      </c>
      <c r="S28" s="127">
        <f t="shared" ref="S28:U28" si="73">(S27-R27)/R27</f>
        <v>0.30158730158730157</v>
      </c>
      <c r="T28" s="127">
        <f t="shared" si="73"/>
        <v>0.13414634146341464</v>
      </c>
      <c r="U28" s="127">
        <f t="shared" si="73"/>
        <v>0.34408602150537637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/>
      <c r="G29" s="124">
        <f>N29</f>
        <v>35</v>
      </c>
      <c r="H29" s="124"/>
      <c r="I29" s="124"/>
      <c r="J29" s="124"/>
      <c r="K29" s="124"/>
      <c r="L29" s="124"/>
      <c r="M29" s="124"/>
      <c r="N29" s="124">
        <v>35</v>
      </c>
      <c r="O29" s="124">
        <v>43</v>
      </c>
      <c r="P29" s="124">
        <v>56</v>
      </c>
      <c r="Q29" s="124">
        <v>78</v>
      </c>
      <c r="R29" s="124">
        <v>111</v>
      </c>
      <c r="S29" s="180">
        <v>142</v>
      </c>
      <c r="T29" s="180">
        <v>164</v>
      </c>
      <c r="U29" s="180">
        <v>167</v>
      </c>
      <c r="V29" s="101">
        <f t="shared" si="2"/>
        <v>0.2501144501906245</v>
      </c>
      <c r="W29" s="21">
        <f t="shared" si="7"/>
        <v>0.2</v>
      </c>
      <c r="X29" s="130">
        <f t="shared" si="8"/>
        <v>200.4</v>
      </c>
      <c r="Y29" s="130">
        <f t="shared" ref="Y29" si="74">X29*(1+$W29)</f>
        <v>240.48</v>
      </c>
      <c r="Z29" s="130">
        <f t="shared" ref="Z29" si="75">Y29*(1+$W29)</f>
        <v>288.57599999999996</v>
      </c>
      <c r="AA29" s="130">
        <f t="shared" ref="AA29" si="76">Z29*(1+$W29)</f>
        <v>346.29119999999995</v>
      </c>
      <c r="AB29" s="130">
        <f t="shared" ref="AB29" si="77">AA29*(1+$W29)</f>
        <v>415.54943999999995</v>
      </c>
      <c r="AC29" s="130">
        <f t="shared" ref="AC29" si="78">AB29*(1+$W29)</f>
        <v>498.6593279999999</v>
      </c>
      <c r="AD29" s="130">
        <f t="shared" ref="AD29" si="79">AC29*(1+$W29)</f>
        <v>598.39119359999984</v>
      </c>
      <c r="AE29" s="130">
        <f t="shared" ref="AE29" si="80">AD29*(1+$W29)</f>
        <v>718.06943231999981</v>
      </c>
      <c r="AF29" s="130">
        <f t="shared" ref="AF29" si="81">AE29*(1+$W29)</f>
        <v>861.68331878399977</v>
      </c>
      <c r="AG29" s="130">
        <f t="shared" ref="AG29" si="82">AF29*(1+$W29)</f>
        <v>1034.0199825407997</v>
      </c>
      <c r="AH29" s="115" t="e">
        <f t="shared" ref="AH29" si="83">((AG29/J29)^(1/($AG$3-$K$1) ))-1</f>
        <v>#DIV/0!</v>
      </c>
      <c r="AI29" s="21">
        <f t="shared" si="18"/>
        <v>0.01</v>
      </c>
      <c r="AJ29" s="123">
        <f t="shared" ref="AJ29" si="84">(AG29*(1+AI29))/($C$1-AI29)</f>
        <v>7459.7155883300557</v>
      </c>
    </row>
    <row r="30" spans="2:36" s="106" customFormat="1">
      <c r="B30" s="13"/>
      <c r="C30" s="125"/>
      <c r="D30" s="125"/>
      <c r="E30" s="126"/>
      <c r="F30" s="268"/>
      <c r="G30" s="268">
        <f t="shared" ref="G30:P30" si="85">(G29-F29)/G29</f>
        <v>1</v>
      </c>
      <c r="H30" s="268" t="e">
        <f t="shared" si="85"/>
        <v>#DIV/0!</v>
      </c>
      <c r="I30" s="268" t="e">
        <f t="shared" si="85"/>
        <v>#DIV/0!</v>
      </c>
      <c r="J30" s="268" t="e">
        <f t="shared" si="85"/>
        <v>#DIV/0!</v>
      </c>
      <c r="K30" s="268" t="e">
        <f t="shared" si="85"/>
        <v>#DIV/0!</v>
      </c>
      <c r="L30" s="268" t="e">
        <f t="shared" si="85"/>
        <v>#DIV/0!</v>
      </c>
      <c r="M30" s="268" t="e">
        <f t="shared" si="85"/>
        <v>#DIV/0!</v>
      </c>
      <c r="N30" s="268">
        <f t="shared" si="85"/>
        <v>1</v>
      </c>
      <c r="O30" s="268">
        <f t="shared" si="85"/>
        <v>0.18604651162790697</v>
      </c>
      <c r="P30" s="268">
        <f t="shared" si="85"/>
        <v>0.23214285714285715</v>
      </c>
      <c r="Q30" s="268">
        <f t="shared" ref="Q30:R30" si="86">(Q29-P29)/Q29</f>
        <v>0.28205128205128205</v>
      </c>
      <c r="R30" s="268">
        <f t="shared" si="86"/>
        <v>0.29729729729729731</v>
      </c>
      <c r="S30" s="127">
        <f t="shared" ref="S30:U30" si="87">(S29-R29)/R29</f>
        <v>0.27927927927927926</v>
      </c>
      <c r="T30" s="127">
        <f t="shared" si="87"/>
        <v>0.15492957746478872</v>
      </c>
      <c r="U30" s="127">
        <f t="shared" si="87"/>
        <v>1.8292682926829267E-2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0.2</v>
      </c>
      <c r="X31" s="130">
        <f t="shared" si="8"/>
        <v>0</v>
      </c>
      <c r="Y31" s="130">
        <f>X31*(1+$W31)</f>
        <v>0</v>
      </c>
      <c r="Z31" s="130">
        <f t="shared" ref="Z31:AG32" si="88">Y31*(1+$W31)</f>
        <v>0</v>
      </c>
      <c r="AA31" s="130">
        <f t="shared" si="88"/>
        <v>0</v>
      </c>
      <c r="AB31" s="130">
        <f t="shared" si="88"/>
        <v>0</v>
      </c>
      <c r="AC31" s="130">
        <f t="shared" si="88"/>
        <v>0</v>
      </c>
      <c r="AD31" s="130">
        <f t="shared" si="88"/>
        <v>0</v>
      </c>
      <c r="AE31" s="130">
        <f t="shared" si="88"/>
        <v>0</v>
      </c>
      <c r="AF31" s="130">
        <f t="shared" si="88"/>
        <v>0</v>
      </c>
      <c r="AG31" s="130">
        <f t="shared" si="88"/>
        <v>0</v>
      </c>
      <c r="AH31" s="115" t="e">
        <f t="shared" ref="AH31" si="89">((AG31/J31)^(1/($AG$3-$K$1) ))-1</f>
        <v>#DIV/0!</v>
      </c>
      <c r="AI31" s="21">
        <f t="shared" si="18"/>
        <v>0.01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80"/>
      <c r="T32" s="180"/>
      <c r="U32" s="180"/>
      <c r="V32" s="101" t="e">
        <f t="shared" si="2"/>
        <v>#DIV/0!</v>
      </c>
      <c r="W32" s="21">
        <f t="shared" si="7"/>
        <v>0.2</v>
      </c>
      <c r="X32" s="130">
        <f t="shared" si="8"/>
        <v>0</v>
      </c>
      <c r="Y32" s="130">
        <f>X32*(1+$W32)</f>
        <v>0</v>
      </c>
      <c r="Z32" s="130">
        <f t="shared" si="88"/>
        <v>0</v>
      </c>
      <c r="AA32" s="130">
        <f t="shared" si="88"/>
        <v>0</v>
      </c>
      <c r="AB32" s="130">
        <f t="shared" si="88"/>
        <v>0</v>
      </c>
      <c r="AC32" s="130">
        <f t="shared" si="88"/>
        <v>0</v>
      </c>
      <c r="AD32" s="130">
        <f t="shared" si="88"/>
        <v>0</v>
      </c>
      <c r="AE32" s="130">
        <f t="shared" si="88"/>
        <v>0</v>
      </c>
      <c r="AF32" s="130">
        <f t="shared" si="88"/>
        <v>0</v>
      </c>
      <c r="AG32" s="130">
        <f t="shared" si="88"/>
        <v>0</v>
      </c>
      <c r="AH32" s="115" t="e">
        <f t="shared" ref="AH32" si="90">((AG32/J32)^(1/($AG$3-$K$1) ))-1</f>
        <v>#DIV/0!</v>
      </c>
      <c r="AI32" s="21">
        <f t="shared" si="18"/>
        <v>0.01</v>
      </c>
      <c r="AJ32" s="123">
        <f t="shared" si="1"/>
        <v>0</v>
      </c>
    </row>
    <row r="33" spans="1:36">
      <c r="B33" s="10" t="s">
        <v>498</v>
      </c>
      <c r="C33" s="118"/>
      <c r="D33" s="118"/>
      <c r="E33" s="124"/>
      <c r="F33" s="124"/>
      <c r="G33" s="124">
        <f>N33</f>
        <v>35</v>
      </c>
      <c r="H33" s="124"/>
      <c r="I33" s="124"/>
      <c r="J33" s="124"/>
      <c r="K33" s="124"/>
      <c r="L33" s="124"/>
      <c r="M33" s="124"/>
      <c r="N33" s="124">
        <v>35</v>
      </c>
      <c r="O33" s="124">
        <v>43</v>
      </c>
      <c r="P33" s="124">
        <v>56</v>
      </c>
      <c r="Q33" s="124">
        <v>78</v>
      </c>
      <c r="R33" s="124">
        <v>111</v>
      </c>
      <c r="S33" s="180">
        <v>142</v>
      </c>
      <c r="T33" s="180">
        <v>164</v>
      </c>
      <c r="U33" s="180">
        <v>167</v>
      </c>
      <c r="V33" s="101">
        <f t="shared" si="2"/>
        <v>0.2501144501906245</v>
      </c>
      <c r="W33" s="21">
        <f t="shared" si="7"/>
        <v>0.2</v>
      </c>
      <c r="X33" s="130">
        <f t="shared" si="8"/>
        <v>200.4</v>
      </c>
      <c r="Y33" s="130">
        <f t="shared" si="39"/>
        <v>240.48</v>
      </c>
      <c r="Z33" s="130">
        <f t="shared" si="40"/>
        <v>288.57599999999996</v>
      </c>
      <c r="AA33" s="130">
        <f t="shared" si="41"/>
        <v>346.29119999999995</v>
      </c>
      <c r="AB33" s="130">
        <f t="shared" si="42"/>
        <v>415.54943999999995</v>
      </c>
      <c r="AC33" s="130">
        <f t="shared" si="43"/>
        <v>498.6593279999999</v>
      </c>
      <c r="AD33" s="130">
        <f t="shared" si="44"/>
        <v>598.39119359999984</v>
      </c>
      <c r="AE33" s="130">
        <f t="shared" si="45"/>
        <v>718.06943231999981</v>
      </c>
      <c r="AF33" s="130">
        <f t="shared" si="46"/>
        <v>861.68331878399977</v>
      </c>
      <c r="AG33" s="130">
        <f t="shared" si="47"/>
        <v>1034.0199825407997</v>
      </c>
      <c r="AH33" s="115" t="e">
        <f t="shared" si="20"/>
        <v>#DIV/0!</v>
      </c>
      <c r="AI33" s="21">
        <f t="shared" si="18"/>
        <v>0.01</v>
      </c>
      <c r="AJ33" s="123">
        <f t="shared" si="1"/>
        <v>7459.7155883300557</v>
      </c>
    </row>
    <row r="34" spans="1:36">
      <c r="B34" s="10" t="s">
        <v>499</v>
      </c>
      <c r="C34" s="118"/>
      <c r="D34" s="118"/>
      <c r="E34" s="124"/>
      <c r="F34" s="124"/>
      <c r="G34" s="124">
        <f>N34</f>
        <v>8</v>
      </c>
      <c r="H34" s="124"/>
      <c r="I34" s="124"/>
      <c r="J34" s="124"/>
      <c r="K34" s="124"/>
      <c r="L34" s="124"/>
      <c r="M34" s="124"/>
      <c r="N34" s="124">
        <v>8</v>
      </c>
      <c r="O34" s="124">
        <v>9</v>
      </c>
      <c r="P34" s="124">
        <v>46</v>
      </c>
      <c r="Q34" s="124">
        <v>14</v>
      </c>
      <c r="R34" s="124">
        <v>17</v>
      </c>
      <c r="S34" s="180">
        <v>24</v>
      </c>
      <c r="T34" s="180">
        <v>29</v>
      </c>
      <c r="U34" s="180">
        <v>41</v>
      </c>
      <c r="V34" s="101">
        <f t="shared" si="2"/>
        <v>0.26294616513113311</v>
      </c>
      <c r="W34" s="21">
        <f t="shared" si="7"/>
        <v>0.2</v>
      </c>
      <c r="X34" s="130">
        <f t="shared" si="8"/>
        <v>49.199999999999996</v>
      </c>
      <c r="Y34" s="130">
        <f t="shared" si="39"/>
        <v>59.039999999999992</v>
      </c>
      <c r="Z34" s="130">
        <f t="shared" si="40"/>
        <v>70.847999999999985</v>
      </c>
      <c r="AA34" s="130">
        <f t="shared" si="41"/>
        <v>85.017599999999973</v>
      </c>
      <c r="AB34" s="130">
        <f t="shared" si="42"/>
        <v>102.02111999999997</v>
      </c>
      <c r="AC34" s="130">
        <f t="shared" si="43"/>
        <v>122.42534399999995</v>
      </c>
      <c r="AD34" s="130">
        <f t="shared" si="44"/>
        <v>146.91041279999993</v>
      </c>
      <c r="AE34" s="130">
        <f t="shared" si="45"/>
        <v>176.29249535999992</v>
      </c>
      <c r="AF34" s="130">
        <f t="shared" si="46"/>
        <v>211.5509944319999</v>
      </c>
      <c r="AG34" s="130">
        <f t="shared" si="47"/>
        <v>253.86119331839987</v>
      </c>
      <c r="AH34" s="115" t="e">
        <f t="shared" si="20"/>
        <v>#DIV/0!</v>
      </c>
      <c r="AI34" s="21">
        <f t="shared" si="18"/>
        <v>0.01</v>
      </c>
      <c r="AJ34" s="123">
        <f t="shared" si="1"/>
        <v>1831.4271803684564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305" t="s">
        <v>418</v>
      </c>
      <c r="B36" s="177" t="s">
        <v>412</v>
      </c>
      <c r="C36" s="118"/>
      <c r="D36" s="118"/>
      <c r="E36" s="124"/>
      <c r="F36" s="180"/>
      <c r="G36" s="180">
        <f t="shared" ref="G36" si="91">H36</f>
        <v>0</v>
      </c>
      <c r="H36" s="180">
        <f t="shared" ref="H36:I36" si="92">I36</f>
        <v>0</v>
      </c>
      <c r="I36" s="180">
        <f t="shared" si="92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7"/>
        <v>0.2</v>
      </c>
      <c r="X36" s="130">
        <f t="shared" si="8"/>
        <v>0</v>
      </c>
      <c r="Y36" s="130">
        <f t="shared" ref="Y36:Y51" si="93">X36*(1+$W36)</f>
        <v>0</v>
      </c>
      <c r="Z36" s="130">
        <f t="shared" ref="Z36:Z51" si="94">Y36*(1+$W36)</f>
        <v>0</v>
      </c>
      <c r="AA36" s="130">
        <f t="shared" ref="AA36:AA51" si="95">Z36*(1+$W36)</f>
        <v>0</v>
      </c>
      <c r="AB36" s="130">
        <f t="shared" ref="AB36:AB51" si="96">AA36*(1+$W36)</f>
        <v>0</v>
      </c>
      <c r="AC36" s="130">
        <f t="shared" ref="AC36:AC51" si="97">AB36*(1+$W36)</f>
        <v>0</v>
      </c>
      <c r="AD36" s="130">
        <f t="shared" ref="AD36:AD51" si="98">AC36*(1+$W36)</f>
        <v>0</v>
      </c>
      <c r="AE36" s="130">
        <f t="shared" ref="AE36:AE51" si="99">AD36*(1+$W36)</f>
        <v>0</v>
      </c>
      <c r="AF36" s="130">
        <f t="shared" ref="AF36:AF51" si="100">AE36*(1+$W36)</f>
        <v>0</v>
      </c>
      <c r="AG36" s="130">
        <f t="shared" ref="AG36:AG51" si="101">AF36*(1+$W36)</f>
        <v>0</v>
      </c>
      <c r="AH36" s="115" t="e">
        <f t="shared" ref="AH36:AH51" si="102">((AG36/J36)^(1/($AG$3-$K$1) ))-1</f>
        <v>#DIV/0!</v>
      </c>
      <c r="AI36" s="21">
        <f t="shared" si="18"/>
        <v>0.01</v>
      </c>
      <c r="AJ36" s="123">
        <f t="shared" ref="AJ36:AJ51" si="103">(AG36*(1+AI36))/($C$1-AI36)</f>
        <v>0</v>
      </c>
    </row>
    <row r="37" spans="1:36">
      <c r="A37" s="305"/>
      <c r="B37" s="177"/>
      <c r="C37" s="118"/>
      <c r="D37" s="118"/>
      <c r="E37" s="124"/>
      <c r="F37" s="127"/>
      <c r="G37" s="127" t="e">
        <f t="shared" ref="G37" si="104">(G36-E36)/E36</f>
        <v>#DIV/0!</v>
      </c>
      <c r="H37" s="127" t="e">
        <f t="shared" ref="H37" si="105">(H36-F36)/F36</f>
        <v>#DIV/0!</v>
      </c>
      <c r="I37" s="127" t="e">
        <f t="shared" ref="I37" si="106">(I36-H36)/H36</f>
        <v>#DIV/0!</v>
      </c>
      <c r="J37" s="127" t="e">
        <f t="shared" ref="J37" si="107">(J36-I36)/I36</f>
        <v>#DIV/0!</v>
      </c>
      <c r="K37" s="127" t="e">
        <f t="shared" ref="K37" si="108">(K36-J36)/J36</f>
        <v>#DIV/0!</v>
      </c>
      <c r="L37" s="127" t="e">
        <f t="shared" ref="L37" si="109">(L36-K36)/K36</f>
        <v>#DIV/0!</v>
      </c>
      <c r="M37" s="127" t="e">
        <f t="shared" ref="M37" si="110">(M36-L36)/L36</f>
        <v>#DIV/0!</v>
      </c>
      <c r="N37" s="127" t="e">
        <f t="shared" ref="N37" si="111">(N36-M36)/M36</f>
        <v>#DIV/0!</v>
      </c>
      <c r="O37" s="127" t="e">
        <f t="shared" ref="O37" si="112">(O36-N36)/N36</f>
        <v>#DIV/0!</v>
      </c>
      <c r="P37" s="127" t="e">
        <f t="shared" ref="P37" si="113">(P36-O36)/O36</f>
        <v>#DIV/0!</v>
      </c>
      <c r="Q37" s="127" t="e">
        <f t="shared" ref="Q37" si="114">(Q36-P36)/P36</f>
        <v>#DIV/0!</v>
      </c>
      <c r="R37" s="127" t="e">
        <f t="shared" ref="R37" si="115">(R36-Q36)/Q36</f>
        <v>#DIV/0!</v>
      </c>
      <c r="S37" s="127" t="e">
        <f t="shared" ref="S37" si="116">(S36-R36)/R36</f>
        <v>#DIV/0!</v>
      </c>
      <c r="T37" s="127" t="e">
        <f t="shared" ref="T37:U37" si="117">(T36-S36)/S36</f>
        <v>#DIV/0!</v>
      </c>
      <c r="U37" s="127" t="e">
        <f t="shared" si="117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305"/>
      <c r="B38" s="177" t="s">
        <v>413</v>
      </c>
      <c r="C38" s="118"/>
      <c r="D38" s="118"/>
      <c r="E38" s="124"/>
      <c r="F38" s="180"/>
      <c r="G38" s="180">
        <f t="shared" ref="G38" si="118">H38</f>
        <v>0</v>
      </c>
      <c r="H38" s="180">
        <f t="shared" ref="H38:I38" si="119">I38</f>
        <v>0</v>
      </c>
      <c r="I38" s="180">
        <f t="shared" si="119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7"/>
        <v>0.2</v>
      </c>
      <c r="X38" s="130">
        <f t="shared" si="8"/>
        <v>1.2</v>
      </c>
      <c r="Y38" s="130">
        <f t="shared" si="93"/>
        <v>1.44</v>
      </c>
      <c r="Z38" s="130">
        <f t="shared" si="94"/>
        <v>1.728</v>
      </c>
      <c r="AA38" s="130">
        <f t="shared" si="95"/>
        <v>2.0735999999999999</v>
      </c>
      <c r="AB38" s="130">
        <f t="shared" si="96"/>
        <v>2.4883199999999999</v>
      </c>
      <c r="AC38" s="130">
        <f t="shared" si="97"/>
        <v>2.9859839999999997</v>
      </c>
      <c r="AD38" s="130">
        <f t="shared" si="98"/>
        <v>3.5831807999999996</v>
      </c>
      <c r="AE38" s="130">
        <f t="shared" si="99"/>
        <v>4.2998169599999994</v>
      </c>
      <c r="AF38" s="130">
        <f t="shared" si="100"/>
        <v>5.1597803519999994</v>
      </c>
      <c r="AG38" s="130">
        <f t="shared" si="101"/>
        <v>6.1917364223999991</v>
      </c>
      <c r="AH38" s="115" t="e">
        <f t="shared" si="102"/>
        <v>#DIV/0!</v>
      </c>
      <c r="AI38" s="21">
        <f t="shared" si="18"/>
        <v>0.01</v>
      </c>
      <c r="AJ38" s="123">
        <f t="shared" si="103"/>
        <v>44.668955618742849</v>
      </c>
    </row>
    <row r="39" spans="1:36">
      <c r="A39" s="305"/>
      <c r="B39" s="177"/>
      <c r="C39" s="118"/>
      <c r="D39" s="118"/>
      <c r="E39" s="124"/>
      <c r="F39" s="127"/>
      <c r="G39" s="127" t="e">
        <f t="shared" ref="G39" si="120">(G38-E38)/E38</f>
        <v>#DIV/0!</v>
      </c>
      <c r="H39" s="127" t="e">
        <f t="shared" ref="H39" si="121">(H38-F38)/F38</f>
        <v>#DIV/0!</v>
      </c>
      <c r="I39" s="127" t="e">
        <f t="shared" ref="I39" si="122">(I38-H38)/H38</f>
        <v>#DIV/0!</v>
      </c>
      <c r="J39" s="127" t="e">
        <f t="shared" ref="J39" si="123">(J38-I38)/I38</f>
        <v>#DIV/0!</v>
      </c>
      <c r="K39" s="127" t="e">
        <f t="shared" ref="K39" si="124">(K38-J38)/J38</f>
        <v>#DIV/0!</v>
      </c>
      <c r="L39" s="127" t="e">
        <f t="shared" ref="L39" si="125">(L38-K38)/K38</f>
        <v>#DIV/0!</v>
      </c>
      <c r="M39" s="127" t="e">
        <f t="shared" ref="M39" si="126">(M38-L38)/L38</f>
        <v>#DIV/0!</v>
      </c>
      <c r="N39" s="127" t="e">
        <f t="shared" ref="N39" si="127">(N38-M38)/M38</f>
        <v>#DIV/0!</v>
      </c>
      <c r="O39" s="127" t="e">
        <f t="shared" ref="O39" si="128">(O38-N38)/N38</f>
        <v>#DIV/0!</v>
      </c>
      <c r="P39" s="127" t="e">
        <f t="shared" ref="P39" si="129">(P38-O38)/O38</f>
        <v>#DIV/0!</v>
      </c>
      <c r="Q39" s="127" t="e">
        <f t="shared" ref="Q39" si="130">(Q38-P38)/P38</f>
        <v>#DIV/0!</v>
      </c>
      <c r="R39" s="127" t="e">
        <f t="shared" ref="R39" si="131">(R38-Q38)/Q38</f>
        <v>#DIV/0!</v>
      </c>
      <c r="S39" s="127" t="e">
        <f t="shared" ref="S39" si="132">(S38-R38)/R38</f>
        <v>#DIV/0!</v>
      </c>
      <c r="T39" s="127" t="e">
        <f t="shared" ref="T39:U39" si="133">(T38-S38)/S38</f>
        <v>#DIV/0!</v>
      </c>
      <c r="U39" s="127" t="e">
        <f t="shared" si="133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305"/>
      <c r="B40" s="177" t="s">
        <v>417</v>
      </c>
      <c r="C40" s="118"/>
      <c r="D40" s="118"/>
      <c r="E40" s="124"/>
      <c r="F40" s="180"/>
      <c r="G40" s="180">
        <f t="shared" ref="G40:G43" si="134">H40</f>
        <v>0</v>
      </c>
      <c r="H40" s="180">
        <f t="shared" ref="H40:I40" si="135">I40</f>
        <v>0</v>
      </c>
      <c r="I40" s="180">
        <f t="shared" si="135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7"/>
        <v>0.2</v>
      </c>
      <c r="X40" s="130">
        <f t="shared" si="8"/>
        <v>0</v>
      </c>
      <c r="Y40" s="130">
        <f t="shared" si="93"/>
        <v>0</v>
      </c>
      <c r="Z40" s="130">
        <f t="shared" si="94"/>
        <v>0</v>
      </c>
      <c r="AA40" s="130">
        <f t="shared" si="95"/>
        <v>0</v>
      </c>
      <c r="AB40" s="130">
        <f t="shared" si="96"/>
        <v>0</v>
      </c>
      <c r="AC40" s="130">
        <f t="shared" si="97"/>
        <v>0</v>
      </c>
      <c r="AD40" s="130">
        <f t="shared" si="98"/>
        <v>0</v>
      </c>
      <c r="AE40" s="130">
        <f t="shared" si="99"/>
        <v>0</v>
      </c>
      <c r="AF40" s="130">
        <f t="shared" si="100"/>
        <v>0</v>
      </c>
      <c r="AG40" s="130">
        <f t="shared" si="101"/>
        <v>0</v>
      </c>
      <c r="AH40" s="115" t="e">
        <f t="shared" si="102"/>
        <v>#DIV/0!</v>
      </c>
      <c r="AI40" s="21">
        <f t="shared" si="18"/>
        <v>0.01</v>
      </c>
      <c r="AJ40" s="123">
        <f t="shared" si="103"/>
        <v>0</v>
      </c>
    </row>
    <row r="41" spans="1:36">
      <c r="A41" s="305"/>
      <c r="B41" s="177" t="s">
        <v>414</v>
      </c>
      <c r="C41" s="118"/>
      <c r="D41" s="118"/>
      <c r="E41" s="124"/>
      <c r="F41" s="180"/>
      <c r="G41" s="180">
        <f t="shared" si="134"/>
        <v>0</v>
      </c>
      <c r="H41" s="180">
        <f t="shared" ref="H41:I41" si="136">I41</f>
        <v>0</v>
      </c>
      <c r="I41" s="180">
        <f t="shared" si="136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7"/>
        <v>0.2</v>
      </c>
      <c r="X41" s="130">
        <f t="shared" si="8"/>
        <v>0</v>
      </c>
      <c r="Y41" s="130">
        <f t="shared" si="93"/>
        <v>0</v>
      </c>
      <c r="Z41" s="130">
        <f t="shared" si="94"/>
        <v>0</v>
      </c>
      <c r="AA41" s="130">
        <f t="shared" si="95"/>
        <v>0</v>
      </c>
      <c r="AB41" s="130">
        <f t="shared" si="96"/>
        <v>0</v>
      </c>
      <c r="AC41" s="130">
        <f t="shared" si="97"/>
        <v>0</v>
      </c>
      <c r="AD41" s="130">
        <f t="shared" si="98"/>
        <v>0</v>
      </c>
      <c r="AE41" s="130">
        <f t="shared" si="99"/>
        <v>0</v>
      </c>
      <c r="AF41" s="130">
        <f t="shared" si="100"/>
        <v>0</v>
      </c>
      <c r="AG41" s="130">
        <f t="shared" si="101"/>
        <v>0</v>
      </c>
      <c r="AH41" s="115" t="e">
        <f t="shared" si="102"/>
        <v>#DIV/0!</v>
      </c>
      <c r="AI41" s="21">
        <f t="shared" si="18"/>
        <v>0.01</v>
      </c>
      <c r="AJ41" s="123">
        <f t="shared" si="103"/>
        <v>0</v>
      </c>
    </row>
    <row r="42" spans="1:36">
      <c r="A42" s="305"/>
      <c r="B42" s="177" t="s">
        <v>416</v>
      </c>
      <c r="C42" s="118"/>
      <c r="D42" s="118"/>
      <c r="E42" s="124"/>
      <c r="F42" s="180"/>
      <c r="G42" s="180">
        <f t="shared" si="134"/>
        <v>0</v>
      </c>
      <c r="H42" s="180">
        <f t="shared" ref="H42:I42" si="137">I42</f>
        <v>0</v>
      </c>
      <c r="I42" s="180">
        <f t="shared" si="137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7"/>
        <v>0.2</v>
      </c>
      <c r="X42" s="130">
        <f t="shared" si="8"/>
        <v>0</v>
      </c>
      <c r="Y42" s="130">
        <f t="shared" si="93"/>
        <v>0</v>
      </c>
      <c r="Z42" s="130">
        <f t="shared" si="94"/>
        <v>0</v>
      </c>
      <c r="AA42" s="130">
        <f t="shared" si="95"/>
        <v>0</v>
      </c>
      <c r="AB42" s="130">
        <f t="shared" si="96"/>
        <v>0</v>
      </c>
      <c r="AC42" s="130">
        <f t="shared" si="97"/>
        <v>0</v>
      </c>
      <c r="AD42" s="130">
        <f t="shared" si="98"/>
        <v>0</v>
      </c>
      <c r="AE42" s="130">
        <f t="shared" si="99"/>
        <v>0</v>
      </c>
      <c r="AF42" s="130">
        <f t="shared" si="100"/>
        <v>0</v>
      </c>
      <c r="AG42" s="130">
        <f t="shared" si="101"/>
        <v>0</v>
      </c>
      <c r="AH42" s="115" t="e">
        <f t="shared" si="102"/>
        <v>#DIV/0!</v>
      </c>
      <c r="AI42" s="21">
        <f t="shared" si="18"/>
        <v>0.01</v>
      </c>
      <c r="AJ42" s="123">
        <f t="shared" si="103"/>
        <v>0</v>
      </c>
    </row>
    <row r="43" spans="1:36">
      <c r="A43" s="305"/>
      <c r="B43" s="177" t="s">
        <v>415</v>
      </c>
      <c r="C43" s="118"/>
      <c r="D43" s="118"/>
      <c r="E43" s="124"/>
      <c r="F43" s="180"/>
      <c r="G43" s="180">
        <f t="shared" si="134"/>
        <v>0</v>
      </c>
      <c r="H43" s="180">
        <f t="shared" ref="H43:I43" si="138">I43</f>
        <v>0</v>
      </c>
      <c r="I43" s="180">
        <f t="shared" si="138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7"/>
        <v>0.2</v>
      </c>
      <c r="X43" s="130">
        <f t="shared" si="8"/>
        <v>0</v>
      </c>
      <c r="Y43" s="130">
        <f t="shared" si="93"/>
        <v>0</v>
      </c>
      <c r="Z43" s="130">
        <f t="shared" si="94"/>
        <v>0</v>
      </c>
      <c r="AA43" s="130">
        <f t="shared" si="95"/>
        <v>0</v>
      </c>
      <c r="AB43" s="130">
        <f t="shared" si="96"/>
        <v>0</v>
      </c>
      <c r="AC43" s="130">
        <f t="shared" si="97"/>
        <v>0</v>
      </c>
      <c r="AD43" s="130">
        <f t="shared" si="98"/>
        <v>0</v>
      </c>
      <c r="AE43" s="130">
        <f t="shared" si="99"/>
        <v>0</v>
      </c>
      <c r="AF43" s="130">
        <f t="shared" si="100"/>
        <v>0</v>
      </c>
      <c r="AG43" s="130">
        <f t="shared" si="101"/>
        <v>0</v>
      </c>
      <c r="AH43" s="115" t="e">
        <f t="shared" si="102"/>
        <v>#DIV/0!</v>
      </c>
      <c r="AI43" s="21">
        <f t="shared" si="18"/>
        <v>0.01</v>
      </c>
      <c r="AJ43" s="123">
        <f t="shared" si="103"/>
        <v>0</v>
      </c>
    </row>
    <row r="44" spans="1:36">
      <c r="A44" s="305"/>
      <c r="B44" s="177"/>
      <c r="C44" s="118"/>
      <c r="D44" s="118"/>
      <c r="E44" s="124"/>
      <c r="F44" s="127"/>
      <c r="G44" s="127" t="e">
        <f t="shared" ref="G44" si="139">(G43-E43)/E43</f>
        <v>#DIV/0!</v>
      </c>
      <c r="H44" s="127" t="e">
        <f t="shared" ref="H44" si="140">(H43-F43)/F43</f>
        <v>#DIV/0!</v>
      </c>
      <c r="I44" s="127" t="e">
        <f t="shared" ref="I44" si="141">(I43-H43)/H43</f>
        <v>#DIV/0!</v>
      </c>
      <c r="J44" s="127" t="e">
        <f t="shared" ref="J44" si="142">(J43-I43)/I43</f>
        <v>#DIV/0!</v>
      </c>
      <c r="K44" s="127" t="e">
        <f t="shared" ref="K44" si="143">(K43-J43)/J43</f>
        <v>#DIV/0!</v>
      </c>
      <c r="L44" s="127" t="e">
        <f t="shared" ref="L44" si="144">(L43-K43)/K43</f>
        <v>#DIV/0!</v>
      </c>
      <c r="M44" s="127" t="e">
        <f t="shared" ref="M44" si="145">(M43-L43)/L43</f>
        <v>#DIV/0!</v>
      </c>
      <c r="N44" s="127" t="e">
        <f t="shared" ref="N44" si="146">(N43-M43)/M43</f>
        <v>#DIV/0!</v>
      </c>
      <c r="O44" s="127" t="e">
        <f t="shared" ref="O44" si="147">(O43-N43)/N43</f>
        <v>#DIV/0!</v>
      </c>
      <c r="P44" s="127" t="e">
        <f t="shared" ref="P44" si="148">(P43-O43)/O43</f>
        <v>#DIV/0!</v>
      </c>
      <c r="Q44" s="127" t="e">
        <f t="shared" ref="Q44" si="149">(Q43-P43)/P43</f>
        <v>#DIV/0!</v>
      </c>
      <c r="R44" s="127" t="e">
        <f t="shared" ref="R44" si="150">(R43-Q43)/Q43</f>
        <v>#DIV/0!</v>
      </c>
      <c r="S44" s="127" t="e">
        <f t="shared" ref="S44" si="151">(S43-R43)/R43</f>
        <v>#DIV/0!</v>
      </c>
      <c r="T44" s="127" t="e">
        <f t="shared" ref="T44:U44" si="152">(T43-S43)/S43</f>
        <v>#DIV/0!</v>
      </c>
      <c r="U44" s="127" t="e">
        <f t="shared" si="152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305"/>
      <c r="B45" s="177" t="s">
        <v>191</v>
      </c>
      <c r="C45" s="118"/>
      <c r="D45" s="118"/>
      <c r="E45" s="124"/>
      <c r="F45" s="180"/>
      <c r="G45" s="180">
        <f t="shared" ref="G45" si="153">H45</f>
        <v>0</v>
      </c>
      <c r="H45" s="180">
        <f t="shared" ref="H45:I45" si="154">I45</f>
        <v>0</v>
      </c>
      <c r="I45" s="180">
        <f t="shared" si="154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7"/>
        <v>0.2</v>
      </c>
      <c r="X45" s="130">
        <f t="shared" si="8"/>
        <v>0</v>
      </c>
      <c r="Y45" s="130">
        <f t="shared" si="93"/>
        <v>0</v>
      </c>
      <c r="Z45" s="130">
        <f t="shared" si="94"/>
        <v>0</v>
      </c>
      <c r="AA45" s="130">
        <f t="shared" si="95"/>
        <v>0</v>
      </c>
      <c r="AB45" s="130">
        <f t="shared" si="96"/>
        <v>0</v>
      </c>
      <c r="AC45" s="130">
        <f t="shared" si="97"/>
        <v>0</v>
      </c>
      <c r="AD45" s="130">
        <f t="shared" si="98"/>
        <v>0</v>
      </c>
      <c r="AE45" s="130">
        <f t="shared" si="99"/>
        <v>0</v>
      </c>
      <c r="AF45" s="130">
        <f t="shared" si="100"/>
        <v>0</v>
      </c>
      <c r="AG45" s="130">
        <f t="shared" si="101"/>
        <v>0</v>
      </c>
      <c r="AH45" s="115" t="e">
        <f t="shared" si="102"/>
        <v>#DIV/0!</v>
      </c>
      <c r="AI45" s="21">
        <f t="shared" si="18"/>
        <v>0.01</v>
      </c>
      <c r="AJ45" s="123">
        <f t="shared" si="103"/>
        <v>0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" si="155">(G45-E45)/E45</f>
        <v>#DIV/0!</v>
      </c>
      <c r="H46" s="127" t="e">
        <f t="shared" ref="H46" si="156">(H45-F45)/F45</f>
        <v>#DIV/0!</v>
      </c>
      <c r="I46" s="127" t="e">
        <f t="shared" ref="I46" si="157">(I45-H45)/H45</f>
        <v>#DIV/0!</v>
      </c>
      <c r="J46" s="127" t="e">
        <f t="shared" ref="J46" si="158">(J45-I45)/I45</f>
        <v>#DIV/0!</v>
      </c>
      <c r="K46" s="127" t="e">
        <f t="shared" ref="K46" si="159">(K45-J45)/J45</f>
        <v>#DIV/0!</v>
      </c>
      <c r="L46" s="127" t="e">
        <f t="shared" ref="L46" si="160">(L45-K45)/K45</f>
        <v>#DIV/0!</v>
      </c>
      <c r="M46" s="127" t="e">
        <f t="shared" ref="M46" si="161">(M45-L45)/L45</f>
        <v>#DIV/0!</v>
      </c>
      <c r="N46" s="127" t="e">
        <f t="shared" ref="N46" si="162">(N45-M45)/M45</f>
        <v>#DIV/0!</v>
      </c>
      <c r="O46" s="127" t="e">
        <f t="shared" ref="O46" si="163">(O45-N45)/N45</f>
        <v>#DIV/0!</v>
      </c>
      <c r="P46" s="127" t="e">
        <f t="shared" ref="P46" si="164">(P45-O45)/O45</f>
        <v>#DIV/0!</v>
      </c>
      <c r="Q46" s="127" t="e">
        <f t="shared" ref="Q46" si="165">(Q45-P45)/P45</f>
        <v>#DIV/0!</v>
      </c>
      <c r="R46" s="127" t="e">
        <f t="shared" ref="R46" si="166">(R45-Q45)/Q45</f>
        <v>#DIV/0!</v>
      </c>
      <c r="S46" s="127" t="e">
        <f t="shared" ref="S46" si="167">(S45-R45)/R45</f>
        <v>#DIV/0!</v>
      </c>
      <c r="T46" s="127" t="e">
        <f t="shared" ref="T46:U46" si="168">(T45-S45)/S45</f>
        <v>#DIV/0!</v>
      </c>
      <c r="U46" s="127" t="e">
        <f t="shared" si="168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508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01" t="e">
        <f t="shared" ref="V47" si="169">((U47/G47)^(1/($K$2-$K$1) ))-1</f>
        <v>#DIV/0!</v>
      </c>
      <c r="W47" s="21">
        <f t="shared" si="7"/>
        <v>0.2</v>
      </c>
      <c r="X47" s="130">
        <f t="shared" ref="X47" si="170">U47*(1+$W47)</f>
        <v>0</v>
      </c>
      <c r="Y47" s="130">
        <f t="shared" ref="Y47" si="171">X47*(1+$W47)</f>
        <v>0</v>
      </c>
      <c r="Z47" s="130">
        <f t="shared" ref="Z47" si="172">Y47*(1+$W47)</f>
        <v>0</v>
      </c>
      <c r="AA47" s="130">
        <f t="shared" ref="AA47" si="173">Z47*(1+$W47)</f>
        <v>0</v>
      </c>
      <c r="AB47" s="130">
        <f t="shared" ref="AB47" si="174">AA47*(1+$W47)</f>
        <v>0</v>
      </c>
      <c r="AC47" s="130">
        <f t="shared" ref="AC47" si="175">AB47*(1+$W47)</f>
        <v>0</v>
      </c>
      <c r="AD47" s="130">
        <f t="shared" ref="AD47" si="176">AC47*(1+$W47)</f>
        <v>0</v>
      </c>
      <c r="AE47" s="130">
        <f t="shared" ref="AE47" si="177">AD47*(1+$W47)</f>
        <v>0</v>
      </c>
      <c r="AF47" s="130">
        <f t="shared" ref="AF47" si="178">AE47*(1+$W47)</f>
        <v>0</v>
      </c>
      <c r="AG47" s="130">
        <f t="shared" ref="AG47" si="179">AF47*(1+$W47)</f>
        <v>0</v>
      </c>
      <c r="AH47" s="115" t="e">
        <f t="shared" ref="AH47" si="180">((AG47/J47)^(1/($AG$3-$K$1) ))-1</f>
        <v>#DIV/0!</v>
      </c>
      <c r="AI47" s="21">
        <f t="shared" si="18"/>
        <v>0.01</v>
      </c>
      <c r="AJ47" s="123">
        <f t="shared" ref="AJ47" si="181">(AG47*(1+AI47))/($C$1-AI47)</f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" si="182">(G47-E47)/E47</f>
        <v>#DIV/0!</v>
      </c>
      <c r="H48" s="127" t="e">
        <f t="shared" ref="H48" si="183">(H47-F47)/F47</f>
        <v>#DIV/0!</v>
      </c>
      <c r="I48" s="127" t="e">
        <f t="shared" ref="I48" si="184">(I47-H47)/H47</f>
        <v>#DIV/0!</v>
      </c>
      <c r="J48" s="127" t="e">
        <f t="shared" ref="J48" si="185">(J47-I47)/I47</f>
        <v>#DIV/0!</v>
      </c>
      <c r="K48" s="127" t="e">
        <f t="shared" ref="K48" si="186">(K47-J47)/J47</f>
        <v>#DIV/0!</v>
      </c>
      <c r="L48" s="127" t="e">
        <f t="shared" ref="L48" si="187">(L47-K47)/K47</f>
        <v>#DIV/0!</v>
      </c>
      <c r="M48" s="127" t="e">
        <f t="shared" ref="M48" si="188">(M47-L47)/L47</f>
        <v>#DIV/0!</v>
      </c>
      <c r="N48" s="127" t="e">
        <f t="shared" ref="N48" si="189">(N47-M47)/M47</f>
        <v>#DIV/0!</v>
      </c>
      <c r="O48" s="127" t="e">
        <f t="shared" ref="O48" si="190">(O47-N47)/N47</f>
        <v>#DIV/0!</v>
      </c>
      <c r="P48" s="127" t="e">
        <f t="shared" ref="P48" si="191">(P47-O47)/O47</f>
        <v>#DIV/0!</v>
      </c>
      <c r="Q48" s="127" t="e">
        <f t="shared" ref="Q48" si="192">(Q47-P47)/P47</f>
        <v>#DIV/0!</v>
      </c>
      <c r="R48" s="127" t="e">
        <f t="shared" ref="R48" si="193">(R47-Q47)/Q47</f>
        <v>#DIV/0!</v>
      </c>
      <c r="S48" s="127" t="e">
        <f t="shared" ref="S48" si="194">(S47-R47)/R47</f>
        <v>#DIV/0!</v>
      </c>
      <c r="T48" s="127" t="e">
        <f t="shared" ref="T48" si="195">(T47-S47)/S47</f>
        <v>#DIV/0!</v>
      </c>
      <c r="U48" s="127" t="e">
        <f t="shared" ref="U48" si="196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7"/>
      <c r="AI48" s="130"/>
      <c r="AJ48" s="123"/>
    </row>
    <row r="49" spans="1:36">
      <c r="A49" s="178"/>
      <c r="B49" s="177" t="s">
        <v>428</v>
      </c>
      <c r="C49" s="118"/>
      <c r="D49" s="118"/>
      <c r="E49" s="124"/>
      <c r="F49" s="180"/>
      <c r="G49" s="180">
        <f t="shared" ref="G49" si="197">H49</f>
        <v>0</v>
      </c>
      <c r="H49" s="180">
        <f t="shared" ref="H49:I49" si="198">I49</f>
        <v>0</v>
      </c>
      <c r="I49" s="180">
        <f t="shared" si="198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7"/>
        <v>0.2</v>
      </c>
      <c r="X49" s="130">
        <f t="shared" si="8"/>
        <v>0</v>
      </c>
      <c r="Y49" s="130">
        <f t="shared" ref="Y49" si="199">X49*(1+$W49)</f>
        <v>0</v>
      </c>
      <c r="Z49" s="130">
        <f t="shared" ref="Z49" si="200">Y49*(1+$W49)</f>
        <v>0</v>
      </c>
      <c r="AA49" s="130">
        <f t="shared" ref="AA49" si="201">Z49*(1+$W49)</f>
        <v>0</v>
      </c>
      <c r="AB49" s="130">
        <f t="shared" ref="AB49" si="202">AA49*(1+$W49)</f>
        <v>0</v>
      </c>
      <c r="AC49" s="130">
        <f t="shared" ref="AC49" si="203">AB49*(1+$W49)</f>
        <v>0</v>
      </c>
      <c r="AD49" s="130">
        <f t="shared" ref="AD49" si="204">AC49*(1+$W49)</f>
        <v>0</v>
      </c>
      <c r="AE49" s="130">
        <f t="shared" ref="AE49" si="205">AD49*(1+$W49)</f>
        <v>0</v>
      </c>
      <c r="AF49" s="130">
        <f t="shared" ref="AF49" si="206">AE49*(1+$W49)</f>
        <v>0</v>
      </c>
      <c r="AG49" s="130">
        <f t="shared" ref="AG49" si="207">AF49*(1+$W49)</f>
        <v>0</v>
      </c>
      <c r="AH49" s="115" t="e">
        <f t="shared" ref="AH49" si="208">((AG49/J49)^(1/($AG$3-$K$1) ))-1</f>
        <v>#DIV/0!</v>
      </c>
      <c r="AI49" s="21">
        <f t="shared" si="18"/>
        <v>0.01</v>
      </c>
      <c r="AJ49" s="123">
        <f t="shared" si="103"/>
        <v>0</v>
      </c>
    </row>
    <row r="50" spans="1:36">
      <c r="A50" s="178"/>
      <c r="B50" s="177"/>
      <c r="C50" s="118"/>
      <c r="D50" s="118"/>
      <c r="E50" s="124"/>
      <c r="F50" s="127"/>
      <c r="G50" s="127" t="e">
        <f t="shared" ref="G50" si="209">(G49-E49)/E49</f>
        <v>#DIV/0!</v>
      </c>
      <c r="H50" s="127" t="e">
        <f t="shared" ref="H50" si="210">(H49-F49)/F49</f>
        <v>#DIV/0!</v>
      </c>
      <c r="I50" s="127" t="e">
        <f t="shared" ref="I50" si="211">(I49-H49)/H49</f>
        <v>#DIV/0!</v>
      </c>
      <c r="J50" s="127" t="e">
        <f t="shared" ref="J50" si="212">(J49-I49)/I49</f>
        <v>#DIV/0!</v>
      </c>
      <c r="K50" s="127" t="e">
        <f t="shared" ref="K50" si="213">(K49-J49)/J49</f>
        <v>#DIV/0!</v>
      </c>
      <c r="L50" s="127" t="e">
        <f t="shared" ref="L50" si="214">(L49-K49)/K49</f>
        <v>#DIV/0!</v>
      </c>
      <c r="M50" s="127" t="e">
        <f t="shared" ref="M50" si="215">(M49-L49)/L49</f>
        <v>#DIV/0!</v>
      </c>
      <c r="N50" s="127" t="e">
        <f t="shared" ref="N50" si="216">(N49-M49)/M49</f>
        <v>#DIV/0!</v>
      </c>
      <c r="O50" s="127" t="e">
        <f t="shared" ref="O50" si="217">(O49-N49)/N49</f>
        <v>#DIV/0!</v>
      </c>
      <c r="P50" s="127" t="e">
        <f t="shared" ref="P50" si="218">(P49-O49)/O49</f>
        <v>#DIV/0!</v>
      </c>
      <c r="Q50" s="127" t="e">
        <f t="shared" ref="Q50" si="219">(Q49-P49)/P49</f>
        <v>#DIV/0!</v>
      </c>
      <c r="R50" s="127" t="e">
        <f t="shared" ref="R50" si="220">(R49-Q49)/Q49</f>
        <v>#DIV/0!</v>
      </c>
      <c r="S50" s="127" t="e">
        <f t="shared" ref="S50" si="221">(S49-R49)/R49</f>
        <v>#DIV/0!</v>
      </c>
      <c r="T50" s="127" t="e">
        <f t="shared" ref="T50:U50" si="222">(T49-S49)/S49</f>
        <v>#DIV/0!</v>
      </c>
      <c r="U50" s="127" t="e">
        <f t="shared" si="222"/>
        <v>#DIV/0!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>
      <c r="A51" s="178"/>
      <c r="B51" s="177" t="s">
        <v>419</v>
      </c>
      <c r="C51" s="118"/>
      <c r="D51" s="118"/>
      <c r="E51" s="124"/>
      <c r="F51" s="180"/>
      <c r="G51" s="180">
        <f t="shared" ref="G51" si="223">H51</f>
        <v>0</v>
      </c>
      <c r="H51" s="180">
        <f t="shared" ref="H51:I51" si="224">I51</f>
        <v>0</v>
      </c>
      <c r="I51" s="180">
        <f t="shared" si="224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0</v>
      </c>
      <c r="T51" s="180">
        <v>0</v>
      </c>
      <c r="U51" s="180"/>
      <c r="V51" s="101" t="e">
        <f t="shared" si="2"/>
        <v>#DIV/0!</v>
      </c>
      <c r="W51" s="21">
        <f t="shared" si="7"/>
        <v>0.2</v>
      </c>
      <c r="X51" s="130">
        <f t="shared" si="8"/>
        <v>0</v>
      </c>
      <c r="Y51" s="130">
        <f t="shared" si="93"/>
        <v>0</v>
      </c>
      <c r="Z51" s="130">
        <f t="shared" si="94"/>
        <v>0</v>
      </c>
      <c r="AA51" s="130">
        <f t="shared" si="95"/>
        <v>0</v>
      </c>
      <c r="AB51" s="130">
        <f t="shared" si="96"/>
        <v>0</v>
      </c>
      <c r="AC51" s="130">
        <f t="shared" si="97"/>
        <v>0</v>
      </c>
      <c r="AD51" s="130">
        <f t="shared" si="98"/>
        <v>0</v>
      </c>
      <c r="AE51" s="130">
        <f t="shared" si="99"/>
        <v>0</v>
      </c>
      <c r="AF51" s="130">
        <f t="shared" si="100"/>
        <v>0</v>
      </c>
      <c r="AG51" s="130">
        <f t="shared" si="101"/>
        <v>0</v>
      </c>
      <c r="AH51" s="115" t="e">
        <f t="shared" si="102"/>
        <v>#DIV/0!</v>
      </c>
      <c r="AI51" s="21">
        <f t="shared" si="18"/>
        <v>0.01</v>
      </c>
      <c r="AJ51" s="123">
        <f t="shared" si="103"/>
        <v>0</v>
      </c>
    </row>
    <row r="52" spans="1:36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>
      <c r="B53" s="10" t="s">
        <v>229</v>
      </c>
      <c r="C53" s="118"/>
      <c r="D53" s="118"/>
      <c r="E53" s="124"/>
      <c r="F53" s="124"/>
      <c r="G53" s="124">
        <f>N53</f>
        <v>57</v>
      </c>
      <c r="H53" s="124"/>
      <c r="I53" s="124"/>
      <c r="J53" s="124"/>
      <c r="K53" s="124"/>
      <c r="L53" s="124"/>
      <c r="M53" s="124"/>
      <c r="N53" s="124">
        <v>57</v>
      </c>
      <c r="O53" s="124">
        <v>70</v>
      </c>
      <c r="P53" s="124">
        <v>96</v>
      </c>
      <c r="Q53" s="124">
        <v>128</v>
      </c>
      <c r="R53" s="124">
        <v>173</v>
      </c>
      <c r="S53" s="180">
        <v>221</v>
      </c>
      <c r="T53" s="180">
        <v>270</v>
      </c>
      <c r="U53" s="180">
        <v>328</v>
      </c>
      <c r="V53" s="101">
        <f t="shared" si="2"/>
        <v>0.28401850875039503</v>
      </c>
      <c r="W53" s="21">
        <f t="shared" si="7"/>
        <v>0.2</v>
      </c>
      <c r="X53" s="130">
        <f t="shared" si="8"/>
        <v>393.59999999999997</v>
      </c>
      <c r="Y53" s="130">
        <f t="shared" ref="Y53" si="225">X53*(1+$W53)</f>
        <v>472.31999999999994</v>
      </c>
      <c r="Z53" s="130">
        <f t="shared" ref="Z53" si="226">Y53*(1+$W53)</f>
        <v>566.78399999999988</v>
      </c>
      <c r="AA53" s="130">
        <f t="shared" ref="AA53" si="227">Z53*(1+$W53)</f>
        <v>680.14079999999979</v>
      </c>
      <c r="AB53" s="130">
        <f t="shared" si="42"/>
        <v>816.16895999999974</v>
      </c>
      <c r="AC53" s="130">
        <f t="shared" si="43"/>
        <v>979.40275199999962</v>
      </c>
      <c r="AD53" s="130">
        <f t="shared" si="44"/>
        <v>1175.2833023999995</v>
      </c>
      <c r="AE53" s="130">
        <f t="shared" si="45"/>
        <v>1410.3399628799993</v>
      </c>
      <c r="AF53" s="130">
        <f t="shared" si="46"/>
        <v>1692.4079554559992</v>
      </c>
      <c r="AG53" s="130">
        <f t="shared" si="47"/>
        <v>2030.889546547199</v>
      </c>
      <c r="AH53" s="115" t="e">
        <f t="shared" si="20"/>
        <v>#DIV/0!</v>
      </c>
      <c r="AI53" s="21">
        <f t="shared" si="18"/>
        <v>0.01</v>
      </c>
      <c r="AJ53" s="123">
        <f t="shared" si="1"/>
        <v>14651.417442947652</v>
      </c>
    </row>
    <row r="54" spans="1:36" s="106" customFormat="1">
      <c r="B54" s="13"/>
      <c r="C54" s="125"/>
      <c r="D54" s="125"/>
      <c r="E54" s="126"/>
      <c r="F54" s="268"/>
      <c r="G54" s="268">
        <f t="shared" ref="G54:P54" si="228">(G53-F53)/G53</f>
        <v>1</v>
      </c>
      <c r="H54" s="268" t="e">
        <f t="shared" si="228"/>
        <v>#DIV/0!</v>
      </c>
      <c r="I54" s="268" t="e">
        <f t="shared" si="228"/>
        <v>#DIV/0!</v>
      </c>
      <c r="J54" s="268" t="e">
        <f t="shared" si="228"/>
        <v>#DIV/0!</v>
      </c>
      <c r="K54" s="268" t="e">
        <f t="shared" si="228"/>
        <v>#DIV/0!</v>
      </c>
      <c r="L54" s="268" t="e">
        <f t="shared" si="228"/>
        <v>#DIV/0!</v>
      </c>
      <c r="M54" s="268" t="e">
        <f t="shared" si="228"/>
        <v>#DIV/0!</v>
      </c>
      <c r="N54" s="268">
        <f t="shared" si="228"/>
        <v>1</v>
      </c>
      <c r="O54" s="268">
        <f t="shared" si="228"/>
        <v>0.18571428571428572</v>
      </c>
      <c r="P54" s="268">
        <f t="shared" si="228"/>
        <v>0.27083333333333331</v>
      </c>
      <c r="Q54" s="268">
        <f t="shared" ref="Q54:R54" si="229">(Q53-P53)/Q53</f>
        <v>0.25</v>
      </c>
      <c r="R54" s="268">
        <f t="shared" si="229"/>
        <v>0.26011560693641617</v>
      </c>
      <c r="S54" s="127">
        <f t="shared" ref="S54:U54" si="230">(S53-R53)/R53</f>
        <v>0.2774566473988439</v>
      </c>
      <c r="T54" s="127">
        <f t="shared" si="230"/>
        <v>0.22171945701357465</v>
      </c>
      <c r="U54" s="127">
        <f t="shared" si="230"/>
        <v>0.21481481481481482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>
      <c r="B55" s="10" t="s">
        <v>342</v>
      </c>
      <c r="C55" s="125"/>
      <c r="D55" s="125"/>
      <c r="E55" s="126"/>
      <c r="F55" s="124"/>
      <c r="G55" s="124">
        <f>N55</f>
        <v>23</v>
      </c>
      <c r="H55" s="124"/>
      <c r="I55" s="124"/>
      <c r="J55" s="124"/>
      <c r="K55" s="124"/>
      <c r="L55" s="124"/>
      <c r="M55" s="124"/>
      <c r="N55" s="124">
        <v>23</v>
      </c>
      <c r="O55" s="124">
        <v>27</v>
      </c>
      <c r="P55" s="124">
        <v>40</v>
      </c>
      <c r="Q55" s="124">
        <v>50</v>
      </c>
      <c r="R55" s="124">
        <v>61</v>
      </c>
      <c r="S55" s="180">
        <v>78</v>
      </c>
      <c r="T55" s="180">
        <v>106</v>
      </c>
      <c r="U55" s="180">
        <v>161</v>
      </c>
      <c r="V55" s="101">
        <f t="shared" si="2"/>
        <v>0.32046924775612373</v>
      </c>
      <c r="W55" s="21">
        <f t="shared" si="7"/>
        <v>0.2</v>
      </c>
      <c r="X55" s="130">
        <f t="shared" si="8"/>
        <v>193.2</v>
      </c>
      <c r="Y55" s="130">
        <f t="shared" ref="Y55" si="231">X55*(1+$W55)</f>
        <v>231.83999999999997</v>
      </c>
      <c r="Z55" s="130">
        <f t="shared" ref="Z55" si="232">Y55*(1+$W55)</f>
        <v>278.20799999999997</v>
      </c>
      <c r="AA55" s="130">
        <f t="shared" ref="AA55" si="233">Z55*(1+$W55)</f>
        <v>333.84959999999995</v>
      </c>
      <c r="AB55" s="130">
        <f t="shared" ref="AB55" si="234">AA55*(1+$W55)</f>
        <v>400.61951999999991</v>
      </c>
      <c r="AC55" s="130">
        <f t="shared" ref="AC55" si="235">AB55*(1+$W55)</f>
        <v>480.74342399999989</v>
      </c>
      <c r="AD55" s="130">
        <f t="shared" ref="AD55" si="236">AC55*(1+$W55)</f>
        <v>576.89210879999985</v>
      </c>
      <c r="AE55" s="130">
        <f t="shared" ref="AE55" si="237">AD55*(1+$W55)</f>
        <v>692.27053055999977</v>
      </c>
      <c r="AF55" s="130">
        <f t="shared" ref="AF55" si="238">AE55*(1+$W55)</f>
        <v>830.72463667199975</v>
      </c>
      <c r="AG55" s="130">
        <f t="shared" ref="AG55" si="239">AF55*(1+$W55)</f>
        <v>996.86956400639963</v>
      </c>
      <c r="AH55" s="115" t="e">
        <f t="shared" ref="AH55" si="240">((AG55/J55)^(1/($AG$3-$K$1) ))-1</f>
        <v>#DIV/0!</v>
      </c>
      <c r="AI55" s="21">
        <f t="shared" si="18"/>
        <v>0.01</v>
      </c>
      <c r="AJ55" s="123">
        <f t="shared" ref="AJ55" si="241">(AG55*(1+AI55))/($C$1-AI55)</f>
        <v>7191.7018546175977</v>
      </c>
    </row>
    <row r="56" spans="1:36" s="106" customFormat="1">
      <c r="B56" s="13"/>
      <c r="C56" s="125"/>
      <c r="D56" s="125"/>
      <c r="E56" s="126"/>
      <c r="F56" s="268"/>
      <c r="G56" s="268">
        <f t="shared" ref="G56:P56" si="242">(G55-F55)/G55</f>
        <v>1</v>
      </c>
      <c r="H56" s="268" t="e">
        <f t="shared" si="242"/>
        <v>#DIV/0!</v>
      </c>
      <c r="I56" s="268" t="e">
        <f t="shared" si="242"/>
        <v>#DIV/0!</v>
      </c>
      <c r="J56" s="268" t="e">
        <f t="shared" si="242"/>
        <v>#DIV/0!</v>
      </c>
      <c r="K56" s="268" t="e">
        <f t="shared" si="242"/>
        <v>#DIV/0!</v>
      </c>
      <c r="L56" s="268" t="e">
        <f t="shared" si="242"/>
        <v>#DIV/0!</v>
      </c>
      <c r="M56" s="268" t="e">
        <f t="shared" si="242"/>
        <v>#DIV/0!</v>
      </c>
      <c r="N56" s="268">
        <f t="shared" si="242"/>
        <v>1</v>
      </c>
      <c r="O56" s="268">
        <f t="shared" si="242"/>
        <v>0.14814814814814814</v>
      </c>
      <c r="P56" s="268">
        <f t="shared" si="242"/>
        <v>0.32500000000000001</v>
      </c>
      <c r="Q56" s="268">
        <f t="shared" ref="Q56:R56" si="243">(Q55-P55)/Q55</f>
        <v>0.2</v>
      </c>
      <c r="R56" s="268">
        <f t="shared" si="243"/>
        <v>0.18032786885245902</v>
      </c>
      <c r="S56" s="127">
        <f t="shared" ref="S56:U56" si="244">(S55-R55)/R55</f>
        <v>0.27868852459016391</v>
      </c>
      <c r="T56" s="127">
        <f t="shared" si="244"/>
        <v>0.35897435897435898</v>
      </c>
      <c r="U56" s="127">
        <f t="shared" si="244"/>
        <v>0.51886792452830188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>
      <c r="B57" s="10" t="s">
        <v>507</v>
      </c>
      <c r="C57" s="125"/>
      <c r="D57" s="125"/>
      <c r="E57" s="126"/>
      <c r="F57" s="268"/>
      <c r="G57" s="124">
        <f>N57</f>
        <v>0.71</v>
      </c>
      <c r="H57" s="124"/>
      <c r="I57" s="124"/>
      <c r="J57" s="124"/>
      <c r="K57" s="124"/>
      <c r="L57" s="124"/>
      <c r="M57" s="124"/>
      <c r="N57" s="124">
        <v>0.71</v>
      </c>
      <c r="O57" s="124">
        <v>0.5</v>
      </c>
      <c r="P57" s="124">
        <v>0.63</v>
      </c>
      <c r="Q57" s="124">
        <v>0.57999999999999996</v>
      </c>
      <c r="R57" s="124">
        <v>1</v>
      </c>
      <c r="S57" s="180">
        <v>1</v>
      </c>
      <c r="T57" s="180">
        <v>1</v>
      </c>
      <c r="U57" s="180">
        <v>1</v>
      </c>
      <c r="V57" s="101">
        <f t="shared" si="2"/>
        <v>5.0143883821571311E-2</v>
      </c>
      <c r="W57" s="21">
        <f t="shared" si="7"/>
        <v>0.2</v>
      </c>
      <c r="X57" s="130">
        <f t="shared" ref="X57" si="245">U57*(1+$W57)</f>
        <v>1.2</v>
      </c>
      <c r="Y57" s="130">
        <f t="shared" ref="Y57" si="246">X57*(1+$W57)</f>
        <v>1.44</v>
      </c>
      <c r="Z57" s="130">
        <f t="shared" ref="Z57" si="247">Y57*(1+$W57)</f>
        <v>1.728</v>
      </c>
      <c r="AA57" s="130">
        <f t="shared" ref="AA57" si="248">Z57*(1+$W57)</f>
        <v>2.0735999999999999</v>
      </c>
      <c r="AB57" s="130">
        <f t="shared" ref="AB57" si="249">AA57*(1+$W57)</f>
        <v>2.4883199999999999</v>
      </c>
      <c r="AC57" s="130">
        <f t="shared" ref="AC57" si="250">AB57*(1+$W57)</f>
        <v>2.9859839999999997</v>
      </c>
      <c r="AD57" s="130">
        <f t="shared" ref="AD57" si="251">AC57*(1+$W57)</f>
        <v>3.5831807999999996</v>
      </c>
      <c r="AE57" s="130">
        <f t="shared" ref="AE57" si="252">AD57*(1+$W57)</f>
        <v>4.2998169599999994</v>
      </c>
      <c r="AF57" s="130">
        <f t="shared" ref="AF57" si="253">AE57*(1+$W57)</f>
        <v>5.1597803519999994</v>
      </c>
      <c r="AG57" s="130">
        <f t="shared" ref="AG57" si="254">AF57*(1+$W57)</f>
        <v>6.1917364223999991</v>
      </c>
      <c r="AH57" s="115" t="e">
        <f t="shared" ref="AH57" si="255">((AG57/J57)^(1/($AG$3-$K$1) ))-1</f>
        <v>#DIV/0!</v>
      </c>
      <c r="AI57" s="21">
        <f t="shared" si="18"/>
        <v>0.01</v>
      </c>
      <c r="AJ57" s="123">
        <f t="shared" ref="AJ57" si="256">(AG57*(1+AI57))/($C$1-AI57)</f>
        <v>44.668955618742849</v>
      </c>
    </row>
    <row r="58" spans="1:36" s="106" customFormat="1">
      <c r="B58" s="13"/>
      <c r="C58" s="125"/>
      <c r="D58" s="125"/>
      <c r="E58" s="126"/>
      <c r="F58" s="268"/>
      <c r="G58" s="268">
        <f t="shared" ref="G58" si="257">(G57-F57)/G57</f>
        <v>1</v>
      </c>
      <c r="H58" s="268" t="e">
        <f t="shared" ref="H58" si="258">(H57-G57)/H57</f>
        <v>#DIV/0!</v>
      </c>
      <c r="I58" s="268" t="e">
        <f t="shared" ref="I58" si="259">(I57-H57)/I57</f>
        <v>#DIV/0!</v>
      </c>
      <c r="J58" s="268" t="e">
        <f t="shared" ref="J58" si="260">(J57-I57)/J57</f>
        <v>#DIV/0!</v>
      </c>
      <c r="K58" s="268" t="e">
        <f t="shared" ref="K58" si="261">(K57-J57)/K57</f>
        <v>#DIV/0!</v>
      </c>
      <c r="L58" s="268" t="e">
        <f t="shared" ref="L58" si="262">(L57-K57)/L57</f>
        <v>#DIV/0!</v>
      </c>
      <c r="M58" s="268" t="e">
        <f t="shared" ref="M58" si="263">(M57-L57)/M57</f>
        <v>#DIV/0!</v>
      </c>
      <c r="N58" s="268">
        <f t="shared" ref="N58" si="264">(N57-M57)/N57</f>
        <v>1</v>
      </c>
      <c r="O58" s="268">
        <f t="shared" ref="O58" si="265">(O57-N57)/O57</f>
        <v>-0.41999999999999993</v>
      </c>
      <c r="P58" s="268">
        <f t="shared" ref="P58" si="266">(P57-O57)/P57</f>
        <v>0.20634920634920637</v>
      </c>
      <c r="Q58" s="268">
        <f t="shared" ref="Q58" si="267">(Q57-P57)/Q57</f>
        <v>-8.6206896551724227E-2</v>
      </c>
      <c r="R58" s="268">
        <f t="shared" ref="R58" si="268">(R57-Q57)/R57</f>
        <v>0.42000000000000004</v>
      </c>
      <c r="S58" s="127">
        <f t="shared" ref="S58" si="269">(S57-R57)/R57</f>
        <v>0</v>
      </c>
      <c r="T58" s="127">
        <f t="shared" ref="T58" si="270">(T57-S57)/S57</f>
        <v>0</v>
      </c>
      <c r="U58" s="127">
        <f t="shared" ref="U58" si="271">(U57-T57)/T57</f>
        <v>0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>
      <c r="B59" s="10" t="s">
        <v>343</v>
      </c>
      <c r="C59" s="118"/>
      <c r="D59" s="118"/>
      <c r="E59" s="124"/>
      <c r="F59" s="124"/>
      <c r="G59" s="124">
        <f>N59</f>
        <v>15</v>
      </c>
      <c r="H59" s="124"/>
      <c r="I59" s="124"/>
      <c r="J59" s="124"/>
      <c r="K59" s="124"/>
      <c r="L59" s="124"/>
      <c r="M59" s="124"/>
      <c r="N59" s="124">
        <v>15</v>
      </c>
      <c r="O59" s="124">
        <v>18</v>
      </c>
      <c r="P59" s="124">
        <v>27</v>
      </c>
      <c r="Q59" s="124">
        <v>33</v>
      </c>
      <c r="R59" s="124">
        <v>40</v>
      </c>
      <c r="S59" s="180">
        <v>51</v>
      </c>
      <c r="T59" s="180">
        <v>69</v>
      </c>
      <c r="U59" s="180">
        <v>106</v>
      </c>
      <c r="V59" s="101">
        <f t="shared" si="2"/>
        <v>0.32225851461136945</v>
      </c>
      <c r="W59" s="21">
        <f t="shared" si="7"/>
        <v>0.2</v>
      </c>
      <c r="X59" s="130">
        <f t="shared" si="8"/>
        <v>127.19999999999999</v>
      </c>
      <c r="Y59" s="130">
        <f t="shared" ref="Y59:AG59" si="272">X59*(1+$W59)</f>
        <v>152.63999999999999</v>
      </c>
      <c r="Z59" s="130">
        <f t="shared" si="272"/>
        <v>183.16799999999998</v>
      </c>
      <c r="AA59" s="130">
        <f t="shared" si="272"/>
        <v>219.80159999999998</v>
      </c>
      <c r="AB59" s="130">
        <f t="shared" si="272"/>
        <v>263.76191999999998</v>
      </c>
      <c r="AC59" s="130">
        <f t="shared" si="272"/>
        <v>316.51430399999998</v>
      </c>
      <c r="AD59" s="130">
        <f t="shared" si="272"/>
        <v>379.81716479999994</v>
      </c>
      <c r="AE59" s="130">
        <f t="shared" si="272"/>
        <v>455.78059775999992</v>
      </c>
      <c r="AF59" s="130">
        <f t="shared" si="272"/>
        <v>546.93671731199993</v>
      </c>
      <c r="AG59" s="130">
        <f t="shared" si="272"/>
        <v>656.32406077439987</v>
      </c>
      <c r="AH59" s="115" t="e">
        <f t="shared" si="20"/>
        <v>#DIV/0!</v>
      </c>
      <c r="AI59" s="21">
        <f t="shared" si="18"/>
        <v>0.01</v>
      </c>
      <c r="AJ59" s="123">
        <f t="shared" si="1"/>
        <v>4734.9092955867427</v>
      </c>
    </row>
    <row r="60" spans="1:36" s="106" customFormat="1">
      <c r="B60" s="13"/>
      <c r="C60" s="125"/>
      <c r="D60" s="125"/>
      <c r="E60" s="126"/>
      <c r="F60" s="268"/>
      <c r="G60" s="268">
        <f>(G59-F59)/G59</f>
        <v>1</v>
      </c>
      <c r="H60" s="268" t="e">
        <f t="shared" ref="H60:P60" si="273">(H59-G59)/H59</f>
        <v>#DIV/0!</v>
      </c>
      <c r="I60" s="268" t="e">
        <f t="shared" si="273"/>
        <v>#DIV/0!</v>
      </c>
      <c r="J60" s="268" t="e">
        <f t="shared" si="273"/>
        <v>#DIV/0!</v>
      </c>
      <c r="K60" s="268" t="e">
        <f t="shared" si="273"/>
        <v>#DIV/0!</v>
      </c>
      <c r="L60" s="268" t="e">
        <f t="shared" si="273"/>
        <v>#DIV/0!</v>
      </c>
      <c r="M60" s="268" t="e">
        <f t="shared" si="273"/>
        <v>#DIV/0!</v>
      </c>
      <c r="N60" s="268">
        <f t="shared" si="273"/>
        <v>1</v>
      </c>
      <c r="O60" s="268">
        <f t="shared" si="273"/>
        <v>0.16666666666666666</v>
      </c>
      <c r="P60" s="268">
        <f t="shared" si="273"/>
        <v>0.33333333333333331</v>
      </c>
      <c r="Q60" s="268">
        <f t="shared" ref="Q60:R60" si="274">(Q59-P59)/Q59</f>
        <v>0.18181818181818182</v>
      </c>
      <c r="R60" s="268">
        <f t="shared" si="274"/>
        <v>0.17499999999999999</v>
      </c>
      <c r="S60" s="127">
        <f t="shared" ref="S60:U60" si="275">(S59-R59)/R59</f>
        <v>0.27500000000000002</v>
      </c>
      <c r="T60" s="127">
        <f t="shared" si="275"/>
        <v>0.35294117647058826</v>
      </c>
      <c r="U60" s="127">
        <f t="shared" si="275"/>
        <v>0.53623188405797106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>
      <c r="B61" s="10" t="s">
        <v>197</v>
      </c>
      <c r="C61" s="119"/>
      <c r="D61" s="119"/>
      <c r="E61" s="122"/>
      <c r="F61" s="124"/>
      <c r="G61" s="124">
        <f>N61</f>
        <v>0.95</v>
      </c>
      <c r="H61" s="270"/>
      <c r="I61" s="270"/>
      <c r="J61" s="270"/>
      <c r="K61" s="270"/>
      <c r="L61" s="270"/>
      <c r="M61" s="270"/>
      <c r="N61" s="270">
        <v>0.95</v>
      </c>
      <c r="O61" s="270">
        <v>1</v>
      </c>
      <c r="P61" s="270">
        <v>1</v>
      </c>
      <c r="Q61" s="122">
        <v>1.6</v>
      </c>
      <c r="R61" s="122">
        <v>1.6</v>
      </c>
      <c r="S61" s="122">
        <v>1.6</v>
      </c>
      <c r="T61" s="122">
        <v>5.46</v>
      </c>
      <c r="U61" s="122">
        <v>5.46</v>
      </c>
      <c r="V61" s="101">
        <f t="shared" si="2"/>
        <v>0.28379469514314137</v>
      </c>
      <c r="W61" s="21">
        <v>0.02</v>
      </c>
      <c r="X61" s="130">
        <f t="shared" si="8"/>
        <v>5.5692000000000004</v>
      </c>
      <c r="Y61" s="130">
        <f>X61*(1+$W61)</f>
        <v>5.6805840000000005</v>
      </c>
      <c r="Z61" s="130">
        <f t="shared" ref="Z61:AG61" si="276">Y61*(1+$W61)</f>
        <v>5.7941956800000005</v>
      </c>
      <c r="AA61" s="130">
        <f t="shared" si="276"/>
        <v>5.9100795936000008</v>
      </c>
      <c r="AB61" s="130">
        <f t="shared" si="276"/>
        <v>6.0282811854720011</v>
      </c>
      <c r="AC61" s="130">
        <f t="shared" si="276"/>
        <v>6.1488468091814417</v>
      </c>
      <c r="AD61" s="130">
        <f t="shared" si="276"/>
        <v>6.2718237453650705</v>
      </c>
      <c r="AE61" s="130">
        <f t="shared" si="276"/>
        <v>6.3972602202723721</v>
      </c>
      <c r="AF61" s="130">
        <f t="shared" si="276"/>
        <v>6.5252054246778197</v>
      </c>
      <c r="AG61" s="130">
        <f t="shared" si="276"/>
        <v>6.6557095331713763</v>
      </c>
      <c r="AH61" s="115" t="e">
        <f t="shared" si="20"/>
        <v>#DIV/0!</v>
      </c>
      <c r="AI61" s="21">
        <f t="shared" si="18"/>
        <v>0.01</v>
      </c>
      <c r="AJ61" s="123">
        <f t="shared" si="1"/>
        <v>48.016190203593503</v>
      </c>
    </row>
    <row r="62" spans="1:36">
      <c r="B62" s="10"/>
      <c r="C62" s="119"/>
      <c r="D62" s="119"/>
      <c r="E62" s="120"/>
      <c r="F62" s="268"/>
      <c r="G62" s="268">
        <f t="shared" ref="G62" si="277">(G61-E61)/G61</f>
        <v>1</v>
      </c>
      <c r="H62" s="268" t="e">
        <f>(H61-F61)/H61</f>
        <v>#DIV/0!</v>
      </c>
      <c r="I62" s="268" t="e">
        <f t="shared" ref="I62:R62" si="278">(I61-H61)/I61</f>
        <v>#DIV/0!</v>
      </c>
      <c r="J62" s="268" t="e">
        <f t="shared" si="278"/>
        <v>#DIV/0!</v>
      </c>
      <c r="K62" s="268" t="e">
        <f t="shared" si="278"/>
        <v>#DIV/0!</v>
      </c>
      <c r="L62" s="268" t="e">
        <f t="shared" si="278"/>
        <v>#DIV/0!</v>
      </c>
      <c r="M62" s="268" t="e">
        <f t="shared" si="278"/>
        <v>#DIV/0!</v>
      </c>
      <c r="N62" s="268">
        <f t="shared" si="278"/>
        <v>1</v>
      </c>
      <c r="O62" s="268">
        <f t="shared" si="278"/>
        <v>5.0000000000000044E-2</v>
      </c>
      <c r="P62" s="268">
        <f t="shared" si="278"/>
        <v>0</v>
      </c>
      <c r="Q62" s="268">
        <f t="shared" si="278"/>
        <v>0.37500000000000006</v>
      </c>
      <c r="R62" s="268">
        <f t="shared" si="278"/>
        <v>0</v>
      </c>
      <c r="S62" s="127">
        <f t="shared" ref="S62:U62" si="279">(S61-R61)/R61</f>
        <v>0</v>
      </c>
      <c r="T62" s="127">
        <f t="shared" si="279"/>
        <v>2.4124999999999996</v>
      </c>
      <c r="U62" s="127">
        <f t="shared" si="279"/>
        <v>0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>
      <c r="B63" s="10" t="s">
        <v>232</v>
      </c>
      <c r="C63" s="122"/>
      <c r="D63" s="122"/>
      <c r="E63" s="122"/>
      <c r="F63" s="124"/>
      <c r="G63" s="124">
        <f>N63</f>
        <v>0</v>
      </c>
      <c r="H63" s="271"/>
      <c r="I63" s="271"/>
      <c r="J63" s="271"/>
      <c r="K63" s="271"/>
      <c r="L63" s="271"/>
      <c r="M63" s="271"/>
      <c r="N63" s="271">
        <v>0</v>
      </c>
      <c r="O63" s="271">
        <v>0</v>
      </c>
      <c r="P63" s="271">
        <v>0</v>
      </c>
      <c r="Q63" s="124">
        <v>0</v>
      </c>
      <c r="R63" s="124">
        <v>0</v>
      </c>
      <c r="S63" s="180">
        <v>0</v>
      </c>
      <c r="T63" s="180">
        <v>0</v>
      </c>
      <c r="U63" s="180">
        <v>0</v>
      </c>
      <c r="V63" s="101" t="e">
        <f t="shared" si="2"/>
        <v>#DIV/0!</v>
      </c>
      <c r="W63" s="21">
        <v>0.02</v>
      </c>
      <c r="X63" s="130">
        <f t="shared" si="8"/>
        <v>0</v>
      </c>
      <c r="Y63" s="130">
        <f t="shared" ref="Y63" si="280">X63*(1+$W63)</f>
        <v>0</v>
      </c>
      <c r="Z63" s="130">
        <f t="shared" ref="Z63" si="281">Y63*(1+$W63)</f>
        <v>0</v>
      </c>
      <c r="AA63" s="130">
        <f t="shared" ref="AA63" si="282">Z63*(1+$W63)</f>
        <v>0</v>
      </c>
      <c r="AB63" s="130">
        <f t="shared" ref="AB63" si="283">AA63*(1+$W63)</f>
        <v>0</v>
      </c>
      <c r="AC63" s="130">
        <f t="shared" ref="AC63" si="284">AB63*(1+$W63)</f>
        <v>0</v>
      </c>
      <c r="AD63" s="130">
        <f t="shared" ref="AD63" si="285">AC63*(1+$W63)</f>
        <v>0</v>
      </c>
      <c r="AE63" s="130">
        <f t="shared" ref="AE63" si="286">AD63*(1+$W63)</f>
        <v>0</v>
      </c>
      <c r="AF63" s="130">
        <f t="shared" ref="AF63" si="287">AE63*(1+$W63)</f>
        <v>0</v>
      </c>
      <c r="AG63" s="130">
        <f t="shared" ref="AG63" si="288">AF63*(1+$W63)</f>
        <v>0</v>
      </c>
      <c r="AH63" s="115" t="e">
        <f t="shared" ref="AH63" si="289">((AG63/J63)^(1/($AG$3-$K$1) ))-1</f>
        <v>#DIV/0!</v>
      </c>
      <c r="AI63" s="21">
        <f t="shared" si="18"/>
        <v>0.01</v>
      </c>
      <c r="AJ63" s="123">
        <f t="shared" si="1"/>
        <v>0</v>
      </c>
    </row>
    <row r="64" spans="1:36">
      <c r="B64" s="10"/>
      <c r="C64" s="122"/>
      <c r="D64" s="122"/>
      <c r="E64" s="122"/>
      <c r="F64" s="127"/>
      <c r="G64" s="127" t="e">
        <f t="shared" ref="G64" si="290">(G63-E63)/E63</f>
        <v>#DIV/0!</v>
      </c>
      <c r="H64" s="127" t="e">
        <f t="shared" ref="H64" si="291">(H63-F63)/F63</f>
        <v>#DIV/0!</v>
      </c>
      <c r="I64" s="127" t="e">
        <f t="shared" ref="I64" si="292">(I63-H63)/H63</f>
        <v>#DIV/0!</v>
      </c>
      <c r="J64" s="127" t="e">
        <f t="shared" ref="J64:U64" si="293">(J63-I63)/I63</f>
        <v>#DIV/0!</v>
      </c>
      <c r="K64" s="127" t="e">
        <f t="shared" si="293"/>
        <v>#DIV/0!</v>
      </c>
      <c r="L64" s="127" t="e">
        <f t="shared" si="293"/>
        <v>#DIV/0!</v>
      </c>
      <c r="M64" s="127" t="e">
        <f t="shared" si="293"/>
        <v>#DIV/0!</v>
      </c>
      <c r="N64" s="127" t="e">
        <f t="shared" si="293"/>
        <v>#DIV/0!</v>
      </c>
      <c r="O64" s="127" t="e">
        <f t="shared" si="293"/>
        <v>#DIV/0!</v>
      </c>
      <c r="P64" s="127" t="e">
        <f t="shared" si="293"/>
        <v>#DIV/0!</v>
      </c>
      <c r="Q64" s="127" t="e">
        <f t="shared" si="293"/>
        <v>#DIV/0!</v>
      </c>
      <c r="R64" s="127" t="e">
        <f t="shared" si="293"/>
        <v>#DIV/0!</v>
      </c>
      <c r="S64" s="127" t="e">
        <f t="shared" si="293"/>
        <v>#DIV/0!</v>
      </c>
      <c r="T64" s="127" t="e">
        <f t="shared" si="293"/>
        <v>#DIV/0!</v>
      </c>
      <c r="U64" s="127" t="e">
        <f t="shared" si="293"/>
        <v>#DIV/0!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01" t="e">
        <f t="shared" si="2"/>
        <v>#DIV/0!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#DIV/0!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>
      <c r="B70" s="10" t="s">
        <v>252</v>
      </c>
      <c r="C70" s="111"/>
      <c r="D70" s="111"/>
      <c r="E70" s="111"/>
      <c r="F70" s="111"/>
      <c r="G70" s="111">
        <f t="shared" ref="G70" si="294">G25/G61</f>
        <v>94.736842105263165</v>
      </c>
      <c r="H70" s="111" t="e">
        <f t="shared" ref="H70:I70" si="295">H25/H61</f>
        <v>#DIV/0!</v>
      </c>
      <c r="I70" s="111" t="e">
        <f t="shared" si="295"/>
        <v>#DIV/0!</v>
      </c>
      <c r="J70" s="111" t="e">
        <f t="shared" ref="J70:S70" si="296">J25/J61</f>
        <v>#DIV/0!</v>
      </c>
      <c r="K70" s="111" t="e">
        <f t="shared" si="296"/>
        <v>#DIV/0!</v>
      </c>
      <c r="L70" s="111" t="e">
        <f t="shared" si="296"/>
        <v>#DIV/0!</v>
      </c>
      <c r="M70" s="111" t="e">
        <f t="shared" si="296"/>
        <v>#DIV/0!</v>
      </c>
      <c r="N70" s="111">
        <f t="shared" si="296"/>
        <v>94.736842105263165</v>
      </c>
      <c r="O70" s="111">
        <f t="shared" si="296"/>
        <v>109</v>
      </c>
      <c r="P70" s="111">
        <f t="shared" si="296"/>
        <v>143</v>
      </c>
      <c r="Q70" s="111">
        <f t="shared" si="296"/>
        <v>115.625</v>
      </c>
      <c r="R70" s="111">
        <f t="shared" si="296"/>
        <v>148.75</v>
      </c>
      <c r="S70" s="111">
        <f t="shared" si="296"/>
        <v>190</v>
      </c>
      <c r="T70" s="111">
        <f t="shared" ref="T70:U70" si="297">T25/T61</f>
        <v>66.666666666666671</v>
      </c>
      <c r="U70" s="111">
        <f t="shared" si="297"/>
        <v>83.333333333333329</v>
      </c>
      <c r="V70" s="101">
        <f t="shared" si="2"/>
        <v>-1.8155219644131249E-2</v>
      </c>
      <c r="W70" s="109"/>
      <c r="X70" s="134">
        <f t="shared" ref="X70:AG70" si="298">X25/X61</f>
        <v>98.039215686274503</v>
      </c>
      <c r="Y70" s="134">
        <f t="shared" si="298"/>
        <v>115.34025374855823</v>
      </c>
      <c r="Z70" s="134">
        <f t="shared" si="298"/>
        <v>135.69441617477437</v>
      </c>
      <c r="AA70" s="134">
        <f t="shared" si="298"/>
        <v>159.6404896173816</v>
      </c>
      <c r="AB70" s="134">
        <f t="shared" si="298"/>
        <v>187.81234072633129</v>
      </c>
      <c r="AC70" s="134">
        <f t="shared" si="298"/>
        <v>220.95569497215442</v>
      </c>
      <c r="AD70" s="134">
        <f t="shared" si="298"/>
        <v>259.94787643782871</v>
      </c>
      <c r="AE70" s="134">
        <f t="shared" si="298"/>
        <v>305.82103110332793</v>
      </c>
      <c r="AF70" s="134">
        <f t="shared" si="298"/>
        <v>359.78944835685633</v>
      </c>
      <c r="AG70" s="134">
        <f t="shared" si="298"/>
        <v>423.28170394924274</v>
      </c>
      <c r="AH70" s="115" t="e">
        <f t="shared" ref="AH70" si="299">((AG70/J70)^(1/($AG$3-$K$1) ))-1</f>
        <v>#DIV/0!</v>
      </c>
      <c r="AI70" s="21">
        <f t="shared" si="18"/>
        <v>0.01</v>
      </c>
      <c r="AJ70" s="123">
        <f t="shared" ref="AJ70:AJ71" si="300">(AG70*(1+AI70))/($C$1-AI70)</f>
        <v>3053.675149919537</v>
      </c>
    </row>
    <row r="71" spans="2:36">
      <c r="B71" s="10" t="s">
        <v>253</v>
      </c>
      <c r="C71" s="111"/>
      <c r="D71" s="111"/>
      <c r="E71" s="111"/>
      <c r="F71" s="111"/>
      <c r="G71" s="111">
        <f t="shared" ref="G71" si="301">G27/G61</f>
        <v>31.578947368421055</v>
      </c>
      <c r="H71" s="111" t="e">
        <f t="shared" ref="H71:I71" si="302">H27/H61</f>
        <v>#DIV/0!</v>
      </c>
      <c r="I71" s="111" t="e">
        <f t="shared" si="302"/>
        <v>#DIV/0!</v>
      </c>
      <c r="J71" s="111" t="e">
        <f t="shared" ref="J71:S71" si="303">J27/J61</f>
        <v>#DIV/0!</v>
      </c>
      <c r="K71" s="111" t="e">
        <f t="shared" si="303"/>
        <v>#DIV/0!</v>
      </c>
      <c r="L71" s="111" t="e">
        <f t="shared" si="303"/>
        <v>#DIV/0!</v>
      </c>
      <c r="M71" s="111" t="e">
        <f t="shared" si="303"/>
        <v>#DIV/0!</v>
      </c>
      <c r="N71" s="111">
        <f t="shared" si="303"/>
        <v>31.578947368421055</v>
      </c>
      <c r="O71" s="111">
        <f t="shared" si="303"/>
        <v>38</v>
      </c>
      <c r="P71" s="111">
        <f t="shared" si="303"/>
        <v>46</v>
      </c>
      <c r="Q71" s="111">
        <f t="shared" si="303"/>
        <v>35</v>
      </c>
      <c r="R71" s="111">
        <f t="shared" si="303"/>
        <v>39.375</v>
      </c>
      <c r="S71" s="111">
        <f t="shared" si="303"/>
        <v>51.25</v>
      </c>
      <c r="T71" s="111">
        <f t="shared" ref="T71:U71" si="304">T27/T61</f>
        <v>17.032967032967033</v>
      </c>
      <c r="U71" s="111">
        <f t="shared" si="304"/>
        <v>22.893772893772894</v>
      </c>
      <c r="V71" s="101">
        <f t="shared" si="2"/>
        <v>-4.4906972875040641E-2</v>
      </c>
      <c r="W71" s="109"/>
      <c r="X71" s="134">
        <f t="shared" ref="X71:AG71" si="305">X27/X61</f>
        <v>26.933850463262225</v>
      </c>
      <c r="Y71" s="134">
        <f t="shared" si="305"/>
        <v>31.686882897955559</v>
      </c>
      <c r="Z71" s="134">
        <f t="shared" si="305"/>
        <v>37.278685762300661</v>
      </c>
      <c r="AA71" s="134">
        <f t="shared" si="305"/>
        <v>43.857277367412536</v>
      </c>
      <c r="AB71" s="134">
        <f t="shared" si="305"/>
        <v>51.596796902838271</v>
      </c>
      <c r="AC71" s="134">
        <f t="shared" si="305"/>
        <v>60.702114003339133</v>
      </c>
      <c r="AD71" s="134">
        <f t="shared" si="305"/>
        <v>71.414251768634273</v>
      </c>
      <c r="AE71" s="134">
        <f t="shared" si="305"/>
        <v>84.016766786628551</v>
      </c>
      <c r="AF71" s="134">
        <f t="shared" si="305"/>
        <v>98.843255043092412</v>
      </c>
      <c r="AG71" s="134">
        <f t="shared" si="305"/>
        <v>116.28618240363812</v>
      </c>
      <c r="AH71" s="115" t="e">
        <f t="shared" ref="AH71" si="306">((AG71/J71)^(1/($AG$3-$K$1) ))-1</f>
        <v>#DIV/0!</v>
      </c>
      <c r="AI71" s="21">
        <f t="shared" si="18"/>
        <v>0.01</v>
      </c>
      <c r="AJ71" s="123">
        <f t="shared" si="300"/>
        <v>838.92174448338938</v>
      </c>
    </row>
    <row r="72" spans="2:36">
      <c r="B72" s="10" t="s">
        <v>369</v>
      </c>
      <c r="C72" s="111"/>
      <c r="D72" s="111"/>
      <c r="E72" s="111"/>
      <c r="F72" s="111"/>
      <c r="G72" s="111">
        <f t="shared" ref="G72" si="307">G55-G59</f>
        <v>8</v>
      </c>
      <c r="H72" s="111">
        <f t="shared" ref="H72:I72" si="308">H55-H59</f>
        <v>0</v>
      </c>
      <c r="I72" s="111">
        <f t="shared" si="308"/>
        <v>0</v>
      </c>
      <c r="J72" s="111">
        <f>J55-J59</f>
        <v>0</v>
      </c>
      <c r="K72" s="111">
        <f t="shared" ref="K72:S72" si="309">K55-K59</f>
        <v>0</v>
      </c>
      <c r="L72" s="111">
        <f t="shared" si="309"/>
        <v>0</v>
      </c>
      <c r="M72" s="111">
        <f t="shared" si="309"/>
        <v>0</v>
      </c>
      <c r="N72" s="111">
        <f t="shared" si="309"/>
        <v>8</v>
      </c>
      <c r="O72" s="111">
        <f t="shared" si="309"/>
        <v>9</v>
      </c>
      <c r="P72" s="111">
        <f t="shared" si="309"/>
        <v>13</v>
      </c>
      <c r="Q72" s="111">
        <f t="shared" si="309"/>
        <v>17</v>
      </c>
      <c r="R72" s="111">
        <f t="shared" si="309"/>
        <v>21</v>
      </c>
      <c r="S72" s="111">
        <f t="shared" si="309"/>
        <v>27</v>
      </c>
      <c r="T72" s="111">
        <f t="shared" ref="T72:U72" si="310">T55-T59</f>
        <v>37</v>
      </c>
      <c r="U72" s="111">
        <f t="shared" si="310"/>
        <v>55</v>
      </c>
      <c r="V72" s="101">
        <f t="shared" si="2"/>
        <v>0.31707463541814862</v>
      </c>
      <c r="W72" s="109"/>
      <c r="X72" s="111">
        <f t="shared" ref="X72:AG72" si="311">X55-X59</f>
        <v>66</v>
      </c>
      <c r="Y72" s="111">
        <f t="shared" si="311"/>
        <v>79.199999999999989</v>
      </c>
      <c r="Z72" s="111">
        <f t="shared" si="311"/>
        <v>95.039999999999992</v>
      </c>
      <c r="AA72" s="111">
        <f t="shared" si="311"/>
        <v>114.04799999999997</v>
      </c>
      <c r="AB72" s="111">
        <f t="shared" si="311"/>
        <v>136.85759999999993</v>
      </c>
      <c r="AC72" s="111">
        <f t="shared" si="311"/>
        <v>164.22911999999991</v>
      </c>
      <c r="AD72" s="111">
        <f t="shared" si="311"/>
        <v>197.0749439999999</v>
      </c>
      <c r="AE72" s="111">
        <f t="shared" si="311"/>
        <v>236.48993279999985</v>
      </c>
      <c r="AF72" s="111">
        <f t="shared" si="311"/>
        <v>283.78791935999982</v>
      </c>
      <c r="AG72" s="111">
        <f t="shared" si="311"/>
        <v>340.54550323199976</v>
      </c>
      <c r="AH72" s="115" t="e">
        <f t="shared" ref="AH72" si="312">((AG72/J72)^(1/($AG$3-$K$1) ))-1</f>
        <v>#DIV/0!</v>
      </c>
      <c r="AI72" s="21">
        <f t="shared" si="18"/>
        <v>0.01</v>
      </c>
      <c r="AJ72" s="123">
        <f t="shared" ref="AJ72" si="313">(AG72*(1+AI72))/($C$1-AI72)</f>
        <v>2456.7925590308555</v>
      </c>
    </row>
    <row r="73" spans="2:36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>
      <c r="B74" s="10" t="s">
        <v>402</v>
      </c>
      <c r="C74" s="111"/>
      <c r="D74" s="111"/>
      <c r="E74" s="111"/>
      <c r="F74" s="15"/>
      <c r="G74" s="15">
        <f t="shared" ref="G74" si="314">G53/G61</f>
        <v>60</v>
      </c>
      <c r="H74" s="15" t="e">
        <f t="shared" ref="H74:I74" si="315">H53/H61</f>
        <v>#DIV/0!</v>
      </c>
      <c r="I74" s="15" t="e">
        <f t="shared" si="315"/>
        <v>#DIV/0!</v>
      </c>
      <c r="J74" s="15" t="e">
        <f t="shared" ref="J74:S74" si="316">J53/J61</f>
        <v>#DIV/0!</v>
      </c>
      <c r="K74" s="15" t="e">
        <f t="shared" si="316"/>
        <v>#DIV/0!</v>
      </c>
      <c r="L74" s="15" t="e">
        <f t="shared" si="316"/>
        <v>#DIV/0!</v>
      </c>
      <c r="M74" s="15" t="e">
        <f t="shared" si="316"/>
        <v>#DIV/0!</v>
      </c>
      <c r="N74" s="15">
        <f t="shared" si="316"/>
        <v>60</v>
      </c>
      <c r="O74" s="15">
        <f t="shared" si="316"/>
        <v>70</v>
      </c>
      <c r="P74" s="15">
        <f t="shared" si="316"/>
        <v>96</v>
      </c>
      <c r="Q74" s="15">
        <f t="shared" si="316"/>
        <v>80</v>
      </c>
      <c r="R74" s="15">
        <f t="shared" si="316"/>
        <v>108.125</v>
      </c>
      <c r="S74" s="15">
        <f t="shared" si="316"/>
        <v>138.125</v>
      </c>
      <c r="T74" s="15">
        <f>T53/T61</f>
        <v>49.450549450549453</v>
      </c>
      <c r="U74" s="15">
        <f>U53/U61</f>
        <v>60.073260073260073</v>
      </c>
      <c r="V74" s="101">
        <f t="shared" si="2"/>
        <v>1.7433753862694523E-4</v>
      </c>
      <c r="W74" s="109"/>
      <c r="X74" s="96">
        <f>X53/X61</f>
        <v>70.674423615600077</v>
      </c>
      <c r="Y74" s="96">
        <f t="shared" ref="Y74:AG74" si="317">Y53/Y61</f>
        <v>83.146380724235371</v>
      </c>
      <c r="Z74" s="96">
        <f t="shared" si="317"/>
        <v>97.819271440276907</v>
      </c>
      <c r="AA74" s="96">
        <f t="shared" si="317"/>
        <v>115.08149581209047</v>
      </c>
      <c r="AB74" s="96">
        <f t="shared" si="317"/>
        <v>135.3899950730476</v>
      </c>
      <c r="AC74" s="96">
        <f t="shared" si="317"/>
        <v>159.28234714476184</v>
      </c>
      <c r="AD74" s="96">
        <f t="shared" si="317"/>
        <v>187.39099664089628</v>
      </c>
      <c r="AE74" s="96">
        <f t="shared" si="317"/>
        <v>220.45999604811325</v>
      </c>
      <c r="AF74" s="96">
        <f t="shared" si="317"/>
        <v>259.36470123307441</v>
      </c>
      <c r="AG74" s="96">
        <f t="shared" si="317"/>
        <v>305.13494262714636</v>
      </c>
      <c r="AH74" s="115" t="e">
        <f t="shared" ref="AH74:AH75" si="318">((AG74/J74)^(1/($AG$3-$K$1) ))-1</f>
        <v>#DIV/0!</v>
      </c>
      <c r="AI74" s="21">
        <f t="shared" si="18"/>
        <v>0.01</v>
      </c>
      <c r="AJ74" s="123">
        <f t="shared" ref="AJ74:AJ75" si="319">(AG74*(1+AI74))/($C$1-AI74)</f>
        <v>2201.3306575244133</v>
      </c>
    </row>
    <row r="75" spans="2:36">
      <c r="B75" s="10" t="s">
        <v>403</v>
      </c>
      <c r="C75" s="111"/>
      <c r="D75" s="111"/>
      <c r="E75" s="111"/>
      <c r="F75" s="15"/>
      <c r="G75" s="15">
        <f t="shared" ref="G75" si="320">G55/G61</f>
        <v>24.210526315789476</v>
      </c>
      <c r="H75" s="15" t="e">
        <f t="shared" ref="H75:I75" si="321">H55/H61</f>
        <v>#DIV/0!</v>
      </c>
      <c r="I75" s="15" t="e">
        <f t="shared" si="321"/>
        <v>#DIV/0!</v>
      </c>
      <c r="J75" s="15" t="e">
        <f t="shared" ref="J75:S75" si="322">J55/J61</f>
        <v>#DIV/0!</v>
      </c>
      <c r="K75" s="15" t="e">
        <f t="shared" si="322"/>
        <v>#DIV/0!</v>
      </c>
      <c r="L75" s="15" t="e">
        <f t="shared" si="322"/>
        <v>#DIV/0!</v>
      </c>
      <c r="M75" s="15" t="e">
        <f t="shared" si="322"/>
        <v>#DIV/0!</v>
      </c>
      <c r="N75" s="15">
        <f t="shared" si="322"/>
        <v>24.210526315789476</v>
      </c>
      <c r="O75" s="15">
        <f t="shared" si="322"/>
        <v>27</v>
      </c>
      <c r="P75" s="15">
        <f t="shared" si="322"/>
        <v>40</v>
      </c>
      <c r="Q75" s="15">
        <f t="shared" si="322"/>
        <v>31.25</v>
      </c>
      <c r="R75" s="15">
        <f t="shared" si="322"/>
        <v>38.125</v>
      </c>
      <c r="S75" s="15">
        <f t="shared" si="322"/>
        <v>48.75</v>
      </c>
      <c r="T75" s="15">
        <f>T55/T61</f>
        <v>19.413919413919412</v>
      </c>
      <c r="U75" s="15">
        <f>U55/U61</f>
        <v>29.487179487179489</v>
      </c>
      <c r="V75" s="101">
        <f t="shared" ref="V75:V138" si="323">((U75/G75)^(1/($K$2-$K$1) ))-1</f>
        <v>2.856730344168712E-2</v>
      </c>
      <c r="W75" s="109"/>
      <c r="X75" s="96">
        <f>X55/X61</f>
        <v>34.690799396681747</v>
      </c>
      <c r="Y75" s="96">
        <f t="shared" ref="Y75:AG75" si="324">Y55/Y61</f>
        <v>40.812705172566758</v>
      </c>
      <c r="Z75" s="96">
        <f t="shared" si="324"/>
        <v>48.01494726184324</v>
      </c>
      <c r="AA75" s="96">
        <f t="shared" si="324"/>
        <v>56.488173249227337</v>
      </c>
      <c r="AB75" s="96">
        <f t="shared" si="324"/>
        <v>66.456674410855683</v>
      </c>
      <c r="AC75" s="96">
        <f t="shared" si="324"/>
        <v>78.184322836300794</v>
      </c>
      <c r="AD75" s="96">
        <f t="shared" si="324"/>
        <v>91.981556278000937</v>
      </c>
      <c r="AE75" s="96">
        <f t="shared" si="324"/>
        <v>108.21359562117756</v>
      </c>
      <c r="AF75" s="96">
        <f t="shared" si="324"/>
        <v>127.31011249550302</v>
      </c>
      <c r="AG75" s="96">
        <f t="shared" si="324"/>
        <v>149.77660293588588</v>
      </c>
      <c r="AH75" s="115" t="e">
        <f t="shared" si="318"/>
        <v>#DIV/0!</v>
      </c>
      <c r="AI75" s="21">
        <f t="shared" si="18"/>
        <v>0.01</v>
      </c>
      <c r="AJ75" s="123">
        <f t="shared" si="319"/>
        <v>1080.5312068946055</v>
      </c>
    </row>
    <row r="76" spans="2:36">
      <c r="B76" s="10" t="s">
        <v>214</v>
      </c>
      <c r="C76" s="15"/>
      <c r="D76" s="15"/>
      <c r="E76" s="15"/>
      <c r="F76" s="111"/>
      <c r="G76" s="111">
        <f t="shared" ref="G76" si="325">G59/G61</f>
        <v>15.789473684210527</v>
      </c>
      <c r="H76" s="111" t="e">
        <f t="shared" ref="H76:I76" si="326">H59/H61</f>
        <v>#DIV/0!</v>
      </c>
      <c r="I76" s="111" t="e">
        <f t="shared" si="326"/>
        <v>#DIV/0!</v>
      </c>
      <c r="J76" s="111" t="e">
        <f t="shared" ref="J76:S76" si="327">J59/J61</f>
        <v>#DIV/0!</v>
      </c>
      <c r="K76" s="111" t="e">
        <f t="shared" si="327"/>
        <v>#DIV/0!</v>
      </c>
      <c r="L76" s="111" t="e">
        <f t="shared" si="327"/>
        <v>#DIV/0!</v>
      </c>
      <c r="M76" s="111" t="e">
        <f t="shared" si="327"/>
        <v>#DIV/0!</v>
      </c>
      <c r="N76" s="111">
        <f t="shared" si="327"/>
        <v>15.789473684210527</v>
      </c>
      <c r="O76" s="111">
        <f t="shared" si="327"/>
        <v>18</v>
      </c>
      <c r="P76" s="111">
        <f t="shared" si="327"/>
        <v>27</v>
      </c>
      <c r="Q76" s="111">
        <f t="shared" si="327"/>
        <v>20.625</v>
      </c>
      <c r="R76" s="111">
        <f t="shared" si="327"/>
        <v>25</v>
      </c>
      <c r="S76" s="111">
        <f t="shared" si="327"/>
        <v>31.875</v>
      </c>
      <c r="T76" s="111">
        <f t="shared" ref="T76:U76" si="328">T59/T61</f>
        <v>12.637362637362637</v>
      </c>
      <c r="U76" s="111">
        <f t="shared" si="328"/>
        <v>19.413919413919412</v>
      </c>
      <c r="V76" s="101">
        <f t="shared" si="323"/>
        <v>2.9961036304125832E-2</v>
      </c>
      <c r="W76" s="109"/>
      <c r="X76" s="134">
        <f t="shared" ref="X76:AG76" si="329">X59/X61</f>
        <v>22.839905192846366</v>
      </c>
      <c r="Y76" s="134">
        <f t="shared" si="329"/>
        <v>26.870476697466312</v>
      </c>
      <c r="Z76" s="134">
        <f t="shared" si="329"/>
        <v>31.612325526430954</v>
      </c>
      <c r="AA76" s="134">
        <f t="shared" si="329"/>
        <v>37.190971207565831</v>
      </c>
      <c r="AB76" s="134">
        <f t="shared" si="329"/>
        <v>43.754083773606851</v>
      </c>
      <c r="AC76" s="134">
        <f t="shared" si="329"/>
        <v>51.475392674831589</v>
      </c>
      <c r="AD76" s="134">
        <f t="shared" si="329"/>
        <v>60.559285499801867</v>
      </c>
      <c r="AE76" s="134">
        <f t="shared" si="329"/>
        <v>71.246218235061022</v>
      </c>
      <c r="AF76" s="134">
        <f t="shared" si="329"/>
        <v>83.819080276542365</v>
      </c>
      <c r="AG76" s="134">
        <f t="shared" si="329"/>
        <v>98.61068267828513</v>
      </c>
      <c r="AH76" s="115" t="e">
        <f t="shared" ref="AH76:AH90" si="330">((AG76/J76)^(1/($AG$3-$K$1) ))-1</f>
        <v>#DIV/0!</v>
      </c>
      <c r="AI76" s="21">
        <f t="shared" si="18"/>
        <v>0.01</v>
      </c>
      <c r="AJ76" s="123">
        <f t="shared" ref="AJ76:AJ104" si="331">(AG76*(1+AI76))/($C$1-AI76)</f>
        <v>711.40563932191424</v>
      </c>
    </row>
    <row r="77" spans="2:36">
      <c r="B77" s="10" t="s">
        <v>330</v>
      </c>
      <c r="C77" s="111"/>
      <c r="D77" s="111"/>
      <c r="E77" s="111"/>
      <c r="F77" s="111"/>
      <c r="G77" s="111">
        <f t="shared" ref="G77" si="332">G20/G61</f>
        <v>0</v>
      </c>
      <c r="H77" s="111" t="e">
        <f t="shared" ref="H77:I77" si="333">H20/H61</f>
        <v>#DIV/0!</v>
      </c>
      <c r="I77" s="111" t="e">
        <f t="shared" si="333"/>
        <v>#DIV/0!</v>
      </c>
      <c r="J77" s="111" t="e">
        <f>J20/J61</f>
        <v>#DIV/0!</v>
      </c>
      <c r="K77" s="111" t="e">
        <f t="shared" ref="K77:S77" si="334">K20/K61</f>
        <v>#DIV/0!</v>
      </c>
      <c r="L77" s="111" t="e">
        <f t="shared" si="334"/>
        <v>#DIV/0!</v>
      </c>
      <c r="M77" s="111" t="e">
        <f t="shared" si="334"/>
        <v>#DIV/0!</v>
      </c>
      <c r="N77" s="111">
        <f t="shared" si="334"/>
        <v>0</v>
      </c>
      <c r="O77" s="111">
        <f t="shared" si="334"/>
        <v>0</v>
      </c>
      <c r="P77" s="111">
        <f t="shared" si="334"/>
        <v>0</v>
      </c>
      <c r="Q77" s="111">
        <f t="shared" si="334"/>
        <v>0</v>
      </c>
      <c r="R77" s="111">
        <f t="shared" si="334"/>
        <v>0</v>
      </c>
      <c r="S77" s="111">
        <f t="shared" si="334"/>
        <v>0</v>
      </c>
      <c r="T77" s="111">
        <f t="shared" ref="T77:U77" si="335">T20/T61</f>
        <v>0</v>
      </c>
      <c r="U77" s="111">
        <f t="shared" si="335"/>
        <v>0</v>
      </c>
      <c r="V77" s="101" t="e">
        <f t="shared" si="323"/>
        <v>#DIV/0!</v>
      </c>
      <c r="W77" s="109"/>
      <c r="X77" s="111">
        <f t="shared" ref="X77:AG77" si="336">X20/X61</f>
        <v>0</v>
      </c>
      <c r="Y77" s="111">
        <f t="shared" si="336"/>
        <v>0</v>
      </c>
      <c r="Z77" s="111">
        <f t="shared" si="336"/>
        <v>0</v>
      </c>
      <c r="AA77" s="111">
        <f t="shared" si="336"/>
        <v>0</v>
      </c>
      <c r="AB77" s="111">
        <f t="shared" si="336"/>
        <v>0</v>
      </c>
      <c r="AC77" s="111">
        <f t="shared" si="336"/>
        <v>0</v>
      </c>
      <c r="AD77" s="111">
        <f t="shared" si="336"/>
        <v>0</v>
      </c>
      <c r="AE77" s="111">
        <f t="shared" si="336"/>
        <v>0</v>
      </c>
      <c r="AF77" s="111">
        <f t="shared" si="336"/>
        <v>0</v>
      </c>
      <c r="AG77" s="111">
        <f t="shared" si="336"/>
        <v>0</v>
      </c>
      <c r="AH77" s="115" t="e">
        <f t="shared" ref="AH77" si="337">((AG77/J77)^(1/($AG$3-$K$1) ))-1</f>
        <v>#DIV/0!</v>
      </c>
      <c r="AI77" s="21">
        <f t="shared" si="18"/>
        <v>0.01</v>
      </c>
      <c r="AJ77" s="123">
        <f t="shared" si="331"/>
        <v>0</v>
      </c>
    </row>
    <row r="78" spans="2:36">
      <c r="B78" s="10" t="s">
        <v>202</v>
      </c>
      <c r="C78" s="15"/>
      <c r="D78" s="15"/>
      <c r="E78" s="15"/>
      <c r="F78" s="111"/>
      <c r="G78" s="111">
        <f t="shared" ref="G78" si="338">G7/G61</f>
        <v>122.10526315789474</v>
      </c>
      <c r="H78" s="111" t="e">
        <f t="shared" ref="H78:I78" si="339">H7/H61</f>
        <v>#DIV/0!</v>
      </c>
      <c r="I78" s="111" t="e">
        <f t="shared" si="339"/>
        <v>#DIV/0!</v>
      </c>
      <c r="J78" s="111" t="e">
        <f t="shared" ref="J78:S78" si="340">J7/J61</f>
        <v>#DIV/0!</v>
      </c>
      <c r="K78" s="111" t="e">
        <f t="shared" si="340"/>
        <v>#DIV/0!</v>
      </c>
      <c r="L78" s="111" t="e">
        <f t="shared" si="340"/>
        <v>#DIV/0!</v>
      </c>
      <c r="M78" s="111" t="e">
        <f t="shared" si="340"/>
        <v>#DIV/0!</v>
      </c>
      <c r="N78" s="111">
        <f t="shared" si="340"/>
        <v>122.10526315789474</v>
      </c>
      <c r="O78" s="111">
        <f t="shared" si="340"/>
        <v>124</v>
      </c>
      <c r="P78" s="111">
        <f t="shared" si="340"/>
        <v>106</v>
      </c>
      <c r="Q78" s="111">
        <f t="shared" si="340"/>
        <v>79.375</v>
      </c>
      <c r="R78" s="111">
        <f t="shared" si="340"/>
        <v>100</v>
      </c>
      <c r="S78" s="111">
        <f t="shared" si="340"/>
        <v>115.625</v>
      </c>
      <c r="T78" s="111">
        <f t="shared" ref="T78:U78" si="341">T7/T61</f>
        <v>61.355311355311358</v>
      </c>
      <c r="U78" s="111">
        <f t="shared" si="341"/>
        <v>132.41758241758242</v>
      </c>
      <c r="V78" s="101">
        <f t="shared" si="323"/>
        <v>1.1649756944840162E-2</v>
      </c>
      <c r="W78" s="109"/>
      <c r="X78" s="134">
        <f t="shared" ref="X78:AG78" si="342">X7/X61</f>
        <v>155.78539107950871</v>
      </c>
      <c r="Y78" s="134">
        <f t="shared" si="342"/>
        <v>183.27693068177493</v>
      </c>
      <c r="Z78" s="134">
        <f t="shared" si="342"/>
        <v>215.61991844914698</v>
      </c>
      <c r="AA78" s="134">
        <f t="shared" si="342"/>
        <v>253.67049229311408</v>
      </c>
      <c r="AB78" s="134">
        <f t="shared" si="342"/>
        <v>298.43587328601654</v>
      </c>
      <c r="AC78" s="134">
        <f t="shared" si="342"/>
        <v>351.10102739531351</v>
      </c>
      <c r="AD78" s="134">
        <f t="shared" si="342"/>
        <v>413.06003222978063</v>
      </c>
      <c r="AE78" s="134">
        <f t="shared" si="342"/>
        <v>485.95297909385948</v>
      </c>
      <c r="AF78" s="134">
        <f t="shared" si="342"/>
        <v>571.70938716924638</v>
      </c>
      <c r="AG78" s="134">
        <f t="shared" si="342"/>
        <v>672.59927902264269</v>
      </c>
      <c r="AH78" s="115" t="e">
        <f t="shared" si="330"/>
        <v>#DIV/0!</v>
      </c>
      <c r="AI78" s="21">
        <f t="shared" si="18"/>
        <v>0.01</v>
      </c>
      <c r="AJ78" s="123">
        <f t="shared" si="331"/>
        <v>4852.3233700919227</v>
      </c>
    </row>
    <row r="79" spans="2:36">
      <c r="B79" s="10" t="s">
        <v>203</v>
      </c>
      <c r="C79" s="108"/>
      <c r="D79" s="108"/>
      <c r="E79" s="108"/>
      <c r="F79" s="121"/>
      <c r="G79" s="121">
        <f t="shared" ref="G79" si="343">G6/G61</f>
        <v>24.210526315789476</v>
      </c>
      <c r="H79" s="121" t="e">
        <f t="shared" ref="H79:I79" si="344">H6/H61</f>
        <v>#DIV/0!</v>
      </c>
      <c r="I79" s="121" t="e">
        <f t="shared" si="344"/>
        <v>#DIV/0!</v>
      </c>
      <c r="J79" s="121" t="e">
        <f t="shared" ref="J79:S79" si="345">J6/J61</f>
        <v>#DIV/0!</v>
      </c>
      <c r="K79" s="121" t="e">
        <f t="shared" si="345"/>
        <v>#DIV/0!</v>
      </c>
      <c r="L79" s="121" t="e">
        <f t="shared" si="345"/>
        <v>#DIV/0!</v>
      </c>
      <c r="M79" s="121" t="e">
        <f t="shared" si="345"/>
        <v>#DIV/0!</v>
      </c>
      <c r="N79" s="121">
        <f t="shared" si="345"/>
        <v>24.210526315789476</v>
      </c>
      <c r="O79" s="121">
        <f t="shared" si="345"/>
        <v>30</v>
      </c>
      <c r="P79" s="121">
        <f t="shared" si="345"/>
        <v>52</v>
      </c>
      <c r="Q79" s="121">
        <f t="shared" si="345"/>
        <v>42.5</v>
      </c>
      <c r="R79" s="121">
        <f t="shared" si="345"/>
        <v>62.5</v>
      </c>
      <c r="S79" s="121">
        <f t="shared" si="345"/>
        <v>76.875</v>
      </c>
      <c r="T79" s="121">
        <f t="shared" ref="T79:U79" si="346">T6/T61</f>
        <v>44.139194139194139</v>
      </c>
      <c r="U79" s="121">
        <f t="shared" si="346"/>
        <v>121.7948717948718</v>
      </c>
      <c r="V79" s="101">
        <f t="shared" si="323"/>
        <v>0.25959842889635976</v>
      </c>
      <c r="W79" s="109"/>
      <c r="X79" s="133">
        <f t="shared" ref="X79:AG79" si="347">X6/X61</f>
        <v>143.28808446455506</v>
      </c>
      <c r="Y79" s="133">
        <f t="shared" si="347"/>
        <v>168.57421701712357</v>
      </c>
      <c r="Z79" s="133">
        <f t="shared" si="347"/>
        <v>198.32260825543949</v>
      </c>
      <c r="AA79" s="133">
        <f t="shared" si="347"/>
        <v>233.32071559463466</v>
      </c>
      <c r="AB79" s="133">
        <f t="shared" si="347"/>
        <v>274.49495952309957</v>
      </c>
      <c r="AC79" s="133">
        <f t="shared" si="347"/>
        <v>322.93524649776413</v>
      </c>
      <c r="AD79" s="133">
        <f t="shared" si="347"/>
        <v>379.92381940913424</v>
      </c>
      <c r="AE79" s="133">
        <f t="shared" si="347"/>
        <v>446.96919930486376</v>
      </c>
      <c r="AF79" s="133">
        <f t="shared" si="347"/>
        <v>525.8461168292514</v>
      </c>
      <c r="AG79" s="133">
        <f t="shared" si="347"/>
        <v>618.64249038735466</v>
      </c>
      <c r="AH79" s="115" t="e">
        <f t="shared" si="330"/>
        <v>#DIV/0!</v>
      </c>
      <c r="AI79" s="21">
        <f t="shared" si="18"/>
        <v>0.01</v>
      </c>
      <c r="AJ79" s="123">
        <f t="shared" si="331"/>
        <v>4463.0636806516304</v>
      </c>
    </row>
    <row r="80" spans="2:36">
      <c r="B80" s="10" t="s">
        <v>204</v>
      </c>
      <c r="C80" s="108"/>
      <c r="D80" s="108"/>
      <c r="E80" s="108"/>
      <c r="F80" s="121"/>
      <c r="G80" s="121">
        <f t="shared" ref="G80" si="348">G10/G61</f>
        <v>358.94736842105266</v>
      </c>
      <c r="H80" s="121" t="e">
        <f t="shared" ref="H80:I80" si="349">H10/H61</f>
        <v>#DIV/0!</v>
      </c>
      <c r="I80" s="121" t="e">
        <f t="shared" si="349"/>
        <v>#DIV/0!</v>
      </c>
      <c r="J80" s="121" t="e">
        <f t="shared" ref="J80:S80" si="350">J10/J61</f>
        <v>#DIV/0!</v>
      </c>
      <c r="K80" s="121" t="e">
        <f t="shared" si="350"/>
        <v>#DIV/0!</v>
      </c>
      <c r="L80" s="121" t="e">
        <f t="shared" si="350"/>
        <v>#DIV/0!</v>
      </c>
      <c r="M80" s="121" t="e">
        <f t="shared" si="350"/>
        <v>#DIV/0!</v>
      </c>
      <c r="N80" s="121">
        <f t="shared" si="350"/>
        <v>358.94736842105266</v>
      </c>
      <c r="O80" s="121">
        <f t="shared" si="350"/>
        <v>305</v>
      </c>
      <c r="P80" s="121">
        <f t="shared" si="350"/>
        <v>475</v>
      </c>
      <c r="Q80" s="121">
        <f t="shared" si="350"/>
        <v>439.375</v>
      </c>
      <c r="R80" s="121">
        <f t="shared" si="350"/>
        <v>600</v>
      </c>
      <c r="S80" s="121">
        <f t="shared" si="350"/>
        <v>740.625</v>
      </c>
      <c r="T80" s="121">
        <f t="shared" ref="T80:U80" si="351">T10/T61</f>
        <v>206.5934065934066</v>
      </c>
      <c r="U80" s="121">
        <f t="shared" si="351"/>
        <v>229.30402930402931</v>
      </c>
      <c r="V80" s="101">
        <f t="shared" si="323"/>
        <v>-6.2012019714472233E-2</v>
      </c>
      <c r="W80" s="109"/>
      <c r="X80" s="133">
        <f t="shared" ref="X80:AG80" si="352">X10/X61</f>
        <v>269.76944624003443</v>
      </c>
      <c r="Y80" s="133">
        <f t="shared" si="352"/>
        <v>317.37581910592286</v>
      </c>
      <c r="Z80" s="133">
        <f t="shared" si="352"/>
        <v>373.38331659520333</v>
      </c>
      <c r="AA80" s="133">
        <f t="shared" si="352"/>
        <v>439.27449011200389</v>
      </c>
      <c r="AB80" s="133">
        <f t="shared" si="352"/>
        <v>516.793517778828</v>
      </c>
      <c r="AC80" s="133">
        <f t="shared" si="352"/>
        <v>607.99237385744459</v>
      </c>
      <c r="AD80" s="133">
        <f t="shared" si="352"/>
        <v>715.28514571464075</v>
      </c>
      <c r="AE80" s="133">
        <f t="shared" si="352"/>
        <v>841.51193613487135</v>
      </c>
      <c r="AF80" s="133">
        <f t="shared" si="352"/>
        <v>990.01404251161341</v>
      </c>
      <c r="AG80" s="133">
        <f t="shared" si="352"/>
        <v>1164.7224029548393</v>
      </c>
      <c r="AH80" s="115" t="e">
        <f t="shared" si="330"/>
        <v>#DIV/0!</v>
      </c>
      <c r="AI80" s="21">
        <f t="shared" si="18"/>
        <v>0.01</v>
      </c>
      <c r="AJ80" s="123">
        <f t="shared" si="331"/>
        <v>8402.6401927456263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>
      <c r="B82" s="10" t="s">
        <v>221</v>
      </c>
      <c r="C82" s="108"/>
      <c r="D82" s="108"/>
      <c r="E82" s="108"/>
      <c r="F82" s="121"/>
      <c r="G82" s="121">
        <f t="shared" ref="G82" si="353">(G7-G10)/G61</f>
        <v>-236.84210526315792</v>
      </c>
      <c r="H82" s="121" t="e">
        <f t="shared" ref="H82:I82" si="354">(H7-H10)/H61</f>
        <v>#DIV/0!</v>
      </c>
      <c r="I82" s="121" t="e">
        <f t="shared" si="354"/>
        <v>#DIV/0!</v>
      </c>
      <c r="J82" s="121" t="e">
        <f t="shared" ref="J82:S82" si="355">(J7-J10)/J61</f>
        <v>#DIV/0!</v>
      </c>
      <c r="K82" s="121" t="e">
        <f t="shared" si="355"/>
        <v>#DIV/0!</v>
      </c>
      <c r="L82" s="121" t="e">
        <f t="shared" si="355"/>
        <v>#DIV/0!</v>
      </c>
      <c r="M82" s="121" t="e">
        <f t="shared" si="355"/>
        <v>#DIV/0!</v>
      </c>
      <c r="N82" s="121">
        <f t="shared" si="355"/>
        <v>-236.84210526315792</v>
      </c>
      <c r="O82" s="121">
        <f t="shared" si="355"/>
        <v>-181</v>
      </c>
      <c r="P82" s="121">
        <f t="shared" si="355"/>
        <v>-369</v>
      </c>
      <c r="Q82" s="121">
        <f t="shared" si="355"/>
        <v>-360</v>
      </c>
      <c r="R82" s="121">
        <f t="shared" si="355"/>
        <v>-500</v>
      </c>
      <c r="S82" s="121">
        <f t="shared" si="355"/>
        <v>-625</v>
      </c>
      <c r="T82" s="121">
        <f t="shared" ref="T82:U82" si="356">(T7-T10)/T61</f>
        <v>-145.23809523809524</v>
      </c>
      <c r="U82" s="121">
        <f t="shared" si="356"/>
        <v>-96.88644688644689</v>
      </c>
      <c r="V82" s="101">
        <f t="shared" si="323"/>
        <v>-0.11987684844797608</v>
      </c>
      <c r="W82" s="109"/>
      <c r="X82" s="133">
        <f t="shared" ref="X82:AG82" si="357">(X7-X10)/X61</f>
        <v>-113.98405516052571</v>
      </c>
      <c r="Y82" s="133">
        <f t="shared" si="357"/>
        <v>-134.09888842414793</v>
      </c>
      <c r="Z82" s="133">
        <f t="shared" si="357"/>
        <v>-157.76339814605635</v>
      </c>
      <c r="AA82" s="133">
        <f t="shared" si="357"/>
        <v>-185.60399781888981</v>
      </c>
      <c r="AB82" s="133">
        <f t="shared" si="357"/>
        <v>-218.35764449281149</v>
      </c>
      <c r="AC82" s="133">
        <f t="shared" si="357"/>
        <v>-256.89134646213114</v>
      </c>
      <c r="AD82" s="133">
        <f t="shared" si="357"/>
        <v>-302.22511348486017</v>
      </c>
      <c r="AE82" s="133">
        <f t="shared" si="357"/>
        <v>-355.55895704101187</v>
      </c>
      <c r="AF82" s="133">
        <f t="shared" si="357"/>
        <v>-418.30465534236697</v>
      </c>
      <c r="AG82" s="133">
        <f t="shared" si="357"/>
        <v>-492.12312393219645</v>
      </c>
      <c r="AH82" s="115" t="e">
        <f t="shared" si="330"/>
        <v>#DIV/0!</v>
      </c>
      <c r="AI82" s="21">
        <f t="shared" si="18"/>
        <v>0.01</v>
      </c>
      <c r="AJ82" s="123">
        <f t="shared" si="331"/>
        <v>-3550.3168226537032</v>
      </c>
    </row>
    <row r="83" spans="2:36">
      <c r="B83" s="10" t="s">
        <v>222</v>
      </c>
      <c r="C83" s="108"/>
      <c r="D83" s="108"/>
      <c r="E83" s="108"/>
      <c r="F83" s="121"/>
      <c r="G83" s="121">
        <f t="shared" ref="G83" si="358">(G7-G10-G9)/G61</f>
        <v>-248.42105263157896</v>
      </c>
      <c r="H83" s="121" t="e">
        <f t="shared" ref="H83:I83" si="359">(H7-H10-H9)/H61</f>
        <v>#DIV/0!</v>
      </c>
      <c r="I83" s="121" t="e">
        <f t="shared" si="359"/>
        <v>#DIV/0!</v>
      </c>
      <c r="J83" s="121" t="e">
        <f t="shared" ref="J83:S83" si="360">(J7-J10-J9)/J61</f>
        <v>#DIV/0!</v>
      </c>
      <c r="K83" s="121" t="e">
        <f t="shared" si="360"/>
        <v>#DIV/0!</v>
      </c>
      <c r="L83" s="121" t="e">
        <f t="shared" si="360"/>
        <v>#DIV/0!</v>
      </c>
      <c r="M83" s="121" t="e">
        <f t="shared" si="360"/>
        <v>#DIV/0!</v>
      </c>
      <c r="N83" s="121">
        <f t="shared" si="360"/>
        <v>-248.42105263157896</v>
      </c>
      <c r="O83" s="121">
        <f t="shared" si="360"/>
        <v>-328</v>
      </c>
      <c r="P83" s="121">
        <f t="shared" si="360"/>
        <v>-581</v>
      </c>
      <c r="Q83" s="121">
        <f t="shared" si="360"/>
        <v>-539.375</v>
      </c>
      <c r="R83" s="121">
        <f t="shared" si="360"/>
        <v>-770.625</v>
      </c>
      <c r="S83" s="121">
        <f t="shared" si="360"/>
        <v>-971.25</v>
      </c>
      <c r="T83" s="121">
        <f t="shared" ref="T83:U83" si="361">(T7-T10-T9)/T61</f>
        <v>-274.90842490842493</v>
      </c>
      <c r="U83" s="121">
        <f t="shared" si="361"/>
        <v>-252.93040293040292</v>
      </c>
      <c r="V83" s="101">
        <f t="shared" si="323"/>
        <v>2.573199901777512E-3</v>
      </c>
      <c r="W83" s="109"/>
      <c r="X83" s="133">
        <f t="shared" ref="X83:AG83" si="362">(X7-X10-X9)/X61</f>
        <v>-297.56517991812103</v>
      </c>
      <c r="Y83" s="133">
        <f t="shared" si="362"/>
        <v>-350.07668225661303</v>
      </c>
      <c r="Z83" s="133">
        <f t="shared" si="362"/>
        <v>-411.85492030189761</v>
      </c>
      <c r="AA83" s="133">
        <f t="shared" si="362"/>
        <v>-484.53520035517363</v>
      </c>
      <c r="AB83" s="133">
        <f t="shared" si="362"/>
        <v>-570.04141218255711</v>
      </c>
      <c r="AC83" s="133">
        <f t="shared" si="362"/>
        <v>-670.63695550889065</v>
      </c>
      <c r="AD83" s="133">
        <f t="shared" si="362"/>
        <v>-788.98465353987137</v>
      </c>
      <c r="AE83" s="133">
        <f t="shared" si="362"/>
        <v>-928.21723945867211</v>
      </c>
      <c r="AF83" s="133">
        <f t="shared" si="362"/>
        <v>-1092.0202817160848</v>
      </c>
      <c r="AG83" s="133">
        <f t="shared" si="362"/>
        <v>-1284.7297431953937</v>
      </c>
      <c r="AH83" s="115" t="e">
        <f t="shared" si="330"/>
        <v>#DIV/0!</v>
      </c>
      <c r="AI83" s="21">
        <f t="shared" si="18"/>
        <v>0.01</v>
      </c>
      <c r="AJ83" s="123">
        <f t="shared" si="331"/>
        <v>-9268.4074330524836</v>
      </c>
    </row>
    <row r="84" spans="2:36">
      <c r="B84" s="10" t="s">
        <v>227</v>
      </c>
      <c r="C84" s="108"/>
      <c r="D84" s="108"/>
      <c r="E84" s="108"/>
      <c r="F84" s="121"/>
      <c r="G84" s="121">
        <f t="shared" ref="G84" si="363">(G7+G15-G10-G9)/G61</f>
        <v>-120</v>
      </c>
      <c r="H84" s="121" t="e">
        <f t="shared" ref="H84:I84" si="364">(H7+H15-H10-H9)/H61</f>
        <v>#DIV/0!</v>
      </c>
      <c r="I84" s="121" t="e">
        <f t="shared" si="364"/>
        <v>#DIV/0!</v>
      </c>
      <c r="J84" s="121" t="e">
        <f t="shared" ref="J84:S84" si="365">(J7+J15-J10-J9)/J61</f>
        <v>#DIV/0!</v>
      </c>
      <c r="K84" s="121" t="e">
        <f t="shared" si="365"/>
        <v>#DIV/0!</v>
      </c>
      <c r="L84" s="121" t="e">
        <f t="shared" si="365"/>
        <v>#DIV/0!</v>
      </c>
      <c r="M84" s="121" t="e">
        <f t="shared" si="365"/>
        <v>#DIV/0!</v>
      </c>
      <c r="N84" s="121">
        <f t="shared" si="365"/>
        <v>-120</v>
      </c>
      <c r="O84" s="121">
        <f t="shared" si="365"/>
        <v>-188</v>
      </c>
      <c r="P84" s="121">
        <f t="shared" si="365"/>
        <v>-406</v>
      </c>
      <c r="Q84" s="121">
        <f t="shared" si="365"/>
        <v>-423.75</v>
      </c>
      <c r="R84" s="121">
        <f t="shared" si="365"/>
        <v>-634.375</v>
      </c>
      <c r="S84" s="121">
        <f t="shared" si="365"/>
        <v>-857.5</v>
      </c>
      <c r="T84" s="121">
        <f t="shared" ref="T84:U84" si="366">(T7+T15-T10-T9)/T61</f>
        <v>-266.30036630036631</v>
      </c>
      <c r="U84" s="121">
        <f t="shared" si="366"/>
        <v>-242.49084249084248</v>
      </c>
      <c r="V84" s="101">
        <f t="shared" si="323"/>
        <v>0.10571925103555468</v>
      </c>
      <c r="W84" s="109"/>
      <c r="X84" s="133">
        <f t="shared" ref="X84:AG84" si="367">(X7+X15-X10-X9)/X61</f>
        <v>-285.28334410687347</v>
      </c>
      <c r="Y84" s="133">
        <f t="shared" si="367"/>
        <v>-335.62746365514528</v>
      </c>
      <c r="Z84" s="133">
        <f t="shared" si="367"/>
        <v>-394.85583959428857</v>
      </c>
      <c r="AA84" s="133">
        <f t="shared" si="367"/>
        <v>-464.53628187563356</v>
      </c>
      <c r="AB84" s="133">
        <f t="shared" si="367"/>
        <v>-546.51327279486281</v>
      </c>
      <c r="AC84" s="133">
        <f t="shared" si="367"/>
        <v>-642.956791523368</v>
      </c>
      <c r="AD84" s="133">
        <f t="shared" si="367"/>
        <v>-756.41975473337413</v>
      </c>
      <c r="AE84" s="133">
        <f t="shared" si="367"/>
        <v>-889.90559380396951</v>
      </c>
      <c r="AF84" s="133">
        <f t="shared" si="367"/>
        <v>-1046.9477574164348</v>
      </c>
      <c r="AG84" s="133">
        <f t="shared" si="367"/>
        <v>-1231.703244019335</v>
      </c>
      <c r="AH84" s="115" t="e">
        <f t="shared" si="330"/>
        <v>#DIV/0!</v>
      </c>
      <c r="AI84" s="21">
        <f t="shared" si="18"/>
        <v>0.01</v>
      </c>
      <c r="AJ84" s="123">
        <f t="shared" si="331"/>
        <v>-8885.8591175680594</v>
      </c>
    </row>
    <row r="85" spans="2:36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>
      <c r="B86" s="10" t="s">
        <v>205</v>
      </c>
      <c r="C86" s="108"/>
      <c r="D86" s="108"/>
      <c r="E86" s="108"/>
      <c r="F86" s="121"/>
      <c r="G86" s="121">
        <f t="shared" ref="G86" si="368">G12/G61</f>
        <v>107.36842105263159</v>
      </c>
      <c r="H86" s="121" t="e">
        <f t="shared" ref="H86:I86" si="369">H12/H61</f>
        <v>#DIV/0!</v>
      </c>
      <c r="I86" s="121" t="e">
        <f t="shared" si="369"/>
        <v>#DIV/0!</v>
      </c>
      <c r="J86" s="121" t="e">
        <f t="shared" ref="J86:S86" si="370">J12/J61</f>
        <v>#DIV/0!</v>
      </c>
      <c r="K86" s="121" t="e">
        <f t="shared" si="370"/>
        <v>#DIV/0!</v>
      </c>
      <c r="L86" s="121" t="e">
        <f t="shared" si="370"/>
        <v>#DIV/0!</v>
      </c>
      <c r="M86" s="121" t="e">
        <f t="shared" si="370"/>
        <v>#DIV/0!</v>
      </c>
      <c r="N86" s="121">
        <f t="shared" si="370"/>
        <v>107.36842105263159</v>
      </c>
      <c r="O86" s="121">
        <f t="shared" si="370"/>
        <v>141</v>
      </c>
      <c r="P86" s="121">
        <f t="shared" si="370"/>
        <v>175</v>
      </c>
      <c r="Q86" s="121">
        <f t="shared" si="370"/>
        <v>115.625</v>
      </c>
      <c r="R86" s="121">
        <f t="shared" si="370"/>
        <v>136.25</v>
      </c>
      <c r="S86" s="121">
        <f t="shared" si="370"/>
        <v>113.75</v>
      </c>
      <c r="T86" s="121">
        <f t="shared" ref="T86:U86" si="371">T12/T61</f>
        <v>8.6080586080586077</v>
      </c>
      <c r="U86" s="121">
        <f t="shared" si="371"/>
        <v>10.43956043956044</v>
      </c>
      <c r="V86" s="101">
        <f t="shared" si="323"/>
        <v>-0.28319536211943896</v>
      </c>
      <c r="W86" s="109"/>
      <c r="X86" s="133">
        <f t="shared" ref="X86:AG86" si="372">X12/X61</f>
        <v>12.281835811247573</v>
      </c>
      <c r="Y86" s="133">
        <f t="shared" si="372"/>
        <v>14.449218601467733</v>
      </c>
      <c r="Z86" s="133">
        <f t="shared" si="372"/>
        <v>16.999080707609096</v>
      </c>
      <c r="AA86" s="133">
        <f t="shared" si="372"/>
        <v>19.998918479540112</v>
      </c>
      <c r="AB86" s="133">
        <f t="shared" si="372"/>
        <v>23.52813938769425</v>
      </c>
      <c r="AC86" s="133">
        <f t="shared" si="372"/>
        <v>27.68016398552264</v>
      </c>
      <c r="AD86" s="133">
        <f t="shared" si="372"/>
        <v>32.564898806497219</v>
      </c>
      <c r="AE86" s="133">
        <f t="shared" si="372"/>
        <v>38.311645654702609</v>
      </c>
      <c r="AF86" s="133">
        <f t="shared" si="372"/>
        <v>45.072524299650127</v>
      </c>
      <c r="AG86" s="133">
        <f t="shared" si="372"/>
        <v>53.026499176058969</v>
      </c>
      <c r="AH86" s="115" t="e">
        <f t="shared" si="330"/>
        <v>#DIV/0!</v>
      </c>
      <c r="AI86" s="21">
        <f t="shared" si="18"/>
        <v>0.01</v>
      </c>
      <c r="AJ86" s="123">
        <f t="shared" si="331"/>
        <v>382.54831548442547</v>
      </c>
    </row>
    <row r="87" spans="2:36">
      <c r="B87" s="10" t="s">
        <v>212</v>
      </c>
      <c r="C87" s="108"/>
      <c r="D87" s="108"/>
      <c r="E87" s="108"/>
      <c r="F87" s="121"/>
      <c r="G87" s="121">
        <f t="shared" ref="G87" si="373">G13/G61</f>
        <v>0</v>
      </c>
      <c r="H87" s="121" t="e">
        <f t="shared" ref="H87:I87" si="374">H13/H61</f>
        <v>#DIV/0!</v>
      </c>
      <c r="I87" s="121" t="e">
        <f t="shared" si="374"/>
        <v>#DIV/0!</v>
      </c>
      <c r="J87" s="121" t="e">
        <f t="shared" ref="J87:S87" si="375">J13/J61</f>
        <v>#DIV/0!</v>
      </c>
      <c r="K87" s="121" t="e">
        <f t="shared" si="375"/>
        <v>#DIV/0!</v>
      </c>
      <c r="L87" s="121" t="e">
        <f t="shared" si="375"/>
        <v>#DIV/0!</v>
      </c>
      <c r="M87" s="121" t="e">
        <f t="shared" si="375"/>
        <v>#DIV/0!</v>
      </c>
      <c r="N87" s="121">
        <f t="shared" si="375"/>
        <v>0</v>
      </c>
      <c r="O87" s="121">
        <f t="shared" si="375"/>
        <v>0</v>
      </c>
      <c r="P87" s="121">
        <f t="shared" si="375"/>
        <v>0.08</v>
      </c>
      <c r="Q87" s="121">
        <f t="shared" si="375"/>
        <v>4.9999999999999996E-2</v>
      </c>
      <c r="R87" s="121">
        <f t="shared" si="375"/>
        <v>4.9999999999999996E-2</v>
      </c>
      <c r="S87" s="121">
        <f t="shared" si="375"/>
        <v>4.9999999999999996E-2</v>
      </c>
      <c r="T87" s="121">
        <f t="shared" ref="T87:U87" si="376">T13/T61</f>
        <v>1.4652014652014652E-2</v>
      </c>
      <c r="U87" s="121">
        <f t="shared" si="376"/>
        <v>1.4652014652014652E-2</v>
      </c>
      <c r="V87" s="101" t="e">
        <f t="shared" si="323"/>
        <v>#DIV/0!</v>
      </c>
      <c r="W87" s="109"/>
      <c r="X87" s="133">
        <f t="shared" ref="X87:AG87" si="377">X13/X61</f>
        <v>1.7237664296487824E-2</v>
      </c>
      <c r="Y87" s="133">
        <f t="shared" si="377"/>
        <v>2.0279605054691556E-2</v>
      </c>
      <c r="Z87" s="133">
        <f t="shared" si="377"/>
        <v>2.3858358887872421E-2</v>
      </c>
      <c r="AA87" s="133">
        <f t="shared" si="377"/>
        <v>2.8068657515144025E-2</v>
      </c>
      <c r="AB87" s="133">
        <f t="shared" si="377"/>
        <v>3.30219500178165E-2</v>
      </c>
      <c r="AC87" s="133">
        <f t="shared" si="377"/>
        <v>3.8849352962137047E-2</v>
      </c>
      <c r="AD87" s="133">
        <f t="shared" si="377"/>
        <v>4.5705121131925944E-2</v>
      </c>
      <c r="AE87" s="133">
        <f t="shared" si="377"/>
        <v>5.3770730743442283E-2</v>
      </c>
      <c r="AF87" s="133">
        <f t="shared" si="377"/>
        <v>6.3259683227579147E-2</v>
      </c>
      <c r="AG87" s="133">
        <f t="shared" si="377"/>
        <v>7.4423156738328403E-2</v>
      </c>
      <c r="AH87" s="115" t="e">
        <f t="shared" si="330"/>
        <v>#DIV/0!</v>
      </c>
      <c r="AI87" s="21">
        <f t="shared" si="18"/>
        <v>0.01</v>
      </c>
      <c r="AJ87" s="123">
        <f t="shared" si="331"/>
        <v>0.53690991646936925</v>
      </c>
    </row>
    <row r="88" spans="2:36">
      <c r="B88" s="10" t="s">
        <v>213</v>
      </c>
      <c r="C88" s="108"/>
      <c r="D88" s="108"/>
      <c r="E88" s="108"/>
      <c r="F88" s="121"/>
      <c r="G88" s="121">
        <f t="shared" ref="G88" si="378">(G86+G87)</f>
        <v>107.36842105263159</v>
      </c>
      <c r="H88" s="121" t="e">
        <f t="shared" ref="H88:I88" si="379">(H86+H87)</f>
        <v>#DIV/0!</v>
      </c>
      <c r="I88" s="121" t="e">
        <f t="shared" si="379"/>
        <v>#DIV/0!</v>
      </c>
      <c r="J88" s="121" t="e">
        <f t="shared" ref="J88:S88" si="380">(J86+J87)</f>
        <v>#DIV/0!</v>
      </c>
      <c r="K88" s="121" t="e">
        <f t="shared" si="380"/>
        <v>#DIV/0!</v>
      </c>
      <c r="L88" s="121" t="e">
        <f t="shared" si="380"/>
        <v>#DIV/0!</v>
      </c>
      <c r="M88" s="121" t="e">
        <f t="shared" si="380"/>
        <v>#DIV/0!</v>
      </c>
      <c r="N88" s="121">
        <f t="shared" si="380"/>
        <v>107.36842105263159</v>
      </c>
      <c r="O88" s="121">
        <f t="shared" si="380"/>
        <v>141</v>
      </c>
      <c r="P88" s="121">
        <f t="shared" si="380"/>
        <v>175.08</v>
      </c>
      <c r="Q88" s="121">
        <f t="shared" si="380"/>
        <v>115.675</v>
      </c>
      <c r="R88" s="121">
        <f t="shared" ref="R88" si="381">(R86+R87)</f>
        <v>136.30000000000001</v>
      </c>
      <c r="S88" s="121">
        <f t="shared" si="380"/>
        <v>113.8</v>
      </c>
      <c r="T88" s="121">
        <f t="shared" ref="T88:U88" si="382">(T86+T87)</f>
        <v>8.6227106227106223</v>
      </c>
      <c r="U88" s="121">
        <f t="shared" si="382"/>
        <v>10.454212454212454</v>
      </c>
      <c r="V88" s="101">
        <f t="shared" si="323"/>
        <v>-0.28305172826451563</v>
      </c>
      <c r="W88" s="109"/>
      <c r="X88" s="133">
        <f t="shared" ref="X88:AG88" si="383">(X86+X87)</f>
        <v>12.299073475544061</v>
      </c>
      <c r="Y88" s="133">
        <f t="shared" si="383"/>
        <v>14.469498206522424</v>
      </c>
      <c r="Z88" s="133">
        <f t="shared" si="383"/>
        <v>17.022939066496967</v>
      </c>
      <c r="AA88" s="133">
        <f t="shared" si="383"/>
        <v>20.026987137055258</v>
      </c>
      <c r="AB88" s="133">
        <f t="shared" si="383"/>
        <v>23.561161337712065</v>
      </c>
      <c r="AC88" s="133">
        <f t="shared" si="383"/>
        <v>27.719013338484778</v>
      </c>
      <c r="AD88" s="133">
        <f t="shared" si="383"/>
        <v>32.610603927629143</v>
      </c>
      <c r="AE88" s="133">
        <f t="shared" si="383"/>
        <v>38.365416385446053</v>
      </c>
      <c r="AF88" s="133">
        <f t="shared" si="383"/>
        <v>45.135783982877705</v>
      </c>
      <c r="AG88" s="133">
        <f t="shared" si="383"/>
        <v>53.100922332797296</v>
      </c>
      <c r="AH88" s="115" t="e">
        <f t="shared" si="330"/>
        <v>#DIV/0!</v>
      </c>
      <c r="AI88" s="21">
        <f t="shared" si="18"/>
        <v>0.01</v>
      </c>
      <c r="AJ88" s="123">
        <f t="shared" si="331"/>
        <v>383.08522540089479</v>
      </c>
    </row>
    <row r="89" spans="2:36">
      <c r="B89" s="10" t="s">
        <v>206</v>
      </c>
      <c r="C89" s="108"/>
      <c r="D89" s="108"/>
      <c r="E89" s="108"/>
      <c r="F89" s="121"/>
      <c r="G89" s="121">
        <f t="shared" ref="G89" si="384">G15/G61</f>
        <v>128.42105263157896</v>
      </c>
      <c r="H89" s="121" t="e">
        <f t="shared" ref="H89:I89" si="385">H15/H61</f>
        <v>#DIV/0!</v>
      </c>
      <c r="I89" s="121" t="e">
        <f t="shared" si="385"/>
        <v>#DIV/0!</v>
      </c>
      <c r="J89" s="121" t="e">
        <f t="shared" ref="J89:S89" si="386">J15/J61</f>
        <v>#DIV/0!</v>
      </c>
      <c r="K89" s="121" t="e">
        <f t="shared" si="386"/>
        <v>#DIV/0!</v>
      </c>
      <c r="L89" s="121" t="e">
        <f t="shared" si="386"/>
        <v>#DIV/0!</v>
      </c>
      <c r="M89" s="121" t="e">
        <f t="shared" si="386"/>
        <v>#DIV/0!</v>
      </c>
      <c r="N89" s="121">
        <f t="shared" si="386"/>
        <v>128.42105263157896</v>
      </c>
      <c r="O89" s="121">
        <f t="shared" si="386"/>
        <v>140</v>
      </c>
      <c r="P89" s="121">
        <f t="shared" si="386"/>
        <v>175</v>
      </c>
      <c r="Q89" s="121">
        <f t="shared" si="386"/>
        <v>115.625</v>
      </c>
      <c r="R89" s="121">
        <f t="shared" si="386"/>
        <v>136.25</v>
      </c>
      <c r="S89" s="121">
        <f t="shared" si="386"/>
        <v>113.75</v>
      </c>
      <c r="T89" s="121">
        <f t="shared" ref="T89:U89" si="387">T15/T61</f>
        <v>8.6080586080586077</v>
      </c>
      <c r="U89" s="121">
        <f t="shared" si="387"/>
        <v>10.43956043956044</v>
      </c>
      <c r="V89" s="101">
        <f t="shared" si="323"/>
        <v>-0.30129752131512655</v>
      </c>
      <c r="W89" s="109"/>
      <c r="X89" s="133">
        <f t="shared" ref="X89:AG89" si="388">X15/X61</f>
        <v>12.281835811247573</v>
      </c>
      <c r="Y89" s="133">
        <f t="shared" si="388"/>
        <v>14.449218601467733</v>
      </c>
      <c r="Z89" s="133">
        <f t="shared" si="388"/>
        <v>16.999080707609096</v>
      </c>
      <c r="AA89" s="133">
        <f t="shared" si="388"/>
        <v>19.998918479540112</v>
      </c>
      <c r="AB89" s="133">
        <f t="shared" si="388"/>
        <v>23.52813938769425</v>
      </c>
      <c r="AC89" s="133">
        <f t="shared" si="388"/>
        <v>27.68016398552264</v>
      </c>
      <c r="AD89" s="133">
        <f t="shared" si="388"/>
        <v>32.564898806497219</v>
      </c>
      <c r="AE89" s="133">
        <f t="shared" si="388"/>
        <v>38.311645654702609</v>
      </c>
      <c r="AF89" s="133">
        <f t="shared" si="388"/>
        <v>45.072524299650127</v>
      </c>
      <c r="AG89" s="133">
        <f t="shared" si="388"/>
        <v>53.026499176058969</v>
      </c>
      <c r="AH89" s="115" t="e">
        <f t="shared" si="330"/>
        <v>#DIV/0!</v>
      </c>
      <c r="AI89" s="21">
        <f t="shared" si="18"/>
        <v>0.01</v>
      </c>
      <c r="AJ89" s="123">
        <f t="shared" si="331"/>
        <v>382.54831548442547</v>
      </c>
    </row>
    <row r="90" spans="2:36">
      <c r="B90" s="10" t="s">
        <v>207</v>
      </c>
      <c r="C90" s="108"/>
      <c r="D90" s="108"/>
      <c r="E90" s="108"/>
      <c r="F90" s="121"/>
      <c r="G90" s="121">
        <f t="shared" ref="G90" si="389">G16/G61</f>
        <v>466.31578947368422</v>
      </c>
      <c r="H90" s="121" t="e">
        <f t="shared" ref="H90:I90" si="390">H16/H61</f>
        <v>#DIV/0!</v>
      </c>
      <c r="I90" s="121" t="e">
        <f t="shared" si="390"/>
        <v>#DIV/0!</v>
      </c>
      <c r="J90" s="121" t="e">
        <f t="shared" ref="J90:S90" si="391">J16/J61</f>
        <v>#DIV/0!</v>
      </c>
      <c r="K90" s="121" t="e">
        <f t="shared" si="391"/>
        <v>#DIV/0!</v>
      </c>
      <c r="L90" s="121" t="e">
        <f t="shared" si="391"/>
        <v>#DIV/0!</v>
      </c>
      <c r="M90" s="121" t="e">
        <f t="shared" si="391"/>
        <v>#DIV/0!</v>
      </c>
      <c r="N90" s="121">
        <f t="shared" si="391"/>
        <v>466.31578947368422</v>
      </c>
      <c r="O90" s="121">
        <f t="shared" si="391"/>
        <v>412</v>
      </c>
      <c r="P90" s="121">
        <f t="shared" si="391"/>
        <v>578</v>
      </c>
      <c r="Q90" s="121">
        <f t="shared" si="391"/>
        <v>520</v>
      </c>
      <c r="R90" s="121">
        <f t="shared" si="391"/>
        <v>702.5</v>
      </c>
      <c r="S90" s="121">
        <f t="shared" si="391"/>
        <v>857.5</v>
      </c>
      <c r="T90" s="121">
        <f t="shared" ref="T90:U90" si="392">T16/T61</f>
        <v>268.49816849816852</v>
      </c>
      <c r="U90" s="121">
        <f t="shared" si="392"/>
        <v>353.2967032967033</v>
      </c>
      <c r="V90" s="101">
        <f t="shared" si="323"/>
        <v>-3.8874890414611785E-2</v>
      </c>
      <c r="W90" s="109"/>
      <c r="X90" s="133">
        <f t="shared" ref="X90:AG90" si="393">X16/X61</f>
        <v>415.64318034906262</v>
      </c>
      <c r="Y90" s="133">
        <f t="shared" si="393"/>
        <v>488.99197688125014</v>
      </c>
      <c r="Z90" s="133">
        <f t="shared" si="393"/>
        <v>575.2846786838237</v>
      </c>
      <c r="AA90" s="133">
        <f t="shared" si="393"/>
        <v>676.80550433391011</v>
      </c>
      <c r="AB90" s="133">
        <f t="shared" si="393"/>
        <v>796.24176980460004</v>
      </c>
      <c r="AC90" s="133">
        <f t="shared" si="393"/>
        <v>936.75502329952928</v>
      </c>
      <c r="AD90" s="133">
        <f t="shared" si="393"/>
        <v>1102.0647332935639</v>
      </c>
      <c r="AE90" s="133">
        <f t="shared" si="393"/>
        <v>1296.5467450512515</v>
      </c>
      <c r="AF90" s="133">
        <f t="shared" si="393"/>
        <v>1525.3491118250017</v>
      </c>
      <c r="AG90" s="133">
        <f t="shared" si="393"/>
        <v>1794.528366852943</v>
      </c>
      <c r="AH90" s="115" t="e">
        <f t="shared" si="330"/>
        <v>#DIV/0!</v>
      </c>
      <c r="AI90" s="114"/>
      <c r="AJ90" s="123">
        <f t="shared" si="331"/>
        <v>11963.522445686287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8"/>
        <v>0.01</v>
      </c>
      <c r="AJ91" s="123">
        <f t="shared" si="331"/>
        <v>0</v>
      </c>
    </row>
    <row r="92" spans="2:36">
      <c r="B92" s="10" t="s">
        <v>232</v>
      </c>
      <c r="C92" s="135"/>
      <c r="D92" s="135"/>
      <c r="E92" s="135"/>
      <c r="F92" s="135"/>
      <c r="G92" s="135">
        <f t="shared" ref="G92" si="394">G63</f>
        <v>0</v>
      </c>
      <c r="H92" s="135">
        <f t="shared" ref="H92:I92" si="395">H63</f>
        <v>0</v>
      </c>
      <c r="I92" s="135">
        <f t="shared" si="395"/>
        <v>0</v>
      </c>
      <c r="J92" s="135">
        <f t="shared" ref="J92:S92" si="396">J63</f>
        <v>0</v>
      </c>
      <c r="K92" s="135">
        <f t="shared" si="396"/>
        <v>0</v>
      </c>
      <c r="L92" s="135">
        <f t="shared" si="396"/>
        <v>0</v>
      </c>
      <c r="M92" s="135">
        <f t="shared" si="396"/>
        <v>0</v>
      </c>
      <c r="N92" s="135">
        <f t="shared" si="396"/>
        <v>0</v>
      </c>
      <c r="O92" s="135">
        <f t="shared" si="396"/>
        <v>0</v>
      </c>
      <c r="P92" s="135">
        <f t="shared" si="396"/>
        <v>0</v>
      </c>
      <c r="Q92" s="135">
        <f t="shared" si="396"/>
        <v>0</v>
      </c>
      <c r="R92" s="135">
        <f t="shared" si="396"/>
        <v>0</v>
      </c>
      <c r="S92" s="135">
        <f t="shared" si="396"/>
        <v>0</v>
      </c>
      <c r="T92" s="135">
        <f t="shared" ref="T92:U92" si="397">T63</f>
        <v>0</v>
      </c>
      <c r="U92" s="135">
        <f t="shared" si="397"/>
        <v>0</v>
      </c>
      <c r="V92" s="101" t="e">
        <f t="shared" si="323"/>
        <v>#DIV/0!</v>
      </c>
      <c r="W92" s="109"/>
      <c r="X92" s="135">
        <f t="shared" ref="X92:AG92" si="398">X63</f>
        <v>0</v>
      </c>
      <c r="Y92" s="135">
        <f t="shared" si="398"/>
        <v>0</v>
      </c>
      <c r="Z92" s="135">
        <f t="shared" si="398"/>
        <v>0</v>
      </c>
      <c r="AA92" s="135">
        <f t="shared" si="398"/>
        <v>0</v>
      </c>
      <c r="AB92" s="135">
        <f t="shared" si="398"/>
        <v>0</v>
      </c>
      <c r="AC92" s="135">
        <f t="shared" si="398"/>
        <v>0</v>
      </c>
      <c r="AD92" s="135">
        <f t="shared" si="398"/>
        <v>0</v>
      </c>
      <c r="AE92" s="135">
        <f t="shared" si="398"/>
        <v>0</v>
      </c>
      <c r="AF92" s="135">
        <f t="shared" si="398"/>
        <v>0</v>
      </c>
      <c r="AG92" s="135">
        <f t="shared" si="398"/>
        <v>0</v>
      </c>
      <c r="AH92" s="115" t="e">
        <f t="shared" ref="AH92" si="399">((AG92/J92)^(1/($AG$3-$K$1) ))-1</f>
        <v>#DIV/0!</v>
      </c>
      <c r="AI92" s="21">
        <f t="shared" si="18"/>
        <v>0.01</v>
      </c>
      <c r="AJ92" s="123">
        <f t="shared" si="331"/>
        <v>0</v>
      </c>
    </row>
    <row r="93" spans="2:36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>
      <c r="B94" s="10" t="s">
        <v>262</v>
      </c>
      <c r="C94" s="108"/>
      <c r="D94" s="108"/>
      <c r="E94" s="108"/>
      <c r="F94" s="121"/>
      <c r="G94" s="121">
        <f t="shared" ref="G94" si="400">G20+G21</f>
        <v>0</v>
      </c>
      <c r="H94" s="121">
        <f t="shared" ref="H94:I94" si="401">H20+H21</f>
        <v>0</v>
      </c>
      <c r="I94" s="121">
        <f t="shared" si="401"/>
        <v>0</v>
      </c>
      <c r="J94" s="121">
        <f t="shared" ref="J94:S94" si="402">J20+J21</f>
        <v>0</v>
      </c>
      <c r="K94" s="121">
        <f t="shared" si="402"/>
        <v>0</v>
      </c>
      <c r="L94" s="121">
        <f t="shared" si="402"/>
        <v>0</v>
      </c>
      <c r="M94" s="121">
        <f t="shared" si="402"/>
        <v>0</v>
      </c>
      <c r="N94" s="121">
        <f t="shared" si="402"/>
        <v>0</v>
      </c>
      <c r="O94" s="121">
        <f t="shared" si="402"/>
        <v>0</v>
      </c>
      <c r="P94" s="121">
        <f t="shared" si="402"/>
        <v>0</v>
      </c>
      <c r="Q94" s="121">
        <f t="shared" si="402"/>
        <v>0</v>
      </c>
      <c r="R94" s="121">
        <f t="shared" si="402"/>
        <v>0</v>
      </c>
      <c r="S94" s="121">
        <f t="shared" si="402"/>
        <v>0</v>
      </c>
      <c r="T94" s="121">
        <f t="shared" ref="T94:U94" si="403">T20+T21</f>
        <v>0</v>
      </c>
      <c r="U94" s="121">
        <f t="shared" si="403"/>
        <v>0</v>
      </c>
      <c r="V94" s="101" t="e">
        <f t="shared" si="323"/>
        <v>#DIV/0!</v>
      </c>
      <c r="W94" s="109"/>
      <c r="X94" s="121">
        <f t="shared" ref="X94:AG94" si="404">X20+X21</f>
        <v>0</v>
      </c>
      <c r="Y94" s="121">
        <f t="shared" si="404"/>
        <v>0</v>
      </c>
      <c r="Z94" s="121">
        <f t="shared" si="404"/>
        <v>0</v>
      </c>
      <c r="AA94" s="121">
        <f t="shared" si="404"/>
        <v>0</v>
      </c>
      <c r="AB94" s="121">
        <f t="shared" si="404"/>
        <v>0</v>
      </c>
      <c r="AC94" s="121">
        <f t="shared" si="404"/>
        <v>0</v>
      </c>
      <c r="AD94" s="121">
        <f t="shared" si="404"/>
        <v>0</v>
      </c>
      <c r="AE94" s="121">
        <f t="shared" si="404"/>
        <v>0</v>
      </c>
      <c r="AF94" s="121">
        <f t="shared" si="404"/>
        <v>0</v>
      </c>
      <c r="AG94" s="121">
        <f t="shared" si="404"/>
        <v>0</v>
      </c>
      <c r="AH94" s="115" t="e">
        <f t="shared" ref="AH94:AH99" si="405">((AG94/J94)^(1/($AG$3-$K$1) ))-1</f>
        <v>#DIV/0!</v>
      </c>
      <c r="AI94" s="21">
        <f t="shared" si="18"/>
        <v>0.01</v>
      </c>
      <c r="AJ94" s="123">
        <f t="shared" si="331"/>
        <v>0</v>
      </c>
    </row>
    <row r="95" spans="2:36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>
      <c r="B96" s="10" t="s">
        <v>263</v>
      </c>
      <c r="C96" s="108"/>
      <c r="D96" s="108"/>
      <c r="E96" s="108"/>
      <c r="F96" s="121"/>
      <c r="G96" s="121">
        <f t="shared" ref="G96" si="406">G94/G61</f>
        <v>0</v>
      </c>
      <c r="H96" s="121" t="e">
        <f t="shared" ref="H96:I96" si="407">H94/H61</f>
        <v>#DIV/0!</v>
      </c>
      <c r="I96" s="121" t="e">
        <f t="shared" si="407"/>
        <v>#DIV/0!</v>
      </c>
      <c r="J96" s="121" t="e">
        <f t="shared" ref="J96:S96" si="408">J94/J61</f>
        <v>#DIV/0!</v>
      </c>
      <c r="K96" s="121" t="e">
        <f t="shared" si="408"/>
        <v>#DIV/0!</v>
      </c>
      <c r="L96" s="121" t="e">
        <f t="shared" si="408"/>
        <v>#DIV/0!</v>
      </c>
      <c r="M96" s="121" t="e">
        <f t="shared" si="408"/>
        <v>#DIV/0!</v>
      </c>
      <c r="N96" s="121">
        <f t="shared" si="408"/>
        <v>0</v>
      </c>
      <c r="O96" s="121">
        <f t="shared" si="408"/>
        <v>0</v>
      </c>
      <c r="P96" s="121">
        <f t="shared" si="408"/>
        <v>0</v>
      </c>
      <c r="Q96" s="121">
        <f t="shared" si="408"/>
        <v>0</v>
      </c>
      <c r="R96" s="121">
        <f t="shared" si="408"/>
        <v>0</v>
      </c>
      <c r="S96" s="121">
        <f t="shared" si="408"/>
        <v>0</v>
      </c>
      <c r="T96" s="121">
        <f t="shared" ref="T96:U96" si="409">T94/T61</f>
        <v>0</v>
      </c>
      <c r="U96" s="121">
        <f t="shared" si="409"/>
        <v>0</v>
      </c>
      <c r="V96" s="101" t="e">
        <f t="shared" si="323"/>
        <v>#DIV/0!</v>
      </c>
      <c r="W96" s="109"/>
      <c r="X96" s="123">
        <f t="shared" ref="X96:AG96" si="410">X94/X61</f>
        <v>0</v>
      </c>
      <c r="Y96" s="123">
        <f t="shared" si="410"/>
        <v>0</v>
      </c>
      <c r="Z96" s="123">
        <f t="shared" si="410"/>
        <v>0</v>
      </c>
      <c r="AA96" s="123">
        <f t="shared" si="410"/>
        <v>0</v>
      </c>
      <c r="AB96" s="123">
        <f t="shared" si="410"/>
        <v>0</v>
      </c>
      <c r="AC96" s="123">
        <f t="shared" si="410"/>
        <v>0</v>
      </c>
      <c r="AD96" s="123">
        <f t="shared" si="410"/>
        <v>0</v>
      </c>
      <c r="AE96" s="123">
        <f t="shared" si="410"/>
        <v>0</v>
      </c>
      <c r="AF96" s="123">
        <f t="shared" si="410"/>
        <v>0</v>
      </c>
      <c r="AG96" s="123">
        <f t="shared" si="410"/>
        <v>0</v>
      </c>
      <c r="AH96" s="115" t="e">
        <f t="shared" si="405"/>
        <v>#DIV/0!</v>
      </c>
      <c r="AI96" s="21">
        <f t="shared" si="18"/>
        <v>0.01</v>
      </c>
      <c r="AJ96" s="123">
        <f t="shared" si="331"/>
        <v>0</v>
      </c>
    </row>
    <row r="97" spans="2:36">
      <c r="B97" s="10" t="s">
        <v>236</v>
      </c>
      <c r="C97" s="108"/>
      <c r="D97" s="108"/>
      <c r="E97" s="108"/>
      <c r="F97" s="121"/>
      <c r="G97" s="121">
        <f t="shared" ref="G97" si="411">G20/G61</f>
        <v>0</v>
      </c>
      <c r="H97" s="121" t="e">
        <f t="shared" ref="H97:I97" si="412">H20/H61</f>
        <v>#DIV/0!</v>
      </c>
      <c r="I97" s="121" t="e">
        <f t="shared" si="412"/>
        <v>#DIV/0!</v>
      </c>
      <c r="J97" s="121" t="e">
        <f t="shared" ref="J97:S97" si="413">J20/J61</f>
        <v>#DIV/0!</v>
      </c>
      <c r="K97" s="121" t="e">
        <f t="shared" si="413"/>
        <v>#DIV/0!</v>
      </c>
      <c r="L97" s="121" t="e">
        <f t="shared" si="413"/>
        <v>#DIV/0!</v>
      </c>
      <c r="M97" s="121" t="e">
        <f t="shared" si="413"/>
        <v>#DIV/0!</v>
      </c>
      <c r="N97" s="121">
        <f t="shared" si="413"/>
        <v>0</v>
      </c>
      <c r="O97" s="121">
        <f t="shared" si="413"/>
        <v>0</v>
      </c>
      <c r="P97" s="121">
        <f t="shared" si="413"/>
        <v>0</v>
      </c>
      <c r="Q97" s="121">
        <f t="shared" si="413"/>
        <v>0</v>
      </c>
      <c r="R97" s="121">
        <f t="shared" si="413"/>
        <v>0</v>
      </c>
      <c r="S97" s="121">
        <f t="shared" si="413"/>
        <v>0</v>
      </c>
      <c r="T97" s="121">
        <f t="shared" ref="T97:U97" si="414">T20/T61</f>
        <v>0</v>
      </c>
      <c r="U97" s="121">
        <f t="shared" si="414"/>
        <v>0</v>
      </c>
      <c r="V97" s="101" t="e">
        <f t="shared" si="323"/>
        <v>#DIV/0!</v>
      </c>
      <c r="W97" s="109"/>
      <c r="X97" s="123">
        <f t="shared" ref="X97:AG97" si="415">X20/X61</f>
        <v>0</v>
      </c>
      <c r="Y97" s="123">
        <f t="shared" si="415"/>
        <v>0</v>
      </c>
      <c r="Z97" s="123">
        <f t="shared" si="415"/>
        <v>0</v>
      </c>
      <c r="AA97" s="123">
        <f t="shared" si="415"/>
        <v>0</v>
      </c>
      <c r="AB97" s="123">
        <f t="shared" si="415"/>
        <v>0</v>
      </c>
      <c r="AC97" s="123">
        <f t="shared" si="415"/>
        <v>0</v>
      </c>
      <c r="AD97" s="123">
        <f t="shared" si="415"/>
        <v>0</v>
      </c>
      <c r="AE97" s="123">
        <f t="shared" si="415"/>
        <v>0</v>
      </c>
      <c r="AF97" s="123">
        <f t="shared" si="415"/>
        <v>0</v>
      </c>
      <c r="AG97" s="123">
        <f t="shared" si="415"/>
        <v>0</v>
      </c>
      <c r="AH97" s="115" t="e">
        <f t="shared" si="405"/>
        <v>#DIV/0!</v>
      </c>
      <c r="AI97" s="21">
        <f t="shared" si="18"/>
        <v>0.01</v>
      </c>
      <c r="AJ97" s="123">
        <f t="shared" si="331"/>
        <v>0</v>
      </c>
    </row>
    <row r="98" spans="2:36">
      <c r="B98" s="10" t="s">
        <v>237</v>
      </c>
      <c r="C98" s="108"/>
      <c r="D98" s="108"/>
      <c r="E98" s="108"/>
      <c r="F98" s="121"/>
      <c r="G98" s="121">
        <f t="shared" ref="G98" si="416">G21/G61</f>
        <v>0</v>
      </c>
      <c r="H98" s="121" t="e">
        <f t="shared" ref="H98:I98" si="417">H21/H61</f>
        <v>#DIV/0!</v>
      </c>
      <c r="I98" s="121" t="e">
        <f t="shared" si="417"/>
        <v>#DIV/0!</v>
      </c>
      <c r="J98" s="121" t="e">
        <f t="shared" ref="J98:S98" si="418">J21/J61</f>
        <v>#DIV/0!</v>
      </c>
      <c r="K98" s="121" t="e">
        <f t="shared" si="418"/>
        <v>#DIV/0!</v>
      </c>
      <c r="L98" s="121" t="e">
        <f t="shared" si="418"/>
        <v>#DIV/0!</v>
      </c>
      <c r="M98" s="121" t="e">
        <f t="shared" si="418"/>
        <v>#DIV/0!</v>
      </c>
      <c r="N98" s="121">
        <f t="shared" si="418"/>
        <v>0</v>
      </c>
      <c r="O98" s="121">
        <f t="shared" si="418"/>
        <v>0</v>
      </c>
      <c r="P98" s="121">
        <f t="shared" si="418"/>
        <v>0</v>
      </c>
      <c r="Q98" s="121">
        <f t="shared" si="418"/>
        <v>0</v>
      </c>
      <c r="R98" s="121">
        <f t="shared" si="418"/>
        <v>0</v>
      </c>
      <c r="S98" s="121">
        <f t="shared" si="418"/>
        <v>0</v>
      </c>
      <c r="T98" s="121">
        <f t="shared" ref="T98:U98" si="419">T21/T61</f>
        <v>0</v>
      </c>
      <c r="U98" s="121">
        <f t="shared" si="419"/>
        <v>0</v>
      </c>
      <c r="V98" s="101" t="e">
        <f t="shared" si="323"/>
        <v>#DIV/0!</v>
      </c>
      <c r="W98" s="109"/>
      <c r="X98" s="123">
        <f t="shared" ref="X98:AG98" si="420">X21/X61</f>
        <v>0</v>
      </c>
      <c r="Y98" s="123">
        <f t="shared" si="420"/>
        <v>0</v>
      </c>
      <c r="Z98" s="123">
        <f t="shared" si="420"/>
        <v>0</v>
      </c>
      <c r="AA98" s="123">
        <f t="shared" si="420"/>
        <v>0</v>
      </c>
      <c r="AB98" s="123">
        <f t="shared" si="420"/>
        <v>0</v>
      </c>
      <c r="AC98" s="123">
        <f t="shared" si="420"/>
        <v>0</v>
      </c>
      <c r="AD98" s="123">
        <f t="shared" si="420"/>
        <v>0</v>
      </c>
      <c r="AE98" s="123">
        <f t="shared" si="420"/>
        <v>0</v>
      </c>
      <c r="AF98" s="123">
        <f t="shared" si="420"/>
        <v>0</v>
      </c>
      <c r="AG98" s="123">
        <f t="shared" si="420"/>
        <v>0</v>
      </c>
      <c r="AH98" s="115" t="e">
        <f t="shared" si="405"/>
        <v>#DIV/0!</v>
      </c>
      <c r="AI98" s="21">
        <f t="shared" si="18"/>
        <v>0.01</v>
      </c>
      <c r="AJ98" s="123">
        <f t="shared" si="331"/>
        <v>0</v>
      </c>
    </row>
    <row r="99" spans="2:36">
      <c r="B99" s="10" t="s">
        <v>238</v>
      </c>
      <c r="C99" s="108"/>
      <c r="D99" s="108"/>
      <c r="E99" s="108"/>
      <c r="F99" s="121"/>
      <c r="G99" s="121">
        <f t="shared" ref="G99" si="421">G22/G61</f>
        <v>0</v>
      </c>
      <c r="H99" s="121" t="e">
        <f t="shared" ref="H99:I99" si="422">H22/H61</f>
        <v>#DIV/0!</v>
      </c>
      <c r="I99" s="121" t="e">
        <f t="shared" si="422"/>
        <v>#DIV/0!</v>
      </c>
      <c r="J99" s="121" t="e">
        <f t="shared" ref="J99:S99" si="423">J22/J61</f>
        <v>#DIV/0!</v>
      </c>
      <c r="K99" s="121" t="e">
        <f t="shared" si="423"/>
        <v>#DIV/0!</v>
      </c>
      <c r="L99" s="121" t="e">
        <f t="shared" si="423"/>
        <v>#DIV/0!</v>
      </c>
      <c r="M99" s="121" t="e">
        <f t="shared" si="423"/>
        <v>#DIV/0!</v>
      </c>
      <c r="N99" s="121">
        <f t="shared" si="423"/>
        <v>0</v>
      </c>
      <c r="O99" s="121">
        <f t="shared" si="423"/>
        <v>0</v>
      </c>
      <c r="P99" s="121">
        <f t="shared" si="423"/>
        <v>0</v>
      </c>
      <c r="Q99" s="121">
        <f t="shared" si="423"/>
        <v>0</v>
      </c>
      <c r="R99" s="121">
        <f t="shared" si="423"/>
        <v>0</v>
      </c>
      <c r="S99" s="121">
        <f t="shared" si="423"/>
        <v>0</v>
      </c>
      <c r="T99" s="121">
        <f t="shared" ref="T99:U99" si="424">T22/T61</f>
        <v>0</v>
      </c>
      <c r="U99" s="121">
        <f t="shared" si="424"/>
        <v>0</v>
      </c>
      <c r="V99" s="101" t="e">
        <f t="shared" si="323"/>
        <v>#DIV/0!</v>
      </c>
      <c r="W99" s="109"/>
      <c r="X99" s="123">
        <f t="shared" ref="X99:AG99" si="425">X22/X61</f>
        <v>0</v>
      </c>
      <c r="Y99" s="123">
        <f t="shared" si="425"/>
        <v>0</v>
      </c>
      <c r="Z99" s="123">
        <f t="shared" si="425"/>
        <v>0</v>
      </c>
      <c r="AA99" s="123">
        <f t="shared" si="425"/>
        <v>0</v>
      </c>
      <c r="AB99" s="123">
        <f t="shared" si="425"/>
        <v>0</v>
      </c>
      <c r="AC99" s="123">
        <f t="shared" si="425"/>
        <v>0</v>
      </c>
      <c r="AD99" s="123">
        <f t="shared" si="425"/>
        <v>0</v>
      </c>
      <c r="AE99" s="123">
        <f t="shared" si="425"/>
        <v>0</v>
      </c>
      <c r="AF99" s="123">
        <f t="shared" si="425"/>
        <v>0</v>
      </c>
      <c r="AG99" s="123">
        <f t="shared" si="425"/>
        <v>0</v>
      </c>
      <c r="AH99" s="115" t="e">
        <f t="shared" si="405"/>
        <v>#DIV/0!</v>
      </c>
      <c r="AI99" s="21">
        <f t="shared" si="18"/>
        <v>0.01</v>
      </c>
      <c r="AJ99" s="123">
        <f t="shared" si="331"/>
        <v>0</v>
      </c>
    </row>
    <row r="100" spans="2:36">
      <c r="B100" s="10" t="s">
        <v>245</v>
      </c>
      <c r="C100" s="108"/>
      <c r="D100" s="108"/>
      <c r="E100" s="108"/>
      <c r="F100" s="121"/>
      <c r="G100" s="121">
        <f t="shared" ref="G100" si="426">G23/G61</f>
        <v>0</v>
      </c>
      <c r="H100" s="121" t="e">
        <f t="shared" ref="H100:I100" si="427">H23/H61</f>
        <v>#DIV/0!</v>
      </c>
      <c r="I100" s="121" t="e">
        <f t="shared" si="427"/>
        <v>#DIV/0!</v>
      </c>
      <c r="J100" s="121" t="e">
        <f t="shared" ref="J100:S100" si="428">J23/J61</f>
        <v>#DIV/0!</v>
      </c>
      <c r="K100" s="121" t="e">
        <f t="shared" si="428"/>
        <v>#DIV/0!</v>
      </c>
      <c r="L100" s="121" t="e">
        <f t="shared" si="428"/>
        <v>#DIV/0!</v>
      </c>
      <c r="M100" s="121" t="e">
        <f t="shared" si="428"/>
        <v>#DIV/0!</v>
      </c>
      <c r="N100" s="121">
        <f t="shared" si="428"/>
        <v>0</v>
      </c>
      <c r="O100" s="121">
        <f t="shared" si="428"/>
        <v>0</v>
      </c>
      <c r="P100" s="121">
        <f t="shared" si="428"/>
        <v>0</v>
      </c>
      <c r="Q100" s="121">
        <f t="shared" si="428"/>
        <v>0</v>
      </c>
      <c r="R100" s="121">
        <f t="shared" si="428"/>
        <v>0</v>
      </c>
      <c r="S100" s="121">
        <f t="shared" si="428"/>
        <v>0</v>
      </c>
      <c r="T100" s="121">
        <f t="shared" ref="T100:U100" si="429">T23/T61</f>
        <v>0</v>
      </c>
      <c r="U100" s="121">
        <f t="shared" si="429"/>
        <v>0</v>
      </c>
      <c r="V100" s="101" t="e">
        <f t="shared" si="323"/>
        <v>#DIV/0!</v>
      </c>
      <c r="W100" s="109"/>
      <c r="X100" s="123">
        <f t="shared" ref="X100:AG100" si="430">X23/X61</f>
        <v>0</v>
      </c>
      <c r="Y100" s="123">
        <f t="shared" si="430"/>
        <v>0</v>
      </c>
      <c r="Z100" s="123">
        <f t="shared" si="430"/>
        <v>0</v>
      </c>
      <c r="AA100" s="123">
        <f t="shared" si="430"/>
        <v>0</v>
      </c>
      <c r="AB100" s="123">
        <f t="shared" si="430"/>
        <v>0</v>
      </c>
      <c r="AC100" s="123">
        <f t="shared" si="430"/>
        <v>0</v>
      </c>
      <c r="AD100" s="123">
        <f t="shared" si="430"/>
        <v>0</v>
      </c>
      <c r="AE100" s="123">
        <f t="shared" si="430"/>
        <v>0</v>
      </c>
      <c r="AF100" s="123">
        <f t="shared" si="430"/>
        <v>0</v>
      </c>
      <c r="AG100" s="123">
        <f t="shared" si="430"/>
        <v>0</v>
      </c>
      <c r="AH100" s="115" t="e">
        <f t="shared" ref="AH100" si="431">((AG100/J100)^(1/($AG$3-$K$1) ))-1</f>
        <v>#DIV/0!</v>
      </c>
      <c r="AI100" s="21">
        <f t="shared" si="18"/>
        <v>0.01</v>
      </c>
      <c r="AJ100" s="123">
        <f t="shared" si="331"/>
        <v>0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>
      <c r="B102" s="10" t="s">
        <v>430</v>
      </c>
      <c r="C102" s="121"/>
      <c r="D102" s="121"/>
      <c r="E102" s="121"/>
      <c r="F102" s="121"/>
      <c r="G102" s="121">
        <f t="shared" ref="G102" si="432">G53/G61</f>
        <v>60</v>
      </c>
      <c r="H102" s="121" t="e">
        <f t="shared" ref="H102:I102" si="433">H53/H61</f>
        <v>#DIV/0!</v>
      </c>
      <c r="I102" s="121" t="e">
        <f t="shared" si="433"/>
        <v>#DIV/0!</v>
      </c>
      <c r="J102" s="121" t="e">
        <f t="shared" ref="J102:S102" si="434">J53/J61</f>
        <v>#DIV/0!</v>
      </c>
      <c r="K102" s="121" t="e">
        <f t="shared" si="434"/>
        <v>#DIV/0!</v>
      </c>
      <c r="L102" s="121" t="e">
        <f t="shared" si="434"/>
        <v>#DIV/0!</v>
      </c>
      <c r="M102" s="121" t="e">
        <f t="shared" si="434"/>
        <v>#DIV/0!</v>
      </c>
      <c r="N102" s="121">
        <f t="shared" si="434"/>
        <v>60</v>
      </c>
      <c r="O102" s="121">
        <f t="shared" si="434"/>
        <v>70</v>
      </c>
      <c r="P102" s="121">
        <f t="shared" si="434"/>
        <v>96</v>
      </c>
      <c r="Q102" s="121">
        <f t="shared" si="434"/>
        <v>80</v>
      </c>
      <c r="R102" s="121">
        <f t="shared" si="434"/>
        <v>108.125</v>
      </c>
      <c r="S102" s="121">
        <f t="shared" si="434"/>
        <v>138.125</v>
      </c>
      <c r="T102" s="121">
        <f t="shared" ref="T102:U102" si="435">T53/T61</f>
        <v>49.450549450549453</v>
      </c>
      <c r="U102" s="121">
        <f t="shared" si="435"/>
        <v>60.073260073260073</v>
      </c>
      <c r="V102" s="101">
        <f t="shared" si="323"/>
        <v>1.7433753862694523E-4</v>
      </c>
      <c r="W102" s="109"/>
      <c r="X102" s="121">
        <f t="shared" ref="X102:AG102" si="436">X53/X61</f>
        <v>70.674423615600077</v>
      </c>
      <c r="Y102" s="121">
        <f t="shared" si="436"/>
        <v>83.146380724235371</v>
      </c>
      <c r="Z102" s="121">
        <f t="shared" si="436"/>
        <v>97.819271440276907</v>
      </c>
      <c r="AA102" s="121">
        <f t="shared" si="436"/>
        <v>115.08149581209047</v>
      </c>
      <c r="AB102" s="121">
        <f t="shared" si="436"/>
        <v>135.3899950730476</v>
      </c>
      <c r="AC102" s="121">
        <f t="shared" si="436"/>
        <v>159.28234714476184</v>
      </c>
      <c r="AD102" s="121">
        <f t="shared" si="436"/>
        <v>187.39099664089628</v>
      </c>
      <c r="AE102" s="121">
        <f t="shared" si="436"/>
        <v>220.45999604811325</v>
      </c>
      <c r="AF102" s="121">
        <f t="shared" si="436"/>
        <v>259.36470123307441</v>
      </c>
      <c r="AG102" s="121">
        <f t="shared" si="436"/>
        <v>305.13494262714636</v>
      </c>
      <c r="AH102" s="115" t="e">
        <f t="shared" ref="AH102:AH104" si="437">((AG102/J102)^(1/($AG$3-$K$1) ))-1</f>
        <v>#DIV/0!</v>
      </c>
      <c r="AI102" s="21">
        <f t="shared" si="18"/>
        <v>0.01</v>
      </c>
      <c r="AJ102" s="123">
        <f t="shared" si="331"/>
        <v>2201.3306575244133</v>
      </c>
    </row>
    <row r="103" spans="2:36">
      <c r="B103" s="10" t="s">
        <v>431</v>
      </c>
      <c r="C103" s="121"/>
      <c r="D103" s="121"/>
      <c r="E103" s="121"/>
      <c r="F103" s="121"/>
      <c r="G103" s="121">
        <f t="shared" ref="G103" si="438">G59/G61</f>
        <v>15.789473684210527</v>
      </c>
      <c r="H103" s="121" t="e">
        <f t="shared" ref="H103:I103" si="439">H59/H61</f>
        <v>#DIV/0!</v>
      </c>
      <c r="I103" s="121" t="e">
        <f t="shared" si="439"/>
        <v>#DIV/0!</v>
      </c>
      <c r="J103" s="121" t="e">
        <f t="shared" ref="J103:S103" si="440">J59/J61</f>
        <v>#DIV/0!</v>
      </c>
      <c r="K103" s="121" t="e">
        <f t="shared" si="440"/>
        <v>#DIV/0!</v>
      </c>
      <c r="L103" s="121" t="e">
        <f t="shared" si="440"/>
        <v>#DIV/0!</v>
      </c>
      <c r="M103" s="121" t="e">
        <f t="shared" si="440"/>
        <v>#DIV/0!</v>
      </c>
      <c r="N103" s="121">
        <f t="shared" si="440"/>
        <v>15.789473684210527</v>
      </c>
      <c r="O103" s="121">
        <f t="shared" si="440"/>
        <v>18</v>
      </c>
      <c r="P103" s="121">
        <f t="shared" si="440"/>
        <v>27</v>
      </c>
      <c r="Q103" s="121">
        <f t="shared" si="440"/>
        <v>20.625</v>
      </c>
      <c r="R103" s="121">
        <f t="shared" si="440"/>
        <v>25</v>
      </c>
      <c r="S103" s="121">
        <f t="shared" si="440"/>
        <v>31.875</v>
      </c>
      <c r="T103" s="121">
        <f t="shared" ref="T103:U103" si="441">T59/T61</f>
        <v>12.637362637362637</v>
      </c>
      <c r="U103" s="121">
        <f t="shared" si="441"/>
        <v>19.413919413919412</v>
      </c>
      <c r="V103" s="101">
        <f t="shared" si="323"/>
        <v>2.9961036304125832E-2</v>
      </c>
      <c r="W103" s="109"/>
      <c r="X103" s="121">
        <f t="shared" ref="X103:AG103" si="442">X59/X61</f>
        <v>22.839905192846366</v>
      </c>
      <c r="Y103" s="121">
        <f t="shared" si="442"/>
        <v>26.870476697466312</v>
      </c>
      <c r="Z103" s="121">
        <f t="shared" si="442"/>
        <v>31.612325526430954</v>
      </c>
      <c r="AA103" s="121">
        <f t="shared" si="442"/>
        <v>37.190971207565831</v>
      </c>
      <c r="AB103" s="121">
        <f t="shared" si="442"/>
        <v>43.754083773606851</v>
      </c>
      <c r="AC103" s="121">
        <f t="shared" si="442"/>
        <v>51.475392674831589</v>
      </c>
      <c r="AD103" s="121">
        <f t="shared" si="442"/>
        <v>60.559285499801867</v>
      </c>
      <c r="AE103" s="121">
        <f t="shared" si="442"/>
        <v>71.246218235061022</v>
      </c>
      <c r="AF103" s="121">
        <f t="shared" si="442"/>
        <v>83.819080276542365</v>
      </c>
      <c r="AG103" s="121">
        <f t="shared" si="442"/>
        <v>98.61068267828513</v>
      </c>
      <c r="AH103" s="115" t="e">
        <f t="shared" si="437"/>
        <v>#DIV/0!</v>
      </c>
      <c r="AI103" s="21">
        <f t="shared" si="18"/>
        <v>0.01</v>
      </c>
      <c r="AJ103" s="123">
        <f t="shared" si="331"/>
        <v>711.40563932191424</v>
      </c>
    </row>
    <row r="104" spans="2:36">
      <c r="B104" s="10" t="s">
        <v>259</v>
      </c>
      <c r="C104" s="121"/>
      <c r="D104" s="121"/>
      <c r="E104" s="121"/>
      <c r="F104" s="121"/>
      <c r="G104" s="121">
        <f t="shared" ref="G104" si="443">G6/G61</f>
        <v>24.210526315789476</v>
      </c>
      <c r="H104" s="121" t="e">
        <f t="shared" ref="H104:I104" si="444">H6/H61</f>
        <v>#DIV/0!</v>
      </c>
      <c r="I104" s="121" t="e">
        <f t="shared" si="444"/>
        <v>#DIV/0!</v>
      </c>
      <c r="J104" s="121" t="e">
        <f t="shared" ref="J104:S104" si="445">J6/J61</f>
        <v>#DIV/0!</v>
      </c>
      <c r="K104" s="121" t="e">
        <f t="shared" si="445"/>
        <v>#DIV/0!</v>
      </c>
      <c r="L104" s="121" t="e">
        <f t="shared" si="445"/>
        <v>#DIV/0!</v>
      </c>
      <c r="M104" s="121" t="e">
        <f t="shared" si="445"/>
        <v>#DIV/0!</v>
      </c>
      <c r="N104" s="121">
        <f t="shared" si="445"/>
        <v>24.210526315789476</v>
      </c>
      <c r="O104" s="121">
        <f t="shared" si="445"/>
        <v>30</v>
      </c>
      <c r="P104" s="121">
        <f t="shared" si="445"/>
        <v>52</v>
      </c>
      <c r="Q104" s="121">
        <f t="shared" si="445"/>
        <v>42.5</v>
      </c>
      <c r="R104" s="121">
        <f t="shared" si="445"/>
        <v>62.5</v>
      </c>
      <c r="S104" s="121">
        <f t="shared" si="445"/>
        <v>76.875</v>
      </c>
      <c r="T104" s="121">
        <f t="shared" ref="T104:U104" si="446">T6/T61</f>
        <v>44.139194139194139</v>
      </c>
      <c r="U104" s="121">
        <f t="shared" si="446"/>
        <v>121.7948717948718</v>
      </c>
      <c r="V104" s="101">
        <f t="shared" si="323"/>
        <v>0.25959842889635976</v>
      </c>
      <c r="W104" s="109"/>
      <c r="X104" s="121">
        <f t="shared" ref="X104:AG104" si="447">X6/X61</f>
        <v>143.28808446455506</v>
      </c>
      <c r="Y104" s="121">
        <f t="shared" si="447"/>
        <v>168.57421701712357</v>
      </c>
      <c r="Z104" s="121">
        <f t="shared" si="447"/>
        <v>198.32260825543949</v>
      </c>
      <c r="AA104" s="121">
        <f t="shared" si="447"/>
        <v>233.32071559463466</v>
      </c>
      <c r="AB104" s="121">
        <f t="shared" si="447"/>
        <v>274.49495952309957</v>
      </c>
      <c r="AC104" s="121">
        <f t="shared" si="447"/>
        <v>322.93524649776413</v>
      </c>
      <c r="AD104" s="121">
        <f t="shared" si="447"/>
        <v>379.92381940913424</v>
      </c>
      <c r="AE104" s="121">
        <f t="shared" si="447"/>
        <v>446.96919930486376</v>
      </c>
      <c r="AF104" s="121">
        <f t="shared" si="447"/>
        <v>525.8461168292514</v>
      </c>
      <c r="AG104" s="121">
        <f t="shared" si="447"/>
        <v>618.64249038735466</v>
      </c>
      <c r="AH104" s="115" t="e">
        <f t="shared" si="437"/>
        <v>#DIV/0!</v>
      </c>
      <c r="AI104" s="21">
        <f t="shared" ref="AI104" si="448">$O$1</f>
        <v>0.01</v>
      </c>
      <c r="AJ104" s="123">
        <f t="shared" si="331"/>
        <v>4463.0636806516304</v>
      </c>
    </row>
    <row r="105" spans="2:36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>
      <c r="B106" s="10" t="s">
        <v>407</v>
      </c>
      <c r="C106" s="108"/>
      <c r="D106" s="108"/>
      <c r="E106" s="108"/>
      <c r="F106" s="121"/>
      <c r="G106" s="121">
        <f t="shared" ref="G106:T106" si="449">G59/$U$61</f>
        <v>2.7472527472527473</v>
      </c>
      <c r="H106" s="121">
        <f t="shared" si="449"/>
        <v>0</v>
      </c>
      <c r="I106" s="121">
        <f t="shared" si="449"/>
        <v>0</v>
      </c>
      <c r="J106" s="121">
        <f t="shared" si="449"/>
        <v>0</v>
      </c>
      <c r="K106" s="121">
        <f t="shared" si="449"/>
        <v>0</v>
      </c>
      <c r="L106" s="121">
        <f t="shared" si="449"/>
        <v>0</v>
      </c>
      <c r="M106" s="121">
        <f t="shared" si="449"/>
        <v>0</v>
      </c>
      <c r="N106" s="121">
        <f t="shared" si="449"/>
        <v>2.7472527472527473</v>
      </c>
      <c r="O106" s="121">
        <f t="shared" si="449"/>
        <v>3.2967032967032965</v>
      </c>
      <c r="P106" s="121">
        <f t="shared" si="449"/>
        <v>4.9450549450549453</v>
      </c>
      <c r="Q106" s="121">
        <f t="shared" si="449"/>
        <v>6.0439560439560438</v>
      </c>
      <c r="R106" s="121">
        <f t="shared" si="449"/>
        <v>7.3260073260073257</v>
      </c>
      <c r="S106" s="121">
        <f t="shared" si="449"/>
        <v>9.3406593406593412</v>
      </c>
      <c r="T106" s="121">
        <f t="shared" si="449"/>
        <v>12.637362637362637</v>
      </c>
      <c r="U106" s="121">
        <f>U59/$U$61</f>
        <v>19.413919413919412</v>
      </c>
      <c r="V106" s="101">
        <f t="shared" si="323"/>
        <v>0.32225851461136945</v>
      </c>
      <c r="W106" s="109"/>
      <c r="X106" s="121">
        <f t="shared" ref="X106:AG106" si="450">X59/X61</f>
        <v>22.839905192846366</v>
      </c>
      <c r="Y106" s="121">
        <f t="shared" si="450"/>
        <v>26.870476697466312</v>
      </c>
      <c r="Z106" s="121">
        <f t="shared" si="450"/>
        <v>31.612325526430954</v>
      </c>
      <c r="AA106" s="121">
        <f t="shared" si="450"/>
        <v>37.190971207565831</v>
      </c>
      <c r="AB106" s="121">
        <f t="shared" si="450"/>
        <v>43.754083773606851</v>
      </c>
      <c r="AC106" s="121">
        <f t="shared" si="450"/>
        <v>51.475392674831589</v>
      </c>
      <c r="AD106" s="121">
        <f t="shared" si="450"/>
        <v>60.559285499801867</v>
      </c>
      <c r="AE106" s="121">
        <f t="shared" si="450"/>
        <v>71.246218235061022</v>
      </c>
      <c r="AF106" s="121">
        <f t="shared" si="450"/>
        <v>83.819080276542365</v>
      </c>
      <c r="AG106" s="121">
        <f t="shared" si="450"/>
        <v>98.61068267828513</v>
      </c>
      <c r="AH106" s="116"/>
      <c r="AI106" s="10"/>
      <c r="AJ106" s="130"/>
    </row>
    <row r="107" spans="2:36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>
      <c r="B109" s="10" t="s">
        <v>257</v>
      </c>
      <c r="C109" s="128"/>
      <c r="D109" s="128"/>
      <c r="E109" s="128"/>
      <c r="F109" s="128"/>
      <c r="G109" s="128">
        <f t="shared" ref="G109" si="451">G53/G25</f>
        <v>0.6333333333333333</v>
      </c>
      <c r="H109" s="128" t="e">
        <f t="shared" ref="H109:I109" si="452">H53/H25</f>
        <v>#DIV/0!</v>
      </c>
      <c r="I109" s="128" t="e">
        <f t="shared" si="452"/>
        <v>#DIV/0!</v>
      </c>
      <c r="J109" s="128" t="e">
        <f t="shared" ref="J109:S109" si="453">J53/J25</f>
        <v>#DIV/0!</v>
      </c>
      <c r="K109" s="128" t="e">
        <f t="shared" si="453"/>
        <v>#DIV/0!</v>
      </c>
      <c r="L109" s="128" t="e">
        <f t="shared" si="453"/>
        <v>#DIV/0!</v>
      </c>
      <c r="M109" s="128" t="e">
        <f t="shared" si="453"/>
        <v>#DIV/0!</v>
      </c>
      <c r="N109" s="128">
        <f t="shared" si="453"/>
        <v>0.6333333333333333</v>
      </c>
      <c r="O109" s="128">
        <f t="shared" si="453"/>
        <v>0.64220183486238536</v>
      </c>
      <c r="P109" s="128">
        <f t="shared" si="453"/>
        <v>0.67132867132867136</v>
      </c>
      <c r="Q109" s="128">
        <f t="shared" si="453"/>
        <v>0.69189189189189193</v>
      </c>
      <c r="R109" s="128">
        <f t="shared" si="453"/>
        <v>0.72689075630252098</v>
      </c>
      <c r="S109" s="128">
        <f t="shared" si="453"/>
        <v>0.72697368421052633</v>
      </c>
      <c r="T109" s="128">
        <f t="shared" ref="T109:U109" si="454">T53/T25</f>
        <v>0.74175824175824179</v>
      </c>
      <c r="U109" s="128">
        <f t="shared" si="454"/>
        <v>0.72087912087912087</v>
      </c>
      <c r="V109" s="101">
        <f t="shared" si="323"/>
        <v>1.8668487676956946E-2</v>
      </c>
      <c r="W109" s="128"/>
      <c r="X109" s="128">
        <f t="shared" ref="X109:AG109" si="455">X53/X25</f>
        <v>0.72087912087912087</v>
      </c>
      <c r="Y109" s="128">
        <f t="shared" si="455"/>
        <v>0.72087912087912087</v>
      </c>
      <c r="Z109" s="128">
        <f t="shared" si="455"/>
        <v>0.72087912087912087</v>
      </c>
      <c r="AA109" s="128">
        <f t="shared" si="455"/>
        <v>0.72087912087912076</v>
      </c>
      <c r="AB109" s="128">
        <f t="shared" si="455"/>
        <v>0.72087912087912076</v>
      </c>
      <c r="AC109" s="128">
        <f t="shared" si="455"/>
        <v>0.72087912087912076</v>
      </c>
      <c r="AD109" s="128">
        <f t="shared" si="455"/>
        <v>0.72087912087912076</v>
      </c>
      <c r="AE109" s="128">
        <f t="shared" si="455"/>
        <v>0.72087912087912076</v>
      </c>
      <c r="AF109" s="128">
        <f t="shared" si="455"/>
        <v>0.72087912087912076</v>
      </c>
      <c r="AG109" s="128">
        <f t="shared" si="455"/>
        <v>0.72087912087912076</v>
      </c>
      <c r="AH109" s="115" t="e">
        <f t="shared" ref="AH109:AH158" si="456">((AG109/J109)^(1/($AG$3-$K$1) ))-1</f>
        <v>#DIV/0!</v>
      </c>
      <c r="AI109" s="123"/>
      <c r="AJ109" s="123"/>
    </row>
    <row r="110" spans="2:36">
      <c r="B110" s="10" t="s">
        <v>219</v>
      </c>
      <c r="C110" s="128"/>
      <c r="D110" s="128"/>
      <c r="E110" s="128"/>
      <c r="F110" s="128"/>
      <c r="G110" s="128">
        <f t="shared" ref="G110" si="457">G59/G25</f>
        <v>0.16666666666666666</v>
      </c>
      <c r="H110" s="128" t="e">
        <f t="shared" ref="H110:I110" si="458">H59/H25</f>
        <v>#DIV/0!</v>
      </c>
      <c r="I110" s="128" t="e">
        <f t="shared" si="458"/>
        <v>#DIV/0!</v>
      </c>
      <c r="J110" s="128" t="e">
        <f t="shared" ref="J110:S110" si="459">J59/J25</f>
        <v>#DIV/0!</v>
      </c>
      <c r="K110" s="128" t="e">
        <f t="shared" si="459"/>
        <v>#DIV/0!</v>
      </c>
      <c r="L110" s="128" t="e">
        <f t="shared" si="459"/>
        <v>#DIV/0!</v>
      </c>
      <c r="M110" s="128" t="e">
        <f t="shared" si="459"/>
        <v>#DIV/0!</v>
      </c>
      <c r="N110" s="128">
        <f t="shared" si="459"/>
        <v>0.16666666666666666</v>
      </c>
      <c r="O110" s="128">
        <f t="shared" si="459"/>
        <v>0.16513761467889909</v>
      </c>
      <c r="P110" s="128">
        <f t="shared" si="459"/>
        <v>0.1888111888111888</v>
      </c>
      <c r="Q110" s="128">
        <f t="shared" si="459"/>
        <v>0.17837837837837839</v>
      </c>
      <c r="R110" s="128">
        <f t="shared" si="459"/>
        <v>0.16806722689075632</v>
      </c>
      <c r="S110" s="128">
        <f t="shared" si="459"/>
        <v>0.16776315789473684</v>
      </c>
      <c r="T110" s="128">
        <f t="shared" ref="T110:U110" si="460">T59/T25</f>
        <v>0.18956043956043955</v>
      </c>
      <c r="U110" s="128">
        <f t="shared" si="460"/>
        <v>0.23296703296703297</v>
      </c>
      <c r="V110" s="101">
        <f t="shared" si="323"/>
        <v>4.9005970099283314E-2</v>
      </c>
      <c r="W110" s="128"/>
      <c r="X110" s="128">
        <f t="shared" ref="X110:AG110" si="461">X59/X25</f>
        <v>0.23296703296703294</v>
      </c>
      <c r="Y110" s="128">
        <f t="shared" si="461"/>
        <v>0.23296703296703297</v>
      </c>
      <c r="Z110" s="128">
        <f t="shared" si="461"/>
        <v>0.23296703296703297</v>
      </c>
      <c r="AA110" s="128">
        <f t="shared" si="461"/>
        <v>0.232967032967033</v>
      </c>
      <c r="AB110" s="128">
        <f t="shared" si="461"/>
        <v>0.232967032967033</v>
      </c>
      <c r="AC110" s="128">
        <f t="shared" si="461"/>
        <v>0.23296703296703303</v>
      </c>
      <c r="AD110" s="128">
        <f t="shared" si="461"/>
        <v>0.232967032967033</v>
      </c>
      <c r="AE110" s="128">
        <f t="shared" si="461"/>
        <v>0.232967032967033</v>
      </c>
      <c r="AF110" s="128">
        <f t="shared" si="461"/>
        <v>0.232967032967033</v>
      </c>
      <c r="AG110" s="128">
        <f t="shared" si="461"/>
        <v>0.232967032967033</v>
      </c>
      <c r="AH110" s="115" t="e">
        <f t="shared" si="456"/>
        <v>#DIV/0!</v>
      </c>
      <c r="AI110" s="123"/>
      <c r="AJ110" s="123"/>
    </row>
    <row r="111" spans="2:36">
      <c r="B111" s="10" t="s">
        <v>301</v>
      </c>
      <c r="C111" s="128"/>
      <c r="D111" s="128"/>
      <c r="E111" s="128"/>
      <c r="F111" s="128"/>
      <c r="G111" s="128">
        <f t="shared" ref="G111" si="462">G59/G7</f>
        <v>0.12931034482758622</v>
      </c>
      <c r="H111" s="128" t="e">
        <f t="shared" ref="H111:I111" si="463">H59/H7</f>
        <v>#DIV/0!</v>
      </c>
      <c r="I111" s="128" t="e">
        <f t="shared" si="463"/>
        <v>#DIV/0!</v>
      </c>
      <c r="J111" s="128" t="e">
        <f>J59/J7</f>
        <v>#DIV/0!</v>
      </c>
      <c r="K111" s="128" t="e">
        <f t="shared" ref="K111:R111" si="464">K59/K7</f>
        <v>#DIV/0!</v>
      </c>
      <c r="L111" s="128" t="e">
        <f t="shared" si="464"/>
        <v>#DIV/0!</v>
      </c>
      <c r="M111" s="128" t="e">
        <f t="shared" si="464"/>
        <v>#DIV/0!</v>
      </c>
      <c r="N111" s="128">
        <f t="shared" si="464"/>
        <v>0.12931034482758622</v>
      </c>
      <c r="O111" s="128">
        <f t="shared" si="464"/>
        <v>0.14516129032258066</v>
      </c>
      <c r="P111" s="128">
        <f t="shared" si="464"/>
        <v>0.25471698113207547</v>
      </c>
      <c r="Q111" s="128">
        <f t="shared" si="464"/>
        <v>0.25984251968503935</v>
      </c>
      <c r="R111" s="128">
        <f t="shared" si="464"/>
        <v>0.25</v>
      </c>
      <c r="S111" s="128">
        <f t="shared" ref="S111:T111" si="465">S59/S7</f>
        <v>0.27567567567567569</v>
      </c>
      <c r="T111" s="128">
        <f t="shared" si="465"/>
        <v>0.20597014925373133</v>
      </c>
      <c r="U111" s="128">
        <f t="shared" ref="U111" si="466">U59/U7</f>
        <v>0.14661134163208853</v>
      </c>
      <c r="V111" s="101">
        <f t="shared" si="323"/>
        <v>1.8100413936326554E-2</v>
      </c>
      <c r="W111" s="10"/>
      <c r="X111" s="128">
        <f t="shared" ref="X111" si="467">X59/X7</f>
        <v>0.1466113416320885</v>
      </c>
      <c r="Y111" s="128">
        <f t="shared" ref="Y111:AG111" si="468">Y59/Y7</f>
        <v>0.14661134163208853</v>
      </c>
      <c r="Z111" s="128">
        <f t="shared" si="468"/>
        <v>0.14661134163208853</v>
      </c>
      <c r="AA111" s="128">
        <f t="shared" si="468"/>
        <v>0.14661134163208853</v>
      </c>
      <c r="AB111" s="128">
        <f t="shared" si="468"/>
        <v>0.14661134163208853</v>
      </c>
      <c r="AC111" s="128">
        <f t="shared" si="468"/>
        <v>0.14661134163208855</v>
      </c>
      <c r="AD111" s="128">
        <f t="shared" si="468"/>
        <v>0.14661134163208853</v>
      </c>
      <c r="AE111" s="128">
        <f t="shared" si="468"/>
        <v>0.14661134163208855</v>
      </c>
      <c r="AF111" s="128">
        <f t="shared" si="468"/>
        <v>0.14661134163208855</v>
      </c>
      <c r="AG111" s="128">
        <f t="shared" si="468"/>
        <v>0.14661134163208858</v>
      </c>
      <c r="AH111" s="115" t="e">
        <f t="shared" si="456"/>
        <v>#DIV/0!</v>
      </c>
      <c r="AI111" s="123"/>
      <c r="AJ111" s="123"/>
    </row>
    <row r="112" spans="2:36">
      <c r="B112" s="10" t="s">
        <v>302</v>
      </c>
      <c r="C112" s="128"/>
      <c r="D112" s="128"/>
      <c r="E112" s="128"/>
      <c r="F112" s="128"/>
      <c r="G112" s="128">
        <f t="shared" ref="G112" si="469">(G59)/(G7+G10)</f>
        <v>3.2822757111597371E-2</v>
      </c>
      <c r="H112" s="128" t="e">
        <f t="shared" ref="H112:I112" si="470">(H59)/(H7+H10)</f>
        <v>#DIV/0!</v>
      </c>
      <c r="I112" s="128" t="e">
        <f t="shared" si="470"/>
        <v>#DIV/0!</v>
      </c>
      <c r="J112" s="128" t="e">
        <f>(J59)/(J7+J10)</f>
        <v>#DIV/0!</v>
      </c>
      <c r="K112" s="128" t="e">
        <f t="shared" ref="K112:R112" si="471">(K59)/(K7+K10)</f>
        <v>#DIV/0!</v>
      </c>
      <c r="L112" s="128" t="e">
        <f t="shared" si="471"/>
        <v>#DIV/0!</v>
      </c>
      <c r="M112" s="128" t="e">
        <f t="shared" si="471"/>
        <v>#DIV/0!</v>
      </c>
      <c r="N112" s="128">
        <f t="shared" si="471"/>
        <v>3.2822757111597371E-2</v>
      </c>
      <c r="O112" s="128">
        <f t="shared" si="471"/>
        <v>4.195804195804196E-2</v>
      </c>
      <c r="P112" s="128">
        <f t="shared" si="471"/>
        <v>4.6471600688468159E-2</v>
      </c>
      <c r="Q112" s="128">
        <f t="shared" si="471"/>
        <v>3.9759036144578312E-2</v>
      </c>
      <c r="R112" s="128">
        <f t="shared" si="471"/>
        <v>3.5714285714285712E-2</v>
      </c>
      <c r="S112" s="128">
        <f t="shared" ref="S112:T112" si="472">(S59)/(S7+S10)</f>
        <v>3.7226277372262771E-2</v>
      </c>
      <c r="T112" s="128">
        <f t="shared" si="472"/>
        <v>4.7163362952836636E-2</v>
      </c>
      <c r="U112" s="128">
        <f t="shared" ref="U112" si="473">(U59)/(U7+U10)</f>
        <v>5.3670886075949366E-2</v>
      </c>
      <c r="V112" s="101">
        <f t="shared" si="323"/>
        <v>7.2776128269656182E-2</v>
      </c>
      <c r="W112" s="10"/>
      <c r="X112" s="128">
        <f t="shared" ref="X112:AG112" si="474">(X59)/(X7+X10)</f>
        <v>5.3670886075949359E-2</v>
      </c>
      <c r="Y112" s="128">
        <f t="shared" si="474"/>
        <v>5.3670886075949359E-2</v>
      </c>
      <c r="Z112" s="128">
        <f t="shared" si="474"/>
        <v>5.3670886075949373E-2</v>
      </c>
      <c r="AA112" s="128">
        <f t="shared" si="474"/>
        <v>5.3670886075949373E-2</v>
      </c>
      <c r="AB112" s="128">
        <f t="shared" si="474"/>
        <v>5.3670886075949373E-2</v>
      </c>
      <c r="AC112" s="128">
        <f t="shared" si="474"/>
        <v>5.367088607594938E-2</v>
      </c>
      <c r="AD112" s="128">
        <f t="shared" si="474"/>
        <v>5.367088607594938E-2</v>
      </c>
      <c r="AE112" s="128">
        <f t="shared" si="474"/>
        <v>5.3670886075949387E-2</v>
      </c>
      <c r="AF112" s="128">
        <f t="shared" si="474"/>
        <v>5.3670886075949387E-2</v>
      </c>
      <c r="AG112" s="128">
        <f t="shared" si="474"/>
        <v>5.3670886075949387E-2</v>
      </c>
      <c r="AH112" s="115" t="e">
        <f t="shared" si="456"/>
        <v>#DIV/0!</v>
      </c>
      <c r="AI112" s="123"/>
      <c r="AJ112" s="123"/>
    </row>
    <row r="113" spans="1:36">
      <c r="B113" s="10" t="s">
        <v>318</v>
      </c>
      <c r="C113" s="128"/>
      <c r="D113" s="128"/>
      <c r="E113" s="128"/>
      <c r="F113" s="128"/>
      <c r="G113" s="128">
        <f t="shared" ref="G113" si="475">G20/G25</f>
        <v>0</v>
      </c>
      <c r="H113" s="128" t="e">
        <f t="shared" ref="H113:I113" si="476">H20/H25</f>
        <v>#DIV/0!</v>
      </c>
      <c r="I113" s="128" t="e">
        <f t="shared" si="476"/>
        <v>#DIV/0!</v>
      </c>
      <c r="J113" s="128" t="e">
        <f>J20/J25</f>
        <v>#DIV/0!</v>
      </c>
      <c r="K113" s="128" t="e">
        <f t="shared" ref="K113:S113" si="477">K20/K25</f>
        <v>#DIV/0!</v>
      </c>
      <c r="L113" s="128" t="e">
        <f t="shared" si="477"/>
        <v>#DIV/0!</v>
      </c>
      <c r="M113" s="128" t="e">
        <f t="shared" si="477"/>
        <v>#DIV/0!</v>
      </c>
      <c r="N113" s="128">
        <f t="shared" si="477"/>
        <v>0</v>
      </c>
      <c r="O113" s="128">
        <f t="shared" si="477"/>
        <v>0</v>
      </c>
      <c r="P113" s="128">
        <f t="shared" si="477"/>
        <v>0</v>
      </c>
      <c r="Q113" s="128">
        <f t="shared" si="477"/>
        <v>0</v>
      </c>
      <c r="R113" s="128">
        <f t="shared" si="477"/>
        <v>0</v>
      </c>
      <c r="S113" s="128">
        <f t="shared" si="477"/>
        <v>0</v>
      </c>
      <c r="T113" s="128">
        <f t="shared" ref="T113:U113" si="478">T20/T25</f>
        <v>0</v>
      </c>
      <c r="U113" s="128">
        <f t="shared" si="478"/>
        <v>0</v>
      </c>
      <c r="V113" s="101" t="e">
        <f t="shared" si="323"/>
        <v>#DIV/0!</v>
      </c>
      <c r="W113" s="10"/>
      <c r="X113" s="128">
        <f t="shared" ref="X113:AG113" si="479">X20/X25</f>
        <v>0</v>
      </c>
      <c r="Y113" s="128">
        <f t="shared" si="479"/>
        <v>0</v>
      </c>
      <c r="Z113" s="128">
        <f t="shared" si="479"/>
        <v>0</v>
      </c>
      <c r="AA113" s="128">
        <f t="shared" si="479"/>
        <v>0</v>
      </c>
      <c r="AB113" s="128">
        <f t="shared" si="479"/>
        <v>0</v>
      </c>
      <c r="AC113" s="128">
        <f t="shared" si="479"/>
        <v>0</v>
      </c>
      <c r="AD113" s="128">
        <f t="shared" si="479"/>
        <v>0</v>
      </c>
      <c r="AE113" s="128">
        <f t="shared" si="479"/>
        <v>0</v>
      </c>
      <c r="AF113" s="128">
        <f t="shared" si="479"/>
        <v>0</v>
      </c>
      <c r="AG113" s="128">
        <f t="shared" si="479"/>
        <v>0</v>
      </c>
      <c r="AH113" s="115" t="e">
        <f t="shared" si="456"/>
        <v>#DIV/0!</v>
      </c>
      <c r="AI113" s="123"/>
      <c r="AJ113" s="123"/>
    </row>
    <row r="114" spans="1:36">
      <c r="B114" s="10" t="s">
        <v>370</v>
      </c>
      <c r="C114" s="128"/>
      <c r="D114" s="128"/>
      <c r="E114" s="128"/>
      <c r="F114" s="128"/>
      <c r="G114" s="128">
        <f t="shared" ref="G114" si="480">G72/G25</f>
        <v>8.8888888888888892E-2</v>
      </c>
      <c r="H114" s="128" t="e">
        <f t="shared" ref="H114:I114" si="481">H72/H25</f>
        <v>#DIV/0!</v>
      </c>
      <c r="I114" s="128" t="e">
        <f t="shared" si="481"/>
        <v>#DIV/0!</v>
      </c>
      <c r="J114" s="128" t="e">
        <f>J72/J25</f>
        <v>#DIV/0!</v>
      </c>
      <c r="K114" s="128" t="e">
        <f t="shared" ref="K114:S114" si="482">K72/K25</f>
        <v>#DIV/0!</v>
      </c>
      <c r="L114" s="128" t="e">
        <f t="shared" si="482"/>
        <v>#DIV/0!</v>
      </c>
      <c r="M114" s="128" t="e">
        <f t="shared" si="482"/>
        <v>#DIV/0!</v>
      </c>
      <c r="N114" s="128">
        <f t="shared" si="482"/>
        <v>8.8888888888888892E-2</v>
      </c>
      <c r="O114" s="128">
        <f t="shared" si="482"/>
        <v>8.2568807339449546E-2</v>
      </c>
      <c r="P114" s="128">
        <f t="shared" si="482"/>
        <v>9.0909090909090912E-2</v>
      </c>
      <c r="Q114" s="128">
        <f t="shared" si="482"/>
        <v>9.1891891891891897E-2</v>
      </c>
      <c r="R114" s="128">
        <f t="shared" si="482"/>
        <v>8.8235294117647065E-2</v>
      </c>
      <c r="S114" s="128">
        <f t="shared" si="482"/>
        <v>8.8815789473684209E-2</v>
      </c>
      <c r="T114" s="128">
        <f t="shared" ref="T114:U114" si="483">T72/T25</f>
        <v>0.10164835164835165</v>
      </c>
      <c r="U114" s="128">
        <f t="shared" si="483"/>
        <v>0.12087912087912088</v>
      </c>
      <c r="V114" s="101">
        <f t="shared" si="323"/>
        <v>4.4893370209117212E-2</v>
      </c>
      <c r="W114" s="10"/>
      <c r="X114" s="128">
        <f t="shared" ref="X114:AG114" si="484">X72/X25</f>
        <v>0.12087912087912088</v>
      </c>
      <c r="Y114" s="128">
        <f t="shared" si="484"/>
        <v>0.12087912087912088</v>
      </c>
      <c r="Z114" s="128">
        <f t="shared" si="484"/>
        <v>0.12087912087912088</v>
      </c>
      <c r="AA114" s="128">
        <f t="shared" si="484"/>
        <v>0.12087912087912087</v>
      </c>
      <c r="AB114" s="128">
        <f t="shared" si="484"/>
        <v>0.12087912087912084</v>
      </c>
      <c r="AC114" s="128">
        <f t="shared" si="484"/>
        <v>0.12087912087912085</v>
      </c>
      <c r="AD114" s="128">
        <f t="shared" si="484"/>
        <v>0.12087912087912085</v>
      </c>
      <c r="AE114" s="128">
        <f t="shared" si="484"/>
        <v>0.12087912087912084</v>
      </c>
      <c r="AF114" s="128">
        <f t="shared" si="484"/>
        <v>0.12087912087912084</v>
      </c>
      <c r="AG114" s="128">
        <f t="shared" si="484"/>
        <v>0.12087912087912084</v>
      </c>
      <c r="AH114" s="115" t="e">
        <f t="shared" si="456"/>
        <v>#DIV/0!</v>
      </c>
      <c r="AI114" s="123"/>
      <c r="AJ114" s="123"/>
    </row>
    <row r="115" spans="1:36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>
      <c r="B116" s="10" t="s">
        <v>267</v>
      </c>
      <c r="C116" s="128"/>
      <c r="D116" s="128"/>
      <c r="E116" s="128"/>
      <c r="F116" s="128"/>
      <c r="G116" s="128">
        <f t="shared" ref="G116" si="485">G29/G25</f>
        <v>0.3888888888888889</v>
      </c>
      <c r="H116" s="128" t="e">
        <f t="shared" ref="H116:I116" si="486">H29/H25</f>
        <v>#DIV/0!</v>
      </c>
      <c r="I116" s="128" t="e">
        <f t="shared" si="486"/>
        <v>#DIV/0!</v>
      </c>
      <c r="J116" s="128" t="e">
        <f>J29/J25</f>
        <v>#DIV/0!</v>
      </c>
      <c r="K116" s="128" t="e">
        <f t="shared" ref="K116:S116" si="487">K29/K25</f>
        <v>#DIV/0!</v>
      </c>
      <c r="L116" s="128" t="e">
        <f t="shared" si="487"/>
        <v>#DIV/0!</v>
      </c>
      <c r="M116" s="128" t="e">
        <f t="shared" si="487"/>
        <v>#DIV/0!</v>
      </c>
      <c r="N116" s="128">
        <f t="shared" si="487"/>
        <v>0.3888888888888889</v>
      </c>
      <c r="O116" s="128">
        <f t="shared" si="487"/>
        <v>0.39449541284403672</v>
      </c>
      <c r="P116" s="128">
        <f t="shared" si="487"/>
        <v>0.39160839160839161</v>
      </c>
      <c r="Q116" s="128">
        <f t="shared" si="487"/>
        <v>0.42162162162162165</v>
      </c>
      <c r="R116" s="128">
        <f t="shared" si="487"/>
        <v>0.46638655462184875</v>
      </c>
      <c r="S116" s="128">
        <f t="shared" si="487"/>
        <v>0.46710526315789475</v>
      </c>
      <c r="T116" s="128">
        <f t="shared" ref="T116:U116" si="488">T29/T25</f>
        <v>0.45054945054945056</v>
      </c>
      <c r="U116" s="128">
        <f t="shared" si="488"/>
        <v>0.36703296703296701</v>
      </c>
      <c r="V116" s="101">
        <f t="shared" si="323"/>
        <v>-8.2290966053784054E-3</v>
      </c>
      <c r="W116" s="10"/>
      <c r="X116" s="128">
        <f t="shared" ref="X116:AG116" si="489">X29/X25</f>
        <v>0.36703296703296706</v>
      </c>
      <c r="Y116" s="128">
        <f t="shared" si="489"/>
        <v>0.36703296703296706</v>
      </c>
      <c r="Z116" s="128">
        <f t="shared" si="489"/>
        <v>0.36703296703296706</v>
      </c>
      <c r="AA116" s="128">
        <f t="shared" si="489"/>
        <v>0.36703296703296706</v>
      </c>
      <c r="AB116" s="128">
        <f t="shared" si="489"/>
        <v>0.36703296703296706</v>
      </c>
      <c r="AC116" s="128">
        <f t="shared" si="489"/>
        <v>0.36703296703296706</v>
      </c>
      <c r="AD116" s="128">
        <f t="shared" si="489"/>
        <v>0.36703296703296706</v>
      </c>
      <c r="AE116" s="128">
        <f t="shared" si="489"/>
        <v>0.36703296703296706</v>
      </c>
      <c r="AF116" s="128">
        <f t="shared" si="489"/>
        <v>0.36703296703296706</v>
      </c>
      <c r="AG116" s="128">
        <f t="shared" si="489"/>
        <v>0.36703296703296706</v>
      </c>
      <c r="AH116" s="115" t="e">
        <f t="shared" si="456"/>
        <v>#DIV/0!</v>
      </c>
      <c r="AI116" s="123"/>
      <c r="AJ116" s="123"/>
    </row>
    <row r="117" spans="1:36">
      <c r="B117" s="10" t="s">
        <v>311</v>
      </c>
      <c r="C117" s="128"/>
      <c r="D117" s="128"/>
      <c r="E117" s="128"/>
      <c r="F117" s="128"/>
      <c r="G117" s="128">
        <f t="shared" ref="G117" si="490">G29/G53</f>
        <v>0.61403508771929827</v>
      </c>
      <c r="H117" s="128" t="e">
        <f t="shared" ref="H117:I117" si="491">H29/H53</f>
        <v>#DIV/0!</v>
      </c>
      <c r="I117" s="128" t="e">
        <f t="shared" si="491"/>
        <v>#DIV/0!</v>
      </c>
      <c r="J117" s="128" t="e">
        <f>J29/J53</f>
        <v>#DIV/0!</v>
      </c>
      <c r="K117" s="128" t="e">
        <f t="shared" ref="K117:S117" si="492">K29/K53</f>
        <v>#DIV/0!</v>
      </c>
      <c r="L117" s="128" t="e">
        <f t="shared" si="492"/>
        <v>#DIV/0!</v>
      </c>
      <c r="M117" s="128" t="e">
        <f t="shared" si="492"/>
        <v>#DIV/0!</v>
      </c>
      <c r="N117" s="128">
        <f t="shared" si="492"/>
        <v>0.61403508771929827</v>
      </c>
      <c r="O117" s="128">
        <f t="shared" si="492"/>
        <v>0.61428571428571432</v>
      </c>
      <c r="P117" s="128">
        <f t="shared" si="492"/>
        <v>0.58333333333333337</v>
      </c>
      <c r="Q117" s="128">
        <f t="shared" si="492"/>
        <v>0.609375</v>
      </c>
      <c r="R117" s="128">
        <f t="shared" si="492"/>
        <v>0.64161849710982655</v>
      </c>
      <c r="S117" s="128">
        <f t="shared" si="492"/>
        <v>0.64253393665158376</v>
      </c>
      <c r="T117" s="128">
        <f t="shared" ref="T117:U117" si="493">T29/T53</f>
        <v>0.6074074074074074</v>
      </c>
      <c r="U117" s="128">
        <f t="shared" si="493"/>
        <v>0.50914634146341464</v>
      </c>
      <c r="V117" s="101">
        <f t="shared" si="323"/>
        <v>-2.6404649410206593E-2</v>
      </c>
      <c r="W117" s="10"/>
      <c r="X117" s="128">
        <f t="shared" ref="X117:AG117" si="494">X29/X53</f>
        <v>0.50914634146341464</v>
      </c>
      <c r="Y117" s="128">
        <f t="shared" si="494"/>
        <v>0.50914634146341464</v>
      </c>
      <c r="Z117" s="128">
        <f t="shared" si="494"/>
        <v>0.50914634146341464</v>
      </c>
      <c r="AA117" s="128">
        <f t="shared" si="494"/>
        <v>0.50914634146341475</v>
      </c>
      <c r="AB117" s="128">
        <f t="shared" si="494"/>
        <v>0.50914634146341475</v>
      </c>
      <c r="AC117" s="128">
        <f t="shared" si="494"/>
        <v>0.50914634146341475</v>
      </c>
      <c r="AD117" s="128">
        <f t="shared" si="494"/>
        <v>0.50914634146341475</v>
      </c>
      <c r="AE117" s="128">
        <f t="shared" si="494"/>
        <v>0.50914634146341475</v>
      </c>
      <c r="AF117" s="128">
        <f t="shared" si="494"/>
        <v>0.50914634146341475</v>
      </c>
      <c r="AG117" s="128">
        <f t="shared" si="494"/>
        <v>0.50914634146341475</v>
      </c>
      <c r="AH117" s="115" t="e">
        <f t="shared" ref="AH117" si="495">((AG117/J117)^(1/($AG$3-$K$1) ))-1</f>
        <v>#DIV/0!</v>
      </c>
      <c r="AI117" s="123"/>
      <c r="AJ117" s="123"/>
    </row>
    <row r="118" spans="1:36" ht="12" customHeight="1">
      <c r="B118" s="10" t="s">
        <v>310</v>
      </c>
      <c r="C118" s="128"/>
      <c r="D118" s="128"/>
      <c r="E118" s="128"/>
      <c r="F118" s="146"/>
      <c r="G118" s="146">
        <f t="shared" ref="G118" si="496">G29/G59</f>
        <v>2.3333333333333335</v>
      </c>
      <c r="H118" s="146" t="e">
        <f t="shared" ref="H118:I118" si="497">H29/H59</f>
        <v>#DIV/0!</v>
      </c>
      <c r="I118" s="146" t="e">
        <f t="shared" si="497"/>
        <v>#DIV/0!</v>
      </c>
      <c r="J118" s="146" t="e">
        <f t="shared" ref="J118:S118" si="498">J29/J59</f>
        <v>#DIV/0!</v>
      </c>
      <c r="K118" s="146" t="e">
        <f t="shared" si="498"/>
        <v>#DIV/0!</v>
      </c>
      <c r="L118" s="146" t="e">
        <f t="shared" si="498"/>
        <v>#DIV/0!</v>
      </c>
      <c r="M118" s="146" t="e">
        <f t="shared" si="498"/>
        <v>#DIV/0!</v>
      </c>
      <c r="N118" s="146">
        <f t="shared" si="498"/>
        <v>2.3333333333333335</v>
      </c>
      <c r="O118" s="146">
        <f t="shared" si="498"/>
        <v>2.3888888888888888</v>
      </c>
      <c r="P118" s="146">
        <f t="shared" si="498"/>
        <v>2.074074074074074</v>
      </c>
      <c r="Q118" s="146">
        <f t="shared" si="498"/>
        <v>2.3636363636363638</v>
      </c>
      <c r="R118" s="146">
        <f t="shared" si="498"/>
        <v>2.7749999999999999</v>
      </c>
      <c r="S118" s="146">
        <f t="shared" si="498"/>
        <v>2.784313725490196</v>
      </c>
      <c r="T118" s="146">
        <f t="shared" ref="T118:U118" si="499">T29/T59</f>
        <v>2.3768115942028984</v>
      </c>
      <c r="U118" s="146">
        <f t="shared" si="499"/>
        <v>1.5754716981132075</v>
      </c>
      <c r="V118" s="101">
        <f t="shared" si="323"/>
        <v>-5.4561240198894856E-2</v>
      </c>
      <c r="W118" s="10"/>
      <c r="X118" s="146">
        <f t="shared" ref="X118:AG118" si="500">X29/X59</f>
        <v>1.5754716981132078</v>
      </c>
      <c r="Y118" s="146">
        <f t="shared" si="500"/>
        <v>1.5754716981132075</v>
      </c>
      <c r="Z118" s="146">
        <f t="shared" si="500"/>
        <v>1.5754716981132075</v>
      </c>
      <c r="AA118" s="146">
        <f t="shared" si="500"/>
        <v>1.5754716981132075</v>
      </c>
      <c r="AB118" s="146">
        <f t="shared" si="500"/>
        <v>1.5754716981132075</v>
      </c>
      <c r="AC118" s="146">
        <f t="shared" si="500"/>
        <v>1.5754716981132073</v>
      </c>
      <c r="AD118" s="146">
        <f t="shared" si="500"/>
        <v>1.5754716981132073</v>
      </c>
      <c r="AE118" s="146">
        <f t="shared" si="500"/>
        <v>1.5754716981132073</v>
      </c>
      <c r="AF118" s="146">
        <f t="shared" si="500"/>
        <v>1.5754716981132073</v>
      </c>
      <c r="AG118" s="146">
        <f t="shared" si="500"/>
        <v>1.5754716981132073</v>
      </c>
      <c r="AH118" s="115" t="e">
        <f t="shared" ref="AH118" si="501">((AG118/J118)^(1/($AG$3-$K$1) ))-1</f>
        <v>#DIV/0!</v>
      </c>
      <c r="AI118" s="123"/>
      <c r="AJ118" s="123"/>
    </row>
    <row r="119" spans="1:36" ht="12" customHeight="1">
      <c r="B119" s="10" t="s">
        <v>269</v>
      </c>
      <c r="C119" s="128"/>
      <c r="D119" s="128"/>
      <c r="E119" s="128"/>
      <c r="F119" s="146"/>
      <c r="G119" s="146">
        <f t="shared" ref="G119" si="502">G29/G12</f>
        <v>0.34313725490196079</v>
      </c>
      <c r="H119" s="146" t="e">
        <f t="shared" ref="H119:I119" si="503">H29/H12</f>
        <v>#DIV/0!</v>
      </c>
      <c r="I119" s="146" t="e">
        <f t="shared" si="503"/>
        <v>#DIV/0!</v>
      </c>
      <c r="J119" s="146" t="e">
        <f t="shared" ref="J119:S119" si="504">J29/J12</f>
        <v>#DIV/0!</v>
      </c>
      <c r="K119" s="146" t="e">
        <f t="shared" si="504"/>
        <v>#DIV/0!</v>
      </c>
      <c r="L119" s="146" t="e">
        <f t="shared" si="504"/>
        <v>#DIV/0!</v>
      </c>
      <c r="M119" s="146" t="e">
        <f t="shared" si="504"/>
        <v>#DIV/0!</v>
      </c>
      <c r="N119" s="146">
        <f t="shared" si="504"/>
        <v>0.34313725490196079</v>
      </c>
      <c r="O119" s="146">
        <f t="shared" si="504"/>
        <v>0.30496453900709219</v>
      </c>
      <c r="P119" s="146">
        <f t="shared" si="504"/>
        <v>0.32</v>
      </c>
      <c r="Q119" s="146">
        <f t="shared" si="504"/>
        <v>0.42162162162162165</v>
      </c>
      <c r="R119" s="146">
        <f t="shared" si="504"/>
        <v>0.50917431192660545</v>
      </c>
      <c r="S119" s="146">
        <f t="shared" si="504"/>
        <v>0.78021978021978022</v>
      </c>
      <c r="T119" s="146">
        <f t="shared" ref="T119:U119" si="505">T29/T12</f>
        <v>3.4893617021276597</v>
      </c>
      <c r="U119" s="146">
        <f t="shared" si="505"/>
        <v>2.9298245614035086</v>
      </c>
      <c r="V119" s="101">
        <f t="shared" si="323"/>
        <v>0.35848044689840508</v>
      </c>
      <c r="W119" s="10"/>
      <c r="X119" s="128">
        <f t="shared" ref="X119:AG119" si="506">X29/X12</f>
        <v>2.9298245614035094</v>
      </c>
      <c r="Y119" s="128">
        <f t="shared" si="506"/>
        <v>2.929824561403509</v>
      </c>
      <c r="Z119" s="128">
        <f t="shared" si="506"/>
        <v>2.929824561403509</v>
      </c>
      <c r="AA119" s="128">
        <f t="shared" si="506"/>
        <v>2.929824561403509</v>
      </c>
      <c r="AB119" s="128">
        <f t="shared" si="506"/>
        <v>2.929824561403509</v>
      </c>
      <c r="AC119" s="128">
        <f t="shared" si="506"/>
        <v>2.929824561403509</v>
      </c>
      <c r="AD119" s="128">
        <f t="shared" si="506"/>
        <v>2.929824561403509</v>
      </c>
      <c r="AE119" s="128">
        <f t="shared" si="506"/>
        <v>2.9298245614035094</v>
      </c>
      <c r="AF119" s="128">
        <f t="shared" si="506"/>
        <v>2.9298245614035094</v>
      </c>
      <c r="AG119" s="128">
        <f t="shared" si="506"/>
        <v>2.9298245614035094</v>
      </c>
      <c r="AH119" s="115" t="e">
        <f t="shared" si="456"/>
        <v>#DIV/0!</v>
      </c>
      <c r="AI119" s="123"/>
      <c r="AJ119" s="123"/>
    </row>
    <row r="120" spans="1:36" ht="12" customHeight="1">
      <c r="B120" s="10" t="s">
        <v>312</v>
      </c>
      <c r="C120" s="128"/>
      <c r="D120" s="128"/>
      <c r="E120" s="128"/>
      <c r="F120" s="146"/>
      <c r="G120" s="146" t="e">
        <f t="shared" ref="G120" si="507">G29/G23</f>
        <v>#DIV/0!</v>
      </c>
      <c r="H120" s="146" t="e">
        <f t="shared" ref="H120:I120" si="508">H29/H23</f>
        <v>#DIV/0!</v>
      </c>
      <c r="I120" s="146" t="e">
        <f t="shared" si="508"/>
        <v>#DIV/0!</v>
      </c>
      <c r="J120" s="146" t="e">
        <f>J29/J23</f>
        <v>#DIV/0!</v>
      </c>
      <c r="K120" s="146" t="e">
        <f t="shared" ref="K120:S120" si="509">K29/K23</f>
        <v>#DIV/0!</v>
      </c>
      <c r="L120" s="146" t="e">
        <f t="shared" si="509"/>
        <v>#DIV/0!</v>
      </c>
      <c r="M120" s="146" t="e">
        <f t="shared" si="509"/>
        <v>#DIV/0!</v>
      </c>
      <c r="N120" s="146" t="e">
        <f t="shared" si="509"/>
        <v>#DIV/0!</v>
      </c>
      <c r="O120" s="146" t="e">
        <f t="shared" si="509"/>
        <v>#DIV/0!</v>
      </c>
      <c r="P120" s="146" t="e">
        <f t="shared" si="509"/>
        <v>#DIV/0!</v>
      </c>
      <c r="Q120" s="146" t="e">
        <f t="shared" si="509"/>
        <v>#DIV/0!</v>
      </c>
      <c r="R120" s="146" t="e">
        <f t="shared" si="509"/>
        <v>#DIV/0!</v>
      </c>
      <c r="S120" s="146" t="e">
        <f t="shared" si="509"/>
        <v>#DIV/0!</v>
      </c>
      <c r="T120" s="146" t="e">
        <f t="shared" ref="T120:U120" si="510">T29/T23</f>
        <v>#DIV/0!</v>
      </c>
      <c r="U120" s="146" t="e">
        <f t="shared" si="510"/>
        <v>#DIV/0!</v>
      </c>
      <c r="V120" s="101" t="e">
        <f t="shared" si="323"/>
        <v>#DIV/0!</v>
      </c>
      <c r="W120" s="10"/>
      <c r="X120" s="146" t="e">
        <f t="shared" ref="X120:AG120" si="511">X29/X23</f>
        <v>#DIV/0!</v>
      </c>
      <c r="Y120" s="146" t="e">
        <f t="shared" si="511"/>
        <v>#DIV/0!</v>
      </c>
      <c r="Z120" s="146" t="e">
        <f t="shared" si="511"/>
        <v>#DIV/0!</v>
      </c>
      <c r="AA120" s="146" t="e">
        <f t="shared" si="511"/>
        <v>#DIV/0!</v>
      </c>
      <c r="AB120" s="146" t="e">
        <f t="shared" si="511"/>
        <v>#DIV/0!</v>
      </c>
      <c r="AC120" s="146" t="e">
        <f t="shared" si="511"/>
        <v>#DIV/0!</v>
      </c>
      <c r="AD120" s="146" t="e">
        <f t="shared" si="511"/>
        <v>#DIV/0!</v>
      </c>
      <c r="AE120" s="146" t="e">
        <f t="shared" si="511"/>
        <v>#DIV/0!</v>
      </c>
      <c r="AF120" s="146" t="e">
        <f t="shared" si="511"/>
        <v>#DIV/0!</v>
      </c>
      <c r="AG120" s="146" t="e">
        <f t="shared" si="511"/>
        <v>#DIV/0!</v>
      </c>
      <c r="AH120" s="115" t="e">
        <f t="shared" ref="AH120" si="512">((AG120/J120)^(1/($AG$3-$K$1) ))-1</f>
        <v>#DIV/0!</v>
      </c>
      <c r="AI120" s="123"/>
      <c r="AJ120" s="123"/>
    </row>
    <row r="121" spans="1:36" ht="12" customHeight="1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>
      <c r="B122" s="10" t="s">
        <v>344</v>
      </c>
      <c r="C122" s="128"/>
      <c r="D122" s="128"/>
      <c r="E122" s="128"/>
      <c r="F122" s="108"/>
      <c r="G122" s="108">
        <f t="shared" ref="G122" si="513">1/G116</f>
        <v>2.5714285714285712</v>
      </c>
      <c r="H122" s="108" t="e">
        <f t="shared" ref="H122:I122" si="514">1/H116</f>
        <v>#DIV/0!</v>
      </c>
      <c r="I122" s="108" t="e">
        <f t="shared" si="514"/>
        <v>#DIV/0!</v>
      </c>
      <c r="J122" s="108" t="e">
        <f>1/J116</f>
        <v>#DIV/0!</v>
      </c>
      <c r="K122" s="108" t="e">
        <f t="shared" ref="K122:S122" si="515">1/K116</f>
        <v>#DIV/0!</v>
      </c>
      <c r="L122" s="108" t="e">
        <f t="shared" si="515"/>
        <v>#DIV/0!</v>
      </c>
      <c r="M122" s="108" t="e">
        <f t="shared" si="515"/>
        <v>#DIV/0!</v>
      </c>
      <c r="N122" s="108">
        <f t="shared" si="515"/>
        <v>2.5714285714285712</v>
      </c>
      <c r="O122" s="108">
        <f t="shared" si="515"/>
        <v>2.5348837209302326</v>
      </c>
      <c r="P122" s="108">
        <f t="shared" si="515"/>
        <v>2.5535714285714284</v>
      </c>
      <c r="Q122" s="108">
        <f t="shared" si="515"/>
        <v>2.3717948717948718</v>
      </c>
      <c r="R122" s="108">
        <f t="shared" si="515"/>
        <v>2.144144144144144</v>
      </c>
      <c r="S122" s="108">
        <f t="shared" si="515"/>
        <v>2.140845070422535</v>
      </c>
      <c r="T122" s="108">
        <f t="shared" ref="T122:U122" si="516">1/T116</f>
        <v>2.219512195121951</v>
      </c>
      <c r="U122" s="108">
        <f t="shared" si="516"/>
        <v>2.7245508982035931</v>
      </c>
      <c r="V122" s="101">
        <f t="shared" si="323"/>
        <v>8.2973765183187442E-3</v>
      </c>
      <c r="W122" s="10"/>
      <c r="X122" s="108">
        <f t="shared" ref="X122:AG122" si="517">1/X116</f>
        <v>2.7245508982035926</v>
      </c>
      <c r="Y122" s="108">
        <f t="shared" si="517"/>
        <v>2.7245508982035926</v>
      </c>
      <c r="Z122" s="108">
        <f t="shared" si="517"/>
        <v>2.7245508982035926</v>
      </c>
      <c r="AA122" s="108">
        <f t="shared" si="517"/>
        <v>2.7245508982035926</v>
      </c>
      <c r="AB122" s="108">
        <f t="shared" si="517"/>
        <v>2.7245508982035926</v>
      </c>
      <c r="AC122" s="108">
        <f t="shared" si="517"/>
        <v>2.7245508982035926</v>
      </c>
      <c r="AD122" s="108">
        <f t="shared" si="517"/>
        <v>2.7245508982035926</v>
      </c>
      <c r="AE122" s="108">
        <f t="shared" si="517"/>
        <v>2.7245508982035926</v>
      </c>
      <c r="AF122" s="108">
        <f t="shared" si="517"/>
        <v>2.7245508982035926</v>
      </c>
      <c r="AG122" s="108">
        <f t="shared" si="517"/>
        <v>2.7245508982035926</v>
      </c>
      <c r="AH122" s="115" t="e">
        <f t="shared" si="456"/>
        <v>#DIV/0!</v>
      </c>
      <c r="AI122" s="123"/>
      <c r="AJ122" s="123"/>
    </row>
    <row r="123" spans="1:36" ht="12" customHeight="1">
      <c r="B123" s="10" t="s">
        <v>345</v>
      </c>
      <c r="C123" s="128"/>
      <c r="D123" s="128"/>
      <c r="E123" s="128"/>
      <c r="F123" s="108"/>
      <c r="G123" s="108">
        <f t="shared" ref="G123" si="518">1/G117</f>
        <v>1.6285714285714286</v>
      </c>
      <c r="H123" s="108" t="e">
        <f t="shared" ref="H123:I123" si="519">1/H117</f>
        <v>#DIV/0!</v>
      </c>
      <c r="I123" s="108" t="e">
        <f t="shared" si="519"/>
        <v>#DIV/0!</v>
      </c>
      <c r="J123" s="108" t="e">
        <f t="shared" ref="J123:S126" si="520">1/J117</f>
        <v>#DIV/0!</v>
      </c>
      <c r="K123" s="108" t="e">
        <f t="shared" si="520"/>
        <v>#DIV/0!</v>
      </c>
      <c r="L123" s="108" t="e">
        <f t="shared" si="520"/>
        <v>#DIV/0!</v>
      </c>
      <c r="M123" s="108" t="e">
        <f t="shared" si="520"/>
        <v>#DIV/0!</v>
      </c>
      <c r="N123" s="108">
        <f t="shared" si="520"/>
        <v>1.6285714285714286</v>
      </c>
      <c r="O123" s="108">
        <f t="shared" si="520"/>
        <v>1.6279069767441861</v>
      </c>
      <c r="P123" s="108">
        <f t="shared" si="520"/>
        <v>1.7142857142857142</v>
      </c>
      <c r="Q123" s="108">
        <f t="shared" si="520"/>
        <v>1.641025641025641</v>
      </c>
      <c r="R123" s="108">
        <f t="shared" si="520"/>
        <v>1.5585585585585586</v>
      </c>
      <c r="S123" s="108">
        <f t="shared" si="520"/>
        <v>1.556338028169014</v>
      </c>
      <c r="T123" s="108">
        <f t="shared" ref="T123:U123" si="521">1/T117</f>
        <v>1.6463414634146343</v>
      </c>
      <c r="U123" s="108">
        <f t="shared" si="521"/>
        <v>1.9640718562874251</v>
      </c>
      <c r="V123" s="101">
        <f t="shared" si="323"/>
        <v>2.7120763666559133E-2</v>
      </c>
      <c r="W123" s="10"/>
      <c r="X123" s="108">
        <f t="shared" ref="X123:AG123" si="522">1/X117</f>
        <v>1.9640718562874251</v>
      </c>
      <c r="Y123" s="108">
        <f t="shared" si="522"/>
        <v>1.9640718562874251</v>
      </c>
      <c r="Z123" s="108">
        <f t="shared" si="522"/>
        <v>1.9640718562874251</v>
      </c>
      <c r="AA123" s="108">
        <f t="shared" si="522"/>
        <v>1.9640718562874246</v>
      </c>
      <c r="AB123" s="108">
        <f t="shared" si="522"/>
        <v>1.9640718562874246</v>
      </c>
      <c r="AC123" s="108">
        <f t="shared" si="522"/>
        <v>1.9640718562874246</v>
      </c>
      <c r="AD123" s="108">
        <f t="shared" si="522"/>
        <v>1.9640718562874246</v>
      </c>
      <c r="AE123" s="108">
        <f t="shared" si="522"/>
        <v>1.9640718562874246</v>
      </c>
      <c r="AF123" s="108">
        <f t="shared" si="522"/>
        <v>1.9640718562874246</v>
      </c>
      <c r="AG123" s="108">
        <f t="shared" si="522"/>
        <v>1.9640718562874246</v>
      </c>
      <c r="AH123" s="115" t="e">
        <f t="shared" si="456"/>
        <v>#DIV/0!</v>
      </c>
      <c r="AI123" s="123"/>
      <c r="AJ123" s="123"/>
    </row>
    <row r="124" spans="1:36" ht="12" customHeight="1">
      <c r="B124" s="10" t="s">
        <v>346</v>
      </c>
      <c r="C124" s="128"/>
      <c r="D124" s="128"/>
      <c r="E124" s="128"/>
      <c r="F124" s="108"/>
      <c r="G124" s="108">
        <f t="shared" ref="G124" si="523">1/G118</f>
        <v>0.42857142857142855</v>
      </c>
      <c r="H124" s="108" t="e">
        <f t="shared" ref="H124:I124" si="524">1/H118</f>
        <v>#DIV/0!</v>
      </c>
      <c r="I124" s="108" t="e">
        <f t="shared" si="524"/>
        <v>#DIV/0!</v>
      </c>
      <c r="J124" s="108" t="e">
        <f t="shared" si="520"/>
        <v>#DIV/0!</v>
      </c>
      <c r="K124" s="108" t="e">
        <f t="shared" si="520"/>
        <v>#DIV/0!</v>
      </c>
      <c r="L124" s="108" t="e">
        <f t="shared" si="520"/>
        <v>#DIV/0!</v>
      </c>
      <c r="M124" s="108" t="e">
        <f t="shared" si="520"/>
        <v>#DIV/0!</v>
      </c>
      <c r="N124" s="108">
        <f t="shared" si="520"/>
        <v>0.42857142857142855</v>
      </c>
      <c r="O124" s="108">
        <f t="shared" si="520"/>
        <v>0.41860465116279072</v>
      </c>
      <c r="P124" s="108">
        <f t="shared" si="520"/>
        <v>0.48214285714285715</v>
      </c>
      <c r="Q124" s="108">
        <f t="shared" si="520"/>
        <v>0.42307692307692307</v>
      </c>
      <c r="R124" s="108">
        <f t="shared" si="520"/>
        <v>0.3603603603603604</v>
      </c>
      <c r="S124" s="108">
        <f t="shared" si="520"/>
        <v>0.35915492957746481</v>
      </c>
      <c r="T124" s="108">
        <f t="shared" ref="T124:U124" si="525">1/T118</f>
        <v>0.42073170731707321</v>
      </c>
      <c r="U124" s="108">
        <f t="shared" si="525"/>
        <v>0.6347305389221557</v>
      </c>
      <c r="V124" s="101">
        <f t="shared" si="323"/>
        <v>5.7709967603161383E-2</v>
      </c>
      <c r="W124" s="10"/>
      <c r="X124" s="108">
        <f t="shared" ref="X124:AG124" si="526">1/X118</f>
        <v>0.63473053892215558</v>
      </c>
      <c r="Y124" s="108">
        <f t="shared" si="526"/>
        <v>0.6347305389221557</v>
      </c>
      <c r="Z124" s="108">
        <f t="shared" si="526"/>
        <v>0.6347305389221557</v>
      </c>
      <c r="AA124" s="108">
        <f t="shared" si="526"/>
        <v>0.6347305389221557</v>
      </c>
      <c r="AB124" s="108">
        <f t="shared" si="526"/>
        <v>0.6347305389221557</v>
      </c>
      <c r="AC124" s="108">
        <f t="shared" si="526"/>
        <v>0.63473053892215581</v>
      </c>
      <c r="AD124" s="108">
        <f t="shared" si="526"/>
        <v>0.63473053892215581</v>
      </c>
      <c r="AE124" s="108">
        <f t="shared" si="526"/>
        <v>0.63473053892215581</v>
      </c>
      <c r="AF124" s="108">
        <f t="shared" si="526"/>
        <v>0.63473053892215581</v>
      </c>
      <c r="AG124" s="108">
        <f t="shared" si="526"/>
        <v>0.63473053892215581</v>
      </c>
      <c r="AH124" s="115" t="e">
        <f t="shared" si="456"/>
        <v>#DIV/0!</v>
      </c>
      <c r="AI124" s="123"/>
      <c r="AJ124" s="123"/>
    </row>
    <row r="125" spans="1:36" ht="12" customHeight="1">
      <c r="B125" s="10" t="s">
        <v>347</v>
      </c>
      <c r="C125" s="128"/>
      <c r="D125" s="128"/>
      <c r="E125" s="128"/>
      <c r="F125" s="108"/>
      <c r="G125" s="108">
        <f t="shared" ref="G125" si="527">1/G119</f>
        <v>2.9142857142857141</v>
      </c>
      <c r="H125" s="108" t="e">
        <f t="shared" ref="H125:I125" si="528">1/H119</f>
        <v>#DIV/0!</v>
      </c>
      <c r="I125" s="108" t="e">
        <f t="shared" si="528"/>
        <v>#DIV/0!</v>
      </c>
      <c r="J125" s="108" t="e">
        <f t="shared" si="520"/>
        <v>#DIV/0!</v>
      </c>
      <c r="K125" s="108" t="e">
        <f t="shared" si="520"/>
        <v>#DIV/0!</v>
      </c>
      <c r="L125" s="108" t="e">
        <f t="shared" si="520"/>
        <v>#DIV/0!</v>
      </c>
      <c r="M125" s="108" t="e">
        <f t="shared" si="520"/>
        <v>#DIV/0!</v>
      </c>
      <c r="N125" s="108">
        <f t="shared" si="520"/>
        <v>2.9142857142857141</v>
      </c>
      <c r="O125" s="108">
        <f t="shared" si="520"/>
        <v>3.2790697674418605</v>
      </c>
      <c r="P125" s="108">
        <f t="shared" si="520"/>
        <v>3.125</v>
      </c>
      <c r="Q125" s="108">
        <f t="shared" si="520"/>
        <v>2.3717948717948718</v>
      </c>
      <c r="R125" s="108">
        <f t="shared" si="520"/>
        <v>1.9639639639639641</v>
      </c>
      <c r="S125" s="108">
        <f t="shared" si="520"/>
        <v>1.2816901408450705</v>
      </c>
      <c r="T125" s="108">
        <f t="shared" ref="T125:U125" si="529">1/T119</f>
        <v>0.28658536585365851</v>
      </c>
      <c r="U125" s="108">
        <f t="shared" si="529"/>
        <v>0.3413173652694611</v>
      </c>
      <c r="V125" s="101">
        <f t="shared" si="323"/>
        <v>-0.26388340569558022</v>
      </c>
      <c r="W125" s="10"/>
      <c r="X125" s="108">
        <f t="shared" ref="X125:AG125" si="530">1/X119</f>
        <v>0.34131736526946099</v>
      </c>
      <c r="Y125" s="108">
        <f t="shared" si="530"/>
        <v>0.34131736526946105</v>
      </c>
      <c r="Z125" s="108">
        <f t="shared" si="530"/>
        <v>0.34131736526946105</v>
      </c>
      <c r="AA125" s="108">
        <f t="shared" si="530"/>
        <v>0.34131736526946105</v>
      </c>
      <c r="AB125" s="108">
        <f t="shared" si="530"/>
        <v>0.34131736526946105</v>
      </c>
      <c r="AC125" s="108">
        <f t="shared" si="530"/>
        <v>0.34131736526946105</v>
      </c>
      <c r="AD125" s="108">
        <f t="shared" si="530"/>
        <v>0.34131736526946105</v>
      </c>
      <c r="AE125" s="108">
        <f t="shared" si="530"/>
        <v>0.34131736526946099</v>
      </c>
      <c r="AF125" s="108">
        <f t="shared" si="530"/>
        <v>0.34131736526946099</v>
      </c>
      <c r="AG125" s="108">
        <f t="shared" si="530"/>
        <v>0.34131736526946099</v>
      </c>
      <c r="AH125" s="115" t="e">
        <f t="shared" si="456"/>
        <v>#DIV/0!</v>
      </c>
      <c r="AI125" s="123"/>
      <c r="AJ125" s="123"/>
    </row>
    <row r="126" spans="1:36" ht="12" customHeight="1">
      <c r="B126" s="10" t="s">
        <v>348</v>
      </c>
      <c r="C126" s="128"/>
      <c r="D126" s="128"/>
      <c r="E126" s="128"/>
      <c r="F126" s="108"/>
      <c r="G126" s="108" t="e">
        <f t="shared" ref="G126" si="531">1/G120</f>
        <v>#DIV/0!</v>
      </c>
      <c r="H126" s="108" t="e">
        <f t="shared" ref="H126:I126" si="532">1/H120</f>
        <v>#DIV/0!</v>
      </c>
      <c r="I126" s="108" t="e">
        <f t="shared" si="532"/>
        <v>#DIV/0!</v>
      </c>
      <c r="J126" s="108" t="e">
        <f t="shared" si="520"/>
        <v>#DIV/0!</v>
      </c>
      <c r="K126" s="108" t="e">
        <f t="shared" si="520"/>
        <v>#DIV/0!</v>
      </c>
      <c r="L126" s="108" t="e">
        <f t="shared" si="520"/>
        <v>#DIV/0!</v>
      </c>
      <c r="M126" s="108" t="e">
        <f t="shared" si="520"/>
        <v>#DIV/0!</v>
      </c>
      <c r="N126" s="108" t="e">
        <f t="shared" si="520"/>
        <v>#DIV/0!</v>
      </c>
      <c r="O126" s="108" t="e">
        <f t="shared" si="520"/>
        <v>#DIV/0!</v>
      </c>
      <c r="P126" s="108" t="e">
        <f t="shared" si="520"/>
        <v>#DIV/0!</v>
      </c>
      <c r="Q126" s="108" t="e">
        <f t="shared" si="520"/>
        <v>#DIV/0!</v>
      </c>
      <c r="R126" s="108" t="e">
        <f t="shared" si="520"/>
        <v>#DIV/0!</v>
      </c>
      <c r="S126" s="108" t="e">
        <f t="shared" si="520"/>
        <v>#DIV/0!</v>
      </c>
      <c r="T126" s="108" t="e">
        <f t="shared" ref="T126:U126" si="533">1/T120</f>
        <v>#DIV/0!</v>
      </c>
      <c r="U126" s="108" t="e">
        <f t="shared" si="533"/>
        <v>#DIV/0!</v>
      </c>
      <c r="V126" s="101" t="e">
        <f t="shared" si="323"/>
        <v>#DIV/0!</v>
      </c>
      <c r="W126" s="10"/>
      <c r="X126" s="108" t="e">
        <f t="shared" ref="X126:AG126" si="534">1/X120</f>
        <v>#DIV/0!</v>
      </c>
      <c r="Y126" s="108" t="e">
        <f t="shared" si="534"/>
        <v>#DIV/0!</v>
      </c>
      <c r="Z126" s="108" t="e">
        <f t="shared" si="534"/>
        <v>#DIV/0!</v>
      </c>
      <c r="AA126" s="108" t="e">
        <f t="shared" si="534"/>
        <v>#DIV/0!</v>
      </c>
      <c r="AB126" s="108" t="e">
        <f t="shared" si="534"/>
        <v>#DIV/0!</v>
      </c>
      <c r="AC126" s="108" t="e">
        <f t="shared" si="534"/>
        <v>#DIV/0!</v>
      </c>
      <c r="AD126" s="108" t="e">
        <f t="shared" si="534"/>
        <v>#DIV/0!</v>
      </c>
      <c r="AE126" s="108" t="e">
        <f t="shared" si="534"/>
        <v>#DIV/0!</v>
      </c>
      <c r="AF126" s="108" t="e">
        <f t="shared" si="534"/>
        <v>#DIV/0!</v>
      </c>
      <c r="AG126" s="108" t="e">
        <f t="shared" si="534"/>
        <v>#DIV/0!</v>
      </c>
      <c r="AH126" s="115" t="e">
        <f t="shared" si="456"/>
        <v>#DIV/0!</v>
      </c>
      <c r="AI126" s="123"/>
      <c r="AJ126" s="123"/>
    </row>
    <row r="127" spans="1:36" ht="12" customHeight="1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>
      <c r="A128" s="305" t="s">
        <v>418</v>
      </c>
      <c r="B128" s="177" t="s">
        <v>425</v>
      </c>
      <c r="C128" s="128"/>
      <c r="D128" s="128"/>
      <c r="E128" s="128"/>
      <c r="F128" s="146"/>
      <c r="G128" s="146" t="e">
        <f t="shared" ref="G128" si="535">G25/(G36+G38)</f>
        <v>#DIV/0!</v>
      </c>
      <c r="H128" s="146" t="e">
        <f t="shared" ref="H128:I128" si="536">H25/(H36+H38)</f>
        <v>#DIV/0!</v>
      </c>
      <c r="I128" s="146" t="e">
        <f t="shared" si="536"/>
        <v>#DIV/0!</v>
      </c>
      <c r="J128" s="146" t="e">
        <f t="shared" ref="J128:T128" si="537">J25/(J36+J38)</f>
        <v>#DIV/0!</v>
      </c>
      <c r="K128" s="146" t="e">
        <f t="shared" si="537"/>
        <v>#DIV/0!</v>
      </c>
      <c r="L128" s="146" t="e">
        <f t="shared" si="537"/>
        <v>#DIV/0!</v>
      </c>
      <c r="M128" s="146" t="e">
        <f t="shared" si="537"/>
        <v>#DIV/0!</v>
      </c>
      <c r="N128" s="146" t="e">
        <f t="shared" si="537"/>
        <v>#DIV/0!</v>
      </c>
      <c r="O128" s="146" t="e">
        <f t="shared" si="537"/>
        <v>#DIV/0!</v>
      </c>
      <c r="P128" s="146" t="e">
        <f t="shared" si="537"/>
        <v>#DIV/0!</v>
      </c>
      <c r="Q128" s="146" t="e">
        <f t="shared" si="537"/>
        <v>#DIV/0!</v>
      </c>
      <c r="R128" s="146" t="e">
        <f t="shared" si="537"/>
        <v>#DIV/0!</v>
      </c>
      <c r="S128" s="146" t="e">
        <f t="shared" si="537"/>
        <v>#DIV/0!</v>
      </c>
      <c r="T128" s="146" t="e">
        <f t="shared" si="537"/>
        <v>#DIV/0!</v>
      </c>
      <c r="U128" s="146">
        <f t="shared" ref="U128" si="538">U25/(U36+U38)</f>
        <v>455</v>
      </c>
      <c r="V128" s="101" t="e">
        <f t="shared" si="323"/>
        <v>#DIV/0!</v>
      </c>
      <c r="W128" s="10"/>
      <c r="X128" s="146">
        <f t="shared" ref="X128:AG128" si="539">X25/(X36+X38)</f>
        <v>455</v>
      </c>
      <c r="Y128" s="146">
        <f t="shared" si="539"/>
        <v>454.99999999999994</v>
      </c>
      <c r="Z128" s="146">
        <f t="shared" si="539"/>
        <v>454.99999999999994</v>
      </c>
      <c r="AA128" s="146">
        <f t="shared" si="539"/>
        <v>454.99999999999994</v>
      </c>
      <c r="AB128" s="146">
        <f t="shared" si="539"/>
        <v>454.99999999999994</v>
      </c>
      <c r="AC128" s="146">
        <f t="shared" si="539"/>
        <v>454.99999999999989</v>
      </c>
      <c r="AD128" s="146">
        <f t="shared" si="539"/>
        <v>454.99999999999994</v>
      </c>
      <c r="AE128" s="146">
        <f t="shared" si="539"/>
        <v>454.99999999999994</v>
      </c>
      <c r="AF128" s="146">
        <f t="shared" si="539"/>
        <v>454.99999999999994</v>
      </c>
      <c r="AG128" s="146">
        <f t="shared" si="539"/>
        <v>454.99999999999989</v>
      </c>
      <c r="AH128" s="115" t="e">
        <f t="shared" ref="AH128:AH136" si="540">((AG128/J128)^(1/($AG$3-$K$1) ))-1</f>
        <v>#DIV/0!</v>
      </c>
      <c r="AI128" s="123"/>
      <c r="AJ128" s="123"/>
    </row>
    <row r="129" spans="1:36" ht="12" customHeight="1">
      <c r="A129" s="305"/>
      <c r="B129" s="177" t="s">
        <v>420</v>
      </c>
      <c r="C129" s="128"/>
      <c r="D129" s="128"/>
      <c r="E129" s="128"/>
      <c r="F129" s="146"/>
      <c r="G129" s="146" t="e">
        <f t="shared" ref="G129" si="541">G25/G43</f>
        <v>#DIV/0!</v>
      </c>
      <c r="H129" s="146" t="e">
        <f t="shared" ref="H129:I129" si="542">H25/H43</f>
        <v>#DIV/0!</v>
      </c>
      <c r="I129" s="146" t="e">
        <f t="shared" si="542"/>
        <v>#DIV/0!</v>
      </c>
      <c r="J129" s="146" t="e">
        <f t="shared" ref="J129:T129" si="543">J25/J43</f>
        <v>#DIV/0!</v>
      </c>
      <c r="K129" s="146" t="e">
        <f t="shared" si="543"/>
        <v>#DIV/0!</v>
      </c>
      <c r="L129" s="146" t="e">
        <f t="shared" si="543"/>
        <v>#DIV/0!</v>
      </c>
      <c r="M129" s="146" t="e">
        <f t="shared" si="543"/>
        <v>#DIV/0!</v>
      </c>
      <c r="N129" s="146" t="e">
        <f t="shared" si="543"/>
        <v>#DIV/0!</v>
      </c>
      <c r="O129" s="146" t="e">
        <f t="shared" si="543"/>
        <v>#DIV/0!</v>
      </c>
      <c r="P129" s="146" t="e">
        <f t="shared" si="543"/>
        <v>#DIV/0!</v>
      </c>
      <c r="Q129" s="146" t="e">
        <f t="shared" si="543"/>
        <v>#DIV/0!</v>
      </c>
      <c r="R129" s="146" t="e">
        <f t="shared" si="543"/>
        <v>#DIV/0!</v>
      </c>
      <c r="S129" s="146" t="e">
        <f t="shared" si="543"/>
        <v>#DIV/0!</v>
      </c>
      <c r="T129" s="146" t="e">
        <f t="shared" si="543"/>
        <v>#DIV/0!</v>
      </c>
      <c r="U129" s="146" t="e">
        <f t="shared" ref="U129" si="544">U25/U43</f>
        <v>#DIV/0!</v>
      </c>
      <c r="V129" s="101" t="e">
        <f t="shared" si="323"/>
        <v>#DIV/0!</v>
      </c>
      <c r="W129" s="10"/>
      <c r="X129" s="146" t="e">
        <f t="shared" ref="X129:AG129" si="545">X25/X43</f>
        <v>#DIV/0!</v>
      </c>
      <c r="Y129" s="146" t="e">
        <f t="shared" si="545"/>
        <v>#DIV/0!</v>
      </c>
      <c r="Z129" s="146" t="e">
        <f t="shared" si="545"/>
        <v>#DIV/0!</v>
      </c>
      <c r="AA129" s="146" t="e">
        <f t="shared" si="545"/>
        <v>#DIV/0!</v>
      </c>
      <c r="AB129" s="146" t="e">
        <f t="shared" si="545"/>
        <v>#DIV/0!</v>
      </c>
      <c r="AC129" s="146" t="e">
        <f t="shared" si="545"/>
        <v>#DIV/0!</v>
      </c>
      <c r="AD129" s="146" t="e">
        <f t="shared" si="545"/>
        <v>#DIV/0!</v>
      </c>
      <c r="AE129" s="146" t="e">
        <f t="shared" si="545"/>
        <v>#DIV/0!</v>
      </c>
      <c r="AF129" s="146" t="e">
        <f t="shared" si="545"/>
        <v>#DIV/0!</v>
      </c>
      <c r="AG129" s="146" t="e">
        <f t="shared" si="545"/>
        <v>#DIV/0!</v>
      </c>
      <c r="AH129" s="115" t="e">
        <f t="shared" si="540"/>
        <v>#DIV/0!</v>
      </c>
      <c r="AI129" s="123"/>
      <c r="AJ129" s="123"/>
    </row>
    <row r="130" spans="1:36" ht="12" customHeight="1">
      <c r="A130" s="305"/>
      <c r="B130" s="177" t="s">
        <v>426</v>
      </c>
      <c r="C130" s="128"/>
      <c r="D130" s="128"/>
      <c r="E130" s="128"/>
      <c r="F130" s="146"/>
      <c r="G130" s="146" t="e">
        <f t="shared" ref="G130" si="546">G43/(G36)</f>
        <v>#DIV/0!</v>
      </c>
      <c r="H130" s="146" t="e">
        <f t="shared" ref="H130:I130" si="547">H43/(H36)</f>
        <v>#DIV/0!</v>
      </c>
      <c r="I130" s="146" t="e">
        <f t="shared" si="547"/>
        <v>#DIV/0!</v>
      </c>
      <c r="J130" s="146" t="e">
        <f t="shared" ref="J130:T130" si="548">J43/(J36)</f>
        <v>#DIV/0!</v>
      </c>
      <c r="K130" s="146" t="e">
        <f t="shared" si="548"/>
        <v>#DIV/0!</v>
      </c>
      <c r="L130" s="146" t="e">
        <f t="shared" si="548"/>
        <v>#DIV/0!</v>
      </c>
      <c r="M130" s="146" t="e">
        <f t="shared" si="548"/>
        <v>#DIV/0!</v>
      </c>
      <c r="N130" s="146" t="e">
        <f t="shared" si="548"/>
        <v>#DIV/0!</v>
      </c>
      <c r="O130" s="146" t="e">
        <f t="shared" si="548"/>
        <v>#DIV/0!</v>
      </c>
      <c r="P130" s="146" t="e">
        <f t="shared" si="548"/>
        <v>#DIV/0!</v>
      </c>
      <c r="Q130" s="146" t="e">
        <f t="shared" si="548"/>
        <v>#DIV/0!</v>
      </c>
      <c r="R130" s="146" t="e">
        <f t="shared" si="548"/>
        <v>#DIV/0!</v>
      </c>
      <c r="S130" s="146" t="e">
        <f t="shared" si="548"/>
        <v>#DIV/0!</v>
      </c>
      <c r="T130" s="146" t="e">
        <f t="shared" si="548"/>
        <v>#DIV/0!</v>
      </c>
      <c r="U130" s="146" t="e">
        <f t="shared" ref="U130" si="549">U43/(U36)</f>
        <v>#DIV/0!</v>
      </c>
      <c r="V130" s="101" t="e">
        <f t="shared" si="323"/>
        <v>#DIV/0!</v>
      </c>
      <c r="W130" s="10"/>
      <c r="X130" s="146">
        <f t="shared" ref="X130:AG130" si="550">X43/(X36+X38)</f>
        <v>0</v>
      </c>
      <c r="Y130" s="146">
        <f t="shared" si="550"/>
        <v>0</v>
      </c>
      <c r="Z130" s="146">
        <f t="shared" si="550"/>
        <v>0</v>
      </c>
      <c r="AA130" s="146">
        <f t="shared" si="550"/>
        <v>0</v>
      </c>
      <c r="AB130" s="146">
        <f t="shared" si="550"/>
        <v>0</v>
      </c>
      <c r="AC130" s="146">
        <f t="shared" si="550"/>
        <v>0</v>
      </c>
      <c r="AD130" s="146">
        <f t="shared" si="550"/>
        <v>0</v>
      </c>
      <c r="AE130" s="146">
        <f t="shared" si="550"/>
        <v>0</v>
      </c>
      <c r="AF130" s="146">
        <f t="shared" si="550"/>
        <v>0</v>
      </c>
      <c r="AG130" s="146">
        <f t="shared" si="550"/>
        <v>0</v>
      </c>
      <c r="AH130" s="115" t="e">
        <f t="shared" si="540"/>
        <v>#DIV/0!</v>
      </c>
      <c r="AI130" s="123"/>
      <c r="AJ130" s="123"/>
    </row>
    <row r="131" spans="1:36" ht="12" customHeight="1">
      <c r="A131" s="305"/>
      <c r="B131" s="177" t="s">
        <v>424</v>
      </c>
      <c r="C131" s="128"/>
      <c r="D131" s="128"/>
      <c r="E131" s="128"/>
      <c r="F131" s="146"/>
      <c r="G131" s="146" t="e">
        <f t="shared" ref="G131" si="551">G43/G38</f>
        <v>#DIV/0!</v>
      </c>
      <c r="H131" s="146" t="e">
        <f t="shared" ref="H131:I131" si="552">H43/H38</f>
        <v>#DIV/0!</v>
      </c>
      <c r="I131" s="146" t="e">
        <f t="shared" si="552"/>
        <v>#DIV/0!</v>
      </c>
      <c r="J131" s="146" t="e">
        <f t="shared" ref="J131:T131" si="553">J43/J38</f>
        <v>#DIV/0!</v>
      </c>
      <c r="K131" s="146" t="e">
        <f t="shared" si="553"/>
        <v>#DIV/0!</v>
      </c>
      <c r="L131" s="146" t="e">
        <f t="shared" si="553"/>
        <v>#DIV/0!</v>
      </c>
      <c r="M131" s="146" t="e">
        <f t="shared" si="553"/>
        <v>#DIV/0!</v>
      </c>
      <c r="N131" s="146" t="e">
        <f t="shared" si="553"/>
        <v>#DIV/0!</v>
      </c>
      <c r="O131" s="146" t="e">
        <f t="shared" si="553"/>
        <v>#DIV/0!</v>
      </c>
      <c r="P131" s="146" t="e">
        <f t="shared" si="553"/>
        <v>#DIV/0!</v>
      </c>
      <c r="Q131" s="146" t="e">
        <f t="shared" si="553"/>
        <v>#DIV/0!</v>
      </c>
      <c r="R131" s="146" t="e">
        <f t="shared" si="553"/>
        <v>#DIV/0!</v>
      </c>
      <c r="S131" s="146" t="e">
        <f t="shared" si="553"/>
        <v>#DIV/0!</v>
      </c>
      <c r="T131" s="146" t="e">
        <f t="shared" si="553"/>
        <v>#DIV/0!</v>
      </c>
      <c r="U131" s="146">
        <f t="shared" ref="U131" si="554">U43/U38</f>
        <v>0</v>
      </c>
      <c r="V131" s="101" t="e">
        <f t="shared" si="323"/>
        <v>#DIV/0!</v>
      </c>
      <c r="W131" s="10"/>
      <c r="X131" s="146">
        <f t="shared" ref="X131:AG131" si="555">X43/X38</f>
        <v>0</v>
      </c>
      <c r="Y131" s="146">
        <f t="shared" si="555"/>
        <v>0</v>
      </c>
      <c r="Z131" s="146">
        <f t="shared" si="555"/>
        <v>0</v>
      </c>
      <c r="AA131" s="146">
        <f t="shared" si="555"/>
        <v>0</v>
      </c>
      <c r="AB131" s="146">
        <f t="shared" si="555"/>
        <v>0</v>
      </c>
      <c r="AC131" s="146">
        <f t="shared" si="555"/>
        <v>0</v>
      </c>
      <c r="AD131" s="146">
        <f t="shared" si="555"/>
        <v>0</v>
      </c>
      <c r="AE131" s="146">
        <f t="shared" si="555"/>
        <v>0</v>
      </c>
      <c r="AF131" s="146">
        <f t="shared" si="555"/>
        <v>0</v>
      </c>
      <c r="AG131" s="146">
        <f t="shared" si="555"/>
        <v>0</v>
      </c>
      <c r="AH131" s="115" t="e">
        <f t="shared" si="540"/>
        <v>#DIV/0!</v>
      </c>
      <c r="AI131" s="123"/>
      <c r="AJ131" s="123"/>
    </row>
    <row r="132" spans="1:36" ht="12" customHeight="1">
      <c r="A132" s="305"/>
      <c r="B132" s="177" t="s">
        <v>423</v>
      </c>
      <c r="C132" s="128"/>
      <c r="D132" s="128"/>
      <c r="E132" s="128"/>
      <c r="F132" s="146"/>
      <c r="G132" s="146" t="e">
        <f t="shared" ref="G132" si="556">G43/(G36+G38)</f>
        <v>#DIV/0!</v>
      </c>
      <c r="H132" s="146" t="e">
        <f t="shared" ref="H132:I132" si="557">H43/(H36+H38)</f>
        <v>#DIV/0!</v>
      </c>
      <c r="I132" s="146" t="e">
        <f t="shared" si="557"/>
        <v>#DIV/0!</v>
      </c>
      <c r="J132" s="146" t="e">
        <f t="shared" ref="J132:T132" si="558">J43/(J36+J38)</f>
        <v>#DIV/0!</v>
      </c>
      <c r="K132" s="146" t="e">
        <f t="shared" si="558"/>
        <v>#DIV/0!</v>
      </c>
      <c r="L132" s="146" t="e">
        <f t="shared" si="558"/>
        <v>#DIV/0!</v>
      </c>
      <c r="M132" s="146" t="e">
        <f t="shared" si="558"/>
        <v>#DIV/0!</v>
      </c>
      <c r="N132" s="146" t="e">
        <f t="shared" si="558"/>
        <v>#DIV/0!</v>
      </c>
      <c r="O132" s="146" t="e">
        <f t="shared" si="558"/>
        <v>#DIV/0!</v>
      </c>
      <c r="P132" s="146" t="e">
        <f t="shared" si="558"/>
        <v>#DIV/0!</v>
      </c>
      <c r="Q132" s="146" t="e">
        <f t="shared" si="558"/>
        <v>#DIV/0!</v>
      </c>
      <c r="R132" s="146" t="e">
        <f t="shared" si="558"/>
        <v>#DIV/0!</v>
      </c>
      <c r="S132" s="146" t="e">
        <f t="shared" si="558"/>
        <v>#DIV/0!</v>
      </c>
      <c r="T132" s="146" t="e">
        <f t="shared" si="558"/>
        <v>#DIV/0!</v>
      </c>
      <c r="U132" s="146">
        <f t="shared" ref="U132" si="559">U43/(U36+U38)</f>
        <v>0</v>
      </c>
      <c r="V132" s="101" t="e">
        <f t="shared" si="323"/>
        <v>#DIV/0!</v>
      </c>
      <c r="W132" s="10"/>
      <c r="X132" s="146">
        <f t="shared" ref="X132:AG132" si="560">X43/(X36+X38)</f>
        <v>0</v>
      </c>
      <c r="Y132" s="146">
        <f t="shared" si="560"/>
        <v>0</v>
      </c>
      <c r="Z132" s="146">
        <f t="shared" si="560"/>
        <v>0</v>
      </c>
      <c r="AA132" s="146">
        <f t="shared" si="560"/>
        <v>0</v>
      </c>
      <c r="AB132" s="146">
        <f t="shared" si="560"/>
        <v>0</v>
      </c>
      <c r="AC132" s="146">
        <f t="shared" si="560"/>
        <v>0</v>
      </c>
      <c r="AD132" s="146">
        <f t="shared" si="560"/>
        <v>0</v>
      </c>
      <c r="AE132" s="146">
        <f t="shared" si="560"/>
        <v>0</v>
      </c>
      <c r="AF132" s="146">
        <f t="shared" si="560"/>
        <v>0</v>
      </c>
      <c r="AG132" s="146">
        <f t="shared" si="560"/>
        <v>0</v>
      </c>
      <c r="AH132" s="115" t="e">
        <f>((AG132/J132)^(1/($AG$3-$K$1) ))-1</f>
        <v>#DIV/0!</v>
      </c>
      <c r="AI132" s="123"/>
      <c r="AJ132" s="123"/>
    </row>
    <row r="133" spans="1:36" ht="12" customHeight="1">
      <c r="A133" s="305"/>
      <c r="B133" s="177" t="s">
        <v>429</v>
      </c>
      <c r="C133" s="128"/>
      <c r="D133" s="128"/>
      <c r="E133" s="128"/>
      <c r="F133" s="146"/>
      <c r="G133" s="146">
        <f t="shared" ref="G133" si="561">G49/G25</f>
        <v>0</v>
      </c>
      <c r="H133" s="146" t="e">
        <f t="shared" ref="H133:I133" si="562">H49/H25</f>
        <v>#DIV/0!</v>
      </c>
      <c r="I133" s="146" t="e">
        <f t="shared" si="562"/>
        <v>#DIV/0!</v>
      </c>
      <c r="J133" s="146" t="e">
        <f t="shared" ref="J133:T133" si="563">J49/J25</f>
        <v>#DIV/0!</v>
      </c>
      <c r="K133" s="146" t="e">
        <f t="shared" si="563"/>
        <v>#DIV/0!</v>
      </c>
      <c r="L133" s="146" t="e">
        <f t="shared" si="563"/>
        <v>#DIV/0!</v>
      </c>
      <c r="M133" s="146" t="e">
        <f t="shared" si="563"/>
        <v>#DIV/0!</v>
      </c>
      <c r="N133" s="146">
        <f t="shared" si="563"/>
        <v>0</v>
      </c>
      <c r="O133" s="146">
        <f t="shared" si="563"/>
        <v>0</v>
      </c>
      <c r="P133" s="146">
        <f t="shared" si="563"/>
        <v>0</v>
      </c>
      <c r="Q133" s="146">
        <f t="shared" si="563"/>
        <v>0</v>
      </c>
      <c r="R133" s="146">
        <f t="shared" si="563"/>
        <v>0</v>
      </c>
      <c r="S133" s="146">
        <f t="shared" si="563"/>
        <v>0</v>
      </c>
      <c r="T133" s="146">
        <f t="shared" si="563"/>
        <v>0</v>
      </c>
      <c r="U133" s="146">
        <f t="shared" ref="U133" si="564">U49/U25</f>
        <v>0</v>
      </c>
      <c r="V133" s="101" t="e">
        <f t="shared" si="323"/>
        <v>#DIV/0!</v>
      </c>
      <c r="W133" s="10"/>
      <c r="X133" s="146">
        <f t="shared" ref="X133:AG133" si="565">X49/X25</f>
        <v>0</v>
      </c>
      <c r="Y133" s="146">
        <f t="shared" si="565"/>
        <v>0</v>
      </c>
      <c r="Z133" s="146">
        <f t="shared" si="565"/>
        <v>0</v>
      </c>
      <c r="AA133" s="146">
        <f t="shared" si="565"/>
        <v>0</v>
      </c>
      <c r="AB133" s="146">
        <f t="shared" si="565"/>
        <v>0</v>
      </c>
      <c r="AC133" s="146">
        <f t="shared" si="565"/>
        <v>0</v>
      </c>
      <c r="AD133" s="146">
        <f t="shared" si="565"/>
        <v>0</v>
      </c>
      <c r="AE133" s="146">
        <f t="shared" si="565"/>
        <v>0</v>
      </c>
      <c r="AF133" s="146">
        <f t="shared" si="565"/>
        <v>0</v>
      </c>
      <c r="AG133" s="146">
        <f t="shared" si="565"/>
        <v>0</v>
      </c>
      <c r="AH133" s="115" t="e">
        <f>((AG133/J133)^(1/($AG$3-$K$1) ))-1</f>
        <v>#DIV/0!</v>
      </c>
      <c r="AI133" s="123"/>
      <c r="AJ133" s="123"/>
    </row>
    <row r="134" spans="1:36" ht="12" customHeight="1">
      <c r="A134" s="305"/>
      <c r="B134" s="177" t="s">
        <v>427</v>
      </c>
      <c r="C134" s="128"/>
      <c r="D134" s="128"/>
      <c r="E134" s="128"/>
      <c r="F134" s="181"/>
      <c r="G134" s="181" t="e">
        <f t="shared" ref="G134" si="566">G59/G51</f>
        <v>#DIV/0!</v>
      </c>
      <c r="H134" s="181" t="e">
        <f t="shared" ref="H134:I134" si="567">H59/H51</f>
        <v>#DIV/0!</v>
      </c>
      <c r="I134" s="181" t="e">
        <f t="shared" si="567"/>
        <v>#DIV/0!</v>
      </c>
      <c r="J134" s="181" t="e">
        <f t="shared" ref="J134:T134" si="568">J59/J51</f>
        <v>#DIV/0!</v>
      </c>
      <c r="K134" s="181" t="e">
        <f t="shared" si="568"/>
        <v>#DIV/0!</v>
      </c>
      <c r="L134" s="181" t="e">
        <f t="shared" si="568"/>
        <v>#DIV/0!</v>
      </c>
      <c r="M134" s="181" t="e">
        <f t="shared" si="568"/>
        <v>#DIV/0!</v>
      </c>
      <c r="N134" s="181" t="e">
        <f t="shared" si="568"/>
        <v>#DIV/0!</v>
      </c>
      <c r="O134" s="181" t="e">
        <f t="shared" si="568"/>
        <v>#DIV/0!</v>
      </c>
      <c r="P134" s="181" t="e">
        <f t="shared" si="568"/>
        <v>#DIV/0!</v>
      </c>
      <c r="Q134" s="181" t="e">
        <f t="shared" si="568"/>
        <v>#DIV/0!</v>
      </c>
      <c r="R134" s="181" t="e">
        <f t="shared" si="568"/>
        <v>#DIV/0!</v>
      </c>
      <c r="S134" s="181" t="e">
        <f t="shared" si="568"/>
        <v>#DIV/0!</v>
      </c>
      <c r="T134" s="181" t="e">
        <f t="shared" si="568"/>
        <v>#DIV/0!</v>
      </c>
      <c r="U134" s="181" t="e">
        <f t="shared" ref="U134" si="569">U59/U51</f>
        <v>#DIV/0!</v>
      </c>
      <c r="V134" s="101" t="e">
        <f t="shared" si="323"/>
        <v>#DIV/0!</v>
      </c>
      <c r="W134" s="10"/>
      <c r="X134" s="181" t="e">
        <f t="shared" ref="X134:AG134" si="570">X59/X51</f>
        <v>#DIV/0!</v>
      </c>
      <c r="Y134" s="181" t="e">
        <f t="shared" si="570"/>
        <v>#DIV/0!</v>
      </c>
      <c r="Z134" s="181" t="e">
        <f t="shared" si="570"/>
        <v>#DIV/0!</v>
      </c>
      <c r="AA134" s="181" t="e">
        <f t="shared" si="570"/>
        <v>#DIV/0!</v>
      </c>
      <c r="AB134" s="181" t="e">
        <f t="shared" si="570"/>
        <v>#DIV/0!</v>
      </c>
      <c r="AC134" s="181" t="e">
        <f t="shared" si="570"/>
        <v>#DIV/0!</v>
      </c>
      <c r="AD134" s="181" t="e">
        <f t="shared" si="570"/>
        <v>#DIV/0!</v>
      </c>
      <c r="AE134" s="181" t="e">
        <f t="shared" si="570"/>
        <v>#DIV/0!</v>
      </c>
      <c r="AF134" s="181" t="e">
        <f t="shared" si="570"/>
        <v>#DIV/0!</v>
      </c>
      <c r="AG134" s="181" t="e">
        <f t="shared" si="570"/>
        <v>#DIV/0!</v>
      </c>
      <c r="AH134" s="115" t="e">
        <f>((AG134/J134)^(1/($AG$3-$K$1) ))-1</f>
        <v>#DIV/0!</v>
      </c>
      <c r="AI134" s="123"/>
      <c r="AJ134" s="123"/>
    </row>
    <row r="135" spans="1:36" ht="12" customHeight="1">
      <c r="A135" s="305"/>
      <c r="B135" s="177" t="s">
        <v>421</v>
      </c>
      <c r="C135" s="128"/>
      <c r="D135" s="128"/>
      <c r="E135" s="128"/>
      <c r="F135" s="146"/>
      <c r="G135" s="146" t="e">
        <f t="shared" ref="G135" si="571">G59/G43</f>
        <v>#DIV/0!</v>
      </c>
      <c r="H135" s="146" t="e">
        <f t="shared" ref="H135:I135" si="572">H59/H43</f>
        <v>#DIV/0!</v>
      </c>
      <c r="I135" s="146" t="e">
        <f t="shared" si="572"/>
        <v>#DIV/0!</v>
      </c>
      <c r="J135" s="146" t="e">
        <f t="shared" ref="J135:T135" si="573">J59/J43</f>
        <v>#DIV/0!</v>
      </c>
      <c r="K135" s="146" t="e">
        <f t="shared" si="573"/>
        <v>#DIV/0!</v>
      </c>
      <c r="L135" s="146" t="e">
        <f t="shared" si="573"/>
        <v>#DIV/0!</v>
      </c>
      <c r="M135" s="146" t="e">
        <f t="shared" si="573"/>
        <v>#DIV/0!</v>
      </c>
      <c r="N135" s="146" t="e">
        <f t="shared" si="573"/>
        <v>#DIV/0!</v>
      </c>
      <c r="O135" s="146" t="e">
        <f t="shared" si="573"/>
        <v>#DIV/0!</v>
      </c>
      <c r="P135" s="146" t="e">
        <f t="shared" si="573"/>
        <v>#DIV/0!</v>
      </c>
      <c r="Q135" s="146" t="e">
        <f t="shared" si="573"/>
        <v>#DIV/0!</v>
      </c>
      <c r="R135" s="146" t="e">
        <f t="shared" si="573"/>
        <v>#DIV/0!</v>
      </c>
      <c r="S135" s="146" t="e">
        <f t="shared" si="573"/>
        <v>#DIV/0!</v>
      </c>
      <c r="T135" s="146" t="e">
        <f t="shared" si="573"/>
        <v>#DIV/0!</v>
      </c>
      <c r="U135" s="146" t="e">
        <f t="shared" ref="U135" si="574">U59/U43</f>
        <v>#DIV/0!</v>
      </c>
      <c r="V135" s="101" t="e">
        <f t="shared" si="323"/>
        <v>#DIV/0!</v>
      </c>
      <c r="W135" s="10"/>
      <c r="X135" s="146" t="e">
        <f t="shared" ref="X135:AG135" si="575">X59/X43</f>
        <v>#DIV/0!</v>
      </c>
      <c r="Y135" s="146" t="e">
        <f t="shared" si="575"/>
        <v>#DIV/0!</v>
      </c>
      <c r="Z135" s="146" t="e">
        <f t="shared" si="575"/>
        <v>#DIV/0!</v>
      </c>
      <c r="AA135" s="146" t="e">
        <f t="shared" si="575"/>
        <v>#DIV/0!</v>
      </c>
      <c r="AB135" s="146" t="e">
        <f t="shared" si="575"/>
        <v>#DIV/0!</v>
      </c>
      <c r="AC135" s="146" t="e">
        <f t="shared" si="575"/>
        <v>#DIV/0!</v>
      </c>
      <c r="AD135" s="146" t="e">
        <f t="shared" si="575"/>
        <v>#DIV/0!</v>
      </c>
      <c r="AE135" s="146" t="e">
        <f t="shared" si="575"/>
        <v>#DIV/0!</v>
      </c>
      <c r="AF135" s="146" t="e">
        <f t="shared" si="575"/>
        <v>#DIV/0!</v>
      </c>
      <c r="AG135" s="146" t="e">
        <f t="shared" si="575"/>
        <v>#DIV/0!</v>
      </c>
      <c r="AH135" s="115" t="e">
        <f t="shared" si="540"/>
        <v>#DIV/0!</v>
      </c>
      <c r="AI135" s="123"/>
      <c r="AJ135" s="123"/>
    </row>
    <row r="136" spans="1:36" ht="12" customHeight="1">
      <c r="A136" s="305"/>
      <c r="B136" s="177" t="s">
        <v>422</v>
      </c>
      <c r="C136" s="128"/>
      <c r="D136" s="128"/>
      <c r="E136" s="128"/>
      <c r="F136" s="146"/>
      <c r="G136" s="146" t="e">
        <f t="shared" ref="G136" si="576">G59/(G36+G38)</f>
        <v>#DIV/0!</v>
      </c>
      <c r="H136" s="146" t="e">
        <f t="shared" ref="H136:I136" si="577">H59/(H36+H38)</f>
        <v>#DIV/0!</v>
      </c>
      <c r="I136" s="146" t="e">
        <f t="shared" si="577"/>
        <v>#DIV/0!</v>
      </c>
      <c r="J136" s="146" t="e">
        <f t="shared" ref="J136:T136" si="578">J59/(J36+J38)</f>
        <v>#DIV/0!</v>
      </c>
      <c r="K136" s="146" t="e">
        <f t="shared" si="578"/>
        <v>#DIV/0!</v>
      </c>
      <c r="L136" s="146" t="e">
        <f t="shared" si="578"/>
        <v>#DIV/0!</v>
      </c>
      <c r="M136" s="146" t="e">
        <f t="shared" si="578"/>
        <v>#DIV/0!</v>
      </c>
      <c r="N136" s="146" t="e">
        <f t="shared" si="578"/>
        <v>#DIV/0!</v>
      </c>
      <c r="O136" s="146" t="e">
        <f t="shared" si="578"/>
        <v>#DIV/0!</v>
      </c>
      <c r="P136" s="146" t="e">
        <f t="shared" si="578"/>
        <v>#DIV/0!</v>
      </c>
      <c r="Q136" s="146" t="e">
        <f t="shared" si="578"/>
        <v>#DIV/0!</v>
      </c>
      <c r="R136" s="146" t="e">
        <f t="shared" si="578"/>
        <v>#DIV/0!</v>
      </c>
      <c r="S136" s="146" t="e">
        <f t="shared" si="578"/>
        <v>#DIV/0!</v>
      </c>
      <c r="T136" s="146" t="e">
        <f t="shared" si="578"/>
        <v>#DIV/0!</v>
      </c>
      <c r="U136" s="146">
        <f t="shared" ref="U136" si="579">U59/(U36+U38)</f>
        <v>106</v>
      </c>
      <c r="V136" s="101" t="e">
        <f t="shared" si="323"/>
        <v>#DIV/0!</v>
      </c>
      <c r="W136" s="10"/>
      <c r="X136" s="146">
        <f t="shared" ref="X136:AG136" si="580">X59/(X36+X38)</f>
        <v>106</v>
      </c>
      <c r="Y136" s="146">
        <f t="shared" si="580"/>
        <v>106</v>
      </c>
      <c r="Z136" s="146">
        <f t="shared" si="580"/>
        <v>105.99999999999999</v>
      </c>
      <c r="AA136" s="146">
        <f t="shared" si="580"/>
        <v>106</v>
      </c>
      <c r="AB136" s="146">
        <f t="shared" si="580"/>
        <v>106</v>
      </c>
      <c r="AC136" s="146">
        <f t="shared" si="580"/>
        <v>106</v>
      </c>
      <c r="AD136" s="146">
        <f t="shared" si="580"/>
        <v>106</v>
      </c>
      <c r="AE136" s="146">
        <f t="shared" si="580"/>
        <v>106</v>
      </c>
      <c r="AF136" s="146">
        <f t="shared" si="580"/>
        <v>106</v>
      </c>
      <c r="AG136" s="146">
        <f t="shared" si="580"/>
        <v>106</v>
      </c>
      <c r="AH136" s="115" t="e">
        <f t="shared" si="540"/>
        <v>#DIV/0!</v>
      </c>
      <c r="AI136" s="123"/>
      <c r="AJ136" s="123"/>
    </row>
    <row r="137" spans="1:36" ht="12" customHeight="1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>
      <c r="B138" s="10" t="s">
        <v>270</v>
      </c>
      <c r="C138" s="128"/>
      <c r="D138" s="128"/>
      <c r="E138" s="128"/>
      <c r="F138" s="138"/>
      <c r="G138" s="138">
        <f t="shared" ref="G138" si="581">G10-(G12+G13)</f>
        <v>239</v>
      </c>
      <c r="H138" s="138">
        <f t="shared" ref="H138:I138" si="582">H10-(H12+H13)</f>
        <v>0</v>
      </c>
      <c r="I138" s="138">
        <f t="shared" si="582"/>
        <v>0</v>
      </c>
      <c r="J138" s="138">
        <f t="shared" ref="J138:T138" si="583">J10-(J12+J13)</f>
        <v>0</v>
      </c>
      <c r="K138" s="138">
        <f t="shared" si="583"/>
        <v>0</v>
      </c>
      <c r="L138" s="138">
        <f t="shared" si="583"/>
        <v>0</v>
      </c>
      <c r="M138" s="138">
        <f t="shared" si="583"/>
        <v>0</v>
      </c>
      <c r="N138" s="138">
        <f t="shared" si="583"/>
        <v>239</v>
      </c>
      <c r="O138" s="138">
        <f t="shared" si="583"/>
        <v>164</v>
      </c>
      <c r="P138" s="138">
        <f t="shared" si="583"/>
        <v>299.91999999999996</v>
      </c>
      <c r="Q138" s="138">
        <f t="shared" si="583"/>
        <v>517.91999999999996</v>
      </c>
      <c r="R138" s="138">
        <f t="shared" si="583"/>
        <v>741.92</v>
      </c>
      <c r="S138" s="138">
        <f t="shared" si="583"/>
        <v>1002.92</v>
      </c>
      <c r="T138" s="138">
        <f t="shared" si="583"/>
        <v>1080.92</v>
      </c>
      <c r="U138" s="138">
        <f t="shared" ref="U138" si="584">U10-(U12+U13)</f>
        <v>1194.92</v>
      </c>
      <c r="V138" s="101">
        <f t="shared" si="323"/>
        <v>0.25848691444280991</v>
      </c>
      <c r="W138" s="10"/>
      <c r="X138" s="138">
        <f t="shared" ref="X138:AG138" si="585">X10-(X12+X13)</f>
        <v>1433.9039999999998</v>
      </c>
      <c r="Y138" s="138">
        <f t="shared" si="585"/>
        <v>1720.6848</v>
      </c>
      <c r="Z138" s="138">
        <f t="shared" si="585"/>
        <v>2064.8217599999998</v>
      </c>
      <c r="AA138" s="138">
        <f t="shared" si="585"/>
        <v>2477.7861119999993</v>
      </c>
      <c r="AB138" s="138">
        <f t="shared" si="585"/>
        <v>2973.3433343999991</v>
      </c>
      <c r="AC138" s="138">
        <f t="shared" si="585"/>
        <v>3568.0120012799985</v>
      </c>
      <c r="AD138" s="138">
        <f t="shared" si="585"/>
        <v>4281.6144015359987</v>
      </c>
      <c r="AE138" s="138">
        <f t="shared" si="585"/>
        <v>5137.9372818431975</v>
      </c>
      <c r="AF138" s="138">
        <f t="shared" si="585"/>
        <v>6165.5247382118378</v>
      </c>
      <c r="AG138" s="138">
        <f t="shared" si="585"/>
        <v>7398.6296858542046</v>
      </c>
      <c r="AH138" s="115" t="e">
        <f t="shared" si="456"/>
        <v>#DIV/0!</v>
      </c>
      <c r="AI138" s="123"/>
      <c r="AJ138" s="123"/>
    </row>
    <row r="139" spans="1:36" ht="12" customHeight="1">
      <c r="B139" s="10" t="s">
        <v>265</v>
      </c>
      <c r="C139" s="10"/>
      <c r="D139" s="10"/>
      <c r="E139" s="10"/>
      <c r="F139" s="128"/>
      <c r="G139" s="128">
        <f t="shared" ref="G139" si="586">G59/G18</f>
        <v>1</v>
      </c>
      <c r="H139" s="128" t="e">
        <f t="shared" ref="H139:I139" si="587">H59/H18</f>
        <v>#DIV/0!</v>
      </c>
      <c r="I139" s="128" t="e">
        <f t="shared" si="587"/>
        <v>#DIV/0!</v>
      </c>
      <c r="J139" s="128" t="e">
        <f t="shared" ref="J139:T139" si="588">J59/J18</f>
        <v>#DIV/0!</v>
      </c>
      <c r="K139" s="128" t="e">
        <f t="shared" si="588"/>
        <v>#DIV/0!</v>
      </c>
      <c r="L139" s="128" t="e">
        <f t="shared" si="588"/>
        <v>#DIV/0!</v>
      </c>
      <c r="M139" s="128" t="e">
        <f t="shared" si="588"/>
        <v>#DIV/0!</v>
      </c>
      <c r="N139" s="128">
        <f t="shared" si="588"/>
        <v>1</v>
      </c>
      <c r="O139" s="128">
        <f t="shared" si="588"/>
        <v>3</v>
      </c>
      <c r="P139" s="128">
        <f t="shared" si="588"/>
        <v>4.5</v>
      </c>
      <c r="Q139" s="128">
        <f t="shared" si="588"/>
        <v>5.5</v>
      </c>
      <c r="R139" s="128">
        <f t="shared" si="588"/>
        <v>10</v>
      </c>
      <c r="S139" s="128">
        <f t="shared" si="588"/>
        <v>6.375</v>
      </c>
      <c r="T139" s="128">
        <f t="shared" si="588"/>
        <v>7.666666666666667</v>
      </c>
      <c r="U139" s="128">
        <f t="shared" ref="U139" si="589">U59/U18</f>
        <v>1.8275862068965518</v>
      </c>
      <c r="V139" s="101">
        <f t="shared" ref="V139:V171" si="590">((U139/G139)^(1/($K$2-$K$1) ))-1</f>
        <v>8.9961416221099322E-2</v>
      </c>
      <c r="W139" s="10"/>
      <c r="X139" s="128">
        <f t="shared" ref="X139:AG139" si="591">X59/X18</f>
        <v>1.8275862068965516</v>
      </c>
      <c r="Y139" s="128">
        <f t="shared" si="591"/>
        <v>1.8275862068965516</v>
      </c>
      <c r="Z139" s="128">
        <f t="shared" si="591"/>
        <v>1.8275862068965516</v>
      </c>
      <c r="AA139" s="128">
        <f t="shared" si="591"/>
        <v>1.8275862068965518</v>
      </c>
      <c r="AB139" s="128">
        <f t="shared" si="591"/>
        <v>1.8275862068965518</v>
      </c>
      <c r="AC139" s="128">
        <f t="shared" si="591"/>
        <v>1.8275862068965518</v>
      </c>
      <c r="AD139" s="128">
        <f t="shared" si="591"/>
        <v>1.8275862068965518</v>
      </c>
      <c r="AE139" s="128">
        <f t="shared" si="591"/>
        <v>1.827586206896552</v>
      </c>
      <c r="AF139" s="128">
        <f t="shared" si="591"/>
        <v>1.8275862068965523</v>
      </c>
      <c r="AG139" s="128">
        <f t="shared" si="591"/>
        <v>1.8275862068965523</v>
      </c>
      <c r="AH139" s="115" t="e">
        <f t="shared" si="456"/>
        <v>#DIV/0!</v>
      </c>
      <c r="AI139" s="10"/>
      <c r="AJ139" s="10"/>
    </row>
    <row r="140" spans="1:36">
      <c r="B140" s="10" t="s">
        <v>266</v>
      </c>
      <c r="C140" s="10"/>
      <c r="D140" s="10"/>
      <c r="E140" s="10"/>
      <c r="F140" s="128"/>
      <c r="G140" s="128">
        <f t="shared" ref="G140" si="592">G59/G25</f>
        <v>0.16666666666666666</v>
      </c>
      <c r="H140" s="128" t="e">
        <f t="shared" ref="H140:I140" si="593">H59/H25</f>
        <v>#DIV/0!</v>
      </c>
      <c r="I140" s="128" t="e">
        <f t="shared" si="593"/>
        <v>#DIV/0!</v>
      </c>
      <c r="J140" s="128" t="e">
        <f t="shared" ref="J140:T140" si="594">J59/J25</f>
        <v>#DIV/0!</v>
      </c>
      <c r="K140" s="128" t="e">
        <f t="shared" si="594"/>
        <v>#DIV/0!</v>
      </c>
      <c r="L140" s="128" t="e">
        <f t="shared" si="594"/>
        <v>#DIV/0!</v>
      </c>
      <c r="M140" s="128" t="e">
        <f t="shared" si="594"/>
        <v>#DIV/0!</v>
      </c>
      <c r="N140" s="128">
        <f t="shared" si="594"/>
        <v>0.16666666666666666</v>
      </c>
      <c r="O140" s="128">
        <f t="shared" si="594"/>
        <v>0.16513761467889909</v>
      </c>
      <c r="P140" s="128">
        <f t="shared" si="594"/>
        <v>0.1888111888111888</v>
      </c>
      <c r="Q140" s="128">
        <f t="shared" si="594"/>
        <v>0.17837837837837839</v>
      </c>
      <c r="R140" s="128">
        <f t="shared" si="594"/>
        <v>0.16806722689075632</v>
      </c>
      <c r="S140" s="128">
        <f t="shared" si="594"/>
        <v>0.16776315789473684</v>
      </c>
      <c r="T140" s="128">
        <f t="shared" si="594"/>
        <v>0.18956043956043955</v>
      </c>
      <c r="U140" s="128">
        <f t="shared" ref="U140" si="595">U59/U25</f>
        <v>0.23296703296703297</v>
      </c>
      <c r="V140" s="101">
        <f t="shared" si="590"/>
        <v>4.9005970099283314E-2</v>
      </c>
      <c r="W140" s="10"/>
      <c r="X140" s="128">
        <f t="shared" ref="X140:AG140" si="596">X59/X25</f>
        <v>0.23296703296703294</v>
      </c>
      <c r="Y140" s="128">
        <f t="shared" si="596"/>
        <v>0.23296703296703297</v>
      </c>
      <c r="Z140" s="128">
        <f t="shared" si="596"/>
        <v>0.23296703296703297</v>
      </c>
      <c r="AA140" s="128">
        <f t="shared" si="596"/>
        <v>0.232967032967033</v>
      </c>
      <c r="AB140" s="128">
        <f t="shared" si="596"/>
        <v>0.232967032967033</v>
      </c>
      <c r="AC140" s="128">
        <f t="shared" si="596"/>
        <v>0.23296703296703303</v>
      </c>
      <c r="AD140" s="128">
        <f t="shared" si="596"/>
        <v>0.232967032967033</v>
      </c>
      <c r="AE140" s="128">
        <f t="shared" si="596"/>
        <v>0.232967032967033</v>
      </c>
      <c r="AF140" s="128">
        <f t="shared" si="596"/>
        <v>0.232967032967033</v>
      </c>
      <c r="AG140" s="128">
        <f t="shared" si="596"/>
        <v>0.232967032967033</v>
      </c>
      <c r="AH140" s="115" t="e">
        <f t="shared" si="456"/>
        <v>#DIV/0!</v>
      </c>
      <c r="AI140" s="10"/>
      <c r="AJ140" s="10"/>
    </row>
    <row r="141" spans="1:36">
      <c r="B141" s="10" t="s">
        <v>290</v>
      </c>
      <c r="C141" s="10"/>
      <c r="D141" s="10"/>
      <c r="E141" s="128"/>
      <c r="F141" s="128"/>
      <c r="G141" s="128">
        <f t="shared" ref="G141" si="597">G25/G18</f>
        <v>6</v>
      </c>
      <c r="H141" s="128" t="e">
        <f t="shared" ref="H141:I141" si="598">H25/H18</f>
        <v>#DIV/0!</v>
      </c>
      <c r="I141" s="128" t="e">
        <f t="shared" si="598"/>
        <v>#DIV/0!</v>
      </c>
      <c r="J141" s="128" t="e">
        <f t="shared" ref="J141:T141" si="599">J25/J18</f>
        <v>#DIV/0!</v>
      </c>
      <c r="K141" s="128" t="e">
        <f t="shared" si="599"/>
        <v>#DIV/0!</v>
      </c>
      <c r="L141" s="128" t="e">
        <f t="shared" si="599"/>
        <v>#DIV/0!</v>
      </c>
      <c r="M141" s="128" t="e">
        <f t="shared" si="599"/>
        <v>#DIV/0!</v>
      </c>
      <c r="N141" s="128">
        <f t="shared" si="599"/>
        <v>6</v>
      </c>
      <c r="O141" s="128">
        <f t="shared" si="599"/>
        <v>18.166666666666668</v>
      </c>
      <c r="P141" s="128">
        <f t="shared" si="599"/>
        <v>23.833333333333332</v>
      </c>
      <c r="Q141" s="128">
        <f t="shared" si="599"/>
        <v>30.833333333333332</v>
      </c>
      <c r="R141" s="128">
        <f t="shared" si="599"/>
        <v>59.5</v>
      </c>
      <c r="S141" s="128">
        <f t="shared" si="599"/>
        <v>38</v>
      </c>
      <c r="T141" s="128">
        <f t="shared" si="599"/>
        <v>40.444444444444443</v>
      </c>
      <c r="U141" s="128">
        <f t="shared" ref="U141" si="600">U25/U18</f>
        <v>7.8448275862068968</v>
      </c>
      <c r="V141" s="101">
        <f t="shared" si="590"/>
        <v>3.9042147794392079E-2</v>
      </c>
      <c r="W141" s="10"/>
      <c r="X141" s="128">
        <f t="shared" ref="X141:AG141" si="601">X25/X18</f>
        <v>7.8448275862068968</v>
      </c>
      <c r="Y141" s="128">
        <f t="shared" si="601"/>
        <v>7.8448275862068959</v>
      </c>
      <c r="Z141" s="128">
        <f t="shared" si="601"/>
        <v>7.8448275862068959</v>
      </c>
      <c r="AA141" s="128">
        <f t="shared" si="601"/>
        <v>7.8448275862068959</v>
      </c>
      <c r="AB141" s="128">
        <f t="shared" si="601"/>
        <v>7.8448275862068959</v>
      </c>
      <c r="AC141" s="128">
        <f t="shared" si="601"/>
        <v>7.8448275862068959</v>
      </c>
      <c r="AD141" s="128">
        <f t="shared" si="601"/>
        <v>7.8448275862068959</v>
      </c>
      <c r="AE141" s="128">
        <f t="shared" si="601"/>
        <v>7.8448275862068968</v>
      </c>
      <c r="AF141" s="128">
        <f t="shared" si="601"/>
        <v>7.8448275862068977</v>
      </c>
      <c r="AG141" s="128">
        <f t="shared" si="601"/>
        <v>7.8448275862068968</v>
      </c>
      <c r="AH141" s="115" t="e">
        <f t="shared" si="456"/>
        <v>#DIV/0!</v>
      </c>
      <c r="AI141" s="10"/>
      <c r="AJ141" s="10"/>
    </row>
    <row r="142" spans="1:36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>
      <c r="B143" s="10" t="s">
        <v>278</v>
      </c>
      <c r="C143" s="10"/>
      <c r="D143" s="10"/>
      <c r="E143" s="140"/>
      <c r="F143" s="140"/>
      <c r="G143" s="140">
        <f t="shared" ref="G143" si="602">G92*G61</f>
        <v>0</v>
      </c>
      <c r="H143" s="140">
        <f t="shared" ref="H143:I143" si="603">H92*H61</f>
        <v>0</v>
      </c>
      <c r="I143" s="140">
        <f t="shared" si="603"/>
        <v>0</v>
      </c>
      <c r="J143" s="140">
        <f t="shared" ref="J143:T143" si="604">J92*J61</f>
        <v>0</v>
      </c>
      <c r="K143" s="140">
        <f t="shared" si="604"/>
        <v>0</v>
      </c>
      <c r="L143" s="140">
        <f t="shared" si="604"/>
        <v>0</v>
      </c>
      <c r="M143" s="140">
        <f t="shared" si="604"/>
        <v>0</v>
      </c>
      <c r="N143" s="140">
        <f t="shared" si="604"/>
        <v>0</v>
      </c>
      <c r="O143" s="140">
        <f t="shared" si="604"/>
        <v>0</v>
      </c>
      <c r="P143" s="140">
        <f t="shared" si="604"/>
        <v>0</v>
      </c>
      <c r="Q143" s="140">
        <f t="shared" si="604"/>
        <v>0</v>
      </c>
      <c r="R143" s="140">
        <f t="shared" si="604"/>
        <v>0</v>
      </c>
      <c r="S143" s="140">
        <f t="shared" si="604"/>
        <v>0</v>
      </c>
      <c r="T143" s="140">
        <f t="shared" si="604"/>
        <v>0</v>
      </c>
      <c r="U143" s="140">
        <f t="shared" ref="U143" si="605">U92*U61</f>
        <v>0</v>
      </c>
      <c r="V143" s="101" t="e">
        <f t="shared" si="590"/>
        <v>#DIV/0!</v>
      </c>
      <c r="W143" s="10"/>
      <c r="X143" s="140">
        <f t="shared" ref="X143:AG143" si="606">X92*X61</f>
        <v>0</v>
      </c>
      <c r="Y143" s="140">
        <f t="shared" si="606"/>
        <v>0</v>
      </c>
      <c r="Z143" s="140">
        <f t="shared" si="606"/>
        <v>0</v>
      </c>
      <c r="AA143" s="140">
        <f t="shared" si="606"/>
        <v>0</v>
      </c>
      <c r="AB143" s="140">
        <f t="shared" si="606"/>
        <v>0</v>
      </c>
      <c r="AC143" s="140">
        <f t="shared" si="606"/>
        <v>0</v>
      </c>
      <c r="AD143" s="140">
        <f t="shared" si="606"/>
        <v>0</v>
      </c>
      <c r="AE143" s="140">
        <f t="shared" si="606"/>
        <v>0</v>
      </c>
      <c r="AF143" s="140">
        <f t="shared" si="606"/>
        <v>0</v>
      </c>
      <c r="AG143" s="140">
        <f t="shared" si="606"/>
        <v>0</v>
      </c>
      <c r="AH143" s="115" t="e">
        <f t="shared" si="456"/>
        <v>#DIV/0!</v>
      </c>
      <c r="AI143" s="10"/>
      <c r="AJ143" s="10"/>
    </row>
    <row r="144" spans="1:36">
      <c r="B144" s="10" t="s">
        <v>279</v>
      </c>
      <c r="C144" s="10"/>
      <c r="D144" s="10"/>
      <c r="E144" s="140"/>
      <c r="F144" s="140"/>
      <c r="G144" s="140">
        <f t="shared" ref="G144" si="607">(G143*0.17)+G143</f>
        <v>0</v>
      </c>
      <c r="H144" s="140">
        <f t="shared" ref="H144:I144" si="608">(H143*0.17)+H143</f>
        <v>0</v>
      </c>
      <c r="I144" s="140">
        <f t="shared" si="608"/>
        <v>0</v>
      </c>
      <c r="J144" s="140">
        <f t="shared" ref="J144:S144" si="609">(J143*0.17)+J143</f>
        <v>0</v>
      </c>
      <c r="K144" s="140">
        <f t="shared" si="609"/>
        <v>0</v>
      </c>
      <c r="L144" s="140">
        <f t="shared" si="609"/>
        <v>0</v>
      </c>
      <c r="M144" s="140">
        <f t="shared" si="609"/>
        <v>0</v>
      </c>
      <c r="N144" s="140">
        <f t="shared" si="609"/>
        <v>0</v>
      </c>
      <c r="O144" s="140">
        <f t="shared" si="609"/>
        <v>0</v>
      </c>
      <c r="P144" s="140">
        <f t="shared" si="609"/>
        <v>0</v>
      </c>
      <c r="Q144" s="140">
        <f t="shared" si="609"/>
        <v>0</v>
      </c>
      <c r="R144" s="140">
        <f t="shared" si="609"/>
        <v>0</v>
      </c>
      <c r="S144" s="140">
        <f t="shared" si="609"/>
        <v>0</v>
      </c>
      <c r="T144" s="140">
        <f t="shared" ref="T144:U144" si="610">(T143*0.17)+T143</f>
        <v>0</v>
      </c>
      <c r="U144" s="140">
        <f t="shared" si="610"/>
        <v>0</v>
      </c>
      <c r="V144" s="101" t="e">
        <f t="shared" si="590"/>
        <v>#DIV/0!</v>
      </c>
      <c r="W144" s="10"/>
      <c r="X144" s="140">
        <f t="shared" ref="X144:AG144" si="611">(X143*0.17)+X143</f>
        <v>0</v>
      </c>
      <c r="Y144" s="140">
        <f t="shared" si="611"/>
        <v>0</v>
      </c>
      <c r="Z144" s="140">
        <f t="shared" si="611"/>
        <v>0</v>
      </c>
      <c r="AA144" s="140">
        <f t="shared" si="611"/>
        <v>0</v>
      </c>
      <c r="AB144" s="140">
        <f t="shared" si="611"/>
        <v>0</v>
      </c>
      <c r="AC144" s="140">
        <f t="shared" si="611"/>
        <v>0</v>
      </c>
      <c r="AD144" s="140">
        <f t="shared" si="611"/>
        <v>0</v>
      </c>
      <c r="AE144" s="140">
        <f t="shared" si="611"/>
        <v>0</v>
      </c>
      <c r="AF144" s="140">
        <f t="shared" si="611"/>
        <v>0</v>
      </c>
      <c r="AG144" s="140">
        <f t="shared" si="611"/>
        <v>0</v>
      </c>
      <c r="AH144" s="115" t="e">
        <f t="shared" si="456"/>
        <v>#DIV/0!</v>
      </c>
      <c r="AI144" s="10"/>
      <c r="AJ144" s="10"/>
    </row>
    <row r="145" spans="2:36">
      <c r="B145" s="10" t="s">
        <v>280</v>
      </c>
      <c r="C145" s="10"/>
      <c r="D145" s="10"/>
      <c r="E145" s="10"/>
      <c r="F145" s="128"/>
      <c r="G145" s="128">
        <f t="shared" ref="G145" si="612">G144/G59</f>
        <v>0</v>
      </c>
      <c r="H145" s="128" t="e">
        <f t="shared" ref="H145:I145" si="613">H144/H59</f>
        <v>#DIV/0!</v>
      </c>
      <c r="I145" s="128" t="e">
        <f t="shared" si="613"/>
        <v>#DIV/0!</v>
      </c>
      <c r="J145" s="128" t="e">
        <f t="shared" ref="J145:T145" si="614">J144/J59</f>
        <v>#DIV/0!</v>
      </c>
      <c r="K145" s="128" t="e">
        <f t="shared" si="614"/>
        <v>#DIV/0!</v>
      </c>
      <c r="L145" s="128" t="e">
        <f t="shared" si="614"/>
        <v>#DIV/0!</v>
      </c>
      <c r="M145" s="128" t="e">
        <f t="shared" si="614"/>
        <v>#DIV/0!</v>
      </c>
      <c r="N145" s="128">
        <f t="shared" si="614"/>
        <v>0</v>
      </c>
      <c r="O145" s="128">
        <f t="shared" si="614"/>
        <v>0</v>
      </c>
      <c r="P145" s="128">
        <f t="shared" si="614"/>
        <v>0</v>
      </c>
      <c r="Q145" s="128">
        <f t="shared" si="614"/>
        <v>0</v>
      </c>
      <c r="R145" s="128">
        <f t="shared" si="614"/>
        <v>0</v>
      </c>
      <c r="S145" s="128">
        <f t="shared" si="614"/>
        <v>0</v>
      </c>
      <c r="T145" s="128">
        <f t="shared" si="614"/>
        <v>0</v>
      </c>
      <c r="U145" s="128">
        <f t="shared" ref="U145" si="615">U144/U59</f>
        <v>0</v>
      </c>
      <c r="V145" s="101" t="e">
        <f t="shared" si="590"/>
        <v>#DIV/0!</v>
      </c>
      <c r="W145" s="10"/>
      <c r="X145" s="128">
        <f t="shared" ref="X145:AG145" si="616">X144/X59</f>
        <v>0</v>
      </c>
      <c r="Y145" s="128">
        <f t="shared" si="616"/>
        <v>0</v>
      </c>
      <c r="Z145" s="128">
        <f t="shared" si="616"/>
        <v>0</v>
      </c>
      <c r="AA145" s="128">
        <f t="shared" si="616"/>
        <v>0</v>
      </c>
      <c r="AB145" s="128">
        <f t="shared" si="616"/>
        <v>0</v>
      </c>
      <c r="AC145" s="128">
        <f t="shared" si="616"/>
        <v>0</v>
      </c>
      <c r="AD145" s="128">
        <f t="shared" si="616"/>
        <v>0</v>
      </c>
      <c r="AE145" s="128">
        <f t="shared" si="616"/>
        <v>0</v>
      </c>
      <c r="AF145" s="128">
        <f t="shared" si="616"/>
        <v>0</v>
      </c>
      <c r="AG145" s="128">
        <f t="shared" si="616"/>
        <v>0</v>
      </c>
      <c r="AH145" s="115" t="e">
        <f t="shared" si="456"/>
        <v>#DIV/0!</v>
      </c>
      <c r="AI145" s="10"/>
      <c r="AJ145" s="10"/>
    </row>
    <row r="146" spans="2:36">
      <c r="B146" s="10" t="s">
        <v>273</v>
      </c>
      <c r="C146" s="10"/>
      <c r="D146" s="10"/>
      <c r="E146" s="10"/>
      <c r="F146" s="128"/>
      <c r="G146" s="128">
        <f t="shared" ref="G146" si="617">1-G145</f>
        <v>1</v>
      </c>
      <c r="H146" s="128" t="e">
        <f t="shared" ref="H146:I146" si="618">1-H145</f>
        <v>#DIV/0!</v>
      </c>
      <c r="I146" s="128" t="e">
        <f t="shared" si="618"/>
        <v>#DIV/0!</v>
      </c>
      <c r="J146" s="128" t="e">
        <f>1-J145</f>
        <v>#DIV/0!</v>
      </c>
      <c r="K146" s="128" t="e">
        <f t="shared" ref="K146:S146" si="619">1-K145</f>
        <v>#DIV/0!</v>
      </c>
      <c r="L146" s="128" t="e">
        <f t="shared" si="619"/>
        <v>#DIV/0!</v>
      </c>
      <c r="M146" s="128" t="e">
        <f t="shared" si="619"/>
        <v>#DIV/0!</v>
      </c>
      <c r="N146" s="128">
        <f t="shared" si="619"/>
        <v>1</v>
      </c>
      <c r="O146" s="128">
        <f t="shared" si="619"/>
        <v>1</v>
      </c>
      <c r="P146" s="128">
        <f t="shared" si="619"/>
        <v>1</v>
      </c>
      <c r="Q146" s="128">
        <f t="shared" si="619"/>
        <v>1</v>
      </c>
      <c r="R146" s="128">
        <f t="shared" si="619"/>
        <v>1</v>
      </c>
      <c r="S146" s="128">
        <f t="shared" si="619"/>
        <v>1</v>
      </c>
      <c r="T146" s="128">
        <f t="shared" ref="T146:U146" si="620">1-T145</f>
        <v>1</v>
      </c>
      <c r="U146" s="128">
        <f t="shared" si="620"/>
        <v>1</v>
      </c>
      <c r="V146" s="101">
        <f t="shared" si="590"/>
        <v>0</v>
      </c>
      <c r="W146" s="10"/>
      <c r="X146" s="128">
        <f t="shared" ref="X146:AG146" si="621">1-X145</f>
        <v>1</v>
      </c>
      <c r="Y146" s="128">
        <f t="shared" si="621"/>
        <v>1</v>
      </c>
      <c r="Z146" s="128">
        <f t="shared" si="621"/>
        <v>1</v>
      </c>
      <c r="AA146" s="128">
        <f t="shared" si="621"/>
        <v>1</v>
      </c>
      <c r="AB146" s="128">
        <f t="shared" si="621"/>
        <v>1</v>
      </c>
      <c r="AC146" s="128">
        <f t="shared" si="621"/>
        <v>1</v>
      </c>
      <c r="AD146" s="128">
        <f t="shared" si="621"/>
        <v>1</v>
      </c>
      <c r="AE146" s="128">
        <f t="shared" si="621"/>
        <v>1</v>
      </c>
      <c r="AF146" s="128">
        <f t="shared" si="621"/>
        <v>1</v>
      </c>
      <c r="AG146" s="128">
        <f t="shared" si="621"/>
        <v>1</v>
      </c>
      <c r="AH146" s="115" t="e">
        <f t="shared" si="456"/>
        <v>#DIV/0!</v>
      </c>
      <c r="AI146" s="10"/>
      <c r="AJ146" s="10"/>
    </row>
    <row r="147" spans="2:36">
      <c r="B147" s="10" t="s">
        <v>392</v>
      </c>
      <c r="C147" s="10"/>
      <c r="D147" s="10"/>
      <c r="E147" s="10"/>
      <c r="F147" s="128"/>
      <c r="G147" s="128" t="e">
        <f t="shared" ref="G147" si="622">G144/G20</f>
        <v>#DIV/0!</v>
      </c>
      <c r="H147" s="128" t="e">
        <f t="shared" ref="H147:I147" si="623">H144/H20</f>
        <v>#DIV/0!</v>
      </c>
      <c r="I147" s="128" t="e">
        <f t="shared" si="623"/>
        <v>#DIV/0!</v>
      </c>
      <c r="J147" s="128" t="e">
        <f t="shared" ref="J147:T147" si="624">J144/J20</f>
        <v>#DIV/0!</v>
      </c>
      <c r="K147" s="128" t="e">
        <f t="shared" si="624"/>
        <v>#DIV/0!</v>
      </c>
      <c r="L147" s="128" t="e">
        <f t="shared" si="624"/>
        <v>#DIV/0!</v>
      </c>
      <c r="M147" s="128" t="e">
        <f t="shared" si="624"/>
        <v>#DIV/0!</v>
      </c>
      <c r="N147" s="128" t="e">
        <f t="shared" si="624"/>
        <v>#DIV/0!</v>
      </c>
      <c r="O147" s="128" t="e">
        <f t="shared" si="624"/>
        <v>#DIV/0!</v>
      </c>
      <c r="P147" s="128" t="e">
        <f t="shared" si="624"/>
        <v>#DIV/0!</v>
      </c>
      <c r="Q147" s="128" t="e">
        <f t="shared" si="624"/>
        <v>#DIV/0!</v>
      </c>
      <c r="R147" s="128" t="e">
        <f t="shared" si="624"/>
        <v>#DIV/0!</v>
      </c>
      <c r="S147" s="128" t="e">
        <f t="shared" si="624"/>
        <v>#DIV/0!</v>
      </c>
      <c r="T147" s="128" t="e">
        <f t="shared" si="624"/>
        <v>#DIV/0!</v>
      </c>
      <c r="U147" s="128" t="e">
        <f t="shared" ref="U147" si="625">U144/U20</f>
        <v>#DIV/0!</v>
      </c>
      <c r="V147" s="101" t="e">
        <f t="shared" si="590"/>
        <v>#DIV/0!</v>
      </c>
      <c r="W147" s="10"/>
      <c r="X147" s="128" t="e">
        <f t="shared" ref="X147:AG147" si="626">X144/X20</f>
        <v>#DIV/0!</v>
      </c>
      <c r="Y147" s="128" t="e">
        <f t="shared" si="626"/>
        <v>#DIV/0!</v>
      </c>
      <c r="Z147" s="128" t="e">
        <f t="shared" si="626"/>
        <v>#DIV/0!</v>
      </c>
      <c r="AA147" s="128" t="e">
        <f t="shared" si="626"/>
        <v>#DIV/0!</v>
      </c>
      <c r="AB147" s="128" t="e">
        <f t="shared" si="626"/>
        <v>#DIV/0!</v>
      </c>
      <c r="AC147" s="128" t="e">
        <f t="shared" si="626"/>
        <v>#DIV/0!</v>
      </c>
      <c r="AD147" s="128" t="e">
        <f t="shared" si="626"/>
        <v>#DIV/0!</v>
      </c>
      <c r="AE147" s="128" t="e">
        <f t="shared" si="626"/>
        <v>#DIV/0!</v>
      </c>
      <c r="AF147" s="128" t="e">
        <f t="shared" si="626"/>
        <v>#DIV/0!</v>
      </c>
      <c r="AG147" s="128" t="e">
        <f t="shared" si="626"/>
        <v>#DIV/0!</v>
      </c>
      <c r="AH147" s="115" t="s">
        <v>393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277</v>
      </c>
      <c r="C149" s="128"/>
      <c r="D149" s="128"/>
      <c r="E149" s="128"/>
      <c r="F149" s="128"/>
      <c r="G149" s="128">
        <f t="shared" ref="G149" si="627">G31/G25</f>
        <v>0</v>
      </c>
      <c r="H149" s="128" t="e">
        <f t="shared" ref="H149:I149" si="628">H31/H25</f>
        <v>#DIV/0!</v>
      </c>
      <c r="I149" s="128" t="e">
        <f t="shared" si="628"/>
        <v>#DIV/0!</v>
      </c>
      <c r="J149" s="128" t="e">
        <f t="shared" ref="J149:T149" si="629">J31/J25</f>
        <v>#DIV/0!</v>
      </c>
      <c r="K149" s="128" t="e">
        <f t="shared" si="629"/>
        <v>#DIV/0!</v>
      </c>
      <c r="L149" s="128" t="e">
        <f t="shared" si="629"/>
        <v>#DIV/0!</v>
      </c>
      <c r="M149" s="128" t="e">
        <f t="shared" si="629"/>
        <v>#DIV/0!</v>
      </c>
      <c r="N149" s="128">
        <f t="shared" si="629"/>
        <v>0</v>
      </c>
      <c r="O149" s="128">
        <f t="shared" si="629"/>
        <v>0</v>
      </c>
      <c r="P149" s="128">
        <f t="shared" si="629"/>
        <v>0</v>
      </c>
      <c r="Q149" s="128">
        <f t="shared" si="629"/>
        <v>0</v>
      </c>
      <c r="R149" s="128">
        <f t="shared" si="629"/>
        <v>0</v>
      </c>
      <c r="S149" s="128">
        <f t="shared" si="629"/>
        <v>0</v>
      </c>
      <c r="T149" s="128">
        <f t="shared" si="629"/>
        <v>0</v>
      </c>
      <c r="U149" s="128">
        <f t="shared" ref="U149" si="630">U31/U25</f>
        <v>0</v>
      </c>
      <c r="V149" s="101" t="e">
        <f t="shared" si="590"/>
        <v>#DIV/0!</v>
      </c>
      <c r="W149" s="10"/>
      <c r="X149" s="128">
        <f t="shared" ref="X149:AG149" si="631">X31/X25</f>
        <v>0</v>
      </c>
      <c r="Y149" s="128">
        <f t="shared" si="631"/>
        <v>0</v>
      </c>
      <c r="Z149" s="128">
        <f t="shared" si="631"/>
        <v>0</v>
      </c>
      <c r="AA149" s="128">
        <f t="shared" si="631"/>
        <v>0</v>
      </c>
      <c r="AB149" s="128">
        <f t="shared" si="631"/>
        <v>0</v>
      </c>
      <c r="AC149" s="128">
        <f t="shared" si="631"/>
        <v>0</v>
      </c>
      <c r="AD149" s="128">
        <f t="shared" si="631"/>
        <v>0</v>
      </c>
      <c r="AE149" s="128">
        <f t="shared" si="631"/>
        <v>0</v>
      </c>
      <c r="AF149" s="128">
        <f t="shared" si="631"/>
        <v>0</v>
      </c>
      <c r="AG149" s="128">
        <f t="shared" si="631"/>
        <v>0</v>
      </c>
      <c r="AH149" s="115" t="e">
        <f t="shared" si="456"/>
        <v>#DIV/0!</v>
      </c>
      <c r="AI149" s="10"/>
      <c r="AJ149" s="10"/>
    </row>
    <row r="150" spans="2:36">
      <c r="B150" s="10" t="s">
        <v>274</v>
      </c>
      <c r="C150" s="128"/>
      <c r="D150" s="128"/>
      <c r="E150" s="128"/>
      <c r="F150" s="128"/>
      <c r="G150" s="128">
        <f t="shared" ref="G150" si="632">G32/G25</f>
        <v>0</v>
      </c>
      <c r="H150" s="128" t="e">
        <f t="shared" ref="H150:I150" si="633">H32/H25</f>
        <v>#DIV/0!</v>
      </c>
      <c r="I150" s="128" t="e">
        <f t="shared" si="633"/>
        <v>#DIV/0!</v>
      </c>
      <c r="J150" s="128" t="e">
        <f t="shared" ref="J150:T150" si="634">J32/J25</f>
        <v>#DIV/0!</v>
      </c>
      <c r="K150" s="128" t="e">
        <f t="shared" si="634"/>
        <v>#DIV/0!</v>
      </c>
      <c r="L150" s="128" t="e">
        <f t="shared" si="634"/>
        <v>#DIV/0!</v>
      </c>
      <c r="M150" s="128" t="e">
        <f t="shared" si="634"/>
        <v>#DIV/0!</v>
      </c>
      <c r="N150" s="128">
        <f t="shared" si="634"/>
        <v>0</v>
      </c>
      <c r="O150" s="128">
        <f t="shared" si="634"/>
        <v>0</v>
      </c>
      <c r="P150" s="128">
        <f t="shared" si="634"/>
        <v>0</v>
      </c>
      <c r="Q150" s="128">
        <f t="shared" si="634"/>
        <v>0</v>
      </c>
      <c r="R150" s="128">
        <f t="shared" si="634"/>
        <v>0</v>
      </c>
      <c r="S150" s="128">
        <f t="shared" si="634"/>
        <v>0</v>
      </c>
      <c r="T150" s="128">
        <f t="shared" si="634"/>
        <v>0</v>
      </c>
      <c r="U150" s="128">
        <f t="shared" ref="U150" si="635">U32/U25</f>
        <v>0</v>
      </c>
      <c r="V150" s="101" t="e">
        <f t="shared" si="590"/>
        <v>#DIV/0!</v>
      </c>
      <c r="W150" s="10"/>
      <c r="X150" s="128">
        <f t="shared" ref="X150:AG150" si="636">X32/X25</f>
        <v>0</v>
      </c>
      <c r="Y150" s="128">
        <f t="shared" si="636"/>
        <v>0</v>
      </c>
      <c r="Z150" s="128">
        <f t="shared" si="636"/>
        <v>0</v>
      </c>
      <c r="AA150" s="128">
        <f t="shared" si="636"/>
        <v>0</v>
      </c>
      <c r="AB150" s="128">
        <f t="shared" si="636"/>
        <v>0</v>
      </c>
      <c r="AC150" s="128">
        <f t="shared" si="636"/>
        <v>0</v>
      </c>
      <c r="AD150" s="128">
        <f t="shared" si="636"/>
        <v>0</v>
      </c>
      <c r="AE150" s="128">
        <f t="shared" si="636"/>
        <v>0</v>
      </c>
      <c r="AF150" s="128">
        <f t="shared" si="636"/>
        <v>0</v>
      </c>
      <c r="AG150" s="128">
        <f t="shared" si="636"/>
        <v>0</v>
      </c>
      <c r="AH150" s="115" t="e">
        <f t="shared" si="456"/>
        <v>#DIV/0!</v>
      </c>
      <c r="AI150" s="10"/>
      <c r="AJ150" s="10"/>
    </row>
    <row r="151" spans="2:36">
      <c r="B151" s="10" t="s">
        <v>400</v>
      </c>
      <c r="C151" s="128"/>
      <c r="D151" s="128"/>
      <c r="E151" s="128"/>
      <c r="F151" s="128"/>
      <c r="G151" s="128">
        <f t="shared" ref="G151" si="637">(G31+G32)/G25</f>
        <v>0</v>
      </c>
      <c r="H151" s="128" t="e">
        <f t="shared" ref="H151:I151" si="638">(H31+H32)/H25</f>
        <v>#DIV/0!</v>
      </c>
      <c r="I151" s="128" t="e">
        <f t="shared" si="638"/>
        <v>#DIV/0!</v>
      </c>
      <c r="J151" s="128" t="e">
        <f t="shared" ref="J151:T151" si="639">(J31+J32)/J25</f>
        <v>#DIV/0!</v>
      </c>
      <c r="K151" s="128" t="e">
        <f t="shared" si="639"/>
        <v>#DIV/0!</v>
      </c>
      <c r="L151" s="128" t="e">
        <f t="shared" si="639"/>
        <v>#DIV/0!</v>
      </c>
      <c r="M151" s="128" t="e">
        <f t="shared" si="639"/>
        <v>#DIV/0!</v>
      </c>
      <c r="N151" s="128">
        <f t="shared" si="639"/>
        <v>0</v>
      </c>
      <c r="O151" s="128">
        <f t="shared" si="639"/>
        <v>0</v>
      </c>
      <c r="P151" s="128">
        <f t="shared" si="639"/>
        <v>0</v>
      </c>
      <c r="Q151" s="128">
        <f t="shared" si="639"/>
        <v>0</v>
      </c>
      <c r="R151" s="128">
        <f t="shared" si="639"/>
        <v>0</v>
      </c>
      <c r="S151" s="128">
        <f t="shared" si="639"/>
        <v>0</v>
      </c>
      <c r="T151" s="128">
        <f t="shared" si="639"/>
        <v>0</v>
      </c>
      <c r="U151" s="128">
        <f t="shared" ref="U151" si="640">(U31+U32)/U25</f>
        <v>0</v>
      </c>
      <c r="V151" s="101" t="e">
        <f t="shared" si="590"/>
        <v>#DIV/0!</v>
      </c>
      <c r="W151" s="10"/>
      <c r="X151" s="128">
        <f t="shared" ref="X151:AG151" si="641">(X31+X32)/X25</f>
        <v>0</v>
      </c>
      <c r="Y151" s="128">
        <f t="shared" si="641"/>
        <v>0</v>
      </c>
      <c r="Z151" s="128">
        <f t="shared" si="641"/>
        <v>0</v>
      </c>
      <c r="AA151" s="128">
        <f t="shared" si="641"/>
        <v>0</v>
      </c>
      <c r="AB151" s="128">
        <f t="shared" si="641"/>
        <v>0</v>
      </c>
      <c r="AC151" s="128">
        <f t="shared" si="641"/>
        <v>0</v>
      </c>
      <c r="AD151" s="128">
        <f t="shared" si="641"/>
        <v>0</v>
      </c>
      <c r="AE151" s="128">
        <f t="shared" si="641"/>
        <v>0</v>
      </c>
      <c r="AF151" s="128">
        <f t="shared" si="641"/>
        <v>0</v>
      </c>
      <c r="AG151" s="128">
        <f t="shared" si="641"/>
        <v>0</v>
      </c>
      <c r="AH151" s="115" t="e">
        <f t="shared" si="456"/>
        <v>#DIV/0!</v>
      </c>
      <c r="AI151" s="10"/>
      <c r="AJ151" s="10"/>
    </row>
    <row r="152" spans="2:36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>
      <c r="B153" s="10" t="s">
        <v>296</v>
      </c>
      <c r="C153" s="10"/>
      <c r="D153" s="10"/>
      <c r="E153" s="10"/>
      <c r="F153" s="128"/>
      <c r="G153" s="128">
        <f t="shared" ref="G153" si="642">G27/G25</f>
        <v>0.33333333333333331</v>
      </c>
      <c r="H153" s="128" t="e">
        <f t="shared" ref="H153:I153" si="643">H27/H25</f>
        <v>#DIV/0!</v>
      </c>
      <c r="I153" s="128" t="e">
        <f t="shared" si="643"/>
        <v>#DIV/0!</v>
      </c>
      <c r="J153" s="128" t="e">
        <f t="shared" ref="J153:T153" si="644">J27/J25</f>
        <v>#DIV/0!</v>
      </c>
      <c r="K153" s="128" t="e">
        <f t="shared" si="644"/>
        <v>#DIV/0!</v>
      </c>
      <c r="L153" s="128" t="e">
        <f t="shared" si="644"/>
        <v>#DIV/0!</v>
      </c>
      <c r="M153" s="128" t="e">
        <f t="shared" si="644"/>
        <v>#DIV/0!</v>
      </c>
      <c r="N153" s="128">
        <f t="shared" si="644"/>
        <v>0.33333333333333331</v>
      </c>
      <c r="O153" s="128">
        <f t="shared" si="644"/>
        <v>0.34862385321100919</v>
      </c>
      <c r="P153" s="128">
        <f t="shared" si="644"/>
        <v>0.32167832167832167</v>
      </c>
      <c r="Q153" s="128">
        <f t="shared" si="644"/>
        <v>0.30270270270270272</v>
      </c>
      <c r="R153" s="128">
        <f t="shared" si="644"/>
        <v>0.26470588235294118</v>
      </c>
      <c r="S153" s="128">
        <f t="shared" si="644"/>
        <v>0.26973684210526316</v>
      </c>
      <c r="T153" s="128">
        <f t="shared" si="644"/>
        <v>0.25549450549450547</v>
      </c>
      <c r="U153" s="128">
        <f t="shared" ref="U153" si="645">U27/U25</f>
        <v>0.27472527472527475</v>
      </c>
      <c r="V153" s="101">
        <f t="shared" si="590"/>
        <v>-2.7246417932998868E-2</v>
      </c>
      <c r="W153" s="10"/>
      <c r="X153" s="128">
        <f t="shared" ref="X153:AG153" si="646">X27/X25</f>
        <v>0.27472527472527475</v>
      </c>
      <c r="Y153" s="128">
        <f t="shared" si="646"/>
        <v>0.27472527472527475</v>
      </c>
      <c r="Z153" s="128">
        <f t="shared" si="646"/>
        <v>0.27472527472527475</v>
      </c>
      <c r="AA153" s="128">
        <f t="shared" si="646"/>
        <v>0.27472527472527475</v>
      </c>
      <c r="AB153" s="128">
        <f t="shared" si="646"/>
        <v>0.27472527472527475</v>
      </c>
      <c r="AC153" s="128">
        <f t="shared" si="646"/>
        <v>0.27472527472527475</v>
      </c>
      <c r="AD153" s="128">
        <f t="shared" si="646"/>
        <v>0.27472527472527475</v>
      </c>
      <c r="AE153" s="128">
        <f t="shared" si="646"/>
        <v>0.27472527472527475</v>
      </c>
      <c r="AF153" s="128">
        <f t="shared" si="646"/>
        <v>0.27472527472527475</v>
      </c>
      <c r="AG153" s="128">
        <f t="shared" si="646"/>
        <v>0.27472527472527475</v>
      </c>
      <c r="AH153" s="115" t="e">
        <f t="shared" si="456"/>
        <v>#DIV/0!</v>
      </c>
      <c r="AI153" s="10"/>
      <c r="AJ153" s="10"/>
    </row>
    <row r="154" spans="2:36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647">G33/G25</f>
        <v>0.3888888888888889</v>
      </c>
      <c r="H154" s="128" t="e">
        <f t="shared" ref="H154:I154" si="648">H33/H25</f>
        <v>#DIV/0!</v>
      </c>
      <c r="I154" s="128" t="e">
        <f t="shared" si="648"/>
        <v>#DIV/0!</v>
      </c>
      <c r="J154" s="128" t="e">
        <f t="shared" ref="J154:T154" si="649">J33/J25</f>
        <v>#DIV/0!</v>
      </c>
      <c r="K154" s="128" t="e">
        <f t="shared" si="649"/>
        <v>#DIV/0!</v>
      </c>
      <c r="L154" s="128" t="e">
        <f t="shared" si="649"/>
        <v>#DIV/0!</v>
      </c>
      <c r="M154" s="128" t="e">
        <f t="shared" si="649"/>
        <v>#DIV/0!</v>
      </c>
      <c r="N154" s="128">
        <f t="shared" si="649"/>
        <v>0.3888888888888889</v>
      </c>
      <c r="O154" s="128">
        <f t="shared" si="649"/>
        <v>0.39449541284403672</v>
      </c>
      <c r="P154" s="128">
        <f t="shared" si="649"/>
        <v>0.39160839160839161</v>
      </c>
      <c r="Q154" s="128">
        <f t="shared" si="649"/>
        <v>0.42162162162162165</v>
      </c>
      <c r="R154" s="128">
        <f t="shared" si="649"/>
        <v>0.46638655462184875</v>
      </c>
      <c r="S154" s="128">
        <f t="shared" si="649"/>
        <v>0.46710526315789475</v>
      </c>
      <c r="T154" s="128">
        <f t="shared" si="649"/>
        <v>0.45054945054945056</v>
      </c>
      <c r="U154" s="128">
        <f t="shared" ref="U154" si="650">U33/U25</f>
        <v>0.36703296703296701</v>
      </c>
      <c r="V154" s="101">
        <f t="shared" si="590"/>
        <v>-8.2290966053784054E-3</v>
      </c>
      <c r="W154" s="10"/>
      <c r="X154" s="128">
        <f t="shared" ref="X154:AG154" si="651">X33/X25</f>
        <v>0.36703296703296706</v>
      </c>
      <c r="Y154" s="128">
        <f t="shared" si="651"/>
        <v>0.36703296703296706</v>
      </c>
      <c r="Z154" s="128">
        <f t="shared" si="651"/>
        <v>0.36703296703296706</v>
      </c>
      <c r="AA154" s="128">
        <f t="shared" si="651"/>
        <v>0.36703296703296706</v>
      </c>
      <c r="AB154" s="128">
        <f t="shared" si="651"/>
        <v>0.36703296703296706</v>
      </c>
      <c r="AC154" s="128">
        <f t="shared" si="651"/>
        <v>0.36703296703296706</v>
      </c>
      <c r="AD154" s="128">
        <f t="shared" si="651"/>
        <v>0.36703296703296706</v>
      </c>
      <c r="AE154" s="128">
        <f t="shared" si="651"/>
        <v>0.36703296703296706</v>
      </c>
      <c r="AF154" s="128">
        <f t="shared" si="651"/>
        <v>0.36703296703296706</v>
      </c>
      <c r="AG154" s="128">
        <f t="shared" si="651"/>
        <v>0.36703296703296706</v>
      </c>
      <c r="AH154" s="115" t="e">
        <f t="shared" si="456"/>
        <v>#DIV/0!</v>
      </c>
      <c r="AI154" s="10"/>
      <c r="AJ154" s="10"/>
    </row>
    <row r="155" spans="2:36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652">G34/G25</f>
        <v>8.8888888888888892E-2</v>
      </c>
      <c r="H155" s="128" t="e">
        <f t="shared" ref="H155:I155" si="653">H34/H25</f>
        <v>#DIV/0!</v>
      </c>
      <c r="I155" s="128" t="e">
        <f t="shared" si="653"/>
        <v>#DIV/0!</v>
      </c>
      <c r="J155" s="128" t="e">
        <f t="shared" ref="J155:T155" si="654">J34/J25</f>
        <v>#DIV/0!</v>
      </c>
      <c r="K155" s="128" t="e">
        <f t="shared" si="654"/>
        <v>#DIV/0!</v>
      </c>
      <c r="L155" s="128" t="e">
        <f t="shared" si="654"/>
        <v>#DIV/0!</v>
      </c>
      <c r="M155" s="128" t="e">
        <f t="shared" si="654"/>
        <v>#DIV/0!</v>
      </c>
      <c r="N155" s="128">
        <f t="shared" si="654"/>
        <v>8.8888888888888892E-2</v>
      </c>
      <c r="O155" s="128">
        <f t="shared" si="654"/>
        <v>8.2568807339449546E-2</v>
      </c>
      <c r="P155" s="128">
        <f t="shared" si="654"/>
        <v>0.32167832167832167</v>
      </c>
      <c r="Q155" s="128">
        <f t="shared" si="654"/>
        <v>7.567567567567568E-2</v>
      </c>
      <c r="R155" s="128">
        <f t="shared" si="654"/>
        <v>7.1428571428571425E-2</v>
      </c>
      <c r="S155" s="128">
        <f t="shared" si="654"/>
        <v>7.8947368421052627E-2</v>
      </c>
      <c r="T155" s="128">
        <f t="shared" si="654"/>
        <v>7.9670329670329665E-2</v>
      </c>
      <c r="U155" s="128">
        <f t="shared" ref="U155" si="655">U34/U25</f>
        <v>9.0109890109890109E-2</v>
      </c>
      <c r="V155" s="101">
        <f t="shared" si="590"/>
        <v>1.950868530381733E-3</v>
      </c>
      <c r="W155" s="10"/>
      <c r="X155" s="128">
        <f t="shared" ref="X155:AG155" si="656">X34/X25</f>
        <v>9.0109890109890109E-2</v>
      </c>
      <c r="Y155" s="128">
        <f t="shared" si="656"/>
        <v>9.0109890109890109E-2</v>
      </c>
      <c r="Z155" s="128">
        <f t="shared" si="656"/>
        <v>9.0109890109890109E-2</v>
      </c>
      <c r="AA155" s="128">
        <f t="shared" si="656"/>
        <v>9.0109890109890095E-2</v>
      </c>
      <c r="AB155" s="128">
        <f t="shared" si="656"/>
        <v>9.0109890109890095E-2</v>
      </c>
      <c r="AC155" s="128">
        <f t="shared" si="656"/>
        <v>9.0109890109890095E-2</v>
      </c>
      <c r="AD155" s="128">
        <f t="shared" si="656"/>
        <v>9.0109890109890095E-2</v>
      </c>
      <c r="AE155" s="128">
        <f t="shared" si="656"/>
        <v>9.0109890109890095E-2</v>
      </c>
      <c r="AF155" s="128">
        <f t="shared" si="656"/>
        <v>9.0109890109890095E-2</v>
      </c>
      <c r="AG155" s="128">
        <f t="shared" si="656"/>
        <v>9.0109890109890095E-2</v>
      </c>
      <c r="AH155" s="115" t="e">
        <f t="shared" si="456"/>
        <v>#DIV/0!</v>
      </c>
      <c r="AI155" s="10"/>
      <c r="AJ155" s="10"/>
    </row>
    <row r="156" spans="2:36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>
      <c r="B158" s="10" t="s">
        <v>307</v>
      </c>
      <c r="C158" s="10"/>
      <c r="D158" s="10"/>
      <c r="E158" s="10"/>
      <c r="F158" s="15"/>
      <c r="G158" s="15">
        <f t="shared" ref="G158" si="657">G15/G9</f>
        <v>11.090909090909092</v>
      </c>
      <c r="H158" s="15" t="e">
        <f t="shared" ref="H158:I158" si="658">H15/H9</f>
        <v>#DIV/0!</v>
      </c>
      <c r="I158" s="15" t="e">
        <f t="shared" si="658"/>
        <v>#DIV/0!</v>
      </c>
      <c r="J158" s="15" t="e">
        <f t="shared" ref="J158:T158" si="659">J15/J9</f>
        <v>#DIV/0!</v>
      </c>
      <c r="K158" s="15" t="e">
        <f t="shared" si="659"/>
        <v>#DIV/0!</v>
      </c>
      <c r="L158" s="15" t="e">
        <f t="shared" si="659"/>
        <v>#DIV/0!</v>
      </c>
      <c r="M158" s="15" t="e">
        <f t="shared" si="659"/>
        <v>#DIV/0!</v>
      </c>
      <c r="N158" s="15">
        <f t="shared" si="659"/>
        <v>11.090909090909092</v>
      </c>
      <c r="O158" s="15">
        <f t="shared" si="659"/>
        <v>0.95238095238095233</v>
      </c>
      <c r="P158" s="15">
        <f t="shared" si="659"/>
        <v>0.82547169811320753</v>
      </c>
      <c r="Q158" s="15">
        <f t="shared" si="659"/>
        <v>0.64459930313588854</v>
      </c>
      <c r="R158" s="15">
        <f t="shared" si="659"/>
        <v>0.50346420323325636</v>
      </c>
      <c r="S158" s="15">
        <f t="shared" si="659"/>
        <v>0.32851985559566788</v>
      </c>
      <c r="T158" s="15">
        <f t="shared" si="659"/>
        <v>6.6384180790960451E-2</v>
      </c>
      <c r="U158" s="15">
        <f t="shared" ref="U158" si="660">U15/U9</f>
        <v>6.6901408450704219E-2</v>
      </c>
      <c r="V158" s="101">
        <f t="shared" si="590"/>
        <v>-0.51813651586795006</v>
      </c>
      <c r="W158" s="10"/>
      <c r="X158" s="10">
        <f t="shared" ref="X158:AG158" si="661">X15/X9</f>
        <v>6.6901408450704219E-2</v>
      </c>
      <c r="Y158" s="10">
        <f t="shared" si="661"/>
        <v>6.6901408450704219E-2</v>
      </c>
      <c r="Z158" s="10">
        <f t="shared" si="661"/>
        <v>6.6901408450704219E-2</v>
      </c>
      <c r="AA158" s="10">
        <f t="shared" si="661"/>
        <v>6.6901408450704219E-2</v>
      </c>
      <c r="AB158" s="10">
        <f t="shared" si="661"/>
        <v>6.6901408450704219E-2</v>
      </c>
      <c r="AC158" s="10">
        <f t="shared" si="661"/>
        <v>6.6901408450704219E-2</v>
      </c>
      <c r="AD158" s="10">
        <f t="shared" si="661"/>
        <v>6.6901408450704219E-2</v>
      </c>
      <c r="AE158" s="10">
        <f t="shared" si="661"/>
        <v>6.6901408450704206E-2</v>
      </c>
      <c r="AF158" s="10">
        <f t="shared" si="661"/>
        <v>6.6901408450704206E-2</v>
      </c>
      <c r="AG158" s="10">
        <f t="shared" si="661"/>
        <v>6.6901408450704219E-2</v>
      </c>
      <c r="AH158" s="115" t="e">
        <f t="shared" si="456"/>
        <v>#DIV/0!</v>
      </c>
      <c r="AI158" s="10"/>
      <c r="AJ158" s="10"/>
    </row>
    <row r="159" spans="2:36">
      <c r="B159" s="10" t="s">
        <v>297</v>
      </c>
      <c r="C159" s="10"/>
      <c r="D159" s="10"/>
      <c r="E159" s="10"/>
      <c r="F159" s="15"/>
      <c r="G159" s="15">
        <f t="shared" ref="G159" si="662">G12/G9</f>
        <v>9.2727272727272734</v>
      </c>
      <c r="H159" s="15" t="e">
        <f t="shared" ref="H159:I159" si="663">H12/H9</f>
        <v>#DIV/0!</v>
      </c>
      <c r="I159" s="15" t="e">
        <f t="shared" si="663"/>
        <v>#DIV/0!</v>
      </c>
      <c r="J159" s="15" t="e">
        <f t="shared" ref="J159:T159" si="664">J12/J9</f>
        <v>#DIV/0!</v>
      </c>
      <c r="K159" s="15" t="e">
        <f t="shared" si="664"/>
        <v>#DIV/0!</v>
      </c>
      <c r="L159" s="15" t="e">
        <f t="shared" si="664"/>
        <v>#DIV/0!</v>
      </c>
      <c r="M159" s="15" t="e">
        <f t="shared" si="664"/>
        <v>#DIV/0!</v>
      </c>
      <c r="N159" s="15">
        <f t="shared" si="664"/>
        <v>9.2727272727272734</v>
      </c>
      <c r="O159" s="15">
        <f t="shared" si="664"/>
        <v>0.95918367346938771</v>
      </c>
      <c r="P159" s="15">
        <f t="shared" si="664"/>
        <v>0.82547169811320753</v>
      </c>
      <c r="Q159" s="15">
        <f t="shared" si="664"/>
        <v>0.64459930313588854</v>
      </c>
      <c r="R159" s="15">
        <f t="shared" si="664"/>
        <v>0.50346420323325636</v>
      </c>
      <c r="S159" s="15">
        <f t="shared" si="664"/>
        <v>0.32851985559566788</v>
      </c>
      <c r="T159" s="15">
        <f t="shared" si="664"/>
        <v>6.6384180790960451E-2</v>
      </c>
      <c r="U159" s="15">
        <f t="shared" ref="U159" si="665">U12/U9</f>
        <v>6.6901408450704219E-2</v>
      </c>
      <c r="V159" s="101">
        <f t="shared" si="590"/>
        <v>-0.50565227577084126</v>
      </c>
      <c r="W159" s="109"/>
      <c r="X159" s="10">
        <f t="shared" ref="X159:AG159" si="666">X12/X9</f>
        <v>6.6901408450704219E-2</v>
      </c>
      <c r="Y159" s="10">
        <f t="shared" si="666"/>
        <v>6.6901408450704219E-2</v>
      </c>
      <c r="Z159" s="10">
        <f t="shared" si="666"/>
        <v>6.6901408450704219E-2</v>
      </c>
      <c r="AA159" s="10">
        <f t="shared" si="666"/>
        <v>6.6901408450704219E-2</v>
      </c>
      <c r="AB159" s="10">
        <f t="shared" si="666"/>
        <v>6.6901408450704219E-2</v>
      </c>
      <c r="AC159" s="10">
        <f t="shared" si="666"/>
        <v>6.6901408450704219E-2</v>
      </c>
      <c r="AD159" s="10">
        <f t="shared" si="666"/>
        <v>6.6901408450704219E-2</v>
      </c>
      <c r="AE159" s="10">
        <f t="shared" si="666"/>
        <v>6.6901408450704206E-2</v>
      </c>
      <c r="AF159" s="10">
        <f t="shared" si="666"/>
        <v>6.6901408450704206E-2</v>
      </c>
      <c r="AG159" s="10">
        <f t="shared" si="666"/>
        <v>6.6901408450704219E-2</v>
      </c>
      <c r="AH159" s="101">
        <f t="shared" ref="AH159" si="667">((AG159/X159)^(1/($K$2-$K$1) ))-1</f>
        <v>0</v>
      </c>
      <c r="AI159" s="10"/>
      <c r="AJ159" s="10"/>
    </row>
    <row r="160" spans="2:36">
      <c r="B160" s="10" t="s">
        <v>299</v>
      </c>
      <c r="C160" s="10"/>
      <c r="D160" s="10"/>
      <c r="E160" s="10"/>
      <c r="F160" s="15"/>
      <c r="G160" s="15">
        <f t="shared" ref="G160" si="668">G25/360</f>
        <v>0.25</v>
      </c>
      <c r="H160" s="15">
        <f t="shared" ref="H160:I160" si="669">H25/360</f>
        <v>0</v>
      </c>
      <c r="I160" s="15">
        <f t="shared" si="669"/>
        <v>0</v>
      </c>
      <c r="J160" s="15">
        <f t="shared" ref="J160:T160" si="670">J25/360</f>
        <v>0</v>
      </c>
      <c r="K160" s="15">
        <f t="shared" si="670"/>
        <v>0</v>
      </c>
      <c r="L160" s="15">
        <f t="shared" si="670"/>
        <v>0</v>
      </c>
      <c r="M160" s="15">
        <f t="shared" si="670"/>
        <v>0</v>
      </c>
      <c r="N160" s="15">
        <f t="shared" si="670"/>
        <v>0.25</v>
      </c>
      <c r="O160" s="15">
        <f t="shared" si="670"/>
        <v>0.30277777777777776</v>
      </c>
      <c r="P160" s="15">
        <f t="shared" si="670"/>
        <v>0.3972222222222222</v>
      </c>
      <c r="Q160" s="15">
        <f t="shared" si="670"/>
        <v>0.51388888888888884</v>
      </c>
      <c r="R160" s="15">
        <f t="shared" si="670"/>
        <v>0.66111111111111109</v>
      </c>
      <c r="S160" s="15">
        <f t="shared" si="670"/>
        <v>0.84444444444444444</v>
      </c>
      <c r="T160" s="15">
        <f t="shared" si="670"/>
        <v>1.0111111111111111</v>
      </c>
      <c r="U160" s="15">
        <f t="shared" ref="U160" si="671">U25/360</f>
        <v>1.2638888888888888</v>
      </c>
      <c r="V160" s="101">
        <f t="shared" si="590"/>
        <v>0.26048712047484734</v>
      </c>
      <c r="W160" s="109"/>
      <c r="X160" s="15">
        <f t="shared" ref="X160:AG160" si="672">X25/360</f>
        <v>1.5166666666666666</v>
      </c>
      <c r="Y160" s="15">
        <f t="shared" si="672"/>
        <v>1.8199999999999998</v>
      </c>
      <c r="Z160" s="15">
        <f t="shared" si="672"/>
        <v>2.1839999999999997</v>
      </c>
      <c r="AA160" s="15">
        <f t="shared" si="672"/>
        <v>2.6207999999999996</v>
      </c>
      <c r="AB160" s="15">
        <f t="shared" si="672"/>
        <v>3.1449599999999993</v>
      </c>
      <c r="AC160" s="15">
        <f t="shared" si="672"/>
        <v>3.7739519999999991</v>
      </c>
      <c r="AD160" s="15">
        <f t="shared" si="672"/>
        <v>4.5287423999999987</v>
      </c>
      <c r="AE160" s="15">
        <f t="shared" si="672"/>
        <v>5.4344908799999985</v>
      </c>
      <c r="AF160" s="15">
        <f t="shared" si="672"/>
        <v>6.5213890559999985</v>
      </c>
      <c r="AG160" s="15">
        <f t="shared" si="672"/>
        <v>7.8256668671999972</v>
      </c>
      <c r="AH160" s="101">
        <f t="shared" ref="AH160:AH171" si="673">((AG160/X160)^(1/($K$2-$K$1) ))-1</f>
        <v>0.26416702896578004</v>
      </c>
      <c r="AI160" s="10"/>
      <c r="AJ160" s="10"/>
    </row>
    <row r="161" spans="2:36">
      <c r="B161" s="10" t="s">
        <v>298</v>
      </c>
      <c r="C161" s="10"/>
      <c r="D161" s="10"/>
      <c r="E161" s="10"/>
      <c r="F161" s="15"/>
      <c r="G161" s="15">
        <f t="shared" ref="G161" si="674">G27/360</f>
        <v>8.3333333333333329E-2</v>
      </c>
      <c r="H161" s="15">
        <f t="shared" ref="H161:I161" si="675">H27/360</f>
        <v>0</v>
      </c>
      <c r="I161" s="15">
        <f t="shared" si="675"/>
        <v>0</v>
      </c>
      <c r="J161" s="15">
        <f t="shared" ref="J161:T161" si="676">J27/360</f>
        <v>0</v>
      </c>
      <c r="K161" s="15">
        <f t="shared" si="676"/>
        <v>0</v>
      </c>
      <c r="L161" s="15">
        <f t="shared" si="676"/>
        <v>0</v>
      </c>
      <c r="M161" s="15">
        <f t="shared" si="676"/>
        <v>0</v>
      </c>
      <c r="N161" s="15">
        <f t="shared" si="676"/>
        <v>8.3333333333333329E-2</v>
      </c>
      <c r="O161" s="15">
        <f t="shared" si="676"/>
        <v>0.10555555555555556</v>
      </c>
      <c r="P161" s="15">
        <f t="shared" si="676"/>
        <v>0.12777777777777777</v>
      </c>
      <c r="Q161" s="15">
        <f t="shared" si="676"/>
        <v>0.15555555555555556</v>
      </c>
      <c r="R161" s="15">
        <f t="shared" si="676"/>
        <v>0.17499999999999999</v>
      </c>
      <c r="S161" s="15">
        <f t="shared" si="676"/>
        <v>0.22777777777777777</v>
      </c>
      <c r="T161" s="15">
        <f t="shared" si="676"/>
        <v>0.25833333333333336</v>
      </c>
      <c r="U161" s="15">
        <f t="shared" ref="U161" si="677">U27/360</f>
        <v>0.34722222222222221</v>
      </c>
      <c r="V161" s="101">
        <f t="shared" si="590"/>
        <v>0.22614336159122739</v>
      </c>
      <c r="W161" s="109"/>
      <c r="X161" s="15">
        <f t="shared" ref="X161:AG161" si="678">X27/360</f>
        <v>0.41666666666666669</v>
      </c>
      <c r="Y161" s="15">
        <f t="shared" si="678"/>
        <v>0.5</v>
      </c>
      <c r="Z161" s="15">
        <f t="shared" si="678"/>
        <v>0.6</v>
      </c>
      <c r="AA161" s="15">
        <f t="shared" si="678"/>
        <v>0.72</v>
      </c>
      <c r="AB161" s="15">
        <f t="shared" si="678"/>
        <v>0.86399999999999988</v>
      </c>
      <c r="AC161" s="15">
        <f t="shared" si="678"/>
        <v>1.0367999999999997</v>
      </c>
      <c r="AD161" s="15">
        <f t="shared" si="678"/>
        <v>1.2441599999999997</v>
      </c>
      <c r="AE161" s="15">
        <f t="shared" si="678"/>
        <v>1.4929919999999997</v>
      </c>
      <c r="AF161" s="15">
        <f t="shared" si="678"/>
        <v>1.7915903999999996</v>
      </c>
      <c r="AG161" s="15">
        <f t="shared" si="678"/>
        <v>2.1499084799999997</v>
      </c>
      <c r="AH161" s="101">
        <f t="shared" si="673"/>
        <v>0.26416702896578004</v>
      </c>
      <c r="AI161" s="10"/>
      <c r="AJ161" s="10"/>
    </row>
    <row r="162" spans="2:36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>
      <c r="B163" s="10" t="s">
        <v>308</v>
      </c>
      <c r="C163" s="10"/>
      <c r="D163" s="10"/>
      <c r="E163" s="10"/>
      <c r="F163" s="15"/>
      <c r="G163" s="15">
        <f t="shared" ref="G163" si="679">G10/G7</f>
        <v>2.9396551724137931</v>
      </c>
      <c r="H163" s="15" t="e">
        <f t="shared" ref="H163:I163" si="680">H10/H7</f>
        <v>#DIV/0!</v>
      </c>
      <c r="I163" s="15" t="e">
        <f t="shared" si="680"/>
        <v>#DIV/0!</v>
      </c>
      <c r="J163" s="15" t="e">
        <f t="shared" ref="J163:T163" si="681">J10/J7</f>
        <v>#DIV/0!</v>
      </c>
      <c r="K163" s="15" t="e">
        <f t="shared" si="681"/>
        <v>#DIV/0!</v>
      </c>
      <c r="L163" s="15" t="e">
        <f t="shared" si="681"/>
        <v>#DIV/0!</v>
      </c>
      <c r="M163" s="15" t="e">
        <f t="shared" si="681"/>
        <v>#DIV/0!</v>
      </c>
      <c r="N163" s="15">
        <f t="shared" si="681"/>
        <v>2.9396551724137931</v>
      </c>
      <c r="O163" s="15">
        <f t="shared" si="681"/>
        <v>2.4596774193548385</v>
      </c>
      <c r="P163" s="15">
        <f t="shared" si="681"/>
        <v>4.4811320754716979</v>
      </c>
      <c r="Q163" s="15">
        <f t="shared" si="681"/>
        <v>5.5354330708661417</v>
      </c>
      <c r="R163" s="15">
        <f t="shared" si="681"/>
        <v>6</v>
      </c>
      <c r="S163" s="15">
        <f t="shared" si="681"/>
        <v>6.4054054054054053</v>
      </c>
      <c r="T163" s="15">
        <f t="shared" si="681"/>
        <v>3.3671641791044777</v>
      </c>
      <c r="U163" s="15">
        <f t="shared" ref="U163" si="682">U10/U7</f>
        <v>1.731673582295989</v>
      </c>
      <c r="V163" s="101">
        <f t="shared" si="590"/>
        <v>-7.2813516885299689E-2</v>
      </c>
      <c r="W163" s="109"/>
      <c r="X163" s="15">
        <f t="shared" ref="X163:AG163" si="683">X10/X7</f>
        <v>1.7316735822959888</v>
      </c>
      <c r="Y163" s="15">
        <f t="shared" si="683"/>
        <v>1.731673582295989</v>
      </c>
      <c r="Z163" s="15">
        <f t="shared" si="683"/>
        <v>1.731673582295989</v>
      </c>
      <c r="AA163" s="15">
        <f t="shared" si="683"/>
        <v>1.7316735822959888</v>
      </c>
      <c r="AB163" s="15">
        <f t="shared" si="683"/>
        <v>1.7316735822959888</v>
      </c>
      <c r="AC163" s="15">
        <f t="shared" si="683"/>
        <v>1.7316735822959888</v>
      </c>
      <c r="AD163" s="15">
        <f t="shared" si="683"/>
        <v>1.7316735822959888</v>
      </c>
      <c r="AE163" s="15">
        <f t="shared" si="683"/>
        <v>1.7316735822959888</v>
      </c>
      <c r="AF163" s="15">
        <f t="shared" si="683"/>
        <v>1.731673582295989</v>
      </c>
      <c r="AG163" s="15">
        <f t="shared" si="683"/>
        <v>1.731673582295989</v>
      </c>
      <c r="AH163" s="101">
        <f t="shared" si="673"/>
        <v>0</v>
      </c>
      <c r="AI163" s="10"/>
      <c r="AJ163" s="10"/>
    </row>
    <row r="164" spans="2:36">
      <c r="B164" s="10" t="s">
        <v>300</v>
      </c>
      <c r="C164" s="10"/>
      <c r="D164" s="10"/>
      <c r="E164" s="10"/>
      <c r="F164" s="15"/>
      <c r="G164" s="15">
        <f t="shared" ref="G164" si="684">G10/(G10+G7)</f>
        <v>0.74617067833698025</v>
      </c>
      <c r="H164" s="15" t="e">
        <f t="shared" ref="H164:I164" si="685">H10/(H10+H7)</f>
        <v>#DIV/0!</v>
      </c>
      <c r="I164" s="15" t="e">
        <f t="shared" si="685"/>
        <v>#DIV/0!</v>
      </c>
      <c r="J164" s="15" t="e">
        <f t="shared" ref="J164:T164" si="686">J10/(J10+J7)</f>
        <v>#DIV/0!</v>
      </c>
      <c r="K164" s="15" t="e">
        <f t="shared" si="686"/>
        <v>#DIV/0!</v>
      </c>
      <c r="L164" s="15" t="e">
        <f t="shared" si="686"/>
        <v>#DIV/0!</v>
      </c>
      <c r="M164" s="15" t="e">
        <f t="shared" si="686"/>
        <v>#DIV/0!</v>
      </c>
      <c r="N164" s="15">
        <f t="shared" si="686"/>
        <v>0.74617067833698025</v>
      </c>
      <c r="O164" s="15">
        <f t="shared" si="686"/>
        <v>0.71095571095571097</v>
      </c>
      <c r="P164" s="15">
        <f t="shared" si="686"/>
        <v>0.81755593803786575</v>
      </c>
      <c r="Q164" s="15">
        <f t="shared" si="686"/>
        <v>0.84698795180722897</v>
      </c>
      <c r="R164" s="15">
        <f t="shared" si="686"/>
        <v>0.8571428571428571</v>
      </c>
      <c r="S164" s="15">
        <f t="shared" si="686"/>
        <v>0.86496350364963503</v>
      </c>
      <c r="T164" s="15">
        <f t="shared" si="686"/>
        <v>0.77101845522898149</v>
      </c>
      <c r="U164" s="15">
        <f t="shared" ref="U164" si="687">U10/(U10+U7)</f>
        <v>0.63392405063291135</v>
      </c>
      <c r="V164" s="101">
        <f t="shared" si="590"/>
        <v>-2.3020213012156954E-2</v>
      </c>
      <c r="W164" s="109"/>
      <c r="X164" s="15">
        <f t="shared" ref="X164:AG164" si="688">X10/(X10+X7)</f>
        <v>0.63392405063291135</v>
      </c>
      <c r="Y164" s="15">
        <f t="shared" si="688"/>
        <v>0.63392405063291135</v>
      </c>
      <c r="Z164" s="15">
        <f t="shared" si="688"/>
        <v>0.63392405063291146</v>
      </c>
      <c r="AA164" s="15">
        <f t="shared" si="688"/>
        <v>0.63392405063291135</v>
      </c>
      <c r="AB164" s="15">
        <f t="shared" si="688"/>
        <v>0.63392405063291135</v>
      </c>
      <c r="AC164" s="15">
        <f t="shared" si="688"/>
        <v>0.63392405063291135</v>
      </c>
      <c r="AD164" s="15">
        <f t="shared" si="688"/>
        <v>0.63392405063291146</v>
      </c>
      <c r="AE164" s="15">
        <f t="shared" si="688"/>
        <v>0.63392405063291135</v>
      </c>
      <c r="AF164" s="15">
        <f t="shared" si="688"/>
        <v>0.63392405063291135</v>
      </c>
      <c r="AG164" s="15">
        <f t="shared" si="688"/>
        <v>0.63392405063291146</v>
      </c>
      <c r="AH164" s="101">
        <f t="shared" si="673"/>
        <v>0</v>
      </c>
      <c r="AI164" s="10"/>
      <c r="AJ164" s="10"/>
    </row>
    <row r="165" spans="2:36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>
      <c r="B166" s="10" t="s">
        <v>305</v>
      </c>
      <c r="C166" s="10"/>
      <c r="D166" s="10"/>
      <c r="E166" s="10"/>
      <c r="F166" s="15"/>
      <c r="G166" s="15">
        <f t="shared" ref="G166" si="689">G16</f>
        <v>443</v>
      </c>
      <c r="H166" s="15">
        <f t="shared" ref="H166:I166" si="690">H16</f>
        <v>0</v>
      </c>
      <c r="I166" s="15">
        <f t="shared" si="690"/>
        <v>0</v>
      </c>
      <c r="J166" s="15">
        <f t="shared" ref="J166:T166" si="691">J16</f>
        <v>0</v>
      </c>
      <c r="K166" s="15">
        <f t="shared" si="691"/>
        <v>0</v>
      </c>
      <c r="L166" s="15">
        <f t="shared" si="691"/>
        <v>0</v>
      </c>
      <c r="M166" s="15">
        <f t="shared" si="691"/>
        <v>0</v>
      </c>
      <c r="N166" s="15">
        <f t="shared" si="691"/>
        <v>443</v>
      </c>
      <c r="O166" s="15">
        <f t="shared" si="691"/>
        <v>412</v>
      </c>
      <c r="P166" s="15">
        <f t="shared" si="691"/>
        <v>578</v>
      </c>
      <c r="Q166" s="15">
        <f t="shared" si="691"/>
        <v>832</v>
      </c>
      <c r="R166" s="15">
        <f t="shared" si="691"/>
        <v>1124</v>
      </c>
      <c r="S166" s="15">
        <f t="shared" si="691"/>
        <v>1372</v>
      </c>
      <c r="T166" s="15">
        <f t="shared" si="691"/>
        <v>1466</v>
      </c>
      <c r="U166" s="15">
        <f t="shared" ref="U166" si="692">U16</f>
        <v>1929</v>
      </c>
      <c r="V166" s="101">
        <f t="shared" si="590"/>
        <v>0.23388731705459187</v>
      </c>
      <c r="W166" s="109"/>
      <c r="X166" s="15">
        <f t="shared" ref="X166:AG166" si="693">X16</f>
        <v>2314.7999999999997</v>
      </c>
      <c r="Y166" s="15">
        <f t="shared" si="693"/>
        <v>2777.7599999999998</v>
      </c>
      <c r="Z166" s="15">
        <f t="shared" si="693"/>
        <v>3333.3119999999994</v>
      </c>
      <c r="AA166" s="15">
        <f t="shared" si="693"/>
        <v>3999.9743999999992</v>
      </c>
      <c r="AB166" s="15">
        <f t="shared" si="693"/>
        <v>4799.9692799999984</v>
      </c>
      <c r="AC166" s="15">
        <f t="shared" si="693"/>
        <v>5759.9631359999976</v>
      </c>
      <c r="AD166" s="15">
        <f t="shared" si="693"/>
        <v>6911.9557631999969</v>
      </c>
      <c r="AE166" s="15">
        <f t="shared" si="693"/>
        <v>8294.3469158399967</v>
      </c>
      <c r="AF166" s="15">
        <f t="shared" si="693"/>
        <v>9953.216299007996</v>
      </c>
      <c r="AG166" s="15">
        <f t="shared" si="693"/>
        <v>11943.859558809594</v>
      </c>
      <c r="AH166" s="101">
        <f t="shared" si="673"/>
        <v>0.26416702896578004</v>
      </c>
      <c r="AI166" s="10"/>
      <c r="AJ166" s="10"/>
    </row>
    <row r="167" spans="2:36">
      <c r="B167" s="10" t="s">
        <v>306</v>
      </c>
      <c r="C167" s="10"/>
      <c r="D167" s="10"/>
      <c r="E167" s="10"/>
      <c r="F167" s="102"/>
      <c r="G167" s="102">
        <f t="shared" ref="G167" si="694">G166*365/G25</f>
        <v>1796.6111111111111</v>
      </c>
      <c r="H167" s="102" t="e">
        <f t="shared" ref="H167:I167" si="695">H166*365/H25</f>
        <v>#DIV/0!</v>
      </c>
      <c r="I167" s="102" t="e">
        <f t="shared" si="695"/>
        <v>#DIV/0!</v>
      </c>
      <c r="J167" s="102" t="e">
        <f t="shared" ref="J167:T167" si="696">J166*365/J25</f>
        <v>#DIV/0!</v>
      </c>
      <c r="K167" s="102" t="e">
        <f t="shared" si="696"/>
        <v>#DIV/0!</v>
      </c>
      <c r="L167" s="102" t="e">
        <f t="shared" si="696"/>
        <v>#DIV/0!</v>
      </c>
      <c r="M167" s="102" t="e">
        <f t="shared" si="696"/>
        <v>#DIV/0!</v>
      </c>
      <c r="N167" s="102">
        <f t="shared" si="696"/>
        <v>1796.6111111111111</v>
      </c>
      <c r="O167" s="102">
        <f t="shared" si="696"/>
        <v>1379.6330275229359</v>
      </c>
      <c r="P167" s="102">
        <f t="shared" si="696"/>
        <v>1475.3146853146852</v>
      </c>
      <c r="Q167" s="102">
        <f t="shared" si="696"/>
        <v>1641.5135135135135</v>
      </c>
      <c r="R167" s="102">
        <f t="shared" si="696"/>
        <v>1723.7815126050421</v>
      </c>
      <c r="S167" s="102">
        <f t="shared" si="696"/>
        <v>1647.3026315789473</v>
      </c>
      <c r="T167" s="102">
        <f t="shared" si="696"/>
        <v>1470.0274725274726</v>
      </c>
      <c r="U167" s="102">
        <f t="shared" ref="U167" si="697">U166*365/U25</f>
        <v>1547.4395604395604</v>
      </c>
      <c r="V167" s="101">
        <f t="shared" si="590"/>
        <v>-2.1102796679298708E-2</v>
      </c>
      <c r="W167" s="109"/>
      <c r="X167" s="102">
        <f t="shared" ref="X167:AG167" si="698">X166*365/X25</f>
        <v>1547.4395604395602</v>
      </c>
      <c r="Y167" s="102">
        <f t="shared" si="698"/>
        <v>1547.4395604395604</v>
      </c>
      <c r="Z167" s="102">
        <f t="shared" si="698"/>
        <v>1547.4395604395604</v>
      </c>
      <c r="AA167" s="102">
        <f t="shared" si="698"/>
        <v>1547.4395604395604</v>
      </c>
      <c r="AB167" s="102">
        <f t="shared" si="698"/>
        <v>1547.4395604395602</v>
      </c>
      <c r="AC167" s="102">
        <f t="shared" si="698"/>
        <v>1547.4395604395602</v>
      </c>
      <c r="AD167" s="102">
        <f t="shared" si="698"/>
        <v>1547.4395604395602</v>
      </c>
      <c r="AE167" s="102">
        <f t="shared" si="698"/>
        <v>1547.4395604395602</v>
      </c>
      <c r="AF167" s="102">
        <f t="shared" si="698"/>
        <v>1547.4395604395604</v>
      </c>
      <c r="AG167" s="102">
        <f t="shared" si="698"/>
        <v>1547.4395604395604</v>
      </c>
      <c r="AH167" s="101">
        <f t="shared" si="673"/>
        <v>0</v>
      </c>
      <c r="AI167" s="10"/>
      <c r="AJ167" s="10"/>
    </row>
    <row r="168" spans="2:36">
      <c r="B168" s="10" t="s">
        <v>309</v>
      </c>
      <c r="C168" s="10"/>
      <c r="D168" s="10"/>
      <c r="E168" s="10"/>
      <c r="F168" s="111"/>
      <c r="G168" s="111">
        <f t="shared" ref="G168" si="699">G102/G29</f>
        <v>1.7142857142857142</v>
      </c>
      <c r="H168" s="111" t="e">
        <f t="shared" ref="H168:I168" si="700">H102/H29</f>
        <v>#DIV/0!</v>
      </c>
      <c r="I168" s="111" t="e">
        <f t="shared" si="700"/>
        <v>#DIV/0!</v>
      </c>
      <c r="J168" s="111" t="e">
        <f t="shared" ref="J168:T168" si="701">J102/J29</f>
        <v>#DIV/0!</v>
      </c>
      <c r="K168" s="111" t="e">
        <f t="shared" si="701"/>
        <v>#DIV/0!</v>
      </c>
      <c r="L168" s="111" t="e">
        <f t="shared" si="701"/>
        <v>#DIV/0!</v>
      </c>
      <c r="M168" s="111" t="e">
        <f t="shared" si="701"/>
        <v>#DIV/0!</v>
      </c>
      <c r="N168" s="111">
        <f t="shared" si="701"/>
        <v>1.7142857142857142</v>
      </c>
      <c r="O168" s="111">
        <f t="shared" si="701"/>
        <v>1.6279069767441861</v>
      </c>
      <c r="P168" s="111">
        <f t="shared" si="701"/>
        <v>1.7142857142857142</v>
      </c>
      <c r="Q168" s="111">
        <f t="shared" si="701"/>
        <v>1.0256410256410255</v>
      </c>
      <c r="R168" s="111">
        <f t="shared" si="701"/>
        <v>0.97409909909909909</v>
      </c>
      <c r="S168" s="111">
        <f t="shared" si="701"/>
        <v>0.97271126760563376</v>
      </c>
      <c r="T168" s="111">
        <f t="shared" si="701"/>
        <v>0.30152774055213083</v>
      </c>
      <c r="U168" s="111">
        <f t="shared" ref="U168" si="702">U102/U29</f>
        <v>0.35972012019916211</v>
      </c>
      <c r="V168" s="101">
        <f t="shared" si="590"/>
        <v>-0.19993378415383123</v>
      </c>
      <c r="W168" s="109"/>
      <c r="X168" s="111">
        <f t="shared" ref="X168:AG168" si="703">X102/X29</f>
        <v>0.35266678450898242</v>
      </c>
      <c r="Y168" s="111">
        <f t="shared" si="703"/>
        <v>0.34575174951861015</v>
      </c>
      <c r="Z168" s="111">
        <f t="shared" si="703"/>
        <v>0.33897230344961782</v>
      </c>
      <c r="AA168" s="111">
        <f t="shared" si="703"/>
        <v>0.33232578769570376</v>
      </c>
      <c r="AB168" s="111">
        <f t="shared" si="703"/>
        <v>0.32580959578010166</v>
      </c>
      <c r="AC168" s="111">
        <f t="shared" si="703"/>
        <v>0.31942117233343298</v>
      </c>
      <c r="AD168" s="111">
        <f t="shared" si="703"/>
        <v>0.31315801209160093</v>
      </c>
      <c r="AE168" s="111">
        <f t="shared" si="703"/>
        <v>0.30701765891333427</v>
      </c>
      <c r="AF168" s="111">
        <f t="shared" si="703"/>
        <v>0.30099770481699434</v>
      </c>
      <c r="AG168" s="111">
        <f t="shared" si="703"/>
        <v>0.29509578903626899</v>
      </c>
      <c r="AH168" s="101">
        <f t="shared" si="673"/>
        <v>-2.513913507604093E-2</v>
      </c>
      <c r="AI168" s="10"/>
      <c r="AJ168" s="10"/>
    </row>
    <row r="169" spans="2:36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0" t="s">
        <v>316</v>
      </c>
      <c r="C170" s="10"/>
      <c r="D170" s="10"/>
      <c r="E170" s="10"/>
      <c r="F170" s="155"/>
      <c r="G170" s="155" t="e">
        <f t="shared" ref="G170" si="704">G25/G14</f>
        <v>#DIV/0!</v>
      </c>
      <c r="H170" s="155" t="e">
        <f t="shared" ref="H170:I170" si="705">H25/H14</f>
        <v>#DIV/0!</v>
      </c>
      <c r="I170" s="155" t="e">
        <f t="shared" si="705"/>
        <v>#DIV/0!</v>
      </c>
      <c r="J170" s="155" t="e">
        <f t="shared" ref="J170:T170" si="706">J25/J14</f>
        <v>#DIV/0!</v>
      </c>
      <c r="K170" s="155" t="e">
        <f t="shared" si="706"/>
        <v>#DIV/0!</v>
      </c>
      <c r="L170" s="155" t="e">
        <f t="shared" si="706"/>
        <v>#DIV/0!</v>
      </c>
      <c r="M170" s="155" t="e">
        <f t="shared" si="706"/>
        <v>#DIV/0!</v>
      </c>
      <c r="N170" s="155" t="e">
        <f t="shared" si="706"/>
        <v>#DIV/0!</v>
      </c>
      <c r="O170" s="155" t="e">
        <f t="shared" si="706"/>
        <v>#DIV/0!</v>
      </c>
      <c r="P170" s="155" t="e">
        <f t="shared" si="706"/>
        <v>#DIV/0!</v>
      </c>
      <c r="Q170" s="155" t="e">
        <f t="shared" si="706"/>
        <v>#DIV/0!</v>
      </c>
      <c r="R170" s="155" t="e">
        <f t="shared" si="706"/>
        <v>#DIV/0!</v>
      </c>
      <c r="S170" s="155" t="e">
        <f t="shared" si="706"/>
        <v>#DIV/0!</v>
      </c>
      <c r="T170" s="155" t="e">
        <f t="shared" si="706"/>
        <v>#DIV/0!</v>
      </c>
      <c r="U170" s="155" t="e">
        <f t="shared" ref="U170" si="707">U25/U14</f>
        <v>#DIV/0!</v>
      </c>
      <c r="V170" s="101" t="e">
        <f t="shared" si="590"/>
        <v>#DIV/0!</v>
      </c>
      <c r="W170" s="109"/>
      <c r="X170" s="10" t="e">
        <f t="shared" ref="X170:AG170" si="708">X25/X14</f>
        <v>#DIV/0!</v>
      </c>
      <c r="Y170" s="10" t="e">
        <f t="shared" si="708"/>
        <v>#DIV/0!</v>
      </c>
      <c r="Z170" s="10" t="e">
        <f t="shared" si="708"/>
        <v>#DIV/0!</v>
      </c>
      <c r="AA170" s="10" t="e">
        <f t="shared" si="708"/>
        <v>#DIV/0!</v>
      </c>
      <c r="AB170" s="10" t="e">
        <f t="shared" si="708"/>
        <v>#DIV/0!</v>
      </c>
      <c r="AC170" s="10" t="e">
        <f t="shared" si="708"/>
        <v>#DIV/0!</v>
      </c>
      <c r="AD170" s="10" t="e">
        <f t="shared" si="708"/>
        <v>#DIV/0!</v>
      </c>
      <c r="AE170" s="10" t="e">
        <f t="shared" si="708"/>
        <v>#DIV/0!</v>
      </c>
      <c r="AF170" s="10" t="e">
        <f t="shared" si="708"/>
        <v>#DIV/0!</v>
      </c>
      <c r="AG170" s="10" t="e">
        <f t="shared" si="708"/>
        <v>#DIV/0!</v>
      </c>
      <c r="AH170" s="101" t="e">
        <f t="shared" si="673"/>
        <v>#DIV/0!</v>
      </c>
      <c r="AI170" s="10"/>
      <c r="AJ170" s="10"/>
    </row>
    <row r="171" spans="2:36">
      <c r="B171" s="10" t="s">
        <v>317</v>
      </c>
      <c r="C171" s="10"/>
      <c r="D171" s="10"/>
      <c r="E171" s="10"/>
      <c r="F171" s="155"/>
      <c r="G171" s="155" t="e">
        <f t="shared" ref="G171" si="709">G27/G14</f>
        <v>#DIV/0!</v>
      </c>
      <c r="H171" s="155" t="e">
        <f t="shared" ref="H171:I171" si="710">H27/H14</f>
        <v>#DIV/0!</v>
      </c>
      <c r="I171" s="155" t="e">
        <f t="shared" si="710"/>
        <v>#DIV/0!</v>
      </c>
      <c r="J171" s="155" t="e">
        <f t="shared" ref="J171:T171" si="711">J27/J14</f>
        <v>#DIV/0!</v>
      </c>
      <c r="K171" s="155" t="e">
        <f t="shared" si="711"/>
        <v>#DIV/0!</v>
      </c>
      <c r="L171" s="155" t="e">
        <f t="shared" si="711"/>
        <v>#DIV/0!</v>
      </c>
      <c r="M171" s="155" t="e">
        <f t="shared" si="711"/>
        <v>#DIV/0!</v>
      </c>
      <c r="N171" s="155" t="e">
        <f t="shared" si="711"/>
        <v>#DIV/0!</v>
      </c>
      <c r="O171" s="155" t="e">
        <f t="shared" si="711"/>
        <v>#DIV/0!</v>
      </c>
      <c r="P171" s="155" t="e">
        <f t="shared" si="711"/>
        <v>#DIV/0!</v>
      </c>
      <c r="Q171" s="155" t="e">
        <f t="shared" si="711"/>
        <v>#DIV/0!</v>
      </c>
      <c r="R171" s="155" t="e">
        <f t="shared" si="711"/>
        <v>#DIV/0!</v>
      </c>
      <c r="S171" s="155" t="e">
        <f t="shared" si="711"/>
        <v>#DIV/0!</v>
      </c>
      <c r="T171" s="155" t="e">
        <f t="shared" si="711"/>
        <v>#DIV/0!</v>
      </c>
      <c r="U171" s="155" t="e">
        <f t="shared" ref="U171" si="712">U27/U14</f>
        <v>#DIV/0!</v>
      </c>
      <c r="V171" s="101" t="e">
        <f t="shared" si="590"/>
        <v>#DIV/0!</v>
      </c>
      <c r="W171" s="109"/>
      <c r="X171" s="10" t="e">
        <f t="shared" ref="X171:AG171" si="713">X27/X14</f>
        <v>#DIV/0!</v>
      </c>
      <c r="Y171" s="10" t="e">
        <f t="shared" si="713"/>
        <v>#DIV/0!</v>
      </c>
      <c r="Z171" s="10" t="e">
        <f t="shared" si="713"/>
        <v>#DIV/0!</v>
      </c>
      <c r="AA171" s="10" t="e">
        <f t="shared" si="713"/>
        <v>#DIV/0!</v>
      </c>
      <c r="AB171" s="10" t="e">
        <f t="shared" si="713"/>
        <v>#DIV/0!</v>
      </c>
      <c r="AC171" s="10" t="e">
        <f t="shared" si="713"/>
        <v>#DIV/0!</v>
      </c>
      <c r="AD171" s="10" t="e">
        <f t="shared" si="713"/>
        <v>#DIV/0!</v>
      </c>
      <c r="AE171" s="10" t="e">
        <f t="shared" si="713"/>
        <v>#DIV/0!</v>
      </c>
      <c r="AF171" s="10" t="e">
        <f t="shared" si="713"/>
        <v>#DIV/0!</v>
      </c>
      <c r="AG171" s="10" t="e">
        <f t="shared" si="713"/>
        <v>#DIV/0!</v>
      </c>
      <c r="AH171" s="101" t="e">
        <f t="shared" si="673"/>
        <v>#DIV/0!</v>
      </c>
      <c r="AI171" s="10"/>
      <c r="AJ171" s="10"/>
    </row>
    <row r="172" spans="2:36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502</v>
      </c>
      <c r="T173" s="13" t="s">
        <v>410</v>
      </c>
      <c r="U173" s="13" t="s">
        <v>410</v>
      </c>
      <c r="V173" s="13" t="s">
        <v>503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3.5060177917320772</v>
      </c>
      <c r="T174" s="111">
        <f>AVERAGE(Q106:U106)</f>
        <v>10.952380952380953</v>
      </c>
      <c r="U174" s="111">
        <f>AVERAGE(Q76:U76)</f>
        <v>21.910256410256412</v>
      </c>
      <c r="V174" s="111" t="e">
        <f>AVERAGE(L76:U76)</f>
        <v>#DIV/0!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230.25719348366403</v>
      </c>
      <c r="X175" s="111">
        <f>PV($C$1, ($AG$3-$X$3), 0, -AG76)</f>
        <v>28.031310511054748</v>
      </c>
      <c r="Y175" s="111">
        <f>PV($C$1, ($AG$3-$X$3), 0, -AJ76)</f>
        <v>202.22588297260927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714">X176+Y176</f>
        <v>1570.527838572538</v>
      </c>
      <c r="X176" s="111">
        <f>PV($C$1, ($AG$3-$X$3), 0, -AG78)</f>
        <v>191.19469339143939</v>
      </c>
      <c r="Y176" s="111">
        <f>PV($C$1, ($AG$3-$X$3), 0, -AJ78)</f>
        <v>1379.3331451810986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714"/>
        <v>1444.5380534588353</v>
      </c>
      <c r="X177" s="111">
        <f>PV($C$1, ($AG$3-$X$3), 0, -AG79)</f>
        <v>175.85680650803209</v>
      </c>
      <c r="Y177" s="111">
        <f>PV($C$1, ($AG$3-$X$3), 0, -AJ79)</f>
        <v>1268.6812469508031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714"/>
        <v>2719.6415683164842</v>
      </c>
      <c r="X178" s="111">
        <f>PV($C$1, ($AG$3-$X$3), 0, -AG80)</f>
        <v>331.08679962113717</v>
      </c>
      <c r="Y178" s="111">
        <f>PV($C$1, ($AG$3-$X$3), 0, -AJ80)</f>
        <v>2388.5547686953469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714"/>
        <v>123.81754743932873</v>
      </c>
      <c r="X179" s="111">
        <f>PV($C$1, ($AG$3-$X$3), 0, -AG86)</f>
        <v>15.073440557831322</v>
      </c>
      <c r="Y179" s="111">
        <f>PV($C$1, ($AG$3-$X$3), 0, -AJ86)</f>
        <v>108.74410688149742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714"/>
        <v>-1149.1137297439457</v>
      </c>
      <c r="X181" s="111">
        <f>PV($C$1, ($AG$3-$X$3), 0, -AG82)</f>
        <v>-139.89210622969773</v>
      </c>
      <c r="Y181" s="111">
        <f>PV($C$1, ($AG$3-$X$3), 0, -$AJ$82)</f>
        <v>-1009.2216235142479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714"/>
        <v>-2999.8602283107539</v>
      </c>
      <c r="X182" s="111">
        <f>PV($C$1, ($AG$3-$X$3), 0, -AG83)</f>
        <v>-365.20037562043962</v>
      </c>
      <c r="Y182" s="111">
        <f>PV($C$1, ($AG$3-$X$3), 0, -$AJ$83)</f>
        <v>-2634.6598526903144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714"/>
        <v>-2876.042680871426</v>
      </c>
      <c r="X183" s="111">
        <f>PV($C$1, ($AG$3-$X$3), 0, -AG84)</f>
        <v>-350.12693506260837</v>
      </c>
      <c r="Y183" s="111">
        <f>PV($C$1, ($AG$3-$X$3), 0, -$AJ$84)</f>
        <v>-2525.9157458088175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714"/>
        <v>123.81754743932873</v>
      </c>
      <c r="X185" s="111">
        <f>PV($C$1, ($AG$3-$X$3), 0, -AG89)</f>
        <v>15.073440557831322</v>
      </c>
      <c r="Y185" s="111">
        <f>PV($C$1, ($AG$3-$X$3), 0, -AJ89)</f>
        <v>108.74410688149742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714"/>
        <v>3910.8967089432881</v>
      </c>
      <c r="X186" s="111">
        <f>PV($C$1, ($AG$3-$X$3), 0, -AG90)</f>
        <v>510.11696203608108</v>
      </c>
      <c r="Y186" s="111">
        <f>PV($C$1, ($AG$3-$X$3), 0, -AJ90)</f>
        <v>3400.779746907207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715">X188+Y188</f>
        <v>824.09363086583937</v>
      </c>
      <c r="X188" s="111">
        <f>PV($C$1, ($AG$3-$X$3), 0, -AG12)</f>
        <v>100.32444201845</v>
      </c>
      <c r="Y188" s="111">
        <f>PV($C$1, ($AG$3-$X$3), 0, -AJ12)</f>
        <v>723.76918884738939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515.05851929114954</v>
      </c>
      <c r="X189" s="117">
        <f>X188/S61</f>
        <v>62.702776261531248</v>
      </c>
      <c r="Y189" s="117">
        <f>Y188/S61</f>
        <v>452.35574302961834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716">X192+Y192</f>
        <v>0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1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714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>
        <f t="shared" ref="W196:W199" si="717">X196+Y196</f>
        <v>0</v>
      </c>
      <c r="X196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1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>
        <f t="shared" si="717"/>
        <v>0</v>
      </c>
      <c r="X197" s="111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1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 t="shared" si="717"/>
        <v>0</v>
      </c>
      <c r="X198" s="111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198" s="111">
        <f>PV($C$1, ($AG$3-$X$3), 0, -AJ98)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>
        <f t="shared" si="717"/>
        <v>0</v>
      </c>
      <c r="X199" s="111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0</v>
      </c>
      <c r="Y199" s="111">
        <f>PV($C$1, ($AG$3-$X$3), 0, -AJ99)</f>
        <v>0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>
        <f>W197+W198+W199</f>
        <v>0</v>
      </c>
      <c r="X200" s="95">
        <f t="shared" ref="X200:Y200" si="718">X197+X198+X199</f>
        <v>0</v>
      </c>
      <c r="Y200" s="95">
        <f t="shared" si="718"/>
        <v>0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593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>
        <v>565</v>
      </c>
      <c r="V204" s="10" t="s">
        <v>501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250</v>
      </c>
      <c r="V205" s="101" t="e">
        <f t="shared" ref="V205:V236" si="719">((U205/G205)^(1/($K$2-$K$1) ))-1</f>
        <v>#DIV/0!</v>
      </c>
      <c r="W205" s="21">
        <v>0</v>
      </c>
      <c r="X205" s="172">
        <v>50</v>
      </c>
      <c r="Y205" s="102">
        <f t="shared" ref="Y205:AG205" si="720">X205*(1+$W205)</f>
        <v>50</v>
      </c>
      <c r="Z205" s="102">
        <f t="shared" si="720"/>
        <v>50</v>
      </c>
      <c r="AA205" s="102">
        <f t="shared" si="720"/>
        <v>50</v>
      </c>
      <c r="AB205" s="102">
        <f t="shared" si="720"/>
        <v>50</v>
      </c>
      <c r="AC205" s="102">
        <f t="shared" si="720"/>
        <v>50</v>
      </c>
      <c r="AD205" s="102">
        <f t="shared" si="720"/>
        <v>50</v>
      </c>
      <c r="AE205" s="102">
        <f t="shared" si="720"/>
        <v>50</v>
      </c>
      <c r="AF205" s="102">
        <f t="shared" si="720"/>
        <v>50</v>
      </c>
      <c r="AG205" s="102">
        <f t="shared" si="720"/>
        <v>50</v>
      </c>
      <c r="AH205" s="115" t="e">
        <f t="shared" ref="AH205:AH212" si="721">((AG205/J205)^(1/($AG$3-$K$1) ))-1</f>
        <v>#DIV/0!</v>
      </c>
      <c r="AI205" s="21">
        <f t="shared" ref="AI205:AI212" si="722">$O$1</f>
        <v>0.01</v>
      </c>
      <c r="AJ205" s="108" t="e">
        <f t="shared" ref="AJ205:AJ216" si="723">(AG205*(1+AH205))/($C$1-AI205)</f>
        <v>#DIV/0!</v>
      </c>
    </row>
    <row r="206" spans="2:36">
      <c r="B206" s="10" t="s">
        <v>303</v>
      </c>
      <c r="C206" s="15"/>
      <c r="D206" s="15"/>
      <c r="E206" s="15"/>
      <c r="F206" s="15"/>
      <c r="G206" s="15">
        <f t="shared" ref="G206" si="724">G205/G70</f>
        <v>0</v>
      </c>
      <c r="H206" s="15" t="e">
        <f t="shared" ref="H206:I206" si="725">H205/H70</f>
        <v>#DIV/0!</v>
      </c>
      <c r="I206" s="15" t="e">
        <f t="shared" si="725"/>
        <v>#DIV/0!</v>
      </c>
      <c r="J206" s="15" t="e">
        <f t="shared" ref="J206:T206" si="726">J205/J70</f>
        <v>#DIV/0!</v>
      </c>
      <c r="K206" s="15" t="e">
        <f t="shared" si="726"/>
        <v>#DIV/0!</v>
      </c>
      <c r="L206" s="15" t="e">
        <f t="shared" si="726"/>
        <v>#DIV/0!</v>
      </c>
      <c r="M206" s="15" t="e">
        <f t="shared" si="726"/>
        <v>#DIV/0!</v>
      </c>
      <c r="N206" s="15">
        <f t="shared" si="726"/>
        <v>0</v>
      </c>
      <c r="O206" s="15">
        <f t="shared" si="726"/>
        <v>0</v>
      </c>
      <c r="P206" s="15">
        <f t="shared" si="726"/>
        <v>0</v>
      </c>
      <c r="Q206" s="15">
        <f t="shared" si="726"/>
        <v>0</v>
      </c>
      <c r="R206" s="15">
        <f t="shared" si="726"/>
        <v>0</v>
      </c>
      <c r="S206" s="15">
        <f t="shared" si="726"/>
        <v>0</v>
      </c>
      <c r="T206" s="15">
        <f t="shared" si="726"/>
        <v>0</v>
      </c>
      <c r="U206" s="15">
        <f t="shared" ref="U206" si="727">U205/U70</f>
        <v>3</v>
      </c>
      <c r="V206" s="101" t="e">
        <f t="shared" si="719"/>
        <v>#DIV/0!</v>
      </c>
      <c r="W206" s="109"/>
      <c r="X206" s="15">
        <f t="shared" ref="X206:AG206" si="728">X205/X70</f>
        <v>0.51</v>
      </c>
      <c r="Y206" s="15">
        <f t="shared" si="728"/>
        <v>0.43350000000000005</v>
      </c>
      <c r="Z206" s="15">
        <f t="shared" si="728"/>
        <v>0.36847500000000011</v>
      </c>
      <c r="AA206" s="15">
        <f t="shared" si="728"/>
        <v>0.31320375000000011</v>
      </c>
      <c r="AB206" s="15">
        <f t="shared" si="728"/>
        <v>0.26622318750000012</v>
      </c>
      <c r="AC206" s="15">
        <f t="shared" si="728"/>
        <v>0.22628970937500012</v>
      </c>
      <c r="AD206" s="15">
        <f t="shared" si="728"/>
        <v>0.19234625296875013</v>
      </c>
      <c r="AE206" s="15">
        <f t="shared" si="728"/>
        <v>0.16349431502343759</v>
      </c>
      <c r="AF206" s="15">
        <f t="shared" si="728"/>
        <v>0.13897016776992197</v>
      </c>
      <c r="AG206" s="15">
        <f t="shared" si="728"/>
        <v>0.11812464260443367</v>
      </c>
      <c r="AH206" s="115" t="e">
        <f t="shared" ref="AH206" si="729">((AG206/J206)^(1/($AG$3-$K$1) ))-1</f>
        <v>#DIV/0!</v>
      </c>
      <c r="AI206" s="21">
        <f t="shared" si="722"/>
        <v>0.01</v>
      </c>
      <c r="AJ206" s="108" t="e">
        <f t="shared" ref="AJ206" si="730">(AG206*(1+AH206))/($C$1-AI206)</f>
        <v>#DIV/0!</v>
      </c>
    </row>
    <row r="207" spans="2:36">
      <c r="B207" s="10" t="s">
        <v>331</v>
      </c>
      <c r="C207" s="15"/>
      <c r="D207" s="15"/>
      <c r="E207" s="15"/>
      <c r="F207" s="15"/>
      <c r="G207" s="15">
        <f t="shared" ref="G207" si="731">G205/G76</f>
        <v>0</v>
      </c>
      <c r="H207" s="15" t="e">
        <f t="shared" ref="H207:I207" si="732">H205/H76</f>
        <v>#DIV/0!</v>
      </c>
      <c r="I207" s="15" t="e">
        <f t="shared" si="732"/>
        <v>#DIV/0!</v>
      </c>
      <c r="J207" s="15" t="e">
        <f t="shared" ref="J207:T207" si="733">J205/J76</f>
        <v>#DIV/0!</v>
      </c>
      <c r="K207" s="15" t="e">
        <f t="shared" si="733"/>
        <v>#DIV/0!</v>
      </c>
      <c r="L207" s="15" t="e">
        <f t="shared" si="733"/>
        <v>#DIV/0!</v>
      </c>
      <c r="M207" s="15" t="e">
        <f t="shared" si="733"/>
        <v>#DIV/0!</v>
      </c>
      <c r="N207" s="15">
        <f t="shared" si="733"/>
        <v>0</v>
      </c>
      <c r="O207" s="15">
        <f t="shared" si="733"/>
        <v>0</v>
      </c>
      <c r="P207" s="15">
        <f t="shared" si="733"/>
        <v>0</v>
      </c>
      <c r="Q207" s="15">
        <f t="shared" si="733"/>
        <v>0</v>
      </c>
      <c r="R207" s="15">
        <f t="shared" si="733"/>
        <v>0</v>
      </c>
      <c r="S207" s="15">
        <f t="shared" si="733"/>
        <v>0</v>
      </c>
      <c r="T207" s="15">
        <f t="shared" si="733"/>
        <v>0</v>
      </c>
      <c r="U207" s="15">
        <f t="shared" ref="U207" si="734">U205/U76</f>
        <v>12.877358490566039</v>
      </c>
      <c r="V207" s="101" t="e">
        <f t="shared" si="719"/>
        <v>#DIV/0!</v>
      </c>
      <c r="W207" s="109"/>
      <c r="X207" s="102">
        <f t="shared" ref="X207:AG207" si="735">X205/X76</f>
        <v>2.1891509433962266</v>
      </c>
      <c r="Y207" s="102">
        <f t="shared" si="735"/>
        <v>1.8607783018867927</v>
      </c>
      <c r="Z207" s="102">
        <f t="shared" si="735"/>
        <v>1.5816615566037739</v>
      </c>
      <c r="AA207" s="102">
        <f t="shared" si="735"/>
        <v>1.3444123231132077</v>
      </c>
      <c r="AB207" s="102">
        <f t="shared" si="735"/>
        <v>1.1427504746462269</v>
      </c>
      <c r="AC207" s="102">
        <f t="shared" si="735"/>
        <v>0.97133790344929283</v>
      </c>
      <c r="AD207" s="102">
        <f t="shared" si="735"/>
        <v>0.82563721793189893</v>
      </c>
      <c r="AE207" s="102">
        <f t="shared" si="735"/>
        <v>0.70179163524211408</v>
      </c>
      <c r="AF207" s="102">
        <f t="shared" si="735"/>
        <v>0.59652288995579705</v>
      </c>
      <c r="AG207" s="102">
        <f t="shared" si="735"/>
        <v>0.50704445646242757</v>
      </c>
      <c r="AH207" s="115" t="e">
        <f t="shared" si="721"/>
        <v>#DIV/0!</v>
      </c>
      <c r="AI207" s="21">
        <f t="shared" si="722"/>
        <v>0.01</v>
      </c>
      <c r="AJ207" s="108" t="e">
        <f t="shared" si="723"/>
        <v>#DIV/0!</v>
      </c>
    </row>
    <row r="208" spans="2:36">
      <c r="B208" s="10" t="s">
        <v>404</v>
      </c>
      <c r="C208" s="15"/>
      <c r="D208" s="15"/>
      <c r="E208" s="15"/>
      <c r="F208" s="15"/>
      <c r="G208" s="15">
        <f t="shared" ref="G208" si="736">G205/G74</f>
        <v>0</v>
      </c>
      <c r="H208" s="15" t="e">
        <f t="shared" ref="H208:I208" si="737">H205/H74</f>
        <v>#DIV/0!</v>
      </c>
      <c r="I208" s="15" t="e">
        <f t="shared" si="737"/>
        <v>#DIV/0!</v>
      </c>
      <c r="J208" s="15" t="e">
        <f t="shared" ref="J208:T208" si="738">J205/J74</f>
        <v>#DIV/0!</v>
      </c>
      <c r="K208" s="15" t="e">
        <f t="shared" si="738"/>
        <v>#DIV/0!</v>
      </c>
      <c r="L208" s="15" t="e">
        <f t="shared" si="738"/>
        <v>#DIV/0!</v>
      </c>
      <c r="M208" s="15" t="e">
        <f t="shared" si="738"/>
        <v>#DIV/0!</v>
      </c>
      <c r="N208" s="15">
        <f t="shared" si="738"/>
        <v>0</v>
      </c>
      <c r="O208" s="15">
        <f t="shared" si="738"/>
        <v>0</v>
      </c>
      <c r="P208" s="15">
        <f t="shared" si="738"/>
        <v>0</v>
      </c>
      <c r="Q208" s="15">
        <f t="shared" si="738"/>
        <v>0</v>
      </c>
      <c r="R208" s="15">
        <f t="shared" si="738"/>
        <v>0</v>
      </c>
      <c r="S208" s="15">
        <f t="shared" si="738"/>
        <v>0</v>
      </c>
      <c r="T208" s="15">
        <f t="shared" si="738"/>
        <v>0</v>
      </c>
      <c r="U208" s="15">
        <f t="shared" ref="U208" si="739">U205/U74</f>
        <v>4.1615853658536581</v>
      </c>
      <c r="V208" s="101" t="e">
        <f t="shared" si="719"/>
        <v>#DIV/0!</v>
      </c>
      <c r="W208" s="109"/>
      <c r="X208" s="15">
        <f t="shared" ref="X208:AG208" si="740">X205/X74</f>
        <v>0.707469512195122</v>
      </c>
      <c r="Y208" s="15">
        <f t="shared" si="740"/>
        <v>0.60134908536585385</v>
      </c>
      <c r="Z208" s="15">
        <f t="shared" si="740"/>
        <v>0.51114672256097571</v>
      </c>
      <c r="AA208" s="15">
        <f t="shared" si="740"/>
        <v>0.43447471417682942</v>
      </c>
      <c r="AB208" s="15">
        <f t="shared" si="740"/>
        <v>0.36930350705030507</v>
      </c>
      <c r="AC208" s="15">
        <f t="shared" si="740"/>
        <v>0.31390798099275935</v>
      </c>
      <c r="AD208" s="15">
        <f t="shared" si="740"/>
        <v>0.26682178384384547</v>
      </c>
      <c r="AE208" s="15">
        <f t="shared" si="740"/>
        <v>0.22679851626726866</v>
      </c>
      <c r="AF208" s="15">
        <f t="shared" si="740"/>
        <v>0.19277873882717836</v>
      </c>
      <c r="AG208" s="15">
        <f t="shared" si="740"/>
        <v>0.16386192800310162</v>
      </c>
      <c r="AH208" s="115" t="e">
        <f t="shared" ref="AH208:AH209" si="741">((AG208/J208)^(1/($AG$3-$K$1) ))-1</f>
        <v>#DIV/0!</v>
      </c>
      <c r="AI208" s="21">
        <f t="shared" si="722"/>
        <v>0.01</v>
      </c>
      <c r="AJ208" s="108" t="e">
        <f t="shared" ref="AJ208:AJ209" si="742">(AG208*(1+AH208))/($C$1-AI208)</f>
        <v>#DIV/0!</v>
      </c>
    </row>
    <row r="209" spans="2:36">
      <c r="B209" s="10" t="s">
        <v>405</v>
      </c>
      <c r="C209" s="15"/>
      <c r="D209" s="15"/>
      <c r="E209" s="15"/>
      <c r="F209" s="15"/>
      <c r="G209" s="15">
        <f t="shared" ref="G209" si="743">G205/G75</f>
        <v>0</v>
      </c>
      <c r="H209" s="15" t="e">
        <f t="shared" ref="H209:I209" si="744">H205/H75</f>
        <v>#DIV/0!</v>
      </c>
      <c r="I209" s="15" t="e">
        <f t="shared" si="744"/>
        <v>#DIV/0!</v>
      </c>
      <c r="J209" s="15" t="e">
        <f t="shared" ref="J209:T209" si="745">J205/J75</f>
        <v>#DIV/0!</v>
      </c>
      <c r="K209" s="15" t="e">
        <f t="shared" si="745"/>
        <v>#DIV/0!</v>
      </c>
      <c r="L209" s="15" t="e">
        <f t="shared" si="745"/>
        <v>#DIV/0!</v>
      </c>
      <c r="M209" s="15" t="e">
        <f t="shared" si="745"/>
        <v>#DIV/0!</v>
      </c>
      <c r="N209" s="15">
        <f t="shared" si="745"/>
        <v>0</v>
      </c>
      <c r="O209" s="15">
        <f t="shared" si="745"/>
        <v>0</v>
      </c>
      <c r="P209" s="15">
        <f t="shared" si="745"/>
        <v>0</v>
      </c>
      <c r="Q209" s="15">
        <f t="shared" si="745"/>
        <v>0</v>
      </c>
      <c r="R209" s="15">
        <f t="shared" si="745"/>
        <v>0</v>
      </c>
      <c r="S209" s="15">
        <f t="shared" si="745"/>
        <v>0</v>
      </c>
      <c r="T209" s="15">
        <f t="shared" si="745"/>
        <v>0</v>
      </c>
      <c r="U209" s="15">
        <f t="shared" ref="U209" si="746">U205/U75</f>
        <v>8.4782608695652169</v>
      </c>
      <c r="V209" s="101" t="e">
        <f t="shared" si="719"/>
        <v>#DIV/0!</v>
      </c>
      <c r="W209" s="109"/>
      <c r="X209" s="15">
        <f t="shared" ref="X209:AG210" si="747">X205/X75</f>
        <v>1.441304347826087</v>
      </c>
      <c r="Y209" s="15">
        <f t="shared" si="747"/>
        <v>1.2251086956521742</v>
      </c>
      <c r="Z209" s="15">
        <f t="shared" si="747"/>
        <v>1.041342391304348</v>
      </c>
      <c r="AA209" s="15">
        <f t="shared" si="747"/>
        <v>0.88514103260869592</v>
      </c>
      <c r="AB209" s="15">
        <f t="shared" si="747"/>
        <v>0.75236987771739161</v>
      </c>
      <c r="AC209" s="15">
        <f t="shared" si="747"/>
        <v>0.639514396059783</v>
      </c>
      <c r="AD209" s="15">
        <f t="shared" si="747"/>
        <v>0.54358723665081554</v>
      </c>
      <c r="AE209" s="15">
        <f t="shared" si="747"/>
        <v>0.46204915115319323</v>
      </c>
      <c r="AF209" s="15">
        <f t="shared" si="747"/>
        <v>0.39274177848021424</v>
      </c>
      <c r="AG209" s="15">
        <f t="shared" si="747"/>
        <v>0.33383051170818218</v>
      </c>
      <c r="AH209" s="115" t="e">
        <f t="shared" si="741"/>
        <v>#DIV/0!</v>
      </c>
      <c r="AI209" s="21">
        <f t="shared" si="722"/>
        <v>0.01</v>
      </c>
      <c r="AJ209" s="108" t="e">
        <f t="shared" si="742"/>
        <v>#DIV/0!</v>
      </c>
    </row>
    <row r="210" spans="2:36">
      <c r="B210" s="10" t="s">
        <v>215</v>
      </c>
      <c r="C210" s="15"/>
      <c r="D210" s="15"/>
      <c r="E210" s="15"/>
      <c r="F210" s="15"/>
      <c r="G210" s="15">
        <f t="shared" ref="G210" si="748">G205/G79</f>
        <v>0</v>
      </c>
      <c r="H210" s="15" t="e">
        <f t="shared" ref="H210:I210" si="749">H205/H79</f>
        <v>#DIV/0!</v>
      </c>
      <c r="I210" s="15" t="e">
        <f t="shared" si="749"/>
        <v>#DIV/0!</v>
      </c>
      <c r="J210" s="15" t="e">
        <f t="shared" ref="J210:T210" si="750">J205/J79</f>
        <v>#DIV/0!</v>
      </c>
      <c r="K210" s="15" t="e">
        <f t="shared" si="750"/>
        <v>#DIV/0!</v>
      </c>
      <c r="L210" s="15" t="e">
        <f t="shared" si="750"/>
        <v>#DIV/0!</v>
      </c>
      <c r="M210" s="15" t="e">
        <f t="shared" si="750"/>
        <v>#DIV/0!</v>
      </c>
      <c r="N210" s="15">
        <f t="shared" si="750"/>
        <v>0</v>
      </c>
      <c r="O210" s="15">
        <f t="shared" si="750"/>
        <v>0</v>
      </c>
      <c r="P210" s="15">
        <f t="shared" si="750"/>
        <v>0</v>
      </c>
      <c r="Q210" s="15">
        <f t="shared" si="750"/>
        <v>0</v>
      </c>
      <c r="R210" s="15">
        <f t="shared" si="750"/>
        <v>0</v>
      </c>
      <c r="S210" s="15">
        <f t="shared" si="750"/>
        <v>0</v>
      </c>
      <c r="T210" s="15">
        <f t="shared" si="750"/>
        <v>0</v>
      </c>
      <c r="U210" s="15">
        <f t="shared" ref="U210" si="751">U205/U79</f>
        <v>2.0526315789473686</v>
      </c>
      <c r="V210" s="101" t="e">
        <f t="shared" si="719"/>
        <v>#DIV/0!</v>
      </c>
      <c r="W210" s="109"/>
      <c r="X210" s="15">
        <f t="shared" si="747"/>
        <v>2.2329339622641511E-2</v>
      </c>
      <c r="Y210" s="102">
        <f t="shared" ref="Y210:AG210" si="752">Y205/Y79</f>
        <v>0.29660526315789476</v>
      </c>
      <c r="Z210" s="102">
        <f t="shared" si="752"/>
        <v>0.25211447368421058</v>
      </c>
      <c r="AA210" s="102">
        <f t="shared" si="752"/>
        <v>0.21429730263157901</v>
      </c>
      <c r="AB210" s="102">
        <f t="shared" si="752"/>
        <v>0.18215270723684218</v>
      </c>
      <c r="AC210" s="102">
        <f t="shared" si="752"/>
        <v>0.15482980115131589</v>
      </c>
      <c r="AD210" s="102">
        <f t="shared" si="752"/>
        <v>0.13160533097861851</v>
      </c>
      <c r="AE210" s="102">
        <f t="shared" si="752"/>
        <v>0.11186453133182575</v>
      </c>
      <c r="AF210" s="102">
        <f t="shared" si="752"/>
        <v>9.5084851632051895E-2</v>
      </c>
      <c r="AG210" s="102">
        <f t="shared" si="752"/>
        <v>8.0822123887244107E-2</v>
      </c>
      <c r="AH210" s="115" t="e">
        <f t="shared" si="721"/>
        <v>#DIV/0!</v>
      </c>
      <c r="AI210" s="21">
        <f t="shared" si="722"/>
        <v>0.01</v>
      </c>
      <c r="AJ210" s="108" t="e">
        <f t="shared" si="723"/>
        <v>#DIV/0!</v>
      </c>
    </row>
    <row r="211" spans="2:36">
      <c r="B211" s="10" t="s">
        <v>216</v>
      </c>
      <c r="C211" s="15"/>
      <c r="D211" s="15"/>
      <c r="E211" s="15"/>
      <c r="F211" s="15"/>
      <c r="G211" s="15">
        <f t="shared" ref="G211" si="753">G205/G88</f>
        <v>0</v>
      </c>
      <c r="H211" s="15" t="e">
        <f t="shared" ref="H211:I211" si="754">H205/H88</f>
        <v>#DIV/0!</v>
      </c>
      <c r="I211" s="15" t="e">
        <f t="shared" si="754"/>
        <v>#DIV/0!</v>
      </c>
      <c r="J211" s="15" t="e">
        <f t="shared" ref="J211:T211" si="755">J205/J88</f>
        <v>#DIV/0!</v>
      </c>
      <c r="K211" s="15" t="e">
        <f t="shared" si="755"/>
        <v>#DIV/0!</v>
      </c>
      <c r="L211" s="15" t="e">
        <f t="shared" si="755"/>
        <v>#DIV/0!</v>
      </c>
      <c r="M211" s="15" t="e">
        <f t="shared" si="755"/>
        <v>#DIV/0!</v>
      </c>
      <c r="N211" s="15">
        <f t="shared" si="755"/>
        <v>0</v>
      </c>
      <c r="O211" s="15">
        <f t="shared" si="755"/>
        <v>0</v>
      </c>
      <c r="P211" s="15">
        <f t="shared" si="755"/>
        <v>0</v>
      </c>
      <c r="Q211" s="15">
        <f t="shared" si="755"/>
        <v>0</v>
      </c>
      <c r="R211" s="15">
        <f t="shared" si="755"/>
        <v>0</v>
      </c>
      <c r="S211" s="15">
        <f t="shared" si="755"/>
        <v>0</v>
      </c>
      <c r="T211" s="15">
        <f t="shared" si="755"/>
        <v>0</v>
      </c>
      <c r="U211" s="15">
        <f t="shared" ref="U211" si="756">U205/U88</f>
        <v>23.913805185704273</v>
      </c>
      <c r="V211" s="101" t="e">
        <f t="shared" si="719"/>
        <v>#DIV/0!</v>
      </c>
      <c r="W211" s="109"/>
      <c r="X211" s="102">
        <f t="shared" ref="X211:AG211" si="757">X205/X88</f>
        <v>4.0653468815697273</v>
      </c>
      <c r="Y211" s="102">
        <f t="shared" si="757"/>
        <v>3.4555448493342689</v>
      </c>
      <c r="Z211" s="102">
        <f t="shared" si="757"/>
        <v>2.9372131219341289</v>
      </c>
      <c r="AA211" s="102">
        <f t="shared" si="757"/>
        <v>2.4966311536440093</v>
      </c>
      <c r="AB211" s="102">
        <f t="shared" si="757"/>
        <v>2.1221364805974079</v>
      </c>
      <c r="AC211" s="102">
        <f t="shared" si="757"/>
        <v>1.803816008507797</v>
      </c>
      <c r="AD211" s="102">
        <f t="shared" si="757"/>
        <v>1.533243607231628</v>
      </c>
      <c r="AE211" s="102">
        <f t="shared" si="757"/>
        <v>1.3032570661468836</v>
      </c>
      <c r="AF211" s="102">
        <f t="shared" si="757"/>
        <v>1.1077685062248512</v>
      </c>
      <c r="AG211" s="102">
        <f t="shared" si="757"/>
        <v>0.94160323029112358</v>
      </c>
      <c r="AH211" s="115" t="e">
        <f t="shared" si="721"/>
        <v>#DIV/0!</v>
      </c>
      <c r="AI211" s="21">
        <f t="shared" si="722"/>
        <v>0.01</v>
      </c>
      <c r="AJ211" s="108" t="e">
        <f t="shared" si="723"/>
        <v>#DIV/0!</v>
      </c>
    </row>
    <row r="212" spans="2:36">
      <c r="B212" s="10" t="s">
        <v>217</v>
      </c>
      <c r="C212" s="15"/>
      <c r="D212" s="15"/>
      <c r="E212" s="15"/>
      <c r="F212" s="15"/>
      <c r="G212" s="15">
        <f t="shared" ref="G212" si="758">G205/G90</f>
        <v>0</v>
      </c>
      <c r="H212" s="15" t="e">
        <f t="shared" ref="H212:I212" si="759">H205/H90</f>
        <v>#DIV/0!</v>
      </c>
      <c r="I212" s="15" t="e">
        <f t="shared" si="759"/>
        <v>#DIV/0!</v>
      </c>
      <c r="J212" s="15" t="e">
        <f t="shared" ref="J212:T212" si="760">J205/J90</f>
        <v>#DIV/0!</v>
      </c>
      <c r="K212" s="15" t="e">
        <f t="shared" si="760"/>
        <v>#DIV/0!</v>
      </c>
      <c r="L212" s="15" t="e">
        <f t="shared" si="760"/>
        <v>#DIV/0!</v>
      </c>
      <c r="M212" s="15" t="e">
        <f t="shared" si="760"/>
        <v>#DIV/0!</v>
      </c>
      <c r="N212" s="15">
        <f t="shared" si="760"/>
        <v>0</v>
      </c>
      <c r="O212" s="15">
        <f t="shared" si="760"/>
        <v>0</v>
      </c>
      <c r="P212" s="15">
        <f t="shared" si="760"/>
        <v>0</v>
      </c>
      <c r="Q212" s="15">
        <f t="shared" si="760"/>
        <v>0</v>
      </c>
      <c r="R212" s="15">
        <f t="shared" si="760"/>
        <v>0</v>
      </c>
      <c r="S212" s="15">
        <f t="shared" si="760"/>
        <v>0</v>
      </c>
      <c r="T212" s="15">
        <f t="shared" si="760"/>
        <v>0</v>
      </c>
      <c r="U212" s="15">
        <f t="shared" ref="U212" si="761">U205/U90</f>
        <v>0.70762052877138415</v>
      </c>
      <c r="V212" s="101" t="e">
        <f t="shared" si="719"/>
        <v>#DIV/0!</v>
      </c>
      <c r="W212" s="109"/>
      <c r="X212" s="102">
        <f t="shared" ref="X212:AG212" si="762">X205/X90</f>
        <v>0.12029548989113532</v>
      </c>
      <c r="Y212" s="102">
        <f t="shared" si="762"/>
        <v>0.10225116640746502</v>
      </c>
      <c r="Z212" s="102">
        <f t="shared" si="762"/>
        <v>8.6913491446345276E-2</v>
      </c>
      <c r="AA212" s="102">
        <f t="shared" si="762"/>
        <v>7.3876467729393491E-2</v>
      </c>
      <c r="AB212" s="102">
        <f t="shared" si="762"/>
        <v>6.2794997569984481E-2</v>
      </c>
      <c r="AC212" s="102">
        <f t="shared" si="762"/>
        <v>5.3375747934486815E-2</v>
      </c>
      <c r="AD212" s="102">
        <f t="shared" si="762"/>
        <v>4.5369385744313789E-2</v>
      </c>
      <c r="AE212" s="102">
        <f t="shared" si="762"/>
        <v>3.8563977882666731E-2</v>
      </c>
      <c r="AF212" s="102">
        <f t="shared" si="762"/>
        <v>3.2779381200266723E-2</v>
      </c>
      <c r="AG212" s="102">
        <f t="shared" si="762"/>
        <v>2.7862474020226714E-2</v>
      </c>
      <c r="AH212" s="115" t="e">
        <f t="shared" si="721"/>
        <v>#DIV/0!</v>
      </c>
      <c r="AI212" s="21">
        <f t="shared" si="722"/>
        <v>0.01</v>
      </c>
      <c r="AJ212" s="108" t="e">
        <f t="shared" si="723"/>
        <v>#DIV/0!</v>
      </c>
    </row>
    <row r="213" spans="2:36">
      <c r="B213" s="10" t="s">
        <v>231</v>
      </c>
      <c r="C213" s="15"/>
      <c r="D213" s="15"/>
      <c r="E213" s="15"/>
      <c r="F213" s="15"/>
      <c r="G213" s="157">
        <f t="shared" ref="G213" si="763">G205/G84</f>
        <v>0</v>
      </c>
      <c r="H213" s="157" t="e">
        <f t="shared" ref="H213:I213" si="764">H205/H84</f>
        <v>#DIV/0!</v>
      </c>
      <c r="I213" s="157" t="e">
        <f t="shared" si="764"/>
        <v>#DIV/0!</v>
      </c>
      <c r="J213" s="157" t="e">
        <f t="shared" ref="J213:T213" si="765">J205/J84</f>
        <v>#DIV/0!</v>
      </c>
      <c r="K213" s="157" t="e">
        <f t="shared" si="765"/>
        <v>#DIV/0!</v>
      </c>
      <c r="L213" s="157" t="e">
        <f t="shared" si="765"/>
        <v>#DIV/0!</v>
      </c>
      <c r="M213" s="157" t="e">
        <f t="shared" si="765"/>
        <v>#DIV/0!</v>
      </c>
      <c r="N213" s="157">
        <f t="shared" si="765"/>
        <v>0</v>
      </c>
      <c r="O213" s="157">
        <f t="shared" si="765"/>
        <v>0</v>
      </c>
      <c r="P213" s="157">
        <f t="shared" si="765"/>
        <v>0</v>
      </c>
      <c r="Q213" s="157">
        <f t="shared" si="765"/>
        <v>0</v>
      </c>
      <c r="R213" s="157">
        <f t="shared" si="765"/>
        <v>0</v>
      </c>
      <c r="S213" s="157">
        <f t="shared" si="765"/>
        <v>0</v>
      </c>
      <c r="T213" s="157">
        <f t="shared" si="765"/>
        <v>0</v>
      </c>
      <c r="U213" s="157">
        <f t="shared" ref="U213" si="766">U205/U84</f>
        <v>-1.0309667673716012</v>
      </c>
      <c r="V213" s="101" t="e">
        <f t="shared" si="719"/>
        <v>#DIV/0!</v>
      </c>
      <c r="W213" s="109"/>
      <c r="X213" s="112">
        <f t="shared" ref="X213:AG213" si="767">X205/X84</f>
        <v>-0.17526435045317224</v>
      </c>
      <c r="Y213" s="112">
        <f t="shared" si="767"/>
        <v>-0.14897469788519641</v>
      </c>
      <c r="Z213" s="112">
        <f t="shared" si="767"/>
        <v>-0.12662849320241693</v>
      </c>
      <c r="AA213" s="112">
        <f t="shared" si="767"/>
        <v>-0.10763421922205441</v>
      </c>
      <c r="AB213" s="112">
        <f t="shared" si="767"/>
        <v>-9.1489086338746278E-2</v>
      </c>
      <c r="AC213" s="112">
        <f t="shared" si="767"/>
        <v>-7.7765723387934332E-2</v>
      </c>
      <c r="AD213" s="112">
        <f t="shared" si="767"/>
        <v>-6.6100864879744189E-2</v>
      </c>
      <c r="AE213" s="112">
        <f t="shared" si="767"/>
        <v>-5.6185735147782558E-2</v>
      </c>
      <c r="AF213" s="112">
        <f t="shared" si="767"/>
        <v>-4.7757874875615169E-2</v>
      </c>
      <c r="AG213" s="112">
        <f t="shared" si="767"/>
        <v>-4.05941936442729E-2</v>
      </c>
      <c r="AH213" s="115" t="e">
        <f t="shared" ref="AH213" si="768">((AG213/J213)^(1/($AG$3-$K$1) ))-1</f>
        <v>#DIV/0!</v>
      </c>
      <c r="AI213" s="21">
        <f t="shared" ref="AI213:AI216" si="769">$O$1</f>
        <v>0.01</v>
      </c>
      <c r="AJ213" s="108" t="e">
        <f t="shared" si="723"/>
        <v>#DIV/0!</v>
      </c>
    </row>
    <row r="214" spans="2:36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69"/>
        <v>0.01</v>
      </c>
      <c r="AJ214" s="108"/>
    </row>
    <row r="215" spans="2:36">
      <c r="B215" s="10" t="s">
        <v>264</v>
      </c>
      <c r="C215" s="128"/>
      <c r="D215" s="128"/>
      <c r="E215" s="128"/>
      <c r="F215" s="128"/>
      <c r="G215" s="128" t="e">
        <f t="shared" ref="G215" si="770">G63/G205</f>
        <v>#DIV/0!</v>
      </c>
      <c r="H215" s="128" t="e">
        <f t="shared" ref="H215:I215" si="771">H63/H205</f>
        <v>#DIV/0!</v>
      </c>
      <c r="I215" s="128" t="e">
        <f t="shared" si="771"/>
        <v>#DIV/0!</v>
      </c>
      <c r="J215" s="128" t="e">
        <f t="shared" ref="J215:T215" si="772">J63/J205</f>
        <v>#DIV/0!</v>
      </c>
      <c r="K215" s="128" t="e">
        <f t="shared" si="772"/>
        <v>#DIV/0!</v>
      </c>
      <c r="L215" s="128" t="e">
        <f t="shared" si="772"/>
        <v>#DIV/0!</v>
      </c>
      <c r="M215" s="128" t="e">
        <f t="shared" si="772"/>
        <v>#DIV/0!</v>
      </c>
      <c r="N215" s="128" t="e">
        <f t="shared" si="772"/>
        <v>#DIV/0!</v>
      </c>
      <c r="O215" s="128" t="e">
        <f t="shared" si="772"/>
        <v>#DIV/0!</v>
      </c>
      <c r="P215" s="128" t="e">
        <f t="shared" si="772"/>
        <v>#DIV/0!</v>
      </c>
      <c r="Q215" s="128" t="e">
        <f t="shared" si="772"/>
        <v>#DIV/0!</v>
      </c>
      <c r="R215" s="128" t="e">
        <f t="shared" si="772"/>
        <v>#DIV/0!</v>
      </c>
      <c r="S215" s="128" t="e">
        <f t="shared" si="772"/>
        <v>#DIV/0!</v>
      </c>
      <c r="T215" s="128" t="e">
        <f t="shared" si="772"/>
        <v>#DIV/0!</v>
      </c>
      <c r="U215" s="128">
        <f t="shared" ref="U215" si="773">U63/U205</f>
        <v>0</v>
      </c>
      <c r="V215" s="101" t="e">
        <f t="shared" si="719"/>
        <v>#DIV/0!</v>
      </c>
      <c r="W215" s="109"/>
      <c r="X215" s="128">
        <f t="shared" ref="X215:AG215" si="774">X63/X205</f>
        <v>0</v>
      </c>
      <c r="Y215" s="128">
        <f t="shared" si="774"/>
        <v>0</v>
      </c>
      <c r="Z215" s="128">
        <f t="shared" si="774"/>
        <v>0</v>
      </c>
      <c r="AA215" s="128">
        <f t="shared" si="774"/>
        <v>0</v>
      </c>
      <c r="AB215" s="128">
        <f t="shared" si="774"/>
        <v>0</v>
      </c>
      <c r="AC215" s="128">
        <f t="shared" si="774"/>
        <v>0</v>
      </c>
      <c r="AD215" s="128">
        <f t="shared" si="774"/>
        <v>0</v>
      </c>
      <c r="AE215" s="128">
        <f t="shared" si="774"/>
        <v>0</v>
      </c>
      <c r="AF215" s="128">
        <f t="shared" si="774"/>
        <v>0</v>
      </c>
      <c r="AG215" s="128">
        <f t="shared" si="774"/>
        <v>0</v>
      </c>
      <c r="AH215" s="115" t="e">
        <f t="shared" ref="AH215:AH220" si="775">((AG215/J215)^(1/($AG$3-$K$1) ))-1</f>
        <v>#DIV/0!</v>
      </c>
      <c r="AI215" s="21">
        <f t="shared" si="769"/>
        <v>0.01</v>
      </c>
      <c r="AJ215" s="108" t="e">
        <f t="shared" si="723"/>
        <v>#DIV/0!</v>
      </c>
    </row>
    <row r="216" spans="2:36">
      <c r="B216" s="10" t="s">
        <v>132</v>
      </c>
      <c r="C216" s="128"/>
      <c r="D216" s="128"/>
      <c r="E216" s="128"/>
      <c r="F216" s="128"/>
      <c r="G216" s="140">
        <f t="shared" ref="G216" si="776">G205*G61</f>
        <v>0</v>
      </c>
      <c r="H216" s="140">
        <f t="shared" ref="H216:I216" si="777">H205*H61</f>
        <v>0</v>
      </c>
      <c r="I216" s="140">
        <f t="shared" si="777"/>
        <v>0</v>
      </c>
      <c r="J216" s="140">
        <f t="shared" ref="J216:T216" si="778">J205*J61</f>
        <v>0</v>
      </c>
      <c r="K216" s="140">
        <f t="shared" si="778"/>
        <v>0</v>
      </c>
      <c r="L216" s="140">
        <f t="shared" si="778"/>
        <v>0</v>
      </c>
      <c r="M216" s="140">
        <f t="shared" si="778"/>
        <v>0</v>
      </c>
      <c r="N216" s="140">
        <f t="shared" si="778"/>
        <v>0</v>
      </c>
      <c r="O216" s="140">
        <f t="shared" si="778"/>
        <v>0</v>
      </c>
      <c r="P216" s="140">
        <f t="shared" si="778"/>
        <v>0</v>
      </c>
      <c r="Q216" s="140">
        <f t="shared" si="778"/>
        <v>0</v>
      </c>
      <c r="R216" s="140">
        <f t="shared" si="778"/>
        <v>0</v>
      </c>
      <c r="S216" s="140">
        <f t="shared" si="778"/>
        <v>0</v>
      </c>
      <c r="T216" s="140">
        <f t="shared" si="778"/>
        <v>0</v>
      </c>
      <c r="U216" s="140">
        <f t="shared" ref="U216" si="779">U205*U61</f>
        <v>1365</v>
      </c>
      <c r="V216" s="101" t="e">
        <f t="shared" si="719"/>
        <v>#DIV/0!</v>
      </c>
      <c r="W216" s="109"/>
      <c r="X216" s="140">
        <f t="shared" ref="X216:AG216" si="780">X205*X61</f>
        <v>278.46000000000004</v>
      </c>
      <c r="Y216" s="140">
        <f t="shared" si="780"/>
        <v>284.0292</v>
      </c>
      <c r="Z216" s="140">
        <f t="shared" si="780"/>
        <v>289.70978400000001</v>
      </c>
      <c r="AA216" s="140">
        <f t="shared" si="780"/>
        <v>295.50397968000004</v>
      </c>
      <c r="AB216" s="140">
        <f t="shared" si="780"/>
        <v>301.41405927360006</v>
      </c>
      <c r="AC216" s="140">
        <f t="shared" si="780"/>
        <v>307.44234045907206</v>
      </c>
      <c r="AD216" s="140">
        <f t="shared" si="780"/>
        <v>313.59118726825352</v>
      </c>
      <c r="AE216" s="140">
        <f t="shared" si="780"/>
        <v>319.86301101361857</v>
      </c>
      <c r="AF216" s="140">
        <f t="shared" si="780"/>
        <v>326.26027123389099</v>
      </c>
      <c r="AG216" s="140">
        <f t="shared" si="780"/>
        <v>332.78547665856883</v>
      </c>
      <c r="AH216" s="115" t="e">
        <f t="shared" si="775"/>
        <v>#DIV/0!</v>
      </c>
      <c r="AI216" s="21">
        <f t="shared" si="769"/>
        <v>0.01</v>
      </c>
      <c r="AJ216" s="108" t="e">
        <f t="shared" si="723"/>
        <v>#DIV/0!</v>
      </c>
    </row>
    <row r="217" spans="2:36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>
      <c r="B218" s="10" t="s">
        <v>313</v>
      </c>
      <c r="C218" s="136"/>
      <c r="D218" s="136"/>
      <c r="E218" s="136"/>
      <c r="F218" s="136"/>
      <c r="G218" s="136" t="e">
        <f t="shared" ref="G218" si="781">G76/G205</f>
        <v>#DIV/0!</v>
      </c>
      <c r="H218" s="136" t="e">
        <f t="shared" ref="H218:I218" si="782">H76/H205</f>
        <v>#DIV/0!</v>
      </c>
      <c r="I218" s="136" t="e">
        <f t="shared" si="782"/>
        <v>#DIV/0!</v>
      </c>
      <c r="J218" s="136" t="e">
        <f t="shared" ref="J218:T218" si="783">J76/J205</f>
        <v>#DIV/0!</v>
      </c>
      <c r="K218" s="136" t="e">
        <f t="shared" si="783"/>
        <v>#DIV/0!</v>
      </c>
      <c r="L218" s="136" t="e">
        <f t="shared" si="783"/>
        <v>#DIV/0!</v>
      </c>
      <c r="M218" s="136" t="e">
        <f t="shared" si="783"/>
        <v>#DIV/0!</v>
      </c>
      <c r="N218" s="136" t="e">
        <f t="shared" si="783"/>
        <v>#DIV/0!</v>
      </c>
      <c r="O218" s="136" t="e">
        <f t="shared" si="783"/>
        <v>#DIV/0!</v>
      </c>
      <c r="P218" s="136" t="e">
        <f t="shared" si="783"/>
        <v>#DIV/0!</v>
      </c>
      <c r="Q218" s="136" t="e">
        <f t="shared" si="783"/>
        <v>#DIV/0!</v>
      </c>
      <c r="R218" s="136" t="e">
        <f t="shared" si="783"/>
        <v>#DIV/0!</v>
      </c>
      <c r="S218" s="136" t="e">
        <f t="shared" si="783"/>
        <v>#DIV/0!</v>
      </c>
      <c r="T218" s="136" t="e">
        <f t="shared" si="783"/>
        <v>#DIV/0!</v>
      </c>
      <c r="U218" s="136">
        <f t="shared" ref="U218" si="784">U76/U205</f>
        <v>7.7655677655677643E-2</v>
      </c>
      <c r="V218" s="101" t="e">
        <f t="shared" si="719"/>
        <v>#DIV/0!</v>
      </c>
      <c r="W218" s="109"/>
      <c r="X218" s="136">
        <f t="shared" ref="X218:AG218" si="785">X76/X205</f>
        <v>0.45679810385692732</v>
      </c>
      <c r="Y218" s="136">
        <f t="shared" si="785"/>
        <v>0.53740953394932622</v>
      </c>
      <c r="Z218" s="136">
        <f t="shared" si="785"/>
        <v>0.63224651052861913</v>
      </c>
      <c r="AA218" s="136">
        <f t="shared" si="785"/>
        <v>0.74381942415131663</v>
      </c>
      <c r="AB218" s="136">
        <f t="shared" si="785"/>
        <v>0.875081675472137</v>
      </c>
      <c r="AC218" s="136">
        <f t="shared" si="785"/>
        <v>1.0295078534966318</v>
      </c>
      <c r="AD218" s="136">
        <f t="shared" si="785"/>
        <v>1.2111857099960373</v>
      </c>
      <c r="AE218" s="136">
        <f t="shared" si="785"/>
        <v>1.4249243647012204</v>
      </c>
      <c r="AF218" s="136">
        <f t="shared" si="785"/>
        <v>1.6763816055308474</v>
      </c>
      <c r="AG218" s="136">
        <f t="shared" si="785"/>
        <v>1.9722136535657027</v>
      </c>
      <c r="AH218" s="115" t="e">
        <f t="shared" ref="AH218" si="786">((AG218/J218)^(1/($AG$3-$K$1) ))-1</f>
        <v>#DIV/0!</v>
      </c>
      <c r="AI218" s="21">
        <f t="shared" ref="AI218" si="787">$O$1</f>
        <v>0.01</v>
      </c>
      <c r="AJ218" s="108" t="e">
        <f t="shared" ref="AJ218" si="788">(AG218*(1+AH218))/($C$1-AI218)</f>
        <v>#DIV/0!</v>
      </c>
    </row>
    <row r="219" spans="2:36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89">G207</f>
        <v>0</v>
      </c>
      <c r="H219" s="156" t="e">
        <f t="shared" ref="H219:I219" si="790">H207</f>
        <v>#DIV/0!</v>
      </c>
      <c r="I219" s="156" t="e">
        <f t="shared" si="790"/>
        <v>#DIV/0!</v>
      </c>
      <c r="J219" s="156" t="e">
        <f t="shared" ref="J219:T219" si="791">J207</f>
        <v>#DIV/0!</v>
      </c>
      <c r="K219" s="156" t="e">
        <f t="shared" si="791"/>
        <v>#DIV/0!</v>
      </c>
      <c r="L219" s="156" t="e">
        <f t="shared" si="791"/>
        <v>#DIV/0!</v>
      </c>
      <c r="M219" s="156" t="e">
        <f t="shared" si="791"/>
        <v>#DIV/0!</v>
      </c>
      <c r="N219" s="156">
        <f t="shared" si="791"/>
        <v>0</v>
      </c>
      <c r="O219" s="156">
        <f t="shared" si="791"/>
        <v>0</v>
      </c>
      <c r="P219" s="156">
        <f t="shared" si="791"/>
        <v>0</v>
      </c>
      <c r="Q219" s="156">
        <f t="shared" si="791"/>
        <v>0</v>
      </c>
      <c r="R219" s="156">
        <f t="shared" si="791"/>
        <v>0</v>
      </c>
      <c r="S219" s="156">
        <f t="shared" si="791"/>
        <v>0</v>
      </c>
      <c r="T219" s="156">
        <f t="shared" si="791"/>
        <v>0</v>
      </c>
      <c r="U219" s="156">
        <f t="shared" ref="U219" si="792">U207</f>
        <v>12.877358490566039</v>
      </c>
      <c r="V219" s="101" t="e">
        <f t="shared" si="719"/>
        <v>#DIV/0!</v>
      </c>
      <c r="W219" s="109"/>
      <c r="X219" s="128">
        <f t="shared" ref="X219:AG219" si="793">X207</f>
        <v>2.1891509433962266</v>
      </c>
      <c r="Y219" s="128">
        <f t="shared" si="793"/>
        <v>1.8607783018867927</v>
      </c>
      <c r="Z219" s="128">
        <f t="shared" si="793"/>
        <v>1.5816615566037739</v>
      </c>
      <c r="AA219" s="128">
        <f t="shared" si="793"/>
        <v>1.3444123231132077</v>
      </c>
      <c r="AB219" s="128">
        <f t="shared" si="793"/>
        <v>1.1427504746462269</v>
      </c>
      <c r="AC219" s="128">
        <f t="shared" si="793"/>
        <v>0.97133790344929283</v>
      </c>
      <c r="AD219" s="128">
        <f t="shared" si="793"/>
        <v>0.82563721793189893</v>
      </c>
      <c r="AE219" s="128">
        <f t="shared" si="793"/>
        <v>0.70179163524211408</v>
      </c>
      <c r="AF219" s="128">
        <f t="shared" si="793"/>
        <v>0.59652288995579705</v>
      </c>
      <c r="AG219" s="128">
        <f t="shared" si="793"/>
        <v>0.50704445646242757</v>
      </c>
      <c r="AH219" s="115" t="e">
        <f t="shared" ref="AH219" si="794">((AG219/J219)^(1/($AG$3-$K$1) ))-1</f>
        <v>#DIV/0!</v>
      </c>
      <c r="AI219" s="21">
        <f t="shared" ref="AI219:AI221" si="795">$O$1</f>
        <v>0.01</v>
      </c>
      <c r="AJ219" s="156" t="e">
        <f>(AJ206)/($O$2*100)</f>
        <v>#DIV/0!</v>
      </c>
    </row>
    <row r="220" spans="2:36">
      <c r="B220" s="10" t="s">
        <v>432</v>
      </c>
      <c r="C220" s="156"/>
      <c r="D220" s="156"/>
      <c r="E220" s="156"/>
      <c r="F220" s="156"/>
      <c r="G220" s="156">
        <f t="shared" ref="G220" si="796">(G207)/($O$2*100)</f>
        <v>0</v>
      </c>
      <c r="H220" s="156" t="e">
        <f t="shared" ref="H220:I220" si="797">(H207)/($O$2*100)</f>
        <v>#DIV/0!</v>
      </c>
      <c r="I220" s="156" t="e">
        <f t="shared" si="797"/>
        <v>#DIV/0!</v>
      </c>
      <c r="J220" s="156" t="e">
        <f t="shared" ref="J220:T220" si="798">(J207)/($O$2*100)</f>
        <v>#DIV/0!</v>
      </c>
      <c r="K220" s="156" t="e">
        <f t="shared" si="798"/>
        <v>#DIV/0!</v>
      </c>
      <c r="L220" s="156" t="e">
        <f t="shared" si="798"/>
        <v>#DIV/0!</v>
      </c>
      <c r="M220" s="156" t="e">
        <f t="shared" si="798"/>
        <v>#DIV/0!</v>
      </c>
      <c r="N220" s="156">
        <f t="shared" si="798"/>
        <v>0</v>
      </c>
      <c r="O220" s="156">
        <f t="shared" si="798"/>
        <v>0</v>
      </c>
      <c r="P220" s="156">
        <f t="shared" si="798"/>
        <v>0</v>
      </c>
      <c r="Q220" s="156">
        <f t="shared" si="798"/>
        <v>0</v>
      </c>
      <c r="R220" s="156">
        <f t="shared" si="798"/>
        <v>0</v>
      </c>
      <c r="S220" s="156">
        <f t="shared" si="798"/>
        <v>0</v>
      </c>
      <c r="T220" s="156">
        <f t="shared" si="798"/>
        <v>0</v>
      </c>
      <c r="U220" s="156">
        <f t="shared" ref="U220" si="799">(U207)/($O$2*100)</f>
        <v>0.64386792452830188</v>
      </c>
      <c r="V220" s="101" t="e">
        <f t="shared" si="719"/>
        <v>#DIV/0!</v>
      </c>
      <c r="W220" s="109"/>
      <c r="X220" s="156">
        <f t="shared" ref="X220:AG220" si="800">(X207)/($O$2*100)</f>
        <v>0.10945754716981133</v>
      </c>
      <c r="Y220" s="156">
        <f t="shared" si="800"/>
        <v>9.3038915094339633E-2</v>
      </c>
      <c r="Z220" s="156">
        <f t="shared" si="800"/>
        <v>7.9083077830188697E-2</v>
      </c>
      <c r="AA220" s="156">
        <f t="shared" si="800"/>
        <v>6.7220616155660384E-2</v>
      </c>
      <c r="AB220" s="156">
        <f t="shared" si="800"/>
        <v>5.7137523732311346E-2</v>
      </c>
      <c r="AC220" s="156">
        <f t="shared" si="800"/>
        <v>4.8566895172464639E-2</v>
      </c>
      <c r="AD220" s="156">
        <f t="shared" si="800"/>
        <v>4.1281860896594948E-2</v>
      </c>
      <c r="AE220" s="156">
        <f t="shared" si="800"/>
        <v>3.5089581762105707E-2</v>
      </c>
      <c r="AF220" s="156">
        <f t="shared" si="800"/>
        <v>2.9826144497789853E-2</v>
      </c>
      <c r="AG220" s="156">
        <f t="shared" si="800"/>
        <v>2.5352222823121377E-2</v>
      </c>
      <c r="AH220" s="115" t="e">
        <f t="shared" si="775"/>
        <v>#DIV/0!</v>
      </c>
      <c r="AI220" s="21">
        <f t="shared" si="795"/>
        <v>0.01</v>
      </c>
      <c r="AJ220" s="156" t="e">
        <f>(AJ207)/($O$2*100)</f>
        <v>#DIV/0!</v>
      </c>
    </row>
    <row r="221" spans="2:36">
      <c r="B221" s="10" t="s">
        <v>433</v>
      </c>
      <c r="C221" s="128"/>
      <c r="D221" s="128"/>
      <c r="E221" s="128"/>
      <c r="F221" s="128"/>
      <c r="G221" s="128">
        <f t="shared" ref="G221" si="801">G220-1</f>
        <v>-1</v>
      </c>
      <c r="H221" s="128" t="e">
        <f t="shared" ref="H221:I221" si="802">H220-1</f>
        <v>#DIV/0!</v>
      </c>
      <c r="I221" s="128" t="e">
        <f t="shared" si="802"/>
        <v>#DIV/0!</v>
      </c>
      <c r="J221" s="128" t="e">
        <f t="shared" ref="J221:S221" si="803">J220-1</f>
        <v>#DIV/0!</v>
      </c>
      <c r="K221" s="128" t="e">
        <f t="shared" si="803"/>
        <v>#DIV/0!</v>
      </c>
      <c r="L221" s="128" t="e">
        <f t="shared" si="803"/>
        <v>#DIV/0!</v>
      </c>
      <c r="M221" s="128" t="e">
        <f t="shared" si="803"/>
        <v>#DIV/0!</v>
      </c>
      <c r="N221" s="128">
        <f t="shared" si="803"/>
        <v>-1</v>
      </c>
      <c r="O221" s="128">
        <f t="shared" si="803"/>
        <v>-1</v>
      </c>
      <c r="P221" s="128">
        <f t="shared" si="803"/>
        <v>-1</v>
      </c>
      <c r="Q221" s="128">
        <f t="shared" si="803"/>
        <v>-1</v>
      </c>
      <c r="R221" s="128">
        <f t="shared" si="803"/>
        <v>-1</v>
      </c>
      <c r="S221" s="128">
        <f t="shared" si="803"/>
        <v>-1</v>
      </c>
      <c r="T221" s="128">
        <f>T220-1</f>
        <v>-1</v>
      </c>
      <c r="U221" s="128">
        <f>U220-1</f>
        <v>-0.35613207547169812</v>
      </c>
      <c r="V221" s="101">
        <f t="shared" si="719"/>
        <v>-0.13713184438457315</v>
      </c>
      <c r="W221" s="109"/>
      <c r="X221" s="128">
        <f t="shared" ref="X221:AG221" si="804">X220-1</f>
        <v>-0.89054245283018862</v>
      </c>
      <c r="Y221" s="128">
        <f t="shared" si="804"/>
        <v>-0.90696108490566041</v>
      </c>
      <c r="Z221" s="128">
        <f t="shared" si="804"/>
        <v>-0.92091692216981125</v>
      </c>
      <c r="AA221" s="128">
        <f t="shared" si="804"/>
        <v>-0.93277938384433967</v>
      </c>
      <c r="AB221" s="128">
        <f t="shared" si="804"/>
        <v>-0.94286247626768871</v>
      </c>
      <c r="AC221" s="128">
        <f t="shared" si="804"/>
        <v>-0.9514331048275354</v>
      </c>
      <c r="AD221" s="128">
        <f t="shared" si="804"/>
        <v>-0.95871813910340509</v>
      </c>
      <c r="AE221" s="128">
        <f t="shared" si="804"/>
        <v>-0.96491041823789425</v>
      </c>
      <c r="AF221" s="128">
        <f t="shared" si="804"/>
        <v>-0.97017385550221014</v>
      </c>
      <c r="AG221" s="128">
        <f t="shared" si="804"/>
        <v>-0.97464777717687867</v>
      </c>
      <c r="AH221" s="115" t="e">
        <f t="shared" ref="AH221" si="805">((AG221/J221)^(1/($AG$3-$K$1) ))-1</f>
        <v>#DIV/0!</v>
      </c>
      <c r="AI221" s="21">
        <f t="shared" si="795"/>
        <v>0.01</v>
      </c>
      <c r="AJ221" s="156" t="e">
        <f>(AJ208)/($O$2*100)</f>
        <v>#DIV/0!</v>
      </c>
    </row>
    <row r="222" spans="2:36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>
      <c r="B223" s="10" t="s">
        <v>505</v>
      </c>
      <c r="C223" s="128"/>
      <c r="D223" s="128"/>
      <c r="E223" s="128"/>
      <c r="F223" s="128"/>
      <c r="G223" s="128" t="e">
        <f t="shared" ref="G223:S223" si="806">1/G224</f>
        <v>#DIV/0!</v>
      </c>
      <c r="H223" s="128" t="e">
        <f t="shared" si="806"/>
        <v>#DIV/0!</v>
      </c>
      <c r="I223" s="128" t="e">
        <f t="shared" si="806"/>
        <v>#DIV/0!</v>
      </c>
      <c r="J223" s="128" t="e">
        <f t="shared" si="806"/>
        <v>#DIV/0!</v>
      </c>
      <c r="K223" s="128" t="e">
        <f t="shared" si="806"/>
        <v>#DIV/0!</v>
      </c>
      <c r="L223" s="128" t="e">
        <f t="shared" si="806"/>
        <v>#DIV/0!</v>
      </c>
      <c r="M223" s="128" t="e">
        <f t="shared" si="806"/>
        <v>#DIV/0!</v>
      </c>
      <c r="N223" s="128" t="e">
        <f t="shared" si="806"/>
        <v>#DIV/0!</v>
      </c>
      <c r="O223" s="128" t="e">
        <f t="shared" si="806"/>
        <v>#DIV/0!</v>
      </c>
      <c r="P223" s="128" t="e">
        <f t="shared" si="806"/>
        <v>#DIV/0!</v>
      </c>
      <c r="Q223" s="128" t="e">
        <f t="shared" si="806"/>
        <v>#DIV/0!</v>
      </c>
      <c r="R223" s="128" t="e">
        <f t="shared" si="806"/>
        <v>#DIV/0!</v>
      </c>
      <c r="S223" s="128" t="e">
        <f t="shared" si="806"/>
        <v>#DIV/0!</v>
      </c>
      <c r="T223" s="128" t="e">
        <f>1/T224</f>
        <v>#DIV/0!</v>
      </c>
      <c r="U223" s="128">
        <f>1/U224</f>
        <v>1.4024071166928309E-2</v>
      </c>
      <c r="V223" s="101" t="e">
        <f t="shared" si="719"/>
        <v>#DIV/0!</v>
      </c>
      <c r="W223" s="109"/>
      <c r="X223" s="128">
        <f t="shared" ref="X223:AG223" si="807">1/X224</f>
        <v>7.0120355834641546E-2</v>
      </c>
      <c r="Y223" s="128">
        <f t="shared" si="807"/>
        <v>7.0120355834641546E-2</v>
      </c>
      <c r="Z223" s="128">
        <f t="shared" si="807"/>
        <v>7.0120355834641546E-2</v>
      </c>
      <c r="AA223" s="128">
        <f t="shared" si="807"/>
        <v>7.0120355834641546E-2</v>
      </c>
      <c r="AB223" s="128">
        <f t="shared" si="807"/>
        <v>7.0120355834641546E-2</v>
      </c>
      <c r="AC223" s="128">
        <f t="shared" si="807"/>
        <v>7.0120355834641546E-2</v>
      </c>
      <c r="AD223" s="128">
        <f t="shared" si="807"/>
        <v>7.0120355834641546E-2</v>
      </c>
      <c r="AE223" s="128">
        <f t="shared" si="807"/>
        <v>7.0120355834641546E-2</v>
      </c>
      <c r="AF223" s="128">
        <f t="shared" si="807"/>
        <v>7.0120355834641546E-2</v>
      </c>
      <c r="AG223" s="128">
        <f t="shared" si="807"/>
        <v>7.0120355834641546E-2</v>
      </c>
      <c r="AH223" s="115" t="e">
        <f t="shared" ref="AH223" si="808">((AG223/J223)^(1/($AG$3-$K$1) ))-1</f>
        <v>#DIV/0!</v>
      </c>
      <c r="AI223" s="21">
        <f t="shared" ref="AI223:AI226" si="809">$O$1</f>
        <v>0.01</v>
      </c>
      <c r="AJ223" s="156" t="e">
        <f>(AJ210)/($O$2*100)</f>
        <v>#DIV/0!</v>
      </c>
    </row>
    <row r="224" spans="2:36">
      <c r="B224" s="10" t="s">
        <v>504</v>
      </c>
      <c r="C224" s="110"/>
      <c r="D224" s="110"/>
      <c r="E224" s="110"/>
      <c r="F224" s="110"/>
      <c r="G224" s="112">
        <f t="shared" ref="G224:U224" si="810">G205/$S$174</f>
        <v>0</v>
      </c>
      <c r="H224" s="112">
        <f t="shared" si="810"/>
        <v>0</v>
      </c>
      <c r="I224" s="112">
        <f t="shared" si="810"/>
        <v>0</v>
      </c>
      <c r="J224" s="112">
        <f t="shared" si="810"/>
        <v>0</v>
      </c>
      <c r="K224" s="112">
        <f t="shared" si="810"/>
        <v>0</v>
      </c>
      <c r="L224" s="112">
        <f t="shared" si="810"/>
        <v>0</v>
      </c>
      <c r="M224" s="112">
        <f t="shared" si="810"/>
        <v>0</v>
      </c>
      <c r="N224" s="112">
        <f t="shared" si="810"/>
        <v>0</v>
      </c>
      <c r="O224" s="112">
        <f t="shared" si="810"/>
        <v>0</v>
      </c>
      <c r="P224" s="112">
        <f t="shared" si="810"/>
        <v>0</v>
      </c>
      <c r="Q224" s="112">
        <f t="shared" si="810"/>
        <v>0</v>
      </c>
      <c r="R224" s="112">
        <f t="shared" si="810"/>
        <v>0</v>
      </c>
      <c r="S224" s="112">
        <f t="shared" si="810"/>
        <v>0</v>
      </c>
      <c r="T224" s="112">
        <f t="shared" si="810"/>
        <v>0</v>
      </c>
      <c r="U224" s="112">
        <f t="shared" si="810"/>
        <v>71.305970149253739</v>
      </c>
      <c r="V224" s="101" t="e">
        <f t="shared" si="719"/>
        <v>#DIV/0!</v>
      </c>
      <c r="W224" s="109"/>
      <c r="X224" s="112">
        <f t="shared" ref="X224:AG224" si="811">X205/$S$174</f>
        <v>14.261194029850747</v>
      </c>
      <c r="Y224" s="112">
        <f t="shared" si="811"/>
        <v>14.261194029850747</v>
      </c>
      <c r="Z224" s="112">
        <f t="shared" si="811"/>
        <v>14.261194029850747</v>
      </c>
      <c r="AA224" s="112">
        <f t="shared" si="811"/>
        <v>14.261194029850747</v>
      </c>
      <c r="AB224" s="112">
        <f t="shared" si="811"/>
        <v>14.261194029850747</v>
      </c>
      <c r="AC224" s="112">
        <f t="shared" si="811"/>
        <v>14.261194029850747</v>
      </c>
      <c r="AD224" s="112">
        <f t="shared" si="811"/>
        <v>14.261194029850747</v>
      </c>
      <c r="AE224" s="112">
        <f t="shared" si="811"/>
        <v>14.261194029850747</v>
      </c>
      <c r="AF224" s="112">
        <f t="shared" si="811"/>
        <v>14.261194029850747</v>
      </c>
      <c r="AG224" s="112">
        <f t="shared" si="811"/>
        <v>14.261194029850747</v>
      </c>
      <c r="AH224" s="115" t="e">
        <f t="shared" ref="AH224:AH226" si="812">((AG224/J224)^(1/($AG$3-$K$1) ))-1</f>
        <v>#DIV/0!</v>
      </c>
      <c r="AI224" s="21">
        <f t="shared" si="809"/>
        <v>0.01</v>
      </c>
      <c r="AJ224" s="156" t="e">
        <f>(AJ210)/($O$2*100)</f>
        <v>#DIV/0!</v>
      </c>
    </row>
    <row r="225" spans="2:36">
      <c r="B225" s="10" t="s">
        <v>432</v>
      </c>
      <c r="C225" s="110"/>
      <c r="D225" s="110"/>
      <c r="E225" s="110"/>
      <c r="F225" s="110"/>
      <c r="G225" s="156">
        <f t="shared" ref="G225" si="813">(G224)/($O$2*100)</f>
        <v>0</v>
      </c>
      <c r="H225" s="156">
        <f t="shared" ref="H225:I225" si="814">(H224)/($O$2*100)</f>
        <v>0</v>
      </c>
      <c r="I225" s="156">
        <f t="shared" si="814"/>
        <v>0</v>
      </c>
      <c r="J225" s="156">
        <f t="shared" ref="J225:T225" si="815">(J224)/($O$2*100)</f>
        <v>0</v>
      </c>
      <c r="K225" s="156">
        <f t="shared" si="815"/>
        <v>0</v>
      </c>
      <c r="L225" s="156">
        <f t="shared" si="815"/>
        <v>0</v>
      </c>
      <c r="M225" s="156">
        <f t="shared" si="815"/>
        <v>0</v>
      </c>
      <c r="N225" s="156">
        <f t="shared" si="815"/>
        <v>0</v>
      </c>
      <c r="O225" s="156">
        <f t="shared" si="815"/>
        <v>0</v>
      </c>
      <c r="P225" s="156">
        <f t="shared" si="815"/>
        <v>0</v>
      </c>
      <c r="Q225" s="156">
        <f t="shared" si="815"/>
        <v>0</v>
      </c>
      <c r="R225" s="156">
        <f t="shared" si="815"/>
        <v>0</v>
      </c>
      <c r="S225" s="156">
        <f t="shared" si="815"/>
        <v>0</v>
      </c>
      <c r="T225" s="156">
        <f t="shared" si="815"/>
        <v>0</v>
      </c>
      <c r="U225" s="156">
        <f t="shared" ref="U225" si="816">(U224)/($O$2*100)</f>
        <v>3.5652985074626868</v>
      </c>
      <c r="V225" s="101" t="e">
        <f t="shared" si="719"/>
        <v>#DIV/0!</v>
      </c>
      <c r="W225" s="109"/>
      <c r="X225" s="156">
        <f t="shared" ref="X225:AG225" si="817">(X224)/($O$2*100)</f>
        <v>0.71305970149253739</v>
      </c>
      <c r="Y225" s="156">
        <f t="shared" si="817"/>
        <v>0.71305970149253739</v>
      </c>
      <c r="Z225" s="156">
        <f t="shared" si="817"/>
        <v>0.71305970149253739</v>
      </c>
      <c r="AA225" s="156">
        <f t="shared" si="817"/>
        <v>0.71305970149253739</v>
      </c>
      <c r="AB225" s="156">
        <f t="shared" si="817"/>
        <v>0.71305970149253739</v>
      </c>
      <c r="AC225" s="156">
        <f t="shared" si="817"/>
        <v>0.71305970149253739</v>
      </c>
      <c r="AD225" s="156">
        <f t="shared" si="817"/>
        <v>0.71305970149253739</v>
      </c>
      <c r="AE225" s="156">
        <f t="shared" si="817"/>
        <v>0.71305970149253739</v>
      </c>
      <c r="AF225" s="156">
        <f t="shared" si="817"/>
        <v>0.71305970149253739</v>
      </c>
      <c r="AG225" s="156">
        <f t="shared" si="817"/>
        <v>0.71305970149253739</v>
      </c>
      <c r="AH225" s="115" t="e">
        <f t="shared" si="812"/>
        <v>#DIV/0!</v>
      </c>
      <c r="AI225" s="21">
        <f t="shared" si="809"/>
        <v>0.01</v>
      </c>
      <c r="AJ225" s="156" t="e">
        <f>(AJ211)/($O$2*100)</f>
        <v>#DIV/0!</v>
      </c>
    </row>
    <row r="226" spans="2:36">
      <c r="B226" s="10" t="s">
        <v>434</v>
      </c>
      <c r="C226" s="110"/>
      <c r="D226" s="110"/>
      <c r="E226" s="110"/>
      <c r="F226" s="110"/>
      <c r="G226" s="128">
        <f t="shared" ref="G226" si="818">G225-1</f>
        <v>-1</v>
      </c>
      <c r="H226" s="128">
        <f t="shared" ref="H226:I226" si="819">H225-1</f>
        <v>-1</v>
      </c>
      <c r="I226" s="128">
        <f t="shared" si="819"/>
        <v>-1</v>
      </c>
      <c r="J226" s="128">
        <f t="shared" ref="J226:T226" si="820">J225-1</f>
        <v>-1</v>
      </c>
      <c r="K226" s="128">
        <f t="shared" si="820"/>
        <v>-1</v>
      </c>
      <c r="L226" s="128">
        <f t="shared" si="820"/>
        <v>-1</v>
      </c>
      <c r="M226" s="128">
        <f t="shared" si="820"/>
        <v>-1</v>
      </c>
      <c r="N226" s="128">
        <f t="shared" si="820"/>
        <v>-1</v>
      </c>
      <c r="O226" s="128">
        <f t="shared" si="820"/>
        <v>-1</v>
      </c>
      <c r="P226" s="128">
        <f t="shared" si="820"/>
        <v>-1</v>
      </c>
      <c r="Q226" s="128">
        <f t="shared" si="820"/>
        <v>-1</v>
      </c>
      <c r="R226" s="128">
        <f t="shared" si="820"/>
        <v>-1</v>
      </c>
      <c r="S226" s="128">
        <f t="shared" si="820"/>
        <v>-1</v>
      </c>
      <c r="T226" s="128">
        <f t="shared" si="820"/>
        <v>-1</v>
      </c>
      <c r="U226" s="128">
        <f t="shared" ref="U226" si="821">U225-1</f>
        <v>2.5652985074626868</v>
      </c>
      <c r="V226" s="101">
        <f t="shared" si="719"/>
        <v>-2.1440586067133864</v>
      </c>
      <c r="W226" s="109"/>
      <c r="X226" s="128">
        <f t="shared" ref="X226:AG226" si="822">X225-1</f>
        <v>-0.28694029850746261</v>
      </c>
      <c r="Y226" s="128">
        <f t="shared" si="822"/>
        <v>-0.28694029850746261</v>
      </c>
      <c r="Z226" s="128">
        <f t="shared" si="822"/>
        <v>-0.28694029850746261</v>
      </c>
      <c r="AA226" s="128">
        <f t="shared" si="822"/>
        <v>-0.28694029850746261</v>
      </c>
      <c r="AB226" s="128">
        <f t="shared" si="822"/>
        <v>-0.28694029850746261</v>
      </c>
      <c r="AC226" s="128">
        <f t="shared" si="822"/>
        <v>-0.28694029850746261</v>
      </c>
      <c r="AD226" s="128">
        <f t="shared" si="822"/>
        <v>-0.28694029850746261</v>
      </c>
      <c r="AE226" s="128">
        <f t="shared" si="822"/>
        <v>-0.28694029850746261</v>
      </c>
      <c r="AF226" s="128">
        <f t="shared" si="822"/>
        <v>-0.28694029850746261</v>
      </c>
      <c r="AG226" s="128">
        <f t="shared" si="822"/>
        <v>-0.28694029850746261</v>
      </c>
      <c r="AH226" s="115">
        <f t="shared" si="812"/>
        <v>-7.0808164710027044E-2</v>
      </c>
      <c r="AI226" s="21">
        <f t="shared" si="809"/>
        <v>0.01</v>
      </c>
      <c r="AJ226" s="156" t="e">
        <f>(AJ212)/($O$2*100)</f>
        <v>#DIV/0!</v>
      </c>
    </row>
    <row r="227" spans="2:36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>
      <c r="B228" s="10" t="s">
        <v>505</v>
      </c>
      <c r="C228" s="110"/>
      <c r="D228" s="110"/>
      <c r="E228" s="110"/>
      <c r="F228" s="110"/>
      <c r="G228" s="128" t="e">
        <f t="shared" ref="G228:U228" si="823">1/G229</f>
        <v>#DIV/0!</v>
      </c>
      <c r="H228" s="128" t="e">
        <f t="shared" si="823"/>
        <v>#DIV/0!</v>
      </c>
      <c r="I228" s="128" t="e">
        <f t="shared" si="823"/>
        <v>#DIV/0!</v>
      </c>
      <c r="J228" s="128" t="e">
        <f t="shared" si="823"/>
        <v>#DIV/0!</v>
      </c>
      <c r="K228" s="128" t="e">
        <f t="shared" si="823"/>
        <v>#DIV/0!</v>
      </c>
      <c r="L228" s="128" t="e">
        <f t="shared" si="823"/>
        <v>#DIV/0!</v>
      </c>
      <c r="M228" s="128" t="e">
        <f t="shared" si="823"/>
        <v>#DIV/0!</v>
      </c>
      <c r="N228" s="128" t="e">
        <f t="shared" si="823"/>
        <v>#DIV/0!</v>
      </c>
      <c r="O228" s="128" t="e">
        <f t="shared" si="823"/>
        <v>#DIV/0!</v>
      </c>
      <c r="P228" s="128" t="e">
        <f t="shared" si="823"/>
        <v>#DIV/0!</v>
      </c>
      <c r="Q228" s="128" t="e">
        <f t="shared" si="823"/>
        <v>#DIV/0!</v>
      </c>
      <c r="R228" s="128" t="e">
        <f t="shared" si="823"/>
        <v>#DIV/0!</v>
      </c>
      <c r="S228" s="128" t="e">
        <f t="shared" si="823"/>
        <v>#DIV/0!</v>
      </c>
      <c r="T228" s="128" t="e">
        <f t="shared" si="823"/>
        <v>#DIV/0!</v>
      </c>
      <c r="U228" s="128">
        <f t="shared" si="823"/>
        <v>4.3809523809523812E-2</v>
      </c>
      <c r="V228" s="101" t="e">
        <f t="shared" si="719"/>
        <v>#DIV/0!</v>
      </c>
      <c r="W228" s="109"/>
      <c r="X228" s="128">
        <f t="shared" ref="X228:AG228" si="824">1/X229</f>
        <v>0.21904761904761905</v>
      </c>
      <c r="Y228" s="128">
        <f t="shared" si="824"/>
        <v>0.21904761904761905</v>
      </c>
      <c r="Z228" s="128">
        <f t="shared" si="824"/>
        <v>0.21904761904761905</v>
      </c>
      <c r="AA228" s="128">
        <f t="shared" si="824"/>
        <v>0.21904761904761905</v>
      </c>
      <c r="AB228" s="128">
        <f t="shared" si="824"/>
        <v>0.21904761904761905</v>
      </c>
      <c r="AC228" s="128">
        <f t="shared" si="824"/>
        <v>0.21904761904761905</v>
      </c>
      <c r="AD228" s="128">
        <f t="shared" si="824"/>
        <v>0.21904761904761905</v>
      </c>
      <c r="AE228" s="128">
        <f t="shared" si="824"/>
        <v>0.21904761904761905</v>
      </c>
      <c r="AF228" s="128">
        <f t="shared" si="824"/>
        <v>0.21904761904761905</v>
      </c>
      <c r="AG228" s="128">
        <f t="shared" si="824"/>
        <v>0.21904761904761905</v>
      </c>
      <c r="AH228" s="115" t="e">
        <f t="shared" ref="AH228" si="825">((AG228/J228)^(1/($AG$3-$K$1) ))-1</f>
        <v>#DIV/0!</v>
      </c>
      <c r="AI228" s="21">
        <f t="shared" ref="AI228" si="826">$O$1</f>
        <v>0.01</v>
      </c>
      <c r="AJ228" s="156">
        <f>(AJ214)/($O$2*100)</f>
        <v>0</v>
      </c>
    </row>
    <row r="229" spans="2:36">
      <c r="B229" s="10" t="s">
        <v>411</v>
      </c>
      <c r="C229" s="110"/>
      <c r="D229" s="110"/>
      <c r="E229" s="110"/>
      <c r="F229" s="110"/>
      <c r="G229" s="112">
        <f t="shared" ref="G229" si="827">G205/$T$174</f>
        <v>0</v>
      </c>
      <c r="H229" s="112">
        <f t="shared" ref="H229:I229" si="828">H205/$T$174</f>
        <v>0</v>
      </c>
      <c r="I229" s="112">
        <f t="shared" si="828"/>
        <v>0</v>
      </c>
      <c r="J229" s="112">
        <f t="shared" ref="J229:S229" si="829">J205/$T$174</f>
        <v>0</v>
      </c>
      <c r="K229" s="112">
        <f t="shared" si="829"/>
        <v>0</v>
      </c>
      <c r="L229" s="112">
        <f t="shared" si="829"/>
        <v>0</v>
      </c>
      <c r="M229" s="112">
        <f t="shared" si="829"/>
        <v>0</v>
      </c>
      <c r="N229" s="112">
        <f t="shared" si="829"/>
        <v>0</v>
      </c>
      <c r="O229" s="112">
        <f t="shared" si="829"/>
        <v>0</v>
      </c>
      <c r="P229" s="112">
        <f t="shared" si="829"/>
        <v>0</v>
      </c>
      <c r="Q229" s="112">
        <f t="shared" si="829"/>
        <v>0</v>
      </c>
      <c r="R229" s="112">
        <f t="shared" si="829"/>
        <v>0</v>
      </c>
      <c r="S229" s="112">
        <f t="shared" si="829"/>
        <v>0</v>
      </c>
      <c r="T229" s="112">
        <f>T205/$T$174</f>
        <v>0</v>
      </c>
      <c r="U229" s="112">
        <f>U205/$T$174</f>
        <v>22.826086956521738</v>
      </c>
      <c r="V229" s="101" t="e">
        <f t="shared" si="719"/>
        <v>#DIV/0!</v>
      </c>
      <c r="W229" s="109"/>
      <c r="X229" s="112">
        <f t="shared" ref="X229:AG229" si="830">X205/$T$174</f>
        <v>4.5652173913043477</v>
      </c>
      <c r="Y229" s="112">
        <f t="shared" si="830"/>
        <v>4.5652173913043477</v>
      </c>
      <c r="Z229" s="112">
        <f t="shared" si="830"/>
        <v>4.5652173913043477</v>
      </c>
      <c r="AA229" s="112">
        <f t="shared" si="830"/>
        <v>4.5652173913043477</v>
      </c>
      <c r="AB229" s="112">
        <f t="shared" si="830"/>
        <v>4.5652173913043477</v>
      </c>
      <c r="AC229" s="112">
        <f t="shared" si="830"/>
        <v>4.5652173913043477</v>
      </c>
      <c r="AD229" s="112">
        <f t="shared" si="830"/>
        <v>4.5652173913043477</v>
      </c>
      <c r="AE229" s="112">
        <f t="shared" si="830"/>
        <v>4.5652173913043477</v>
      </c>
      <c r="AF229" s="112">
        <f t="shared" si="830"/>
        <v>4.5652173913043477</v>
      </c>
      <c r="AG229" s="112">
        <f t="shared" si="830"/>
        <v>4.5652173913043477</v>
      </c>
      <c r="AH229" s="115" t="e">
        <f t="shared" ref="AH229:AH231" si="831">((AG229/J229)^(1/($AG$3-$K$1) ))-1</f>
        <v>#DIV/0!</v>
      </c>
      <c r="AI229" s="21">
        <f t="shared" ref="AI229:AI231" si="832">$O$1</f>
        <v>0.01</v>
      </c>
      <c r="AJ229" s="156">
        <f>(AJ214)/($O$2*100)</f>
        <v>0</v>
      </c>
    </row>
    <row r="230" spans="2:36">
      <c r="B230" s="10" t="s">
        <v>432</v>
      </c>
      <c r="C230" s="110"/>
      <c r="D230" s="110"/>
      <c r="E230" s="110"/>
      <c r="F230" s="110"/>
      <c r="G230" s="156">
        <f t="shared" ref="G230" si="833">(G229)/($O$2*100)</f>
        <v>0</v>
      </c>
      <c r="H230" s="156">
        <f t="shared" ref="H230:I230" si="834">(H229)/($O$2*100)</f>
        <v>0</v>
      </c>
      <c r="I230" s="156">
        <f t="shared" si="834"/>
        <v>0</v>
      </c>
      <c r="J230" s="156">
        <f t="shared" ref="J230:T230" si="835">(J229)/($O$2*100)</f>
        <v>0</v>
      </c>
      <c r="K230" s="156">
        <f t="shared" si="835"/>
        <v>0</v>
      </c>
      <c r="L230" s="156">
        <f t="shared" si="835"/>
        <v>0</v>
      </c>
      <c r="M230" s="156">
        <f t="shared" si="835"/>
        <v>0</v>
      </c>
      <c r="N230" s="156">
        <f t="shared" si="835"/>
        <v>0</v>
      </c>
      <c r="O230" s="156">
        <f t="shared" si="835"/>
        <v>0</v>
      </c>
      <c r="P230" s="156">
        <f t="shared" si="835"/>
        <v>0</v>
      </c>
      <c r="Q230" s="156">
        <f t="shared" si="835"/>
        <v>0</v>
      </c>
      <c r="R230" s="156">
        <f t="shared" si="835"/>
        <v>0</v>
      </c>
      <c r="S230" s="156">
        <f t="shared" si="835"/>
        <v>0</v>
      </c>
      <c r="T230" s="156">
        <f t="shared" si="835"/>
        <v>0</v>
      </c>
      <c r="U230" s="156">
        <f t="shared" ref="U230" si="836">(U229)/($O$2*100)</f>
        <v>1.1413043478260869</v>
      </c>
      <c r="V230" s="101" t="e">
        <f t="shared" si="719"/>
        <v>#DIV/0!</v>
      </c>
      <c r="W230" s="109"/>
      <c r="X230" s="156">
        <f t="shared" ref="X230:AG230" si="837">(X229)/($O$2*100)</f>
        <v>0.22826086956521738</v>
      </c>
      <c r="Y230" s="156">
        <f t="shared" si="837"/>
        <v>0.22826086956521738</v>
      </c>
      <c r="Z230" s="156">
        <f t="shared" si="837"/>
        <v>0.22826086956521738</v>
      </c>
      <c r="AA230" s="156">
        <f t="shared" si="837"/>
        <v>0.22826086956521738</v>
      </c>
      <c r="AB230" s="156">
        <f t="shared" si="837"/>
        <v>0.22826086956521738</v>
      </c>
      <c r="AC230" s="156">
        <f t="shared" si="837"/>
        <v>0.22826086956521738</v>
      </c>
      <c r="AD230" s="156">
        <f t="shared" si="837"/>
        <v>0.22826086956521738</v>
      </c>
      <c r="AE230" s="156">
        <f t="shared" si="837"/>
        <v>0.22826086956521738</v>
      </c>
      <c r="AF230" s="156">
        <f t="shared" si="837"/>
        <v>0.22826086956521738</v>
      </c>
      <c r="AG230" s="156">
        <f t="shared" si="837"/>
        <v>0.22826086956521738</v>
      </c>
      <c r="AH230" s="115" t="e">
        <f t="shared" si="831"/>
        <v>#DIV/0!</v>
      </c>
      <c r="AI230" s="21">
        <f t="shared" si="832"/>
        <v>0.01</v>
      </c>
      <c r="AJ230" s="156" t="e">
        <f>(#REF!)/($O$2*100)</f>
        <v>#REF!</v>
      </c>
    </row>
    <row r="231" spans="2:36">
      <c r="B231" s="10" t="s">
        <v>434</v>
      </c>
      <c r="C231" s="110"/>
      <c r="D231" s="110"/>
      <c r="E231" s="110"/>
      <c r="F231" s="110"/>
      <c r="G231" s="128">
        <f t="shared" ref="G231" si="838">G230-1</f>
        <v>-1</v>
      </c>
      <c r="H231" s="128">
        <f t="shared" ref="H231:I231" si="839">H230-1</f>
        <v>-1</v>
      </c>
      <c r="I231" s="128">
        <f t="shared" si="839"/>
        <v>-1</v>
      </c>
      <c r="J231" s="128">
        <f t="shared" ref="J231:T231" si="840">J230-1</f>
        <v>-1</v>
      </c>
      <c r="K231" s="128">
        <f t="shared" si="840"/>
        <v>-1</v>
      </c>
      <c r="L231" s="128">
        <f t="shared" si="840"/>
        <v>-1</v>
      </c>
      <c r="M231" s="128">
        <f t="shared" si="840"/>
        <v>-1</v>
      </c>
      <c r="N231" s="128">
        <f t="shared" si="840"/>
        <v>-1</v>
      </c>
      <c r="O231" s="128">
        <f t="shared" si="840"/>
        <v>-1</v>
      </c>
      <c r="P231" s="128">
        <f t="shared" si="840"/>
        <v>-1</v>
      </c>
      <c r="Q231" s="128">
        <f t="shared" si="840"/>
        <v>-1</v>
      </c>
      <c r="R231" s="128">
        <f t="shared" si="840"/>
        <v>-1</v>
      </c>
      <c r="S231" s="128">
        <f t="shared" si="840"/>
        <v>-1</v>
      </c>
      <c r="T231" s="128">
        <f t="shared" si="840"/>
        <v>-1</v>
      </c>
      <c r="U231" s="128">
        <f t="shared" ref="U231" si="841">U230-1</f>
        <v>0.14130434782608692</v>
      </c>
      <c r="V231" s="101">
        <f t="shared" si="719"/>
        <v>-1.7561250851502557</v>
      </c>
      <c r="W231" s="109"/>
      <c r="X231" s="128">
        <f t="shared" ref="X231:AG231" si="842">X230-1</f>
        <v>-0.77173913043478259</v>
      </c>
      <c r="Y231" s="128">
        <f t="shared" si="842"/>
        <v>-0.77173913043478259</v>
      </c>
      <c r="Z231" s="128">
        <f t="shared" si="842"/>
        <v>-0.77173913043478259</v>
      </c>
      <c r="AA231" s="128">
        <f t="shared" si="842"/>
        <v>-0.77173913043478259</v>
      </c>
      <c r="AB231" s="128">
        <f t="shared" si="842"/>
        <v>-0.77173913043478259</v>
      </c>
      <c r="AC231" s="128">
        <f t="shared" si="842"/>
        <v>-0.77173913043478259</v>
      </c>
      <c r="AD231" s="128">
        <f t="shared" si="842"/>
        <v>-0.77173913043478259</v>
      </c>
      <c r="AE231" s="128">
        <f t="shared" si="842"/>
        <v>-0.77173913043478259</v>
      </c>
      <c r="AF231" s="128">
        <f t="shared" si="842"/>
        <v>-0.77173913043478259</v>
      </c>
      <c r="AG231" s="128">
        <f t="shared" si="842"/>
        <v>-0.77173913043478259</v>
      </c>
      <c r="AH231" s="115">
        <f t="shared" si="831"/>
        <v>-1.5126121594180586E-2</v>
      </c>
      <c r="AI231" s="21">
        <f t="shared" si="832"/>
        <v>0.01</v>
      </c>
      <c r="AJ231" s="156" t="e">
        <f>(AJ215)/($O$2*100)</f>
        <v>#DIV/0!</v>
      </c>
    </row>
    <row r="232" spans="2:36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>
      <c r="B233" s="10" t="s">
        <v>506</v>
      </c>
      <c r="C233" s="110"/>
      <c r="D233" s="110"/>
      <c r="E233" s="110"/>
      <c r="F233" s="110"/>
      <c r="G233" s="128" t="e">
        <f t="shared" ref="G233:S233" si="843">1/G234</f>
        <v>#DIV/0!</v>
      </c>
      <c r="H233" s="128" t="e">
        <f t="shared" si="843"/>
        <v>#DIV/0!</v>
      </c>
      <c r="I233" s="128" t="e">
        <f t="shared" si="843"/>
        <v>#DIV/0!</v>
      </c>
      <c r="J233" s="128" t="e">
        <f t="shared" si="843"/>
        <v>#DIV/0!</v>
      </c>
      <c r="K233" s="128" t="e">
        <f t="shared" si="843"/>
        <v>#DIV/0!</v>
      </c>
      <c r="L233" s="128" t="e">
        <f t="shared" si="843"/>
        <v>#DIV/0!</v>
      </c>
      <c r="M233" s="128" t="e">
        <f t="shared" si="843"/>
        <v>#DIV/0!</v>
      </c>
      <c r="N233" s="128" t="e">
        <f t="shared" si="843"/>
        <v>#DIV/0!</v>
      </c>
      <c r="O233" s="128" t="e">
        <f t="shared" si="843"/>
        <v>#DIV/0!</v>
      </c>
      <c r="P233" s="128" t="e">
        <f t="shared" si="843"/>
        <v>#DIV/0!</v>
      </c>
      <c r="Q233" s="128" t="e">
        <f t="shared" si="843"/>
        <v>#DIV/0!</v>
      </c>
      <c r="R233" s="128" t="e">
        <f t="shared" si="843"/>
        <v>#DIV/0!</v>
      </c>
      <c r="S233" s="128" t="e">
        <f t="shared" si="843"/>
        <v>#DIV/0!</v>
      </c>
      <c r="T233" s="128" t="e">
        <f>1/T234</f>
        <v>#DIV/0!</v>
      </c>
      <c r="U233" s="128">
        <f>1/U234</f>
        <v>0.11212524204421899</v>
      </c>
      <c r="V233" s="101" t="e">
        <f t="shared" si="719"/>
        <v>#DIV/0!</v>
      </c>
      <c r="W233" s="109"/>
      <c r="X233" s="128">
        <f t="shared" ref="X233:AG233" si="844">1/X234</f>
        <v>490.49282860454383</v>
      </c>
      <c r="Y233" s="128">
        <f t="shared" si="844"/>
        <v>36.925780870417547</v>
      </c>
      <c r="Z233" s="128">
        <f t="shared" si="844"/>
        <v>43.442095141667693</v>
      </c>
      <c r="AA233" s="128">
        <f t="shared" si="844"/>
        <v>51.1083472254914</v>
      </c>
      <c r="AB233" s="128">
        <f t="shared" si="844"/>
        <v>60.127467324107521</v>
      </c>
      <c r="AC233" s="128">
        <f t="shared" si="844"/>
        <v>70.738196851891189</v>
      </c>
      <c r="AD233" s="128">
        <f t="shared" si="844"/>
        <v>83.22140806104845</v>
      </c>
      <c r="AE233" s="128">
        <f t="shared" si="844"/>
        <v>97.907538895351124</v>
      </c>
      <c r="AF233" s="128">
        <f t="shared" si="844"/>
        <v>115.18533987688365</v>
      </c>
      <c r="AG233" s="128">
        <f t="shared" si="844"/>
        <v>135.51216456103958</v>
      </c>
      <c r="AH233" s="115" t="e">
        <f t="shared" ref="AH233:AH236" si="845">((AG233/J233)^(1/($AG$3-$K$1) ))-1</f>
        <v>#DIV/0!</v>
      </c>
      <c r="AI233" s="21">
        <f t="shared" ref="AI233:AI236" si="846">$O$1</f>
        <v>0.01</v>
      </c>
      <c r="AJ233" s="156" t="e">
        <f>(AJ219)/($O$2*100)</f>
        <v>#DIV/0!</v>
      </c>
    </row>
    <row r="234" spans="2:36">
      <c r="B234" s="10" t="s">
        <v>500</v>
      </c>
      <c r="C234" s="110"/>
      <c r="D234" s="110"/>
      <c r="E234" s="110"/>
      <c r="F234" s="110"/>
      <c r="G234" s="112">
        <f t="shared" ref="G234" si="847">G205/$X$175</f>
        <v>0</v>
      </c>
      <c r="H234" s="112">
        <f t="shared" ref="H234:S234" si="848">H205/$X$175</f>
        <v>0</v>
      </c>
      <c r="I234" s="112">
        <f t="shared" si="848"/>
        <v>0</v>
      </c>
      <c r="J234" s="112">
        <f t="shared" si="848"/>
        <v>0</v>
      </c>
      <c r="K234" s="112">
        <f t="shared" si="848"/>
        <v>0</v>
      </c>
      <c r="L234" s="112">
        <f t="shared" si="848"/>
        <v>0</v>
      </c>
      <c r="M234" s="112">
        <f t="shared" si="848"/>
        <v>0</v>
      </c>
      <c r="N234" s="112">
        <f t="shared" si="848"/>
        <v>0</v>
      </c>
      <c r="O234" s="112">
        <f t="shared" si="848"/>
        <v>0</v>
      </c>
      <c r="P234" s="112">
        <f t="shared" si="848"/>
        <v>0</v>
      </c>
      <c r="Q234" s="112">
        <f t="shared" si="848"/>
        <v>0</v>
      </c>
      <c r="R234" s="112">
        <f t="shared" si="848"/>
        <v>0</v>
      </c>
      <c r="S234" s="112">
        <f t="shared" si="848"/>
        <v>0</v>
      </c>
      <c r="T234" s="112">
        <f>T205/$X$175</f>
        <v>0</v>
      </c>
      <c r="U234" s="112">
        <f>U205/$X$175</f>
        <v>8.9185983616929772</v>
      </c>
      <c r="V234" s="101" t="e">
        <f t="shared" si="719"/>
        <v>#DIV/0!</v>
      </c>
      <c r="W234" s="109"/>
      <c r="X234" s="112">
        <f t="shared" ref="X234:AG234" si="849">X210/$T$174</f>
        <v>2.0387657916324858E-3</v>
      </c>
      <c r="Y234" s="112">
        <f t="shared" si="849"/>
        <v>2.7081350114416477E-2</v>
      </c>
      <c r="Z234" s="112">
        <f t="shared" si="849"/>
        <v>2.301914759725401E-2</v>
      </c>
      <c r="AA234" s="112">
        <f t="shared" si="849"/>
        <v>1.956627545766591E-2</v>
      </c>
      <c r="AB234" s="112">
        <f t="shared" si="849"/>
        <v>1.6631334139016025E-2</v>
      </c>
      <c r="AC234" s="112">
        <f t="shared" si="849"/>
        <v>1.4136634018163625E-2</v>
      </c>
      <c r="AD234" s="112">
        <f t="shared" si="849"/>
        <v>1.2016138915439081E-2</v>
      </c>
      <c r="AE234" s="112">
        <f t="shared" si="849"/>
        <v>1.021371807812322E-2</v>
      </c>
      <c r="AF234" s="112">
        <f t="shared" si="849"/>
        <v>8.6816603664047389E-3</v>
      </c>
      <c r="AG234" s="112">
        <f t="shared" si="849"/>
        <v>7.3794113114440275E-3</v>
      </c>
      <c r="AH234" s="115" t="e">
        <f t="shared" si="845"/>
        <v>#DIV/0!</v>
      </c>
      <c r="AI234" s="21">
        <f t="shared" si="846"/>
        <v>0.01</v>
      </c>
      <c r="AJ234" s="156" t="e">
        <f>(AJ219)/($O$2*100)</f>
        <v>#DIV/0!</v>
      </c>
    </row>
    <row r="235" spans="2:36">
      <c r="B235" s="10" t="s">
        <v>432</v>
      </c>
      <c r="C235" s="110"/>
      <c r="D235" s="110"/>
      <c r="E235" s="110"/>
      <c r="F235" s="110"/>
      <c r="G235" s="156">
        <f t="shared" ref="G235" si="850">(G234)/($O$2*100)</f>
        <v>0</v>
      </c>
      <c r="H235" s="156">
        <f t="shared" ref="H235:T235" si="851">(H234)/($O$2*100)</f>
        <v>0</v>
      </c>
      <c r="I235" s="156">
        <f t="shared" si="851"/>
        <v>0</v>
      </c>
      <c r="J235" s="156">
        <f t="shared" si="851"/>
        <v>0</v>
      </c>
      <c r="K235" s="156">
        <f t="shared" si="851"/>
        <v>0</v>
      </c>
      <c r="L235" s="156">
        <f t="shared" si="851"/>
        <v>0</v>
      </c>
      <c r="M235" s="156">
        <f t="shared" si="851"/>
        <v>0</v>
      </c>
      <c r="N235" s="156">
        <f t="shared" si="851"/>
        <v>0</v>
      </c>
      <c r="O235" s="156">
        <f t="shared" si="851"/>
        <v>0</v>
      </c>
      <c r="P235" s="156">
        <f t="shared" si="851"/>
        <v>0</v>
      </c>
      <c r="Q235" s="156">
        <f t="shared" si="851"/>
        <v>0</v>
      </c>
      <c r="R235" s="156">
        <f t="shared" si="851"/>
        <v>0</v>
      </c>
      <c r="S235" s="156">
        <f t="shared" si="851"/>
        <v>0</v>
      </c>
      <c r="T235" s="156">
        <f t="shared" si="851"/>
        <v>0</v>
      </c>
      <c r="U235" s="156">
        <f t="shared" ref="U235" si="852">(U234)/($O$2*100)</f>
        <v>0.44592991808464888</v>
      </c>
      <c r="V235" s="101" t="e">
        <f t="shared" si="719"/>
        <v>#DIV/0!</v>
      </c>
      <c r="W235" s="109"/>
      <c r="X235" s="156">
        <f t="shared" ref="X235:AG235" si="853">(X234)/($O$2*100)</f>
        <v>1.0193828958162429E-4</v>
      </c>
      <c r="Y235" s="156">
        <f t="shared" si="853"/>
        <v>1.3540675057208238E-3</v>
      </c>
      <c r="Z235" s="156">
        <f t="shared" si="853"/>
        <v>1.1509573798627005E-3</v>
      </c>
      <c r="AA235" s="156">
        <f t="shared" si="853"/>
        <v>9.7831377288329553E-4</v>
      </c>
      <c r="AB235" s="156">
        <f t="shared" si="853"/>
        <v>8.3156670695080123E-4</v>
      </c>
      <c r="AC235" s="156">
        <f t="shared" si="853"/>
        <v>7.0683170090818132E-4</v>
      </c>
      <c r="AD235" s="156">
        <f t="shared" si="853"/>
        <v>6.0080694577195409E-4</v>
      </c>
      <c r="AE235" s="156">
        <f t="shared" si="853"/>
        <v>5.1068590390616095E-4</v>
      </c>
      <c r="AF235" s="156">
        <f t="shared" si="853"/>
        <v>4.3408301832023697E-4</v>
      </c>
      <c r="AG235" s="156">
        <f t="shared" si="853"/>
        <v>3.6897056557220136E-4</v>
      </c>
      <c r="AH235" s="115" t="e">
        <f t="shared" si="845"/>
        <v>#DIV/0!</v>
      </c>
      <c r="AI235" s="21">
        <f t="shared" si="846"/>
        <v>0.01</v>
      </c>
      <c r="AJ235" s="156" t="e">
        <f>(#REF!)/($O$2*100)</f>
        <v>#REF!</v>
      </c>
    </row>
    <row r="236" spans="2:36">
      <c r="B236" s="10" t="s">
        <v>434</v>
      </c>
      <c r="C236" s="110"/>
      <c r="D236" s="110"/>
      <c r="E236" s="110"/>
      <c r="F236" s="110"/>
      <c r="G236" s="128">
        <f t="shared" ref="G236" si="854">G235-1</f>
        <v>-1</v>
      </c>
      <c r="H236" s="128">
        <f t="shared" ref="H236:T236" si="855">H235-1</f>
        <v>-1</v>
      </c>
      <c r="I236" s="128">
        <f t="shared" si="855"/>
        <v>-1</v>
      </c>
      <c r="J236" s="128">
        <f t="shared" si="855"/>
        <v>-1</v>
      </c>
      <c r="K236" s="128">
        <f t="shared" si="855"/>
        <v>-1</v>
      </c>
      <c r="L236" s="128">
        <f t="shared" si="855"/>
        <v>-1</v>
      </c>
      <c r="M236" s="128">
        <f t="shared" si="855"/>
        <v>-1</v>
      </c>
      <c r="N236" s="128">
        <f t="shared" si="855"/>
        <v>-1</v>
      </c>
      <c r="O236" s="128">
        <f t="shared" si="855"/>
        <v>-1</v>
      </c>
      <c r="P236" s="128">
        <f t="shared" si="855"/>
        <v>-1</v>
      </c>
      <c r="Q236" s="128">
        <f t="shared" si="855"/>
        <v>-1</v>
      </c>
      <c r="R236" s="128">
        <f t="shared" si="855"/>
        <v>-1</v>
      </c>
      <c r="S236" s="128">
        <f t="shared" si="855"/>
        <v>-1</v>
      </c>
      <c r="T236" s="128">
        <f t="shared" si="855"/>
        <v>-1</v>
      </c>
      <c r="U236" s="128">
        <f t="shared" ref="U236" si="856">U235-1</f>
        <v>-0.55407008191535112</v>
      </c>
      <c r="V236" s="101">
        <f t="shared" si="719"/>
        <v>-8.0892339697187676E-2</v>
      </c>
      <c r="W236" s="109"/>
      <c r="X236" s="128">
        <f t="shared" ref="X236:AG236" si="857">X235-1</f>
        <v>-0.9998980617104184</v>
      </c>
      <c r="Y236" s="128">
        <f t="shared" si="857"/>
        <v>-0.99864593249427913</v>
      </c>
      <c r="Z236" s="128">
        <f t="shared" si="857"/>
        <v>-0.9988490426201373</v>
      </c>
      <c r="AA236" s="128">
        <f t="shared" si="857"/>
        <v>-0.99902168622711673</v>
      </c>
      <c r="AB236" s="128">
        <f t="shared" si="857"/>
        <v>-0.99916843329304916</v>
      </c>
      <c r="AC236" s="128">
        <f t="shared" si="857"/>
        <v>-0.99929316829909187</v>
      </c>
      <c r="AD236" s="128">
        <f t="shared" si="857"/>
        <v>-0.99939919305422809</v>
      </c>
      <c r="AE236" s="128">
        <f t="shared" si="857"/>
        <v>-0.99948931409609387</v>
      </c>
      <c r="AF236" s="128">
        <f t="shared" si="857"/>
        <v>-0.99956591698167974</v>
      </c>
      <c r="AG236" s="128">
        <f t="shared" si="857"/>
        <v>-0.99963102943442783</v>
      </c>
      <c r="AH236" s="115">
        <f t="shared" si="845"/>
        <v>-2.1707920377367351E-5</v>
      </c>
      <c r="AI236" s="21">
        <f t="shared" si="846"/>
        <v>0.01</v>
      </c>
      <c r="AJ236" s="156" t="e">
        <f>(AJ220)/($O$2*100)</f>
        <v>#DIV/0!</v>
      </c>
    </row>
    <row r="237" spans="2:36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3" t="s">
        <v>293</v>
      </c>
      <c r="O240" s="314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1</v>
      </c>
      <c r="T241" s="109">
        <f>(U205-X192)/U205</f>
        <v>1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 t="e">
        <f>(S205-(N242*W183))/S205</f>
        <v>#DIV/0!</v>
      </c>
      <c r="Q242" s="10"/>
      <c r="R242" s="10"/>
      <c r="S242" s="109">
        <f>(U205-Y183)/U205</f>
        <v>11.103662983235271</v>
      </c>
      <c r="T242" s="109">
        <f>(U205-X183)/U205</f>
        <v>2.4005077402504336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 t="e">
        <f>(S205-(N243*W176))/S205</f>
        <v>#DIV/0!</v>
      </c>
      <c r="Q243" s="10"/>
      <c r="R243" s="10"/>
      <c r="S243" s="109">
        <f>(U205-Y176)/U205</f>
        <v>-4.5173325807243945</v>
      </c>
      <c r="T243" s="109">
        <f>(U205-X176)/U205</f>
        <v>0.23522122643424245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 t="e">
        <f>(S205-(N244*W189))/S205</f>
        <v>#DIV/0!</v>
      </c>
      <c r="Q244" s="10"/>
      <c r="R244" s="10"/>
      <c r="S244" s="109">
        <f>(U205-Y189)/U205</f>
        <v>-0.80942297211847336</v>
      </c>
      <c r="T244" s="109">
        <f>(U205-X189)/U205</f>
        <v>0.74918889495387497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 t="e">
        <f>(S205-(N245*W202))/S205</f>
        <v>#DIV/0!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1.2362413570663531</v>
      </c>
      <c r="T246" s="15">
        <f>U205/X175</f>
        <v>8.9185983616929772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0.80890353189043718</v>
      </c>
      <c r="T247" s="128">
        <f>1/T246</f>
        <v>0.11212524204421899</v>
      </c>
      <c r="U247" s="128"/>
      <c r="V247" s="10"/>
      <c r="W247" s="10"/>
      <c r="X247" s="110" t="e">
        <f>U205-X248</f>
        <v>#DIV/0!</v>
      </c>
      <c r="Y247" s="160" t="e">
        <f>X247-Y248</f>
        <v>#DIV/0!</v>
      </c>
      <c r="Z247" s="160" t="e">
        <f t="shared" ref="Z247:AB247" si="858">Y247-Z248</f>
        <v>#DIV/0!</v>
      </c>
      <c r="AA247" s="160" t="e">
        <f t="shared" si="858"/>
        <v>#DIV/0!</v>
      </c>
      <c r="AB247" s="160" t="e">
        <f t="shared" si="858"/>
        <v>#DIV/0!</v>
      </c>
      <c r="AC247" s="160" t="e">
        <f>AB247-AC248</f>
        <v>#DIV/0!</v>
      </c>
      <c r="AD247" s="160" t="e">
        <f t="shared" ref="AD247:AG247" si="859">AC247-AD248</f>
        <v>#DIV/0!</v>
      </c>
      <c r="AE247" s="160" t="e">
        <f t="shared" si="859"/>
        <v>#DIV/0!</v>
      </c>
      <c r="AF247" s="160" t="e">
        <f t="shared" si="859"/>
        <v>#DIV/0!</v>
      </c>
      <c r="AG247" s="160" t="e">
        <f t="shared" si="859"/>
        <v>#DIV/0!</v>
      </c>
      <c r="AH247" s="160" t="e">
        <f t="shared" ref="AH247" si="860">AG247-AH248</f>
        <v>#DIV/0!</v>
      </c>
      <c r="AI247" s="160" t="e">
        <f t="shared" ref="AI247" si="861">AH247-AI248</f>
        <v>#DIV/0!</v>
      </c>
      <c r="AJ247" s="160" t="e">
        <f t="shared" ref="AJ247" si="862">AI247-AJ248</f>
        <v>#DIV/0!</v>
      </c>
      <c r="AK247" s="160" t="e">
        <f t="shared" ref="AK247" si="863">AJ247-AK248</f>
        <v>#DIV/0!</v>
      </c>
      <c r="AL247" s="160" t="e">
        <f t="shared" ref="AL247" si="864">AK247-AL248</f>
        <v>#DIV/0!</v>
      </c>
      <c r="AM247" s="160" t="e">
        <f t="shared" ref="AM247" si="865">AL247-AM248</f>
        <v>#DIV/0!</v>
      </c>
      <c r="AN247" s="160" t="e">
        <f t="shared" ref="AN247" si="866">AM247-AN248</f>
        <v>#DIV/0!</v>
      </c>
      <c r="AO247" s="160" t="e">
        <f t="shared" ref="AO247" si="867">AN247-AO248</f>
        <v>#DIV/0!</v>
      </c>
      <c r="AP247" s="160" t="e">
        <f t="shared" ref="AP247" si="868">AO247-AP248</f>
        <v>#DIV/0!</v>
      </c>
      <c r="AQ247" s="160" t="e">
        <f t="shared" ref="AQ247" si="869">AP247-AQ248</f>
        <v>#DIV/0!</v>
      </c>
      <c r="AR247" s="160" t="e">
        <f t="shared" ref="AR247" si="870">AQ247-AR248</f>
        <v>#DIV/0!</v>
      </c>
      <c r="AS247" s="160" t="e">
        <f t="shared" ref="AS247" si="871">AR247-AS248</f>
        <v>#DIV/0!</v>
      </c>
      <c r="AT247" s="160" t="e">
        <f t="shared" ref="AT247" si="872">AS247-AT248</f>
        <v>#DIV/0!</v>
      </c>
      <c r="AU247" s="160" t="e">
        <f t="shared" ref="AU247" si="873">AT247-AU248</f>
        <v>#DIV/0!</v>
      </c>
      <c r="AV247" s="160" t="e">
        <f t="shared" ref="AV247" si="874">AU247-AV248</f>
        <v>#DIV/0!</v>
      </c>
      <c r="AW247" s="160" t="e">
        <f t="shared" ref="AW247" si="875">AV247-AW248</f>
        <v>#DIV/0!</v>
      </c>
      <c r="AX247" s="160" t="e">
        <f t="shared" ref="AX247" si="876">AW247-AX248</f>
        <v>#DIV/0!</v>
      </c>
    </row>
    <row r="248" spans="2:50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71.305970149253739</v>
      </c>
      <c r="T248" s="156" t="s">
        <v>409</v>
      </c>
      <c r="U248" s="156"/>
      <c r="V248" s="10"/>
      <c r="W248" s="10"/>
      <c r="X248" s="161" t="e">
        <f>V174*(1+$N$248)</f>
        <v>#DIV/0!</v>
      </c>
      <c r="Y248" s="161" t="e">
        <f>X248*(1+$N$248)</f>
        <v>#DIV/0!</v>
      </c>
      <c r="Z248" s="161" t="e">
        <f t="shared" ref="Z248:AG248" si="877">Y248*(1+$N$248)</f>
        <v>#DIV/0!</v>
      </c>
      <c r="AA248" s="161" t="e">
        <f t="shared" si="877"/>
        <v>#DIV/0!</v>
      </c>
      <c r="AB248" s="161" t="e">
        <f t="shared" si="877"/>
        <v>#DIV/0!</v>
      </c>
      <c r="AC248" s="161" t="e">
        <f t="shared" si="877"/>
        <v>#DIV/0!</v>
      </c>
      <c r="AD248" s="161" t="e">
        <f t="shared" si="877"/>
        <v>#DIV/0!</v>
      </c>
      <c r="AE248" s="161" t="e">
        <f t="shared" si="877"/>
        <v>#DIV/0!</v>
      </c>
      <c r="AF248" s="161" t="e">
        <f t="shared" si="877"/>
        <v>#DIV/0!</v>
      </c>
      <c r="AG248" s="161" t="e">
        <f t="shared" si="877"/>
        <v>#DIV/0!</v>
      </c>
      <c r="AH248" s="161" t="e">
        <f t="shared" ref="AH248" si="878">AG248*(1+$N$248)</f>
        <v>#DIV/0!</v>
      </c>
      <c r="AI248" s="161" t="e">
        <f t="shared" ref="AI248" si="879">AH248*(1+$N$248)</f>
        <v>#DIV/0!</v>
      </c>
      <c r="AJ248" s="161" t="e">
        <f t="shared" ref="AJ248" si="880">AI248*(1+$N$248)</f>
        <v>#DIV/0!</v>
      </c>
      <c r="AK248" s="161" t="e">
        <f t="shared" ref="AK248" si="881">AJ248*(1+$N$248)</f>
        <v>#DIV/0!</v>
      </c>
      <c r="AL248" s="161" t="e">
        <f t="shared" ref="AL248" si="882">AK248*(1+$N$248)</f>
        <v>#DIV/0!</v>
      </c>
      <c r="AM248" s="161" t="e">
        <f t="shared" ref="AM248" si="883">AL248*(1+$N$248)</f>
        <v>#DIV/0!</v>
      </c>
      <c r="AN248" s="161" t="e">
        <f t="shared" ref="AN248" si="884">AM248*(1+$N$248)</f>
        <v>#DIV/0!</v>
      </c>
      <c r="AO248" s="161" t="e">
        <f t="shared" ref="AO248" si="885">AN248*(1+$N$248)</f>
        <v>#DIV/0!</v>
      </c>
      <c r="AP248" s="161" t="e">
        <f t="shared" ref="AP248" si="886">AO248*(1+$N$248)</f>
        <v>#DIV/0!</v>
      </c>
      <c r="AQ248" s="161" t="e">
        <f t="shared" ref="AQ248" si="887">AP248*(1+$N$248)</f>
        <v>#DIV/0!</v>
      </c>
      <c r="AR248" s="161" t="e">
        <f t="shared" ref="AR248" si="888">AQ248*(1+$N$248)</f>
        <v>#DIV/0!</v>
      </c>
      <c r="AS248" s="161" t="e">
        <f t="shared" ref="AS248" si="889">AR248*(1+$N$248)</f>
        <v>#DIV/0!</v>
      </c>
      <c r="AT248" s="161" t="e">
        <f t="shared" ref="AT248" si="890">AS248*(1+$N$248)</f>
        <v>#DIV/0!</v>
      </c>
      <c r="AU248" s="161" t="e">
        <f t="shared" ref="AU248" si="891">AT248*(1+$N$248)</f>
        <v>#DIV/0!</v>
      </c>
      <c r="AV248" s="161" t="e">
        <f t="shared" ref="AV248" si="892">AU248*(1+$N$248)</f>
        <v>#DIV/0!</v>
      </c>
      <c r="AW248" s="161" t="e">
        <f t="shared" ref="AW248" si="893">AV248*(1+$N$248)</f>
        <v>#DIV/0!</v>
      </c>
      <c r="AX248" s="161" t="e">
        <f t="shared" ref="AX248" si="894">AW248*(1+$N$248)</f>
        <v>#DIV/0!</v>
      </c>
    </row>
    <row r="249" spans="2:50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0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12.877358490566039</v>
      </c>
      <c r="T249" s="156" t="s">
        <v>409</v>
      </c>
      <c r="U249" s="156"/>
      <c r="V249" s="10"/>
      <c r="W249" s="10"/>
      <c r="X249" s="161">
        <f>T76*(1+$N$249)</f>
        <v>14.532967032967031</v>
      </c>
      <c r="Y249" s="161">
        <f>X249*(1+$N$249)</f>
        <v>16.712912087912084</v>
      </c>
      <c r="Z249" s="161">
        <f t="shared" ref="Z249:AG249" si="895">Y249*(1+$N$249)</f>
        <v>19.219848901098896</v>
      </c>
      <c r="AA249" s="161">
        <f t="shared" si="895"/>
        <v>22.102826236263727</v>
      </c>
      <c r="AB249" s="161">
        <f t="shared" si="895"/>
        <v>25.418250171703285</v>
      </c>
      <c r="AC249" s="161">
        <f t="shared" si="895"/>
        <v>29.230987697458776</v>
      </c>
      <c r="AD249" s="161">
        <f t="shared" si="895"/>
        <v>33.615635852077588</v>
      </c>
      <c r="AE249" s="161">
        <f t="shared" si="895"/>
        <v>38.657981229889224</v>
      </c>
      <c r="AF249" s="161">
        <f t="shared" si="895"/>
        <v>44.456678414372604</v>
      </c>
      <c r="AG249" s="161">
        <f t="shared" si="895"/>
        <v>51.125180176528488</v>
      </c>
      <c r="AH249" s="161">
        <f t="shared" ref="AH249" si="896">AG249*(1+$N$249)</f>
        <v>58.793957203007757</v>
      </c>
      <c r="AI249" s="161">
        <f t="shared" ref="AI249" si="897">AH249*(1+$N$249)</f>
        <v>67.613050783458917</v>
      </c>
      <c r="AJ249" s="161">
        <f t="shared" ref="AJ249" si="898">AI249*(1+$N$249)</f>
        <v>77.755008400977744</v>
      </c>
      <c r="AK249" s="161">
        <f t="shared" ref="AK249" si="899">AJ249*(1+$N$249)</f>
        <v>89.418259661124395</v>
      </c>
      <c r="AL249" s="161">
        <f t="shared" ref="AL249" si="900">AK249*(1+$N$249)</f>
        <v>102.83099861029305</v>
      </c>
      <c r="AM249" s="161">
        <f t="shared" ref="AM249" si="901">AL249*(1+$N$249)</f>
        <v>118.25564840183699</v>
      </c>
      <c r="AN249" s="161">
        <f t="shared" ref="AN249" si="902">AM249*(1+$N$249)</f>
        <v>135.99399566211252</v>
      </c>
      <c r="AO249" s="161">
        <f t="shared" ref="AO249" si="903">AN249*(1+$N$249)</f>
        <v>156.39309501142938</v>
      </c>
      <c r="AP249" s="161">
        <f t="shared" ref="AP249" si="904">AO249*(1+$N$249)</f>
        <v>179.85205926314379</v>
      </c>
      <c r="AQ249" s="161">
        <f t="shared" ref="AQ249" si="905">AP249*(1+$N$249)</f>
        <v>206.82986815261535</v>
      </c>
      <c r="AR249" s="161">
        <f t="shared" ref="AR249" si="906">AQ249*(1+$N$249)</f>
        <v>237.85434837550764</v>
      </c>
      <c r="AS249" s="161">
        <f t="shared" ref="AS249" si="907">AR249*(1+$N$249)</f>
        <v>273.53250063183378</v>
      </c>
      <c r="AT249" s="161">
        <f t="shared" ref="AT249" si="908">AS249*(1+$N$249)</f>
        <v>314.56237572660882</v>
      </c>
      <c r="AU249" s="161">
        <f t="shared" ref="AU249" si="909">AT249*(1+$N$249)</f>
        <v>361.74673208560012</v>
      </c>
      <c r="AV249" s="161">
        <f t="shared" ref="AV249" si="910">AU249*(1+$N$249)</f>
        <v>416.00874189844012</v>
      </c>
      <c r="AW249" s="161">
        <f t="shared" ref="AW249" si="911">AV249*(1+$N$249)</f>
        <v>478.41005318320612</v>
      </c>
      <c r="AX249" s="161">
        <f t="shared" ref="AX249" si="912">AW249*(1+$N$249)</f>
        <v>550.17156116068702</v>
      </c>
    </row>
    <row r="250" spans="2:50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235.46703296703296</v>
      </c>
      <c r="Y250" s="160">
        <f>X250-Y249</f>
        <v>218.75412087912088</v>
      </c>
      <c r="Z250" s="160">
        <f t="shared" ref="Z250:AE250" si="913">Y250-Z249</f>
        <v>199.53427197802199</v>
      </c>
      <c r="AA250" s="160">
        <f t="shared" si="913"/>
        <v>177.43144574175827</v>
      </c>
      <c r="AB250" s="160">
        <f t="shared" si="913"/>
        <v>152.01319557005499</v>
      </c>
      <c r="AC250" s="160">
        <f t="shared" si="913"/>
        <v>122.78220787259622</v>
      </c>
      <c r="AD250" s="160">
        <f t="shared" si="913"/>
        <v>89.166572020518629</v>
      </c>
      <c r="AE250" s="160">
        <f t="shared" si="913"/>
        <v>50.508590790629405</v>
      </c>
      <c r="AF250" s="160">
        <f>AE250-AF249</f>
        <v>6.0519123762568015</v>
      </c>
      <c r="AG250" s="160">
        <f t="shared" ref="AG250" si="914">AF250-AG249</f>
        <v>-45.073267800271687</v>
      </c>
      <c r="AH250" s="160">
        <f t="shared" ref="AH250" si="915">AG250-AH249</f>
        <v>-103.86722500327944</v>
      </c>
      <c r="AI250" s="160">
        <f t="shared" ref="AI250" si="916">AH250-AI249</f>
        <v>-171.48027578673836</v>
      </c>
      <c r="AJ250" s="160">
        <f t="shared" ref="AJ250" si="917">AI250-AJ249</f>
        <v>-249.2352841877161</v>
      </c>
      <c r="AK250" s="160">
        <f t="shared" ref="AK250" si="918">AJ250-AK249</f>
        <v>-338.65354384884051</v>
      </c>
      <c r="AL250" s="160">
        <f t="shared" ref="AL250" si="919">AK250-AL249</f>
        <v>-441.48454245913354</v>
      </c>
      <c r="AM250" s="160">
        <f t="shared" ref="AM250" si="920">AL250-AM249</f>
        <v>-559.74019086097053</v>
      </c>
      <c r="AN250" s="160">
        <f t="shared" ref="AN250" si="921">AM250-AN249</f>
        <v>-695.73418652308305</v>
      </c>
      <c r="AO250" s="160">
        <f t="shared" ref="AO250" si="922">AN250-AO249</f>
        <v>-852.12728153451246</v>
      </c>
      <c r="AP250" s="160">
        <f t="shared" ref="AP250" si="923">AO250-AP249</f>
        <v>-1031.9793407976563</v>
      </c>
      <c r="AQ250" s="160">
        <f t="shared" ref="AQ250" si="924">AP250-AQ249</f>
        <v>-1238.8092089502716</v>
      </c>
      <c r="AR250" s="160">
        <f t="shared" ref="AR250" si="925">AQ250-AR249</f>
        <v>-1476.6635573257793</v>
      </c>
      <c r="AS250" s="160">
        <f t="shared" ref="AS250" si="926">AR250-AS249</f>
        <v>-1750.196057957613</v>
      </c>
      <c r="AT250" s="160">
        <f t="shared" ref="AT250" si="927">AS250-AT249</f>
        <v>-2064.7584336842219</v>
      </c>
      <c r="AU250" s="160">
        <f t="shared" ref="AU250" si="928">AT250-AU249</f>
        <v>-2426.5051657698223</v>
      </c>
      <c r="AV250" s="160">
        <f t="shared" ref="AV250" si="929">AU250-AV249</f>
        <v>-2842.5139076682626</v>
      </c>
      <c r="AW250" s="160">
        <f t="shared" ref="AW250" si="930">AV250-AW249</f>
        <v>-3320.9239608514686</v>
      </c>
      <c r="AX250" s="160">
        <f t="shared" ref="AX250" si="931">AW250-AX249</f>
        <v>-3871.0955220121555</v>
      </c>
    </row>
    <row r="251" spans="2:50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 t="s">
        <v>254</v>
      </c>
      <c r="C252" s="15"/>
      <c r="D252" s="15"/>
      <c r="E252" s="15"/>
      <c r="F252" s="15"/>
      <c r="G252" s="15"/>
      <c r="H252" s="15" t="e">
        <f t="shared" ref="H252:I252" si="932">H10/H7</f>
        <v>#DIV/0!</v>
      </c>
      <c r="I252" s="15" t="e">
        <f t="shared" si="932"/>
        <v>#DIV/0!</v>
      </c>
      <c r="J252" s="15" t="e">
        <f t="shared" ref="J252:T252" si="933">J10/J7</f>
        <v>#DIV/0!</v>
      </c>
      <c r="K252" s="15" t="e">
        <f t="shared" si="933"/>
        <v>#DIV/0!</v>
      </c>
      <c r="L252" s="15" t="e">
        <f t="shared" si="933"/>
        <v>#DIV/0!</v>
      </c>
      <c r="M252" s="15" t="e">
        <f t="shared" si="933"/>
        <v>#DIV/0!</v>
      </c>
      <c r="N252" s="15">
        <f t="shared" si="933"/>
        <v>2.9396551724137931</v>
      </c>
      <c r="O252" s="15">
        <f t="shared" si="933"/>
        <v>2.4596774193548385</v>
      </c>
      <c r="P252" s="15">
        <f t="shared" si="933"/>
        <v>4.4811320754716979</v>
      </c>
      <c r="Q252" s="15">
        <f t="shared" si="933"/>
        <v>5.5354330708661417</v>
      </c>
      <c r="R252" s="15">
        <f t="shared" si="933"/>
        <v>6</v>
      </c>
      <c r="S252" s="15">
        <f t="shared" si="933"/>
        <v>6.4054054054054053</v>
      </c>
      <c r="T252" s="15">
        <f t="shared" si="933"/>
        <v>3.3671641791044777</v>
      </c>
      <c r="U252" s="15">
        <f t="shared" ref="U252" si="934">U10/U7</f>
        <v>1.731673582295989</v>
      </c>
      <c r="V252" s="101" t="e">
        <f t="shared" ref="V252:V254" si="935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 t="s">
        <v>255</v>
      </c>
      <c r="C253" s="96"/>
      <c r="D253" s="96"/>
      <c r="E253" s="96"/>
      <c r="F253" s="96"/>
      <c r="G253" s="96"/>
      <c r="H253" s="96" t="e">
        <f t="shared" ref="H253:I253" si="936">H10/H12</f>
        <v>#DIV/0!</v>
      </c>
      <c r="I253" s="96" t="e">
        <f t="shared" si="936"/>
        <v>#DIV/0!</v>
      </c>
      <c r="J253" s="96" t="e">
        <f t="shared" ref="J253:T253" si="937">J10/J12</f>
        <v>#DIV/0!</v>
      </c>
      <c r="K253" s="96" t="e">
        <f t="shared" si="937"/>
        <v>#DIV/0!</v>
      </c>
      <c r="L253" s="96" t="e">
        <f t="shared" si="937"/>
        <v>#DIV/0!</v>
      </c>
      <c r="M253" s="96" t="e">
        <f t="shared" si="937"/>
        <v>#DIV/0!</v>
      </c>
      <c r="N253" s="96">
        <f t="shared" si="937"/>
        <v>3.3431372549019609</v>
      </c>
      <c r="O253" s="96">
        <f t="shared" si="937"/>
        <v>2.1631205673758864</v>
      </c>
      <c r="P253" s="96">
        <f t="shared" si="937"/>
        <v>2.7142857142857144</v>
      </c>
      <c r="Q253" s="96">
        <f t="shared" si="937"/>
        <v>3.8</v>
      </c>
      <c r="R253" s="96">
        <f t="shared" si="937"/>
        <v>4.4036697247706424</v>
      </c>
      <c r="S253" s="96">
        <f t="shared" si="937"/>
        <v>6.5109890109890109</v>
      </c>
      <c r="T253" s="96">
        <f t="shared" si="937"/>
        <v>24</v>
      </c>
      <c r="U253" s="96">
        <f t="shared" ref="U253" si="938">U10/U12</f>
        <v>21.964912280701753</v>
      </c>
      <c r="V253" s="101" t="e">
        <f t="shared" si="935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 t="s">
        <v>256</v>
      </c>
      <c r="C254" s="15"/>
      <c r="D254" s="15"/>
      <c r="E254" s="15"/>
      <c r="F254" s="15"/>
      <c r="G254" s="15"/>
      <c r="H254" s="15" t="e">
        <f t="shared" ref="H254:I254" si="939">H10/(H12+H13)</f>
        <v>#DIV/0!</v>
      </c>
      <c r="I254" s="15" t="e">
        <f t="shared" si="939"/>
        <v>#DIV/0!</v>
      </c>
      <c r="J254" s="15" t="e">
        <f t="shared" ref="J254:T254" si="940">J10/(J12+J13)</f>
        <v>#DIV/0!</v>
      </c>
      <c r="K254" s="15" t="e">
        <f t="shared" si="940"/>
        <v>#DIV/0!</v>
      </c>
      <c r="L254" s="15" t="e">
        <f t="shared" si="940"/>
        <v>#DIV/0!</v>
      </c>
      <c r="M254" s="15" t="e">
        <f t="shared" si="940"/>
        <v>#DIV/0!</v>
      </c>
      <c r="N254" s="15">
        <f t="shared" si="940"/>
        <v>3.3431372549019609</v>
      </c>
      <c r="O254" s="15">
        <f t="shared" si="940"/>
        <v>2.1631205673758864</v>
      </c>
      <c r="P254" s="15">
        <f t="shared" si="940"/>
        <v>2.7130454649303175</v>
      </c>
      <c r="Q254" s="15">
        <f t="shared" si="940"/>
        <v>3.7983574670412792</v>
      </c>
      <c r="R254" s="15">
        <f t="shared" si="940"/>
        <v>4.4020542920029344</v>
      </c>
      <c r="S254" s="15">
        <f t="shared" si="940"/>
        <v>6.5081282952548323</v>
      </c>
      <c r="T254" s="15">
        <f t="shared" si="940"/>
        <v>23.959218351741718</v>
      </c>
      <c r="U254" s="15">
        <f t="shared" ref="U254" si="941">U10/(U12+U13)</f>
        <v>21.934127540294323</v>
      </c>
      <c r="V254" s="101" t="e">
        <f t="shared" si="935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5" t="s">
        <v>281</v>
      </c>
      <c r="N257" s="315"/>
      <c r="O257" s="315"/>
      <c r="P257" s="316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>
      <c r="B259" s="10"/>
      <c r="C259" s="142" t="s">
        <v>283</v>
      </c>
      <c r="D259" s="11"/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0</v>
      </c>
      <c r="K259" s="152">
        <f>J259+D260</f>
        <v>0</v>
      </c>
      <c r="L259" s="10"/>
      <c r="M259" s="142" t="s">
        <v>283</v>
      </c>
      <c r="N259" s="142"/>
      <c r="O259" s="11">
        <v>650</v>
      </c>
      <c r="P259" s="148">
        <f>O259</f>
        <v>650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>
      <c r="B260" s="10"/>
      <c r="C260" s="142" t="s">
        <v>284</v>
      </c>
      <c r="D260" s="11"/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0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>
      <c r="B261" s="10"/>
      <c r="C261" s="142" t="s">
        <v>286</v>
      </c>
      <c r="D261" s="143">
        <f>D259*D260</f>
        <v>0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0</v>
      </c>
      <c r="L261" s="10"/>
      <c r="M261" s="142" t="s">
        <v>285</v>
      </c>
      <c r="N261" s="142"/>
      <c r="O261" s="143">
        <f>O259*O260</f>
        <v>650</v>
      </c>
      <c r="P261" s="148">
        <f>O261</f>
        <v>650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942">G262/H262</f>
        <v>0</v>
      </c>
      <c r="J262" s="142">
        <f t="shared" ref="J262:J264" si="943">I262*K261</f>
        <v>0</v>
      </c>
      <c r="K262" s="142">
        <f t="shared" ref="K262:K264" si="944">J262+K261</f>
        <v>0</v>
      </c>
      <c r="L262" s="10"/>
      <c r="M262" s="142" t="s">
        <v>287</v>
      </c>
      <c r="N262" s="142"/>
      <c r="O262" s="11">
        <v>565</v>
      </c>
      <c r="P262" s="11">
        <v>650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942"/>
        <v>0</v>
      </c>
      <c r="J263" s="142">
        <f t="shared" si="943"/>
        <v>0</v>
      </c>
      <c r="K263" s="142">
        <f t="shared" si="944"/>
        <v>0</v>
      </c>
      <c r="L263" s="10"/>
      <c r="M263" s="142" t="s">
        <v>288</v>
      </c>
      <c r="N263" s="142"/>
      <c r="O263" s="143">
        <f>O262*O260</f>
        <v>565</v>
      </c>
      <c r="P263" s="143">
        <f>P262*P260</f>
        <v>650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942"/>
        <v>0</v>
      </c>
      <c r="J264" s="142">
        <f t="shared" si="943"/>
        <v>0</v>
      </c>
      <c r="K264" s="142">
        <f t="shared" si="944"/>
        <v>0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>
      <c r="B265" s="10"/>
      <c r="C265" s="142"/>
      <c r="D265" s="143"/>
      <c r="E265" s="151" t="s">
        <v>328</v>
      </c>
      <c r="F265" s="151"/>
      <c r="G265" s="12">
        <v>10</v>
      </c>
      <c r="H265" s="12">
        <v>1</v>
      </c>
      <c r="I265" s="142">
        <f t="shared" si="942"/>
        <v>10</v>
      </c>
      <c r="J265" s="142">
        <f>I265*K264</f>
        <v>0</v>
      </c>
      <c r="K265" s="142">
        <f>J265</f>
        <v>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0.86923076923076925</v>
      </c>
      <c r="P266" s="145">
        <f>P263/P261</f>
        <v>1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>
      <c r="B267" s="10"/>
      <c r="C267" s="142" t="s">
        <v>287</v>
      </c>
      <c r="D267" s="11"/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>
      <c r="B268" s="10"/>
      <c r="C268" s="142" t="s">
        <v>284</v>
      </c>
      <c r="D268" s="11"/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0</v>
      </c>
      <c r="K268" s="152">
        <f>J268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>
      <c r="B269" s="10"/>
      <c r="C269" s="142" t="s">
        <v>286</v>
      </c>
      <c r="D269" s="143">
        <f>D268*D267</f>
        <v>0</v>
      </c>
      <c r="E269" s="142"/>
      <c r="F269" s="142"/>
      <c r="G269" s="142"/>
      <c r="H269" s="142"/>
      <c r="I269" s="144" t="s">
        <v>329</v>
      </c>
      <c r="J269" s="142"/>
      <c r="K269" s="142">
        <f>K268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0</v>
      </c>
      <c r="K270" s="142">
        <f>J270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>
      <c r="B271" s="10"/>
      <c r="C271" s="144" t="s">
        <v>289</v>
      </c>
      <c r="D271" s="145" t="e">
        <f>D269/D261</f>
        <v>#DIV/0!</v>
      </c>
      <c r="E271" s="151"/>
      <c r="F271" s="151"/>
      <c r="G271" s="142"/>
      <c r="H271" s="142"/>
      <c r="I271" s="144" t="s">
        <v>329</v>
      </c>
      <c r="J271" s="142"/>
      <c r="K271" s="142">
        <f>K270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>
      <c r="B274" s="10"/>
      <c r="C274" s="10"/>
      <c r="D274" s="306" t="s">
        <v>15</v>
      </c>
      <c r="E274" s="307"/>
      <c r="F274" s="307"/>
      <c r="G274" s="307"/>
      <c r="H274" s="307"/>
      <c r="I274" s="307"/>
      <c r="J274" s="308"/>
      <c r="K274" s="10"/>
      <c r="L274" s="306" t="s">
        <v>334</v>
      </c>
      <c r="M274" s="307"/>
      <c r="N274" s="308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0" t="s">
        <v>16</v>
      </c>
      <c r="E275" s="108"/>
      <c r="F275" s="108"/>
      <c r="G275" s="108">
        <f>D261</f>
        <v>0</v>
      </c>
      <c r="H275" s="11">
        <f>D261</f>
        <v>0</v>
      </c>
      <c r="I275" s="10"/>
      <c r="J275" s="10"/>
      <c r="K275" s="10"/>
      <c r="L275" s="10" t="s">
        <v>16</v>
      </c>
      <c r="M275" s="108"/>
      <c r="N275" s="11">
        <f>H275</f>
        <v>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17</v>
      </c>
      <c r="E276" s="108"/>
      <c r="F276" s="108"/>
      <c r="G276" s="108">
        <f>D269</f>
        <v>0</v>
      </c>
      <c r="H276" s="11">
        <f>D269</f>
        <v>0</v>
      </c>
      <c r="I276" s="10"/>
      <c r="J276" s="10"/>
      <c r="K276" s="10"/>
      <c r="L276" s="10" t="s">
        <v>17</v>
      </c>
      <c r="M276" s="10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3" t="s">
        <v>19</v>
      </c>
      <c r="E278" s="3"/>
      <c r="F278" s="3"/>
      <c r="G278" s="3" t="e">
        <f>((G276/G275)^(1/G277))-1</f>
        <v>#DIV/0!</v>
      </c>
      <c r="H278" s="3" t="e">
        <f>((H276/H275)^(1/H277))-1</f>
        <v>#DIV/0!</v>
      </c>
      <c r="I278" s="10"/>
      <c r="J278" s="10"/>
      <c r="K278" s="10"/>
      <c r="L278" s="13" t="s">
        <v>335</v>
      </c>
      <c r="M278" s="13"/>
      <c r="N278" s="168" t="e">
        <f>(N276-N275)/N275</f>
        <v>#DIV/0!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 t="e">
        <f>N276/N275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>
      <c r="B281" s="10"/>
      <c r="C281" s="10"/>
      <c r="D281" s="13" t="s">
        <v>21</v>
      </c>
      <c r="E281" s="3"/>
      <c r="F281" s="3"/>
      <c r="G281" s="3" t="e">
        <f>((G276/G275)^(1/G280))-1</f>
        <v>#DIV/0!</v>
      </c>
      <c r="H281" s="3" t="e">
        <f>((H276/H275)^(1/H280))-1</f>
        <v>#DIV/0!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9" t="s">
        <v>15</v>
      </c>
      <c r="K5" s="279"/>
      <c r="M5" s="279" t="s">
        <v>53</v>
      </c>
      <c r="N5" s="279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9" t="s">
        <v>24</v>
      </c>
      <c r="K14" s="279"/>
      <c r="L14" s="279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9" t="s">
        <v>15</v>
      </c>
      <c r="S5" s="279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9" t="s">
        <v>24</v>
      </c>
      <c r="S14" s="279"/>
      <c r="T14" s="279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9" t="s">
        <v>15</v>
      </c>
      <c r="C2" s="279"/>
      <c r="E2" s="279" t="s">
        <v>53</v>
      </c>
      <c r="F2" s="279"/>
      <c r="H2" s="320" t="s">
        <v>24</v>
      </c>
      <c r="I2" s="321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7" t="s">
        <v>56</v>
      </c>
      <c r="E10" s="318"/>
      <c r="F10" s="318"/>
      <c r="G10" s="318"/>
      <c r="H10" s="319"/>
      <c r="I10" s="317" t="s">
        <v>60</v>
      </c>
      <c r="J10" s="318"/>
      <c r="K10" s="318"/>
      <c r="L10" s="319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22" t="s">
        <v>373</v>
      </c>
      <c r="C3" s="323"/>
      <c r="F3" s="322" t="s">
        <v>374</v>
      </c>
      <c r="G3" s="323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2019-04-06T03:18:23Z</dcterms:modified>
</cp:coreProperties>
</file>
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8800" windowHeight="12300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R58" i="18"/>
  <c r="G67"/>
  <c r="G66"/>
  <c r="G65"/>
  <c r="G63"/>
  <c r="G61"/>
  <c r="G59"/>
  <c r="G57"/>
  <c r="G55"/>
  <c r="G53"/>
  <c r="G34"/>
  <c r="G33"/>
  <c r="G29"/>
  <c r="G27"/>
  <c r="G25"/>
  <c r="G18"/>
  <c r="G16"/>
  <c r="G15"/>
  <c r="G14"/>
  <c r="G13"/>
  <c r="G12"/>
  <c r="G10"/>
  <c r="G9"/>
  <c r="G7"/>
  <c r="G6"/>
  <c r="C1"/>
  <c r="AI47" l="1"/>
  <c r="W47"/>
  <c r="X47" s="1"/>
  <c r="Y47" s="1"/>
  <c r="Z47" s="1"/>
  <c r="AA47" s="1"/>
  <c r="AB47" s="1"/>
  <c r="AC47" s="1"/>
  <c r="AD47" s="1"/>
  <c r="AE47" s="1"/>
  <c r="AF47" s="1"/>
  <c r="AG47" s="1"/>
  <c r="AH47" s="1"/>
  <c r="V47"/>
  <c r="U48"/>
  <c r="T48"/>
  <c r="S48"/>
  <c r="R48"/>
  <c r="Q48"/>
  <c r="P48"/>
  <c r="O48"/>
  <c r="N48"/>
  <c r="M48"/>
  <c r="L48"/>
  <c r="K48"/>
  <c r="J48"/>
  <c r="I48"/>
  <c r="H48"/>
  <c r="G48"/>
  <c r="AI57"/>
  <c r="W57"/>
  <c r="X57" s="1"/>
  <c r="Y57" s="1"/>
  <c r="Z57" s="1"/>
  <c r="AA57" s="1"/>
  <c r="AB57" s="1"/>
  <c r="AC57" s="1"/>
  <c r="AD57" s="1"/>
  <c r="AE57" s="1"/>
  <c r="AF57" s="1"/>
  <c r="AG57" s="1"/>
  <c r="V57"/>
  <c r="U58"/>
  <c r="T58"/>
  <c r="S58"/>
  <c r="Q58"/>
  <c r="P58"/>
  <c r="O58"/>
  <c r="N58"/>
  <c r="M58"/>
  <c r="L58"/>
  <c r="K58"/>
  <c r="J58"/>
  <c r="I58"/>
  <c r="H58"/>
  <c r="G58"/>
  <c r="G106"/>
  <c r="H106"/>
  <c r="I106"/>
  <c r="J106"/>
  <c r="K106"/>
  <c r="L106"/>
  <c r="M106"/>
  <c r="N106"/>
  <c r="O106"/>
  <c r="P106"/>
  <c r="Q106"/>
  <c r="T174" s="1"/>
  <c r="U229" s="1"/>
  <c r="U228" s="1"/>
  <c r="R106"/>
  <c r="S106"/>
  <c r="T106"/>
  <c r="U106"/>
  <c r="U254"/>
  <c r="V254" s="1"/>
  <c r="U253"/>
  <c r="V253" s="1"/>
  <c r="U252"/>
  <c r="V252" s="1"/>
  <c r="X61"/>
  <c r="X63"/>
  <c r="V205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6"/>
  <c r="U70"/>
  <c r="U206" s="1"/>
  <c r="U71"/>
  <c r="U72"/>
  <c r="U114" s="1"/>
  <c r="U74"/>
  <c r="U75"/>
  <c r="U76"/>
  <c r="U218" s="1"/>
  <c r="U77"/>
  <c r="U78"/>
  <c r="U79"/>
  <c r="U210" s="1"/>
  <c r="U80"/>
  <c r="U82"/>
  <c r="U83"/>
  <c r="U84"/>
  <c r="U213" s="1"/>
  <c r="U86"/>
  <c r="U87"/>
  <c r="U89"/>
  <c r="U90"/>
  <c r="U92"/>
  <c r="U94"/>
  <c r="U96" s="1"/>
  <c r="U97"/>
  <c r="U98"/>
  <c r="U99"/>
  <c r="U100"/>
  <c r="U102"/>
  <c r="U168" s="1"/>
  <c r="U103"/>
  <c r="U104"/>
  <c r="U109"/>
  <c r="U110"/>
  <c r="U111"/>
  <c r="U112"/>
  <c r="U113"/>
  <c r="U116"/>
  <c r="U122" s="1"/>
  <c r="U117"/>
  <c r="U123" s="1"/>
  <c r="U118"/>
  <c r="U124" s="1"/>
  <c r="U119"/>
  <c r="U125" s="1"/>
  <c r="U120"/>
  <c r="U126" s="1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70"/>
  <c r="U171"/>
  <c r="U208"/>
  <c r="U209"/>
  <c r="U212"/>
  <c r="U215"/>
  <c r="U216"/>
  <c r="U8"/>
  <c r="U11"/>
  <c r="U26"/>
  <c r="U28"/>
  <c r="U30"/>
  <c r="U37"/>
  <c r="U39"/>
  <c r="U44"/>
  <c r="U46"/>
  <c r="U50"/>
  <c r="U54"/>
  <c r="U56"/>
  <c r="U60"/>
  <c r="U62"/>
  <c r="U64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S174" l="1"/>
  <c r="S248" s="1"/>
  <c r="V106"/>
  <c r="U88"/>
  <c r="U211" s="1"/>
  <c r="U207"/>
  <c r="AJ47"/>
  <c r="AJ57"/>
  <c r="AH57"/>
  <c r="V71"/>
  <c r="S249"/>
  <c r="U147"/>
  <c r="U230"/>
  <c r="G215"/>
  <c r="V215" s="1"/>
  <c r="G216"/>
  <c r="V216" s="1"/>
  <c r="G62"/>
  <c r="G64"/>
  <c r="G70"/>
  <c r="G206" s="1"/>
  <c r="V206" s="1"/>
  <c r="G7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62"/>
  <c r="Q62"/>
  <c r="P62"/>
  <c r="O62"/>
  <c r="N62"/>
  <c r="M62"/>
  <c r="L62"/>
  <c r="K62"/>
  <c r="J62"/>
  <c r="I62"/>
  <c r="H62"/>
  <c r="R60"/>
  <c r="Q60"/>
  <c r="R56"/>
  <c r="Q56"/>
  <c r="R54"/>
  <c r="Q54"/>
  <c r="R30"/>
  <c r="Q30"/>
  <c r="R28"/>
  <c r="Q28"/>
  <c r="R26"/>
  <c r="Q26"/>
  <c r="R11"/>
  <c r="Q11"/>
  <c r="R8"/>
  <c r="Q8"/>
  <c r="U224" l="1"/>
  <c r="U223" s="1"/>
  <c r="V145"/>
  <c r="V102"/>
  <c r="V117"/>
  <c r="V144"/>
  <c r="V143"/>
  <c r="U220"/>
  <c r="U221" s="1"/>
  <c r="U219"/>
  <c r="V79"/>
  <c r="V90"/>
  <c r="V116"/>
  <c r="V120"/>
  <c r="V72"/>
  <c r="V84"/>
  <c r="V147"/>
  <c r="V166"/>
  <c r="V94"/>
  <c r="V74"/>
  <c r="V118"/>
  <c r="V70"/>
  <c r="V75"/>
  <c r="V92"/>
  <c r="V119"/>
  <c r="U231"/>
  <c r="G207"/>
  <c r="G219" s="1"/>
  <c r="G88"/>
  <c r="G147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L31"/>
  <c r="L32" s="1"/>
  <c r="L33" s="1"/>
  <c r="H31"/>
  <c r="H32" s="1"/>
  <c r="C31"/>
  <c r="C32" s="1"/>
  <c r="L30"/>
  <c r="P21"/>
  <c r="L20"/>
  <c r="P19"/>
  <c r="Q19" s="1"/>
  <c r="R19" s="1"/>
  <c r="R20" s="1"/>
  <c r="Q21" s="1"/>
  <c r="R21" s="1"/>
  <c r="R22" s="1"/>
  <c r="H19"/>
  <c r="H20" s="1"/>
  <c r="C19"/>
  <c r="C20" s="1"/>
  <c r="P17"/>
  <c r="L17"/>
  <c r="L22" s="1"/>
  <c r="P16"/>
  <c r="P15"/>
  <c r="Q15" s="1"/>
  <c r="R15" s="1"/>
  <c r="N12"/>
  <c r="N11"/>
  <c r="Q10"/>
  <c r="N10"/>
  <c r="H10"/>
  <c r="N9"/>
  <c r="H9"/>
  <c r="C9"/>
  <c r="C10" s="1"/>
  <c r="N8"/>
  <c r="N7"/>
  <c r="N6"/>
  <c r="Q5"/>
  <c r="N5"/>
  <c r="L41" l="1"/>
  <c r="M28" s="1"/>
  <c r="U225" i="18"/>
  <c r="U226" s="1"/>
  <c r="V219"/>
  <c r="G211"/>
  <c r="V211" s="1"/>
  <c r="V88"/>
  <c r="G220"/>
  <c r="V207"/>
  <c r="H69" i="20"/>
  <c r="F50"/>
  <c r="G50" s="1"/>
  <c r="C51" s="1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F51"/>
  <c r="G51" s="1"/>
  <c r="C52" s="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F53"/>
  <c r="G53" s="1"/>
  <c r="C54" s="1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F55"/>
  <c r="G55" s="1"/>
  <c r="C56" s="1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I64"/>
  <c r="H64"/>
  <c r="H70"/>
  <c r="I70"/>
  <c r="I206" s="1"/>
  <c r="H71"/>
  <c r="I71"/>
  <c r="H72"/>
  <c r="I72"/>
  <c r="I114" s="1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H116"/>
  <c r="I116"/>
  <c r="H117"/>
  <c r="I117"/>
  <c r="H118"/>
  <c r="I118"/>
  <c r="I124" s="1"/>
  <c r="H119"/>
  <c r="H125" s="1"/>
  <c r="I119"/>
  <c r="H120"/>
  <c r="I120"/>
  <c r="H122"/>
  <c r="I122"/>
  <c r="H123"/>
  <c r="I123"/>
  <c r="H124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H167" s="1"/>
  <c r="I166"/>
  <c r="I167" s="1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F57"/>
  <c r="G57" s="1"/>
  <c r="C58" s="1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M54"/>
  <c r="N54" s="1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X130" s="1"/>
  <c r="H134"/>
  <c r="H78" i="20"/>
  <c r="F59"/>
  <c r="G59" s="1"/>
  <c r="C60" s="1"/>
  <c r="J55"/>
  <c r="P54"/>
  <c r="I104"/>
  <c r="M103"/>
  <c r="N103" s="1"/>
  <c r="J104" s="1"/>
  <c r="B104"/>
  <c r="F103"/>
  <c r="G103" s="1"/>
  <c r="C104" s="1"/>
  <c r="Y38" i="18"/>
  <c r="Y36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X132" l="1"/>
  <c r="Y43"/>
  <c r="Z43" s="1"/>
  <c r="AA43" s="1"/>
  <c r="AB43" s="1"/>
  <c r="AC43" s="1"/>
  <c r="AD43" s="1"/>
  <c r="AE43" s="1"/>
  <c r="AF43" s="1"/>
  <c r="AG43" s="1"/>
  <c r="AH43" s="1"/>
  <c r="X131"/>
  <c r="B105" i="20"/>
  <c r="F104"/>
  <c r="G104" s="1"/>
  <c r="C105" s="1"/>
  <c r="I105"/>
  <c r="M104"/>
  <c r="N104" s="1"/>
  <c r="J105" s="1"/>
  <c r="M55"/>
  <c r="N55" s="1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F61"/>
  <c r="G61" s="1"/>
  <c r="C62" s="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64"/>
  <c r="S64"/>
  <c r="R64"/>
  <c r="Q64"/>
  <c r="P64"/>
  <c r="O64"/>
  <c r="N64"/>
  <c r="M64"/>
  <c r="L64"/>
  <c r="K64"/>
  <c r="J64"/>
  <c r="T62"/>
  <c r="S62"/>
  <c r="T60"/>
  <c r="S60"/>
  <c r="T56"/>
  <c r="S56"/>
  <c r="T54"/>
  <c r="S54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F63"/>
  <c r="G63" s="1"/>
  <c r="C64" s="1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F65"/>
  <c r="G65" s="1"/>
  <c r="C66" s="1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 s="1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M60"/>
  <c r="N60" s="1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 s="1"/>
  <c r="C72" s="1"/>
  <c r="B117"/>
  <c r="F116"/>
  <c r="G116" s="1"/>
  <c r="C117" s="1"/>
  <c r="I117"/>
  <c r="M116"/>
  <c r="N116" s="1"/>
  <c r="J117" s="1"/>
  <c r="M61"/>
  <c r="N61" s="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 s="1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 s="1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 s="1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59"/>
  <c r="X134" s="1"/>
  <c r="J65" i="20"/>
  <c r="P64"/>
  <c r="F78"/>
  <c r="G78" s="1"/>
  <c r="AD55" i="18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35" l="1"/>
  <c r="X72"/>
  <c r="X114" s="1"/>
  <c r="X136"/>
  <c r="X129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 s="1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M73" i="20" l="1"/>
  <c r="N73" s="1"/>
  <c r="J74" s="1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M75" i="20" l="1"/>
  <c r="N75" s="1"/>
  <c r="J76" s="1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M77" i="20" l="1"/>
  <c r="N77" s="1"/>
  <c r="J78" s="1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X248" s="1"/>
  <c r="X247" s="1"/>
  <c r="K218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M79" i="20" l="1"/>
  <c r="N79" s="1"/>
  <c r="J80" s="1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235" s="1"/>
  <c r="X236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3" l="1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G233" l="1"/>
  <c r="U233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V233" l="1"/>
  <c r="U236"/>
  <c r="V236" s="1"/>
  <c r="V235"/>
  <c r="J236"/>
  <c r="AH236" s="1"/>
  <c r="AH235"/>
  <c r="T236"/>
</calcChain>
</file>

<file path=xl/sharedStrings.xml><?xml version="1.0" encoding="utf-8"?>
<sst xmlns="http://schemas.openxmlformats.org/spreadsheetml/2006/main" count="763" uniqueCount="509">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</sst>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2" fillId="5" borderId="0" xfId="0" applyFont="1" applyFill="1"/>
    <xf numFmtId="0" fontId="12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3" fillId="5" borderId="1" xfId="0" applyFont="1" applyFill="1" applyBorder="1" applyAlignment="1">
      <alignment horizontal="right"/>
    </xf>
    <xf numFmtId="0" fontId="16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7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88B-4B12-AF0C-D0E643CFF978}"/>
            </c:ext>
          </c:extLst>
        </c:ser>
        <c:marker val="1"/>
        <c:axId val="50018944"/>
        <c:axId val="50041216"/>
      </c:lineChart>
      <c:catAx>
        <c:axId val="50018944"/>
        <c:scaling>
          <c:orientation val="minMax"/>
        </c:scaling>
        <c:axPos val="b"/>
        <c:tickLblPos val="nextTo"/>
        <c:crossAx val="50041216"/>
        <c:crosses val="autoZero"/>
        <c:auto val="1"/>
        <c:lblAlgn val="ctr"/>
        <c:lblOffset val="100"/>
      </c:catAx>
      <c:valAx>
        <c:axId val="50041216"/>
        <c:scaling>
          <c:orientation val="minMax"/>
        </c:scaling>
        <c:axPos val="l"/>
        <c:majorGridlines/>
        <c:numFmt formatCode="General" sourceLinked="1"/>
        <c:tickLblPos val="nextTo"/>
        <c:crossAx val="500189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Q36" sqref="Q36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8" t="s">
        <v>435</v>
      </c>
      <c r="C3" s="278"/>
      <c r="D3" s="278"/>
      <c r="G3" s="278" t="s">
        <v>436</v>
      </c>
      <c r="H3" s="278"/>
      <c r="I3" s="278"/>
      <c r="P3" s="279" t="s">
        <v>437</v>
      </c>
      <c r="Q3" s="280"/>
      <c r="R3" s="280"/>
      <c r="S3" s="281"/>
      <c r="T3" s="279" t="s">
        <v>438</v>
      </c>
      <c r="U3" s="280"/>
      <c r="V3" s="280"/>
      <c r="W3" s="281"/>
    </row>
    <row r="4" spans="2:23">
      <c r="B4" s="183" t="s">
        <v>439</v>
      </c>
      <c r="C4" s="282">
        <v>9500000</v>
      </c>
      <c r="D4" s="282"/>
      <c r="G4" s="183" t="s">
        <v>440</v>
      </c>
      <c r="H4" s="283">
        <v>200000</v>
      </c>
      <c r="I4" s="283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4">
        <v>0.08</v>
      </c>
      <c r="D5" s="285"/>
      <c r="G5" s="183" t="s">
        <v>446</v>
      </c>
      <c r="H5" s="286">
        <v>0.12</v>
      </c>
      <c r="I5" s="286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3">
        <v>30</v>
      </c>
      <c r="D6" s="283"/>
      <c r="G6" s="183" t="s">
        <v>448</v>
      </c>
      <c r="H6" s="283">
        <v>10</v>
      </c>
      <c r="I6" s="283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7"/>
      <c r="D7" s="287"/>
      <c r="G7" s="183"/>
      <c r="H7" s="287"/>
      <c r="I7" s="287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7"/>
      <c r="D8" s="287"/>
      <c r="G8" s="183"/>
      <c r="H8" s="287"/>
      <c r="I8" s="287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8">
        <f>C4*(1/(1+C5)^C6)</f>
        <v>944084.6592231117</v>
      </c>
      <c r="D9" s="288"/>
      <c r="G9" s="201" t="s">
        <v>453</v>
      </c>
      <c r="H9" s="288">
        <f>H4*((1+H5)^H6)</f>
        <v>621169.64166884217</v>
      </c>
      <c r="I9" s="288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8">
        <f>C4-C9</f>
        <v>8555915.3407768887</v>
      </c>
      <c r="D10" s="288"/>
      <c r="G10" s="201" t="s">
        <v>455</v>
      </c>
      <c r="H10" s="289">
        <f>H9-H4</f>
        <v>421169.64166884217</v>
      </c>
      <c r="I10" s="289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78" t="s">
        <v>459</v>
      </c>
      <c r="C14" s="278"/>
      <c r="D14" s="278"/>
      <c r="G14" s="278" t="s">
        <v>460</v>
      </c>
      <c r="H14" s="278"/>
      <c r="I14" s="278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3">
        <v>24000</v>
      </c>
      <c r="D15" s="283"/>
      <c r="G15" s="183" t="s">
        <v>461</v>
      </c>
      <c r="H15" s="283">
        <v>200000</v>
      </c>
      <c r="I15" s="283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4">
        <v>0.1</v>
      </c>
      <c r="D16" s="285"/>
      <c r="G16" s="183" t="s">
        <v>446</v>
      </c>
      <c r="H16" s="284">
        <v>0.12</v>
      </c>
      <c r="I16" s="285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3">
        <v>20</v>
      </c>
      <c r="D17" s="283"/>
      <c r="G17" s="183" t="s">
        <v>448</v>
      </c>
      <c r="H17" s="283">
        <v>10</v>
      </c>
      <c r="I17" s="283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7"/>
      <c r="D18" s="287"/>
      <c r="G18" s="183"/>
      <c r="H18" s="287"/>
      <c r="I18" s="287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90">
        <f>( ( 1-  (1/ ( (1+C16)^C17) ) ) / C16)</f>
        <v>8.5135637197585652</v>
      </c>
      <c r="D19" s="291"/>
      <c r="G19" s="201" t="s">
        <v>463</v>
      </c>
      <c r="H19" s="290">
        <f>( ((1+H16)^H17) -1 ) / H16</f>
        <v>17.548735069535095</v>
      </c>
      <c r="I19" s="291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2">
        <f>C19 * C15</f>
        <v>204325.52927420556</v>
      </c>
      <c r="D20" s="293"/>
      <c r="G20" s="201" t="s">
        <v>465</v>
      </c>
      <c r="H20" s="290">
        <f>H19 * H15</f>
        <v>3509747.013907019</v>
      </c>
      <c r="I20" s="291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4"/>
      <c r="D21" s="295"/>
      <c r="G21" s="201"/>
      <c r="H21" s="294"/>
      <c r="I21" s="295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8"/>
      <c r="D22" s="288"/>
      <c r="G22" s="201"/>
      <c r="H22" s="288"/>
      <c r="I22" s="288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78" t="s">
        <v>466</v>
      </c>
      <c r="C26" s="278"/>
      <c r="D26" s="278"/>
      <c r="G26" s="278" t="s">
        <v>467</v>
      </c>
      <c r="H26" s="278"/>
      <c r="I26" s="278"/>
      <c r="K26" s="278" t="s">
        <v>15</v>
      </c>
      <c r="L26" s="278"/>
    </row>
    <row r="27" spans="2:18">
      <c r="B27" s="183" t="s">
        <v>461</v>
      </c>
      <c r="C27" s="283">
        <v>100</v>
      </c>
      <c r="D27" s="283"/>
      <c r="G27" s="183" t="s">
        <v>461</v>
      </c>
      <c r="H27" s="283">
        <v>200000</v>
      </c>
      <c r="I27" s="283"/>
      <c r="K27" s="10" t="s">
        <v>16</v>
      </c>
      <c r="L27" s="11">
        <v>3100</v>
      </c>
      <c r="M27" s="272">
        <v>2000000</v>
      </c>
    </row>
    <row r="28" spans="2:18">
      <c r="B28" s="183" t="s">
        <v>446</v>
      </c>
      <c r="C28" s="284">
        <v>0.05</v>
      </c>
      <c r="D28" s="285"/>
      <c r="G28" s="183" t="s">
        <v>446</v>
      </c>
      <c r="H28" s="284">
        <v>0.12</v>
      </c>
      <c r="I28" s="285"/>
      <c r="K28" s="10" t="s">
        <v>17</v>
      </c>
      <c r="L28" s="11">
        <v>8450</v>
      </c>
      <c r="M28" s="212">
        <f>L41*M27</f>
        <v>5451612.9032258056</v>
      </c>
    </row>
    <row r="29" spans="2:18">
      <c r="B29" s="183" t="s">
        <v>448</v>
      </c>
      <c r="C29" s="283">
        <v>3</v>
      </c>
      <c r="D29" s="283"/>
      <c r="G29" s="183" t="s">
        <v>448</v>
      </c>
      <c r="H29" s="283">
        <v>11</v>
      </c>
      <c r="I29" s="283"/>
      <c r="K29" s="10" t="s">
        <v>18</v>
      </c>
      <c r="L29" s="12">
        <v>5</v>
      </c>
      <c r="M29" s="271"/>
    </row>
    <row r="30" spans="2:18" ht="15.75" thickBot="1">
      <c r="B30" s="183"/>
      <c r="C30" s="287"/>
      <c r="D30" s="287"/>
      <c r="G30" s="183"/>
      <c r="H30" s="287"/>
      <c r="I30" s="287"/>
      <c r="K30" s="13" t="s">
        <v>19</v>
      </c>
      <c r="L30" s="3">
        <f>((L28/L27)^(1/L29))-1</f>
        <v>0.22207821688952567</v>
      </c>
      <c r="M30" s="3"/>
    </row>
    <row r="31" spans="2:18">
      <c r="B31" s="201" t="s">
        <v>462</v>
      </c>
      <c r="C31" s="290">
        <f>( ( ( 1-  (1/ ( (1+C28)^C29) ) ) / C28) ) * (1+C28)</f>
        <v>2.859410430839004</v>
      </c>
      <c r="D31" s="291"/>
      <c r="G31" s="201" t="s">
        <v>463</v>
      </c>
      <c r="H31" s="290">
        <f>(( ((1+H28)^H29) -1 ) / H28 ) * ( 1+H28)</f>
        <v>23.133133271224832</v>
      </c>
      <c r="I31" s="291"/>
      <c r="K31" s="13" t="s">
        <v>20</v>
      </c>
      <c r="L31" s="14">
        <f>L29*12</f>
        <v>60</v>
      </c>
      <c r="M31" s="273"/>
      <c r="P31" s="215" t="s">
        <v>468</v>
      </c>
      <c r="Q31" s="216" t="s">
        <v>469</v>
      </c>
    </row>
    <row r="32" spans="2:18">
      <c r="B32" s="201" t="s">
        <v>470</v>
      </c>
      <c r="C32" s="290">
        <f>C31 * C27</f>
        <v>285.94104308390041</v>
      </c>
      <c r="D32" s="291"/>
      <c r="G32" s="201" t="s">
        <v>471</v>
      </c>
      <c r="H32" s="290">
        <f>H31 * H27</f>
        <v>4626626.6542449668</v>
      </c>
      <c r="I32" s="291"/>
      <c r="K32" s="10" t="s">
        <v>18</v>
      </c>
      <c r="L32" s="15">
        <f>L31/12</f>
        <v>5</v>
      </c>
      <c r="M32" s="274"/>
      <c r="P32" s="217">
        <v>0.05</v>
      </c>
      <c r="Q32" s="218">
        <v>14</v>
      </c>
    </row>
    <row r="33" spans="2:17">
      <c r="B33" s="201"/>
      <c r="C33" s="294"/>
      <c r="D33" s="295"/>
      <c r="G33" s="201"/>
      <c r="H33" s="294"/>
      <c r="I33" s="295"/>
      <c r="K33" s="13" t="s">
        <v>21</v>
      </c>
      <c r="L33" s="3">
        <f>((L28/L27)^(1/L32))-1</f>
        <v>0.22207821688952567</v>
      </c>
      <c r="M33" s="275"/>
      <c r="P33" s="217">
        <v>0.08</v>
      </c>
      <c r="Q33" s="218">
        <v>9</v>
      </c>
    </row>
    <row r="34" spans="2:17">
      <c r="B34" s="201"/>
      <c r="C34" s="288"/>
      <c r="D34" s="288"/>
      <c r="G34" s="201"/>
      <c r="H34" s="288"/>
      <c r="I34" s="288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78" t="s">
        <v>24</v>
      </c>
      <c r="C36" s="278"/>
      <c r="D36" s="278"/>
      <c r="E36" s="219"/>
      <c r="G36" s="278" t="s">
        <v>53</v>
      </c>
      <c r="H36" s="278"/>
      <c r="K36" s="278" t="s">
        <v>334</v>
      </c>
      <c r="L36" s="278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3100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8450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1.7258064516129032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2.725806451612903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98" t="s">
        <v>453</v>
      </c>
      <c r="D43" s="298"/>
      <c r="E43" s="298"/>
      <c r="F43" s="298"/>
      <c r="J43" s="298" t="s">
        <v>453</v>
      </c>
      <c r="K43" s="298"/>
      <c r="L43" s="298"/>
      <c r="M43" s="298"/>
    </row>
    <row r="44" spans="2:17" ht="15.75" thickBot="1">
      <c r="B44" s="229"/>
      <c r="C44" s="296" t="s">
        <v>474</v>
      </c>
      <c r="D44" s="297"/>
      <c r="E44" s="230" t="s">
        <v>475</v>
      </c>
      <c r="F44" s="230"/>
      <c r="G44" s="231"/>
      <c r="I44" s="229"/>
      <c r="J44" s="296" t="s">
        <v>476</v>
      </c>
      <c r="K44" s="297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99" t="s">
        <v>478</v>
      </c>
      <c r="C46" s="300"/>
      <c r="D46" s="300"/>
      <c r="E46" s="300"/>
      <c r="F46" s="300"/>
      <c r="G46" s="301"/>
      <c r="I46" s="299" t="s">
        <v>478</v>
      </c>
      <c r="J46" s="300"/>
      <c r="K46" s="300"/>
      <c r="L46" s="300"/>
      <c r="M46" s="300"/>
      <c r="N46" s="301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302" t="s">
        <v>486</v>
      </c>
      <c r="C81" s="303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2" t="s">
        <v>486</v>
      </c>
      <c r="J81" s="303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98" t="s">
        <v>488</v>
      </c>
      <c r="D84" s="298"/>
      <c r="E84" s="298"/>
      <c r="F84" s="298"/>
      <c r="H84" s="250">
        <f t="shared" si="14"/>
        <v>0</v>
      </c>
      <c r="J84" s="298" t="s">
        <v>488</v>
      </c>
      <c r="K84" s="298"/>
      <c r="L84" s="298"/>
      <c r="M84" s="298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96" t="s">
        <v>474</v>
      </c>
      <c r="D86" s="297"/>
      <c r="E86" s="230" t="s">
        <v>475</v>
      </c>
      <c r="F86" s="230"/>
      <c r="G86" s="231"/>
      <c r="H86" s="250">
        <f t="shared" si="14"/>
        <v>0</v>
      </c>
      <c r="I86" s="229"/>
      <c r="J86" s="296" t="s">
        <v>489</v>
      </c>
      <c r="K86" s="297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99" t="s">
        <v>491</v>
      </c>
      <c r="C88" s="300"/>
      <c r="D88" s="300"/>
      <c r="E88" s="300"/>
      <c r="F88" s="300"/>
      <c r="G88" s="301"/>
      <c r="H88" s="250">
        <f t="shared" si="14"/>
        <v>0</v>
      </c>
      <c r="I88" s="299" t="s">
        <v>491</v>
      </c>
      <c r="J88" s="300"/>
      <c r="K88" s="300"/>
      <c r="L88" s="300"/>
      <c r="M88" s="300"/>
      <c r="N88" s="301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302" t="s">
        <v>497</v>
      </c>
      <c r="C124" s="303"/>
      <c r="D124" s="255">
        <f>SUM(D91:D123)</f>
        <v>1900</v>
      </c>
      <c r="E124" s="253"/>
      <c r="F124" s="253"/>
      <c r="G124" s="267">
        <f>G121</f>
        <v>1413.1902480939689</v>
      </c>
      <c r="I124" s="302" t="s">
        <v>497</v>
      </c>
      <c r="J124" s="303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I33" activePane="bottomRight" state="frozen"/>
      <selection pane="topRight" activeCell="C1" sqref="C1"/>
      <selection pane="bottomLeft" activeCell="A5" sqref="A5"/>
      <selection pane="bottomRight" activeCell="Q62" sqref="Q62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508</v>
      </c>
      <c r="C1" s="277">
        <f>S2</f>
        <v>0.15</v>
      </c>
      <c r="I1" s="89" t="s">
        <v>209</v>
      </c>
      <c r="K1" s="107">
        <v>2008</v>
      </c>
      <c r="M1" s="89" t="s">
        <v>271</v>
      </c>
      <c r="O1" s="139">
        <v>0.01</v>
      </c>
      <c r="Q1" s="89" t="s">
        <v>340</v>
      </c>
      <c r="S1" s="139">
        <v>0.01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8" t="s">
        <v>240</v>
      </c>
      <c r="AJ2" s="309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0" t="s">
        <v>241</v>
      </c>
      <c r="AJ3" s="311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f>K6</f>
        <v>54</v>
      </c>
      <c r="H6" s="124"/>
      <c r="I6" s="124"/>
      <c r="J6" s="124"/>
      <c r="K6" s="124">
        <v>54</v>
      </c>
      <c r="L6" s="124">
        <v>73</v>
      </c>
      <c r="M6" s="124">
        <v>143</v>
      </c>
      <c r="N6" s="124">
        <v>201</v>
      </c>
      <c r="O6" s="124">
        <v>256</v>
      </c>
      <c r="P6" s="124">
        <v>572</v>
      </c>
      <c r="Q6" s="124">
        <v>678</v>
      </c>
      <c r="R6" s="124">
        <v>754</v>
      </c>
      <c r="S6" s="180">
        <v>900</v>
      </c>
      <c r="T6" s="180">
        <v>1086</v>
      </c>
      <c r="U6" s="180">
        <v>1284</v>
      </c>
      <c r="V6" s="101">
        <f>((U6/G6)^(1/($K$2-$K$1) ))-1</f>
        <v>0.37283115470005224</v>
      </c>
      <c r="W6" s="21">
        <f>$O$2</f>
        <v>0.15</v>
      </c>
      <c r="X6" s="130">
        <f>U6*(1+$W6)</f>
        <v>1476.6</v>
      </c>
      <c r="Y6" s="130">
        <f>X6*(1+$W6)</f>
        <v>1698.0899999999997</v>
      </c>
      <c r="Z6" s="130">
        <f t="shared" ref="Z6:AG6" si="0">Y6*(1+$W6)</f>
        <v>1952.8034999999995</v>
      </c>
      <c r="AA6" s="130">
        <f t="shared" si="0"/>
        <v>2245.7240249999991</v>
      </c>
      <c r="AB6" s="130">
        <f t="shared" si="0"/>
        <v>2582.5826287499985</v>
      </c>
      <c r="AC6" s="130">
        <f t="shared" si="0"/>
        <v>2969.9700230624981</v>
      </c>
      <c r="AD6" s="130">
        <f t="shared" si="0"/>
        <v>3415.4655265218726</v>
      </c>
      <c r="AE6" s="130">
        <f t="shared" si="0"/>
        <v>3927.7853555001529</v>
      </c>
      <c r="AF6" s="130">
        <f t="shared" si="0"/>
        <v>4516.9531588251757</v>
      </c>
      <c r="AG6" s="130">
        <f t="shared" si="0"/>
        <v>5194.496132648952</v>
      </c>
      <c r="AH6" s="115" t="e">
        <f>((AG6/J6)^(1/($AG$3-$K$1) ))-1</f>
        <v>#DIV/0!</v>
      </c>
      <c r="AI6" s="21">
        <f>$O$1</f>
        <v>0.01</v>
      </c>
      <c r="AJ6" s="123">
        <f t="shared" ref="AJ6:AJ63" si="1">(AG6*(1+AI6))/($C$1-AI6)</f>
        <v>37474.579242681728</v>
      </c>
    </row>
    <row r="7" spans="2:36">
      <c r="B7" s="10" t="s">
        <v>198</v>
      </c>
      <c r="C7" s="118"/>
      <c r="D7" s="118"/>
      <c r="E7" s="124"/>
      <c r="F7" s="124"/>
      <c r="G7" s="124">
        <f>K7</f>
        <v>132</v>
      </c>
      <c r="H7" s="124"/>
      <c r="I7" s="124"/>
      <c r="J7" s="124"/>
      <c r="K7" s="124">
        <v>132</v>
      </c>
      <c r="L7" s="124">
        <v>151</v>
      </c>
      <c r="M7" s="124">
        <v>190</v>
      </c>
      <c r="N7" s="124">
        <v>247</v>
      </c>
      <c r="O7" s="124">
        <v>303</v>
      </c>
      <c r="P7" s="124">
        <v>634</v>
      </c>
      <c r="Q7" s="124">
        <v>741</v>
      </c>
      <c r="R7" s="124">
        <v>817</v>
      </c>
      <c r="S7" s="180">
        <v>963</v>
      </c>
      <c r="T7" s="180">
        <v>1149</v>
      </c>
      <c r="U7" s="180">
        <v>1347</v>
      </c>
      <c r="V7" s="101">
        <f t="shared" ref="V7:V74" si="2">((U7/G7)^(1/($K$2-$K$1) ))-1</f>
        <v>0.26147708667963543</v>
      </c>
      <c r="W7" s="21">
        <f>$O$2</f>
        <v>0.15</v>
      </c>
      <c r="X7" s="130">
        <f>U7*(1+$W7)</f>
        <v>1549.05</v>
      </c>
      <c r="Y7" s="130">
        <f t="shared" ref="Y7:AG7" si="3">X7*(1+$W7)</f>
        <v>1781.4074999999998</v>
      </c>
      <c r="Z7" s="130">
        <f t="shared" si="3"/>
        <v>2048.6186249999996</v>
      </c>
      <c r="AA7" s="130">
        <f t="shared" si="3"/>
        <v>2355.9114187499995</v>
      </c>
      <c r="AB7" s="130">
        <f t="shared" si="3"/>
        <v>2709.2981315624993</v>
      </c>
      <c r="AC7" s="130">
        <f t="shared" si="3"/>
        <v>3115.6928512968739</v>
      </c>
      <c r="AD7" s="130">
        <f t="shared" si="3"/>
        <v>3583.0467789914046</v>
      </c>
      <c r="AE7" s="130">
        <f t="shared" si="3"/>
        <v>4120.5037958401153</v>
      </c>
      <c r="AF7" s="130">
        <f t="shared" si="3"/>
        <v>4738.5793652161319</v>
      </c>
      <c r="AG7" s="130">
        <f t="shared" si="3"/>
        <v>5449.3662699985516</v>
      </c>
      <c r="AH7" s="115" t="e">
        <f>((AG7/J7)^(1/($AG$3-$K$1) ))-1</f>
        <v>#DIV/0!</v>
      </c>
      <c r="AI7" s="21">
        <f>$O$1</f>
        <v>0.01</v>
      </c>
      <c r="AJ7" s="123">
        <f t="shared" si="1"/>
        <v>39313.285233560979</v>
      </c>
    </row>
    <row r="8" spans="2:36">
      <c r="B8" s="10"/>
      <c r="C8" s="118"/>
      <c r="D8" s="118"/>
      <c r="E8" s="124"/>
      <c r="F8" s="268"/>
      <c r="G8" s="268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>
        <f t="shared" si="4"/>
        <v>1</v>
      </c>
      <c r="L8" s="127">
        <f t="shared" si="4"/>
        <v>0.12582781456953643</v>
      </c>
      <c r="M8" s="127">
        <f t="shared" si="4"/>
        <v>0.20526315789473684</v>
      </c>
      <c r="N8" s="127">
        <f t="shared" si="4"/>
        <v>0.23076923076923078</v>
      </c>
      <c r="O8" s="127">
        <f t="shared" si="4"/>
        <v>0.18481848184818481</v>
      </c>
      <c r="P8" s="127">
        <f t="shared" si="4"/>
        <v>0.52208201892744477</v>
      </c>
      <c r="Q8" s="127">
        <f t="shared" ref="Q8:R8" si="5">(Q7-P7)/Q7</f>
        <v>0.14439946018893388</v>
      </c>
      <c r="R8" s="127">
        <f t="shared" si="5"/>
        <v>9.3023255813953487E-2</v>
      </c>
      <c r="S8" s="127">
        <f t="shared" ref="S8:U8" si="6">(S7-R7)/R7</f>
        <v>0.17870257037943696</v>
      </c>
      <c r="T8" s="127">
        <f t="shared" si="6"/>
        <v>0.19314641744548286</v>
      </c>
      <c r="U8" s="127">
        <f t="shared" si="6"/>
        <v>0.17232375979112272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f>K9</f>
        <v>101</v>
      </c>
      <c r="H9" s="124"/>
      <c r="I9" s="124"/>
      <c r="J9" s="124"/>
      <c r="K9" s="124">
        <v>101</v>
      </c>
      <c r="L9" s="124">
        <v>171</v>
      </c>
      <c r="M9" s="124">
        <v>203</v>
      </c>
      <c r="N9" s="124">
        <v>285</v>
      </c>
      <c r="O9" s="124">
        <v>506</v>
      </c>
      <c r="P9" s="124">
        <v>541</v>
      </c>
      <c r="Q9" s="124">
        <v>623</v>
      </c>
      <c r="R9" s="124">
        <v>809</v>
      </c>
      <c r="S9" s="180">
        <v>1164</v>
      </c>
      <c r="T9" s="180">
        <v>1287</v>
      </c>
      <c r="U9" s="180">
        <v>1817</v>
      </c>
      <c r="V9" s="101">
        <f t="shared" si="2"/>
        <v>0.33506790423677879</v>
      </c>
      <c r="W9" s="21">
        <f t="shared" ref="W9:W59" si="7">$O$2</f>
        <v>0.15</v>
      </c>
      <c r="X9" s="130">
        <f t="shared" ref="X9:X63" si="8">U9*(1+$W9)</f>
        <v>2089.5499999999997</v>
      </c>
      <c r="Y9" s="130">
        <f t="shared" ref="Y9" si="9">X9*(1+$W9)</f>
        <v>2402.9824999999996</v>
      </c>
      <c r="Z9" s="130">
        <f t="shared" ref="Z9" si="10">Y9*(1+$W9)</f>
        <v>2763.4298749999994</v>
      </c>
      <c r="AA9" s="130">
        <f t="shared" ref="AA9" si="11">Z9*(1+$W9)</f>
        <v>3177.9443562499991</v>
      </c>
      <c r="AB9" s="130">
        <f t="shared" ref="AB9" si="12">AA9*(1+$W9)</f>
        <v>3654.6360096874987</v>
      </c>
      <c r="AC9" s="130">
        <f t="shared" ref="AC9" si="13">AB9*(1+$W9)</f>
        <v>4202.8314111406235</v>
      </c>
      <c r="AD9" s="130">
        <f t="shared" ref="AD9" si="14">AC9*(1+$W9)</f>
        <v>4833.2561228117165</v>
      </c>
      <c r="AE9" s="130">
        <f t="shared" ref="AE9" si="15">AD9*(1+$W9)</f>
        <v>5558.2445412334737</v>
      </c>
      <c r="AF9" s="130">
        <f t="shared" ref="AF9" si="16">AE9*(1+$W9)</f>
        <v>6391.9812224184943</v>
      </c>
      <c r="AG9" s="130">
        <f t="shared" ref="AG9" si="17">AF9*(1+$W9)</f>
        <v>7350.7784057812678</v>
      </c>
      <c r="AH9" s="115" t="e">
        <f>((AG9/J9)^(1/($AG$3-$K$1) ))-1</f>
        <v>#DIV/0!</v>
      </c>
      <c r="AI9" s="21">
        <f t="shared" ref="AI9:AI103" si="18">$O$1</f>
        <v>0.01</v>
      </c>
      <c r="AJ9" s="123">
        <f t="shared" si="1"/>
        <v>53030.615641707722</v>
      </c>
    </row>
    <row r="10" spans="2:36">
      <c r="B10" s="10" t="s">
        <v>3</v>
      </c>
      <c r="C10" s="118"/>
      <c r="D10" s="118"/>
      <c r="E10" s="124"/>
      <c r="F10" s="124"/>
      <c r="G10" s="124">
        <f>K10</f>
        <v>483</v>
      </c>
      <c r="H10" s="124"/>
      <c r="I10" s="124"/>
      <c r="J10" s="124"/>
      <c r="K10" s="124">
        <v>483</v>
      </c>
      <c r="L10" s="124">
        <v>694</v>
      </c>
      <c r="M10" s="124">
        <v>1069</v>
      </c>
      <c r="N10" s="124">
        <v>1549</v>
      </c>
      <c r="O10" s="124">
        <v>2010</v>
      </c>
      <c r="P10" s="124">
        <v>2571</v>
      </c>
      <c r="Q10" s="124">
        <v>3308</v>
      </c>
      <c r="R10" s="124">
        <v>4364</v>
      </c>
      <c r="S10" s="180">
        <v>5522</v>
      </c>
      <c r="T10" s="180">
        <v>6453</v>
      </c>
      <c r="U10" s="180">
        <v>6616</v>
      </c>
      <c r="V10" s="101">
        <f t="shared" si="2"/>
        <v>0.29916656925958462</v>
      </c>
      <c r="W10" s="21">
        <f t="shared" si="7"/>
        <v>0.15</v>
      </c>
      <c r="X10" s="130">
        <f t="shared" si="8"/>
        <v>7608.4</v>
      </c>
      <c r="Y10" s="130">
        <f t="shared" ref="Y10:AG10" si="19">X10*(1+$W10)</f>
        <v>8749.659999999998</v>
      </c>
      <c r="Z10" s="130">
        <f t="shared" si="19"/>
        <v>10062.108999999997</v>
      </c>
      <c r="AA10" s="130">
        <f t="shared" si="19"/>
        <v>11571.425349999996</v>
      </c>
      <c r="AB10" s="130">
        <f t="shared" si="19"/>
        <v>13307.139152499994</v>
      </c>
      <c r="AC10" s="130">
        <f t="shared" si="19"/>
        <v>15303.210025374992</v>
      </c>
      <c r="AD10" s="130">
        <f t="shared" si="19"/>
        <v>17598.69152918124</v>
      </c>
      <c r="AE10" s="130">
        <f t="shared" si="19"/>
        <v>20238.495258558425</v>
      </c>
      <c r="AF10" s="130">
        <f t="shared" si="19"/>
        <v>23274.269547342188</v>
      </c>
      <c r="AG10" s="130">
        <f t="shared" si="19"/>
        <v>26765.409979443513</v>
      </c>
      <c r="AH10" s="115" t="e">
        <f t="shared" ref="AH10:AH61" si="20">((AG10/J10)^(1/($AG$3-$K$1) ))-1</f>
        <v>#DIV/0!</v>
      </c>
      <c r="AI10" s="21">
        <f t="shared" si="18"/>
        <v>0.01</v>
      </c>
      <c r="AJ10" s="123">
        <f t="shared" si="1"/>
        <v>193093.31485169966</v>
      </c>
    </row>
    <row r="11" spans="2:36">
      <c r="B11" s="10"/>
      <c r="C11" s="118"/>
      <c r="D11" s="118"/>
      <c r="E11" s="124"/>
      <c r="F11" s="268"/>
      <c r="G11" s="268">
        <f>(G10-F10)/G10</f>
        <v>1</v>
      </c>
      <c r="H11" s="268" t="e">
        <f t="shared" ref="H11:P11" si="21">(H10-G10)/H10</f>
        <v>#DIV/0!</v>
      </c>
      <c r="I11" s="268" t="e">
        <f t="shared" si="21"/>
        <v>#DIV/0!</v>
      </c>
      <c r="J11" s="268" t="e">
        <f t="shared" si="21"/>
        <v>#DIV/0!</v>
      </c>
      <c r="K11" s="268">
        <f t="shared" si="21"/>
        <v>1</v>
      </c>
      <c r="L11" s="268">
        <f t="shared" si="21"/>
        <v>0.30403458213256485</v>
      </c>
      <c r="M11" s="268">
        <f t="shared" si="21"/>
        <v>0.35079513564078579</v>
      </c>
      <c r="N11" s="268">
        <f t="shared" si="21"/>
        <v>0.30987734021949642</v>
      </c>
      <c r="O11" s="268">
        <f t="shared" si="21"/>
        <v>0.22935323383084577</v>
      </c>
      <c r="P11" s="268">
        <f t="shared" si="21"/>
        <v>0.21820303383897316</v>
      </c>
      <c r="Q11" s="268">
        <f t="shared" ref="Q11:R11" si="22">(Q10-P10)/Q10</f>
        <v>0.2227932285368803</v>
      </c>
      <c r="R11" s="268">
        <f t="shared" si="22"/>
        <v>0.24197983501374887</v>
      </c>
      <c r="S11" s="127">
        <f t="shared" ref="S11:U11" si="23">(S10-R10)/R10</f>
        <v>0.26535288725939504</v>
      </c>
      <c r="T11" s="127">
        <f t="shared" si="23"/>
        <v>0.16859833393697934</v>
      </c>
      <c r="U11" s="127">
        <f t="shared" si="23"/>
        <v>2.5259569192623586E-2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0.01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f>K12</f>
        <v>65</v>
      </c>
      <c r="H12" s="124"/>
      <c r="I12" s="124"/>
      <c r="J12" s="124"/>
      <c r="K12" s="124">
        <v>65</v>
      </c>
      <c r="L12" s="124">
        <v>34</v>
      </c>
      <c r="M12" s="124">
        <v>64</v>
      </c>
      <c r="N12" s="124">
        <v>8</v>
      </c>
      <c r="O12" s="124">
        <v>17</v>
      </c>
      <c r="P12" s="124">
        <v>210</v>
      </c>
      <c r="Q12" s="124">
        <v>22</v>
      </c>
      <c r="R12" s="124">
        <v>17</v>
      </c>
      <c r="S12" s="180">
        <v>20</v>
      </c>
      <c r="T12" s="180">
        <v>22</v>
      </c>
      <c r="U12" s="180">
        <v>26</v>
      </c>
      <c r="V12" s="101">
        <f t="shared" si="2"/>
        <v>-8.7556463444519173E-2</v>
      </c>
      <c r="W12" s="21">
        <f t="shared" si="7"/>
        <v>0.15</v>
      </c>
      <c r="X12" s="130">
        <f t="shared" si="8"/>
        <v>29.9</v>
      </c>
      <c r="Y12" s="130">
        <f t="shared" ref="Y12:AG12" si="24">X12*(1+$W12)</f>
        <v>34.384999999999998</v>
      </c>
      <c r="Z12" s="130">
        <f t="shared" si="24"/>
        <v>39.542749999999998</v>
      </c>
      <c r="AA12" s="130">
        <f t="shared" si="24"/>
        <v>45.474162499999991</v>
      </c>
      <c r="AB12" s="130">
        <f t="shared" si="24"/>
        <v>52.295286874999988</v>
      </c>
      <c r="AC12" s="130">
        <f t="shared" si="24"/>
        <v>60.139579906249985</v>
      </c>
      <c r="AD12" s="130">
        <f t="shared" si="24"/>
        <v>69.160516892187474</v>
      </c>
      <c r="AE12" s="130">
        <f t="shared" si="24"/>
        <v>79.534594426015587</v>
      </c>
      <c r="AF12" s="130">
        <f t="shared" si="24"/>
        <v>91.464783589917914</v>
      </c>
      <c r="AG12" s="130">
        <f t="shared" si="24"/>
        <v>105.1845011284056</v>
      </c>
      <c r="AH12" s="115" t="e">
        <f t="shared" si="20"/>
        <v>#DIV/0!</v>
      </c>
      <c r="AI12" s="21">
        <f t="shared" si="18"/>
        <v>0.01</v>
      </c>
      <c r="AJ12" s="123">
        <f t="shared" si="1"/>
        <v>758.83104385492618</v>
      </c>
    </row>
    <row r="13" spans="2:36">
      <c r="B13" s="10" t="s">
        <v>191</v>
      </c>
      <c r="C13" s="118"/>
      <c r="D13" s="118"/>
      <c r="E13" s="124"/>
      <c r="F13" s="124"/>
      <c r="G13" s="124">
        <f>K13</f>
        <v>3</v>
      </c>
      <c r="H13" s="124"/>
      <c r="I13" s="124"/>
      <c r="J13" s="124"/>
      <c r="K13" s="124">
        <v>3</v>
      </c>
      <c r="L13" s="124">
        <v>1</v>
      </c>
      <c r="M13" s="124">
        <v>2</v>
      </c>
      <c r="N13" s="124">
        <v>2</v>
      </c>
      <c r="O13" s="124">
        <v>8</v>
      </c>
      <c r="P13" s="124">
        <v>8</v>
      </c>
      <c r="Q13" s="124">
        <v>12</v>
      </c>
      <c r="R13" s="124">
        <v>18</v>
      </c>
      <c r="S13" s="180">
        <v>21</v>
      </c>
      <c r="T13" s="180">
        <v>28</v>
      </c>
      <c r="U13" s="180">
        <v>35</v>
      </c>
      <c r="V13" s="101">
        <f t="shared" si="2"/>
        <v>0.27848217979416745</v>
      </c>
      <c r="W13" s="21">
        <f t="shared" si="7"/>
        <v>0.15</v>
      </c>
      <c r="X13" s="130">
        <f t="shared" si="8"/>
        <v>40.25</v>
      </c>
      <c r="Y13" s="130">
        <f t="shared" ref="Y13:AG13" si="25">X13*(1+$W13)</f>
        <v>46.287499999999994</v>
      </c>
      <c r="Z13" s="130">
        <f t="shared" si="25"/>
        <v>53.230624999999989</v>
      </c>
      <c r="AA13" s="130">
        <f t="shared" si="25"/>
        <v>61.215218749999984</v>
      </c>
      <c r="AB13" s="130">
        <f t="shared" si="25"/>
        <v>70.397501562499983</v>
      </c>
      <c r="AC13" s="130">
        <f t="shared" si="25"/>
        <v>80.957126796874974</v>
      </c>
      <c r="AD13" s="130">
        <f t="shared" si="25"/>
        <v>93.100695816406215</v>
      </c>
      <c r="AE13" s="130">
        <f t="shared" si="25"/>
        <v>107.06580018886714</v>
      </c>
      <c r="AF13" s="130">
        <f t="shared" si="25"/>
        <v>123.12567021719721</v>
      </c>
      <c r="AG13" s="130">
        <f t="shared" si="25"/>
        <v>141.59452074977679</v>
      </c>
      <c r="AH13" s="115" t="e">
        <f t="shared" si="20"/>
        <v>#DIV/0!</v>
      </c>
      <c r="AI13" s="21">
        <f t="shared" si="18"/>
        <v>0.01</v>
      </c>
      <c r="AJ13" s="123">
        <f t="shared" si="1"/>
        <v>1021.503328266247</v>
      </c>
    </row>
    <row r="14" spans="2:36">
      <c r="B14" s="10" t="s">
        <v>315</v>
      </c>
      <c r="C14" s="118"/>
      <c r="D14" s="118"/>
      <c r="E14" s="124"/>
      <c r="F14" s="124"/>
      <c r="G14" s="124">
        <f>K14</f>
        <v>0</v>
      </c>
      <c r="H14" s="124"/>
      <c r="I14" s="124"/>
      <c r="J14" s="124"/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80"/>
      <c r="T14" s="180">
        <v>0</v>
      </c>
      <c r="U14" s="180">
        <v>0</v>
      </c>
      <c r="V14" s="101" t="e">
        <f t="shared" si="2"/>
        <v>#DIV/0!</v>
      </c>
      <c r="W14" s="21">
        <f t="shared" si="7"/>
        <v>0.15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 t="e">
        <f t="shared" ref="AH14" si="35">((AG14/J14)^(1/($AG$3-$K$1) ))-1</f>
        <v>#DIV/0!</v>
      </c>
      <c r="AI14" s="21">
        <f t="shared" si="18"/>
        <v>0.01</v>
      </c>
      <c r="AJ14" s="123">
        <f t="shared" ref="AJ14" si="36">(AG14*(1+AI14))/($C$1-AI14)</f>
        <v>0</v>
      </c>
    </row>
    <row r="15" spans="2:36">
      <c r="B15" s="10" t="s">
        <v>11</v>
      </c>
      <c r="C15" s="118"/>
      <c r="D15" s="118"/>
      <c r="E15" s="124"/>
      <c r="F15" s="124"/>
      <c r="G15" s="124">
        <f>K15</f>
        <v>65</v>
      </c>
      <c r="H15" s="124"/>
      <c r="I15" s="124"/>
      <c r="J15" s="124"/>
      <c r="K15" s="124">
        <v>65</v>
      </c>
      <c r="L15" s="124">
        <v>34</v>
      </c>
      <c r="M15" s="124">
        <v>64</v>
      </c>
      <c r="N15" s="124">
        <v>8</v>
      </c>
      <c r="O15" s="124">
        <v>17</v>
      </c>
      <c r="P15" s="124">
        <v>210</v>
      </c>
      <c r="Q15" s="124">
        <v>22</v>
      </c>
      <c r="R15" s="124">
        <v>17</v>
      </c>
      <c r="S15" s="180">
        <v>20</v>
      </c>
      <c r="T15" s="180">
        <v>22</v>
      </c>
      <c r="U15" s="180">
        <v>26</v>
      </c>
      <c r="V15" s="101">
        <f t="shared" si="2"/>
        <v>-8.7556463444519173E-2</v>
      </c>
      <c r="W15" s="21">
        <f t="shared" si="7"/>
        <v>0.15</v>
      </c>
      <c r="X15" s="130">
        <f t="shared" si="8"/>
        <v>29.9</v>
      </c>
      <c r="Y15" s="130">
        <f t="shared" ref="Y15:AG15" si="37">X15*(1+$W15)</f>
        <v>34.384999999999998</v>
      </c>
      <c r="Z15" s="130">
        <f t="shared" si="37"/>
        <v>39.542749999999998</v>
      </c>
      <c r="AA15" s="130">
        <f t="shared" si="37"/>
        <v>45.474162499999991</v>
      </c>
      <c r="AB15" s="130">
        <f t="shared" si="37"/>
        <v>52.295286874999988</v>
      </c>
      <c r="AC15" s="130">
        <f t="shared" si="37"/>
        <v>60.139579906249985</v>
      </c>
      <c r="AD15" s="130">
        <f t="shared" si="37"/>
        <v>69.160516892187474</v>
      </c>
      <c r="AE15" s="130">
        <f t="shared" si="37"/>
        <v>79.534594426015587</v>
      </c>
      <c r="AF15" s="130">
        <f t="shared" si="37"/>
        <v>91.464783589917914</v>
      </c>
      <c r="AG15" s="130">
        <f t="shared" si="37"/>
        <v>105.1845011284056</v>
      </c>
      <c r="AH15" s="115" t="e">
        <f t="shared" si="20"/>
        <v>#DIV/0!</v>
      </c>
      <c r="AI15" s="21">
        <f t="shared" si="18"/>
        <v>0.01</v>
      </c>
      <c r="AJ15" s="123">
        <f t="shared" si="1"/>
        <v>758.83104385492618</v>
      </c>
    </row>
    <row r="16" spans="2:36">
      <c r="B16" s="10" t="s">
        <v>12</v>
      </c>
      <c r="C16" s="118"/>
      <c r="D16" s="118"/>
      <c r="E16" s="124"/>
      <c r="F16" s="124"/>
      <c r="G16" s="124">
        <f>K16</f>
        <v>611</v>
      </c>
      <c r="H16" s="124"/>
      <c r="I16" s="124"/>
      <c r="J16" s="124"/>
      <c r="K16" s="124">
        <v>611</v>
      </c>
      <c r="L16" s="124">
        <v>844</v>
      </c>
      <c r="M16" s="124">
        <v>1256</v>
      </c>
      <c r="N16" s="124">
        <v>1792</v>
      </c>
      <c r="O16" s="124">
        <v>2302</v>
      </c>
      <c r="P16" s="124">
        <v>3193</v>
      </c>
      <c r="Q16" s="124">
        <v>4032</v>
      </c>
      <c r="R16" s="124">
        <v>5155</v>
      </c>
      <c r="S16" s="180">
        <v>6455</v>
      </c>
      <c r="T16" s="180">
        <v>7565</v>
      </c>
      <c r="U16" s="180">
        <v>7915</v>
      </c>
      <c r="V16" s="101">
        <f t="shared" si="2"/>
        <v>0.29193591316198897</v>
      </c>
      <c r="W16" s="21">
        <f t="shared" si="7"/>
        <v>0.15</v>
      </c>
      <c r="X16" s="130">
        <f t="shared" si="8"/>
        <v>9102.25</v>
      </c>
      <c r="Y16" s="130">
        <f t="shared" ref="Y16:AG16" si="38">X16*(1+$W16)</f>
        <v>10467.5875</v>
      </c>
      <c r="Z16" s="130">
        <f t="shared" si="38"/>
        <v>12037.725624999999</v>
      </c>
      <c r="AA16" s="130">
        <f t="shared" si="38"/>
        <v>13843.384468749999</v>
      </c>
      <c r="AB16" s="130">
        <f t="shared" si="38"/>
        <v>15919.892139062496</v>
      </c>
      <c r="AC16" s="130">
        <f t="shared" si="38"/>
        <v>18307.875959921868</v>
      </c>
      <c r="AD16" s="130">
        <f t="shared" si="38"/>
        <v>21054.057353910146</v>
      </c>
      <c r="AE16" s="130">
        <f t="shared" si="38"/>
        <v>24212.165956996665</v>
      </c>
      <c r="AF16" s="130">
        <f t="shared" si="38"/>
        <v>27843.990850546164</v>
      </c>
      <c r="AG16" s="130">
        <f t="shared" si="38"/>
        <v>32020.589478128088</v>
      </c>
      <c r="AH16" s="115" t="e">
        <f t="shared" si="20"/>
        <v>#DIV/0!</v>
      </c>
      <c r="AI16" s="21">
        <f t="shared" si="18"/>
        <v>0.01</v>
      </c>
      <c r="AJ16" s="123">
        <f t="shared" si="1"/>
        <v>231005.68123506694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f>K18</f>
        <v>0.96</v>
      </c>
      <c r="H18" s="124"/>
      <c r="I18" s="124"/>
      <c r="J18" s="124"/>
      <c r="K18" s="124">
        <v>0.96</v>
      </c>
      <c r="L18" s="124">
        <v>1</v>
      </c>
      <c r="M18" s="124">
        <v>1</v>
      </c>
      <c r="N18" s="124">
        <v>3</v>
      </c>
      <c r="O18" s="124">
        <v>3</v>
      </c>
      <c r="P18" s="124">
        <v>4</v>
      </c>
      <c r="Q18" s="124">
        <v>5</v>
      </c>
      <c r="R18" s="124">
        <v>8</v>
      </c>
      <c r="S18" s="180">
        <v>9</v>
      </c>
      <c r="T18" s="180">
        <v>9</v>
      </c>
      <c r="U18" s="180">
        <v>13</v>
      </c>
      <c r="V18" s="101">
        <f t="shared" si="2"/>
        <v>0.29767880670392577</v>
      </c>
      <c r="W18" s="21">
        <f t="shared" si="7"/>
        <v>0.15</v>
      </c>
      <c r="X18" s="130">
        <f t="shared" si="8"/>
        <v>14.95</v>
      </c>
      <c r="Y18" s="130">
        <f t="shared" ref="Y18:Y34" si="39">X18*(1+$W18)</f>
        <v>17.192499999999999</v>
      </c>
      <c r="Z18" s="130">
        <f t="shared" ref="Z18:Z34" si="40">Y18*(1+$W18)</f>
        <v>19.771374999999999</v>
      </c>
      <c r="AA18" s="130">
        <f t="shared" ref="AA18:AA34" si="41">Z18*(1+$W18)</f>
        <v>22.737081249999996</v>
      </c>
      <c r="AB18" s="130">
        <f t="shared" ref="AB18:AB53" si="42">AA18*(1+$W18)</f>
        <v>26.147643437499994</v>
      </c>
      <c r="AC18" s="130">
        <f t="shared" ref="AC18:AC53" si="43">AB18*(1+$W18)</f>
        <v>30.069789953124992</v>
      </c>
      <c r="AD18" s="130">
        <f t="shared" ref="AD18:AD53" si="44">AC18*(1+$W18)</f>
        <v>34.580258446093737</v>
      </c>
      <c r="AE18" s="130">
        <f t="shared" ref="AE18:AE53" si="45">AD18*(1+$W18)</f>
        <v>39.767297213007794</v>
      </c>
      <c r="AF18" s="130">
        <f t="shared" ref="AF18:AF53" si="46">AE18*(1+$W18)</f>
        <v>45.732391794958957</v>
      </c>
      <c r="AG18" s="130">
        <f t="shared" ref="AG18:AG53" si="47">AF18*(1+$W18)</f>
        <v>52.5922505642028</v>
      </c>
      <c r="AH18" s="115" t="e">
        <f t="shared" si="20"/>
        <v>#DIV/0!</v>
      </c>
      <c r="AI18" s="21">
        <f t="shared" si="18"/>
        <v>0.01</v>
      </c>
      <c r="AJ18" s="123">
        <f t="shared" si="1"/>
        <v>379.41552192746309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0.15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0.01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0.15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0.01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0.15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0.01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0.15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0.01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f>K25</f>
        <v>71</v>
      </c>
      <c r="H25" s="124"/>
      <c r="I25" s="124"/>
      <c r="J25" s="124"/>
      <c r="K25" s="124">
        <v>71</v>
      </c>
      <c r="L25" s="124">
        <v>114</v>
      </c>
      <c r="M25" s="124">
        <v>164</v>
      </c>
      <c r="N25" s="124">
        <v>225</v>
      </c>
      <c r="O25" s="124">
        <v>318</v>
      </c>
      <c r="P25" s="124">
        <v>406</v>
      </c>
      <c r="Q25" s="124">
        <v>535</v>
      </c>
      <c r="R25" s="124">
        <v>692</v>
      </c>
      <c r="S25" s="180">
        <v>881</v>
      </c>
      <c r="T25" s="180">
        <v>1045</v>
      </c>
      <c r="U25" s="180">
        <v>1107</v>
      </c>
      <c r="V25" s="101">
        <f t="shared" si="2"/>
        <v>0.31610011543328209</v>
      </c>
      <c r="W25" s="21">
        <f t="shared" si="7"/>
        <v>0.15</v>
      </c>
      <c r="X25" s="130">
        <f t="shared" si="8"/>
        <v>1273.05</v>
      </c>
      <c r="Y25" s="130">
        <f t="shared" si="39"/>
        <v>1464.0074999999999</v>
      </c>
      <c r="Z25" s="130">
        <f t="shared" si="40"/>
        <v>1683.6086249999998</v>
      </c>
      <c r="AA25" s="130">
        <f t="shared" si="41"/>
        <v>1936.1499187499996</v>
      </c>
      <c r="AB25" s="130">
        <f t="shared" si="42"/>
        <v>2226.5724065624995</v>
      </c>
      <c r="AC25" s="130">
        <f t="shared" si="43"/>
        <v>2560.558267546874</v>
      </c>
      <c r="AD25" s="130">
        <f t="shared" si="44"/>
        <v>2944.642007678905</v>
      </c>
      <c r="AE25" s="130">
        <f t="shared" si="45"/>
        <v>3386.3383088307405</v>
      </c>
      <c r="AF25" s="130">
        <f t="shared" si="46"/>
        <v>3894.2890551553514</v>
      </c>
      <c r="AG25" s="130">
        <f t="shared" si="47"/>
        <v>4478.4324134286535</v>
      </c>
      <c r="AH25" s="115" t="e">
        <f t="shared" si="20"/>
        <v>#DIV/0!</v>
      </c>
      <c r="AI25" s="21">
        <f t="shared" si="18"/>
        <v>0.01</v>
      </c>
      <c r="AJ25" s="123">
        <f t="shared" si="1"/>
        <v>32308.69098259243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1</v>
      </c>
      <c r="H26" s="268" t="e">
        <f>(H25-G25)/H25</f>
        <v>#DIV/0!</v>
      </c>
      <c r="I26" s="268" t="e">
        <f t="shared" ref="I26:P26" si="68">(I25-H25)/I25</f>
        <v>#DIV/0!</v>
      </c>
      <c r="J26" s="268" t="e">
        <f t="shared" si="68"/>
        <v>#DIV/0!</v>
      </c>
      <c r="K26" s="268">
        <f t="shared" si="68"/>
        <v>1</v>
      </c>
      <c r="L26" s="268">
        <f t="shared" si="68"/>
        <v>0.37719298245614036</v>
      </c>
      <c r="M26" s="268">
        <f t="shared" si="68"/>
        <v>0.3048780487804878</v>
      </c>
      <c r="N26" s="268">
        <f t="shared" si="68"/>
        <v>0.27111111111111114</v>
      </c>
      <c r="O26" s="268">
        <f t="shared" si="68"/>
        <v>0.29245283018867924</v>
      </c>
      <c r="P26" s="268">
        <f t="shared" si="68"/>
        <v>0.21674876847290642</v>
      </c>
      <c r="Q26" s="268">
        <f t="shared" ref="Q26:R26" si="69">(Q25-P25)/Q25</f>
        <v>0.24112149532710281</v>
      </c>
      <c r="R26" s="268">
        <f t="shared" si="69"/>
        <v>0.22687861271676302</v>
      </c>
      <c r="S26" s="127">
        <f t="shared" ref="S26:U26" si="70">(S25-R25)/R25</f>
        <v>0.27312138728323698</v>
      </c>
      <c r="T26" s="127">
        <f t="shared" si="70"/>
        <v>0.18615209988649262</v>
      </c>
      <c r="U26" s="127">
        <f t="shared" si="70"/>
        <v>5.9330143540669858E-2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f>K27</f>
        <v>7</v>
      </c>
      <c r="H27" s="124"/>
      <c r="I27" s="124"/>
      <c r="J27" s="124"/>
      <c r="K27" s="124">
        <v>7</v>
      </c>
      <c r="L27" s="124">
        <v>9</v>
      </c>
      <c r="M27" s="124">
        <v>12</v>
      </c>
      <c r="N27" s="124">
        <v>16</v>
      </c>
      <c r="O27" s="124">
        <v>33</v>
      </c>
      <c r="P27" s="124">
        <v>32</v>
      </c>
      <c r="Q27" s="124">
        <v>59</v>
      </c>
      <c r="R27" s="124">
        <v>72</v>
      </c>
      <c r="S27" s="180">
        <v>99</v>
      </c>
      <c r="T27" s="180">
        <v>115</v>
      </c>
      <c r="U27" s="180">
        <v>142</v>
      </c>
      <c r="V27" s="101">
        <f t="shared" si="2"/>
        <v>0.35119811418976887</v>
      </c>
      <c r="W27" s="21">
        <f t="shared" si="7"/>
        <v>0.15</v>
      </c>
      <c r="X27" s="130">
        <f t="shared" si="8"/>
        <v>163.29999999999998</v>
      </c>
      <c r="Y27" s="130">
        <f t="shared" si="39"/>
        <v>187.79499999999996</v>
      </c>
      <c r="Z27" s="130">
        <f t="shared" si="40"/>
        <v>215.96424999999994</v>
      </c>
      <c r="AA27" s="130">
        <f t="shared" si="41"/>
        <v>248.35888749999989</v>
      </c>
      <c r="AB27" s="130">
        <f t="shared" si="42"/>
        <v>285.61272062499984</v>
      </c>
      <c r="AC27" s="130">
        <f t="shared" si="43"/>
        <v>328.4546287187498</v>
      </c>
      <c r="AD27" s="130">
        <f t="shared" si="44"/>
        <v>377.72282302656225</v>
      </c>
      <c r="AE27" s="130">
        <f t="shared" si="45"/>
        <v>434.38124648054657</v>
      </c>
      <c r="AF27" s="130">
        <f t="shared" si="46"/>
        <v>499.53843345262851</v>
      </c>
      <c r="AG27" s="130">
        <f t="shared" si="47"/>
        <v>574.46919847052277</v>
      </c>
      <c r="AH27" s="115" t="e">
        <f t="shared" si="20"/>
        <v>#DIV/0!</v>
      </c>
      <c r="AI27" s="21">
        <f t="shared" si="18"/>
        <v>0.01</v>
      </c>
      <c r="AJ27" s="123">
        <f t="shared" si="1"/>
        <v>4144.3849318230577</v>
      </c>
    </row>
    <row r="28" spans="2:36" s="106" customFormat="1">
      <c r="B28" s="13"/>
      <c r="C28" s="125"/>
      <c r="D28" s="125"/>
      <c r="E28" s="126"/>
      <c r="F28" s="268"/>
      <c r="G28" s="268">
        <f t="shared" ref="G28:P28" si="71">(G27-F27)/G27</f>
        <v>1</v>
      </c>
      <c r="H28" s="268" t="e">
        <f t="shared" si="71"/>
        <v>#DIV/0!</v>
      </c>
      <c r="I28" s="268" t="e">
        <f t="shared" si="71"/>
        <v>#DIV/0!</v>
      </c>
      <c r="J28" s="268" t="e">
        <f t="shared" si="71"/>
        <v>#DIV/0!</v>
      </c>
      <c r="K28" s="268">
        <f t="shared" si="71"/>
        <v>1</v>
      </c>
      <c r="L28" s="268">
        <f t="shared" si="71"/>
        <v>0.22222222222222221</v>
      </c>
      <c r="M28" s="268">
        <f t="shared" si="71"/>
        <v>0.25</v>
      </c>
      <c r="N28" s="268">
        <f t="shared" si="71"/>
        <v>0.25</v>
      </c>
      <c r="O28" s="268">
        <f t="shared" si="71"/>
        <v>0.51515151515151514</v>
      </c>
      <c r="P28" s="268">
        <f t="shared" si="71"/>
        <v>-3.125E-2</v>
      </c>
      <c r="Q28" s="268">
        <f t="shared" ref="Q28:R28" si="72">(Q27-P27)/Q27</f>
        <v>0.4576271186440678</v>
      </c>
      <c r="R28" s="268">
        <f t="shared" si="72"/>
        <v>0.18055555555555555</v>
      </c>
      <c r="S28" s="127">
        <f t="shared" ref="S28:U28" si="73">(S27-R27)/R27</f>
        <v>0.375</v>
      </c>
      <c r="T28" s="127">
        <f t="shared" si="73"/>
        <v>0.16161616161616163</v>
      </c>
      <c r="U28" s="127">
        <f t="shared" si="73"/>
        <v>0.23478260869565218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f>K29</f>
        <v>42</v>
      </c>
      <c r="H29" s="124"/>
      <c r="I29" s="124"/>
      <c r="J29" s="124"/>
      <c r="K29" s="124">
        <v>42</v>
      </c>
      <c r="L29" s="124">
        <v>69</v>
      </c>
      <c r="M29" s="124">
        <v>90</v>
      </c>
      <c r="N29" s="124">
        <v>128</v>
      </c>
      <c r="O29" s="124">
        <v>202</v>
      </c>
      <c r="P29" s="124">
        <v>265</v>
      </c>
      <c r="Q29" s="124">
        <v>325</v>
      </c>
      <c r="R29" s="124">
        <v>431</v>
      </c>
      <c r="S29" s="180">
        <v>548</v>
      </c>
      <c r="T29" s="180">
        <v>646</v>
      </c>
      <c r="U29" s="180">
        <v>648</v>
      </c>
      <c r="V29" s="101">
        <f t="shared" si="2"/>
        <v>0.31471788672885603</v>
      </c>
      <c r="W29" s="21">
        <f t="shared" si="7"/>
        <v>0.15</v>
      </c>
      <c r="X29" s="130">
        <f t="shared" si="8"/>
        <v>745.19999999999993</v>
      </c>
      <c r="Y29" s="130">
        <f t="shared" ref="Y29" si="74">X29*(1+$W29)</f>
        <v>856.9799999999999</v>
      </c>
      <c r="Z29" s="130">
        <f t="shared" ref="Z29" si="75">Y29*(1+$W29)</f>
        <v>985.52699999999982</v>
      </c>
      <c r="AA29" s="130">
        <f t="shared" ref="AA29" si="76">Z29*(1+$W29)</f>
        <v>1133.3560499999996</v>
      </c>
      <c r="AB29" s="130">
        <f t="shared" ref="AB29" si="77">AA29*(1+$W29)</f>
        <v>1303.3594574999995</v>
      </c>
      <c r="AC29" s="130">
        <f t="shared" ref="AC29" si="78">AB29*(1+$W29)</f>
        <v>1498.8633761249994</v>
      </c>
      <c r="AD29" s="130">
        <f t="shared" ref="AD29" si="79">AC29*(1+$W29)</f>
        <v>1723.6928825437492</v>
      </c>
      <c r="AE29" s="130">
        <f t="shared" ref="AE29" si="80">AD29*(1+$W29)</f>
        <v>1982.2468149253114</v>
      </c>
      <c r="AF29" s="130">
        <f t="shared" ref="AF29" si="81">AE29*(1+$W29)</f>
        <v>2279.583837164108</v>
      </c>
      <c r="AG29" s="130">
        <f t="shared" ref="AG29" si="82">AF29*(1+$W29)</f>
        <v>2621.5214127387239</v>
      </c>
      <c r="AH29" s="115" t="e">
        <f t="shared" ref="AH29" si="83">((AG29/J29)^(1/($AG$3-$K$1) ))-1</f>
        <v>#DIV/0!</v>
      </c>
      <c r="AI29" s="21">
        <f t="shared" si="18"/>
        <v>0.01</v>
      </c>
      <c r="AJ29" s="123">
        <f t="shared" ref="AJ29" si="84">(AG29*(1+AI29))/($C$1-AI29)</f>
        <v>18912.404477615084</v>
      </c>
    </row>
    <row r="30" spans="2:36" s="106" customFormat="1">
      <c r="B30" s="13"/>
      <c r="C30" s="125"/>
      <c r="D30" s="125"/>
      <c r="E30" s="126"/>
      <c r="F30" s="268"/>
      <c r="G30" s="268">
        <f t="shared" ref="G30:P30" si="85">(G29-F29)/G29</f>
        <v>1</v>
      </c>
      <c r="H30" s="268" t="e">
        <f t="shared" si="85"/>
        <v>#DIV/0!</v>
      </c>
      <c r="I30" s="268" t="e">
        <f t="shared" si="85"/>
        <v>#DIV/0!</v>
      </c>
      <c r="J30" s="268" t="e">
        <f t="shared" si="85"/>
        <v>#DIV/0!</v>
      </c>
      <c r="K30" s="268">
        <f t="shared" si="85"/>
        <v>1</v>
      </c>
      <c r="L30" s="268">
        <f t="shared" si="85"/>
        <v>0.39130434782608697</v>
      </c>
      <c r="M30" s="268">
        <f t="shared" si="85"/>
        <v>0.23333333333333334</v>
      </c>
      <c r="N30" s="268">
        <f t="shared" si="85"/>
        <v>0.296875</v>
      </c>
      <c r="O30" s="268">
        <f t="shared" si="85"/>
        <v>0.36633663366336633</v>
      </c>
      <c r="P30" s="268">
        <f t="shared" si="85"/>
        <v>0.23773584905660378</v>
      </c>
      <c r="Q30" s="268">
        <f t="shared" ref="Q30:R30" si="86">(Q29-P29)/Q29</f>
        <v>0.18461538461538463</v>
      </c>
      <c r="R30" s="268">
        <f t="shared" si="86"/>
        <v>0.24593967517401391</v>
      </c>
      <c r="S30" s="127">
        <f t="shared" ref="S30:U30" si="87">(S29-R29)/R29</f>
        <v>0.27146171693735499</v>
      </c>
      <c r="T30" s="127">
        <f t="shared" si="87"/>
        <v>0.17883211678832117</v>
      </c>
      <c r="U30" s="127">
        <f t="shared" si="87"/>
        <v>3.0959752321981426E-3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0.15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0.01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0.15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0.01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f>K33</f>
        <v>42</v>
      </c>
      <c r="H33" s="124"/>
      <c r="I33" s="124"/>
      <c r="J33" s="124"/>
      <c r="K33" s="124">
        <v>42</v>
      </c>
      <c r="L33" s="124">
        <v>69</v>
      </c>
      <c r="M33" s="124">
        <v>90</v>
      </c>
      <c r="N33" s="124">
        <v>128</v>
      </c>
      <c r="O33" s="124">
        <v>202</v>
      </c>
      <c r="P33" s="124">
        <v>265</v>
      </c>
      <c r="Q33" s="124">
        <v>0</v>
      </c>
      <c r="R33" s="124">
        <v>431</v>
      </c>
      <c r="S33" s="180">
        <v>548</v>
      </c>
      <c r="T33" s="180">
        <v>646</v>
      </c>
      <c r="U33" s="180">
        <v>648</v>
      </c>
      <c r="V33" s="101">
        <f t="shared" si="2"/>
        <v>0.31471788672885603</v>
      </c>
      <c r="W33" s="21">
        <f t="shared" si="7"/>
        <v>0.15</v>
      </c>
      <c r="X33" s="130">
        <f t="shared" si="8"/>
        <v>745.19999999999993</v>
      </c>
      <c r="Y33" s="130">
        <f t="shared" si="39"/>
        <v>856.9799999999999</v>
      </c>
      <c r="Z33" s="130">
        <f t="shared" si="40"/>
        <v>985.52699999999982</v>
      </c>
      <c r="AA33" s="130">
        <f t="shared" si="41"/>
        <v>1133.3560499999996</v>
      </c>
      <c r="AB33" s="130">
        <f t="shared" si="42"/>
        <v>1303.3594574999995</v>
      </c>
      <c r="AC33" s="130">
        <f t="shared" si="43"/>
        <v>1498.8633761249994</v>
      </c>
      <c r="AD33" s="130">
        <f t="shared" si="44"/>
        <v>1723.6928825437492</v>
      </c>
      <c r="AE33" s="130">
        <f t="shared" si="45"/>
        <v>1982.2468149253114</v>
      </c>
      <c r="AF33" s="130">
        <f t="shared" si="46"/>
        <v>2279.583837164108</v>
      </c>
      <c r="AG33" s="130">
        <f t="shared" si="47"/>
        <v>2621.5214127387239</v>
      </c>
      <c r="AH33" s="115" t="e">
        <f t="shared" si="20"/>
        <v>#DIV/0!</v>
      </c>
      <c r="AI33" s="21">
        <f t="shared" si="18"/>
        <v>0.01</v>
      </c>
      <c r="AJ33" s="123">
        <f t="shared" si="1"/>
        <v>18912.404477615084</v>
      </c>
    </row>
    <row r="34" spans="1:36">
      <c r="B34" s="10" t="s">
        <v>499</v>
      </c>
      <c r="C34" s="118"/>
      <c r="D34" s="118"/>
      <c r="E34" s="124"/>
      <c r="F34" s="124"/>
      <c r="G34" s="124">
        <f>K34</f>
        <v>4</v>
      </c>
      <c r="H34" s="124"/>
      <c r="I34" s="124"/>
      <c r="J34" s="124"/>
      <c r="K34" s="124">
        <v>4</v>
      </c>
      <c r="L34" s="124">
        <v>3</v>
      </c>
      <c r="M34" s="124">
        <v>4</v>
      </c>
      <c r="N34" s="124">
        <v>9</v>
      </c>
      <c r="O34" s="124">
        <v>22</v>
      </c>
      <c r="P34" s="124">
        <v>18</v>
      </c>
      <c r="Q34" s="124">
        <v>0</v>
      </c>
      <c r="R34" s="124">
        <v>37</v>
      </c>
      <c r="S34" s="180">
        <v>56</v>
      </c>
      <c r="T34" s="180">
        <v>70</v>
      </c>
      <c r="U34" s="180">
        <v>90</v>
      </c>
      <c r="V34" s="101">
        <f t="shared" si="2"/>
        <v>0.36526907113421259</v>
      </c>
      <c r="W34" s="21">
        <f t="shared" si="7"/>
        <v>0.15</v>
      </c>
      <c r="X34" s="130">
        <f t="shared" si="8"/>
        <v>103.49999999999999</v>
      </c>
      <c r="Y34" s="130">
        <f t="shared" si="39"/>
        <v>119.02499999999998</v>
      </c>
      <c r="Z34" s="130">
        <f t="shared" si="40"/>
        <v>136.87874999999997</v>
      </c>
      <c r="AA34" s="130">
        <f t="shared" si="41"/>
        <v>157.41056249999994</v>
      </c>
      <c r="AB34" s="130">
        <f t="shared" si="42"/>
        <v>181.02214687499992</v>
      </c>
      <c r="AC34" s="130">
        <f t="shared" si="43"/>
        <v>208.1754689062499</v>
      </c>
      <c r="AD34" s="130">
        <f t="shared" si="44"/>
        <v>239.40178924218736</v>
      </c>
      <c r="AE34" s="130">
        <f t="shared" si="45"/>
        <v>275.31205762851545</v>
      </c>
      <c r="AF34" s="130">
        <f t="shared" si="46"/>
        <v>316.60886627279274</v>
      </c>
      <c r="AG34" s="130">
        <f t="shared" si="47"/>
        <v>364.10019621371163</v>
      </c>
      <c r="AH34" s="115" t="e">
        <f t="shared" si="20"/>
        <v>#DIV/0!</v>
      </c>
      <c r="AI34" s="21">
        <f t="shared" si="18"/>
        <v>0.01</v>
      </c>
      <c r="AJ34" s="123">
        <f t="shared" si="1"/>
        <v>2626.7228441132056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4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0.15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0.01</v>
      </c>
      <c r="AJ36" s="123">
        <f t="shared" ref="AJ36:AJ51" si="103">(AG36*(1+AI36))/($C$1-AI36)</f>
        <v>0</v>
      </c>
    </row>
    <row r="37" spans="1:36">
      <c r="A37" s="304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4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0.15</v>
      </c>
      <c r="X38" s="130">
        <f t="shared" si="8"/>
        <v>1.1499999999999999</v>
      </c>
      <c r="Y38" s="130">
        <f t="shared" si="93"/>
        <v>1.3224999999999998</v>
      </c>
      <c r="Z38" s="130">
        <f t="shared" si="94"/>
        <v>1.5208749999999995</v>
      </c>
      <c r="AA38" s="130">
        <f t="shared" si="95"/>
        <v>1.7490062499999994</v>
      </c>
      <c r="AB38" s="130">
        <f t="shared" si="96"/>
        <v>2.0113571874999994</v>
      </c>
      <c r="AC38" s="130">
        <f t="shared" si="97"/>
        <v>2.3130607656249991</v>
      </c>
      <c r="AD38" s="130">
        <f t="shared" si="98"/>
        <v>2.6600198804687487</v>
      </c>
      <c r="AE38" s="130">
        <f t="shared" si="99"/>
        <v>3.0590228625390607</v>
      </c>
      <c r="AF38" s="130">
        <f t="shared" si="100"/>
        <v>3.5178762919199196</v>
      </c>
      <c r="AG38" s="130">
        <f t="shared" si="101"/>
        <v>4.0455577357079076</v>
      </c>
      <c r="AH38" s="115" t="e">
        <f t="shared" si="102"/>
        <v>#DIV/0!</v>
      </c>
      <c r="AI38" s="21">
        <f t="shared" si="18"/>
        <v>0.01</v>
      </c>
      <c r="AJ38" s="123">
        <f t="shared" si="103"/>
        <v>29.185809379035621</v>
      </c>
    </row>
    <row r="39" spans="1:36">
      <c r="A39" s="304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4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0.15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0.01</v>
      </c>
      <c r="AJ40" s="123">
        <f t="shared" si="103"/>
        <v>0</v>
      </c>
    </row>
    <row r="41" spans="1:36">
      <c r="A41" s="304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0.15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0.01</v>
      </c>
      <c r="AJ41" s="123">
        <f t="shared" si="103"/>
        <v>0</v>
      </c>
    </row>
    <row r="42" spans="1:36">
      <c r="A42" s="304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0.15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0.01</v>
      </c>
      <c r="AJ42" s="123">
        <f t="shared" si="103"/>
        <v>0</v>
      </c>
    </row>
    <row r="43" spans="1:36">
      <c r="A43" s="304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0.15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0.01</v>
      </c>
      <c r="AJ43" s="123">
        <f t="shared" si="103"/>
        <v>0</v>
      </c>
    </row>
    <row r="44" spans="1:36">
      <c r="A44" s="304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4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0.15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0.01</v>
      </c>
      <c r="AJ45" s="123">
        <f t="shared" si="103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507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0.15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0.01</v>
      </c>
      <c r="AJ47" s="123">
        <f t="shared" ref="AJ47" si="18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6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0.15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0.01</v>
      </c>
      <c r="AJ49" s="123">
        <f t="shared" si="103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0.15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0.01</v>
      </c>
      <c r="AJ51" s="123">
        <f t="shared" si="103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24">
        <f>K53</f>
        <v>61</v>
      </c>
      <c r="H53" s="124"/>
      <c r="I53" s="124"/>
      <c r="J53" s="124"/>
      <c r="K53" s="124">
        <v>61</v>
      </c>
      <c r="L53" s="124">
        <v>103</v>
      </c>
      <c r="M53" s="124">
        <v>151</v>
      </c>
      <c r="N53" s="124">
        <v>209</v>
      </c>
      <c r="O53" s="124">
        <v>285</v>
      </c>
      <c r="P53" s="124">
        <v>373</v>
      </c>
      <c r="Q53" s="124">
        <v>152</v>
      </c>
      <c r="R53" s="124">
        <v>619</v>
      </c>
      <c r="S53" s="180">
        <v>781</v>
      </c>
      <c r="T53" s="180">
        <v>928</v>
      </c>
      <c r="U53" s="180">
        <v>963</v>
      </c>
      <c r="V53" s="101">
        <f t="shared" si="2"/>
        <v>0.31773974532165905</v>
      </c>
      <c r="W53" s="21">
        <f t="shared" si="7"/>
        <v>0.15</v>
      </c>
      <c r="X53" s="130">
        <f t="shared" si="8"/>
        <v>1107.4499999999998</v>
      </c>
      <c r="Y53" s="130">
        <f t="shared" ref="Y53" si="225">X53*(1+$W53)</f>
        <v>1273.5674999999997</v>
      </c>
      <c r="Z53" s="130">
        <f t="shared" ref="Z53" si="226">Y53*(1+$W53)</f>
        <v>1464.6026249999995</v>
      </c>
      <c r="AA53" s="130">
        <f t="shared" ref="AA53" si="227">Z53*(1+$W53)</f>
        <v>1684.2930187499994</v>
      </c>
      <c r="AB53" s="130">
        <f t="shared" si="42"/>
        <v>1936.9369715624991</v>
      </c>
      <c r="AC53" s="130">
        <f t="shared" si="43"/>
        <v>2227.4775172968739</v>
      </c>
      <c r="AD53" s="130">
        <f t="shared" si="44"/>
        <v>2561.5991448914046</v>
      </c>
      <c r="AE53" s="130">
        <f t="shared" si="45"/>
        <v>2945.8390166251152</v>
      </c>
      <c r="AF53" s="130">
        <f t="shared" si="46"/>
        <v>3387.7148691188822</v>
      </c>
      <c r="AG53" s="130">
        <f t="shared" si="47"/>
        <v>3895.8720994867144</v>
      </c>
      <c r="AH53" s="115" t="e">
        <f t="shared" si="20"/>
        <v>#DIV/0!</v>
      </c>
      <c r="AI53" s="21">
        <f t="shared" si="18"/>
        <v>0.01</v>
      </c>
      <c r="AJ53" s="123">
        <f t="shared" si="1"/>
        <v>28105.934432011301</v>
      </c>
    </row>
    <row r="54" spans="1:36" s="106" customFormat="1">
      <c r="B54" s="13"/>
      <c r="C54" s="125"/>
      <c r="D54" s="125"/>
      <c r="E54" s="126"/>
      <c r="F54" s="268"/>
      <c r="G54" s="268">
        <f t="shared" ref="G54:P54" si="228">(G53-F53)/G53</f>
        <v>1</v>
      </c>
      <c r="H54" s="268" t="e">
        <f t="shared" si="228"/>
        <v>#DIV/0!</v>
      </c>
      <c r="I54" s="268" t="e">
        <f t="shared" si="228"/>
        <v>#DIV/0!</v>
      </c>
      <c r="J54" s="268" t="e">
        <f t="shared" si="228"/>
        <v>#DIV/0!</v>
      </c>
      <c r="K54" s="268">
        <f t="shared" si="228"/>
        <v>1</v>
      </c>
      <c r="L54" s="268">
        <f t="shared" si="228"/>
        <v>0.40776699029126212</v>
      </c>
      <c r="M54" s="268">
        <f t="shared" si="228"/>
        <v>0.31788079470198677</v>
      </c>
      <c r="N54" s="268">
        <f t="shared" si="228"/>
        <v>0.27751196172248804</v>
      </c>
      <c r="O54" s="268">
        <f t="shared" si="228"/>
        <v>0.26666666666666666</v>
      </c>
      <c r="P54" s="268">
        <f t="shared" si="228"/>
        <v>0.2359249329758713</v>
      </c>
      <c r="Q54" s="268">
        <f t="shared" ref="Q54:R54" si="229">(Q53-P53)/Q53</f>
        <v>-1.4539473684210527</v>
      </c>
      <c r="R54" s="268">
        <f t="shared" si="229"/>
        <v>0.75444264943457184</v>
      </c>
      <c r="S54" s="127">
        <f t="shared" ref="S54:U54" si="230">(S53-R53)/R53</f>
        <v>0.26171243941841682</v>
      </c>
      <c r="T54" s="127">
        <f t="shared" si="230"/>
        <v>0.18822023047375161</v>
      </c>
      <c r="U54" s="127">
        <f t="shared" si="230"/>
        <v>3.7715517241379309E-2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24">
        <f>K55</f>
        <v>21</v>
      </c>
      <c r="H55" s="124"/>
      <c r="I55" s="124"/>
      <c r="J55" s="124"/>
      <c r="K55" s="124">
        <v>21</v>
      </c>
      <c r="L55" s="124">
        <v>35</v>
      </c>
      <c r="M55" s="124">
        <v>60</v>
      </c>
      <c r="N55" s="124">
        <v>79</v>
      </c>
      <c r="O55" s="124">
        <v>81</v>
      </c>
      <c r="P55" s="124">
        <v>106</v>
      </c>
      <c r="Q55" s="124">
        <v>149</v>
      </c>
      <c r="R55" s="124">
        <v>186</v>
      </c>
      <c r="S55" s="180">
        <v>230</v>
      </c>
      <c r="T55" s="180">
        <v>280</v>
      </c>
      <c r="U55" s="180">
        <v>314</v>
      </c>
      <c r="V55" s="101">
        <f t="shared" si="2"/>
        <v>0.31060263063270011</v>
      </c>
      <c r="W55" s="21">
        <f t="shared" si="7"/>
        <v>0.15</v>
      </c>
      <c r="X55" s="130">
        <f t="shared" si="8"/>
        <v>361.09999999999997</v>
      </c>
      <c r="Y55" s="130">
        <f t="shared" ref="Y55" si="231">X55*(1+$W55)</f>
        <v>415.26499999999993</v>
      </c>
      <c r="Z55" s="130">
        <f t="shared" ref="Z55" si="232">Y55*(1+$W55)</f>
        <v>477.5547499999999</v>
      </c>
      <c r="AA55" s="130">
        <f t="shared" ref="AA55" si="233">Z55*(1+$W55)</f>
        <v>549.1879624999998</v>
      </c>
      <c r="AB55" s="130">
        <f t="shared" ref="AB55" si="234">AA55*(1+$W55)</f>
        <v>631.56615687499971</v>
      </c>
      <c r="AC55" s="130">
        <f t="shared" ref="AC55" si="235">AB55*(1+$W55)</f>
        <v>726.30108040624964</v>
      </c>
      <c r="AD55" s="130">
        <f t="shared" ref="AD55" si="236">AC55*(1+$W55)</f>
        <v>835.24624246718702</v>
      </c>
      <c r="AE55" s="130">
        <f t="shared" ref="AE55" si="237">AD55*(1+$W55)</f>
        <v>960.53317883726504</v>
      </c>
      <c r="AF55" s="130">
        <f t="shared" ref="AF55" si="238">AE55*(1+$W55)</f>
        <v>1104.6131556628548</v>
      </c>
      <c r="AG55" s="130">
        <f t="shared" ref="AG55" si="239">AF55*(1+$W55)</f>
        <v>1270.3051290122828</v>
      </c>
      <c r="AH55" s="115" t="e">
        <f t="shared" ref="AH55" si="240">((AG55/J55)^(1/($AG$3-$K$1) ))-1</f>
        <v>#DIV/0!</v>
      </c>
      <c r="AI55" s="21">
        <f t="shared" si="18"/>
        <v>0.01</v>
      </c>
      <c r="AJ55" s="123">
        <f t="shared" ref="AJ55" si="241">(AG55*(1+AI55))/($C$1-AI55)</f>
        <v>9164.3441450171849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2">(G55-F55)/G55</f>
        <v>1</v>
      </c>
      <c r="H56" s="268" t="e">
        <f t="shared" si="242"/>
        <v>#DIV/0!</v>
      </c>
      <c r="I56" s="268" t="e">
        <f t="shared" si="242"/>
        <v>#DIV/0!</v>
      </c>
      <c r="J56" s="268" t="e">
        <f t="shared" si="242"/>
        <v>#DIV/0!</v>
      </c>
      <c r="K56" s="268">
        <f t="shared" si="242"/>
        <v>1</v>
      </c>
      <c r="L56" s="268">
        <f t="shared" si="242"/>
        <v>0.4</v>
      </c>
      <c r="M56" s="268">
        <f t="shared" si="242"/>
        <v>0.41666666666666669</v>
      </c>
      <c r="N56" s="268">
        <f t="shared" si="242"/>
        <v>0.24050632911392406</v>
      </c>
      <c r="O56" s="268">
        <f t="shared" si="242"/>
        <v>2.4691358024691357E-2</v>
      </c>
      <c r="P56" s="268">
        <f t="shared" si="242"/>
        <v>0.23584905660377359</v>
      </c>
      <c r="Q56" s="268">
        <f t="shared" ref="Q56:R56" si="243">(Q55-P55)/Q55</f>
        <v>0.28859060402684567</v>
      </c>
      <c r="R56" s="268">
        <f t="shared" si="243"/>
        <v>0.19892473118279569</v>
      </c>
      <c r="S56" s="127">
        <f t="shared" ref="S56:U56" si="244">(S55-R55)/R55</f>
        <v>0.23655913978494625</v>
      </c>
      <c r="T56" s="127">
        <f t="shared" si="244"/>
        <v>0.21739130434782608</v>
      </c>
      <c r="U56" s="127">
        <f t="shared" si="244"/>
        <v>0.12142857142857143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506</v>
      </c>
      <c r="C57" s="125"/>
      <c r="D57" s="125"/>
      <c r="E57" s="126"/>
      <c r="F57" s="268"/>
      <c r="G57" s="124">
        <f>K57</f>
        <v>1</v>
      </c>
      <c r="H57" s="124"/>
      <c r="I57" s="124"/>
      <c r="J57" s="124"/>
      <c r="K57" s="124">
        <v>1</v>
      </c>
      <c r="L57" s="124">
        <v>0</v>
      </c>
      <c r="M57" s="124">
        <v>0</v>
      </c>
      <c r="N57" s="124">
        <v>1</v>
      </c>
      <c r="O57" s="124">
        <v>1</v>
      </c>
      <c r="P57" s="124">
        <v>1</v>
      </c>
      <c r="Q57" s="124">
        <v>2</v>
      </c>
      <c r="R57" s="124">
        <v>3</v>
      </c>
      <c r="S57" s="180">
        <v>4</v>
      </c>
      <c r="T57" s="180">
        <v>4</v>
      </c>
      <c r="U57" s="180">
        <v>3</v>
      </c>
      <c r="V57" s="101">
        <f t="shared" si="2"/>
        <v>0.11612317403390437</v>
      </c>
      <c r="W57" s="21">
        <f t="shared" si="7"/>
        <v>0.15</v>
      </c>
      <c r="X57" s="130">
        <f t="shared" ref="X57" si="245">U57*(1+$W57)</f>
        <v>3.4499999999999997</v>
      </c>
      <c r="Y57" s="130">
        <f t="shared" ref="Y57" si="246">X57*(1+$W57)</f>
        <v>3.9674999999999994</v>
      </c>
      <c r="Z57" s="130">
        <f t="shared" ref="Z57" si="247">Y57*(1+$W57)</f>
        <v>4.5626249999999988</v>
      </c>
      <c r="AA57" s="130">
        <f t="shared" ref="AA57" si="248">Z57*(1+$W57)</f>
        <v>5.2470187499999978</v>
      </c>
      <c r="AB57" s="130">
        <f t="shared" ref="AB57" si="249">AA57*(1+$W57)</f>
        <v>6.0340715624999968</v>
      </c>
      <c r="AC57" s="130">
        <f t="shared" ref="AC57" si="250">AB57*(1+$W57)</f>
        <v>6.9391822968749954</v>
      </c>
      <c r="AD57" s="130">
        <f t="shared" ref="AD57" si="251">AC57*(1+$W57)</f>
        <v>7.9800596414062444</v>
      </c>
      <c r="AE57" s="130">
        <f t="shared" ref="AE57" si="252">AD57*(1+$W57)</f>
        <v>9.17706858761718</v>
      </c>
      <c r="AF57" s="130">
        <f t="shared" ref="AF57" si="253">AE57*(1+$W57)</f>
        <v>10.553628875759756</v>
      </c>
      <c r="AG57" s="130">
        <f t="shared" ref="AG57" si="254">AF57*(1+$W57)</f>
        <v>12.136673207123719</v>
      </c>
      <c r="AH57" s="115" t="e">
        <f t="shared" ref="AH57" si="255">((AG57/J57)^(1/($AG$3-$K$1) ))-1</f>
        <v>#DIV/0!</v>
      </c>
      <c r="AI57" s="21">
        <f t="shared" si="18"/>
        <v>0.01</v>
      </c>
      <c r="AJ57" s="123">
        <f t="shared" ref="AJ57" si="256">(AG57*(1+AI57))/($C$1-AI57)</f>
        <v>87.557428137106839</v>
      </c>
    </row>
    <row r="58" spans="1:36" s="106" customFormat="1">
      <c r="B58" s="13"/>
      <c r="C58" s="125"/>
      <c r="D58" s="125"/>
      <c r="E58" s="126"/>
      <c r="F58" s="268"/>
      <c r="G58" s="268">
        <f t="shared" ref="G58" si="257">(G57-F57)/G57</f>
        <v>1</v>
      </c>
      <c r="H58" s="268" t="e">
        <f t="shared" ref="H58" si="258">(H57-G57)/H57</f>
        <v>#DIV/0!</v>
      </c>
      <c r="I58" s="268" t="e">
        <f t="shared" ref="I58" si="259">(I57-H57)/I57</f>
        <v>#DIV/0!</v>
      </c>
      <c r="J58" s="268" t="e">
        <f t="shared" ref="J58" si="260">(J57-I57)/J57</f>
        <v>#DIV/0!</v>
      </c>
      <c r="K58" s="268">
        <f t="shared" ref="K58" si="261">(K57-J57)/K57</f>
        <v>1</v>
      </c>
      <c r="L58" s="268" t="e">
        <f t="shared" ref="L58" si="262">(L57-K57)/L57</f>
        <v>#DIV/0!</v>
      </c>
      <c r="M58" s="268" t="e">
        <f t="shared" ref="M58" si="263">(M57-L57)/M57</f>
        <v>#DIV/0!</v>
      </c>
      <c r="N58" s="268">
        <f t="shared" ref="N58" si="264">(N57-M57)/N57</f>
        <v>1</v>
      </c>
      <c r="O58" s="268">
        <f t="shared" ref="O58" si="265">(O57-N57)/O57</f>
        <v>0</v>
      </c>
      <c r="P58" s="268">
        <f t="shared" ref="P58" si="266">(P57-O57)/P57</f>
        <v>0</v>
      </c>
      <c r="Q58" s="268">
        <f t="shared" ref="Q58" si="267">(Q57-P57)/Q57</f>
        <v>0.5</v>
      </c>
      <c r="R58" s="268">
        <f t="shared" ref="R58" si="268">(R57-Q57)/R57</f>
        <v>0.33333333333333331</v>
      </c>
      <c r="S58" s="127">
        <f t="shared" ref="S58" si="269">(S57-R57)/R57</f>
        <v>0.33333333333333331</v>
      </c>
      <c r="T58" s="127">
        <f t="shared" ref="T58" si="270">(T57-S57)/S57</f>
        <v>0</v>
      </c>
      <c r="U58" s="127">
        <f t="shared" ref="U58" si="271">(U57-T57)/T57</f>
        <v>-0.25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24">
        <f>K59</f>
        <v>15</v>
      </c>
      <c r="H59" s="124"/>
      <c r="I59" s="124"/>
      <c r="J59" s="124"/>
      <c r="K59" s="124">
        <v>15</v>
      </c>
      <c r="L59" s="124">
        <v>25</v>
      </c>
      <c r="M59" s="124">
        <v>43</v>
      </c>
      <c r="N59" s="124">
        <v>58</v>
      </c>
      <c r="O59" s="124">
        <v>61</v>
      </c>
      <c r="P59" s="124">
        <v>80</v>
      </c>
      <c r="Q59" s="124">
        <v>110</v>
      </c>
      <c r="R59" s="124">
        <v>123</v>
      </c>
      <c r="S59" s="180">
        <v>150</v>
      </c>
      <c r="T59" s="180">
        <v>182</v>
      </c>
      <c r="U59" s="180">
        <v>206</v>
      </c>
      <c r="V59" s="101">
        <f t="shared" si="2"/>
        <v>0.29950392666522574</v>
      </c>
      <c r="W59" s="21">
        <f t="shared" si="7"/>
        <v>0.15</v>
      </c>
      <c r="X59" s="130">
        <f t="shared" si="8"/>
        <v>236.89999999999998</v>
      </c>
      <c r="Y59" s="130">
        <f t="shared" ref="Y59:AG59" si="272">X59*(1+$W59)</f>
        <v>272.43499999999995</v>
      </c>
      <c r="Z59" s="130">
        <f t="shared" si="272"/>
        <v>313.30024999999989</v>
      </c>
      <c r="AA59" s="130">
        <f t="shared" si="272"/>
        <v>360.29528749999986</v>
      </c>
      <c r="AB59" s="130">
        <f t="shared" si="272"/>
        <v>414.33958062499983</v>
      </c>
      <c r="AC59" s="130">
        <f t="shared" si="272"/>
        <v>476.49051771874974</v>
      </c>
      <c r="AD59" s="130">
        <f t="shared" si="272"/>
        <v>547.96409537656211</v>
      </c>
      <c r="AE59" s="130">
        <f t="shared" si="272"/>
        <v>630.15870968304637</v>
      </c>
      <c r="AF59" s="130">
        <f t="shared" si="272"/>
        <v>724.68251613550331</v>
      </c>
      <c r="AG59" s="130">
        <f t="shared" si="272"/>
        <v>833.38489355582874</v>
      </c>
      <c r="AH59" s="115" t="e">
        <f t="shared" si="20"/>
        <v>#DIV/0!</v>
      </c>
      <c r="AI59" s="21">
        <f t="shared" si="18"/>
        <v>0.01</v>
      </c>
      <c r="AJ59" s="123">
        <f t="shared" si="1"/>
        <v>6012.2767320813364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1</v>
      </c>
      <c r="H60" s="268" t="e">
        <f t="shared" ref="H60:P60" si="273">(H59-G59)/H59</f>
        <v>#DIV/0!</v>
      </c>
      <c r="I60" s="268" t="e">
        <f t="shared" si="273"/>
        <v>#DIV/0!</v>
      </c>
      <c r="J60" s="268" t="e">
        <f t="shared" si="273"/>
        <v>#DIV/0!</v>
      </c>
      <c r="K60" s="268">
        <f t="shared" si="273"/>
        <v>1</v>
      </c>
      <c r="L60" s="268">
        <f t="shared" si="273"/>
        <v>0.4</v>
      </c>
      <c r="M60" s="268">
        <f t="shared" si="273"/>
        <v>0.41860465116279072</v>
      </c>
      <c r="N60" s="268">
        <f t="shared" si="273"/>
        <v>0.25862068965517243</v>
      </c>
      <c r="O60" s="268">
        <f t="shared" si="273"/>
        <v>4.9180327868852458E-2</v>
      </c>
      <c r="P60" s="268">
        <f t="shared" si="273"/>
        <v>0.23749999999999999</v>
      </c>
      <c r="Q60" s="268">
        <f t="shared" ref="Q60:R60" si="274">(Q59-P59)/Q59</f>
        <v>0.27272727272727271</v>
      </c>
      <c r="R60" s="268">
        <f t="shared" si="274"/>
        <v>0.10569105691056911</v>
      </c>
      <c r="S60" s="127">
        <f t="shared" ref="S60:U60" si="275">(S59-R59)/R59</f>
        <v>0.21951219512195122</v>
      </c>
      <c r="T60" s="127">
        <f t="shared" si="275"/>
        <v>0.21333333333333335</v>
      </c>
      <c r="U60" s="127">
        <f t="shared" si="275"/>
        <v>0.13186813186813187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124">
        <f>K61</f>
        <v>3.86</v>
      </c>
      <c r="H61" s="270"/>
      <c r="I61" s="270"/>
      <c r="J61" s="270"/>
      <c r="K61" s="270">
        <v>3.86</v>
      </c>
      <c r="L61" s="270">
        <v>3.86</v>
      </c>
      <c r="M61" s="270">
        <v>4.6399999999999997</v>
      </c>
      <c r="N61" s="270">
        <v>4.6399999999999997</v>
      </c>
      <c r="O61" s="270">
        <v>4.6399999999999997</v>
      </c>
      <c r="P61" s="270">
        <v>6.21</v>
      </c>
      <c r="Q61" s="270">
        <v>6.21</v>
      </c>
      <c r="R61" s="122">
        <v>6.23</v>
      </c>
      <c r="S61" s="122">
        <v>6.25</v>
      </c>
      <c r="T61" s="122">
        <v>6.25</v>
      </c>
      <c r="U61" s="122">
        <v>6.25</v>
      </c>
      <c r="V61" s="101">
        <f t="shared" si="2"/>
        <v>4.9371515217663475E-2</v>
      </c>
      <c r="W61" s="21">
        <v>0.01</v>
      </c>
      <c r="X61" s="130">
        <f t="shared" si="8"/>
        <v>6.3125</v>
      </c>
      <c r="Y61" s="130">
        <f>X61*(1+$W61)</f>
        <v>6.3756250000000003</v>
      </c>
      <c r="Z61" s="130">
        <f t="shared" ref="Z61:AG61" si="276">Y61*(1+$W61)</f>
        <v>6.4393812500000003</v>
      </c>
      <c r="AA61" s="130">
        <f t="shared" si="276"/>
        <v>6.5037750624999999</v>
      </c>
      <c r="AB61" s="130">
        <f t="shared" si="276"/>
        <v>6.5688128131249996</v>
      </c>
      <c r="AC61" s="130">
        <f t="shared" si="276"/>
        <v>6.6345009412562499</v>
      </c>
      <c r="AD61" s="130">
        <f t="shared" si="276"/>
        <v>6.7008459506688123</v>
      </c>
      <c r="AE61" s="130">
        <f t="shared" si="276"/>
        <v>6.7678544101755005</v>
      </c>
      <c r="AF61" s="130">
        <f t="shared" si="276"/>
        <v>6.8355329542772552</v>
      </c>
      <c r="AG61" s="130">
        <f t="shared" si="276"/>
        <v>6.9038882838200282</v>
      </c>
      <c r="AH61" s="115" t="e">
        <f t="shared" si="20"/>
        <v>#DIV/0!</v>
      </c>
      <c r="AI61" s="21">
        <f t="shared" si="18"/>
        <v>0.01</v>
      </c>
      <c r="AJ61" s="123">
        <f t="shared" si="1"/>
        <v>49.806622618987355</v>
      </c>
    </row>
    <row r="62" spans="1:36">
      <c r="B62" s="10"/>
      <c r="C62" s="119"/>
      <c r="D62" s="119"/>
      <c r="E62" s="120"/>
      <c r="F62" s="268"/>
      <c r="G62" s="268">
        <f t="shared" ref="G62" si="277">(G61-E61)/G61</f>
        <v>1</v>
      </c>
      <c r="H62" s="268" t="e">
        <f>(H61-F61)/H61</f>
        <v>#DIV/0!</v>
      </c>
      <c r="I62" s="268" t="e">
        <f t="shared" ref="I62:R62" si="278">(I61-H61)/I61</f>
        <v>#DIV/0!</v>
      </c>
      <c r="J62" s="268" t="e">
        <f t="shared" si="278"/>
        <v>#DIV/0!</v>
      </c>
      <c r="K62" s="268">
        <f t="shared" si="278"/>
        <v>1</v>
      </c>
      <c r="L62" s="268">
        <f t="shared" si="278"/>
        <v>0</v>
      </c>
      <c r="M62" s="268">
        <f t="shared" si="278"/>
        <v>0.16810344827586204</v>
      </c>
      <c r="N62" s="268">
        <f t="shared" si="278"/>
        <v>0</v>
      </c>
      <c r="O62" s="268">
        <f t="shared" si="278"/>
        <v>0</v>
      </c>
      <c r="P62" s="268">
        <f t="shared" si="278"/>
        <v>0.25281803542673115</v>
      </c>
      <c r="Q62" s="268">
        <f t="shared" si="278"/>
        <v>0</v>
      </c>
      <c r="R62" s="268">
        <f t="shared" si="278"/>
        <v>3.2102728731942952E-3</v>
      </c>
      <c r="S62" s="127">
        <f t="shared" ref="S62:U62" si="279">(S61-R61)/R61</f>
        <v>3.210272873194153E-3</v>
      </c>
      <c r="T62" s="127">
        <f t="shared" si="279"/>
        <v>0</v>
      </c>
      <c r="U62" s="127">
        <f t="shared" si="279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122">
        <f>K63</f>
        <v>0</v>
      </c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>
        <v>2</v>
      </c>
      <c r="U63" s="122">
        <v>2.2000000000000002</v>
      </c>
      <c r="V63" s="101" t="e">
        <f t="shared" si="2"/>
        <v>#DIV/0!</v>
      </c>
      <c r="W63" s="21">
        <v>0.02</v>
      </c>
      <c r="X63" s="130">
        <f t="shared" si="8"/>
        <v>2.2440000000000002</v>
      </c>
      <c r="Y63" s="130">
        <f t="shared" ref="Y63" si="280">X63*(1+$W63)</f>
        <v>2.2888800000000002</v>
      </c>
      <c r="Z63" s="130">
        <f t="shared" ref="Z63" si="281">Y63*(1+$W63)</f>
        <v>2.3346576000000003</v>
      </c>
      <c r="AA63" s="130">
        <f t="shared" ref="AA63" si="282">Z63*(1+$W63)</f>
        <v>2.3813507520000003</v>
      </c>
      <c r="AB63" s="130">
        <f t="shared" ref="AB63" si="283">AA63*(1+$W63)</f>
        <v>2.4289777670400006</v>
      </c>
      <c r="AC63" s="130">
        <f t="shared" ref="AC63" si="284">AB63*(1+$W63)</f>
        <v>2.4775573223808007</v>
      </c>
      <c r="AD63" s="130">
        <f t="shared" ref="AD63" si="285">AC63*(1+$W63)</f>
        <v>2.5271084688284167</v>
      </c>
      <c r="AE63" s="130">
        <f t="shared" ref="AE63" si="286">AD63*(1+$W63)</f>
        <v>2.5776506382049851</v>
      </c>
      <c r="AF63" s="130">
        <f t="shared" ref="AF63" si="287">AE63*(1+$W63)</f>
        <v>2.6292036509690848</v>
      </c>
      <c r="AG63" s="130">
        <f t="shared" ref="AG63" si="288">AF63*(1+$W63)</f>
        <v>2.6817877239884664</v>
      </c>
      <c r="AH63" s="115" t="e">
        <f t="shared" ref="AH63" si="289">((AG63/J63)^(1/($AG$3-$K$1) ))-1</f>
        <v>#DIV/0!</v>
      </c>
      <c r="AI63" s="21">
        <f t="shared" si="18"/>
        <v>0.01</v>
      </c>
      <c r="AJ63" s="123">
        <f t="shared" si="1"/>
        <v>19.347182865916796</v>
      </c>
    </row>
    <row r="64" spans="1:36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 t="e">
        <f t="shared" ref="I64" si="292">(I63-H63)/H63</f>
        <v>#DIV/0!</v>
      </c>
      <c r="J64" s="127" t="e">
        <f t="shared" ref="J64:U64" si="293">(J63-I63)/I63</f>
        <v>#DIV/0!</v>
      </c>
      <c r="K64" s="127" t="e">
        <f t="shared" si="293"/>
        <v>#DIV/0!</v>
      </c>
      <c r="L64" s="127" t="e">
        <f t="shared" si="293"/>
        <v>#DIV/0!</v>
      </c>
      <c r="M64" s="127" t="e">
        <f t="shared" si="293"/>
        <v>#DIV/0!</v>
      </c>
      <c r="N64" s="127" t="e">
        <f t="shared" si="293"/>
        <v>#DIV/0!</v>
      </c>
      <c r="O64" s="127" t="e">
        <f t="shared" si="293"/>
        <v>#DIV/0!</v>
      </c>
      <c r="P64" s="127" t="e">
        <f t="shared" si="293"/>
        <v>#DIV/0!</v>
      </c>
      <c r="Q64" s="127" t="e">
        <f t="shared" si="293"/>
        <v>#DIV/0!</v>
      </c>
      <c r="R64" s="127" t="e">
        <f t="shared" si="293"/>
        <v>#DIV/0!</v>
      </c>
      <c r="S64" s="127" t="e">
        <f t="shared" si="293"/>
        <v>#DIV/0!</v>
      </c>
      <c r="T64" s="127" t="e">
        <f t="shared" si="293"/>
        <v>#DIV/0!</v>
      </c>
      <c r="U64" s="127">
        <f t="shared" si="293"/>
        <v>0.10000000000000009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f>K65</f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f>K66</f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f>K67</f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4">G25/G61</f>
        <v>18.393782383419691</v>
      </c>
      <c r="H70" s="111" t="e">
        <f t="shared" ref="H70:I70" si="295">H25/H61</f>
        <v>#DIV/0!</v>
      </c>
      <c r="I70" s="111" t="e">
        <f t="shared" si="295"/>
        <v>#DIV/0!</v>
      </c>
      <c r="J70" s="111" t="e">
        <f t="shared" ref="J70:S70" si="296">J25/J61</f>
        <v>#DIV/0!</v>
      </c>
      <c r="K70" s="111">
        <f t="shared" si="296"/>
        <v>18.393782383419691</v>
      </c>
      <c r="L70" s="111">
        <f t="shared" si="296"/>
        <v>29.533678756476686</v>
      </c>
      <c r="M70" s="111">
        <f t="shared" si="296"/>
        <v>35.344827586206897</v>
      </c>
      <c r="N70" s="111">
        <f t="shared" si="296"/>
        <v>48.491379310344833</v>
      </c>
      <c r="O70" s="111">
        <f t="shared" si="296"/>
        <v>68.534482758620697</v>
      </c>
      <c r="P70" s="111">
        <f t="shared" si="296"/>
        <v>65.37842190016103</v>
      </c>
      <c r="Q70" s="111">
        <f t="shared" si="296"/>
        <v>86.151368760064415</v>
      </c>
      <c r="R70" s="111">
        <f t="shared" si="296"/>
        <v>111.07544141252005</v>
      </c>
      <c r="S70" s="111">
        <f t="shared" si="296"/>
        <v>140.96</v>
      </c>
      <c r="T70" s="111">
        <f t="shared" ref="T70:U70" si="297">T25/T61</f>
        <v>167.2</v>
      </c>
      <c r="U70" s="111">
        <f t="shared" si="297"/>
        <v>177.12</v>
      </c>
      <c r="V70" s="101">
        <f t="shared" si="2"/>
        <v>0.25417937913084376</v>
      </c>
      <c r="W70" s="109"/>
      <c r="X70" s="134">
        <f t="shared" ref="X70:AG70" si="298">X25/X61</f>
        <v>201.67128712871286</v>
      </c>
      <c r="Y70" s="134">
        <f t="shared" si="298"/>
        <v>229.62572296833642</v>
      </c>
      <c r="Z70" s="134">
        <f t="shared" si="298"/>
        <v>261.45503110256124</v>
      </c>
      <c r="AA70" s="134">
        <f t="shared" si="298"/>
        <v>297.69632254252025</v>
      </c>
      <c r="AB70" s="134">
        <f t="shared" si="298"/>
        <v>338.96115933059235</v>
      </c>
      <c r="AC70" s="134">
        <f t="shared" si="298"/>
        <v>385.94587448532786</v>
      </c>
      <c r="AD70" s="134">
        <f t="shared" si="298"/>
        <v>439.44332243378909</v>
      </c>
      <c r="AE70" s="134">
        <f t="shared" si="298"/>
        <v>500.35625821669055</v>
      </c>
      <c r="AF70" s="134">
        <f t="shared" si="298"/>
        <v>569.71257123682585</v>
      </c>
      <c r="AG70" s="134">
        <f t="shared" si="298"/>
        <v>648.68263061618768</v>
      </c>
      <c r="AH70" s="115" t="e">
        <f t="shared" ref="AH70" si="299">((AG70/J70)^(1/($AG$3-$K$1) ))-1</f>
        <v>#DIV/0!</v>
      </c>
      <c r="AI70" s="21">
        <f t="shared" si="18"/>
        <v>0.01</v>
      </c>
      <c r="AJ70" s="123">
        <f t="shared" ref="AJ70:AJ71" si="300">(AG70*(1+AI70))/($C$1-AI70)</f>
        <v>4679.7818351596407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301">G27/G61</f>
        <v>1.8134715025906736</v>
      </c>
      <c r="H71" s="111" t="e">
        <f t="shared" ref="H71:I71" si="302">H27/H61</f>
        <v>#DIV/0!</v>
      </c>
      <c r="I71" s="111" t="e">
        <f t="shared" si="302"/>
        <v>#DIV/0!</v>
      </c>
      <c r="J71" s="111" t="e">
        <f t="shared" ref="J71:S71" si="303">J27/J61</f>
        <v>#DIV/0!</v>
      </c>
      <c r="K71" s="111">
        <f t="shared" si="303"/>
        <v>1.8134715025906736</v>
      </c>
      <c r="L71" s="111">
        <f t="shared" si="303"/>
        <v>2.3316062176165806</v>
      </c>
      <c r="M71" s="111">
        <f t="shared" si="303"/>
        <v>2.5862068965517242</v>
      </c>
      <c r="N71" s="111">
        <f t="shared" si="303"/>
        <v>3.4482758620689657</v>
      </c>
      <c r="O71" s="111">
        <f t="shared" si="303"/>
        <v>7.112068965517242</v>
      </c>
      <c r="P71" s="111">
        <f t="shared" si="303"/>
        <v>5.1529790660225441</v>
      </c>
      <c r="Q71" s="111">
        <f t="shared" si="303"/>
        <v>9.5008051529790656</v>
      </c>
      <c r="R71" s="111">
        <f t="shared" si="303"/>
        <v>11.556982343499197</v>
      </c>
      <c r="S71" s="111">
        <f t="shared" si="303"/>
        <v>15.84</v>
      </c>
      <c r="T71" s="111">
        <f t="shared" ref="T71:U71" si="304">T27/T61</f>
        <v>18.399999999999999</v>
      </c>
      <c r="U71" s="111">
        <f t="shared" si="304"/>
        <v>22.72</v>
      </c>
      <c r="V71" s="101">
        <f t="shared" si="2"/>
        <v>0.28762606435862659</v>
      </c>
      <c r="W71" s="109"/>
      <c r="X71" s="134">
        <f t="shared" ref="X71:AG71" si="305">X27/X61</f>
        <v>25.869306930693067</v>
      </c>
      <c r="Y71" s="134">
        <f t="shared" si="305"/>
        <v>29.455151455739625</v>
      </c>
      <c r="Z71" s="134">
        <f t="shared" si="305"/>
        <v>33.538043736733236</v>
      </c>
      <c r="AA71" s="134">
        <f t="shared" si="305"/>
        <v>38.186881482419025</v>
      </c>
      <c r="AB71" s="134">
        <f t="shared" si="305"/>
        <v>43.480112578991957</v>
      </c>
      <c r="AC71" s="134">
        <f t="shared" si="305"/>
        <v>49.507058877070044</v>
      </c>
      <c r="AD71" s="134">
        <f t="shared" si="305"/>
        <v>56.369423473891636</v>
      </c>
      <c r="AE71" s="134">
        <f t="shared" si="305"/>
        <v>64.183006925718189</v>
      </c>
      <c r="AF71" s="134">
        <f t="shared" si="305"/>
        <v>73.079661351065269</v>
      </c>
      <c r="AG71" s="134">
        <f t="shared" si="305"/>
        <v>83.209515399727778</v>
      </c>
      <c r="AH71" s="115" t="e">
        <f t="shared" ref="AH71" si="306">((AG71/J71)^(1/($AG$3-$K$1) ))-1</f>
        <v>#DIV/0!</v>
      </c>
      <c r="AI71" s="21">
        <f t="shared" si="18"/>
        <v>0.01</v>
      </c>
      <c r="AJ71" s="123">
        <f t="shared" si="300"/>
        <v>600.29721824089324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07">G55-G59</f>
        <v>6</v>
      </c>
      <c r="H72" s="111">
        <f t="shared" ref="H72:I72" si="308">H55-H59</f>
        <v>0</v>
      </c>
      <c r="I72" s="111">
        <f t="shared" si="308"/>
        <v>0</v>
      </c>
      <c r="J72" s="111">
        <f>J55-J59</f>
        <v>0</v>
      </c>
      <c r="K72" s="111">
        <f t="shared" ref="K72:S72" si="309">K55-K59</f>
        <v>6</v>
      </c>
      <c r="L72" s="111">
        <f t="shared" si="309"/>
        <v>10</v>
      </c>
      <c r="M72" s="111">
        <f t="shared" si="309"/>
        <v>17</v>
      </c>
      <c r="N72" s="111">
        <f t="shared" si="309"/>
        <v>21</v>
      </c>
      <c r="O72" s="111">
        <f t="shared" si="309"/>
        <v>20</v>
      </c>
      <c r="P72" s="111">
        <f t="shared" si="309"/>
        <v>26</v>
      </c>
      <c r="Q72" s="111">
        <f t="shared" si="309"/>
        <v>39</v>
      </c>
      <c r="R72" s="111">
        <f t="shared" si="309"/>
        <v>63</v>
      </c>
      <c r="S72" s="111">
        <f t="shared" si="309"/>
        <v>80</v>
      </c>
      <c r="T72" s="111">
        <f t="shared" ref="T72:U72" si="310">T55-T59</f>
        <v>98</v>
      </c>
      <c r="U72" s="111">
        <f t="shared" si="310"/>
        <v>108</v>
      </c>
      <c r="V72" s="101">
        <f t="shared" si="2"/>
        <v>0.33514136254031301</v>
      </c>
      <c r="W72" s="109"/>
      <c r="X72" s="111">
        <f t="shared" ref="X72:AG72" si="311">X55-X59</f>
        <v>124.19999999999999</v>
      </c>
      <c r="Y72" s="111">
        <f t="shared" si="311"/>
        <v>142.82999999999998</v>
      </c>
      <c r="Z72" s="111">
        <f t="shared" si="311"/>
        <v>164.25450000000001</v>
      </c>
      <c r="AA72" s="111">
        <f t="shared" si="311"/>
        <v>188.89267499999994</v>
      </c>
      <c r="AB72" s="111">
        <f t="shared" si="311"/>
        <v>217.22657624999988</v>
      </c>
      <c r="AC72" s="111">
        <f t="shared" si="311"/>
        <v>249.8105626874999</v>
      </c>
      <c r="AD72" s="111">
        <f t="shared" si="311"/>
        <v>287.2821470906249</v>
      </c>
      <c r="AE72" s="111">
        <f t="shared" si="311"/>
        <v>330.37446915421867</v>
      </c>
      <c r="AF72" s="111">
        <f t="shared" si="311"/>
        <v>379.93063952735145</v>
      </c>
      <c r="AG72" s="111">
        <f t="shared" si="311"/>
        <v>436.92023545645407</v>
      </c>
      <c r="AH72" s="115" t="e">
        <f t="shared" ref="AH72" si="312">((AG72/J72)^(1/($AG$3-$K$1) ))-1</f>
        <v>#DIV/0!</v>
      </c>
      <c r="AI72" s="21">
        <f t="shared" si="18"/>
        <v>0.01</v>
      </c>
      <c r="AJ72" s="123">
        <f t="shared" ref="AJ72" si="313">(AG72*(1+AI72))/($C$1-AI72)</f>
        <v>3152.0674129358476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4">G53/G61</f>
        <v>15.803108808290157</v>
      </c>
      <c r="H74" s="15" t="e">
        <f t="shared" ref="H74:I74" si="315">H53/H61</f>
        <v>#DIV/0!</v>
      </c>
      <c r="I74" s="15" t="e">
        <f t="shared" si="315"/>
        <v>#DIV/0!</v>
      </c>
      <c r="J74" s="15" t="e">
        <f t="shared" ref="J74:S74" si="316">J53/J61</f>
        <v>#DIV/0!</v>
      </c>
      <c r="K74" s="15">
        <f t="shared" si="316"/>
        <v>15.803108808290157</v>
      </c>
      <c r="L74" s="15">
        <f t="shared" si="316"/>
        <v>26.683937823834199</v>
      </c>
      <c r="M74" s="15">
        <f t="shared" si="316"/>
        <v>32.543103448275865</v>
      </c>
      <c r="N74" s="15">
        <f t="shared" si="316"/>
        <v>45.043103448275865</v>
      </c>
      <c r="O74" s="15">
        <f t="shared" si="316"/>
        <v>61.422413793103452</v>
      </c>
      <c r="P74" s="15">
        <f t="shared" si="316"/>
        <v>60.064412238325282</v>
      </c>
      <c r="Q74" s="15">
        <f t="shared" si="316"/>
        <v>24.476650563607084</v>
      </c>
      <c r="R74" s="15">
        <f t="shared" si="316"/>
        <v>99.357945425361152</v>
      </c>
      <c r="S74" s="15">
        <f t="shared" si="316"/>
        <v>124.96</v>
      </c>
      <c r="T74" s="15">
        <f>T53/T61</f>
        <v>148.47999999999999</v>
      </c>
      <c r="U74" s="15">
        <f>U53/U61</f>
        <v>154.08000000000001</v>
      </c>
      <c r="V74" s="101">
        <f t="shared" si="2"/>
        <v>0.25574186664322585</v>
      </c>
      <c r="W74" s="109"/>
      <c r="X74" s="96">
        <f>X53/X61</f>
        <v>175.43762376237621</v>
      </c>
      <c r="Y74" s="96">
        <f t="shared" ref="Y74:AG74" si="317">Y53/Y61</f>
        <v>199.75571022448773</v>
      </c>
      <c r="Z74" s="96">
        <f t="shared" si="317"/>
        <v>227.44462055263455</v>
      </c>
      <c r="AA74" s="96">
        <f t="shared" si="317"/>
        <v>258.97159765894031</v>
      </c>
      <c r="AB74" s="96">
        <f t="shared" si="317"/>
        <v>294.8686507997835</v>
      </c>
      <c r="AC74" s="96">
        <f t="shared" si="317"/>
        <v>335.74153308886241</v>
      </c>
      <c r="AD74" s="96">
        <f t="shared" si="317"/>
        <v>382.27996341801156</v>
      </c>
      <c r="AE74" s="96">
        <f t="shared" si="317"/>
        <v>435.26926527793398</v>
      </c>
      <c r="AF74" s="96">
        <f t="shared" si="317"/>
        <v>495.60361888081587</v>
      </c>
      <c r="AG74" s="96">
        <f t="shared" si="317"/>
        <v>564.30115021082986</v>
      </c>
      <c r="AH74" s="115" t="e">
        <f t="shared" ref="AH74:AH75" si="318">((AG74/J74)^(1/($AG$3-$K$1) ))-1</f>
        <v>#DIV/0!</v>
      </c>
      <c r="AI74" s="21">
        <f t="shared" si="18"/>
        <v>0.01</v>
      </c>
      <c r="AJ74" s="123">
        <f t="shared" ref="AJ74:AJ75" si="319">(AG74*(1+AI74))/($C$1-AI74)</f>
        <v>4071.029726520987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20">G55/G61</f>
        <v>5.4404145077720205</v>
      </c>
      <c r="H75" s="15" t="e">
        <f t="shared" ref="H75:I75" si="321">H55/H61</f>
        <v>#DIV/0!</v>
      </c>
      <c r="I75" s="15" t="e">
        <f t="shared" si="321"/>
        <v>#DIV/0!</v>
      </c>
      <c r="J75" s="15" t="e">
        <f t="shared" ref="J75:S75" si="322">J55/J61</f>
        <v>#DIV/0!</v>
      </c>
      <c r="K75" s="15">
        <f t="shared" si="322"/>
        <v>5.4404145077720205</v>
      </c>
      <c r="L75" s="15">
        <f t="shared" si="322"/>
        <v>9.0673575129533681</v>
      </c>
      <c r="M75" s="15">
        <f t="shared" si="322"/>
        <v>12.931034482758621</v>
      </c>
      <c r="N75" s="15">
        <f t="shared" si="322"/>
        <v>17.02586206896552</v>
      </c>
      <c r="O75" s="15">
        <f t="shared" si="322"/>
        <v>17.456896551724139</v>
      </c>
      <c r="P75" s="15">
        <f t="shared" si="322"/>
        <v>17.069243156199679</v>
      </c>
      <c r="Q75" s="15">
        <f t="shared" si="322"/>
        <v>23.993558776167472</v>
      </c>
      <c r="R75" s="15">
        <f t="shared" si="322"/>
        <v>29.855537720706259</v>
      </c>
      <c r="S75" s="15">
        <f t="shared" si="322"/>
        <v>36.799999999999997</v>
      </c>
      <c r="T75" s="15">
        <f>T55/T61</f>
        <v>44.8</v>
      </c>
      <c r="U75" s="15">
        <f>U55/U61</f>
        <v>50.24</v>
      </c>
      <c r="V75" s="101">
        <f t="shared" ref="V75:V138" si="323">((U75/G75)^(1/($K$2-$K$1) ))-1</f>
        <v>0.24894054357941231</v>
      </c>
      <c r="W75" s="109"/>
      <c r="X75" s="96">
        <f>X55/X61</f>
        <v>57.203960396039598</v>
      </c>
      <c r="Y75" s="96">
        <f t="shared" ref="Y75:AG75" si="324">Y55/Y61</f>
        <v>65.133222233114381</v>
      </c>
      <c r="Z75" s="96">
        <f t="shared" si="324"/>
        <v>74.161589671367864</v>
      </c>
      <c r="AA75" s="96">
        <f t="shared" si="324"/>
        <v>84.441413982250523</v>
      </c>
      <c r="AB75" s="96">
        <f t="shared" si="324"/>
        <v>96.146164435235747</v>
      </c>
      <c r="AC75" s="96">
        <f t="shared" si="324"/>
        <v>109.47335554507039</v>
      </c>
      <c r="AD75" s="96">
        <f t="shared" si="324"/>
        <v>124.64788007607024</v>
      </c>
      <c r="AE75" s="96">
        <f t="shared" si="324"/>
        <v>141.92580404701067</v>
      </c>
      <c r="AF75" s="96">
        <f t="shared" si="324"/>
        <v>161.59868777629927</v>
      </c>
      <c r="AG75" s="96">
        <f t="shared" si="324"/>
        <v>183.99850588390507</v>
      </c>
      <c r="AH75" s="115" t="e">
        <f t="shared" si="318"/>
        <v>#DIV/0!</v>
      </c>
      <c r="AI75" s="21">
        <f t="shared" si="18"/>
        <v>0.01</v>
      </c>
      <c r="AJ75" s="123">
        <f t="shared" si="319"/>
        <v>1327.4177924481726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25">G59/G61</f>
        <v>3.8860103626943006</v>
      </c>
      <c r="H76" s="111" t="e">
        <f t="shared" ref="H76:I76" si="326">H59/H61</f>
        <v>#DIV/0!</v>
      </c>
      <c r="I76" s="111" t="e">
        <f t="shared" si="326"/>
        <v>#DIV/0!</v>
      </c>
      <c r="J76" s="111" t="e">
        <f t="shared" ref="J76:S76" si="327">J59/J61</f>
        <v>#DIV/0!</v>
      </c>
      <c r="K76" s="111">
        <f t="shared" si="327"/>
        <v>3.8860103626943006</v>
      </c>
      <c r="L76" s="111">
        <f t="shared" si="327"/>
        <v>6.4766839378238341</v>
      </c>
      <c r="M76" s="111">
        <f t="shared" si="327"/>
        <v>9.2672413793103452</v>
      </c>
      <c r="N76" s="111">
        <f t="shared" si="327"/>
        <v>12.5</v>
      </c>
      <c r="O76" s="111">
        <f t="shared" si="327"/>
        <v>13.146551724137932</v>
      </c>
      <c r="P76" s="111">
        <f t="shared" si="327"/>
        <v>12.882447665056361</v>
      </c>
      <c r="Q76" s="111">
        <f t="shared" si="327"/>
        <v>17.713365539452496</v>
      </c>
      <c r="R76" s="111">
        <f t="shared" si="327"/>
        <v>19.743178170144461</v>
      </c>
      <c r="S76" s="111">
        <f t="shared" si="327"/>
        <v>24</v>
      </c>
      <c r="T76" s="111">
        <f t="shared" ref="T76:U76" si="328">T59/T61</f>
        <v>29.12</v>
      </c>
      <c r="U76" s="111">
        <f t="shared" si="328"/>
        <v>32.96</v>
      </c>
      <c r="V76" s="101">
        <f t="shared" si="323"/>
        <v>0.2383640186723377</v>
      </c>
      <c r="W76" s="109"/>
      <c r="X76" s="134">
        <f t="shared" ref="X76:AG76" si="329">X59/X61</f>
        <v>37.528712871287127</v>
      </c>
      <c r="Y76" s="134">
        <f t="shared" si="329"/>
        <v>42.730712675227906</v>
      </c>
      <c r="Z76" s="134">
        <f t="shared" si="329"/>
        <v>48.653781758922861</v>
      </c>
      <c r="AA76" s="134">
        <f t="shared" si="329"/>
        <v>55.397870319565634</v>
      </c>
      <c r="AB76" s="134">
        <f t="shared" si="329"/>
        <v>63.076783037129182</v>
      </c>
      <c r="AC76" s="134">
        <f t="shared" si="329"/>
        <v>71.820099497721344</v>
      </c>
      <c r="AD76" s="134">
        <f t="shared" si="329"/>
        <v>81.77536081423716</v>
      </c>
      <c r="AE76" s="134">
        <f t="shared" si="329"/>
        <v>93.11055934294329</v>
      </c>
      <c r="AF76" s="134">
        <f t="shared" si="329"/>
        <v>106.01697350929186</v>
      </c>
      <c r="AG76" s="134">
        <f t="shared" si="329"/>
        <v>120.71239557988676</v>
      </c>
      <c r="AH76" s="115" t="e">
        <f t="shared" ref="AH76:AH90" si="330">((AG76/J76)^(1/($AG$3-$K$1) ))-1</f>
        <v>#DIV/0!</v>
      </c>
      <c r="AI76" s="21">
        <f t="shared" si="18"/>
        <v>0.01</v>
      </c>
      <c r="AJ76" s="123">
        <f t="shared" ref="AJ76:AJ104" si="331">(AG76*(1+AI76))/($C$1-AI76)</f>
        <v>870.85371096918311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 t="e">
        <f t="shared" ref="H77:I77" si="333">H20/H61</f>
        <v>#DIV/0!</v>
      </c>
      <c r="I77" s="111" t="e">
        <f t="shared" si="333"/>
        <v>#DIV/0!</v>
      </c>
      <c r="J77" s="111" t="e">
        <f>J20/J61</f>
        <v>#DIV/0!</v>
      </c>
      <c r="K77" s="111">
        <f t="shared" ref="K77:S77" si="334">K20/K61</f>
        <v>0</v>
      </c>
      <c r="L77" s="111">
        <f t="shared" si="334"/>
        <v>0</v>
      </c>
      <c r="M77" s="111">
        <f t="shared" si="334"/>
        <v>0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0.01</v>
      </c>
      <c r="AJ77" s="123">
        <f t="shared" si="331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38">G7/G61</f>
        <v>34.196891191709845</v>
      </c>
      <c r="H78" s="111" t="e">
        <f t="shared" ref="H78:I78" si="339">H7/H61</f>
        <v>#DIV/0!</v>
      </c>
      <c r="I78" s="111" t="e">
        <f t="shared" si="339"/>
        <v>#DIV/0!</v>
      </c>
      <c r="J78" s="111" t="e">
        <f t="shared" ref="J78:S78" si="340">J7/J61</f>
        <v>#DIV/0!</v>
      </c>
      <c r="K78" s="111">
        <f t="shared" si="340"/>
        <v>34.196891191709845</v>
      </c>
      <c r="L78" s="111">
        <f t="shared" si="340"/>
        <v>39.119170984455963</v>
      </c>
      <c r="M78" s="111">
        <f t="shared" si="340"/>
        <v>40.948275862068968</v>
      </c>
      <c r="N78" s="111">
        <f t="shared" si="340"/>
        <v>53.232758620689658</v>
      </c>
      <c r="O78" s="111">
        <f t="shared" si="340"/>
        <v>65.301724137931032</v>
      </c>
      <c r="P78" s="111">
        <f t="shared" si="340"/>
        <v>102.09339774557166</v>
      </c>
      <c r="Q78" s="111">
        <f t="shared" si="340"/>
        <v>119.32367149758454</v>
      </c>
      <c r="R78" s="111">
        <f t="shared" si="340"/>
        <v>131.13964686998395</v>
      </c>
      <c r="S78" s="111">
        <f t="shared" si="340"/>
        <v>154.08000000000001</v>
      </c>
      <c r="T78" s="111">
        <f t="shared" ref="T78:U78" si="341">T7/T61</f>
        <v>183.84</v>
      </c>
      <c r="U78" s="111">
        <f t="shared" si="341"/>
        <v>215.52</v>
      </c>
      <c r="V78" s="101">
        <f t="shared" si="323"/>
        <v>0.20212629024714501</v>
      </c>
      <c r="W78" s="109"/>
      <c r="X78" s="134">
        <f t="shared" ref="X78:AG78" si="342">X7/X61</f>
        <v>245.3940594059406</v>
      </c>
      <c r="Y78" s="134">
        <f t="shared" si="342"/>
        <v>279.40907754141745</v>
      </c>
      <c r="Z78" s="134">
        <f t="shared" si="342"/>
        <v>318.13904868577231</v>
      </c>
      <c r="AA78" s="134">
        <f t="shared" si="342"/>
        <v>362.23753068181998</v>
      </c>
      <c r="AB78" s="134">
        <f t="shared" si="342"/>
        <v>412.44867354860691</v>
      </c>
      <c r="AC78" s="134">
        <f t="shared" si="342"/>
        <v>469.61977681277017</v>
      </c>
      <c r="AD78" s="134">
        <f t="shared" si="342"/>
        <v>534.71558746008486</v>
      </c>
      <c r="AE78" s="134">
        <f t="shared" si="342"/>
        <v>608.83457978128467</v>
      </c>
      <c r="AF78" s="134">
        <f t="shared" si="342"/>
        <v>693.22749183017561</v>
      </c>
      <c r="AG78" s="134">
        <f t="shared" si="342"/>
        <v>789.31843129178401</v>
      </c>
      <c r="AH78" s="115" t="e">
        <f t="shared" si="330"/>
        <v>#DIV/0!</v>
      </c>
      <c r="AI78" s="21">
        <f t="shared" si="18"/>
        <v>0.01</v>
      </c>
      <c r="AJ78" s="123">
        <f t="shared" si="331"/>
        <v>5694.3686828907275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3">G6/G61</f>
        <v>13.989637305699482</v>
      </c>
      <c r="H79" s="121" t="e">
        <f t="shared" ref="H79:I79" si="344">H6/H61</f>
        <v>#DIV/0!</v>
      </c>
      <c r="I79" s="121" t="e">
        <f t="shared" si="344"/>
        <v>#DIV/0!</v>
      </c>
      <c r="J79" s="121" t="e">
        <f t="shared" ref="J79:S79" si="345">J6/J61</f>
        <v>#DIV/0!</v>
      </c>
      <c r="K79" s="121">
        <f t="shared" si="345"/>
        <v>13.989637305699482</v>
      </c>
      <c r="L79" s="121">
        <f t="shared" si="345"/>
        <v>18.911917098445596</v>
      </c>
      <c r="M79" s="121">
        <f t="shared" si="345"/>
        <v>30.818965517241381</v>
      </c>
      <c r="N79" s="121">
        <f t="shared" si="345"/>
        <v>43.318965517241381</v>
      </c>
      <c r="O79" s="121">
        <f t="shared" si="345"/>
        <v>55.172413793103452</v>
      </c>
      <c r="P79" s="121">
        <f t="shared" si="345"/>
        <v>92.109500805152976</v>
      </c>
      <c r="Q79" s="121">
        <f t="shared" si="345"/>
        <v>109.17874396135265</v>
      </c>
      <c r="R79" s="121">
        <f t="shared" si="345"/>
        <v>121.02728731942214</v>
      </c>
      <c r="S79" s="121">
        <f t="shared" si="345"/>
        <v>144</v>
      </c>
      <c r="T79" s="121">
        <f t="shared" ref="T79:U79" si="346">T6/T61</f>
        <v>173.76</v>
      </c>
      <c r="U79" s="121">
        <f t="shared" si="346"/>
        <v>205.44</v>
      </c>
      <c r="V79" s="101">
        <f t="shared" si="323"/>
        <v>0.30824129947466306</v>
      </c>
      <c r="W79" s="109"/>
      <c r="X79" s="133">
        <f t="shared" ref="X79:AG79" si="347">X6/X61</f>
        <v>233.91683168316831</v>
      </c>
      <c r="Y79" s="133">
        <f t="shared" si="347"/>
        <v>266.34094696598368</v>
      </c>
      <c r="Z79" s="133">
        <f t="shared" si="347"/>
        <v>303.25949407017941</v>
      </c>
      <c r="AA79" s="133">
        <f t="shared" si="347"/>
        <v>345.29546354525371</v>
      </c>
      <c r="AB79" s="133">
        <f t="shared" si="347"/>
        <v>393.15820106637796</v>
      </c>
      <c r="AC79" s="133">
        <f t="shared" si="347"/>
        <v>447.65537745181643</v>
      </c>
      <c r="AD79" s="133">
        <f t="shared" si="347"/>
        <v>509.70661789068208</v>
      </c>
      <c r="AE79" s="133">
        <f t="shared" si="347"/>
        <v>580.35902037057849</v>
      </c>
      <c r="AF79" s="133">
        <f t="shared" si="347"/>
        <v>660.80482517442113</v>
      </c>
      <c r="AG79" s="133">
        <f t="shared" si="347"/>
        <v>752.40153361443981</v>
      </c>
      <c r="AH79" s="115" t="e">
        <f t="shared" si="330"/>
        <v>#DIV/0!</v>
      </c>
      <c r="AI79" s="21">
        <f t="shared" si="18"/>
        <v>0.01</v>
      </c>
      <c r="AJ79" s="123">
        <f t="shared" si="331"/>
        <v>5428.0396353613169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48">G10/G61</f>
        <v>125.12953367875649</v>
      </c>
      <c r="H80" s="121" t="e">
        <f t="shared" ref="H80:I80" si="349">H10/H61</f>
        <v>#DIV/0!</v>
      </c>
      <c r="I80" s="121" t="e">
        <f t="shared" si="349"/>
        <v>#DIV/0!</v>
      </c>
      <c r="J80" s="121" t="e">
        <f t="shared" ref="J80:S80" si="350">J10/J61</f>
        <v>#DIV/0!</v>
      </c>
      <c r="K80" s="121">
        <f t="shared" si="350"/>
        <v>125.12953367875649</v>
      </c>
      <c r="L80" s="121">
        <f t="shared" si="350"/>
        <v>179.79274611398964</v>
      </c>
      <c r="M80" s="121">
        <f t="shared" si="350"/>
        <v>230.38793103448276</v>
      </c>
      <c r="N80" s="121">
        <f t="shared" si="350"/>
        <v>333.83620689655174</v>
      </c>
      <c r="O80" s="121">
        <f t="shared" si="350"/>
        <v>433.18965517241384</v>
      </c>
      <c r="P80" s="121">
        <f t="shared" si="350"/>
        <v>414.00966183574877</v>
      </c>
      <c r="Q80" s="121">
        <f t="shared" si="350"/>
        <v>532.68921095008056</v>
      </c>
      <c r="R80" s="121">
        <f t="shared" si="350"/>
        <v>700.48154093097912</v>
      </c>
      <c r="S80" s="121">
        <f t="shared" si="350"/>
        <v>883.52</v>
      </c>
      <c r="T80" s="121">
        <f t="shared" ref="T80:U80" si="351">T10/T61</f>
        <v>1032.48</v>
      </c>
      <c r="U80" s="121">
        <f t="shared" si="351"/>
        <v>1058.56</v>
      </c>
      <c r="V80" s="101">
        <f t="shared" si="323"/>
        <v>0.2380425334778673</v>
      </c>
      <c r="W80" s="109"/>
      <c r="X80" s="133">
        <f t="shared" ref="X80:AG80" si="352">X10/X61</f>
        <v>1205.2910891089109</v>
      </c>
      <c r="Y80" s="133">
        <f t="shared" si="352"/>
        <v>1372.361141064601</v>
      </c>
      <c r="Z80" s="133">
        <f t="shared" si="352"/>
        <v>1562.5894180438527</v>
      </c>
      <c r="AA80" s="133">
        <f t="shared" si="352"/>
        <v>1779.1859710400302</v>
      </c>
      <c r="AB80" s="133">
        <f t="shared" si="352"/>
        <v>2025.8058086099354</v>
      </c>
      <c r="AC80" s="133">
        <f t="shared" si="352"/>
        <v>2306.6105741598271</v>
      </c>
      <c r="AD80" s="133">
        <f t="shared" si="352"/>
        <v>2626.3387725582188</v>
      </c>
      <c r="AE80" s="133">
        <f t="shared" si="352"/>
        <v>2990.3857311306451</v>
      </c>
      <c r="AF80" s="133">
        <f t="shared" si="352"/>
        <v>3404.8946443566751</v>
      </c>
      <c r="AG80" s="133">
        <f t="shared" si="352"/>
        <v>3876.8602386239363</v>
      </c>
      <c r="AH80" s="115" t="e">
        <f t="shared" si="330"/>
        <v>#DIV/0!</v>
      </c>
      <c r="AI80" s="21">
        <f t="shared" si="18"/>
        <v>0.01</v>
      </c>
      <c r="AJ80" s="123">
        <f t="shared" si="331"/>
        <v>27968.777435786971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3">(G7-G10)/G61</f>
        <v>-90.932642487046635</v>
      </c>
      <c r="H82" s="121" t="e">
        <f t="shared" ref="H82:I82" si="354">(H7-H10)/H61</f>
        <v>#DIV/0!</v>
      </c>
      <c r="I82" s="121" t="e">
        <f t="shared" si="354"/>
        <v>#DIV/0!</v>
      </c>
      <c r="J82" s="121" t="e">
        <f t="shared" ref="J82:S82" si="355">(J7-J10)/J61</f>
        <v>#DIV/0!</v>
      </c>
      <c r="K82" s="121">
        <f t="shared" si="355"/>
        <v>-90.932642487046635</v>
      </c>
      <c r="L82" s="121">
        <f t="shared" si="355"/>
        <v>-140.67357512953367</v>
      </c>
      <c r="M82" s="121">
        <f t="shared" si="355"/>
        <v>-189.43965517241381</v>
      </c>
      <c r="N82" s="121">
        <f t="shared" si="355"/>
        <v>-280.60344827586209</v>
      </c>
      <c r="O82" s="121">
        <f t="shared" si="355"/>
        <v>-367.88793103448279</v>
      </c>
      <c r="P82" s="121">
        <f t="shared" si="355"/>
        <v>-311.91626409017715</v>
      </c>
      <c r="Q82" s="121">
        <f t="shared" si="355"/>
        <v>-413.36553945249597</v>
      </c>
      <c r="R82" s="121">
        <f t="shared" si="355"/>
        <v>-569.34189406099517</v>
      </c>
      <c r="S82" s="121">
        <f t="shared" si="355"/>
        <v>-729.44</v>
      </c>
      <c r="T82" s="121">
        <f t="shared" ref="T82:U82" si="356">(T7-T10)/T61</f>
        <v>-848.64</v>
      </c>
      <c r="U82" s="121">
        <f t="shared" si="356"/>
        <v>-843.04</v>
      </c>
      <c r="V82" s="101">
        <f t="shared" si="323"/>
        <v>0.24943261047754794</v>
      </c>
      <c r="W82" s="109"/>
      <c r="X82" s="133">
        <f t="shared" ref="X82:AG82" si="357">(X7-X10)/X61</f>
        <v>-959.89702970297026</v>
      </c>
      <c r="Y82" s="133">
        <f t="shared" si="357"/>
        <v>-1092.9520635231838</v>
      </c>
      <c r="Z82" s="133">
        <f t="shared" si="357"/>
        <v>-1244.4503693580803</v>
      </c>
      <c r="AA82" s="133">
        <f t="shared" si="357"/>
        <v>-1416.9484403582103</v>
      </c>
      <c r="AB82" s="133">
        <f t="shared" si="357"/>
        <v>-1613.3571350613286</v>
      </c>
      <c r="AC82" s="133">
        <f t="shared" si="357"/>
        <v>-1836.990797347057</v>
      </c>
      <c r="AD82" s="133">
        <f t="shared" si="357"/>
        <v>-2091.6231850981344</v>
      </c>
      <c r="AE82" s="133">
        <f t="shared" si="357"/>
        <v>-2381.5511513493602</v>
      </c>
      <c r="AF82" s="133">
        <f t="shared" si="357"/>
        <v>-2711.6671525264992</v>
      </c>
      <c r="AG82" s="133">
        <f t="shared" si="357"/>
        <v>-3087.5418073321525</v>
      </c>
      <c r="AH82" s="115" t="e">
        <f t="shared" si="330"/>
        <v>#DIV/0!</v>
      </c>
      <c r="AI82" s="21">
        <f t="shared" si="18"/>
        <v>0.01</v>
      </c>
      <c r="AJ82" s="123">
        <f t="shared" si="331"/>
        <v>-22274.408752896248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58">(G7-G10-G9)/G61</f>
        <v>-117.09844559585493</v>
      </c>
      <c r="H83" s="121" t="e">
        <f t="shared" ref="H83:I83" si="359">(H7-H10-H9)/H61</f>
        <v>#DIV/0!</v>
      </c>
      <c r="I83" s="121" t="e">
        <f t="shared" si="359"/>
        <v>#DIV/0!</v>
      </c>
      <c r="J83" s="121" t="e">
        <f t="shared" ref="J83:S83" si="360">(J7-J10-J9)/J61</f>
        <v>#DIV/0!</v>
      </c>
      <c r="K83" s="121">
        <f t="shared" si="360"/>
        <v>-117.09844559585493</v>
      </c>
      <c r="L83" s="121">
        <f t="shared" si="360"/>
        <v>-184.97409326424872</v>
      </c>
      <c r="M83" s="121">
        <f t="shared" si="360"/>
        <v>-233.18965517241381</v>
      </c>
      <c r="N83" s="121">
        <f t="shared" si="360"/>
        <v>-342.02586206896552</v>
      </c>
      <c r="O83" s="121">
        <f t="shared" si="360"/>
        <v>-476.93965517241384</v>
      </c>
      <c r="P83" s="121">
        <f t="shared" si="360"/>
        <v>-399.03381642512079</v>
      </c>
      <c r="Q83" s="121">
        <f t="shared" si="360"/>
        <v>-513.68760064412243</v>
      </c>
      <c r="R83" s="121">
        <f t="shared" si="360"/>
        <v>-699.19743178170143</v>
      </c>
      <c r="S83" s="121">
        <f t="shared" si="360"/>
        <v>-915.68</v>
      </c>
      <c r="T83" s="121">
        <f t="shared" ref="T83:U83" si="361">(T7-T10-T9)/T61</f>
        <v>-1054.56</v>
      </c>
      <c r="U83" s="121">
        <f t="shared" si="361"/>
        <v>-1133.76</v>
      </c>
      <c r="V83" s="101">
        <f t="shared" si="323"/>
        <v>0.25486498174870054</v>
      </c>
      <c r="W83" s="109"/>
      <c r="X83" s="133">
        <f t="shared" ref="X83:AG83" si="362">(X7-X10-X9)/X61</f>
        <v>-1290.9148514851483</v>
      </c>
      <c r="Y83" s="133">
        <f t="shared" si="362"/>
        <v>-1469.8535437702183</v>
      </c>
      <c r="Z83" s="133">
        <f t="shared" si="362"/>
        <v>-1673.5956191443079</v>
      </c>
      <c r="AA83" s="133">
        <f t="shared" si="362"/>
        <v>-1905.5791703128255</v>
      </c>
      <c r="AB83" s="133">
        <f t="shared" si="362"/>
        <v>-2169.7188572868808</v>
      </c>
      <c r="AC83" s="133">
        <f t="shared" si="362"/>
        <v>-2470.4719662177354</v>
      </c>
      <c r="AD83" s="133">
        <f t="shared" si="362"/>
        <v>-2812.9136249013814</v>
      </c>
      <c r="AE83" s="133">
        <f t="shared" si="362"/>
        <v>-3202.8224441946422</v>
      </c>
      <c r="AF83" s="133">
        <f t="shared" si="362"/>
        <v>-3646.7780305186516</v>
      </c>
      <c r="AG83" s="133">
        <f t="shared" si="362"/>
        <v>-4152.2720149469787</v>
      </c>
      <c r="AH83" s="115" t="e">
        <f t="shared" si="330"/>
        <v>#DIV/0!</v>
      </c>
      <c r="AI83" s="21">
        <f t="shared" si="18"/>
        <v>0.01</v>
      </c>
      <c r="AJ83" s="123">
        <f t="shared" si="331"/>
        <v>-29955.676679260352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3">(G7+G15-G10-G9)/G61</f>
        <v>-100.25906735751296</v>
      </c>
      <c r="H84" s="121" t="e">
        <f t="shared" ref="H84:I84" si="364">(H7+H15-H10-H9)/H61</f>
        <v>#DIV/0!</v>
      </c>
      <c r="I84" s="121" t="e">
        <f t="shared" si="364"/>
        <v>#DIV/0!</v>
      </c>
      <c r="J84" s="121" t="e">
        <f t="shared" ref="J84:S84" si="365">(J7+J15-J10-J9)/J61</f>
        <v>#DIV/0!</v>
      </c>
      <c r="K84" s="121">
        <f t="shared" si="365"/>
        <v>-100.25906735751296</v>
      </c>
      <c r="L84" s="121">
        <f t="shared" si="365"/>
        <v>-176.16580310880829</v>
      </c>
      <c r="M84" s="121">
        <f t="shared" si="365"/>
        <v>-219.39655172413794</v>
      </c>
      <c r="N84" s="121">
        <f t="shared" si="365"/>
        <v>-340.30172413793105</v>
      </c>
      <c r="O84" s="121">
        <f t="shared" si="365"/>
        <v>-473.27586206896552</v>
      </c>
      <c r="P84" s="121">
        <f t="shared" si="365"/>
        <v>-365.21739130434781</v>
      </c>
      <c r="Q84" s="121">
        <f t="shared" si="365"/>
        <v>-510.14492753623188</v>
      </c>
      <c r="R84" s="121">
        <f t="shared" si="365"/>
        <v>-696.46869983948636</v>
      </c>
      <c r="S84" s="121">
        <f t="shared" si="365"/>
        <v>-912.48</v>
      </c>
      <c r="T84" s="121">
        <f t="shared" ref="T84:U84" si="366">(T7+T15-T10-T9)/T61</f>
        <v>-1051.04</v>
      </c>
      <c r="U84" s="121">
        <f t="shared" si="366"/>
        <v>-1129.5999999999999</v>
      </c>
      <c r="V84" s="101">
        <f t="shared" si="323"/>
        <v>0.2740313134812431</v>
      </c>
      <c r="W84" s="109"/>
      <c r="X84" s="133">
        <f t="shared" ref="X84:AG84" si="367">(X7+X15-X10-X9)/X61</f>
        <v>-1286.1782178217823</v>
      </c>
      <c r="Y84" s="133">
        <f t="shared" si="367"/>
        <v>-1464.4603470248012</v>
      </c>
      <c r="Z84" s="133">
        <f t="shared" si="367"/>
        <v>-1667.4548505727932</v>
      </c>
      <c r="AA84" s="133">
        <f t="shared" si="367"/>
        <v>-1898.5872060977349</v>
      </c>
      <c r="AB84" s="133">
        <f t="shared" si="367"/>
        <v>-2161.7577099132627</v>
      </c>
      <c r="AC84" s="133">
        <f t="shared" si="367"/>
        <v>-2461.4072934655956</v>
      </c>
      <c r="AD84" s="133">
        <f t="shared" si="367"/>
        <v>-2802.592462856866</v>
      </c>
      <c r="AE84" s="133">
        <f t="shared" si="367"/>
        <v>-3191.0706260251445</v>
      </c>
      <c r="AF84" s="133">
        <f t="shared" si="367"/>
        <v>-3633.3972474543721</v>
      </c>
      <c r="AG84" s="133">
        <f t="shared" si="367"/>
        <v>-4137.0364698737894</v>
      </c>
      <c r="AH84" s="115" t="e">
        <f t="shared" si="330"/>
        <v>#DIV/0!</v>
      </c>
      <c r="AI84" s="21">
        <f t="shared" si="18"/>
        <v>0.01</v>
      </c>
      <c r="AJ84" s="123">
        <f t="shared" si="331"/>
        <v>-29845.763104089485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68">G12/G61</f>
        <v>16.839378238341968</v>
      </c>
      <c r="H86" s="121" t="e">
        <f t="shared" ref="H86:I86" si="369">H12/H61</f>
        <v>#DIV/0!</v>
      </c>
      <c r="I86" s="121" t="e">
        <f t="shared" si="369"/>
        <v>#DIV/0!</v>
      </c>
      <c r="J86" s="121" t="e">
        <f t="shared" ref="J86:S86" si="370">J12/J61</f>
        <v>#DIV/0!</v>
      </c>
      <c r="K86" s="121">
        <f t="shared" si="370"/>
        <v>16.839378238341968</v>
      </c>
      <c r="L86" s="121">
        <f t="shared" si="370"/>
        <v>8.8082901554404156</v>
      </c>
      <c r="M86" s="121">
        <f t="shared" si="370"/>
        <v>13.793103448275863</v>
      </c>
      <c r="N86" s="121">
        <f t="shared" si="370"/>
        <v>1.7241379310344829</v>
      </c>
      <c r="O86" s="121">
        <f t="shared" si="370"/>
        <v>3.6637931034482762</v>
      </c>
      <c r="P86" s="121">
        <f t="shared" si="370"/>
        <v>33.816425120772948</v>
      </c>
      <c r="Q86" s="121">
        <f t="shared" si="370"/>
        <v>3.5426731078904994</v>
      </c>
      <c r="R86" s="121">
        <f t="shared" si="370"/>
        <v>2.728731942215088</v>
      </c>
      <c r="S86" s="121">
        <f t="shared" si="370"/>
        <v>3.2</v>
      </c>
      <c r="T86" s="121">
        <f t="shared" ref="T86:U86" si="371">T12/T61</f>
        <v>3.52</v>
      </c>
      <c r="U86" s="121">
        <f t="shared" si="371"/>
        <v>4.16</v>
      </c>
      <c r="V86" s="101">
        <f t="shared" si="323"/>
        <v>-0.13048570184772046</v>
      </c>
      <c r="W86" s="109"/>
      <c r="X86" s="133">
        <f t="shared" ref="X86:AG86" si="372">X12/X61</f>
        <v>4.7366336633663364</v>
      </c>
      <c r="Y86" s="133">
        <f t="shared" si="372"/>
        <v>5.3931967454171152</v>
      </c>
      <c r="Z86" s="133">
        <f t="shared" si="372"/>
        <v>6.1407685715145375</v>
      </c>
      <c r="AA86" s="133">
        <f t="shared" si="372"/>
        <v>6.9919642150908095</v>
      </c>
      <c r="AB86" s="133">
        <f t="shared" si="372"/>
        <v>7.9611473736182479</v>
      </c>
      <c r="AC86" s="133">
        <f t="shared" si="372"/>
        <v>9.0646727521395896</v>
      </c>
      <c r="AD86" s="133">
        <f t="shared" si="372"/>
        <v>10.321162044515372</v>
      </c>
      <c r="AE86" s="133">
        <f t="shared" si="372"/>
        <v>11.7518181694977</v>
      </c>
      <c r="AF86" s="133">
        <f t="shared" si="372"/>
        <v>13.380783064279559</v>
      </c>
      <c r="AG86" s="133">
        <f t="shared" si="372"/>
        <v>15.235545073189595</v>
      </c>
      <c r="AH86" s="115" t="e">
        <f t="shared" si="330"/>
        <v>#DIV/0!</v>
      </c>
      <c r="AI86" s="21">
        <f t="shared" si="18"/>
        <v>0.01</v>
      </c>
      <c r="AJ86" s="123">
        <f t="shared" si="331"/>
        <v>109.9135751708678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3">G13/G61</f>
        <v>0.77720207253886009</v>
      </c>
      <c r="H87" s="121" t="e">
        <f t="shared" ref="H87:I87" si="374">H13/H61</f>
        <v>#DIV/0!</v>
      </c>
      <c r="I87" s="121" t="e">
        <f t="shared" si="374"/>
        <v>#DIV/0!</v>
      </c>
      <c r="J87" s="121" t="e">
        <f t="shared" ref="J87:S87" si="375">J13/J61</f>
        <v>#DIV/0!</v>
      </c>
      <c r="K87" s="121">
        <f t="shared" si="375"/>
        <v>0.77720207253886009</v>
      </c>
      <c r="L87" s="121">
        <f t="shared" si="375"/>
        <v>0.2590673575129534</v>
      </c>
      <c r="M87" s="121">
        <f t="shared" si="375"/>
        <v>0.43103448275862072</v>
      </c>
      <c r="N87" s="121">
        <f t="shared" si="375"/>
        <v>0.43103448275862072</v>
      </c>
      <c r="O87" s="121">
        <f t="shared" si="375"/>
        <v>1.7241379310344829</v>
      </c>
      <c r="P87" s="121">
        <f t="shared" si="375"/>
        <v>1.288244766505636</v>
      </c>
      <c r="Q87" s="121">
        <f t="shared" si="375"/>
        <v>1.932367149758454</v>
      </c>
      <c r="R87" s="121">
        <f t="shared" si="375"/>
        <v>2.8892455858747992</v>
      </c>
      <c r="S87" s="121">
        <f t="shared" si="375"/>
        <v>3.36</v>
      </c>
      <c r="T87" s="121">
        <f t="shared" ref="T87:U87" si="376">T13/T61</f>
        <v>4.4800000000000004</v>
      </c>
      <c r="U87" s="121">
        <f t="shared" si="376"/>
        <v>5.6</v>
      </c>
      <c r="V87" s="101">
        <f t="shared" si="323"/>
        <v>0.21833131665383654</v>
      </c>
      <c r="W87" s="109"/>
      <c r="X87" s="133">
        <f t="shared" ref="X87:AG87" si="377">X13/X61</f>
        <v>6.3762376237623766</v>
      </c>
      <c r="Y87" s="133">
        <f t="shared" si="377"/>
        <v>7.2600725419076548</v>
      </c>
      <c r="Z87" s="133">
        <f t="shared" si="377"/>
        <v>8.2664192308849529</v>
      </c>
      <c r="AA87" s="133">
        <f t="shared" si="377"/>
        <v>9.4122595203145512</v>
      </c>
      <c r="AB87" s="133">
        <f t="shared" si="377"/>
        <v>10.716929156793796</v>
      </c>
      <c r="AC87" s="133">
        <f t="shared" si="377"/>
        <v>12.202444089418677</v>
      </c>
      <c r="AD87" s="133">
        <f t="shared" si="377"/>
        <v>13.893871983001462</v>
      </c>
      <c r="AE87" s="133">
        <f t="shared" si="377"/>
        <v>15.819755228169981</v>
      </c>
      <c r="AF87" s="133">
        <f t="shared" si="377"/>
        <v>18.012592586530179</v>
      </c>
      <c r="AG87" s="133">
        <f t="shared" si="377"/>
        <v>20.509387598524459</v>
      </c>
      <c r="AH87" s="115" t="e">
        <f t="shared" si="330"/>
        <v>#DIV/0!</v>
      </c>
      <c r="AI87" s="21">
        <f t="shared" si="18"/>
        <v>0.01</v>
      </c>
      <c r="AJ87" s="123">
        <f t="shared" si="331"/>
        <v>147.9605819607836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78">(G86+G87)</f>
        <v>17.616580310880828</v>
      </c>
      <c r="H88" s="121" t="e">
        <f t="shared" ref="H88:I88" si="379">(H86+H87)</f>
        <v>#DIV/0!</v>
      </c>
      <c r="I88" s="121" t="e">
        <f t="shared" si="379"/>
        <v>#DIV/0!</v>
      </c>
      <c r="J88" s="121" t="e">
        <f t="shared" ref="J88:S88" si="380">(J86+J87)</f>
        <v>#DIV/0!</v>
      </c>
      <c r="K88" s="121">
        <f t="shared" si="380"/>
        <v>17.616580310880828</v>
      </c>
      <c r="L88" s="121">
        <f t="shared" si="380"/>
        <v>9.0673575129533681</v>
      </c>
      <c r="M88" s="121">
        <f t="shared" si="380"/>
        <v>14.224137931034484</v>
      </c>
      <c r="N88" s="121">
        <f t="shared" si="380"/>
        <v>2.1551724137931036</v>
      </c>
      <c r="O88" s="121">
        <f t="shared" si="380"/>
        <v>5.3879310344827589</v>
      </c>
      <c r="P88" s="121">
        <f t="shared" si="380"/>
        <v>35.104669887278583</v>
      </c>
      <c r="Q88" s="121">
        <f t="shared" si="380"/>
        <v>5.4750402576489536</v>
      </c>
      <c r="R88" s="121">
        <f t="shared" ref="R88" si="381">(R86+R87)</f>
        <v>5.6179775280898872</v>
      </c>
      <c r="S88" s="121">
        <f t="shared" si="380"/>
        <v>6.5600000000000005</v>
      </c>
      <c r="T88" s="121">
        <f t="shared" ref="T88:U88" si="382">(T86+T87)</f>
        <v>8</v>
      </c>
      <c r="U88" s="121">
        <f t="shared" si="382"/>
        <v>9.76</v>
      </c>
      <c r="V88" s="101">
        <f t="shared" si="323"/>
        <v>-5.7344901190372832E-2</v>
      </c>
      <c r="W88" s="109"/>
      <c r="X88" s="133">
        <f t="shared" ref="X88:AG88" si="383">(X86+X87)</f>
        <v>11.112871287128712</v>
      </c>
      <c r="Y88" s="133">
        <f t="shared" si="383"/>
        <v>12.65326928732477</v>
      </c>
      <c r="Z88" s="133">
        <f t="shared" si="383"/>
        <v>14.407187802399491</v>
      </c>
      <c r="AA88" s="133">
        <f t="shared" si="383"/>
        <v>16.40422373540536</v>
      </c>
      <c r="AB88" s="133">
        <f t="shared" si="383"/>
        <v>18.678076530412042</v>
      </c>
      <c r="AC88" s="133">
        <f t="shared" si="383"/>
        <v>21.267116841558266</v>
      </c>
      <c r="AD88" s="133">
        <f t="shared" si="383"/>
        <v>24.215034027516836</v>
      </c>
      <c r="AE88" s="133">
        <f t="shared" si="383"/>
        <v>27.571573397667681</v>
      </c>
      <c r="AF88" s="133">
        <f t="shared" si="383"/>
        <v>31.393375650809737</v>
      </c>
      <c r="AG88" s="133">
        <f t="shared" si="383"/>
        <v>35.744932671714054</v>
      </c>
      <c r="AH88" s="115" t="e">
        <f t="shared" si="330"/>
        <v>#DIV/0!</v>
      </c>
      <c r="AI88" s="21">
        <f t="shared" si="18"/>
        <v>0.01</v>
      </c>
      <c r="AJ88" s="123">
        <f t="shared" si="331"/>
        <v>257.87415713165137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4">G15/G61</f>
        <v>16.839378238341968</v>
      </c>
      <c r="H89" s="121" t="e">
        <f t="shared" ref="H89:I89" si="385">H15/H61</f>
        <v>#DIV/0!</v>
      </c>
      <c r="I89" s="121" t="e">
        <f t="shared" si="385"/>
        <v>#DIV/0!</v>
      </c>
      <c r="J89" s="121" t="e">
        <f t="shared" ref="J89:S89" si="386">J15/J61</f>
        <v>#DIV/0!</v>
      </c>
      <c r="K89" s="121">
        <f t="shared" si="386"/>
        <v>16.839378238341968</v>
      </c>
      <c r="L89" s="121">
        <f t="shared" si="386"/>
        <v>8.8082901554404156</v>
      </c>
      <c r="M89" s="121">
        <f t="shared" si="386"/>
        <v>13.793103448275863</v>
      </c>
      <c r="N89" s="121">
        <f t="shared" si="386"/>
        <v>1.7241379310344829</v>
      </c>
      <c r="O89" s="121">
        <f t="shared" si="386"/>
        <v>3.6637931034482762</v>
      </c>
      <c r="P89" s="121">
        <f t="shared" si="386"/>
        <v>33.816425120772948</v>
      </c>
      <c r="Q89" s="121">
        <f t="shared" si="386"/>
        <v>3.5426731078904994</v>
      </c>
      <c r="R89" s="121">
        <f t="shared" si="386"/>
        <v>2.728731942215088</v>
      </c>
      <c r="S89" s="121">
        <f t="shared" si="386"/>
        <v>3.2</v>
      </c>
      <c r="T89" s="121">
        <f t="shared" ref="T89:U89" si="387">T15/T61</f>
        <v>3.52</v>
      </c>
      <c r="U89" s="121">
        <f t="shared" si="387"/>
        <v>4.16</v>
      </c>
      <c r="V89" s="101">
        <f t="shared" si="323"/>
        <v>-0.13048570184772046</v>
      </c>
      <c r="W89" s="109"/>
      <c r="X89" s="133">
        <f t="shared" ref="X89:AG89" si="388">X15/X61</f>
        <v>4.7366336633663364</v>
      </c>
      <c r="Y89" s="133">
        <f t="shared" si="388"/>
        <v>5.3931967454171152</v>
      </c>
      <c r="Z89" s="133">
        <f t="shared" si="388"/>
        <v>6.1407685715145375</v>
      </c>
      <c r="AA89" s="133">
        <f t="shared" si="388"/>
        <v>6.9919642150908095</v>
      </c>
      <c r="AB89" s="133">
        <f t="shared" si="388"/>
        <v>7.9611473736182479</v>
      </c>
      <c r="AC89" s="133">
        <f t="shared" si="388"/>
        <v>9.0646727521395896</v>
      </c>
      <c r="AD89" s="133">
        <f t="shared" si="388"/>
        <v>10.321162044515372</v>
      </c>
      <c r="AE89" s="133">
        <f t="shared" si="388"/>
        <v>11.7518181694977</v>
      </c>
      <c r="AF89" s="133">
        <f t="shared" si="388"/>
        <v>13.380783064279559</v>
      </c>
      <c r="AG89" s="133">
        <f t="shared" si="388"/>
        <v>15.235545073189595</v>
      </c>
      <c r="AH89" s="115" t="e">
        <f t="shared" si="330"/>
        <v>#DIV/0!</v>
      </c>
      <c r="AI89" s="21">
        <f t="shared" si="18"/>
        <v>0.01</v>
      </c>
      <c r="AJ89" s="123">
        <f t="shared" si="331"/>
        <v>109.9135751708678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9">G16/G61</f>
        <v>158.29015544041451</v>
      </c>
      <c r="H90" s="121" t="e">
        <f t="shared" ref="H90:I90" si="390">H16/H61</f>
        <v>#DIV/0!</v>
      </c>
      <c r="I90" s="121" t="e">
        <f t="shared" si="390"/>
        <v>#DIV/0!</v>
      </c>
      <c r="J90" s="121" t="e">
        <f t="shared" ref="J90:S90" si="391">J16/J61</f>
        <v>#DIV/0!</v>
      </c>
      <c r="K90" s="121">
        <f t="shared" si="391"/>
        <v>158.29015544041451</v>
      </c>
      <c r="L90" s="121">
        <f t="shared" si="391"/>
        <v>218.65284974093265</v>
      </c>
      <c r="M90" s="121">
        <f t="shared" si="391"/>
        <v>270.68965517241384</v>
      </c>
      <c r="N90" s="121">
        <f t="shared" si="391"/>
        <v>386.20689655172418</v>
      </c>
      <c r="O90" s="121">
        <f t="shared" si="391"/>
        <v>496.12068965517244</v>
      </c>
      <c r="P90" s="121">
        <f t="shared" si="391"/>
        <v>514.17069243156197</v>
      </c>
      <c r="Q90" s="121">
        <f t="shared" si="391"/>
        <v>649.27536231884062</v>
      </c>
      <c r="R90" s="121">
        <f t="shared" si="391"/>
        <v>827.44783306581053</v>
      </c>
      <c r="S90" s="121">
        <f t="shared" si="391"/>
        <v>1032.8</v>
      </c>
      <c r="T90" s="121">
        <f t="shared" ref="T90:U90" si="392">T16/T61</f>
        <v>1210.4000000000001</v>
      </c>
      <c r="U90" s="121">
        <f t="shared" si="392"/>
        <v>1266.4000000000001</v>
      </c>
      <c r="V90" s="101">
        <f t="shared" si="323"/>
        <v>0.23115207000259774</v>
      </c>
      <c r="W90" s="109"/>
      <c r="X90" s="133">
        <f t="shared" ref="X90:AG90" si="393">X16/X61</f>
        <v>1441.9405940594058</v>
      </c>
      <c r="Y90" s="133">
        <f t="shared" si="393"/>
        <v>1641.8135476914026</v>
      </c>
      <c r="Z90" s="133">
        <f t="shared" si="393"/>
        <v>1869.3916632129831</v>
      </c>
      <c r="AA90" s="133">
        <f t="shared" si="393"/>
        <v>2128.5152600939909</v>
      </c>
      <c r="AB90" s="133">
        <f t="shared" si="393"/>
        <v>2423.5569793149398</v>
      </c>
      <c r="AC90" s="133">
        <f t="shared" si="393"/>
        <v>2759.4955705071093</v>
      </c>
      <c r="AD90" s="133">
        <f t="shared" si="393"/>
        <v>3141.9999070130448</v>
      </c>
      <c r="AE90" s="133">
        <f t="shared" si="393"/>
        <v>3577.5246465990108</v>
      </c>
      <c r="AF90" s="133">
        <f t="shared" si="393"/>
        <v>4073.4191520681811</v>
      </c>
      <c r="AG90" s="133">
        <f t="shared" si="393"/>
        <v>4638.0515097806019</v>
      </c>
      <c r="AH90" s="115" t="e">
        <f t="shared" si="330"/>
        <v>#DIV/0!</v>
      </c>
      <c r="AI90" s="114"/>
      <c r="AJ90" s="123">
        <f t="shared" si="331"/>
        <v>30920.343398537349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0.01</v>
      </c>
      <c r="AJ91" s="123">
        <f t="shared" si="331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4">G63</f>
        <v>0</v>
      </c>
      <c r="H92" s="135">
        <f t="shared" ref="H92:I92" si="395">H63</f>
        <v>0</v>
      </c>
      <c r="I92" s="135">
        <f t="shared" si="395"/>
        <v>0</v>
      </c>
      <c r="J92" s="135">
        <f t="shared" ref="J92:S92" si="396">J63</f>
        <v>0</v>
      </c>
      <c r="K92" s="135">
        <f t="shared" si="396"/>
        <v>0</v>
      </c>
      <c r="L92" s="135">
        <f t="shared" si="396"/>
        <v>0</v>
      </c>
      <c r="M92" s="135">
        <f t="shared" si="396"/>
        <v>0</v>
      </c>
      <c r="N92" s="135">
        <f t="shared" si="396"/>
        <v>0</v>
      </c>
      <c r="O92" s="135">
        <f t="shared" si="396"/>
        <v>0</v>
      </c>
      <c r="P92" s="135">
        <f t="shared" si="396"/>
        <v>0</v>
      </c>
      <c r="Q92" s="135">
        <f t="shared" si="396"/>
        <v>0</v>
      </c>
      <c r="R92" s="135">
        <f t="shared" si="396"/>
        <v>0</v>
      </c>
      <c r="S92" s="135">
        <f t="shared" si="396"/>
        <v>0</v>
      </c>
      <c r="T92" s="135">
        <f t="shared" ref="T92:U92" si="397">T63</f>
        <v>2</v>
      </c>
      <c r="U92" s="135">
        <f t="shared" si="397"/>
        <v>2.2000000000000002</v>
      </c>
      <c r="V92" s="101" t="e">
        <f t="shared" si="323"/>
        <v>#DIV/0!</v>
      </c>
      <c r="W92" s="109"/>
      <c r="X92" s="135">
        <f t="shared" ref="X92:AG92" si="398">X63</f>
        <v>2.2440000000000002</v>
      </c>
      <c r="Y92" s="135">
        <f t="shared" si="398"/>
        <v>2.2888800000000002</v>
      </c>
      <c r="Z92" s="135">
        <f t="shared" si="398"/>
        <v>2.3346576000000003</v>
      </c>
      <c r="AA92" s="135">
        <f t="shared" si="398"/>
        <v>2.3813507520000003</v>
      </c>
      <c r="AB92" s="135">
        <f t="shared" si="398"/>
        <v>2.4289777670400006</v>
      </c>
      <c r="AC92" s="135">
        <f t="shared" si="398"/>
        <v>2.4775573223808007</v>
      </c>
      <c r="AD92" s="135">
        <f t="shared" si="398"/>
        <v>2.5271084688284167</v>
      </c>
      <c r="AE92" s="135">
        <f t="shared" si="398"/>
        <v>2.5776506382049851</v>
      </c>
      <c r="AF92" s="135">
        <f t="shared" si="398"/>
        <v>2.6292036509690848</v>
      </c>
      <c r="AG92" s="135">
        <f t="shared" si="398"/>
        <v>2.6817877239884664</v>
      </c>
      <c r="AH92" s="115" t="e">
        <f t="shared" ref="AH92" si="399">((AG92/J92)^(1/($AG$3-$K$1) ))-1</f>
        <v>#DIV/0!</v>
      </c>
      <c r="AI92" s="21">
        <f t="shared" si="18"/>
        <v>0.01</v>
      </c>
      <c r="AJ92" s="123">
        <f t="shared" si="331"/>
        <v>19.347182865916796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0.01</v>
      </c>
      <c r="AJ94" s="123">
        <f t="shared" si="331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 t="e">
        <f t="shared" ref="H96:I96" si="407">H94/H61</f>
        <v>#DIV/0!</v>
      </c>
      <c r="I96" s="121" t="e">
        <f t="shared" si="407"/>
        <v>#DIV/0!</v>
      </c>
      <c r="J96" s="121" t="e">
        <f t="shared" ref="J96:S96" si="408">J94/J61</f>
        <v>#DIV/0!</v>
      </c>
      <c r="K96" s="121">
        <f t="shared" si="408"/>
        <v>0</v>
      </c>
      <c r="L96" s="121">
        <f t="shared" si="408"/>
        <v>0</v>
      </c>
      <c r="M96" s="121">
        <f t="shared" si="408"/>
        <v>0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0.01</v>
      </c>
      <c r="AJ96" s="123">
        <f t="shared" si="331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 t="e">
        <f t="shared" ref="H97:I97" si="412">H20/H61</f>
        <v>#DIV/0!</v>
      </c>
      <c r="I97" s="121" t="e">
        <f t="shared" si="412"/>
        <v>#DIV/0!</v>
      </c>
      <c r="J97" s="121" t="e">
        <f t="shared" ref="J97:S97" si="413">J20/J61</f>
        <v>#DIV/0!</v>
      </c>
      <c r="K97" s="121">
        <f t="shared" si="413"/>
        <v>0</v>
      </c>
      <c r="L97" s="121">
        <f t="shared" si="413"/>
        <v>0</v>
      </c>
      <c r="M97" s="121">
        <f t="shared" si="413"/>
        <v>0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0.01</v>
      </c>
      <c r="AJ97" s="123">
        <f t="shared" si="331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 t="e">
        <f t="shared" ref="H98:I98" si="417">H21/H61</f>
        <v>#DIV/0!</v>
      </c>
      <c r="I98" s="121" t="e">
        <f t="shared" si="417"/>
        <v>#DIV/0!</v>
      </c>
      <c r="J98" s="121" t="e">
        <f t="shared" ref="J98:S98" si="418">J21/J61</f>
        <v>#DIV/0!</v>
      </c>
      <c r="K98" s="121">
        <f t="shared" si="418"/>
        <v>0</v>
      </c>
      <c r="L98" s="121">
        <f t="shared" si="418"/>
        <v>0</v>
      </c>
      <c r="M98" s="121">
        <f t="shared" si="418"/>
        <v>0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0.01</v>
      </c>
      <c r="AJ98" s="123">
        <f t="shared" si="331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 t="e">
        <f t="shared" ref="H99:I99" si="422">H22/H61</f>
        <v>#DIV/0!</v>
      </c>
      <c r="I99" s="121" t="e">
        <f t="shared" si="422"/>
        <v>#DIV/0!</v>
      </c>
      <c r="J99" s="121" t="e">
        <f t="shared" ref="J99:S99" si="423">J22/J61</f>
        <v>#DIV/0!</v>
      </c>
      <c r="K99" s="121">
        <f t="shared" si="423"/>
        <v>0</v>
      </c>
      <c r="L99" s="121">
        <f t="shared" si="423"/>
        <v>0</v>
      </c>
      <c r="M99" s="121">
        <f t="shared" si="423"/>
        <v>0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0.01</v>
      </c>
      <c r="AJ99" s="123">
        <f t="shared" si="331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 t="e">
        <f t="shared" ref="H100:I100" si="427">H23/H61</f>
        <v>#DIV/0!</v>
      </c>
      <c r="I100" s="121" t="e">
        <f t="shared" si="427"/>
        <v>#DIV/0!</v>
      </c>
      <c r="J100" s="121" t="e">
        <f t="shared" ref="J100:S100" si="428">J23/J61</f>
        <v>#DIV/0!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0.01</v>
      </c>
      <c r="AJ100" s="123">
        <f t="shared" si="331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32">G53/G61</f>
        <v>15.803108808290157</v>
      </c>
      <c r="H102" s="121" t="e">
        <f t="shared" ref="H102:I102" si="433">H53/H61</f>
        <v>#DIV/0!</v>
      </c>
      <c r="I102" s="121" t="e">
        <f t="shared" si="433"/>
        <v>#DIV/0!</v>
      </c>
      <c r="J102" s="121" t="e">
        <f t="shared" ref="J102:S102" si="434">J53/J61</f>
        <v>#DIV/0!</v>
      </c>
      <c r="K102" s="121">
        <f t="shared" si="434"/>
        <v>15.803108808290157</v>
      </c>
      <c r="L102" s="121">
        <f t="shared" si="434"/>
        <v>26.683937823834199</v>
      </c>
      <c r="M102" s="121">
        <f t="shared" si="434"/>
        <v>32.543103448275865</v>
      </c>
      <c r="N102" s="121">
        <f t="shared" si="434"/>
        <v>45.043103448275865</v>
      </c>
      <c r="O102" s="121">
        <f t="shared" si="434"/>
        <v>61.422413793103452</v>
      </c>
      <c r="P102" s="121">
        <f t="shared" si="434"/>
        <v>60.064412238325282</v>
      </c>
      <c r="Q102" s="121">
        <f t="shared" si="434"/>
        <v>24.476650563607084</v>
      </c>
      <c r="R102" s="121">
        <f t="shared" si="434"/>
        <v>99.357945425361152</v>
      </c>
      <c r="S102" s="121">
        <f t="shared" si="434"/>
        <v>124.96</v>
      </c>
      <c r="T102" s="121">
        <f t="shared" ref="T102:U102" si="435">T53/T61</f>
        <v>148.47999999999999</v>
      </c>
      <c r="U102" s="121">
        <f t="shared" si="435"/>
        <v>154.08000000000001</v>
      </c>
      <c r="V102" s="101">
        <f t="shared" si="323"/>
        <v>0.25574186664322585</v>
      </c>
      <c r="W102" s="109"/>
      <c r="X102" s="121">
        <f t="shared" ref="X102:AG102" si="436">X53/X61</f>
        <v>175.43762376237621</v>
      </c>
      <c r="Y102" s="121">
        <f t="shared" si="436"/>
        <v>199.75571022448773</v>
      </c>
      <c r="Z102" s="121">
        <f t="shared" si="436"/>
        <v>227.44462055263455</v>
      </c>
      <c r="AA102" s="121">
        <f t="shared" si="436"/>
        <v>258.97159765894031</v>
      </c>
      <c r="AB102" s="121">
        <f t="shared" si="436"/>
        <v>294.8686507997835</v>
      </c>
      <c r="AC102" s="121">
        <f t="shared" si="436"/>
        <v>335.74153308886241</v>
      </c>
      <c r="AD102" s="121">
        <f t="shared" si="436"/>
        <v>382.27996341801156</v>
      </c>
      <c r="AE102" s="121">
        <f t="shared" si="436"/>
        <v>435.26926527793398</v>
      </c>
      <c r="AF102" s="121">
        <f t="shared" si="436"/>
        <v>495.60361888081587</v>
      </c>
      <c r="AG102" s="121">
        <f t="shared" si="436"/>
        <v>564.30115021082986</v>
      </c>
      <c r="AH102" s="115" t="e">
        <f t="shared" ref="AH102:AH104" si="437">((AG102/J102)^(1/($AG$3-$K$1) ))-1</f>
        <v>#DIV/0!</v>
      </c>
      <c r="AI102" s="21">
        <f t="shared" si="18"/>
        <v>0.01</v>
      </c>
      <c r="AJ102" s="123">
        <f t="shared" si="331"/>
        <v>4071.029726520987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38">G59/G61</f>
        <v>3.8860103626943006</v>
      </c>
      <c r="H103" s="121" t="e">
        <f t="shared" ref="H103:I103" si="439">H59/H61</f>
        <v>#DIV/0!</v>
      </c>
      <c r="I103" s="121" t="e">
        <f t="shared" si="439"/>
        <v>#DIV/0!</v>
      </c>
      <c r="J103" s="121" t="e">
        <f t="shared" ref="J103:S103" si="440">J59/J61</f>
        <v>#DIV/0!</v>
      </c>
      <c r="K103" s="121">
        <f t="shared" si="440"/>
        <v>3.8860103626943006</v>
      </c>
      <c r="L103" s="121">
        <f t="shared" si="440"/>
        <v>6.4766839378238341</v>
      </c>
      <c r="M103" s="121">
        <f t="shared" si="440"/>
        <v>9.2672413793103452</v>
      </c>
      <c r="N103" s="121">
        <f t="shared" si="440"/>
        <v>12.5</v>
      </c>
      <c r="O103" s="121">
        <f t="shared" si="440"/>
        <v>13.146551724137932</v>
      </c>
      <c r="P103" s="121">
        <f t="shared" si="440"/>
        <v>12.882447665056361</v>
      </c>
      <c r="Q103" s="121">
        <f t="shared" si="440"/>
        <v>17.713365539452496</v>
      </c>
      <c r="R103" s="121">
        <f t="shared" si="440"/>
        <v>19.743178170144461</v>
      </c>
      <c r="S103" s="121">
        <f t="shared" si="440"/>
        <v>24</v>
      </c>
      <c r="T103" s="121">
        <f t="shared" ref="T103:U103" si="441">T59/T61</f>
        <v>29.12</v>
      </c>
      <c r="U103" s="121">
        <f t="shared" si="441"/>
        <v>32.96</v>
      </c>
      <c r="V103" s="101">
        <f t="shared" si="323"/>
        <v>0.2383640186723377</v>
      </c>
      <c r="W103" s="109"/>
      <c r="X103" s="121">
        <f t="shared" ref="X103:AG103" si="442">X59/X61</f>
        <v>37.528712871287127</v>
      </c>
      <c r="Y103" s="121">
        <f t="shared" si="442"/>
        <v>42.730712675227906</v>
      </c>
      <c r="Z103" s="121">
        <f t="shared" si="442"/>
        <v>48.653781758922861</v>
      </c>
      <c r="AA103" s="121">
        <f t="shared" si="442"/>
        <v>55.397870319565634</v>
      </c>
      <c r="AB103" s="121">
        <f t="shared" si="442"/>
        <v>63.076783037129182</v>
      </c>
      <c r="AC103" s="121">
        <f t="shared" si="442"/>
        <v>71.820099497721344</v>
      </c>
      <c r="AD103" s="121">
        <f t="shared" si="442"/>
        <v>81.77536081423716</v>
      </c>
      <c r="AE103" s="121">
        <f t="shared" si="442"/>
        <v>93.11055934294329</v>
      </c>
      <c r="AF103" s="121">
        <f t="shared" si="442"/>
        <v>106.01697350929186</v>
      </c>
      <c r="AG103" s="121">
        <f t="shared" si="442"/>
        <v>120.71239557988676</v>
      </c>
      <c r="AH103" s="115" t="e">
        <f t="shared" si="437"/>
        <v>#DIV/0!</v>
      </c>
      <c r="AI103" s="21">
        <f t="shared" si="18"/>
        <v>0.01</v>
      </c>
      <c r="AJ103" s="123">
        <f t="shared" si="331"/>
        <v>870.85371096918311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3">G6/G61</f>
        <v>13.989637305699482</v>
      </c>
      <c r="H104" s="121" t="e">
        <f t="shared" ref="H104:I104" si="444">H6/H61</f>
        <v>#DIV/0!</v>
      </c>
      <c r="I104" s="121" t="e">
        <f t="shared" si="444"/>
        <v>#DIV/0!</v>
      </c>
      <c r="J104" s="121" t="e">
        <f t="shared" ref="J104:S104" si="445">J6/J61</f>
        <v>#DIV/0!</v>
      </c>
      <c r="K104" s="121">
        <f t="shared" si="445"/>
        <v>13.989637305699482</v>
      </c>
      <c r="L104" s="121">
        <f t="shared" si="445"/>
        <v>18.911917098445596</v>
      </c>
      <c r="M104" s="121">
        <f t="shared" si="445"/>
        <v>30.818965517241381</v>
      </c>
      <c r="N104" s="121">
        <f t="shared" si="445"/>
        <v>43.318965517241381</v>
      </c>
      <c r="O104" s="121">
        <f t="shared" si="445"/>
        <v>55.172413793103452</v>
      </c>
      <c r="P104" s="121">
        <f t="shared" si="445"/>
        <v>92.109500805152976</v>
      </c>
      <c r="Q104" s="121">
        <f t="shared" si="445"/>
        <v>109.17874396135265</v>
      </c>
      <c r="R104" s="121">
        <f t="shared" si="445"/>
        <v>121.02728731942214</v>
      </c>
      <c r="S104" s="121">
        <f t="shared" si="445"/>
        <v>144</v>
      </c>
      <c r="T104" s="121">
        <f t="shared" ref="T104:U104" si="446">T6/T61</f>
        <v>173.76</v>
      </c>
      <c r="U104" s="121">
        <f t="shared" si="446"/>
        <v>205.44</v>
      </c>
      <c r="V104" s="101">
        <f t="shared" si="323"/>
        <v>0.30824129947466306</v>
      </c>
      <c r="W104" s="109"/>
      <c r="X104" s="121">
        <f t="shared" ref="X104:AG104" si="447">X6/X61</f>
        <v>233.91683168316831</v>
      </c>
      <c r="Y104" s="121">
        <f t="shared" si="447"/>
        <v>266.34094696598368</v>
      </c>
      <c r="Z104" s="121">
        <f t="shared" si="447"/>
        <v>303.25949407017941</v>
      </c>
      <c r="AA104" s="121">
        <f t="shared" si="447"/>
        <v>345.29546354525371</v>
      </c>
      <c r="AB104" s="121">
        <f t="shared" si="447"/>
        <v>393.15820106637796</v>
      </c>
      <c r="AC104" s="121">
        <f t="shared" si="447"/>
        <v>447.65537745181643</v>
      </c>
      <c r="AD104" s="121">
        <f t="shared" si="447"/>
        <v>509.70661789068208</v>
      </c>
      <c r="AE104" s="121">
        <f t="shared" si="447"/>
        <v>580.35902037057849</v>
      </c>
      <c r="AF104" s="121">
        <f t="shared" si="447"/>
        <v>660.80482517442113</v>
      </c>
      <c r="AG104" s="121">
        <f t="shared" si="447"/>
        <v>752.40153361443981</v>
      </c>
      <c r="AH104" s="115" t="e">
        <f t="shared" si="437"/>
        <v>#DIV/0!</v>
      </c>
      <c r="AI104" s="21">
        <f t="shared" ref="AI104" si="448">$O$1</f>
        <v>0.01</v>
      </c>
      <c r="AJ104" s="123">
        <f t="shared" si="331"/>
        <v>5428.0396353613169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9">G59/$U$61</f>
        <v>2.4</v>
      </c>
      <c r="H106" s="121">
        <f t="shared" si="449"/>
        <v>0</v>
      </c>
      <c r="I106" s="121">
        <f t="shared" si="449"/>
        <v>0</v>
      </c>
      <c r="J106" s="121">
        <f t="shared" si="449"/>
        <v>0</v>
      </c>
      <c r="K106" s="121">
        <f t="shared" si="449"/>
        <v>2.4</v>
      </c>
      <c r="L106" s="121">
        <f t="shared" si="449"/>
        <v>4</v>
      </c>
      <c r="M106" s="121">
        <f t="shared" si="449"/>
        <v>6.88</v>
      </c>
      <c r="N106" s="121">
        <f t="shared" si="449"/>
        <v>9.2799999999999994</v>
      </c>
      <c r="O106" s="121">
        <f t="shared" si="449"/>
        <v>9.76</v>
      </c>
      <c r="P106" s="121">
        <f t="shared" si="449"/>
        <v>12.8</v>
      </c>
      <c r="Q106" s="121">
        <f t="shared" si="449"/>
        <v>17.600000000000001</v>
      </c>
      <c r="R106" s="121">
        <f t="shared" si="449"/>
        <v>19.68</v>
      </c>
      <c r="S106" s="121">
        <f t="shared" si="449"/>
        <v>24</v>
      </c>
      <c r="T106" s="121">
        <f t="shared" si="449"/>
        <v>29.12</v>
      </c>
      <c r="U106" s="121">
        <f>U59/$U$61</f>
        <v>32.96</v>
      </c>
      <c r="V106" s="101">
        <f t="shared" si="323"/>
        <v>0.29950392666522596</v>
      </c>
      <c r="W106" s="109"/>
      <c r="X106" s="121">
        <f t="shared" ref="X106:AG106" si="450">X59/X61</f>
        <v>37.528712871287127</v>
      </c>
      <c r="Y106" s="121">
        <f t="shared" si="450"/>
        <v>42.730712675227906</v>
      </c>
      <c r="Z106" s="121">
        <f t="shared" si="450"/>
        <v>48.653781758922861</v>
      </c>
      <c r="AA106" s="121">
        <f t="shared" si="450"/>
        <v>55.397870319565634</v>
      </c>
      <c r="AB106" s="121">
        <f t="shared" si="450"/>
        <v>63.076783037129182</v>
      </c>
      <c r="AC106" s="121">
        <f t="shared" si="450"/>
        <v>71.820099497721344</v>
      </c>
      <c r="AD106" s="121">
        <f t="shared" si="450"/>
        <v>81.77536081423716</v>
      </c>
      <c r="AE106" s="121">
        <f t="shared" si="450"/>
        <v>93.11055934294329</v>
      </c>
      <c r="AF106" s="121">
        <f t="shared" si="450"/>
        <v>106.01697350929186</v>
      </c>
      <c r="AG106" s="121">
        <f t="shared" si="450"/>
        <v>120.71239557988676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51">G53/G25</f>
        <v>0.85915492957746475</v>
      </c>
      <c r="H109" s="128" t="e">
        <f t="shared" ref="H109:I109" si="452">H53/H25</f>
        <v>#DIV/0!</v>
      </c>
      <c r="I109" s="128" t="e">
        <f t="shared" si="452"/>
        <v>#DIV/0!</v>
      </c>
      <c r="J109" s="128" t="e">
        <f t="shared" ref="J109:S109" si="453">J53/J25</f>
        <v>#DIV/0!</v>
      </c>
      <c r="K109" s="128">
        <f t="shared" si="453"/>
        <v>0.85915492957746475</v>
      </c>
      <c r="L109" s="128">
        <f t="shared" si="453"/>
        <v>0.90350877192982459</v>
      </c>
      <c r="M109" s="128">
        <f t="shared" si="453"/>
        <v>0.92073170731707321</v>
      </c>
      <c r="N109" s="128">
        <f t="shared" si="453"/>
        <v>0.92888888888888888</v>
      </c>
      <c r="O109" s="128">
        <f t="shared" si="453"/>
        <v>0.89622641509433965</v>
      </c>
      <c r="P109" s="128">
        <f t="shared" si="453"/>
        <v>0.91871921182266014</v>
      </c>
      <c r="Q109" s="128">
        <f t="shared" si="453"/>
        <v>0.2841121495327103</v>
      </c>
      <c r="R109" s="128">
        <f t="shared" si="453"/>
        <v>0.8945086705202312</v>
      </c>
      <c r="S109" s="128">
        <f t="shared" si="453"/>
        <v>0.88649262202043133</v>
      </c>
      <c r="T109" s="128">
        <f t="shared" ref="T109:U109" si="454">T53/T25</f>
        <v>0.88803827751196174</v>
      </c>
      <c r="U109" s="128">
        <f t="shared" si="454"/>
        <v>0.86991869918699183</v>
      </c>
      <c r="V109" s="101">
        <f t="shared" si="323"/>
        <v>1.2458245912676524E-3</v>
      </c>
      <c r="W109" s="128"/>
      <c r="X109" s="128">
        <f t="shared" ref="X109:AG109" si="455">X53/X25</f>
        <v>0.86991869918699172</v>
      </c>
      <c r="Y109" s="128">
        <f t="shared" si="455"/>
        <v>0.86991869918699172</v>
      </c>
      <c r="Z109" s="128">
        <f t="shared" si="455"/>
        <v>0.86991869918699172</v>
      </c>
      <c r="AA109" s="128">
        <f t="shared" si="455"/>
        <v>0.86991869918699172</v>
      </c>
      <c r="AB109" s="128">
        <f t="shared" si="455"/>
        <v>0.86991869918699172</v>
      </c>
      <c r="AC109" s="128">
        <f t="shared" si="455"/>
        <v>0.86991869918699172</v>
      </c>
      <c r="AD109" s="128">
        <f t="shared" si="455"/>
        <v>0.86991869918699172</v>
      </c>
      <c r="AE109" s="128">
        <f t="shared" si="455"/>
        <v>0.86991869918699172</v>
      </c>
      <c r="AF109" s="128">
        <f t="shared" si="455"/>
        <v>0.86991869918699172</v>
      </c>
      <c r="AG109" s="128">
        <f t="shared" si="455"/>
        <v>0.86991869918699183</v>
      </c>
      <c r="AH109" s="115" t="e">
        <f t="shared" ref="AH109:AH158" si="456">((AG109/J109)^(1/($AG$3-$K$1) ))-1</f>
        <v>#DIV/0!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57">G59/G25</f>
        <v>0.21126760563380281</v>
      </c>
      <c r="H110" s="128" t="e">
        <f t="shared" ref="H110:I110" si="458">H59/H25</f>
        <v>#DIV/0!</v>
      </c>
      <c r="I110" s="128" t="e">
        <f t="shared" si="458"/>
        <v>#DIV/0!</v>
      </c>
      <c r="J110" s="128" t="e">
        <f t="shared" ref="J110:S110" si="459">J59/J25</f>
        <v>#DIV/0!</v>
      </c>
      <c r="K110" s="128">
        <f t="shared" si="459"/>
        <v>0.21126760563380281</v>
      </c>
      <c r="L110" s="128">
        <f t="shared" si="459"/>
        <v>0.21929824561403508</v>
      </c>
      <c r="M110" s="128">
        <f t="shared" si="459"/>
        <v>0.26219512195121952</v>
      </c>
      <c r="N110" s="128">
        <f t="shared" si="459"/>
        <v>0.25777777777777777</v>
      </c>
      <c r="O110" s="128">
        <f t="shared" si="459"/>
        <v>0.1918238993710692</v>
      </c>
      <c r="P110" s="128">
        <f t="shared" si="459"/>
        <v>0.19704433497536947</v>
      </c>
      <c r="Q110" s="128">
        <f t="shared" si="459"/>
        <v>0.20560747663551401</v>
      </c>
      <c r="R110" s="128">
        <f t="shared" si="459"/>
        <v>0.1777456647398844</v>
      </c>
      <c r="S110" s="128">
        <f t="shared" si="459"/>
        <v>0.170261066969353</v>
      </c>
      <c r="T110" s="128">
        <f t="shared" ref="T110:U110" si="460">T59/T25</f>
        <v>0.17416267942583732</v>
      </c>
      <c r="U110" s="128">
        <f t="shared" si="460"/>
        <v>0.18608852755194219</v>
      </c>
      <c r="V110" s="101">
        <f t="shared" si="323"/>
        <v>-1.2610126367622376E-2</v>
      </c>
      <c r="W110" s="128"/>
      <c r="X110" s="128">
        <f t="shared" ref="X110:AG110" si="461">X59/X25</f>
        <v>0.18608852755194216</v>
      </c>
      <c r="Y110" s="128">
        <f t="shared" si="461"/>
        <v>0.18608852755194216</v>
      </c>
      <c r="Z110" s="128">
        <f t="shared" si="461"/>
        <v>0.18608852755194213</v>
      </c>
      <c r="AA110" s="128">
        <f t="shared" si="461"/>
        <v>0.18608852755194213</v>
      </c>
      <c r="AB110" s="128">
        <f t="shared" si="461"/>
        <v>0.18608852755194216</v>
      </c>
      <c r="AC110" s="128">
        <f t="shared" si="461"/>
        <v>0.18608852755194216</v>
      </c>
      <c r="AD110" s="128">
        <f t="shared" si="461"/>
        <v>0.18608852755194213</v>
      </c>
      <c r="AE110" s="128">
        <f t="shared" si="461"/>
        <v>0.18608852755194213</v>
      </c>
      <c r="AF110" s="128">
        <f t="shared" si="461"/>
        <v>0.18608852755194213</v>
      </c>
      <c r="AG110" s="128">
        <f t="shared" si="461"/>
        <v>0.18608852755194213</v>
      </c>
      <c r="AH110" s="115" t="e">
        <f t="shared" si="456"/>
        <v>#DIV/0!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62">G59/G7</f>
        <v>0.11363636363636363</v>
      </c>
      <c r="H111" s="128" t="e">
        <f t="shared" ref="H111:I111" si="463">H59/H7</f>
        <v>#DIV/0!</v>
      </c>
      <c r="I111" s="128" t="e">
        <f t="shared" si="463"/>
        <v>#DIV/0!</v>
      </c>
      <c r="J111" s="128" t="e">
        <f>J59/J7</f>
        <v>#DIV/0!</v>
      </c>
      <c r="K111" s="128">
        <f t="shared" ref="K111:R111" si="464">K59/K7</f>
        <v>0.11363636363636363</v>
      </c>
      <c r="L111" s="128">
        <f t="shared" si="464"/>
        <v>0.16556291390728478</v>
      </c>
      <c r="M111" s="128">
        <f t="shared" si="464"/>
        <v>0.22631578947368422</v>
      </c>
      <c r="N111" s="128">
        <f t="shared" si="464"/>
        <v>0.23481781376518218</v>
      </c>
      <c r="O111" s="128">
        <f t="shared" si="464"/>
        <v>0.20132013201320131</v>
      </c>
      <c r="P111" s="128">
        <f t="shared" si="464"/>
        <v>0.12618296529968454</v>
      </c>
      <c r="Q111" s="128">
        <f t="shared" si="464"/>
        <v>0.1484480431848853</v>
      </c>
      <c r="R111" s="128">
        <f t="shared" si="464"/>
        <v>0.15055079559363524</v>
      </c>
      <c r="S111" s="128">
        <f t="shared" ref="S111:T111" si="465">S59/S7</f>
        <v>0.1557632398753894</v>
      </c>
      <c r="T111" s="128">
        <f t="shared" si="465"/>
        <v>0.15839860748476936</v>
      </c>
      <c r="U111" s="128">
        <f t="shared" ref="U111" si="466">U59/U7</f>
        <v>0.15293244246473645</v>
      </c>
      <c r="V111" s="101">
        <f t="shared" si="323"/>
        <v>3.0144693381377152E-2</v>
      </c>
      <c r="W111" s="10"/>
      <c r="X111" s="128">
        <f t="shared" ref="X111" si="467">X59/X7</f>
        <v>0.15293244246473645</v>
      </c>
      <c r="Y111" s="128">
        <f t="shared" ref="Y111:AG111" si="468">Y59/Y7</f>
        <v>0.15293244246473645</v>
      </c>
      <c r="Z111" s="128">
        <f t="shared" si="468"/>
        <v>0.15293244246473642</v>
      </c>
      <c r="AA111" s="128">
        <f t="shared" si="468"/>
        <v>0.15293244246473642</v>
      </c>
      <c r="AB111" s="128">
        <f t="shared" si="468"/>
        <v>0.15293244246473642</v>
      </c>
      <c r="AC111" s="128">
        <f t="shared" si="468"/>
        <v>0.15293244246473642</v>
      </c>
      <c r="AD111" s="128">
        <f t="shared" si="468"/>
        <v>0.15293244246473642</v>
      </c>
      <c r="AE111" s="128">
        <f t="shared" si="468"/>
        <v>0.15293244246473639</v>
      </c>
      <c r="AF111" s="128">
        <f t="shared" si="468"/>
        <v>0.15293244246473642</v>
      </c>
      <c r="AG111" s="128">
        <f t="shared" si="468"/>
        <v>0.15293244246473642</v>
      </c>
      <c r="AH111" s="115" t="e">
        <f t="shared" si="456"/>
        <v>#DIV/0!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9">(G59)/(G7+G10)</f>
        <v>2.4390243902439025E-2</v>
      </c>
      <c r="H112" s="128" t="e">
        <f t="shared" ref="H112:I112" si="470">(H59)/(H7+H10)</f>
        <v>#DIV/0!</v>
      </c>
      <c r="I112" s="128" t="e">
        <f t="shared" si="470"/>
        <v>#DIV/0!</v>
      </c>
      <c r="J112" s="128" t="e">
        <f>(J59)/(J7+J10)</f>
        <v>#DIV/0!</v>
      </c>
      <c r="K112" s="128">
        <f t="shared" ref="K112:R112" si="471">(K59)/(K7+K10)</f>
        <v>2.4390243902439025E-2</v>
      </c>
      <c r="L112" s="128">
        <f t="shared" si="471"/>
        <v>2.9585798816568046E-2</v>
      </c>
      <c r="M112" s="128">
        <f t="shared" si="471"/>
        <v>3.415409054805401E-2</v>
      </c>
      <c r="N112" s="128">
        <f t="shared" si="471"/>
        <v>3.2293986636971049E-2</v>
      </c>
      <c r="O112" s="128">
        <f t="shared" si="471"/>
        <v>2.6372676178123649E-2</v>
      </c>
      <c r="P112" s="128">
        <f t="shared" si="471"/>
        <v>2.4960998439937598E-2</v>
      </c>
      <c r="Q112" s="128">
        <f t="shared" si="471"/>
        <v>2.7167201778216844E-2</v>
      </c>
      <c r="R112" s="128">
        <f t="shared" si="471"/>
        <v>2.3740590619571511E-2</v>
      </c>
      <c r="S112" s="128">
        <f t="shared" ref="S112:T112" si="472">(S59)/(S7+S10)</f>
        <v>2.313030069390902E-2</v>
      </c>
      <c r="T112" s="128">
        <f t="shared" si="472"/>
        <v>2.3941068139963169E-2</v>
      </c>
      <c r="U112" s="128">
        <f t="shared" ref="U112" si="473">(U59)/(U7+U10)</f>
        <v>2.5869647117920381E-2</v>
      </c>
      <c r="V112" s="101">
        <f t="shared" si="323"/>
        <v>5.9060868857816473E-3</v>
      </c>
      <c r="W112" s="10"/>
      <c r="X112" s="128">
        <f t="shared" ref="X112:AG112" si="474">(X59)/(X7+X10)</f>
        <v>2.5869647117920381E-2</v>
      </c>
      <c r="Y112" s="128">
        <f t="shared" si="474"/>
        <v>2.5869647117920384E-2</v>
      </c>
      <c r="Z112" s="128">
        <f t="shared" si="474"/>
        <v>2.5869647117920381E-2</v>
      </c>
      <c r="AA112" s="128">
        <f t="shared" si="474"/>
        <v>2.5869647117920381E-2</v>
      </c>
      <c r="AB112" s="128">
        <f t="shared" si="474"/>
        <v>2.5869647117920381E-2</v>
      </c>
      <c r="AC112" s="128">
        <f t="shared" si="474"/>
        <v>2.5869647117920381E-2</v>
      </c>
      <c r="AD112" s="128">
        <f t="shared" si="474"/>
        <v>2.5869647117920377E-2</v>
      </c>
      <c r="AE112" s="128">
        <f t="shared" si="474"/>
        <v>2.5869647117920377E-2</v>
      </c>
      <c r="AF112" s="128">
        <f t="shared" si="474"/>
        <v>2.5869647117920374E-2</v>
      </c>
      <c r="AG112" s="128">
        <f t="shared" si="474"/>
        <v>2.5869647117920377E-2</v>
      </c>
      <c r="AH112" s="115" t="e">
        <f t="shared" si="456"/>
        <v>#DIV/0!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 t="e">
        <f t="shared" ref="H113:I113" si="476">H20/H25</f>
        <v>#DIV/0!</v>
      </c>
      <c r="I113" s="128" t="e">
        <f t="shared" si="476"/>
        <v>#DIV/0!</v>
      </c>
      <c r="J113" s="128" t="e">
        <f>J20/J25</f>
        <v>#DIV/0!</v>
      </c>
      <c r="K113" s="128">
        <f t="shared" ref="K113:S113" si="477">K20/K25</f>
        <v>0</v>
      </c>
      <c r="L113" s="128">
        <f t="shared" si="477"/>
        <v>0</v>
      </c>
      <c r="M113" s="128">
        <f t="shared" si="477"/>
        <v>0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80">G72/G25</f>
        <v>8.4507042253521125E-2</v>
      </c>
      <c r="H114" s="128" t="e">
        <f t="shared" ref="H114:I114" si="481">H72/H25</f>
        <v>#DIV/0!</v>
      </c>
      <c r="I114" s="128" t="e">
        <f t="shared" si="481"/>
        <v>#DIV/0!</v>
      </c>
      <c r="J114" s="128" t="e">
        <f>J72/J25</f>
        <v>#DIV/0!</v>
      </c>
      <c r="K114" s="128">
        <f t="shared" ref="K114:S114" si="482">K72/K25</f>
        <v>8.4507042253521125E-2</v>
      </c>
      <c r="L114" s="128">
        <f t="shared" si="482"/>
        <v>8.771929824561403E-2</v>
      </c>
      <c r="M114" s="128">
        <f t="shared" si="482"/>
        <v>0.10365853658536585</v>
      </c>
      <c r="N114" s="128">
        <f t="shared" si="482"/>
        <v>9.3333333333333338E-2</v>
      </c>
      <c r="O114" s="128">
        <f t="shared" si="482"/>
        <v>6.2893081761006289E-2</v>
      </c>
      <c r="P114" s="128">
        <f t="shared" si="482"/>
        <v>6.4039408866995079E-2</v>
      </c>
      <c r="Q114" s="128">
        <f t="shared" si="482"/>
        <v>7.2897196261682243E-2</v>
      </c>
      <c r="R114" s="128">
        <f t="shared" si="482"/>
        <v>9.1040462427745661E-2</v>
      </c>
      <c r="S114" s="128">
        <f t="shared" si="482"/>
        <v>9.0805902383654935E-2</v>
      </c>
      <c r="T114" s="128">
        <f t="shared" ref="T114:U114" si="483">T72/T25</f>
        <v>9.3779904306220102E-2</v>
      </c>
      <c r="U114" s="128">
        <f t="shared" si="483"/>
        <v>9.7560975609756101E-2</v>
      </c>
      <c r="V114" s="101">
        <f t="shared" si="323"/>
        <v>1.446793210010644E-2</v>
      </c>
      <c r="W114" s="10"/>
      <c r="X114" s="128">
        <f t="shared" ref="X114:AG114" si="484">X72/X25</f>
        <v>9.7560975609756087E-2</v>
      </c>
      <c r="Y114" s="128">
        <f t="shared" si="484"/>
        <v>9.7560975609756087E-2</v>
      </c>
      <c r="Z114" s="128">
        <f t="shared" si="484"/>
        <v>9.7560975609756115E-2</v>
      </c>
      <c r="AA114" s="128">
        <f t="shared" si="484"/>
        <v>9.7560975609756087E-2</v>
      </c>
      <c r="AB114" s="128">
        <f t="shared" si="484"/>
        <v>9.7560975609756059E-2</v>
      </c>
      <c r="AC114" s="128">
        <f t="shared" si="484"/>
        <v>9.7560975609756087E-2</v>
      </c>
      <c r="AD114" s="128">
        <f t="shared" si="484"/>
        <v>9.7560975609756101E-2</v>
      </c>
      <c r="AE114" s="128">
        <f t="shared" si="484"/>
        <v>9.7560975609756129E-2</v>
      </c>
      <c r="AF114" s="128">
        <f t="shared" si="484"/>
        <v>9.7560975609756115E-2</v>
      </c>
      <c r="AG114" s="128">
        <f t="shared" si="484"/>
        <v>9.7560975609756115E-2</v>
      </c>
      <c r="AH114" s="115" t="e">
        <f t="shared" si="456"/>
        <v>#DIV/0!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85">G29/G25</f>
        <v>0.59154929577464788</v>
      </c>
      <c r="H116" s="128" t="e">
        <f t="shared" ref="H116:I116" si="486">H29/H25</f>
        <v>#DIV/0!</v>
      </c>
      <c r="I116" s="128" t="e">
        <f t="shared" si="486"/>
        <v>#DIV/0!</v>
      </c>
      <c r="J116" s="128" t="e">
        <f>J29/J25</f>
        <v>#DIV/0!</v>
      </c>
      <c r="K116" s="128">
        <f t="shared" ref="K116:S116" si="487">K29/K25</f>
        <v>0.59154929577464788</v>
      </c>
      <c r="L116" s="128">
        <f t="shared" si="487"/>
        <v>0.60526315789473684</v>
      </c>
      <c r="M116" s="128">
        <f t="shared" si="487"/>
        <v>0.54878048780487809</v>
      </c>
      <c r="N116" s="128">
        <f t="shared" si="487"/>
        <v>0.56888888888888889</v>
      </c>
      <c r="O116" s="128">
        <f t="shared" si="487"/>
        <v>0.63522012578616349</v>
      </c>
      <c r="P116" s="128">
        <f t="shared" si="487"/>
        <v>0.65270935960591137</v>
      </c>
      <c r="Q116" s="128">
        <f t="shared" si="487"/>
        <v>0.60747663551401865</v>
      </c>
      <c r="R116" s="128">
        <f t="shared" si="487"/>
        <v>0.62283236994219648</v>
      </c>
      <c r="S116" s="128">
        <f t="shared" si="487"/>
        <v>0.62202043132803631</v>
      </c>
      <c r="T116" s="128">
        <f t="shared" ref="T116:U116" si="488">T29/T25</f>
        <v>0.61818181818181817</v>
      </c>
      <c r="U116" s="128">
        <f t="shared" si="488"/>
        <v>0.58536585365853655</v>
      </c>
      <c r="V116" s="101">
        <f t="shared" si="323"/>
        <v>-1.0502458652023039E-3</v>
      </c>
      <c r="W116" s="10"/>
      <c r="X116" s="128">
        <f t="shared" ref="X116:AG116" si="489">X29/X25</f>
        <v>0.58536585365853655</v>
      </c>
      <c r="Y116" s="128">
        <f t="shared" si="489"/>
        <v>0.58536585365853655</v>
      </c>
      <c r="Z116" s="128">
        <f t="shared" si="489"/>
        <v>0.58536585365853655</v>
      </c>
      <c r="AA116" s="128">
        <f t="shared" si="489"/>
        <v>0.58536585365853655</v>
      </c>
      <c r="AB116" s="128">
        <f t="shared" si="489"/>
        <v>0.58536585365853644</v>
      </c>
      <c r="AC116" s="128">
        <f t="shared" si="489"/>
        <v>0.58536585365853655</v>
      </c>
      <c r="AD116" s="128">
        <f t="shared" si="489"/>
        <v>0.58536585365853655</v>
      </c>
      <c r="AE116" s="128">
        <f t="shared" si="489"/>
        <v>0.58536585365853655</v>
      </c>
      <c r="AF116" s="128">
        <f t="shared" si="489"/>
        <v>0.58536585365853655</v>
      </c>
      <c r="AG116" s="128">
        <f t="shared" si="489"/>
        <v>0.58536585365853655</v>
      </c>
      <c r="AH116" s="115" t="e">
        <f t="shared" si="456"/>
        <v>#DIV/0!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90">G29/G53</f>
        <v>0.68852459016393441</v>
      </c>
      <c r="H117" s="128" t="e">
        <f t="shared" ref="H117:I117" si="491">H29/H53</f>
        <v>#DIV/0!</v>
      </c>
      <c r="I117" s="128" t="e">
        <f t="shared" si="491"/>
        <v>#DIV/0!</v>
      </c>
      <c r="J117" s="128" t="e">
        <f>J29/J53</f>
        <v>#DIV/0!</v>
      </c>
      <c r="K117" s="128">
        <f t="shared" ref="K117:S117" si="492">K29/K53</f>
        <v>0.68852459016393441</v>
      </c>
      <c r="L117" s="128">
        <f t="shared" si="492"/>
        <v>0.66990291262135926</v>
      </c>
      <c r="M117" s="128">
        <f t="shared" si="492"/>
        <v>0.59602649006622521</v>
      </c>
      <c r="N117" s="128">
        <f t="shared" si="492"/>
        <v>0.61244019138755978</v>
      </c>
      <c r="O117" s="128">
        <f t="shared" si="492"/>
        <v>0.70877192982456139</v>
      </c>
      <c r="P117" s="128">
        <f t="shared" si="492"/>
        <v>0.71045576407506705</v>
      </c>
      <c r="Q117" s="128">
        <f t="shared" si="492"/>
        <v>2.138157894736842</v>
      </c>
      <c r="R117" s="128">
        <f t="shared" si="492"/>
        <v>0.69628432956381259</v>
      </c>
      <c r="S117" s="128">
        <f t="shared" si="492"/>
        <v>0.70166453265044815</v>
      </c>
      <c r="T117" s="128">
        <f t="shared" ref="T117:U117" si="493">T29/T53</f>
        <v>0.69612068965517238</v>
      </c>
      <c r="U117" s="128">
        <f t="shared" si="493"/>
        <v>0.67289719626168221</v>
      </c>
      <c r="V117" s="101">
        <f t="shared" si="323"/>
        <v>-2.29321351468037E-3</v>
      </c>
      <c r="W117" s="10"/>
      <c r="X117" s="128">
        <f t="shared" ref="X117:AG117" si="494">X29/X53</f>
        <v>0.67289719626168232</v>
      </c>
      <c r="Y117" s="128">
        <f t="shared" si="494"/>
        <v>0.67289719626168232</v>
      </c>
      <c r="Z117" s="128">
        <f t="shared" si="494"/>
        <v>0.67289719626168232</v>
      </c>
      <c r="AA117" s="128">
        <f t="shared" si="494"/>
        <v>0.67289719626168221</v>
      </c>
      <c r="AB117" s="128">
        <f t="shared" si="494"/>
        <v>0.67289719626168232</v>
      </c>
      <c r="AC117" s="128">
        <f t="shared" si="494"/>
        <v>0.67289719626168232</v>
      </c>
      <c r="AD117" s="128">
        <f t="shared" si="494"/>
        <v>0.67289719626168232</v>
      </c>
      <c r="AE117" s="128">
        <f t="shared" si="494"/>
        <v>0.67289719626168232</v>
      </c>
      <c r="AF117" s="128">
        <f t="shared" si="494"/>
        <v>0.67289719626168232</v>
      </c>
      <c r="AG117" s="128">
        <f t="shared" si="494"/>
        <v>0.67289719626168232</v>
      </c>
      <c r="AH117" s="115" t="e">
        <f t="shared" ref="AH117" si="495">((AG117/J117)^(1/($AG$3-$K$1) ))-1</f>
        <v>#DIV/0!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96">G29/G59</f>
        <v>2.8</v>
      </c>
      <c r="H118" s="146" t="e">
        <f t="shared" ref="H118:I118" si="497">H29/H59</f>
        <v>#DIV/0!</v>
      </c>
      <c r="I118" s="146" t="e">
        <f t="shared" si="497"/>
        <v>#DIV/0!</v>
      </c>
      <c r="J118" s="146" t="e">
        <f t="shared" ref="J118:S118" si="498">J29/J59</f>
        <v>#DIV/0!</v>
      </c>
      <c r="K118" s="146">
        <f t="shared" si="498"/>
        <v>2.8</v>
      </c>
      <c r="L118" s="146">
        <f t="shared" si="498"/>
        <v>2.76</v>
      </c>
      <c r="M118" s="146">
        <f t="shared" si="498"/>
        <v>2.0930232558139537</v>
      </c>
      <c r="N118" s="146">
        <f t="shared" si="498"/>
        <v>2.2068965517241379</v>
      </c>
      <c r="O118" s="146">
        <f t="shared" si="498"/>
        <v>3.3114754098360657</v>
      </c>
      <c r="P118" s="146">
        <f t="shared" si="498"/>
        <v>3.3125</v>
      </c>
      <c r="Q118" s="146">
        <f t="shared" si="498"/>
        <v>2.9545454545454546</v>
      </c>
      <c r="R118" s="146">
        <f t="shared" si="498"/>
        <v>3.5040650406504064</v>
      </c>
      <c r="S118" s="146">
        <f t="shared" si="498"/>
        <v>3.6533333333333333</v>
      </c>
      <c r="T118" s="146">
        <f t="shared" ref="T118:U118" si="499">T29/T59</f>
        <v>3.5494505494505493</v>
      </c>
      <c r="U118" s="146">
        <f t="shared" si="499"/>
        <v>3.145631067961165</v>
      </c>
      <c r="V118" s="101">
        <f t="shared" si="323"/>
        <v>1.1707513730006225E-2</v>
      </c>
      <c r="W118" s="10"/>
      <c r="X118" s="146">
        <f t="shared" ref="X118:AG118" si="500">X29/X59</f>
        <v>3.145631067961165</v>
      </c>
      <c r="Y118" s="146">
        <f t="shared" si="500"/>
        <v>3.1456310679611654</v>
      </c>
      <c r="Z118" s="146">
        <f t="shared" si="500"/>
        <v>3.1456310679611654</v>
      </c>
      <c r="AA118" s="146">
        <f t="shared" si="500"/>
        <v>3.1456310679611654</v>
      </c>
      <c r="AB118" s="146">
        <f t="shared" si="500"/>
        <v>3.145631067961165</v>
      </c>
      <c r="AC118" s="146">
        <f t="shared" si="500"/>
        <v>3.1456310679611654</v>
      </c>
      <c r="AD118" s="146">
        <f t="shared" si="500"/>
        <v>3.1456310679611659</v>
      </c>
      <c r="AE118" s="146">
        <f t="shared" si="500"/>
        <v>3.1456310679611659</v>
      </c>
      <c r="AF118" s="146">
        <f t="shared" si="500"/>
        <v>3.1456310679611659</v>
      </c>
      <c r="AG118" s="146">
        <f t="shared" si="500"/>
        <v>3.1456310679611659</v>
      </c>
      <c r="AH118" s="115" t="e">
        <f t="shared" ref="AH118" si="501">((AG118/J118)^(1/($AG$3-$K$1) ))-1</f>
        <v>#DIV/0!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502">G29/G12</f>
        <v>0.64615384615384619</v>
      </c>
      <c r="H119" s="146" t="e">
        <f t="shared" ref="H119:I119" si="503">H29/H12</f>
        <v>#DIV/0!</v>
      </c>
      <c r="I119" s="146" t="e">
        <f t="shared" si="503"/>
        <v>#DIV/0!</v>
      </c>
      <c r="J119" s="146" t="e">
        <f t="shared" ref="J119:S119" si="504">J29/J12</f>
        <v>#DIV/0!</v>
      </c>
      <c r="K119" s="146">
        <f t="shared" si="504"/>
        <v>0.64615384615384619</v>
      </c>
      <c r="L119" s="146">
        <f t="shared" si="504"/>
        <v>2.0294117647058822</v>
      </c>
      <c r="M119" s="146">
        <f t="shared" si="504"/>
        <v>1.40625</v>
      </c>
      <c r="N119" s="146">
        <f t="shared" si="504"/>
        <v>16</v>
      </c>
      <c r="O119" s="146">
        <f t="shared" si="504"/>
        <v>11.882352941176471</v>
      </c>
      <c r="P119" s="146">
        <f t="shared" si="504"/>
        <v>1.2619047619047619</v>
      </c>
      <c r="Q119" s="146">
        <f t="shared" si="504"/>
        <v>14.772727272727273</v>
      </c>
      <c r="R119" s="146">
        <f t="shared" si="504"/>
        <v>25.352941176470587</v>
      </c>
      <c r="S119" s="146">
        <f t="shared" si="504"/>
        <v>27.4</v>
      </c>
      <c r="T119" s="146">
        <f t="shared" ref="T119:U119" si="505">T29/T12</f>
        <v>29.363636363636363</v>
      </c>
      <c r="U119" s="146">
        <f t="shared" si="505"/>
        <v>24.923076923076923</v>
      </c>
      <c r="V119" s="101">
        <f t="shared" si="323"/>
        <v>0.44087588333627803</v>
      </c>
      <c r="W119" s="10"/>
      <c r="X119" s="128">
        <f t="shared" ref="X119:AG119" si="506">X29/X12</f>
        <v>24.923076923076923</v>
      </c>
      <c r="Y119" s="128">
        <f t="shared" si="506"/>
        <v>24.923076923076923</v>
      </c>
      <c r="Z119" s="128">
        <f t="shared" si="506"/>
        <v>24.92307692307692</v>
      </c>
      <c r="AA119" s="128">
        <f t="shared" si="506"/>
        <v>24.92307692307692</v>
      </c>
      <c r="AB119" s="128">
        <f t="shared" si="506"/>
        <v>24.92307692307692</v>
      </c>
      <c r="AC119" s="128">
        <f t="shared" si="506"/>
        <v>24.92307692307692</v>
      </c>
      <c r="AD119" s="128">
        <f t="shared" si="506"/>
        <v>24.92307692307692</v>
      </c>
      <c r="AE119" s="128">
        <f t="shared" si="506"/>
        <v>24.92307692307692</v>
      </c>
      <c r="AF119" s="128">
        <f t="shared" si="506"/>
        <v>24.923076923076923</v>
      </c>
      <c r="AG119" s="128">
        <f t="shared" si="506"/>
        <v>24.92307692307692</v>
      </c>
      <c r="AH119" s="115" t="e">
        <f t="shared" si="456"/>
        <v>#DIV/0!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13">1/G116</f>
        <v>1.6904761904761905</v>
      </c>
      <c r="H122" s="108" t="e">
        <f t="shared" ref="H122:I122" si="514">1/H116</f>
        <v>#DIV/0!</v>
      </c>
      <c r="I122" s="108" t="e">
        <f t="shared" si="514"/>
        <v>#DIV/0!</v>
      </c>
      <c r="J122" s="108" t="e">
        <f>1/J116</f>
        <v>#DIV/0!</v>
      </c>
      <c r="K122" s="108">
        <f t="shared" ref="K122:S122" si="515">1/K116</f>
        <v>1.6904761904761905</v>
      </c>
      <c r="L122" s="108">
        <f t="shared" si="515"/>
        <v>1.6521739130434783</v>
      </c>
      <c r="M122" s="108">
        <f t="shared" si="515"/>
        <v>1.8222222222222222</v>
      </c>
      <c r="N122" s="108">
        <f t="shared" si="515"/>
        <v>1.7578125</v>
      </c>
      <c r="O122" s="108">
        <f t="shared" si="515"/>
        <v>1.5742574257425743</v>
      </c>
      <c r="P122" s="108">
        <f t="shared" si="515"/>
        <v>1.5320754716981131</v>
      </c>
      <c r="Q122" s="108">
        <f t="shared" si="515"/>
        <v>1.6461538461538463</v>
      </c>
      <c r="R122" s="108">
        <f t="shared" si="515"/>
        <v>1.6055684454756383</v>
      </c>
      <c r="S122" s="108">
        <f t="shared" si="515"/>
        <v>1.6076642335766425</v>
      </c>
      <c r="T122" s="108">
        <f t="shared" ref="T122:U122" si="516">1/T116</f>
        <v>1.6176470588235294</v>
      </c>
      <c r="U122" s="108">
        <f t="shared" si="516"/>
        <v>1.7083333333333335</v>
      </c>
      <c r="V122" s="101">
        <f t="shared" si="323"/>
        <v>1.05135004123591E-3</v>
      </c>
      <c r="W122" s="10"/>
      <c r="X122" s="108">
        <f t="shared" ref="X122:AG122" si="517">1/X116</f>
        <v>1.7083333333333335</v>
      </c>
      <c r="Y122" s="108">
        <f t="shared" si="517"/>
        <v>1.7083333333333335</v>
      </c>
      <c r="Z122" s="108">
        <f t="shared" si="517"/>
        <v>1.7083333333333335</v>
      </c>
      <c r="AA122" s="108">
        <f t="shared" si="517"/>
        <v>1.7083333333333335</v>
      </c>
      <c r="AB122" s="108">
        <f t="shared" si="517"/>
        <v>1.7083333333333337</v>
      </c>
      <c r="AC122" s="108">
        <f t="shared" si="517"/>
        <v>1.7083333333333335</v>
      </c>
      <c r="AD122" s="108">
        <f t="shared" si="517"/>
        <v>1.7083333333333335</v>
      </c>
      <c r="AE122" s="108">
        <f t="shared" si="517"/>
        <v>1.7083333333333335</v>
      </c>
      <c r="AF122" s="108">
        <f t="shared" si="517"/>
        <v>1.7083333333333335</v>
      </c>
      <c r="AG122" s="108">
        <f t="shared" si="517"/>
        <v>1.7083333333333335</v>
      </c>
      <c r="AH122" s="115" t="e">
        <f t="shared" si="456"/>
        <v>#DIV/0!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18">1/G117</f>
        <v>1.4523809523809523</v>
      </c>
      <c r="H123" s="108" t="e">
        <f t="shared" ref="H123:I123" si="519">1/H117</f>
        <v>#DIV/0!</v>
      </c>
      <c r="I123" s="108" t="e">
        <f t="shared" si="519"/>
        <v>#DIV/0!</v>
      </c>
      <c r="J123" s="108" t="e">
        <f t="shared" ref="J123:S126" si="520">1/J117</f>
        <v>#DIV/0!</v>
      </c>
      <c r="K123" s="108">
        <f t="shared" si="520"/>
        <v>1.4523809523809523</v>
      </c>
      <c r="L123" s="108">
        <f t="shared" si="520"/>
        <v>1.4927536231884058</v>
      </c>
      <c r="M123" s="108">
        <f t="shared" si="520"/>
        <v>1.6777777777777776</v>
      </c>
      <c r="N123" s="108">
        <f t="shared" si="520"/>
        <v>1.6328125</v>
      </c>
      <c r="O123" s="108">
        <f t="shared" si="520"/>
        <v>1.410891089108911</v>
      </c>
      <c r="P123" s="108">
        <f t="shared" si="520"/>
        <v>1.4075471698113207</v>
      </c>
      <c r="Q123" s="108">
        <f t="shared" si="520"/>
        <v>0.46769230769230768</v>
      </c>
      <c r="R123" s="108">
        <f t="shared" si="520"/>
        <v>1.4361948955916473</v>
      </c>
      <c r="S123" s="108">
        <f t="shared" si="520"/>
        <v>1.4251824817518248</v>
      </c>
      <c r="T123" s="108">
        <f t="shared" ref="T123:U123" si="521">1/T117</f>
        <v>1.4365325077399382</v>
      </c>
      <c r="U123" s="108">
        <f t="shared" si="521"/>
        <v>1.4861111111111112</v>
      </c>
      <c r="V123" s="101">
        <f t="shared" si="323"/>
        <v>2.2984844302389451E-3</v>
      </c>
      <c r="W123" s="10"/>
      <c r="X123" s="108">
        <f t="shared" ref="X123:AG123" si="522">1/X117</f>
        <v>1.4861111111111109</v>
      </c>
      <c r="Y123" s="108">
        <f t="shared" si="522"/>
        <v>1.4861111111111109</v>
      </c>
      <c r="Z123" s="108">
        <f t="shared" si="522"/>
        <v>1.4861111111111109</v>
      </c>
      <c r="AA123" s="108">
        <f t="shared" si="522"/>
        <v>1.4861111111111112</v>
      </c>
      <c r="AB123" s="108">
        <f t="shared" si="522"/>
        <v>1.4861111111111109</v>
      </c>
      <c r="AC123" s="108">
        <f t="shared" si="522"/>
        <v>1.4861111111111109</v>
      </c>
      <c r="AD123" s="108">
        <f t="shared" si="522"/>
        <v>1.4861111111111109</v>
      </c>
      <c r="AE123" s="108">
        <f t="shared" si="522"/>
        <v>1.4861111111111109</v>
      </c>
      <c r="AF123" s="108">
        <f t="shared" si="522"/>
        <v>1.4861111111111109</v>
      </c>
      <c r="AG123" s="108">
        <f t="shared" si="522"/>
        <v>1.4861111111111109</v>
      </c>
      <c r="AH123" s="115" t="e">
        <f t="shared" si="456"/>
        <v>#DIV/0!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23">1/G118</f>
        <v>0.35714285714285715</v>
      </c>
      <c r="H124" s="108" t="e">
        <f t="shared" ref="H124:I124" si="524">1/H118</f>
        <v>#DIV/0!</v>
      </c>
      <c r="I124" s="108" t="e">
        <f t="shared" si="524"/>
        <v>#DIV/0!</v>
      </c>
      <c r="J124" s="108" t="e">
        <f t="shared" si="520"/>
        <v>#DIV/0!</v>
      </c>
      <c r="K124" s="108">
        <f t="shared" si="520"/>
        <v>0.35714285714285715</v>
      </c>
      <c r="L124" s="108">
        <f t="shared" si="520"/>
        <v>0.3623188405797102</v>
      </c>
      <c r="M124" s="108">
        <f t="shared" si="520"/>
        <v>0.47777777777777775</v>
      </c>
      <c r="N124" s="108">
        <f t="shared" si="520"/>
        <v>0.453125</v>
      </c>
      <c r="O124" s="108">
        <f t="shared" si="520"/>
        <v>0.30198019801980197</v>
      </c>
      <c r="P124" s="108">
        <f t="shared" si="520"/>
        <v>0.30188679245283018</v>
      </c>
      <c r="Q124" s="108">
        <f t="shared" si="520"/>
        <v>0.33846153846153848</v>
      </c>
      <c r="R124" s="108">
        <f t="shared" si="520"/>
        <v>0.28538283062645015</v>
      </c>
      <c r="S124" s="108">
        <f t="shared" si="520"/>
        <v>0.27372262773722628</v>
      </c>
      <c r="T124" s="108">
        <f t="shared" ref="T124:U124" si="525">1/T118</f>
        <v>0.28173374613003099</v>
      </c>
      <c r="U124" s="108">
        <f t="shared" si="525"/>
        <v>0.31790123456790126</v>
      </c>
      <c r="V124" s="101">
        <f t="shared" si="323"/>
        <v>-1.1572033983263008E-2</v>
      </c>
      <c r="W124" s="10"/>
      <c r="X124" s="108">
        <f t="shared" ref="X124:AG124" si="526">1/X118</f>
        <v>0.31790123456790126</v>
      </c>
      <c r="Y124" s="108">
        <f t="shared" si="526"/>
        <v>0.3179012345679012</v>
      </c>
      <c r="Z124" s="108">
        <f t="shared" si="526"/>
        <v>0.3179012345679012</v>
      </c>
      <c r="AA124" s="108">
        <f t="shared" si="526"/>
        <v>0.3179012345679012</v>
      </c>
      <c r="AB124" s="108">
        <f t="shared" si="526"/>
        <v>0.31790123456790126</v>
      </c>
      <c r="AC124" s="108">
        <f t="shared" si="526"/>
        <v>0.3179012345679012</v>
      </c>
      <c r="AD124" s="108">
        <f t="shared" si="526"/>
        <v>0.31790123456790115</v>
      </c>
      <c r="AE124" s="108">
        <f t="shared" si="526"/>
        <v>0.31790123456790115</v>
      </c>
      <c r="AF124" s="108">
        <f t="shared" si="526"/>
        <v>0.31790123456790115</v>
      </c>
      <c r="AG124" s="108">
        <f t="shared" si="526"/>
        <v>0.31790123456790115</v>
      </c>
      <c r="AH124" s="115" t="e">
        <f t="shared" si="456"/>
        <v>#DIV/0!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27">1/G119</f>
        <v>1.5476190476190474</v>
      </c>
      <c r="H125" s="108" t="e">
        <f t="shared" ref="H125:I125" si="528">1/H119</f>
        <v>#DIV/0!</v>
      </c>
      <c r="I125" s="108" t="e">
        <f t="shared" si="528"/>
        <v>#DIV/0!</v>
      </c>
      <c r="J125" s="108" t="e">
        <f t="shared" si="520"/>
        <v>#DIV/0!</v>
      </c>
      <c r="K125" s="108">
        <f t="shared" si="520"/>
        <v>1.5476190476190474</v>
      </c>
      <c r="L125" s="108">
        <f t="shared" si="520"/>
        <v>0.49275362318840582</v>
      </c>
      <c r="M125" s="108">
        <f t="shared" si="520"/>
        <v>0.71111111111111114</v>
      </c>
      <c r="N125" s="108">
        <f t="shared" si="520"/>
        <v>6.25E-2</v>
      </c>
      <c r="O125" s="108">
        <f t="shared" si="520"/>
        <v>8.415841584158415E-2</v>
      </c>
      <c r="P125" s="108">
        <f t="shared" si="520"/>
        <v>0.79245283018867929</v>
      </c>
      <c r="Q125" s="108">
        <f t="shared" si="520"/>
        <v>6.7692307692307691E-2</v>
      </c>
      <c r="R125" s="108">
        <f t="shared" si="520"/>
        <v>3.94431554524362E-2</v>
      </c>
      <c r="S125" s="108">
        <f t="shared" si="520"/>
        <v>3.6496350364963508E-2</v>
      </c>
      <c r="T125" s="108">
        <f t="shared" ref="T125:U125" si="529">1/T119</f>
        <v>3.4055727554179564E-2</v>
      </c>
      <c r="U125" s="108">
        <f t="shared" si="529"/>
        <v>4.0123456790123455E-2</v>
      </c>
      <c r="V125" s="101">
        <f t="shared" si="323"/>
        <v>-0.30597769622977611</v>
      </c>
      <c r="W125" s="10"/>
      <c r="X125" s="108">
        <f t="shared" ref="X125:AG125" si="530">1/X119</f>
        <v>4.0123456790123455E-2</v>
      </c>
      <c r="Y125" s="108">
        <f t="shared" si="530"/>
        <v>4.0123456790123455E-2</v>
      </c>
      <c r="Z125" s="108">
        <f t="shared" si="530"/>
        <v>4.0123456790123462E-2</v>
      </c>
      <c r="AA125" s="108">
        <f t="shared" si="530"/>
        <v>4.0123456790123462E-2</v>
      </c>
      <c r="AB125" s="108">
        <f t="shared" si="530"/>
        <v>4.0123456790123462E-2</v>
      </c>
      <c r="AC125" s="108">
        <f t="shared" si="530"/>
        <v>4.0123456790123462E-2</v>
      </c>
      <c r="AD125" s="108">
        <f t="shared" si="530"/>
        <v>4.0123456790123462E-2</v>
      </c>
      <c r="AE125" s="108">
        <f t="shared" si="530"/>
        <v>4.0123456790123462E-2</v>
      </c>
      <c r="AF125" s="108">
        <f t="shared" si="530"/>
        <v>4.0123456790123455E-2</v>
      </c>
      <c r="AG125" s="108">
        <f t="shared" si="530"/>
        <v>4.0123456790123462E-2</v>
      </c>
      <c r="AH125" s="115" t="e">
        <f t="shared" si="456"/>
        <v>#DIV/0!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4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1107</v>
      </c>
      <c r="V128" s="101" t="e">
        <f t="shared" si="323"/>
        <v>#DIV/0!</v>
      </c>
      <c r="W128" s="10"/>
      <c r="X128" s="146">
        <f t="shared" ref="X128:AG128" si="539">X25/(X36+X38)</f>
        <v>1107</v>
      </c>
      <c r="Y128" s="146">
        <f t="shared" si="539"/>
        <v>1107.0000000000002</v>
      </c>
      <c r="Z128" s="146">
        <f t="shared" si="539"/>
        <v>1107.0000000000002</v>
      </c>
      <c r="AA128" s="146">
        <f t="shared" si="539"/>
        <v>1107.0000000000002</v>
      </c>
      <c r="AB128" s="146">
        <f t="shared" si="539"/>
        <v>1107</v>
      </c>
      <c r="AC128" s="146">
        <f t="shared" si="539"/>
        <v>1107</v>
      </c>
      <c r="AD128" s="146">
        <f t="shared" si="539"/>
        <v>1107</v>
      </c>
      <c r="AE128" s="146">
        <f t="shared" si="539"/>
        <v>1107</v>
      </c>
      <c r="AF128" s="146">
        <f t="shared" si="539"/>
        <v>1107.0000000000002</v>
      </c>
      <c r="AG128" s="146">
        <f t="shared" si="539"/>
        <v>1107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>
      <c r="A129" s="304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>
      <c r="A130" s="304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>
      <c r="A131" s="304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>
      <c r="A132" s="304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4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 t="e">
        <f t="shared" ref="H133:I133" si="562">H49/H25</f>
        <v>#DIV/0!</v>
      </c>
      <c r="I133" s="146" t="e">
        <f t="shared" si="562"/>
        <v>#DIV/0!</v>
      </c>
      <c r="J133" s="146" t="e">
        <f t="shared" ref="J133:T133" si="563">J49/J25</f>
        <v>#DIV/0!</v>
      </c>
      <c r="K133" s="146">
        <f t="shared" si="563"/>
        <v>0</v>
      </c>
      <c r="L133" s="146">
        <f t="shared" si="563"/>
        <v>0</v>
      </c>
      <c r="M133" s="146">
        <f t="shared" si="563"/>
        <v>0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4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4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>
      <c r="A136" s="304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206</v>
      </c>
      <c r="V136" s="101" t="e">
        <f t="shared" si="323"/>
        <v>#DIV/0!</v>
      </c>
      <c r="W136" s="10"/>
      <c r="X136" s="146">
        <f t="shared" ref="X136:AG136" si="580">X59/(X36+X38)</f>
        <v>206</v>
      </c>
      <c r="Y136" s="146">
        <f t="shared" si="580"/>
        <v>206</v>
      </c>
      <c r="Z136" s="146">
        <f t="shared" si="580"/>
        <v>206</v>
      </c>
      <c r="AA136" s="146">
        <f t="shared" si="580"/>
        <v>206</v>
      </c>
      <c r="AB136" s="146">
        <f t="shared" si="580"/>
        <v>205.99999999999997</v>
      </c>
      <c r="AC136" s="146">
        <f t="shared" si="580"/>
        <v>205.99999999999997</v>
      </c>
      <c r="AD136" s="146">
        <f t="shared" si="580"/>
        <v>205.99999999999994</v>
      </c>
      <c r="AE136" s="146">
        <f t="shared" si="580"/>
        <v>205.99999999999994</v>
      </c>
      <c r="AF136" s="146">
        <f t="shared" si="580"/>
        <v>205.99999999999997</v>
      </c>
      <c r="AG136" s="146">
        <f t="shared" si="580"/>
        <v>205.99999999999994</v>
      </c>
      <c r="AH136" s="115" t="e">
        <f t="shared" si="540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81">G10-(G12+G13)</f>
        <v>415</v>
      </c>
      <c r="H138" s="138">
        <f t="shared" ref="H138:I138" si="582">H10-(H12+H13)</f>
        <v>0</v>
      </c>
      <c r="I138" s="138">
        <f t="shared" si="582"/>
        <v>0</v>
      </c>
      <c r="J138" s="138">
        <f t="shared" ref="J138:T138" si="583">J10-(J12+J13)</f>
        <v>0</v>
      </c>
      <c r="K138" s="138">
        <f t="shared" si="583"/>
        <v>415</v>
      </c>
      <c r="L138" s="138">
        <f t="shared" si="583"/>
        <v>659</v>
      </c>
      <c r="M138" s="138">
        <f t="shared" si="583"/>
        <v>1003</v>
      </c>
      <c r="N138" s="138">
        <f t="shared" si="583"/>
        <v>1539</v>
      </c>
      <c r="O138" s="138">
        <f t="shared" si="583"/>
        <v>1985</v>
      </c>
      <c r="P138" s="138">
        <f t="shared" si="583"/>
        <v>2353</v>
      </c>
      <c r="Q138" s="138">
        <f t="shared" si="583"/>
        <v>3274</v>
      </c>
      <c r="R138" s="138">
        <f t="shared" si="583"/>
        <v>4329</v>
      </c>
      <c r="S138" s="138">
        <f t="shared" si="583"/>
        <v>5481</v>
      </c>
      <c r="T138" s="138">
        <f t="shared" si="583"/>
        <v>6403</v>
      </c>
      <c r="U138" s="138">
        <f t="shared" ref="U138" si="584">U10-(U12+U13)</f>
        <v>6555</v>
      </c>
      <c r="V138" s="101">
        <f t="shared" si="323"/>
        <v>0.31780897174357081</v>
      </c>
      <c r="W138" s="10"/>
      <c r="X138" s="138">
        <f t="shared" ref="X138:AG138" si="585">X10-(X12+X13)</f>
        <v>7538.25</v>
      </c>
      <c r="Y138" s="138">
        <f t="shared" si="585"/>
        <v>8668.9874999999975</v>
      </c>
      <c r="Z138" s="138">
        <f t="shared" si="585"/>
        <v>9969.3356249999961</v>
      </c>
      <c r="AA138" s="138">
        <f t="shared" si="585"/>
        <v>11464.735968749996</v>
      </c>
      <c r="AB138" s="138">
        <f t="shared" si="585"/>
        <v>13184.446364062494</v>
      </c>
      <c r="AC138" s="138">
        <f t="shared" si="585"/>
        <v>15162.113318671867</v>
      </c>
      <c r="AD138" s="138">
        <f t="shared" si="585"/>
        <v>17436.430316472648</v>
      </c>
      <c r="AE138" s="138">
        <f t="shared" si="585"/>
        <v>20051.894863943544</v>
      </c>
      <c r="AF138" s="138">
        <f t="shared" si="585"/>
        <v>23059.679093535073</v>
      </c>
      <c r="AG138" s="138">
        <f t="shared" si="585"/>
        <v>26518.630957565332</v>
      </c>
      <c r="AH138" s="115" t="e">
        <f t="shared" si="456"/>
        <v>#DIV/0!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86">G59/G18</f>
        <v>15.625</v>
      </c>
      <c r="H139" s="128" t="e">
        <f t="shared" ref="H139:I139" si="587">H59/H18</f>
        <v>#DIV/0!</v>
      </c>
      <c r="I139" s="128" t="e">
        <f t="shared" si="587"/>
        <v>#DIV/0!</v>
      </c>
      <c r="J139" s="128" t="e">
        <f t="shared" ref="J139:T139" si="588">J59/J18</f>
        <v>#DIV/0!</v>
      </c>
      <c r="K139" s="128">
        <f t="shared" si="588"/>
        <v>15.625</v>
      </c>
      <c r="L139" s="128">
        <f t="shared" si="588"/>
        <v>25</v>
      </c>
      <c r="M139" s="128">
        <f t="shared" si="588"/>
        <v>43</v>
      </c>
      <c r="N139" s="128">
        <f t="shared" si="588"/>
        <v>19.333333333333332</v>
      </c>
      <c r="O139" s="128">
        <f t="shared" si="588"/>
        <v>20.333333333333332</v>
      </c>
      <c r="P139" s="128">
        <f t="shared" si="588"/>
        <v>20</v>
      </c>
      <c r="Q139" s="128">
        <f t="shared" si="588"/>
        <v>22</v>
      </c>
      <c r="R139" s="128">
        <f t="shared" si="588"/>
        <v>15.375</v>
      </c>
      <c r="S139" s="128">
        <f t="shared" si="588"/>
        <v>16.666666666666668</v>
      </c>
      <c r="T139" s="128">
        <f t="shared" si="588"/>
        <v>20.222222222222221</v>
      </c>
      <c r="U139" s="128">
        <f t="shared" ref="U139" si="589">U59/U18</f>
        <v>15.846153846153847</v>
      </c>
      <c r="V139" s="101">
        <f t="shared" ref="V139:V171" si="590">((U139/G139)^(1/($K$2-$K$1) ))-1</f>
        <v>1.4064496945402905E-3</v>
      </c>
      <c r="W139" s="10"/>
      <c r="X139" s="128">
        <f t="shared" ref="X139:AG139" si="591">X59/X18</f>
        <v>15.846153846153845</v>
      </c>
      <c r="Y139" s="128">
        <f t="shared" si="591"/>
        <v>15.846153846153843</v>
      </c>
      <c r="Z139" s="128">
        <f t="shared" si="591"/>
        <v>15.846153846153841</v>
      </c>
      <c r="AA139" s="128">
        <f t="shared" si="591"/>
        <v>15.846153846153843</v>
      </c>
      <c r="AB139" s="128">
        <f t="shared" si="591"/>
        <v>15.846153846153843</v>
      </c>
      <c r="AC139" s="128">
        <f t="shared" si="591"/>
        <v>15.846153846153841</v>
      </c>
      <c r="AD139" s="128">
        <f t="shared" si="591"/>
        <v>15.846153846153841</v>
      </c>
      <c r="AE139" s="128">
        <f t="shared" si="591"/>
        <v>15.846153846153841</v>
      </c>
      <c r="AF139" s="128">
        <f t="shared" si="591"/>
        <v>15.846153846153843</v>
      </c>
      <c r="AG139" s="128">
        <f t="shared" si="591"/>
        <v>15.846153846153841</v>
      </c>
      <c r="AH139" s="115" t="e">
        <f t="shared" si="456"/>
        <v>#DIV/0!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92">G59/G25</f>
        <v>0.21126760563380281</v>
      </c>
      <c r="H140" s="128" t="e">
        <f t="shared" ref="H140:I140" si="593">H59/H25</f>
        <v>#DIV/0!</v>
      </c>
      <c r="I140" s="128" t="e">
        <f t="shared" si="593"/>
        <v>#DIV/0!</v>
      </c>
      <c r="J140" s="128" t="e">
        <f t="shared" ref="J140:T140" si="594">J59/J25</f>
        <v>#DIV/0!</v>
      </c>
      <c r="K140" s="128">
        <f t="shared" si="594"/>
        <v>0.21126760563380281</v>
      </c>
      <c r="L140" s="128">
        <f t="shared" si="594"/>
        <v>0.21929824561403508</v>
      </c>
      <c r="M140" s="128">
        <f t="shared" si="594"/>
        <v>0.26219512195121952</v>
      </c>
      <c r="N140" s="128">
        <f t="shared" si="594"/>
        <v>0.25777777777777777</v>
      </c>
      <c r="O140" s="128">
        <f t="shared" si="594"/>
        <v>0.1918238993710692</v>
      </c>
      <c r="P140" s="128">
        <f t="shared" si="594"/>
        <v>0.19704433497536947</v>
      </c>
      <c r="Q140" s="128">
        <f t="shared" si="594"/>
        <v>0.20560747663551401</v>
      </c>
      <c r="R140" s="128">
        <f t="shared" si="594"/>
        <v>0.1777456647398844</v>
      </c>
      <c r="S140" s="128">
        <f t="shared" si="594"/>
        <v>0.170261066969353</v>
      </c>
      <c r="T140" s="128">
        <f t="shared" si="594"/>
        <v>0.17416267942583732</v>
      </c>
      <c r="U140" s="128">
        <f t="shared" ref="U140" si="595">U59/U25</f>
        <v>0.18608852755194219</v>
      </c>
      <c r="V140" s="101">
        <f t="shared" si="590"/>
        <v>-1.2610126367622376E-2</v>
      </c>
      <c r="W140" s="10"/>
      <c r="X140" s="128">
        <f t="shared" ref="X140:AG140" si="596">X59/X25</f>
        <v>0.18608852755194216</v>
      </c>
      <c r="Y140" s="128">
        <f t="shared" si="596"/>
        <v>0.18608852755194216</v>
      </c>
      <c r="Z140" s="128">
        <f t="shared" si="596"/>
        <v>0.18608852755194213</v>
      </c>
      <c r="AA140" s="128">
        <f t="shared" si="596"/>
        <v>0.18608852755194213</v>
      </c>
      <c r="AB140" s="128">
        <f t="shared" si="596"/>
        <v>0.18608852755194216</v>
      </c>
      <c r="AC140" s="128">
        <f t="shared" si="596"/>
        <v>0.18608852755194216</v>
      </c>
      <c r="AD140" s="128">
        <f t="shared" si="596"/>
        <v>0.18608852755194213</v>
      </c>
      <c r="AE140" s="128">
        <f t="shared" si="596"/>
        <v>0.18608852755194213</v>
      </c>
      <c r="AF140" s="128">
        <f t="shared" si="596"/>
        <v>0.18608852755194213</v>
      </c>
      <c r="AG140" s="128">
        <f t="shared" si="596"/>
        <v>0.18608852755194213</v>
      </c>
      <c r="AH140" s="115" t="e">
        <f t="shared" si="456"/>
        <v>#DIV/0!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97">G25/G18</f>
        <v>73.958333333333343</v>
      </c>
      <c r="H141" s="128" t="e">
        <f t="shared" ref="H141:I141" si="598">H25/H18</f>
        <v>#DIV/0!</v>
      </c>
      <c r="I141" s="128" t="e">
        <f t="shared" si="598"/>
        <v>#DIV/0!</v>
      </c>
      <c r="J141" s="128" t="e">
        <f t="shared" ref="J141:T141" si="599">J25/J18</f>
        <v>#DIV/0!</v>
      </c>
      <c r="K141" s="128">
        <f t="shared" si="599"/>
        <v>73.958333333333343</v>
      </c>
      <c r="L141" s="128">
        <f t="shared" si="599"/>
        <v>114</v>
      </c>
      <c r="M141" s="128">
        <f t="shared" si="599"/>
        <v>164</v>
      </c>
      <c r="N141" s="128">
        <f t="shared" si="599"/>
        <v>75</v>
      </c>
      <c r="O141" s="128">
        <f t="shared" si="599"/>
        <v>106</v>
      </c>
      <c r="P141" s="128">
        <f t="shared" si="599"/>
        <v>101.5</v>
      </c>
      <c r="Q141" s="128">
        <f t="shared" si="599"/>
        <v>107</v>
      </c>
      <c r="R141" s="128">
        <f t="shared" si="599"/>
        <v>86.5</v>
      </c>
      <c r="S141" s="128">
        <f t="shared" si="599"/>
        <v>97.888888888888886</v>
      </c>
      <c r="T141" s="128">
        <f t="shared" si="599"/>
        <v>116.11111111111111</v>
      </c>
      <c r="U141" s="128">
        <f t="shared" ref="U141" si="600">U25/U18</f>
        <v>85.15384615384616</v>
      </c>
      <c r="V141" s="101">
        <f t="shared" si="590"/>
        <v>1.4195584172439268E-2</v>
      </c>
      <c r="W141" s="10"/>
      <c r="X141" s="128">
        <f t="shared" ref="X141:AG141" si="601">X25/X18</f>
        <v>85.15384615384616</v>
      </c>
      <c r="Y141" s="128">
        <f t="shared" si="601"/>
        <v>85.15384615384616</v>
      </c>
      <c r="Z141" s="128">
        <f t="shared" si="601"/>
        <v>85.153846153846146</v>
      </c>
      <c r="AA141" s="128">
        <f t="shared" si="601"/>
        <v>85.15384615384616</v>
      </c>
      <c r="AB141" s="128">
        <f t="shared" si="601"/>
        <v>85.15384615384616</v>
      </c>
      <c r="AC141" s="128">
        <f t="shared" si="601"/>
        <v>85.153846153846146</v>
      </c>
      <c r="AD141" s="128">
        <f t="shared" si="601"/>
        <v>85.153846153846146</v>
      </c>
      <c r="AE141" s="128">
        <f t="shared" si="601"/>
        <v>85.153846153846146</v>
      </c>
      <c r="AF141" s="128">
        <f t="shared" si="601"/>
        <v>85.15384615384616</v>
      </c>
      <c r="AG141" s="128">
        <f t="shared" si="601"/>
        <v>85.153846153846146</v>
      </c>
      <c r="AH141" s="115" t="e">
        <f t="shared" si="456"/>
        <v>#DIV/0!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602">G92*G61</f>
        <v>0</v>
      </c>
      <c r="H143" s="140">
        <f t="shared" ref="H143:I143" si="603">H92*H61</f>
        <v>0</v>
      </c>
      <c r="I143" s="140">
        <f t="shared" si="603"/>
        <v>0</v>
      </c>
      <c r="J143" s="140">
        <f t="shared" ref="J143:T143" si="604">J92*J61</f>
        <v>0</v>
      </c>
      <c r="K143" s="140">
        <f t="shared" si="604"/>
        <v>0</v>
      </c>
      <c r="L143" s="140">
        <f t="shared" si="604"/>
        <v>0</v>
      </c>
      <c r="M143" s="140">
        <f t="shared" si="604"/>
        <v>0</v>
      </c>
      <c r="N143" s="140">
        <f t="shared" si="604"/>
        <v>0</v>
      </c>
      <c r="O143" s="140">
        <f t="shared" si="604"/>
        <v>0</v>
      </c>
      <c r="P143" s="140">
        <f t="shared" si="604"/>
        <v>0</v>
      </c>
      <c r="Q143" s="140">
        <f t="shared" si="604"/>
        <v>0</v>
      </c>
      <c r="R143" s="140">
        <f t="shared" si="604"/>
        <v>0</v>
      </c>
      <c r="S143" s="140">
        <f t="shared" si="604"/>
        <v>0</v>
      </c>
      <c r="T143" s="140">
        <f t="shared" si="604"/>
        <v>12.5</v>
      </c>
      <c r="U143" s="140">
        <f t="shared" ref="U143" si="605">U92*U61</f>
        <v>13.750000000000002</v>
      </c>
      <c r="V143" s="101" t="e">
        <f t="shared" si="590"/>
        <v>#DIV/0!</v>
      </c>
      <c r="W143" s="10"/>
      <c r="X143" s="140">
        <f t="shared" ref="X143:AG143" si="606">X92*X61</f>
        <v>14.165250000000002</v>
      </c>
      <c r="Y143" s="140">
        <f t="shared" si="606"/>
        <v>14.593040550000003</v>
      </c>
      <c r="Z143" s="140">
        <f t="shared" si="606"/>
        <v>15.033750374610003</v>
      </c>
      <c r="AA143" s="140">
        <f t="shared" si="606"/>
        <v>15.487769635923224</v>
      </c>
      <c r="AB143" s="140">
        <f t="shared" si="606"/>
        <v>15.955500278928106</v>
      </c>
      <c r="AC143" s="140">
        <f t="shared" si="606"/>
        <v>16.437356387351738</v>
      </c>
      <c r="AD143" s="140">
        <f t="shared" si="606"/>
        <v>16.933764550249759</v>
      </c>
      <c r="AE143" s="140">
        <f t="shared" si="606"/>
        <v>17.445164239667303</v>
      </c>
      <c r="AF143" s="140">
        <f t="shared" si="606"/>
        <v>17.972008199705254</v>
      </c>
      <c r="AG143" s="140">
        <f t="shared" si="606"/>
        <v>18.514762847336353</v>
      </c>
      <c r="AH143" s="115" t="e">
        <f t="shared" si="456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07">(G143*0.17)+G143</f>
        <v>0</v>
      </c>
      <c r="H144" s="140">
        <f t="shared" ref="H144:I144" si="608">(H143*0.17)+H143</f>
        <v>0</v>
      </c>
      <c r="I144" s="140">
        <f t="shared" si="608"/>
        <v>0</v>
      </c>
      <c r="J144" s="140">
        <f t="shared" ref="J144:S144" si="609">(J143*0.17)+J143</f>
        <v>0</v>
      </c>
      <c r="K144" s="140">
        <f t="shared" si="609"/>
        <v>0</v>
      </c>
      <c r="L144" s="140">
        <f t="shared" si="609"/>
        <v>0</v>
      </c>
      <c r="M144" s="140">
        <f t="shared" si="609"/>
        <v>0</v>
      </c>
      <c r="N144" s="140">
        <f t="shared" si="609"/>
        <v>0</v>
      </c>
      <c r="O144" s="140">
        <f t="shared" si="609"/>
        <v>0</v>
      </c>
      <c r="P144" s="140">
        <f t="shared" si="609"/>
        <v>0</v>
      </c>
      <c r="Q144" s="140">
        <f t="shared" si="609"/>
        <v>0</v>
      </c>
      <c r="R144" s="140">
        <f t="shared" si="609"/>
        <v>0</v>
      </c>
      <c r="S144" s="140">
        <f t="shared" si="609"/>
        <v>0</v>
      </c>
      <c r="T144" s="140">
        <f t="shared" ref="T144:U144" si="610">(T143*0.17)+T143</f>
        <v>14.625</v>
      </c>
      <c r="U144" s="140">
        <f t="shared" si="610"/>
        <v>16.087500000000002</v>
      </c>
      <c r="V144" s="101" t="e">
        <f t="shared" si="590"/>
        <v>#DIV/0!</v>
      </c>
      <c r="W144" s="10"/>
      <c r="X144" s="140">
        <f t="shared" ref="X144:AG144" si="611">(X143*0.17)+X143</f>
        <v>16.573342500000003</v>
      </c>
      <c r="Y144" s="140">
        <f t="shared" si="611"/>
        <v>17.073857443500003</v>
      </c>
      <c r="Z144" s="140">
        <f t="shared" si="611"/>
        <v>17.589487938293704</v>
      </c>
      <c r="AA144" s="140">
        <f t="shared" si="611"/>
        <v>18.120690474030173</v>
      </c>
      <c r="AB144" s="140">
        <f t="shared" si="611"/>
        <v>18.667935326345884</v>
      </c>
      <c r="AC144" s="140">
        <f t="shared" si="611"/>
        <v>19.231706973201533</v>
      </c>
      <c r="AD144" s="140">
        <f t="shared" si="611"/>
        <v>19.812504523792217</v>
      </c>
      <c r="AE144" s="140">
        <f t="shared" si="611"/>
        <v>20.410842160410745</v>
      </c>
      <c r="AF144" s="140">
        <f t="shared" si="611"/>
        <v>21.027249593655146</v>
      </c>
      <c r="AG144" s="140">
        <f t="shared" si="611"/>
        <v>21.662272531383532</v>
      </c>
      <c r="AH144" s="115" t="e">
        <f t="shared" si="456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12">G144/G59</f>
        <v>0</v>
      </c>
      <c r="H145" s="128" t="e">
        <f t="shared" ref="H145:I145" si="613">H144/H59</f>
        <v>#DIV/0!</v>
      </c>
      <c r="I145" s="128" t="e">
        <f t="shared" si="613"/>
        <v>#DIV/0!</v>
      </c>
      <c r="J145" s="128" t="e">
        <f t="shared" ref="J145:T145" si="614">J144/J59</f>
        <v>#DIV/0!</v>
      </c>
      <c r="K145" s="128">
        <f t="shared" si="614"/>
        <v>0</v>
      </c>
      <c r="L145" s="128">
        <f t="shared" si="614"/>
        <v>0</v>
      </c>
      <c r="M145" s="128">
        <f t="shared" si="614"/>
        <v>0</v>
      </c>
      <c r="N145" s="128">
        <f t="shared" si="614"/>
        <v>0</v>
      </c>
      <c r="O145" s="128">
        <f t="shared" si="614"/>
        <v>0</v>
      </c>
      <c r="P145" s="128">
        <f t="shared" si="614"/>
        <v>0</v>
      </c>
      <c r="Q145" s="128">
        <f t="shared" si="614"/>
        <v>0</v>
      </c>
      <c r="R145" s="128">
        <f t="shared" si="614"/>
        <v>0</v>
      </c>
      <c r="S145" s="128">
        <f t="shared" si="614"/>
        <v>0</v>
      </c>
      <c r="T145" s="128">
        <f t="shared" si="614"/>
        <v>8.0357142857142863E-2</v>
      </c>
      <c r="U145" s="128">
        <f t="shared" ref="U145" si="615">U144/U59</f>
        <v>7.809466019417477E-2</v>
      </c>
      <c r="V145" s="101" t="e">
        <f t="shared" si="590"/>
        <v>#DIV/0!</v>
      </c>
      <c r="W145" s="10"/>
      <c r="X145" s="128">
        <f t="shared" ref="X145:AG145" si="616">X144/X59</f>
        <v>6.9959233853946826E-2</v>
      </c>
      <c r="Y145" s="128">
        <f t="shared" si="616"/>
        <v>6.2671306709857419E-2</v>
      </c>
      <c r="Z145" s="128">
        <f t="shared" si="616"/>
        <v>5.6142591454343589E-2</v>
      </c>
      <c r="AA145" s="128">
        <f t="shared" si="616"/>
        <v>5.0293998014143276E-2</v>
      </c>
      <c r="AB145" s="128">
        <f t="shared" si="616"/>
        <v>4.5054675438409048E-2</v>
      </c>
      <c r="AC145" s="128">
        <f t="shared" si="616"/>
        <v>4.03611535970861E-2</v>
      </c>
      <c r="AD145" s="128">
        <f t="shared" si="616"/>
        <v>3.6156574291928784E-2</v>
      </c>
      <c r="AE145" s="128">
        <f t="shared" si="616"/>
        <v>3.2390002465691341E-2</v>
      </c>
      <c r="AF145" s="128">
        <f t="shared" si="616"/>
        <v>2.901580916535236E-2</v>
      </c>
      <c r="AG145" s="128">
        <f t="shared" si="616"/>
        <v>2.5993118784474786E-2</v>
      </c>
      <c r="AH145" s="115" t="e">
        <f t="shared" si="456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17">1-G145</f>
        <v>1</v>
      </c>
      <c r="H146" s="128" t="e">
        <f t="shared" ref="H146:I146" si="618">1-H145</f>
        <v>#DIV/0!</v>
      </c>
      <c r="I146" s="128" t="e">
        <f t="shared" si="618"/>
        <v>#DIV/0!</v>
      </c>
      <c r="J146" s="128" t="e">
        <f>1-J145</f>
        <v>#DIV/0!</v>
      </c>
      <c r="K146" s="128">
        <f t="shared" ref="K146:S146" si="619">1-K145</f>
        <v>1</v>
      </c>
      <c r="L146" s="128">
        <f t="shared" si="619"/>
        <v>1</v>
      </c>
      <c r="M146" s="128">
        <f t="shared" si="619"/>
        <v>1</v>
      </c>
      <c r="N146" s="128">
        <f t="shared" si="619"/>
        <v>1</v>
      </c>
      <c r="O146" s="128">
        <f t="shared" si="619"/>
        <v>1</v>
      </c>
      <c r="P146" s="128">
        <f t="shared" si="619"/>
        <v>1</v>
      </c>
      <c r="Q146" s="128">
        <f t="shared" si="619"/>
        <v>1</v>
      </c>
      <c r="R146" s="128">
        <f t="shared" si="619"/>
        <v>1</v>
      </c>
      <c r="S146" s="128">
        <f t="shared" si="619"/>
        <v>1</v>
      </c>
      <c r="T146" s="128">
        <f t="shared" ref="T146:U146" si="620">1-T145</f>
        <v>0.9196428571428571</v>
      </c>
      <c r="U146" s="128">
        <f t="shared" si="620"/>
        <v>0.92190533980582523</v>
      </c>
      <c r="V146" s="101">
        <f t="shared" si="590"/>
        <v>-8.0983035239884371E-3</v>
      </c>
      <c r="W146" s="10"/>
      <c r="X146" s="128">
        <f t="shared" ref="X146:AG146" si="621">1-X145</f>
        <v>0.93004076614605313</v>
      </c>
      <c r="Y146" s="128">
        <f t="shared" si="621"/>
        <v>0.93732869329014257</v>
      </c>
      <c r="Z146" s="128">
        <f t="shared" si="621"/>
        <v>0.94385740854565636</v>
      </c>
      <c r="AA146" s="128">
        <f t="shared" si="621"/>
        <v>0.94970600198585675</v>
      </c>
      <c r="AB146" s="128">
        <f t="shared" si="621"/>
        <v>0.95494532456159098</v>
      </c>
      <c r="AC146" s="128">
        <f t="shared" si="621"/>
        <v>0.95963884640291386</v>
      </c>
      <c r="AD146" s="128">
        <f t="shared" si="621"/>
        <v>0.96384342570807124</v>
      </c>
      <c r="AE146" s="128">
        <f t="shared" si="621"/>
        <v>0.96760999753430865</v>
      </c>
      <c r="AF146" s="128">
        <f t="shared" si="621"/>
        <v>0.9709841908346476</v>
      </c>
      <c r="AG146" s="128">
        <f t="shared" si="621"/>
        <v>0.97400688121552526</v>
      </c>
      <c r="AH146" s="115" t="e">
        <f t="shared" si="456"/>
        <v>#DIV/0!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 t="e">
        <f t="shared" ref="H149:I149" si="628">H31/H25</f>
        <v>#DIV/0!</v>
      </c>
      <c r="I149" s="128" t="e">
        <f t="shared" si="628"/>
        <v>#DIV/0!</v>
      </c>
      <c r="J149" s="128" t="e">
        <f t="shared" ref="J149:T149" si="629">J31/J25</f>
        <v>#DIV/0!</v>
      </c>
      <c r="K149" s="128">
        <f t="shared" si="629"/>
        <v>0</v>
      </c>
      <c r="L149" s="128">
        <f t="shared" si="629"/>
        <v>0</v>
      </c>
      <c r="M149" s="128">
        <f t="shared" si="629"/>
        <v>0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 t="e">
        <f t="shared" ref="H150:I150" si="633">H32/H25</f>
        <v>#DIV/0!</v>
      </c>
      <c r="I150" s="128" t="e">
        <f t="shared" si="633"/>
        <v>#DIV/0!</v>
      </c>
      <c r="J150" s="128" t="e">
        <f t="shared" ref="J150:T150" si="634">J32/J25</f>
        <v>#DIV/0!</v>
      </c>
      <c r="K150" s="128">
        <f t="shared" si="634"/>
        <v>0</v>
      </c>
      <c r="L150" s="128">
        <f t="shared" si="634"/>
        <v>0</v>
      </c>
      <c r="M150" s="128">
        <f t="shared" si="634"/>
        <v>0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 t="e">
        <f t="shared" ref="H151:I151" si="638">(H31+H32)/H25</f>
        <v>#DIV/0!</v>
      </c>
      <c r="I151" s="128" t="e">
        <f t="shared" si="638"/>
        <v>#DIV/0!</v>
      </c>
      <c r="J151" s="128" t="e">
        <f t="shared" ref="J151:T151" si="639">(J31+J32)/J25</f>
        <v>#DIV/0!</v>
      </c>
      <c r="K151" s="128">
        <f t="shared" si="639"/>
        <v>0</v>
      </c>
      <c r="L151" s="128">
        <f t="shared" si="639"/>
        <v>0</v>
      </c>
      <c r="M151" s="128">
        <f t="shared" si="639"/>
        <v>0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42">G27/G25</f>
        <v>9.8591549295774641E-2</v>
      </c>
      <c r="H153" s="128" t="e">
        <f t="shared" ref="H153:I153" si="643">H27/H25</f>
        <v>#DIV/0!</v>
      </c>
      <c r="I153" s="128" t="e">
        <f t="shared" si="643"/>
        <v>#DIV/0!</v>
      </c>
      <c r="J153" s="128" t="e">
        <f t="shared" ref="J153:T153" si="644">J27/J25</f>
        <v>#DIV/0!</v>
      </c>
      <c r="K153" s="128">
        <f t="shared" si="644"/>
        <v>9.8591549295774641E-2</v>
      </c>
      <c r="L153" s="128">
        <f t="shared" si="644"/>
        <v>7.8947368421052627E-2</v>
      </c>
      <c r="M153" s="128">
        <f t="shared" si="644"/>
        <v>7.3170731707317069E-2</v>
      </c>
      <c r="N153" s="128">
        <f t="shared" si="644"/>
        <v>7.1111111111111111E-2</v>
      </c>
      <c r="O153" s="128">
        <f t="shared" si="644"/>
        <v>0.10377358490566038</v>
      </c>
      <c r="P153" s="128">
        <f t="shared" si="644"/>
        <v>7.8817733990147784E-2</v>
      </c>
      <c r="Q153" s="128">
        <f t="shared" si="644"/>
        <v>0.1102803738317757</v>
      </c>
      <c r="R153" s="128">
        <f t="shared" si="644"/>
        <v>0.10404624277456648</v>
      </c>
      <c r="S153" s="128">
        <f t="shared" si="644"/>
        <v>0.11237230419977298</v>
      </c>
      <c r="T153" s="128">
        <f t="shared" si="644"/>
        <v>0.11004784688995216</v>
      </c>
      <c r="U153" s="128">
        <f t="shared" ref="U153" si="645">U27/U25</f>
        <v>0.12827461607949414</v>
      </c>
      <c r="V153" s="101">
        <f t="shared" si="590"/>
        <v>2.6668183024155301E-2</v>
      </c>
      <c r="W153" s="10"/>
      <c r="X153" s="128">
        <f t="shared" ref="X153:AG153" si="646">X27/X25</f>
        <v>0.12827461607949411</v>
      </c>
      <c r="Y153" s="128">
        <f t="shared" si="646"/>
        <v>0.12827461607949411</v>
      </c>
      <c r="Z153" s="128">
        <f t="shared" si="646"/>
        <v>0.12827461607949411</v>
      </c>
      <c r="AA153" s="128">
        <f t="shared" si="646"/>
        <v>0.12827461607949409</v>
      </c>
      <c r="AB153" s="128">
        <f t="shared" si="646"/>
        <v>0.12827461607949409</v>
      </c>
      <c r="AC153" s="128">
        <f t="shared" si="646"/>
        <v>0.12827461607949409</v>
      </c>
      <c r="AD153" s="128">
        <f t="shared" si="646"/>
        <v>0.12827461607949411</v>
      </c>
      <c r="AE153" s="128">
        <f t="shared" si="646"/>
        <v>0.12827461607949411</v>
      </c>
      <c r="AF153" s="128">
        <f t="shared" si="646"/>
        <v>0.12827461607949409</v>
      </c>
      <c r="AG153" s="128">
        <f t="shared" si="646"/>
        <v>0.12827461607949411</v>
      </c>
      <c r="AH153" s="115" t="e">
        <f t="shared" si="456"/>
        <v>#DIV/0!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47">G33/G25</f>
        <v>0.59154929577464788</v>
      </c>
      <c r="H154" s="128" t="e">
        <f t="shared" ref="H154:I154" si="648">H33/H25</f>
        <v>#DIV/0!</v>
      </c>
      <c r="I154" s="128" t="e">
        <f t="shared" si="648"/>
        <v>#DIV/0!</v>
      </c>
      <c r="J154" s="128" t="e">
        <f t="shared" ref="J154:T154" si="649">J33/J25</f>
        <v>#DIV/0!</v>
      </c>
      <c r="K154" s="128">
        <f t="shared" si="649"/>
        <v>0.59154929577464788</v>
      </c>
      <c r="L154" s="128">
        <f t="shared" si="649"/>
        <v>0.60526315789473684</v>
      </c>
      <c r="M154" s="128">
        <f t="shared" si="649"/>
        <v>0.54878048780487809</v>
      </c>
      <c r="N154" s="128">
        <f t="shared" si="649"/>
        <v>0.56888888888888889</v>
      </c>
      <c r="O154" s="128">
        <f t="shared" si="649"/>
        <v>0.63522012578616349</v>
      </c>
      <c r="P154" s="128">
        <f t="shared" si="649"/>
        <v>0.65270935960591137</v>
      </c>
      <c r="Q154" s="128">
        <f t="shared" si="649"/>
        <v>0</v>
      </c>
      <c r="R154" s="128">
        <f t="shared" si="649"/>
        <v>0.62283236994219648</v>
      </c>
      <c r="S154" s="128">
        <f t="shared" si="649"/>
        <v>0.62202043132803631</v>
      </c>
      <c r="T154" s="128">
        <f t="shared" si="649"/>
        <v>0.61818181818181817</v>
      </c>
      <c r="U154" s="128">
        <f t="shared" ref="U154" si="650">U33/U25</f>
        <v>0.58536585365853655</v>
      </c>
      <c r="V154" s="101">
        <f t="shared" si="590"/>
        <v>-1.0502458652023039E-3</v>
      </c>
      <c r="W154" s="10"/>
      <c r="X154" s="128">
        <f t="shared" ref="X154:AG154" si="651">X33/X25</f>
        <v>0.58536585365853655</v>
      </c>
      <c r="Y154" s="128">
        <f t="shared" si="651"/>
        <v>0.58536585365853655</v>
      </c>
      <c r="Z154" s="128">
        <f t="shared" si="651"/>
        <v>0.58536585365853655</v>
      </c>
      <c r="AA154" s="128">
        <f t="shared" si="651"/>
        <v>0.58536585365853655</v>
      </c>
      <c r="AB154" s="128">
        <f t="shared" si="651"/>
        <v>0.58536585365853644</v>
      </c>
      <c r="AC154" s="128">
        <f t="shared" si="651"/>
        <v>0.58536585365853655</v>
      </c>
      <c r="AD154" s="128">
        <f t="shared" si="651"/>
        <v>0.58536585365853655</v>
      </c>
      <c r="AE154" s="128">
        <f t="shared" si="651"/>
        <v>0.58536585365853655</v>
      </c>
      <c r="AF154" s="128">
        <f t="shared" si="651"/>
        <v>0.58536585365853655</v>
      </c>
      <c r="AG154" s="128">
        <f t="shared" si="651"/>
        <v>0.58536585365853655</v>
      </c>
      <c r="AH154" s="115" t="e">
        <f t="shared" si="456"/>
        <v>#DIV/0!</v>
      </c>
      <c r="AI154" s="10"/>
      <c r="AJ154" s="10"/>
    </row>
    <row r="155" spans="2:36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52">G34/G25</f>
        <v>5.6338028169014086E-2</v>
      </c>
      <c r="H155" s="128" t="e">
        <f t="shared" ref="H155:I155" si="653">H34/H25</f>
        <v>#DIV/0!</v>
      </c>
      <c r="I155" s="128" t="e">
        <f t="shared" si="653"/>
        <v>#DIV/0!</v>
      </c>
      <c r="J155" s="128" t="e">
        <f t="shared" ref="J155:T155" si="654">J34/J25</f>
        <v>#DIV/0!</v>
      </c>
      <c r="K155" s="128">
        <f t="shared" si="654"/>
        <v>5.6338028169014086E-2</v>
      </c>
      <c r="L155" s="128">
        <f t="shared" si="654"/>
        <v>2.6315789473684209E-2</v>
      </c>
      <c r="M155" s="128">
        <f t="shared" si="654"/>
        <v>2.4390243902439025E-2</v>
      </c>
      <c r="N155" s="128">
        <f t="shared" si="654"/>
        <v>0.04</v>
      </c>
      <c r="O155" s="128">
        <f t="shared" si="654"/>
        <v>6.9182389937106917E-2</v>
      </c>
      <c r="P155" s="128">
        <f t="shared" si="654"/>
        <v>4.4334975369458129E-2</v>
      </c>
      <c r="Q155" s="128">
        <f t="shared" si="654"/>
        <v>0</v>
      </c>
      <c r="R155" s="128">
        <f t="shared" si="654"/>
        <v>5.346820809248555E-2</v>
      </c>
      <c r="S155" s="128">
        <f t="shared" si="654"/>
        <v>6.3564131668558455E-2</v>
      </c>
      <c r="T155" s="128">
        <f t="shared" si="654"/>
        <v>6.6985645933014357E-2</v>
      </c>
      <c r="U155" s="128">
        <f t="shared" ref="U155" si="655">U34/U25</f>
        <v>8.1300813008130079E-2</v>
      </c>
      <c r="V155" s="101">
        <f t="shared" si="590"/>
        <v>3.7359586192835748E-2</v>
      </c>
      <c r="W155" s="10"/>
      <c r="X155" s="128">
        <f t="shared" ref="X155:AG155" si="656">X34/X25</f>
        <v>8.1300813008130079E-2</v>
      </c>
      <c r="Y155" s="128">
        <f t="shared" si="656"/>
        <v>8.1300813008130066E-2</v>
      </c>
      <c r="Z155" s="128">
        <f t="shared" si="656"/>
        <v>8.1300813008130066E-2</v>
      </c>
      <c r="AA155" s="128">
        <f t="shared" si="656"/>
        <v>8.1300813008130066E-2</v>
      </c>
      <c r="AB155" s="128">
        <f t="shared" si="656"/>
        <v>8.1300813008130066E-2</v>
      </c>
      <c r="AC155" s="128">
        <f t="shared" si="656"/>
        <v>8.1300813008130079E-2</v>
      </c>
      <c r="AD155" s="128">
        <f t="shared" si="656"/>
        <v>8.1300813008130066E-2</v>
      </c>
      <c r="AE155" s="128">
        <f t="shared" si="656"/>
        <v>8.1300813008130066E-2</v>
      </c>
      <c r="AF155" s="128">
        <f t="shared" si="656"/>
        <v>8.1300813008130066E-2</v>
      </c>
      <c r="AG155" s="128">
        <f t="shared" si="656"/>
        <v>8.1300813008130066E-2</v>
      </c>
      <c r="AH155" s="115" t="e">
        <f t="shared" si="456"/>
        <v>#DIV/0!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57">G15/G9</f>
        <v>0.64356435643564358</v>
      </c>
      <c r="H158" s="15" t="e">
        <f t="shared" ref="H158:I158" si="658">H15/H9</f>
        <v>#DIV/0!</v>
      </c>
      <c r="I158" s="15" t="e">
        <f t="shared" si="658"/>
        <v>#DIV/0!</v>
      </c>
      <c r="J158" s="15" t="e">
        <f t="shared" ref="J158:T158" si="659">J15/J9</f>
        <v>#DIV/0!</v>
      </c>
      <c r="K158" s="15">
        <f t="shared" si="659"/>
        <v>0.64356435643564358</v>
      </c>
      <c r="L158" s="15">
        <f t="shared" si="659"/>
        <v>0.19883040935672514</v>
      </c>
      <c r="M158" s="15">
        <f t="shared" si="659"/>
        <v>0.31527093596059114</v>
      </c>
      <c r="N158" s="15">
        <f t="shared" si="659"/>
        <v>2.8070175438596492E-2</v>
      </c>
      <c r="O158" s="15">
        <f t="shared" si="659"/>
        <v>3.3596837944664032E-2</v>
      </c>
      <c r="P158" s="15">
        <f t="shared" si="659"/>
        <v>0.38817005545286504</v>
      </c>
      <c r="Q158" s="15">
        <f t="shared" si="659"/>
        <v>3.5313001605136438E-2</v>
      </c>
      <c r="R158" s="15">
        <f t="shared" si="659"/>
        <v>2.1013597033374538E-2</v>
      </c>
      <c r="S158" s="15">
        <f t="shared" si="659"/>
        <v>1.7182130584192441E-2</v>
      </c>
      <c r="T158" s="15">
        <f t="shared" si="659"/>
        <v>1.7094017094017096E-2</v>
      </c>
      <c r="U158" s="15">
        <f t="shared" ref="U158" si="660">U15/U9</f>
        <v>1.4309301045679693E-2</v>
      </c>
      <c r="V158" s="101">
        <f t="shared" si="590"/>
        <v>-0.31655645854425696</v>
      </c>
      <c r="W158" s="10"/>
      <c r="X158" s="10">
        <f t="shared" ref="X158:AG158" si="661">X15/X9</f>
        <v>1.4309301045679693E-2</v>
      </c>
      <c r="Y158" s="10">
        <f t="shared" si="661"/>
        <v>1.4309301045679693E-2</v>
      </c>
      <c r="Z158" s="10">
        <f t="shared" si="661"/>
        <v>1.4309301045679694E-2</v>
      </c>
      <c r="AA158" s="10">
        <f t="shared" si="661"/>
        <v>1.4309301045679693E-2</v>
      </c>
      <c r="AB158" s="10">
        <f t="shared" si="661"/>
        <v>1.4309301045679694E-2</v>
      </c>
      <c r="AC158" s="10">
        <f t="shared" si="661"/>
        <v>1.4309301045679693E-2</v>
      </c>
      <c r="AD158" s="10">
        <f t="shared" si="661"/>
        <v>1.4309301045679693E-2</v>
      </c>
      <c r="AE158" s="10">
        <f t="shared" si="661"/>
        <v>1.4309301045679693E-2</v>
      </c>
      <c r="AF158" s="10">
        <f t="shared" si="661"/>
        <v>1.4309301045679691E-2</v>
      </c>
      <c r="AG158" s="10">
        <f t="shared" si="661"/>
        <v>1.4309301045679693E-2</v>
      </c>
      <c r="AH158" s="115" t="e">
        <f t="shared" si="456"/>
        <v>#DIV/0!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62">G12/G9</f>
        <v>0.64356435643564358</v>
      </c>
      <c r="H159" s="15" t="e">
        <f t="shared" ref="H159:I159" si="663">H12/H9</f>
        <v>#DIV/0!</v>
      </c>
      <c r="I159" s="15" t="e">
        <f t="shared" si="663"/>
        <v>#DIV/0!</v>
      </c>
      <c r="J159" s="15" t="e">
        <f t="shared" ref="J159:T159" si="664">J12/J9</f>
        <v>#DIV/0!</v>
      </c>
      <c r="K159" s="15">
        <f t="shared" si="664"/>
        <v>0.64356435643564358</v>
      </c>
      <c r="L159" s="15">
        <f t="shared" si="664"/>
        <v>0.19883040935672514</v>
      </c>
      <c r="M159" s="15">
        <f t="shared" si="664"/>
        <v>0.31527093596059114</v>
      </c>
      <c r="N159" s="15">
        <f t="shared" si="664"/>
        <v>2.8070175438596492E-2</v>
      </c>
      <c r="O159" s="15">
        <f t="shared" si="664"/>
        <v>3.3596837944664032E-2</v>
      </c>
      <c r="P159" s="15">
        <f t="shared" si="664"/>
        <v>0.38817005545286504</v>
      </c>
      <c r="Q159" s="15">
        <f t="shared" si="664"/>
        <v>3.5313001605136438E-2</v>
      </c>
      <c r="R159" s="15">
        <f t="shared" si="664"/>
        <v>2.1013597033374538E-2</v>
      </c>
      <c r="S159" s="15">
        <f t="shared" si="664"/>
        <v>1.7182130584192441E-2</v>
      </c>
      <c r="T159" s="15">
        <f t="shared" si="664"/>
        <v>1.7094017094017096E-2</v>
      </c>
      <c r="U159" s="15">
        <f t="shared" ref="U159" si="665">U12/U9</f>
        <v>1.4309301045679693E-2</v>
      </c>
      <c r="V159" s="101">
        <f t="shared" si="590"/>
        <v>-0.31655645854425696</v>
      </c>
      <c r="W159" s="109"/>
      <c r="X159" s="10">
        <f t="shared" ref="X159:AG159" si="666">X12/X9</f>
        <v>1.4309301045679693E-2</v>
      </c>
      <c r="Y159" s="10">
        <f t="shared" si="666"/>
        <v>1.4309301045679693E-2</v>
      </c>
      <c r="Z159" s="10">
        <f t="shared" si="666"/>
        <v>1.4309301045679694E-2</v>
      </c>
      <c r="AA159" s="10">
        <f t="shared" si="666"/>
        <v>1.4309301045679693E-2</v>
      </c>
      <c r="AB159" s="10">
        <f t="shared" si="666"/>
        <v>1.4309301045679694E-2</v>
      </c>
      <c r="AC159" s="10">
        <f t="shared" si="666"/>
        <v>1.4309301045679693E-2</v>
      </c>
      <c r="AD159" s="10">
        <f t="shared" si="666"/>
        <v>1.4309301045679693E-2</v>
      </c>
      <c r="AE159" s="10">
        <f t="shared" si="666"/>
        <v>1.4309301045679693E-2</v>
      </c>
      <c r="AF159" s="10">
        <f t="shared" si="666"/>
        <v>1.4309301045679691E-2</v>
      </c>
      <c r="AG159" s="10">
        <f t="shared" si="666"/>
        <v>1.4309301045679693E-2</v>
      </c>
      <c r="AH159" s="101">
        <f t="shared" ref="AH159" si="667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68">G25/360</f>
        <v>0.19722222222222222</v>
      </c>
      <c r="H160" s="15">
        <f t="shared" ref="H160:I160" si="669">H25/360</f>
        <v>0</v>
      </c>
      <c r="I160" s="15">
        <f t="shared" si="669"/>
        <v>0</v>
      </c>
      <c r="J160" s="15">
        <f t="shared" ref="J160:T160" si="670">J25/360</f>
        <v>0</v>
      </c>
      <c r="K160" s="15">
        <f t="shared" si="670"/>
        <v>0.19722222222222222</v>
      </c>
      <c r="L160" s="15">
        <f t="shared" si="670"/>
        <v>0.31666666666666665</v>
      </c>
      <c r="M160" s="15">
        <f t="shared" si="670"/>
        <v>0.45555555555555555</v>
      </c>
      <c r="N160" s="15">
        <f t="shared" si="670"/>
        <v>0.625</v>
      </c>
      <c r="O160" s="15">
        <f t="shared" si="670"/>
        <v>0.8833333333333333</v>
      </c>
      <c r="P160" s="15">
        <f t="shared" si="670"/>
        <v>1.1277777777777778</v>
      </c>
      <c r="Q160" s="15">
        <f t="shared" si="670"/>
        <v>1.4861111111111112</v>
      </c>
      <c r="R160" s="15">
        <f t="shared" si="670"/>
        <v>1.9222222222222223</v>
      </c>
      <c r="S160" s="15">
        <f t="shared" si="670"/>
        <v>2.4472222222222224</v>
      </c>
      <c r="T160" s="15">
        <f t="shared" si="670"/>
        <v>2.9027777777777777</v>
      </c>
      <c r="U160" s="15">
        <f t="shared" ref="U160" si="671">U25/360</f>
        <v>3.0750000000000002</v>
      </c>
      <c r="V160" s="101">
        <f t="shared" si="590"/>
        <v>0.31610011543328209</v>
      </c>
      <c r="W160" s="109"/>
      <c r="X160" s="15">
        <f t="shared" ref="X160:AG160" si="672">X25/360</f>
        <v>3.5362499999999999</v>
      </c>
      <c r="Y160" s="15">
        <f t="shared" si="672"/>
        <v>4.0666874999999996</v>
      </c>
      <c r="Z160" s="15">
        <f t="shared" si="672"/>
        <v>4.676690625</v>
      </c>
      <c r="AA160" s="15">
        <f t="shared" si="672"/>
        <v>5.3781942187499991</v>
      </c>
      <c r="AB160" s="15">
        <f t="shared" si="672"/>
        <v>6.1849233515624986</v>
      </c>
      <c r="AC160" s="15">
        <f t="shared" si="672"/>
        <v>7.1126618542968725</v>
      </c>
      <c r="AD160" s="15">
        <f t="shared" si="672"/>
        <v>8.1795611324414033</v>
      </c>
      <c r="AE160" s="15">
        <f t="shared" si="672"/>
        <v>9.4064953023076132</v>
      </c>
      <c r="AF160" s="15">
        <f t="shared" si="672"/>
        <v>10.817469597653753</v>
      </c>
      <c r="AG160" s="15">
        <f t="shared" si="672"/>
        <v>12.440090037301815</v>
      </c>
      <c r="AH160" s="101">
        <f t="shared" ref="AH160:AH171" si="673">((AG160/X160)^(1/($K$2-$K$1) ))-1</f>
        <v>0.13403917224813777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4">G27/360</f>
        <v>1.9444444444444445E-2</v>
      </c>
      <c r="H161" s="15">
        <f t="shared" ref="H161:I161" si="675">H27/360</f>
        <v>0</v>
      </c>
      <c r="I161" s="15">
        <f t="shared" si="675"/>
        <v>0</v>
      </c>
      <c r="J161" s="15">
        <f t="shared" ref="J161:T161" si="676">J27/360</f>
        <v>0</v>
      </c>
      <c r="K161" s="15">
        <f t="shared" si="676"/>
        <v>1.9444444444444445E-2</v>
      </c>
      <c r="L161" s="15">
        <f t="shared" si="676"/>
        <v>2.5000000000000001E-2</v>
      </c>
      <c r="M161" s="15">
        <f t="shared" si="676"/>
        <v>3.3333333333333333E-2</v>
      </c>
      <c r="N161" s="15">
        <f t="shared" si="676"/>
        <v>4.4444444444444446E-2</v>
      </c>
      <c r="O161" s="15">
        <f t="shared" si="676"/>
        <v>9.166666666666666E-2</v>
      </c>
      <c r="P161" s="15">
        <f t="shared" si="676"/>
        <v>8.8888888888888892E-2</v>
      </c>
      <c r="Q161" s="15">
        <f t="shared" si="676"/>
        <v>0.16388888888888889</v>
      </c>
      <c r="R161" s="15">
        <f t="shared" si="676"/>
        <v>0.2</v>
      </c>
      <c r="S161" s="15">
        <f t="shared" si="676"/>
        <v>0.27500000000000002</v>
      </c>
      <c r="T161" s="15">
        <f t="shared" si="676"/>
        <v>0.31944444444444442</v>
      </c>
      <c r="U161" s="15">
        <f t="shared" ref="U161" si="677">U27/360</f>
        <v>0.39444444444444443</v>
      </c>
      <c r="V161" s="101">
        <f t="shared" si="590"/>
        <v>0.35119811418976887</v>
      </c>
      <c r="W161" s="109"/>
      <c r="X161" s="15">
        <f t="shared" ref="X161:AG161" si="678">X27/360</f>
        <v>0.45361111111111108</v>
      </c>
      <c r="Y161" s="15">
        <f t="shared" si="678"/>
        <v>0.52165277777777763</v>
      </c>
      <c r="Z161" s="15">
        <f t="shared" si="678"/>
        <v>0.59990069444444427</v>
      </c>
      <c r="AA161" s="15">
        <f t="shared" si="678"/>
        <v>0.68988579861111077</v>
      </c>
      <c r="AB161" s="15">
        <f t="shared" si="678"/>
        <v>0.79336866840277731</v>
      </c>
      <c r="AC161" s="15">
        <f t="shared" si="678"/>
        <v>0.91237396866319387</v>
      </c>
      <c r="AD161" s="15">
        <f t="shared" si="678"/>
        <v>1.0492300639626728</v>
      </c>
      <c r="AE161" s="15">
        <f t="shared" si="678"/>
        <v>1.2066145735570737</v>
      </c>
      <c r="AF161" s="15">
        <f t="shared" si="678"/>
        <v>1.3876067595906347</v>
      </c>
      <c r="AG161" s="15">
        <f t="shared" si="678"/>
        <v>1.5957477735292298</v>
      </c>
      <c r="AH161" s="101">
        <f t="shared" si="673"/>
        <v>0.13403917224813777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9">G10/G7</f>
        <v>3.6590909090909092</v>
      </c>
      <c r="H163" s="15" t="e">
        <f t="shared" ref="H163:I163" si="680">H10/H7</f>
        <v>#DIV/0!</v>
      </c>
      <c r="I163" s="15" t="e">
        <f t="shared" si="680"/>
        <v>#DIV/0!</v>
      </c>
      <c r="J163" s="15" t="e">
        <f t="shared" ref="J163:T163" si="681">J10/J7</f>
        <v>#DIV/0!</v>
      </c>
      <c r="K163" s="15">
        <f t="shared" si="681"/>
        <v>3.6590909090909092</v>
      </c>
      <c r="L163" s="15">
        <f t="shared" si="681"/>
        <v>4.5960264900662251</v>
      </c>
      <c r="M163" s="15">
        <f t="shared" si="681"/>
        <v>5.6263157894736846</v>
      </c>
      <c r="N163" s="15">
        <f t="shared" si="681"/>
        <v>6.2712550607287447</v>
      </c>
      <c r="O163" s="15">
        <f t="shared" si="681"/>
        <v>6.6336633663366333</v>
      </c>
      <c r="P163" s="15">
        <f t="shared" si="681"/>
        <v>4.0552050473186121</v>
      </c>
      <c r="Q163" s="15">
        <f t="shared" si="681"/>
        <v>4.4642375168690958</v>
      </c>
      <c r="R163" s="15">
        <f t="shared" si="681"/>
        <v>5.3414932680538554</v>
      </c>
      <c r="S163" s="15">
        <f t="shared" si="681"/>
        <v>5.7341640706126684</v>
      </c>
      <c r="T163" s="15">
        <f t="shared" si="681"/>
        <v>5.6161879895561357</v>
      </c>
      <c r="U163" s="15">
        <f t="shared" ref="U163" si="682">U10/U7</f>
        <v>4.911655530809206</v>
      </c>
      <c r="V163" s="101">
        <f t="shared" si="590"/>
        <v>2.9877262914979053E-2</v>
      </c>
      <c r="W163" s="109"/>
      <c r="X163" s="15">
        <f t="shared" ref="X163:AG163" si="683">X10/X7</f>
        <v>4.9116555308092051</v>
      </c>
      <c r="Y163" s="15">
        <f t="shared" si="683"/>
        <v>4.9116555308092051</v>
      </c>
      <c r="Z163" s="15">
        <f t="shared" si="683"/>
        <v>4.9116555308092051</v>
      </c>
      <c r="AA163" s="15">
        <f t="shared" si="683"/>
        <v>4.9116555308092051</v>
      </c>
      <c r="AB163" s="15">
        <f t="shared" si="683"/>
        <v>4.9116555308092051</v>
      </c>
      <c r="AC163" s="15">
        <f t="shared" si="683"/>
        <v>4.9116555308092051</v>
      </c>
      <c r="AD163" s="15">
        <f t="shared" si="683"/>
        <v>4.9116555308092051</v>
      </c>
      <c r="AE163" s="15">
        <f t="shared" si="683"/>
        <v>4.9116555308092051</v>
      </c>
      <c r="AF163" s="15">
        <f t="shared" si="683"/>
        <v>4.9116555308092051</v>
      </c>
      <c r="AG163" s="15">
        <f t="shared" si="683"/>
        <v>4.9116555308092051</v>
      </c>
      <c r="AH163" s="101">
        <f t="shared" si="673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4">G10/(G10+G7)</f>
        <v>0.78536585365853662</v>
      </c>
      <c r="H164" s="15" t="e">
        <f t="shared" ref="H164:I164" si="685">H10/(H10+H7)</f>
        <v>#DIV/0!</v>
      </c>
      <c r="I164" s="15" t="e">
        <f t="shared" si="685"/>
        <v>#DIV/0!</v>
      </c>
      <c r="J164" s="15" t="e">
        <f t="shared" ref="J164:T164" si="686">J10/(J10+J7)</f>
        <v>#DIV/0!</v>
      </c>
      <c r="K164" s="15">
        <f t="shared" si="686"/>
        <v>0.78536585365853662</v>
      </c>
      <c r="L164" s="15">
        <f t="shared" si="686"/>
        <v>0.82130177514792901</v>
      </c>
      <c r="M164" s="15">
        <f t="shared" si="686"/>
        <v>0.84908657664813347</v>
      </c>
      <c r="N164" s="15">
        <f t="shared" si="686"/>
        <v>0.86247216035634744</v>
      </c>
      <c r="O164" s="15">
        <f t="shared" si="686"/>
        <v>0.86900129701686124</v>
      </c>
      <c r="P164" s="15">
        <f t="shared" si="686"/>
        <v>0.80218408736349456</v>
      </c>
      <c r="Q164" s="15">
        <f t="shared" si="686"/>
        <v>0.81699184983946649</v>
      </c>
      <c r="R164" s="15">
        <f t="shared" si="686"/>
        <v>0.84230843466512262</v>
      </c>
      <c r="S164" s="15">
        <f t="shared" si="686"/>
        <v>0.85150346954510414</v>
      </c>
      <c r="T164" s="15">
        <f t="shared" si="686"/>
        <v>0.84885556432517761</v>
      </c>
      <c r="U164" s="15">
        <f t="shared" ref="U164" si="687">U10/(U10+U7)</f>
        <v>0.83084264724350121</v>
      </c>
      <c r="V164" s="101">
        <f t="shared" si="590"/>
        <v>5.6449488770176082E-3</v>
      </c>
      <c r="W164" s="109"/>
      <c r="X164" s="15">
        <f t="shared" ref="X164:AG164" si="688">X10/(X10+X7)</f>
        <v>0.83084264724350121</v>
      </c>
      <c r="Y164" s="15">
        <f t="shared" si="688"/>
        <v>0.83084264724350121</v>
      </c>
      <c r="Z164" s="15">
        <f t="shared" si="688"/>
        <v>0.83084264724350121</v>
      </c>
      <c r="AA164" s="15">
        <f t="shared" si="688"/>
        <v>0.8308426472435011</v>
      </c>
      <c r="AB164" s="15">
        <f t="shared" si="688"/>
        <v>0.83084264724350121</v>
      </c>
      <c r="AC164" s="15">
        <f t="shared" si="688"/>
        <v>0.83084264724350121</v>
      </c>
      <c r="AD164" s="15">
        <f t="shared" si="688"/>
        <v>0.83084264724350121</v>
      </c>
      <c r="AE164" s="15">
        <f t="shared" si="688"/>
        <v>0.83084264724350121</v>
      </c>
      <c r="AF164" s="15">
        <f t="shared" si="688"/>
        <v>0.8308426472435011</v>
      </c>
      <c r="AG164" s="15">
        <f t="shared" si="688"/>
        <v>0.83084264724350121</v>
      </c>
      <c r="AH164" s="101">
        <f t="shared" si="673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9">G16</f>
        <v>611</v>
      </c>
      <c r="H166" s="15">
        <f t="shared" ref="H166:I166" si="690">H16</f>
        <v>0</v>
      </c>
      <c r="I166" s="15">
        <f t="shared" si="690"/>
        <v>0</v>
      </c>
      <c r="J166" s="15">
        <f t="shared" ref="J166:T166" si="691">J16</f>
        <v>0</v>
      </c>
      <c r="K166" s="15">
        <f t="shared" si="691"/>
        <v>611</v>
      </c>
      <c r="L166" s="15">
        <f t="shared" si="691"/>
        <v>844</v>
      </c>
      <c r="M166" s="15">
        <f t="shared" si="691"/>
        <v>1256</v>
      </c>
      <c r="N166" s="15">
        <f t="shared" si="691"/>
        <v>1792</v>
      </c>
      <c r="O166" s="15">
        <f t="shared" si="691"/>
        <v>2302</v>
      </c>
      <c r="P166" s="15">
        <f t="shared" si="691"/>
        <v>3193</v>
      </c>
      <c r="Q166" s="15">
        <f t="shared" si="691"/>
        <v>4032</v>
      </c>
      <c r="R166" s="15">
        <f t="shared" si="691"/>
        <v>5155</v>
      </c>
      <c r="S166" s="15">
        <f t="shared" si="691"/>
        <v>6455</v>
      </c>
      <c r="T166" s="15">
        <f t="shared" si="691"/>
        <v>7565</v>
      </c>
      <c r="U166" s="15">
        <f t="shared" ref="U166" si="692">U16</f>
        <v>7915</v>
      </c>
      <c r="V166" s="101">
        <f t="shared" si="590"/>
        <v>0.29193591316198897</v>
      </c>
      <c r="W166" s="109"/>
      <c r="X166" s="15">
        <f t="shared" ref="X166:AG166" si="693">X16</f>
        <v>9102.25</v>
      </c>
      <c r="Y166" s="15">
        <f t="shared" si="693"/>
        <v>10467.5875</v>
      </c>
      <c r="Z166" s="15">
        <f t="shared" si="693"/>
        <v>12037.725624999999</v>
      </c>
      <c r="AA166" s="15">
        <f t="shared" si="693"/>
        <v>13843.384468749999</v>
      </c>
      <c r="AB166" s="15">
        <f t="shared" si="693"/>
        <v>15919.892139062496</v>
      </c>
      <c r="AC166" s="15">
        <f t="shared" si="693"/>
        <v>18307.875959921868</v>
      </c>
      <c r="AD166" s="15">
        <f t="shared" si="693"/>
        <v>21054.057353910146</v>
      </c>
      <c r="AE166" s="15">
        <f t="shared" si="693"/>
        <v>24212.165956996665</v>
      </c>
      <c r="AF166" s="15">
        <f t="shared" si="693"/>
        <v>27843.990850546164</v>
      </c>
      <c r="AG166" s="15">
        <f t="shared" si="693"/>
        <v>32020.589478128088</v>
      </c>
      <c r="AH166" s="101">
        <f t="shared" si="673"/>
        <v>0.13403917224813777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94">G166*365/G25</f>
        <v>3141.0563380281692</v>
      </c>
      <c r="H167" s="102" t="e">
        <f t="shared" ref="H167:I167" si="695">H166*365/H25</f>
        <v>#DIV/0!</v>
      </c>
      <c r="I167" s="102" t="e">
        <f t="shared" si="695"/>
        <v>#DIV/0!</v>
      </c>
      <c r="J167" s="102" t="e">
        <f t="shared" ref="J167:T167" si="696">J166*365/J25</f>
        <v>#DIV/0!</v>
      </c>
      <c r="K167" s="102">
        <f t="shared" si="696"/>
        <v>3141.0563380281692</v>
      </c>
      <c r="L167" s="102">
        <f t="shared" si="696"/>
        <v>2702.280701754386</v>
      </c>
      <c r="M167" s="102">
        <f t="shared" si="696"/>
        <v>2795.3658536585367</v>
      </c>
      <c r="N167" s="102">
        <f t="shared" si="696"/>
        <v>2907.0222222222224</v>
      </c>
      <c r="O167" s="102">
        <f t="shared" si="696"/>
        <v>2642.2327044025155</v>
      </c>
      <c r="P167" s="102">
        <f t="shared" si="696"/>
        <v>2870.5541871921182</v>
      </c>
      <c r="Q167" s="102">
        <f t="shared" si="696"/>
        <v>2750.8037383177571</v>
      </c>
      <c r="R167" s="102">
        <f t="shared" si="696"/>
        <v>2719.0390173410406</v>
      </c>
      <c r="S167" s="102">
        <f t="shared" si="696"/>
        <v>2674.3189557321225</v>
      </c>
      <c r="T167" s="102">
        <f t="shared" si="696"/>
        <v>2642.3205741626793</v>
      </c>
      <c r="U167" s="102">
        <f t="shared" ref="U167" si="697">U166*365/U25</f>
        <v>2609.7335140018067</v>
      </c>
      <c r="V167" s="101">
        <f t="shared" si="590"/>
        <v>-1.8360459047097488E-2</v>
      </c>
      <c r="W167" s="109"/>
      <c r="X167" s="102">
        <f t="shared" ref="X167:AG167" si="698">X166*365/X25</f>
        <v>2609.7335140018067</v>
      </c>
      <c r="Y167" s="102">
        <f t="shared" si="698"/>
        <v>2609.7335140018067</v>
      </c>
      <c r="Z167" s="102">
        <f t="shared" si="698"/>
        <v>2609.7335140018067</v>
      </c>
      <c r="AA167" s="102">
        <f t="shared" si="698"/>
        <v>2609.7335140018072</v>
      </c>
      <c r="AB167" s="102">
        <f t="shared" si="698"/>
        <v>2609.7335140018067</v>
      </c>
      <c r="AC167" s="102">
        <f t="shared" si="698"/>
        <v>2609.7335140018067</v>
      </c>
      <c r="AD167" s="102">
        <f t="shared" si="698"/>
        <v>2609.7335140018063</v>
      </c>
      <c r="AE167" s="102">
        <f t="shared" si="698"/>
        <v>2609.7335140018067</v>
      </c>
      <c r="AF167" s="102">
        <f t="shared" si="698"/>
        <v>2609.7335140018067</v>
      </c>
      <c r="AG167" s="102">
        <f t="shared" si="698"/>
        <v>2609.7335140018067</v>
      </c>
      <c r="AH167" s="101">
        <f t="shared" si="673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99">G102/G29</f>
        <v>0.37626449543547991</v>
      </c>
      <c r="H168" s="111" t="e">
        <f t="shared" ref="H168:I168" si="700">H102/H29</f>
        <v>#DIV/0!</v>
      </c>
      <c r="I168" s="111" t="e">
        <f t="shared" si="700"/>
        <v>#DIV/0!</v>
      </c>
      <c r="J168" s="111" t="e">
        <f t="shared" ref="J168:T168" si="701">J102/J29</f>
        <v>#DIV/0!</v>
      </c>
      <c r="K168" s="111">
        <f t="shared" si="701"/>
        <v>0.37626449543547991</v>
      </c>
      <c r="L168" s="111">
        <f t="shared" si="701"/>
        <v>0.38672373657730724</v>
      </c>
      <c r="M168" s="111">
        <f t="shared" si="701"/>
        <v>0.3615900383141763</v>
      </c>
      <c r="N168" s="111">
        <f t="shared" si="701"/>
        <v>0.35189924568965519</v>
      </c>
      <c r="O168" s="111">
        <f t="shared" si="701"/>
        <v>0.30407135541140323</v>
      </c>
      <c r="P168" s="111">
        <f t="shared" si="701"/>
        <v>0.22665815938990672</v>
      </c>
      <c r="Q168" s="111">
        <f t="shared" si="701"/>
        <v>7.5312770964944875E-2</v>
      </c>
      <c r="R168" s="111">
        <f t="shared" si="701"/>
        <v>0.23052887569689362</v>
      </c>
      <c r="S168" s="111">
        <f t="shared" si="701"/>
        <v>0.22802919708029196</v>
      </c>
      <c r="T168" s="111">
        <f t="shared" si="701"/>
        <v>0.22984520123839008</v>
      </c>
      <c r="U168" s="111">
        <f t="shared" ref="U168" si="702">U102/U29</f>
        <v>0.23777777777777781</v>
      </c>
      <c r="V168" s="101">
        <f t="shared" si="590"/>
        <v>-4.4858308144242409E-2</v>
      </c>
      <c r="W168" s="109"/>
      <c r="X168" s="111">
        <f t="shared" ref="X168:AG168" si="703">X102/X29</f>
        <v>0.2354235423542354</v>
      </c>
      <c r="Y168" s="111">
        <f t="shared" si="703"/>
        <v>0.23309261619231225</v>
      </c>
      <c r="Z168" s="111">
        <f t="shared" si="703"/>
        <v>0.23078476850723986</v>
      </c>
      <c r="AA168" s="111">
        <f t="shared" si="703"/>
        <v>0.22849977079924741</v>
      </c>
      <c r="AB168" s="111">
        <f t="shared" si="703"/>
        <v>0.22623739683093802</v>
      </c>
      <c r="AC168" s="111">
        <f t="shared" si="703"/>
        <v>0.22399742260488917</v>
      </c>
      <c r="AD168" s="111">
        <f t="shared" si="703"/>
        <v>0.22177962634147436</v>
      </c>
      <c r="AE168" s="111">
        <f t="shared" si="703"/>
        <v>0.21958378845690535</v>
      </c>
      <c r="AF168" s="111">
        <f t="shared" si="703"/>
        <v>0.21740969154149042</v>
      </c>
      <c r="AG168" s="111">
        <f t="shared" si="703"/>
        <v>0.21525712033810931</v>
      </c>
      <c r="AH168" s="101">
        <f t="shared" si="673"/>
        <v>-8.9153185198280749E-3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 t="e">
        <f t="shared" ref="G170" si="704">G25/G14</f>
        <v>#DIV/0!</v>
      </c>
      <c r="H170" s="155" t="e">
        <f t="shared" ref="H170:I170" si="705">H25/H14</f>
        <v>#DIV/0!</v>
      </c>
      <c r="I170" s="155" t="e">
        <f t="shared" si="705"/>
        <v>#DIV/0!</v>
      </c>
      <c r="J170" s="155" t="e">
        <f t="shared" ref="J170:T170" si="706">J25/J14</f>
        <v>#DIV/0!</v>
      </c>
      <c r="K170" s="155" t="e">
        <f t="shared" si="706"/>
        <v>#DIV/0!</v>
      </c>
      <c r="L170" s="155" t="e">
        <f t="shared" si="706"/>
        <v>#DIV/0!</v>
      </c>
      <c r="M170" s="155" t="e">
        <f t="shared" si="706"/>
        <v>#DIV/0!</v>
      </c>
      <c r="N170" s="155" t="e">
        <f t="shared" si="706"/>
        <v>#DIV/0!</v>
      </c>
      <c r="O170" s="155" t="e">
        <f t="shared" si="706"/>
        <v>#DIV/0!</v>
      </c>
      <c r="P170" s="155" t="e">
        <f t="shared" si="706"/>
        <v>#DIV/0!</v>
      </c>
      <c r="Q170" s="155" t="e">
        <f t="shared" si="706"/>
        <v>#DIV/0!</v>
      </c>
      <c r="R170" s="155" t="e">
        <f t="shared" si="706"/>
        <v>#DIV/0!</v>
      </c>
      <c r="S170" s="155" t="e">
        <f t="shared" si="706"/>
        <v>#DIV/0!</v>
      </c>
      <c r="T170" s="155" t="e">
        <f t="shared" si="706"/>
        <v>#DIV/0!</v>
      </c>
      <c r="U170" s="155" t="e">
        <f t="shared" ref="U170" si="707">U25/U14</f>
        <v>#DIV/0!</v>
      </c>
      <c r="V170" s="101" t="e">
        <f t="shared" si="590"/>
        <v>#DIV/0!</v>
      </c>
      <c r="W170" s="109"/>
      <c r="X170" s="10" t="e">
        <f t="shared" ref="X170:AG170" si="708">X25/X14</f>
        <v>#DIV/0!</v>
      </c>
      <c r="Y170" s="10" t="e">
        <f t="shared" si="708"/>
        <v>#DIV/0!</v>
      </c>
      <c r="Z170" s="10" t="e">
        <f t="shared" si="708"/>
        <v>#DIV/0!</v>
      </c>
      <c r="AA170" s="10" t="e">
        <f t="shared" si="708"/>
        <v>#DIV/0!</v>
      </c>
      <c r="AB170" s="10" t="e">
        <f t="shared" si="708"/>
        <v>#DIV/0!</v>
      </c>
      <c r="AC170" s="10" t="e">
        <f t="shared" si="708"/>
        <v>#DIV/0!</v>
      </c>
      <c r="AD170" s="10" t="e">
        <f t="shared" si="708"/>
        <v>#DIV/0!</v>
      </c>
      <c r="AE170" s="10" t="e">
        <f t="shared" si="708"/>
        <v>#DIV/0!</v>
      </c>
      <c r="AF170" s="10" t="e">
        <f t="shared" si="708"/>
        <v>#DIV/0!</v>
      </c>
      <c r="AG170" s="10" t="e">
        <f t="shared" si="708"/>
        <v>#DIV/0!</v>
      </c>
      <c r="AH170" s="101" t="e">
        <f t="shared" si="673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 t="e">
        <f t="shared" ref="G171" si="709">G27/G14</f>
        <v>#DIV/0!</v>
      </c>
      <c r="H171" s="155" t="e">
        <f t="shared" ref="H171:I171" si="710">H27/H14</f>
        <v>#DIV/0!</v>
      </c>
      <c r="I171" s="155" t="e">
        <f t="shared" si="710"/>
        <v>#DIV/0!</v>
      </c>
      <c r="J171" s="155" t="e">
        <f t="shared" ref="J171:T171" si="711">J27/J14</f>
        <v>#DIV/0!</v>
      </c>
      <c r="K171" s="155" t="e">
        <f t="shared" si="711"/>
        <v>#DIV/0!</v>
      </c>
      <c r="L171" s="155" t="e">
        <f t="shared" si="711"/>
        <v>#DIV/0!</v>
      </c>
      <c r="M171" s="155" t="e">
        <f t="shared" si="711"/>
        <v>#DIV/0!</v>
      </c>
      <c r="N171" s="155" t="e">
        <f t="shared" si="711"/>
        <v>#DIV/0!</v>
      </c>
      <c r="O171" s="155" t="e">
        <f t="shared" si="711"/>
        <v>#DIV/0!</v>
      </c>
      <c r="P171" s="155" t="e">
        <f t="shared" si="711"/>
        <v>#DIV/0!</v>
      </c>
      <c r="Q171" s="155" t="e">
        <f t="shared" si="711"/>
        <v>#DIV/0!</v>
      </c>
      <c r="R171" s="155" t="e">
        <f t="shared" si="711"/>
        <v>#DIV/0!</v>
      </c>
      <c r="S171" s="155" t="e">
        <f t="shared" si="711"/>
        <v>#DIV/0!</v>
      </c>
      <c r="T171" s="155" t="e">
        <f t="shared" si="711"/>
        <v>#DIV/0!</v>
      </c>
      <c r="U171" s="155" t="e">
        <f t="shared" ref="U171" si="712">U27/U14</f>
        <v>#DIV/0!</v>
      </c>
      <c r="V171" s="101" t="e">
        <f t="shared" si="590"/>
        <v>#DIV/0!</v>
      </c>
      <c r="W171" s="109"/>
      <c r="X171" s="10" t="e">
        <f t="shared" ref="X171:AG171" si="713">X27/X14</f>
        <v>#DIV/0!</v>
      </c>
      <c r="Y171" s="10" t="e">
        <f t="shared" si="713"/>
        <v>#DIV/0!</v>
      </c>
      <c r="Z171" s="10" t="e">
        <f t="shared" si="713"/>
        <v>#DIV/0!</v>
      </c>
      <c r="AA171" s="10" t="e">
        <f t="shared" si="713"/>
        <v>#DIV/0!</v>
      </c>
      <c r="AB171" s="10" t="e">
        <f t="shared" si="713"/>
        <v>#DIV/0!</v>
      </c>
      <c r="AC171" s="10" t="e">
        <f t="shared" si="713"/>
        <v>#DIV/0!</v>
      </c>
      <c r="AD171" s="10" t="e">
        <f t="shared" si="713"/>
        <v>#DIV/0!</v>
      </c>
      <c r="AE171" s="10" t="e">
        <f t="shared" si="713"/>
        <v>#DIV/0!</v>
      </c>
      <c r="AF171" s="10" t="e">
        <f t="shared" si="713"/>
        <v>#DIV/0!</v>
      </c>
      <c r="AG171" s="10" t="e">
        <f t="shared" si="713"/>
        <v>#DIV/0!</v>
      </c>
      <c r="AH171" s="101" t="e">
        <f t="shared" si="673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501</v>
      </c>
      <c r="T173" s="13" t="s">
        <v>410</v>
      </c>
      <c r="U173" s="13" t="s">
        <v>410</v>
      </c>
      <c r="V173" s="13" t="s">
        <v>502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9.8514285714285723</v>
      </c>
      <c r="T174" s="111">
        <f>AVERAGE(Q106:U106)</f>
        <v>24.672000000000004</v>
      </c>
      <c r="U174" s="111">
        <f>AVERAGE(Q76:U76)</f>
        <v>24.707308741919395</v>
      </c>
      <c r="V174" s="111">
        <f>AVERAGE(L76:U76)</f>
        <v>17.780946841592545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281.86497314489475</v>
      </c>
      <c r="X175" s="111">
        <f>PV($C$1, ($AG$3-$X$3), 0, -AG76)</f>
        <v>34.313996730682838</v>
      </c>
      <c r="Y175" s="111">
        <f>PV($C$1, ($AG$3-$X$3), 0, -AJ76)</f>
        <v>247.5509764142119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1843.0685379911324</v>
      </c>
      <c r="X176" s="111">
        <f>PV($C$1, ($AG$3-$X$3), 0, -AG78)</f>
        <v>224.37356114674657</v>
      </c>
      <c r="Y176" s="111">
        <f>PV($C$1, ($AG$3-$X$3), 0, -AJ78)</f>
        <v>1618.6949768443858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1756.8671141652662</v>
      </c>
      <c r="X177" s="111">
        <f>PV($C$1, ($AG$3-$X$3), 0, -AG79)</f>
        <v>213.87947476794545</v>
      </c>
      <c r="Y177" s="111">
        <f>PV($C$1, ($AG$3-$X$3), 0, -AJ79)</f>
        <v>1542.9876393973209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9052.5177782845822</v>
      </c>
      <c r="X178" s="111">
        <f>PV($C$1, ($AG$3-$X$3), 0, -AG80)</f>
        <v>1102.045642573775</v>
      </c>
      <c r="Y178" s="111">
        <f>PV($C$1, ($AG$3-$X$3), 0, -AJ80)</f>
        <v>7950.4721357108065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35.575190785277982</v>
      </c>
      <c r="X179" s="111">
        <f>PV($C$1, ($AG$3-$X$3), 0, -AG86)</f>
        <v>4.3308927912512329</v>
      </c>
      <c r="Y179" s="111">
        <f>PV($C$1, ($AG$3-$X$3), 0, -AJ86)</f>
        <v>31.244297994026752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-7209.4492402934502</v>
      </c>
      <c r="X181" s="111">
        <f>PV($C$1, ($AG$3-$X$3), 0, -AG82)</f>
        <v>-877.6720814270285</v>
      </c>
      <c r="Y181" s="111">
        <f>PV($C$1, ($AG$3-$X$3), 0, -$AJ$82)</f>
        <v>-6331.7771588664218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-9695.6077655569152</v>
      </c>
      <c r="X182" s="111">
        <f>PV($C$1, ($AG$3-$X$3), 0, -AG83)</f>
        <v>-1180.3348584156242</v>
      </c>
      <c r="Y182" s="111">
        <f>PV($C$1, ($AG$3-$X$3), 0, -$AJ$83)</f>
        <v>-8515.2729071412905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-9660.0325747716379</v>
      </c>
      <c r="X183" s="111">
        <f>PV($C$1, ($AG$3-$X$3), 0, -AG84)</f>
        <v>-1176.003965624373</v>
      </c>
      <c r="Y183" s="111">
        <f>PV($C$1, ($AG$3-$X$3), 0, -$AJ$84)</f>
        <v>-8484.0286091472644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35.575190785277982</v>
      </c>
      <c r="X185" s="111">
        <f>PV($C$1, ($AG$3-$X$3), 0, -AG89)</f>
        <v>4.3308927912512329</v>
      </c>
      <c r="Y185" s="111">
        <f>PV($C$1, ($AG$3-$X$3), 0, -AJ89)</f>
        <v>31.244297994026752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10107.915104914497</v>
      </c>
      <c r="X186" s="111">
        <f>PV($C$1, ($AG$3-$X$3), 0, -AG90)</f>
        <v>1318.4237093366735</v>
      </c>
      <c r="Y186" s="111">
        <f>PV($C$1, ($AG$3-$X$3), 0, -AJ90)</f>
        <v>8789.4913955778229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245.60714285714292</v>
      </c>
      <c r="X188" s="111">
        <f>PV($C$1, ($AG$3-$X$3), 0, -AG12)</f>
        <v>29.900000000000006</v>
      </c>
      <c r="Y188" s="111">
        <f>PV($C$1, ($AG$3-$X$3), 0, -AJ12)</f>
        <v>215.70714285714291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39.297142857142866</v>
      </c>
      <c r="X189" s="117">
        <f>X188/S61</f>
        <v>4.7840000000000007</v>
      </c>
      <c r="Y189" s="117">
        <f>Y188/S61</f>
        <v>34.513142857142867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20.97783977155478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15.478162903907492</v>
      </c>
      <c r="Y192" s="111">
        <f>PV($C$1, ($AG$3-$X$3), 0, -AJ92)</f>
        <v>5.4996768676472874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562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400</v>
      </c>
      <c r="V204" s="10">
        <v>250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161</v>
      </c>
      <c r="Q205" s="12">
        <v>333</v>
      </c>
      <c r="R205" s="12">
        <v>638</v>
      </c>
      <c r="S205" s="12">
        <v>579</v>
      </c>
      <c r="T205" s="12">
        <v>701</v>
      </c>
      <c r="U205" s="12">
        <v>400</v>
      </c>
      <c r="V205" s="101" t="e">
        <f t="shared" ref="V205:V236" si="719">((U205/G205)^(1/($K$2-$K$1) ))-1</f>
        <v>#DIV/0!</v>
      </c>
      <c r="W205" s="21">
        <v>0</v>
      </c>
      <c r="X205" s="172">
        <v>50</v>
      </c>
      <c r="Y205" s="102">
        <f t="shared" ref="Y205:AG205" si="720">X205*(1+$W205)</f>
        <v>50</v>
      </c>
      <c r="Z205" s="102">
        <f t="shared" si="720"/>
        <v>50</v>
      </c>
      <c r="AA205" s="102">
        <f t="shared" si="720"/>
        <v>50</v>
      </c>
      <c r="AB205" s="102">
        <f t="shared" si="720"/>
        <v>50</v>
      </c>
      <c r="AC205" s="102">
        <f t="shared" si="720"/>
        <v>50</v>
      </c>
      <c r="AD205" s="102">
        <f t="shared" si="720"/>
        <v>50</v>
      </c>
      <c r="AE205" s="102">
        <f t="shared" si="720"/>
        <v>50</v>
      </c>
      <c r="AF205" s="102">
        <f t="shared" si="720"/>
        <v>50</v>
      </c>
      <c r="AG205" s="102">
        <f t="shared" si="720"/>
        <v>50</v>
      </c>
      <c r="AH205" s="115" t="e">
        <f t="shared" ref="AH205:AH212" si="721">((AG205/J205)^(1/($AG$3-$K$1) ))-1</f>
        <v>#DIV/0!</v>
      </c>
      <c r="AI205" s="21">
        <f t="shared" ref="AI205:AI212" si="722">$O$1</f>
        <v>0.01</v>
      </c>
      <c r="AJ205" s="108" t="e">
        <f t="shared" ref="AJ205:AJ216" si="723">(AG205*(1+AH205))/($C$1-AI205)</f>
        <v>#DIV/0!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24">G205/G70</f>
        <v>0</v>
      </c>
      <c r="H206" s="15" t="e">
        <f t="shared" ref="H206:I206" si="725">H205/H70</f>
        <v>#DIV/0!</v>
      </c>
      <c r="I206" s="15" t="e">
        <f t="shared" si="725"/>
        <v>#DIV/0!</v>
      </c>
      <c r="J206" s="15" t="e">
        <f t="shared" ref="J206:T206" si="726">J205/J70</f>
        <v>#DIV/0!</v>
      </c>
      <c r="K206" s="15">
        <f t="shared" si="726"/>
        <v>0</v>
      </c>
      <c r="L206" s="15">
        <f t="shared" si="726"/>
        <v>0</v>
      </c>
      <c r="M206" s="15">
        <f t="shared" si="726"/>
        <v>0</v>
      </c>
      <c r="N206" s="15">
        <f t="shared" si="726"/>
        <v>0</v>
      </c>
      <c r="O206" s="15">
        <f t="shared" si="726"/>
        <v>0</v>
      </c>
      <c r="P206" s="15">
        <f t="shared" si="726"/>
        <v>2.4625862068965518</v>
      </c>
      <c r="Q206" s="15">
        <f t="shared" si="726"/>
        <v>3.8652897196261682</v>
      </c>
      <c r="R206" s="15">
        <f t="shared" si="726"/>
        <v>5.7438439306358386</v>
      </c>
      <c r="S206" s="15">
        <f t="shared" si="726"/>
        <v>4.1075482406356407</v>
      </c>
      <c r="T206" s="15">
        <f t="shared" si="726"/>
        <v>4.1925837320574164</v>
      </c>
      <c r="U206" s="15">
        <f t="shared" ref="U206" si="727">U205/U70</f>
        <v>2.2583559168925023</v>
      </c>
      <c r="V206" s="101" t="e">
        <f t="shared" si="719"/>
        <v>#DIV/0!</v>
      </c>
      <c r="W206" s="109"/>
      <c r="X206" s="15">
        <f t="shared" ref="X206:AG206" si="728">X205/X70</f>
        <v>0.24792820391972037</v>
      </c>
      <c r="Y206" s="15">
        <f t="shared" si="728"/>
        <v>0.21774563996427615</v>
      </c>
      <c r="Z206" s="15">
        <f t="shared" si="728"/>
        <v>0.19123747509905994</v>
      </c>
      <c r="AA206" s="15">
        <f t="shared" si="728"/>
        <v>0.167956391173957</v>
      </c>
      <c r="AB206" s="15">
        <f t="shared" si="728"/>
        <v>0.14750952616147528</v>
      </c>
      <c r="AC206" s="15">
        <f t="shared" si="728"/>
        <v>0.12955184471573047</v>
      </c>
      <c r="AD206" s="15">
        <f t="shared" si="728"/>
        <v>0.11378031579381548</v>
      </c>
      <c r="AE206" s="15">
        <f t="shared" si="728"/>
        <v>9.9928799088481415E-2</v>
      </c>
      <c r="AF206" s="15">
        <f t="shared" si="728"/>
        <v>8.7763553982057596E-2</v>
      </c>
      <c r="AG206" s="15">
        <f t="shared" si="728"/>
        <v>7.7079295236415823E-2</v>
      </c>
      <c r="AH206" s="115" t="e">
        <f t="shared" ref="AH206" si="729">((AG206/J206)^(1/($AG$3-$K$1) ))-1</f>
        <v>#DIV/0!</v>
      </c>
      <c r="AI206" s="21">
        <f t="shared" si="722"/>
        <v>0.01</v>
      </c>
      <c r="AJ206" s="108" t="e">
        <f t="shared" ref="AJ206" si="730">(AG206*(1+AH206))/($C$1-AI206)</f>
        <v>#DIV/0!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31">G205/G76</f>
        <v>0</v>
      </c>
      <c r="H207" s="15" t="e">
        <f t="shared" ref="H207:I207" si="732">H205/H76</f>
        <v>#DIV/0!</v>
      </c>
      <c r="I207" s="15" t="e">
        <f t="shared" si="732"/>
        <v>#DIV/0!</v>
      </c>
      <c r="J207" s="15" t="e">
        <f t="shared" ref="J207:T207" si="733">J205/J76</f>
        <v>#DIV/0!</v>
      </c>
      <c r="K207" s="15">
        <f t="shared" si="733"/>
        <v>0</v>
      </c>
      <c r="L207" s="15">
        <f t="shared" si="733"/>
        <v>0</v>
      </c>
      <c r="M207" s="15">
        <f t="shared" si="733"/>
        <v>0</v>
      </c>
      <c r="N207" s="15">
        <f t="shared" si="733"/>
        <v>0</v>
      </c>
      <c r="O207" s="15">
        <f t="shared" si="733"/>
        <v>0</v>
      </c>
      <c r="P207" s="15">
        <f t="shared" si="733"/>
        <v>12.497624999999999</v>
      </c>
      <c r="Q207" s="15">
        <f t="shared" si="733"/>
        <v>18.799363636363637</v>
      </c>
      <c r="R207" s="15">
        <f t="shared" si="733"/>
        <v>32.314959349593501</v>
      </c>
      <c r="S207" s="15">
        <f t="shared" si="733"/>
        <v>24.125</v>
      </c>
      <c r="T207" s="15">
        <f t="shared" si="733"/>
        <v>24.072802197802197</v>
      </c>
      <c r="U207" s="15">
        <f t="shared" ref="U207" si="734">U205/U76</f>
        <v>12.135922330097086</v>
      </c>
      <c r="V207" s="101" t="e">
        <f t="shared" si="719"/>
        <v>#DIV/0!</v>
      </c>
      <c r="W207" s="109"/>
      <c r="X207" s="102">
        <f t="shared" ref="X207:AG207" si="735">X205/X76</f>
        <v>1.3323132123258761</v>
      </c>
      <c r="Y207" s="102">
        <f t="shared" si="735"/>
        <v>1.1701185603905522</v>
      </c>
      <c r="Z207" s="102">
        <f t="shared" si="735"/>
        <v>1.0276693443430067</v>
      </c>
      <c r="AA207" s="102">
        <f t="shared" si="735"/>
        <v>0.90256177198820597</v>
      </c>
      <c r="AB207" s="102">
        <f t="shared" si="735"/>
        <v>0.79268468670268533</v>
      </c>
      <c r="AC207" s="102">
        <f t="shared" si="735"/>
        <v>0.69618394223453228</v>
      </c>
      <c r="AD207" s="102">
        <f t="shared" si="735"/>
        <v>0.61143111448424148</v>
      </c>
      <c r="AE207" s="102">
        <f t="shared" si="735"/>
        <v>0.53699602228616006</v>
      </c>
      <c r="AF207" s="102">
        <f t="shared" si="735"/>
        <v>0.4716225934861058</v>
      </c>
      <c r="AG207" s="102">
        <f t="shared" si="735"/>
        <v>0.4142076690617103</v>
      </c>
      <c r="AH207" s="115" t="e">
        <f t="shared" si="721"/>
        <v>#DIV/0!</v>
      </c>
      <c r="AI207" s="21">
        <f t="shared" si="722"/>
        <v>0.01</v>
      </c>
      <c r="AJ207" s="108" t="e">
        <f t="shared" si="723"/>
        <v>#DIV/0!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36">G205/G74</f>
        <v>0</v>
      </c>
      <c r="H208" s="15" t="e">
        <f t="shared" ref="H208:I208" si="737">H205/H74</f>
        <v>#DIV/0!</v>
      </c>
      <c r="I208" s="15" t="e">
        <f t="shared" si="737"/>
        <v>#DIV/0!</v>
      </c>
      <c r="J208" s="15" t="e">
        <f t="shared" ref="J208:T208" si="738">J205/J74</f>
        <v>#DIV/0!</v>
      </c>
      <c r="K208" s="15">
        <f t="shared" si="738"/>
        <v>0</v>
      </c>
      <c r="L208" s="15">
        <f t="shared" si="738"/>
        <v>0</v>
      </c>
      <c r="M208" s="15">
        <f t="shared" si="738"/>
        <v>0</v>
      </c>
      <c r="N208" s="15">
        <f t="shared" si="738"/>
        <v>0</v>
      </c>
      <c r="O208" s="15">
        <f t="shared" si="738"/>
        <v>0</v>
      </c>
      <c r="P208" s="15">
        <f t="shared" si="738"/>
        <v>2.680455764075067</v>
      </c>
      <c r="Q208" s="15">
        <f t="shared" si="738"/>
        <v>13.604802631578949</v>
      </c>
      <c r="R208" s="15">
        <f t="shared" si="738"/>
        <v>6.4212277867528273</v>
      </c>
      <c r="S208" s="15">
        <f t="shared" si="738"/>
        <v>4.6334827144686299</v>
      </c>
      <c r="T208" s="15">
        <f t="shared" si="738"/>
        <v>4.7211745689655178</v>
      </c>
      <c r="U208" s="15">
        <f t="shared" ref="U208" si="739">U205/U74</f>
        <v>2.5960539979231565</v>
      </c>
      <c r="V208" s="101" t="e">
        <f t="shared" si="719"/>
        <v>#DIV/0!</v>
      </c>
      <c r="W208" s="109"/>
      <c r="X208" s="15">
        <f t="shared" ref="X208:AG208" si="740">X205/X74</f>
        <v>0.2850015802067814</v>
      </c>
      <c r="Y208" s="15">
        <f t="shared" si="740"/>
        <v>0.25030573565986891</v>
      </c>
      <c r="Z208" s="15">
        <f t="shared" si="740"/>
        <v>0.21983373305779791</v>
      </c>
      <c r="AA208" s="15">
        <f t="shared" si="740"/>
        <v>0.19307136555510948</v>
      </c>
      <c r="AB208" s="15">
        <f t="shared" si="740"/>
        <v>0.16956702540057444</v>
      </c>
      <c r="AC208" s="15">
        <f t="shared" si="740"/>
        <v>0.14892408317789579</v>
      </c>
      <c r="AD208" s="15">
        <f t="shared" si="740"/>
        <v>0.13079419479102156</v>
      </c>
      <c r="AE208" s="15">
        <f t="shared" si="740"/>
        <v>0.11487142325124501</v>
      </c>
      <c r="AF208" s="15">
        <f t="shared" si="740"/>
        <v>0.10088707607283259</v>
      </c>
      <c r="AG208" s="15">
        <f t="shared" si="740"/>
        <v>8.8605171159618204E-2</v>
      </c>
      <c r="AH208" s="115" t="e">
        <f t="shared" ref="AH208:AH209" si="741">((AG208/J208)^(1/($AG$3-$K$1) ))-1</f>
        <v>#DIV/0!</v>
      </c>
      <c r="AI208" s="21">
        <f t="shared" si="722"/>
        <v>0.01</v>
      </c>
      <c r="AJ208" s="108" t="e">
        <f t="shared" ref="AJ208:AJ209" si="742">(AG208*(1+AH208))/($C$1-AI208)</f>
        <v>#DIV/0!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3">G205/G75</f>
        <v>0</v>
      </c>
      <c r="H209" s="15" t="e">
        <f t="shared" ref="H209:I209" si="744">H205/H75</f>
        <v>#DIV/0!</v>
      </c>
      <c r="I209" s="15" t="e">
        <f t="shared" si="744"/>
        <v>#DIV/0!</v>
      </c>
      <c r="J209" s="15" t="e">
        <f t="shared" ref="J209:T209" si="745">J205/J75</f>
        <v>#DIV/0!</v>
      </c>
      <c r="K209" s="15">
        <f t="shared" si="745"/>
        <v>0</v>
      </c>
      <c r="L209" s="15">
        <f t="shared" si="745"/>
        <v>0</v>
      </c>
      <c r="M209" s="15">
        <f t="shared" si="745"/>
        <v>0</v>
      </c>
      <c r="N209" s="15">
        <f t="shared" si="745"/>
        <v>0</v>
      </c>
      <c r="O209" s="15">
        <f t="shared" si="745"/>
        <v>0</v>
      </c>
      <c r="P209" s="15">
        <f t="shared" si="745"/>
        <v>9.4321698113207546</v>
      </c>
      <c r="Q209" s="15">
        <f t="shared" si="745"/>
        <v>13.878724832214765</v>
      </c>
      <c r="R209" s="15">
        <f t="shared" si="745"/>
        <v>21.36956989247312</v>
      </c>
      <c r="S209" s="15">
        <f t="shared" si="745"/>
        <v>15.733695652173914</v>
      </c>
      <c r="T209" s="15">
        <f t="shared" si="745"/>
        <v>15.647321428571429</v>
      </c>
      <c r="U209" s="15">
        <f t="shared" ref="U209" si="746">U205/U75</f>
        <v>7.9617834394904454</v>
      </c>
      <c r="V209" s="101" t="e">
        <f t="shared" si="719"/>
        <v>#DIV/0!</v>
      </c>
      <c r="W209" s="109"/>
      <c r="X209" s="15">
        <f t="shared" ref="X209:AG210" si="747">X205/X75</f>
        <v>0.87406535585710343</v>
      </c>
      <c r="Y209" s="15">
        <f t="shared" si="747"/>
        <v>0.76765739949189093</v>
      </c>
      <c r="Z209" s="15">
        <f t="shared" si="747"/>
        <v>0.67420345520592162</v>
      </c>
      <c r="AA209" s="15">
        <f t="shared" si="747"/>
        <v>0.59212651283302686</v>
      </c>
      <c r="AB209" s="15">
        <f t="shared" si="747"/>
        <v>0.52004154605335406</v>
      </c>
      <c r="AC209" s="15">
        <f t="shared" si="747"/>
        <v>0.45673214044685884</v>
      </c>
      <c r="AD209" s="15">
        <f t="shared" si="747"/>
        <v>0.40112996682724128</v>
      </c>
      <c r="AE209" s="15">
        <f t="shared" si="747"/>
        <v>0.35229675347435968</v>
      </c>
      <c r="AF209" s="15">
        <f t="shared" si="747"/>
        <v>0.30940845305139419</v>
      </c>
      <c r="AG209" s="15">
        <f t="shared" si="747"/>
        <v>0.27174133702774628</v>
      </c>
      <c r="AH209" s="115" t="e">
        <f t="shared" si="741"/>
        <v>#DIV/0!</v>
      </c>
      <c r="AI209" s="21">
        <f t="shared" si="722"/>
        <v>0.01</v>
      </c>
      <c r="AJ209" s="108" t="e">
        <f t="shared" si="742"/>
        <v>#DIV/0!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48">G205/G79</f>
        <v>0</v>
      </c>
      <c r="H210" s="15" t="e">
        <f t="shared" ref="H210:I210" si="749">H205/H79</f>
        <v>#DIV/0!</v>
      </c>
      <c r="I210" s="15" t="e">
        <f t="shared" si="749"/>
        <v>#DIV/0!</v>
      </c>
      <c r="J210" s="15" t="e">
        <f t="shared" ref="J210:T210" si="750">J205/J79</f>
        <v>#DIV/0!</v>
      </c>
      <c r="K210" s="15">
        <f t="shared" si="750"/>
        <v>0</v>
      </c>
      <c r="L210" s="15">
        <f t="shared" si="750"/>
        <v>0</v>
      </c>
      <c r="M210" s="15">
        <f t="shared" si="750"/>
        <v>0</v>
      </c>
      <c r="N210" s="15">
        <f t="shared" si="750"/>
        <v>0</v>
      </c>
      <c r="O210" s="15">
        <f t="shared" si="750"/>
        <v>0</v>
      </c>
      <c r="P210" s="15">
        <f t="shared" si="750"/>
        <v>1.7479195804195804</v>
      </c>
      <c r="Q210" s="15">
        <f t="shared" si="750"/>
        <v>3.0500442477876106</v>
      </c>
      <c r="R210" s="15">
        <f t="shared" si="750"/>
        <v>5.2715384615384622</v>
      </c>
      <c r="S210" s="15">
        <f t="shared" si="750"/>
        <v>4.020833333333333</v>
      </c>
      <c r="T210" s="15">
        <f t="shared" si="750"/>
        <v>4.0343001841620625</v>
      </c>
      <c r="U210" s="15">
        <f t="shared" ref="U210" si="751">U205/U79</f>
        <v>1.9470404984423677</v>
      </c>
      <c r="V210" s="101" t="e">
        <f t="shared" si="719"/>
        <v>#DIV/0!</v>
      </c>
      <c r="W210" s="109"/>
      <c r="X210" s="15">
        <f t="shared" si="747"/>
        <v>6.6063604358093499E-3</v>
      </c>
      <c r="Y210" s="102">
        <f t="shared" ref="Y210:AG210" si="752">Y205/Y79</f>
        <v>0.18772930174490166</v>
      </c>
      <c r="Z210" s="102">
        <f t="shared" si="752"/>
        <v>0.16487529979334842</v>
      </c>
      <c r="AA210" s="102">
        <f t="shared" si="752"/>
        <v>0.14480352416633213</v>
      </c>
      <c r="AB210" s="102">
        <f t="shared" si="752"/>
        <v>0.12717526905043083</v>
      </c>
      <c r="AC210" s="102">
        <f t="shared" si="752"/>
        <v>0.11169306238342187</v>
      </c>
      <c r="AD210" s="102">
        <f t="shared" si="752"/>
        <v>9.8095646093266167E-2</v>
      </c>
      <c r="AE210" s="102">
        <f t="shared" si="752"/>
        <v>8.615356743843379E-2</v>
      </c>
      <c r="AF210" s="102">
        <f t="shared" si="752"/>
        <v>7.5665307054624445E-2</v>
      </c>
      <c r="AG210" s="102">
        <f t="shared" si="752"/>
        <v>6.6453878369713656E-2</v>
      </c>
      <c r="AH210" s="115" t="e">
        <f t="shared" si="721"/>
        <v>#DIV/0!</v>
      </c>
      <c r="AI210" s="21">
        <f t="shared" si="722"/>
        <v>0.01</v>
      </c>
      <c r="AJ210" s="108" t="e">
        <f t="shared" si="723"/>
        <v>#DIV/0!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3">G205/G88</f>
        <v>0</v>
      </c>
      <c r="H211" s="15" t="e">
        <f t="shared" ref="H211:I211" si="754">H205/H88</f>
        <v>#DIV/0!</v>
      </c>
      <c r="I211" s="15" t="e">
        <f t="shared" si="754"/>
        <v>#DIV/0!</v>
      </c>
      <c r="J211" s="15" t="e">
        <f t="shared" ref="J211:T211" si="755">J205/J88</f>
        <v>#DIV/0!</v>
      </c>
      <c r="K211" s="15">
        <f t="shared" si="755"/>
        <v>0</v>
      </c>
      <c r="L211" s="15">
        <f t="shared" si="755"/>
        <v>0</v>
      </c>
      <c r="M211" s="15">
        <f t="shared" si="755"/>
        <v>0</v>
      </c>
      <c r="N211" s="15">
        <f t="shared" si="755"/>
        <v>0</v>
      </c>
      <c r="O211" s="15">
        <f t="shared" si="755"/>
        <v>0</v>
      </c>
      <c r="P211" s="15">
        <f t="shared" si="755"/>
        <v>4.5862844036697252</v>
      </c>
      <c r="Q211" s="15">
        <f t="shared" si="755"/>
        <v>60.821470588235293</v>
      </c>
      <c r="R211" s="15">
        <f t="shared" si="755"/>
        <v>113.56400000000001</v>
      </c>
      <c r="S211" s="15">
        <f t="shared" si="755"/>
        <v>88.262195121951208</v>
      </c>
      <c r="T211" s="15">
        <f t="shared" si="755"/>
        <v>87.625</v>
      </c>
      <c r="U211" s="15">
        <f t="shared" ref="U211" si="756">U205/U88</f>
        <v>40.983606557377051</v>
      </c>
      <c r="V211" s="101" t="e">
        <f t="shared" si="719"/>
        <v>#DIV/0!</v>
      </c>
      <c r="W211" s="109"/>
      <c r="X211" s="102">
        <f t="shared" ref="X211:AG211" si="757">X205/X88</f>
        <v>4.4992872416250895</v>
      </c>
      <c r="Y211" s="102">
        <f t="shared" si="757"/>
        <v>3.9515479252533399</v>
      </c>
      <c r="Z211" s="102">
        <f t="shared" si="757"/>
        <v>3.4704899169616286</v>
      </c>
      <c r="AA211" s="102">
        <f t="shared" si="757"/>
        <v>3.0479954922880395</v>
      </c>
      <c r="AB211" s="102">
        <f t="shared" si="757"/>
        <v>2.6769351714877563</v>
      </c>
      <c r="AC211" s="102">
        <f t="shared" si="757"/>
        <v>2.3510474114805513</v>
      </c>
      <c r="AD211" s="102">
        <f t="shared" si="757"/>
        <v>2.0648329439959627</v>
      </c>
      <c r="AE211" s="102">
        <f t="shared" si="757"/>
        <v>1.8134619769008022</v>
      </c>
      <c r="AF211" s="102">
        <f t="shared" si="757"/>
        <v>1.5926926927563567</v>
      </c>
      <c r="AG211" s="102">
        <f t="shared" si="757"/>
        <v>1.3987996692903655</v>
      </c>
      <c r="AH211" s="115" t="e">
        <f t="shared" si="721"/>
        <v>#DIV/0!</v>
      </c>
      <c r="AI211" s="21">
        <f t="shared" si="722"/>
        <v>0.01</v>
      </c>
      <c r="AJ211" s="108" t="e">
        <f t="shared" si="723"/>
        <v>#DIV/0!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58">G205/G90</f>
        <v>0</v>
      </c>
      <c r="H212" s="15" t="e">
        <f t="shared" ref="H212:I212" si="759">H205/H90</f>
        <v>#DIV/0!</v>
      </c>
      <c r="I212" s="15" t="e">
        <f t="shared" si="759"/>
        <v>#DIV/0!</v>
      </c>
      <c r="J212" s="15" t="e">
        <f t="shared" ref="J212:T212" si="760">J205/J90</f>
        <v>#DIV/0!</v>
      </c>
      <c r="K212" s="15">
        <f t="shared" si="760"/>
        <v>0</v>
      </c>
      <c r="L212" s="15">
        <f t="shared" si="760"/>
        <v>0</v>
      </c>
      <c r="M212" s="15">
        <f t="shared" si="760"/>
        <v>0</v>
      </c>
      <c r="N212" s="15">
        <f t="shared" si="760"/>
        <v>0</v>
      </c>
      <c r="O212" s="15">
        <f t="shared" si="760"/>
        <v>0</v>
      </c>
      <c r="P212" s="15">
        <f t="shared" si="760"/>
        <v>0.31312558722204825</v>
      </c>
      <c r="Q212" s="15">
        <f t="shared" si="760"/>
        <v>0.51287946428571429</v>
      </c>
      <c r="R212" s="15">
        <f t="shared" si="760"/>
        <v>0.77104558680892343</v>
      </c>
      <c r="S212" s="15">
        <f t="shared" si="760"/>
        <v>0.56061192873741283</v>
      </c>
      <c r="T212" s="15">
        <f t="shared" si="760"/>
        <v>0.57914738929279574</v>
      </c>
      <c r="U212" s="15">
        <f t="shared" ref="U212" si="761">U205/U90</f>
        <v>0.31585596967782686</v>
      </c>
      <c r="V212" s="101" t="e">
        <f t="shared" si="719"/>
        <v>#DIV/0!</v>
      </c>
      <c r="W212" s="109"/>
      <c r="X212" s="102">
        <f t="shared" ref="X212:AG212" si="762">X205/X90</f>
        <v>3.4675492323326652E-2</v>
      </c>
      <c r="Y212" s="102">
        <f t="shared" si="762"/>
        <v>3.0454128040486889E-2</v>
      </c>
      <c r="Z212" s="102">
        <f t="shared" si="762"/>
        <v>2.6746668974688484E-2</v>
      </c>
      <c r="AA212" s="102">
        <f t="shared" si="762"/>
        <v>2.3490552751682926E-2</v>
      </c>
      <c r="AB212" s="102">
        <f t="shared" si="762"/>
        <v>2.0630833286260662E-2</v>
      </c>
      <c r="AC212" s="102">
        <f t="shared" si="762"/>
        <v>1.8119253581846323E-2</v>
      </c>
      <c r="AD212" s="102">
        <f t="shared" si="762"/>
        <v>1.5913431406665034E-2</v>
      </c>
      <c r="AE212" s="102">
        <f t="shared" si="762"/>
        <v>1.3976144104984075E-2</v>
      </c>
      <c r="AF212" s="102">
        <f t="shared" si="762"/>
        <v>1.2274700474812099E-2</v>
      </c>
      <c r="AG212" s="102">
        <f t="shared" si="762"/>
        <v>1.0780389112661062E-2</v>
      </c>
      <c r="AH212" s="115" t="e">
        <f t="shared" si="721"/>
        <v>#DIV/0!</v>
      </c>
      <c r="AI212" s="21">
        <f t="shared" si="722"/>
        <v>0.01</v>
      </c>
      <c r="AJ212" s="108" t="e">
        <f t="shared" si="723"/>
        <v>#DIV/0!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3">G205/G84</f>
        <v>0</v>
      </c>
      <c r="H213" s="157" t="e">
        <f t="shared" ref="H213:I213" si="764">H205/H84</f>
        <v>#DIV/0!</v>
      </c>
      <c r="I213" s="157" t="e">
        <f t="shared" si="764"/>
        <v>#DIV/0!</v>
      </c>
      <c r="J213" s="157" t="e">
        <f t="shared" ref="J213:T213" si="765">J205/J84</f>
        <v>#DIV/0!</v>
      </c>
      <c r="K213" s="157">
        <f t="shared" si="765"/>
        <v>0</v>
      </c>
      <c r="L213" s="157">
        <f t="shared" si="765"/>
        <v>0</v>
      </c>
      <c r="M213" s="157">
        <f t="shared" si="765"/>
        <v>0</v>
      </c>
      <c r="N213" s="157">
        <f t="shared" si="765"/>
        <v>0</v>
      </c>
      <c r="O213" s="157">
        <f t="shared" si="765"/>
        <v>0</v>
      </c>
      <c r="P213" s="157">
        <f t="shared" si="765"/>
        <v>-0.44083333333333335</v>
      </c>
      <c r="Q213" s="157">
        <f t="shared" si="765"/>
        <v>-0.65275568181818178</v>
      </c>
      <c r="R213" s="157">
        <f t="shared" si="765"/>
        <v>-0.91604978105554269</v>
      </c>
      <c r="S213" s="157">
        <f t="shared" si="765"/>
        <v>-0.63453445554971066</v>
      </c>
      <c r="T213" s="157">
        <f t="shared" si="765"/>
        <v>-0.66695844116303848</v>
      </c>
      <c r="U213" s="157">
        <f t="shared" ref="U213" si="766">U205/U84</f>
        <v>-0.3541076487252125</v>
      </c>
      <c r="V213" s="101" t="e">
        <f t="shared" si="719"/>
        <v>#DIV/0!</v>
      </c>
      <c r="W213" s="109"/>
      <c r="X213" s="112">
        <f t="shared" ref="X213:AG213" si="767">X205/X84</f>
        <v>-3.8874861436137456E-2</v>
      </c>
      <c r="Y213" s="112">
        <f t="shared" si="767"/>
        <v>-3.4142269609129423E-2</v>
      </c>
      <c r="Z213" s="112">
        <f t="shared" si="767"/>
        <v>-2.9985819395844108E-2</v>
      </c>
      <c r="AA213" s="112">
        <f t="shared" si="767"/>
        <v>-2.6335371817219608E-2</v>
      </c>
      <c r="AB213" s="112">
        <f t="shared" si="767"/>
        <v>-2.3129326552514609E-2</v>
      </c>
      <c r="AC213" s="112">
        <f t="shared" si="767"/>
        <v>-2.0313582450469356E-2</v>
      </c>
      <c r="AD213" s="112">
        <f t="shared" si="767"/>
        <v>-1.7840624586933959E-2</v>
      </c>
      <c r="AE213" s="112">
        <f t="shared" si="767"/>
        <v>-1.5668722463307215E-2</v>
      </c>
      <c r="AF213" s="112">
        <f t="shared" si="767"/>
        <v>-1.3761225815600251E-2</v>
      </c>
      <c r="AG213" s="112">
        <f t="shared" si="767"/>
        <v>-1.2085946151092396E-2</v>
      </c>
      <c r="AH213" s="115" t="e">
        <f t="shared" ref="AH213" si="768">((AG213/J213)^(1/($AG$3-$K$1) ))-1</f>
        <v>#DIV/0!</v>
      </c>
      <c r="AI213" s="21">
        <f t="shared" ref="AI213:AI216" si="769">$O$1</f>
        <v>0.01</v>
      </c>
      <c r="AJ213" s="108" t="e">
        <f t="shared" si="723"/>
        <v>#DIV/0!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0.01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70">G63/G205</f>
        <v>#DIV/0!</v>
      </c>
      <c r="H215" s="128" t="e">
        <f t="shared" ref="H215:I215" si="771">H63/H205</f>
        <v>#DIV/0!</v>
      </c>
      <c r="I215" s="128" t="e">
        <f t="shared" si="771"/>
        <v>#DIV/0!</v>
      </c>
      <c r="J215" s="128" t="e">
        <f t="shared" ref="J215:T215" si="772">J63/J205</f>
        <v>#DIV/0!</v>
      </c>
      <c r="K215" s="128" t="e">
        <f t="shared" si="772"/>
        <v>#DIV/0!</v>
      </c>
      <c r="L215" s="128" t="e">
        <f t="shared" si="772"/>
        <v>#DIV/0!</v>
      </c>
      <c r="M215" s="128" t="e">
        <f t="shared" si="772"/>
        <v>#DIV/0!</v>
      </c>
      <c r="N215" s="128" t="e">
        <f t="shared" si="772"/>
        <v>#DIV/0!</v>
      </c>
      <c r="O215" s="128" t="e">
        <f t="shared" si="772"/>
        <v>#DIV/0!</v>
      </c>
      <c r="P215" s="128">
        <f t="shared" si="772"/>
        <v>0</v>
      </c>
      <c r="Q215" s="128">
        <f t="shared" si="772"/>
        <v>0</v>
      </c>
      <c r="R215" s="128">
        <f t="shared" si="772"/>
        <v>0</v>
      </c>
      <c r="S215" s="128">
        <f t="shared" si="772"/>
        <v>0</v>
      </c>
      <c r="T215" s="128">
        <f t="shared" si="772"/>
        <v>2.8530670470756064E-3</v>
      </c>
      <c r="U215" s="128">
        <f t="shared" ref="U215" si="773">U63/U205</f>
        <v>5.5000000000000005E-3</v>
      </c>
      <c r="V215" s="101" t="e">
        <f t="shared" si="719"/>
        <v>#DIV/0!</v>
      </c>
      <c r="W215" s="109"/>
      <c r="X215" s="128">
        <f t="shared" ref="X215:AG215" si="774">X63/X205</f>
        <v>4.4880000000000003E-2</v>
      </c>
      <c r="Y215" s="128">
        <f t="shared" si="774"/>
        <v>4.5777600000000002E-2</v>
      </c>
      <c r="Z215" s="128">
        <f t="shared" si="774"/>
        <v>4.6693152000000009E-2</v>
      </c>
      <c r="AA215" s="128">
        <f t="shared" si="774"/>
        <v>4.7627015040000005E-2</v>
      </c>
      <c r="AB215" s="128">
        <f t="shared" si="774"/>
        <v>4.857955534080001E-2</v>
      </c>
      <c r="AC215" s="128">
        <f t="shared" si="774"/>
        <v>4.9551146447616018E-2</v>
      </c>
      <c r="AD215" s="128">
        <f t="shared" si="774"/>
        <v>5.054216937656833E-2</v>
      </c>
      <c r="AE215" s="128">
        <f t="shared" si="774"/>
        <v>5.1553012764099702E-2</v>
      </c>
      <c r="AF215" s="128">
        <f t="shared" si="774"/>
        <v>5.25840730193817E-2</v>
      </c>
      <c r="AG215" s="128">
        <f t="shared" si="774"/>
        <v>5.3635754479769329E-2</v>
      </c>
      <c r="AH215" s="115" t="e">
        <f t="shared" ref="AH215:AH220" si="775">((AG215/J215)^(1/($AG$3-$K$1) ))-1</f>
        <v>#DIV/0!</v>
      </c>
      <c r="AI215" s="21">
        <f t="shared" si="769"/>
        <v>0.01</v>
      </c>
      <c r="AJ215" s="108" t="e">
        <f t="shared" si="723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76">G205*G61</f>
        <v>0</v>
      </c>
      <c r="H216" s="140">
        <f t="shared" ref="H216:I216" si="777">H205*H61</f>
        <v>0</v>
      </c>
      <c r="I216" s="140">
        <f t="shared" si="777"/>
        <v>0</v>
      </c>
      <c r="J216" s="140">
        <f t="shared" ref="J216:T216" si="778">J205*J61</f>
        <v>0</v>
      </c>
      <c r="K216" s="140">
        <f t="shared" si="778"/>
        <v>0</v>
      </c>
      <c r="L216" s="140">
        <f t="shared" si="778"/>
        <v>0</v>
      </c>
      <c r="M216" s="140">
        <f t="shared" si="778"/>
        <v>0</v>
      </c>
      <c r="N216" s="140">
        <f t="shared" si="778"/>
        <v>0</v>
      </c>
      <c r="O216" s="140">
        <f t="shared" si="778"/>
        <v>0</v>
      </c>
      <c r="P216" s="140">
        <f t="shared" si="778"/>
        <v>999.81</v>
      </c>
      <c r="Q216" s="140">
        <f t="shared" si="778"/>
        <v>2067.9299999999998</v>
      </c>
      <c r="R216" s="140">
        <f t="shared" si="778"/>
        <v>3974.7400000000002</v>
      </c>
      <c r="S216" s="140">
        <f t="shared" si="778"/>
        <v>3618.75</v>
      </c>
      <c r="T216" s="140">
        <f t="shared" si="778"/>
        <v>4381.25</v>
      </c>
      <c r="U216" s="140">
        <f t="shared" ref="U216" si="779">U205*U61</f>
        <v>2500</v>
      </c>
      <c r="V216" s="101" t="e">
        <f t="shared" si="719"/>
        <v>#DIV/0!</v>
      </c>
      <c r="W216" s="109"/>
      <c r="X216" s="140">
        <f t="shared" ref="X216:AG216" si="780">X205*X61</f>
        <v>315.625</v>
      </c>
      <c r="Y216" s="140">
        <f t="shared" si="780"/>
        <v>318.78125</v>
      </c>
      <c r="Z216" s="140">
        <f t="shared" si="780"/>
        <v>321.96906250000001</v>
      </c>
      <c r="AA216" s="140">
        <f t="shared" si="780"/>
        <v>325.18875312500001</v>
      </c>
      <c r="AB216" s="140">
        <f t="shared" si="780"/>
        <v>328.44064065624997</v>
      </c>
      <c r="AC216" s="140">
        <f t="shared" si="780"/>
        <v>331.72504706281251</v>
      </c>
      <c r="AD216" s="140">
        <f t="shared" si="780"/>
        <v>335.0422975334406</v>
      </c>
      <c r="AE216" s="140">
        <f t="shared" si="780"/>
        <v>338.39272050877503</v>
      </c>
      <c r="AF216" s="140">
        <f t="shared" si="780"/>
        <v>341.77664771386276</v>
      </c>
      <c r="AG216" s="140">
        <f t="shared" si="780"/>
        <v>345.19441419100139</v>
      </c>
      <c r="AH216" s="115" t="e">
        <f t="shared" si="775"/>
        <v>#DIV/0!</v>
      </c>
      <c r="AI216" s="21">
        <f t="shared" si="769"/>
        <v>0.01</v>
      </c>
      <c r="AJ216" s="108" t="e">
        <f t="shared" si="723"/>
        <v>#DIV/0!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81">G76/G205</f>
        <v>#DIV/0!</v>
      </c>
      <c r="H218" s="136" t="e">
        <f t="shared" ref="H218:I218" si="782">H76/H205</f>
        <v>#DIV/0!</v>
      </c>
      <c r="I218" s="136" t="e">
        <f t="shared" si="782"/>
        <v>#DIV/0!</v>
      </c>
      <c r="J218" s="136" t="e">
        <f t="shared" ref="J218:T218" si="783">J76/J205</f>
        <v>#DIV/0!</v>
      </c>
      <c r="K218" s="136" t="e">
        <f t="shared" si="783"/>
        <v>#DIV/0!</v>
      </c>
      <c r="L218" s="136" t="e">
        <f t="shared" si="783"/>
        <v>#DIV/0!</v>
      </c>
      <c r="M218" s="136" t="e">
        <f t="shared" si="783"/>
        <v>#DIV/0!</v>
      </c>
      <c r="N218" s="136" t="e">
        <f t="shared" si="783"/>
        <v>#DIV/0!</v>
      </c>
      <c r="O218" s="136" t="e">
        <f t="shared" si="783"/>
        <v>#DIV/0!</v>
      </c>
      <c r="P218" s="136">
        <f t="shared" si="783"/>
        <v>8.0015202888548825E-2</v>
      </c>
      <c r="Q218" s="136">
        <f t="shared" si="783"/>
        <v>5.3193289908265752E-2</v>
      </c>
      <c r="R218" s="136">
        <f t="shared" si="783"/>
        <v>3.0945420329380031E-2</v>
      </c>
      <c r="S218" s="136">
        <f t="shared" si="783"/>
        <v>4.145077720207254E-2</v>
      </c>
      <c r="T218" s="136">
        <f t="shared" si="783"/>
        <v>4.1540656205420828E-2</v>
      </c>
      <c r="U218" s="136">
        <f t="shared" ref="U218" si="784">U76/U205</f>
        <v>8.2400000000000001E-2</v>
      </c>
      <c r="V218" s="101" t="e">
        <f t="shared" si="719"/>
        <v>#DIV/0!</v>
      </c>
      <c r="W218" s="109"/>
      <c r="X218" s="136">
        <f t="shared" ref="X218:AG218" si="785">X76/X205</f>
        <v>0.75057425742574257</v>
      </c>
      <c r="Y218" s="136">
        <f t="shared" si="785"/>
        <v>0.85461425350455811</v>
      </c>
      <c r="Z218" s="136">
        <f t="shared" si="785"/>
        <v>0.97307563517845719</v>
      </c>
      <c r="AA218" s="136">
        <f t="shared" si="785"/>
        <v>1.1079574063913127</v>
      </c>
      <c r="AB218" s="136">
        <f t="shared" si="785"/>
        <v>1.2615356607425836</v>
      </c>
      <c r="AC218" s="136">
        <f t="shared" si="785"/>
        <v>1.4364019899544269</v>
      </c>
      <c r="AD218" s="136">
        <f t="shared" si="785"/>
        <v>1.6355072162847433</v>
      </c>
      <c r="AE218" s="136">
        <f t="shared" si="785"/>
        <v>1.8622111868588658</v>
      </c>
      <c r="AF218" s="136">
        <f t="shared" si="785"/>
        <v>2.1203394701858373</v>
      </c>
      <c r="AG218" s="136">
        <f t="shared" si="785"/>
        <v>2.4142479115977351</v>
      </c>
      <c r="AH218" s="115" t="e">
        <f t="shared" ref="AH218" si="786">((AG218/J218)^(1/($AG$3-$K$1) ))-1</f>
        <v>#DIV/0!</v>
      </c>
      <c r="AI218" s="21">
        <f t="shared" ref="AI218" si="787">$O$1</f>
        <v>0.01</v>
      </c>
      <c r="AJ218" s="108" t="e">
        <f t="shared" ref="AJ218" si="788">(AG218*(1+AH218))/($C$1-AI218)</f>
        <v>#DIV/0!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0</v>
      </c>
      <c r="H219" s="156" t="e">
        <f t="shared" ref="H219:I219" si="790">H207</f>
        <v>#DIV/0!</v>
      </c>
      <c r="I219" s="156" t="e">
        <f t="shared" si="790"/>
        <v>#DIV/0!</v>
      </c>
      <c r="J219" s="156" t="e">
        <f t="shared" ref="J219:T219" si="791">J207</f>
        <v>#DIV/0!</v>
      </c>
      <c r="K219" s="156">
        <f t="shared" si="791"/>
        <v>0</v>
      </c>
      <c r="L219" s="156">
        <f t="shared" si="791"/>
        <v>0</v>
      </c>
      <c r="M219" s="156">
        <f t="shared" si="791"/>
        <v>0</v>
      </c>
      <c r="N219" s="156">
        <f t="shared" si="791"/>
        <v>0</v>
      </c>
      <c r="O219" s="156">
        <f t="shared" si="791"/>
        <v>0</v>
      </c>
      <c r="P219" s="156">
        <f t="shared" si="791"/>
        <v>12.497624999999999</v>
      </c>
      <c r="Q219" s="156">
        <f t="shared" si="791"/>
        <v>18.799363636363637</v>
      </c>
      <c r="R219" s="156">
        <f t="shared" si="791"/>
        <v>32.314959349593501</v>
      </c>
      <c r="S219" s="156">
        <f t="shared" si="791"/>
        <v>24.125</v>
      </c>
      <c r="T219" s="156">
        <f t="shared" si="791"/>
        <v>24.072802197802197</v>
      </c>
      <c r="U219" s="156">
        <f t="shared" ref="U219" si="792">U207</f>
        <v>12.135922330097086</v>
      </c>
      <c r="V219" s="101" t="e">
        <f t="shared" si="719"/>
        <v>#DIV/0!</v>
      </c>
      <c r="W219" s="109"/>
      <c r="X219" s="128">
        <f t="shared" ref="X219:AG219" si="793">X207</f>
        <v>1.3323132123258761</v>
      </c>
      <c r="Y219" s="128">
        <f t="shared" si="793"/>
        <v>1.1701185603905522</v>
      </c>
      <c r="Z219" s="128">
        <f t="shared" si="793"/>
        <v>1.0276693443430067</v>
      </c>
      <c r="AA219" s="128">
        <f t="shared" si="793"/>
        <v>0.90256177198820597</v>
      </c>
      <c r="AB219" s="128">
        <f t="shared" si="793"/>
        <v>0.79268468670268533</v>
      </c>
      <c r="AC219" s="128">
        <f t="shared" si="793"/>
        <v>0.69618394223453228</v>
      </c>
      <c r="AD219" s="128">
        <f t="shared" si="793"/>
        <v>0.61143111448424148</v>
      </c>
      <c r="AE219" s="128">
        <f t="shared" si="793"/>
        <v>0.53699602228616006</v>
      </c>
      <c r="AF219" s="128">
        <f t="shared" si="793"/>
        <v>0.4716225934861058</v>
      </c>
      <c r="AG219" s="128">
        <f t="shared" si="793"/>
        <v>0.4142076690617103</v>
      </c>
      <c r="AH219" s="115" t="e">
        <f t="shared" ref="AH219" si="794">((AG219/J219)^(1/($AG$3-$K$1) ))-1</f>
        <v>#DIV/0!</v>
      </c>
      <c r="AI219" s="21">
        <f t="shared" ref="AI219:AI221" si="795">$O$1</f>
        <v>0.01</v>
      </c>
      <c r="AJ219" s="156" t="e">
        <f>(AJ206)/($O$2*100)</f>
        <v>#DIV/0!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96">(G207)/($O$2*100)</f>
        <v>0</v>
      </c>
      <c r="H220" s="156" t="e">
        <f t="shared" ref="H220:I220" si="797">(H207)/($O$2*100)</f>
        <v>#DIV/0!</v>
      </c>
      <c r="I220" s="156" t="e">
        <f t="shared" si="797"/>
        <v>#DIV/0!</v>
      </c>
      <c r="J220" s="156" t="e">
        <f t="shared" ref="J220:T220" si="798">(J207)/($O$2*100)</f>
        <v>#DIV/0!</v>
      </c>
      <c r="K220" s="156">
        <f t="shared" si="798"/>
        <v>0</v>
      </c>
      <c r="L220" s="156">
        <f t="shared" si="798"/>
        <v>0</v>
      </c>
      <c r="M220" s="156">
        <f t="shared" si="798"/>
        <v>0</v>
      </c>
      <c r="N220" s="156">
        <f t="shared" si="798"/>
        <v>0</v>
      </c>
      <c r="O220" s="156">
        <f t="shared" si="798"/>
        <v>0</v>
      </c>
      <c r="P220" s="156">
        <f t="shared" si="798"/>
        <v>0.833175</v>
      </c>
      <c r="Q220" s="156">
        <f t="shared" si="798"/>
        <v>1.2532909090909092</v>
      </c>
      <c r="R220" s="156">
        <f t="shared" si="798"/>
        <v>2.1543306233062336</v>
      </c>
      <c r="S220" s="156">
        <f t="shared" si="798"/>
        <v>1.6083333333333334</v>
      </c>
      <c r="T220" s="156">
        <f t="shared" si="798"/>
        <v>1.6048534798534797</v>
      </c>
      <c r="U220" s="156">
        <f t="shared" ref="U220" si="799">(U207)/($O$2*100)</f>
        <v>0.8090614886731391</v>
      </c>
      <c r="V220" s="101" t="e">
        <f t="shared" si="719"/>
        <v>#DIV/0!</v>
      </c>
      <c r="W220" s="109"/>
      <c r="X220" s="156">
        <f t="shared" ref="X220:AG220" si="800">(X207)/($O$2*100)</f>
        <v>8.8820880821725068E-2</v>
      </c>
      <c r="Y220" s="156">
        <f t="shared" si="800"/>
        <v>7.8007904026036815E-2</v>
      </c>
      <c r="Z220" s="156">
        <f t="shared" si="800"/>
        <v>6.8511289622867108E-2</v>
      </c>
      <c r="AA220" s="156">
        <f t="shared" si="800"/>
        <v>6.0170784799213735E-2</v>
      </c>
      <c r="AB220" s="156">
        <f t="shared" si="800"/>
        <v>5.2845645780179022E-2</v>
      </c>
      <c r="AC220" s="156">
        <f t="shared" si="800"/>
        <v>4.6412262815635486E-2</v>
      </c>
      <c r="AD220" s="156">
        <f t="shared" si="800"/>
        <v>4.076207429894943E-2</v>
      </c>
      <c r="AE220" s="156">
        <f t="shared" si="800"/>
        <v>3.579973481907734E-2</v>
      </c>
      <c r="AF220" s="156">
        <f t="shared" si="800"/>
        <v>3.1441506232407053E-2</v>
      </c>
      <c r="AG220" s="156">
        <f t="shared" si="800"/>
        <v>2.7613844604114021E-2</v>
      </c>
      <c r="AH220" s="115" t="e">
        <f t="shared" si="775"/>
        <v>#DIV/0!</v>
      </c>
      <c r="AI220" s="21">
        <f t="shared" si="795"/>
        <v>0.01</v>
      </c>
      <c r="AJ220" s="156" t="e">
        <f>(AJ207)/($O$2*100)</f>
        <v>#DIV/0!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801">G220-1</f>
        <v>-1</v>
      </c>
      <c r="H221" s="128" t="e">
        <f t="shared" ref="H221:I221" si="802">H220-1</f>
        <v>#DIV/0!</v>
      </c>
      <c r="I221" s="128" t="e">
        <f t="shared" si="802"/>
        <v>#DIV/0!</v>
      </c>
      <c r="J221" s="128" t="e">
        <f t="shared" ref="J221:S221" si="803">J220-1</f>
        <v>#DIV/0!</v>
      </c>
      <c r="K221" s="128">
        <f t="shared" si="803"/>
        <v>-1</v>
      </c>
      <c r="L221" s="128">
        <f t="shared" si="803"/>
        <v>-1</v>
      </c>
      <c r="M221" s="128">
        <f t="shared" si="803"/>
        <v>-1</v>
      </c>
      <c r="N221" s="128">
        <f t="shared" si="803"/>
        <v>-1</v>
      </c>
      <c r="O221" s="128">
        <f t="shared" si="803"/>
        <v>-1</v>
      </c>
      <c r="P221" s="128">
        <f t="shared" si="803"/>
        <v>-0.166825</v>
      </c>
      <c r="Q221" s="128">
        <f t="shared" si="803"/>
        <v>0.25329090909090923</v>
      </c>
      <c r="R221" s="128">
        <f t="shared" si="803"/>
        <v>1.1543306233062336</v>
      </c>
      <c r="S221" s="128">
        <f t="shared" si="803"/>
        <v>0.60833333333333339</v>
      </c>
      <c r="T221" s="128">
        <f>T220-1</f>
        <v>0.6048534798534797</v>
      </c>
      <c r="U221" s="128">
        <f>U220-1</f>
        <v>-0.1909385113268609</v>
      </c>
      <c r="V221" s="101">
        <f t="shared" si="719"/>
        <v>-0.15259825648077729</v>
      </c>
      <c r="W221" s="109"/>
      <c r="X221" s="128">
        <f t="shared" ref="X221:AG221" si="804">X220-1</f>
        <v>-0.91117911917827499</v>
      </c>
      <c r="Y221" s="128">
        <f t="shared" si="804"/>
        <v>-0.92199209597396314</v>
      </c>
      <c r="Z221" s="128">
        <f t="shared" si="804"/>
        <v>-0.93148871037713288</v>
      </c>
      <c r="AA221" s="128">
        <f t="shared" si="804"/>
        <v>-0.93982921520078622</v>
      </c>
      <c r="AB221" s="128">
        <f t="shared" si="804"/>
        <v>-0.94715435421982097</v>
      </c>
      <c r="AC221" s="128">
        <f t="shared" si="804"/>
        <v>-0.95358773718436451</v>
      </c>
      <c r="AD221" s="128">
        <f t="shared" si="804"/>
        <v>-0.9592379257010506</v>
      </c>
      <c r="AE221" s="128">
        <f t="shared" si="804"/>
        <v>-0.96420026518092261</v>
      </c>
      <c r="AF221" s="128">
        <f t="shared" si="804"/>
        <v>-0.96855849376759295</v>
      </c>
      <c r="AG221" s="128">
        <f t="shared" si="804"/>
        <v>-0.97238615539588602</v>
      </c>
      <c r="AH221" s="115" t="e">
        <f t="shared" ref="AH221" si="805">((AG221/J221)^(1/($AG$3-$K$1) ))-1</f>
        <v>#DIV/0!</v>
      </c>
      <c r="AI221" s="21">
        <f t="shared" si="795"/>
        <v>0.01</v>
      </c>
      <c r="AJ221" s="156" t="e">
        <f>(AJ208)/($O$2*100)</f>
        <v>#DIV/0!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504</v>
      </c>
      <c r="C223" s="128"/>
      <c r="D223" s="128"/>
      <c r="E223" s="128"/>
      <c r="F223" s="128"/>
      <c r="G223" s="128" t="e">
        <f t="shared" ref="G223:S223" si="806">1/G224</f>
        <v>#DIV/0!</v>
      </c>
      <c r="H223" s="128" t="e">
        <f t="shared" si="806"/>
        <v>#DIV/0!</v>
      </c>
      <c r="I223" s="128" t="e">
        <f t="shared" si="806"/>
        <v>#DIV/0!</v>
      </c>
      <c r="J223" s="128" t="e">
        <f t="shared" si="806"/>
        <v>#DIV/0!</v>
      </c>
      <c r="K223" s="128" t="e">
        <f t="shared" si="806"/>
        <v>#DIV/0!</v>
      </c>
      <c r="L223" s="128" t="e">
        <f t="shared" si="806"/>
        <v>#DIV/0!</v>
      </c>
      <c r="M223" s="128" t="e">
        <f t="shared" si="806"/>
        <v>#DIV/0!</v>
      </c>
      <c r="N223" s="128" t="e">
        <f t="shared" si="806"/>
        <v>#DIV/0!</v>
      </c>
      <c r="O223" s="128" t="e">
        <f t="shared" si="806"/>
        <v>#DIV/0!</v>
      </c>
      <c r="P223" s="128">
        <f t="shared" si="806"/>
        <v>6.1188997338065661E-2</v>
      </c>
      <c r="Q223" s="128">
        <f t="shared" si="806"/>
        <v>2.958386958386959E-2</v>
      </c>
      <c r="R223" s="128">
        <f t="shared" si="806"/>
        <v>1.5441110613524408E-2</v>
      </c>
      <c r="S223" s="128">
        <f t="shared" si="806"/>
        <v>1.7014557118184063E-2</v>
      </c>
      <c r="T223" s="128">
        <f>1/T224</f>
        <v>1.4053393111880986E-2</v>
      </c>
      <c r="U223" s="128">
        <f>1/U224</f>
        <v>2.462857142857143E-2</v>
      </c>
      <c r="V223" s="101" t="e">
        <f t="shared" si="719"/>
        <v>#DIV/0!</v>
      </c>
      <c r="W223" s="109"/>
      <c r="X223" s="128">
        <f t="shared" ref="X223:AG223" si="807">1/X224</f>
        <v>0.19702857142857144</v>
      </c>
      <c r="Y223" s="128">
        <f t="shared" si="807"/>
        <v>0.19702857142857144</v>
      </c>
      <c r="Z223" s="128">
        <f t="shared" si="807"/>
        <v>0.19702857142857144</v>
      </c>
      <c r="AA223" s="128">
        <f t="shared" si="807"/>
        <v>0.19702857142857144</v>
      </c>
      <c r="AB223" s="128">
        <f t="shared" si="807"/>
        <v>0.19702857142857144</v>
      </c>
      <c r="AC223" s="128">
        <f t="shared" si="807"/>
        <v>0.19702857142857144</v>
      </c>
      <c r="AD223" s="128">
        <f t="shared" si="807"/>
        <v>0.19702857142857144</v>
      </c>
      <c r="AE223" s="128">
        <f t="shared" si="807"/>
        <v>0.19702857142857144</v>
      </c>
      <c r="AF223" s="128">
        <f t="shared" si="807"/>
        <v>0.19702857142857144</v>
      </c>
      <c r="AG223" s="128">
        <f t="shared" si="807"/>
        <v>0.19702857142857144</v>
      </c>
      <c r="AH223" s="115" t="e">
        <f t="shared" ref="AH223" si="808">((AG223/J223)^(1/($AG$3-$K$1) ))-1</f>
        <v>#DIV/0!</v>
      </c>
      <c r="AI223" s="21">
        <f t="shared" ref="AI223:AI226" si="809">$O$1</f>
        <v>0.01</v>
      </c>
      <c r="AJ223" s="156" t="e">
        <f>(AJ210)/($O$2*100)</f>
        <v>#DIV/0!</v>
      </c>
    </row>
    <row r="224" spans="2:36">
      <c r="B224" s="10" t="s">
        <v>503</v>
      </c>
      <c r="C224" s="110"/>
      <c r="D224" s="110"/>
      <c r="E224" s="110"/>
      <c r="F224" s="110"/>
      <c r="G224" s="112">
        <f t="shared" ref="G224:U224" si="810">G205/$S$174</f>
        <v>0</v>
      </c>
      <c r="H224" s="112">
        <f t="shared" si="810"/>
        <v>0</v>
      </c>
      <c r="I224" s="112">
        <f t="shared" si="810"/>
        <v>0</v>
      </c>
      <c r="J224" s="112">
        <f t="shared" si="810"/>
        <v>0</v>
      </c>
      <c r="K224" s="112">
        <f t="shared" si="810"/>
        <v>0</v>
      </c>
      <c r="L224" s="112">
        <f t="shared" si="810"/>
        <v>0</v>
      </c>
      <c r="M224" s="112">
        <f t="shared" si="810"/>
        <v>0</v>
      </c>
      <c r="N224" s="112">
        <f t="shared" si="810"/>
        <v>0</v>
      </c>
      <c r="O224" s="112">
        <f t="shared" si="810"/>
        <v>0</v>
      </c>
      <c r="P224" s="112">
        <f t="shared" si="810"/>
        <v>16.342807424593968</v>
      </c>
      <c r="Q224" s="112">
        <f t="shared" si="810"/>
        <v>33.802204176334101</v>
      </c>
      <c r="R224" s="112">
        <f t="shared" si="810"/>
        <v>64.762180974477957</v>
      </c>
      <c r="S224" s="112">
        <f t="shared" si="810"/>
        <v>58.773201856148489</v>
      </c>
      <c r="T224" s="112">
        <f t="shared" si="810"/>
        <v>71.157192575406029</v>
      </c>
      <c r="U224" s="112">
        <f t="shared" si="810"/>
        <v>40.603248259860784</v>
      </c>
      <c r="V224" s="101" t="e">
        <f t="shared" si="719"/>
        <v>#DIV/0!</v>
      </c>
      <c r="W224" s="109"/>
      <c r="X224" s="112">
        <f t="shared" ref="X224:AG224" si="811">X205/$S$174</f>
        <v>5.075406032482598</v>
      </c>
      <c r="Y224" s="112">
        <f t="shared" si="811"/>
        <v>5.075406032482598</v>
      </c>
      <c r="Z224" s="112">
        <f t="shared" si="811"/>
        <v>5.075406032482598</v>
      </c>
      <c r="AA224" s="112">
        <f t="shared" si="811"/>
        <v>5.075406032482598</v>
      </c>
      <c r="AB224" s="112">
        <f t="shared" si="811"/>
        <v>5.075406032482598</v>
      </c>
      <c r="AC224" s="112">
        <f t="shared" si="811"/>
        <v>5.075406032482598</v>
      </c>
      <c r="AD224" s="112">
        <f t="shared" si="811"/>
        <v>5.075406032482598</v>
      </c>
      <c r="AE224" s="112">
        <f t="shared" si="811"/>
        <v>5.075406032482598</v>
      </c>
      <c r="AF224" s="112">
        <f t="shared" si="811"/>
        <v>5.075406032482598</v>
      </c>
      <c r="AG224" s="112">
        <f t="shared" si="811"/>
        <v>5.075406032482598</v>
      </c>
      <c r="AH224" s="115" t="e">
        <f t="shared" ref="AH224:AH226" si="812">((AG224/J224)^(1/($AG$3-$K$1) ))-1</f>
        <v>#DIV/0!</v>
      </c>
      <c r="AI224" s="21">
        <f t="shared" si="809"/>
        <v>0.01</v>
      </c>
      <c r="AJ224" s="156" t="e">
        <f>(AJ210)/($O$2*100)</f>
        <v>#DIV/0!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3">(G224)/($O$2*100)</f>
        <v>0</v>
      </c>
      <c r="H225" s="156">
        <f t="shared" ref="H225:I225" si="814">(H224)/($O$2*100)</f>
        <v>0</v>
      </c>
      <c r="I225" s="156">
        <f t="shared" si="814"/>
        <v>0</v>
      </c>
      <c r="J225" s="156">
        <f t="shared" ref="J225:T225" si="815">(J224)/($O$2*100)</f>
        <v>0</v>
      </c>
      <c r="K225" s="156">
        <f t="shared" si="815"/>
        <v>0</v>
      </c>
      <c r="L225" s="156">
        <f t="shared" si="815"/>
        <v>0</v>
      </c>
      <c r="M225" s="156">
        <f t="shared" si="815"/>
        <v>0</v>
      </c>
      <c r="N225" s="156">
        <f t="shared" si="815"/>
        <v>0</v>
      </c>
      <c r="O225" s="156">
        <f t="shared" si="815"/>
        <v>0</v>
      </c>
      <c r="P225" s="156">
        <f t="shared" si="815"/>
        <v>1.0895204949729311</v>
      </c>
      <c r="Q225" s="156">
        <f t="shared" si="815"/>
        <v>2.2534802784222734</v>
      </c>
      <c r="R225" s="156">
        <f t="shared" si="815"/>
        <v>4.3174787316318639</v>
      </c>
      <c r="S225" s="156">
        <f t="shared" si="815"/>
        <v>3.9182134570765661</v>
      </c>
      <c r="T225" s="156">
        <f t="shared" si="815"/>
        <v>4.7438128383604017</v>
      </c>
      <c r="U225" s="156">
        <f t="shared" ref="U225" si="816">(U224)/($O$2*100)</f>
        <v>2.7068832173240525</v>
      </c>
      <c r="V225" s="101" t="e">
        <f t="shared" si="719"/>
        <v>#DIV/0!</v>
      </c>
      <c r="W225" s="109"/>
      <c r="X225" s="156">
        <f t="shared" ref="X225:AG225" si="817">(X224)/($O$2*100)</f>
        <v>0.33836040216550656</v>
      </c>
      <c r="Y225" s="156">
        <f t="shared" si="817"/>
        <v>0.33836040216550656</v>
      </c>
      <c r="Z225" s="156">
        <f t="shared" si="817"/>
        <v>0.33836040216550656</v>
      </c>
      <c r="AA225" s="156">
        <f t="shared" si="817"/>
        <v>0.33836040216550656</v>
      </c>
      <c r="AB225" s="156">
        <f t="shared" si="817"/>
        <v>0.33836040216550656</v>
      </c>
      <c r="AC225" s="156">
        <f t="shared" si="817"/>
        <v>0.33836040216550656</v>
      </c>
      <c r="AD225" s="156">
        <f t="shared" si="817"/>
        <v>0.33836040216550656</v>
      </c>
      <c r="AE225" s="156">
        <f t="shared" si="817"/>
        <v>0.33836040216550656</v>
      </c>
      <c r="AF225" s="156">
        <f t="shared" si="817"/>
        <v>0.33836040216550656</v>
      </c>
      <c r="AG225" s="156">
        <f t="shared" si="817"/>
        <v>0.33836040216550656</v>
      </c>
      <c r="AH225" s="115" t="e">
        <f t="shared" si="812"/>
        <v>#DIV/0!</v>
      </c>
      <c r="AI225" s="21">
        <f t="shared" si="809"/>
        <v>0.01</v>
      </c>
      <c r="AJ225" s="156" t="e">
        <f>(AJ211)/($O$2*100)</f>
        <v>#DIV/0!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18">G225-1</f>
        <v>-1</v>
      </c>
      <c r="H226" s="128">
        <f t="shared" ref="H226:I226" si="819">H225-1</f>
        <v>-1</v>
      </c>
      <c r="I226" s="128">
        <f t="shared" si="819"/>
        <v>-1</v>
      </c>
      <c r="J226" s="128">
        <f t="shared" ref="J226:T226" si="820">J225-1</f>
        <v>-1</v>
      </c>
      <c r="K226" s="128">
        <f t="shared" si="820"/>
        <v>-1</v>
      </c>
      <c r="L226" s="128">
        <f t="shared" si="820"/>
        <v>-1</v>
      </c>
      <c r="M226" s="128">
        <f t="shared" si="820"/>
        <v>-1</v>
      </c>
      <c r="N226" s="128">
        <f t="shared" si="820"/>
        <v>-1</v>
      </c>
      <c r="O226" s="128">
        <f t="shared" si="820"/>
        <v>-1</v>
      </c>
      <c r="P226" s="128">
        <f t="shared" si="820"/>
        <v>8.9520494972931131E-2</v>
      </c>
      <c r="Q226" s="128">
        <f t="shared" si="820"/>
        <v>1.2534802784222734</v>
      </c>
      <c r="R226" s="128">
        <f t="shared" si="820"/>
        <v>3.3174787316318639</v>
      </c>
      <c r="S226" s="128">
        <f t="shared" si="820"/>
        <v>2.9182134570765661</v>
      </c>
      <c r="T226" s="128">
        <f t="shared" si="820"/>
        <v>3.7438128383604017</v>
      </c>
      <c r="U226" s="128">
        <f t="shared" ref="U226" si="821">U225-1</f>
        <v>1.7068832173240525</v>
      </c>
      <c r="V226" s="101" t="e">
        <f t="shared" si="719"/>
        <v>#NUM!</v>
      </c>
      <c r="W226" s="109"/>
      <c r="X226" s="128">
        <f t="shared" ref="X226:AG226" si="822">X225-1</f>
        <v>-0.66163959783449344</v>
      </c>
      <c r="Y226" s="128">
        <f t="shared" si="822"/>
        <v>-0.66163959783449344</v>
      </c>
      <c r="Z226" s="128">
        <f t="shared" si="822"/>
        <v>-0.66163959783449344</v>
      </c>
      <c r="AA226" s="128">
        <f t="shared" si="822"/>
        <v>-0.66163959783449344</v>
      </c>
      <c r="AB226" s="128">
        <f t="shared" si="822"/>
        <v>-0.66163959783449344</v>
      </c>
      <c r="AC226" s="128">
        <f t="shared" si="822"/>
        <v>-0.66163959783449344</v>
      </c>
      <c r="AD226" s="128">
        <f t="shared" si="822"/>
        <v>-0.66163959783449344</v>
      </c>
      <c r="AE226" s="128">
        <f t="shared" si="822"/>
        <v>-0.66163959783449344</v>
      </c>
      <c r="AF226" s="128">
        <f t="shared" si="822"/>
        <v>-0.66163959783449344</v>
      </c>
      <c r="AG226" s="128">
        <f t="shared" si="822"/>
        <v>-0.66163959783449344</v>
      </c>
      <c r="AH226" s="115">
        <f t="shared" si="812"/>
        <v>-2.0439928042605415E-2</v>
      </c>
      <c r="AI226" s="21">
        <f t="shared" si="809"/>
        <v>0.01</v>
      </c>
      <c r="AJ226" s="156" t="e">
        <f>(AJ212)/($O$2*100)</f>
        <v>#DIV/0!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504</v>
      </c>
      <c r="C228" s="110"/>
      <c r="D228" s="110"/>
      <c r="E228" s="110"/>
      <c r="F228" s="110"/>
      <c r="G228" s="128" t="e">
        <f t="shared" ref="G228:U228" si="823">1/G229</f>
        <v>#DIV/0!</v>
      </c>
      <c r="H228" s="128" t="e">
        <f t="shared" si="823"/>
        <v>#DIV/0!</v>
      </c>
      <c r="I228" s="128" t="e">
        <f t="shared" si="823"/>
        <v>#DIV/0!</v>
      </c>
      <c r="J228" s="128" t="e">
        <f t="shared" si="823"/>
        <v>#DIV/0!</v>
      </c>
      <c r="K228" s="128" t="e">
        <f t="shared" si="823"/>
        <v>#DIV/0!</v>
      </c>
      <c r="L228" s="128" t="e">
        <f t="shared" si="823"/>
        <v>#DIV/0!</v>
      </c>
      <c r="M228" s="128" t="e">
        <f t="shared" si="823"/>
        <v>#DIV/0!</v>
      </c>
      <c r="N228" s="128" t="e">
        <f t="shared" si="823"/>
        <v>#DIV/0!</v>
      </c>
      <c r="O228" s="128" t="e">
        <f t="shared" si="823"/>
        <v>#DIV/0!</v>
      </c>
      <c r="P228" s="128">
        <f t="shared" si="823"/>
        <v>0.15324223602484474</v>
      </c>
      <c r="Q228" s="128">
        <f t="shared" si="823"/>
        <v>7.4090090090090099E-2</v>
      </c>
      <c r="R228" s="128">
        <f t="shared" si="823"/>
        <v>3.8670846394984332E-2</v>
      </c>
      <c r="S228" s="128">
        <f t="shared" si="823"/>
        <v>4.2611398963730576E-2</v>
      </c>
      <c r="T228" s="128">
        <f t="shared" si="823"/>
        <v>3.5195435092724686E-2</v>
      </c>
      <c r="U228" s="128">
        <f t="shared" si="823"/>
        <v>6.168000000000002E-2</v>
      </c>
      <c r="V228" s="101" t="e">
        <f t="shared" si="719"/>
        <v>#DIV/0!</v>
      </c>
      <c r="W228" s="109"/>
      <c r="X228" s="128">
        <f t="shared" ref="X228:AG228" si="824">1/X229</f>
        <v>0.49344000000000016</v>
      </c>
      <c r="Y228" s="128">
        <f t="shared" si="824"/>
        <v>0.49344000000000016</v>
      </c>
      <c r="Z228" s="128">
        <f t="shared" si="824"/>
        <v>0.49344000000000016</v>
      </c>
      <c r="AA228" s="128">
        <f t="shared" si="824"/>
        <v>0.49344000000000016</v>
      </c>
      <c r="AB228" s="128">
        <f t="shared" si="824"/>
        <v>0.49344000000000016</v>
      </c>
      <c r="AC228" s="128">
        <f t="shared" si="824"/>
        <v>0.49344000000000016</v>
      </c>
      <c r="AD228" s="128">
        <f t="shared" si="824"/>
        <v>0.49344000000000016</v>
      </c>
      <c r="AE228" s="128">
        <f t="shared" si="824"/>
        <v>0.49344000000000016</v>
      </c>
      <c r="AF228" s="128">
        <f t="shared" si="824"/>
        <v>0.49344000000000016</v>
      </c>
      <c r="AG228" s="128">
        <f t="shared" si="824"/>
        <v>0.49344000000000016</v>
      </c>
      <c r="AH228" s="115" t="e">
        <f t="shared" ref="AH228" si="825">((AG228/J228)^(1/($AG$3-$K$1) ))-1</f>
        <v>#DIV/0!</v>
      </c>
      <c r="AI228" s="21">
        <f t="shared" ref="AI228" si="826">$O$1</f>
        <v>0.01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27">G205/$T$174</f>
        <v>0</v>
      </c>
      <c r="H229" s="112">
        <f t="shared" ref="H229:I229" si="828">H205/$T$174</f>
        <v>0</v>
      </c>
      <c r="I229" s="112">
        <f t="shared" si="828"/>
        <v>0</v>
      </c>
      <c r="J229" s="112">
        <f t="shared" ref="J229:S229" si="829">J205/$T$174</f>
        <v>0</v>
      </c>
      <c r="K229" s="112">
        <f t="shared" si="829"/>
        <v>0</v>
      </c>
      <c r="L229" s="112">
        <f t="shared" si="829"/>
        <v>0</v>
      </c>
      <c r="M229" s="112">
        <f t="shared" si="829"/>
        <v>0</v>
      </c>
      <c r="N229" s="112">
        <f t="shared" si="829"/>
        <v>0</v>
      </c>
      <c r="O229" s="112">
        <f t="shared" si="829"/>
        <v>0</v>
      </c>
      <c r="P229" s="112">
        <f t="shared" si="829"/>
        <v>6.5256160830090781</v>
      </c>
      <c r="Q229" s="112">
        <f t="shared" si="829"/>
        <v>13.497081712062254</v>
      </c>
      <c r="R229" s="112">
        <f t="shared" si="829"/>
        <v>25.859273670557712</v>
      </c>
      <c r="S229" s="112">
        <f t="shared" si="829"/>
        <v>23.467898832684821</v>
      </c>
      <c r="T229" s="112">
        <f>T205/$T$174</f>
        <v>28.412775616083003</v>
      </c>
      <c r="U229" s="112">
        <f>U205/$T$174</f>
        <v>16.212710765239944</v>
      </c>
      <c r="V229" s="101" t="e">
        <f t="shared" si="719"/>
        <v>#DIV/0!</v>
      </c>
      <c r="W229" s="109"/>
      <c r="X229" s="112">
        <f t="shared" ref="X229:AG229" si="830">X205/$T$174</f>
        <v>2.026588845654993</v>
      </c>
      <c r="Y229" s="112">
        <f t="shared" si="830"/>
        <v>2.026588845654993</v>
      </c>
      <c r="Z229" s="112">
        <f t="shared" si="830"/>
        <v>2.026588845654993</v>
      </c>
      <c r="AA229" s="112">
        <f t="shared" si="830"/>
        <v>2.026588845654993</v>
      </c>
      <c r="AB229" s="112">
        <f t="shared" si="830"/>
        <v>2.026588845654993</v>
      </c>
      <c r="AC229" s="112">
        <f t="shared" si="830"/>
        <v>2.026588845654993</v>
      </c>
      <c r="AD229" s="112">
        <f t="shared" si="830"/>
        <v>2.026588845654993</v>
      </c>
      <c r="AE229" s="112">
        <f t="shared" si="830"/>
        <v>2.026588845654993</v>
      </c>
      <c r="AF229" s="112">
        <f t="shared" si="830"/>
        <v>2.026588845654993</v>
      </c>
      <c r="AG229" s="112">
        <f t="shared" si="830"/>
        <v>2.026588845654993</v>
      </c>
      <c r="AH229" s="115" t="e">
        <f t="shared" ref="AH229:AH231" si="831">((AG229/J229)^(1/($AG$3-$K$1) ))-1</f>
        <v>#DIV/0!</v>
      </c>
      <c r="AI229" s="21">
        <f t="shared" ref="AI229:AI231" si="832">$O$1</f>
        <v>0.01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3">(G229)/($O$2*100)</f>
        <v>0</v>
      </c>
      <c r="H230" s="156">
        <f t="shared" ref="H230:I230" si="834">(H229)/($O$2*100)</f>
        <v>0</v>
      </c>
      <c r="I230" s="156">
        <f t="shared" si="834"/>
        <v>0</v>
      </c>
      <c r="J230" s="156">
        <f t="shared" ref="J230:T230" si="835">(J229)/($O$2*100)</f>
        <v>0</v>
      </c>
      <c r="K230" s="156">
        <f t="shared" si="835"/>
        <v>0</v>
      </c>
      <c r="L230" s="156">
        <f t="shared" si="835"/>
        <v>0</v>
      </c>
      <c r="M230" s="156">
        <f t="shared" si="835"/>
        <v>0</v>
      </c>
      <c r="N230" s="156">
        <f t="shared" si="835"/>
        <v>0</v>
      </c>
      <c r="O230" s="156">
        <f t="shared" si="835"/>
        <v>0</v>
      </c>
      <c r="P230" s="156">
        <f t="shared" si="835"/>
        <v>0.43504107220060523</v>
      </c>
      <c r="Q230" s="156">
        <f t="shared" si="835"/>
        <v>0.89980544747081692</v>
      </c>
      <c r="R230" s="156">
        <f t="shared" si="835"/>
        <v>1.7239515780371808</v>
      </c>
      <c r="S230" s="156">
        <f t="shared" si="835"/>
        <v>1.5645265888456548</v>
      </c>
      <c r="T230" s="156">
        <f t="shared" si="835"/>
        <v>1.8941850410722003</v>
      </c>
      <c r="U230" s="156">
        <f t="shared" ref="U230" si="836">(U229)/($O$2*100)</f>
        <v>1.0808473843493296</v>
      </c>
      <c r="V230" s="101" t="e">
        <f t="shared" si="719"/>
        <v>#DIV/0!</v>
      </c>
      <c r="W230" s="109"/>
      <c r="X230" s="156">
        <f t="shared" ref="X230:AG230" si="837">(X229)/($O$2*100)</f>
        <v>0.1351059230436662</v>
      </c>
      <c r="Y230" s="156">
        <f t="shared" si="837"/>
        <v>0.1351059230436662</v>
      </c>
      <c r="Z230" s="156">
        <f t="shared" si="837"/>
        <v>0.1351059230436662</v>
      </c>
      <c r="AA230" s="156">
        <f t="shared" si="837"/>
        <v>0.1351059230436662</v>
      </c>
      <c r="AB230" s="156">
        <f t="shared" si="837"/>
        <v>0.1351059230436662</v>
      </c>
      <c r="AC230" s="156">
        <f t="shared" si="837"/>
        <v>0.1351059230436662</v>
      </c>
      <c r="AD230" s="156">
        <f t="shared" si="837"/>
        <v>0.1351059230436662</v>
      </c>
      <c r="AE230" s="156">
        <f t="shared" si="837"/>
        <v>0.1351059230436662</v>
      </c>
      <c r="AF230" s="156">
        <f t="shared" si="837"/>
        <v>0.1351059230436662</v>
      </c>
      <c r="AG230" s="156">
        <f t="shared" si="837"/>
        <v>0.1351059230436662</v>
      </c>
      <c r="AH230" s="115" t="e">
        <f t="shared" si="831"/>
        <v>#DIV/0!</v>
      </c>
      <c r="AI230" s="21">
        <f t="shared" si="832"/>
        <v>0.01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38">G230-1</f>
        <v>-1</v>
      </c>
      <c r="H231" s="128">
        <f t="shared" ref="H231:I231" si="839">H230-1</f>
        <v>-1</v>
      </c>
      <c r="I231" s="128">
        <f t="shared" si="839"/>
        <v>-1</v>
      </c>
      <c r="J231" s="128">
        <f t="shared" ref="J231:T231" si="840">J230-1</f>
        <v>-1</v>
      </c>
      <c r="K231" s="128">
        <f t="shared" si="840"/>
        <v>-1</v>
      </c>
      <c r="L231" s="128">
        <f t="shared" si="840"/>
        <v>-1</v>
      </c>
      <c r="M231" s="128">
        <f t="shared" si="840"/>
        <v>-1</v>
      </c>
      <c r="N231" s="128">
        <f t="shared" si="840"/>
        <v>-1</v>
      </c>
      <c r="O231" s="128">
        <f t="shared" si="840"/>
        <v>-1</v>
      </c>
      <c r="P231" s="128">
        <f t="shared" si="840"/>
        <v>-0.56495892779939472</v>
      </c>
      <c r="Q231" s="128">
        <f t="shared" si="840"/>
        <v>-0.10019455252918308</v>
      </c>
      <c r="R231" s="128">
        <f t="shared" si="840"/>
        <v>0.7239515780371808</v>
      </c>
      <c r="S231" s="128">
        <f t="shared" si="840"/>
        <v>0.56452658884565476</v>
      </c>
      <c r="T231" s="128">
        <f t="shared" si="840"/>
        <v>0.89418504107220032</v>
      </c>
      <c r="U231" s="128">
        <f t="shared" ref="U231" si="841">U230-1</f>
        <v>8.0847384349329587E-2</v>
      </c>
      <c r="V231" s="101" t="e">
        <f t="shared" si="719"/>
        <v>#NUM!</v>
      </c>
      <c r="W231" s="109"/>
      <c r="X231" s="128">
        <f t="shared" ref="X231:AG231" si="842">X230-1</f>
        <v>-0.8648940769563338</v>
      </c>
      <c r="Y231" s="128">
        <f t="shared" si="842"/>
        <v>-0.8648940769563338</v>
      </c>
      <c r="Z231" s="128">
        <f t="shared" si="842"/>
        <v>-0.8648940769563338</v>
      </c>
      <c r="AA231" s="128">
        <f t="shared" si="842"/>
        <v>-0.8648940769563338</v>
      </c>
      <c r="AB231" s="128">
        <f t="shared" si="842"/>
        <v>-0.8648940769563338</v>
      </c>
      <c r="AC231" s="128">
        <f t="shared" si="842"/>
        <v>-0.8648940769563338</v>
      </c>
      <c r="AD231" s="128">
        <f t="shared" si="842"/>
        <v>-0.8648940769563338</v>
      </c>
      <c r="AE231" s="128">
        <f t="shared" si="842"/>
        <v>-0.8648940769563338</v>
      </c>
      <c r="AF231" s="128">
        <f t="shared" si="842"/>
        <v>-0.8648940769563338</v>
      </c>
      <c r="AG231" s="128">
        <f t="shared" si="842"/>
        <v>-0.8648940769563338</v>
      </c>
      <c r="AH231" s="115">
        <f t="shared" si="831"/>
        <v>-7.2311402770272037E-3</v>
      </c>
      <c r="AI231" s="21">
        <f t="shared" si="832"/>
        <v>0.01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505</v>
      </c>
      <c r="C233" s="110"/>
      <c r="D233" s="110"/>
      <c r="E233" s="110"/>
      <c r="F233" s="110"/>
      <c r="G233" s="128" t="e">
        <f t="shared" ref="G233:S233" si="843">1/G234</f>
        <v>#DIV/0!</v>
      </c>
      <c r="H233" s="128" t="e">
        <f t="shared" si="843"/>
        <v>#DIV/0!</v>
      </c>
      <c r="I233" s="128" t="e">
        <f t="shared" si="843"/>
        <v>#DIV/0!</v>
      </c>
      <c r="J233" s="128" t="e">
        <f t="shared" si="843"/>
        <v>#DIV/0!</v>
      </c>
      <c r="K233" s="128" t="e">
        <f t="shared" si="843"/>
        <v>#DIV/0!</v>
      </c>
      <c r="L233" s="128" t="e">
        <f t="shared" si="843"/>
        <v>#DIV/0!</v>
      </c>
      <c r="M233" s="128" t="e">
        <f t="shared" si="843"/>
        <v>#DIV/0!</v>
      </c>
      <c r="N233" s="128" t="e">
        <f t="shared" si="843"/>
        <v>#DIV/0!</v>
      </c>
      <c r="O233" s="128" t="e">
        <f t="shared" si="843"/>
        <v>#DIV/0!</v>
      </c>
      <c r="P233" s="128">
        <f t="shared" si="843"/>
        <v>0.21313041447629094</v>
      </c>
      <c r="Q233" s="128">
        <f t="shared" si="843"/>
        <v>0.10304503522727579</v>
      </c>
      <c r="R233" s="128">
        <f t="shared" si="843"/>
        <v>5.3783693935239553E-2</v>
      </c>
      <c r="S233" s="128">
        <f t="shared" si="843"/>
        <v>5.9264243058174154E-2</v>
      </c>
      <c r="T233" s="128">
        <f>1/T234</f>
        <v>4.8950066662885643E-2</v>
      </c>
      <c r="U233" s="128">
        <f>1/U234</f>
        <v>8.5784991826707097E-2</v>
      </c>
      <c r="V233" s="101" t="e">
        <f t="shared" si="719"/>
        <v>#DIV/0!</v>
      </c>
      <c r="W233" s="109"/>
      <c r="X233" s="128">
        <f t="shared" ref="X233:AG233" si="844">1/X234</f>
        <v>3734.5827917997058</v>
      </c>
      <c r="Y233" s="128">
        <f t="shared" si="844"/>
        <v>131.42327687089502</v>
      </c>
      <c r="Z233" s="128">
        <f t="shared" si="844"/>
        <v>149.64036475398936</v>
      </c>
      <c r="AA233" s="128">
        <f t="shared" si="844"/>
        <v>170.38259353177003</v>
      </c>
      <c r="AB233" s="128">
        <f t="shared" si="844"/>
        <v>193.99998273419357</v>
      </c>
      <c r="AC233" s="128">
        <f t="shared" si="844"/>
        <v>220.89106944982436</v>
      </c>
      <c r="AD233" s="128">
        <f t="shared" si="844"/>
        <v>251.50963353197824</v>
      </c>
      <c r="AE233" s="128">
        <f t="shared" si="844"/>
        <v>286.37235501165827</v>
      </c>
      <c r="AF233" s="128">
        <f t="shared" si="844"/>
        <v>326.06753293406643</v>
      </c>
      <c r="AG233" s="128">
        <f t="shared" si="844"/>
        <v>371.2650127467092</v>
      </c>
      <c r="AH233" s="115" t="e">
        <f t="shared" ref="AH233:AH236" si="845">((AG233/J233)^(1/($AG$3-$K$1) ))-1</f>
        <v>#DIV/0!</v>
      </c>
      <c r="AI233" s="21">
        <f t="shared" ref="AI233:AI236" si="846">$O$1</f>
        <v>0.01</v>
      </c>
      <c r="AJ233" s="156" t="e">
        <f>(AJ219)/($O$2*100)</f>
        <v>#DIV/0!</v>
      </c>
    </row>
    <row r="234" spans="2:36">
      <c r="B234" s="10" t="s">
        <v>500</v>
      </c>
      <c r="C234" s="110"/>
      <c r="D234" s="110"/>
      <c r="E234" s="110"/>
      <c r="F234" s="110"/>
      <c r="G234" s="112">
        <f t="shared" ref="G234" si="847">G205/$X$175</f>
        <v>0</v>
      </c>
      <c r="H234" s="112">
        <f t="shared" ref="H234:S234" si="848">H205/$X$175</f>
        <v>0</v>
      </c>
      <c r="I234" s="112">
        <f t="shared" si="848"/>
        <v>0</v>
      </c>
      <c r="J234" s="112">
        <f t="shared" si="848"/>
        <v>0</v>
      </c>
      <c r="K234" s="112">
        <f t="shared" si="848"/>
        <v>0</v>
      </c>
      <c r="L234" s="112">
        <f t="shared" si="848"/>
        <v>0</v>
      </c>
      <c r="M234" s="112">
        <f t="shared" si="848"/>
        <v>0</v>
      </c>
      <c r="N234" s="112">
        <f t="shared" si="848"/>
        <v>0</v>
      </c>
      <c r="O234" s="112">
        <f t="shared" si="848"/>
        <v>0</v>
      </c>
      <c r="P234" s="112">
        <f t="shared" si="848"/>
        <v>4.6919629113339996</v>
      </c>
      <c r="Q234" s="112">
        <f t="shared" si="848"/>
        <v>9.7044947172311922</v>
      </c>
      <c r="R234" s="112">
        <f t="shared" si="848"/>
        <v>18.592995884665168</v>
      </c>
      <c r="S234" s="112">
        <f t="shared" si="848"/>
        <v>16.873580904735316</v>
      </c>
      <c r="T234" s="112">
        <f>T205/$X$175</f>
        <v>20.428981371708907</v>
      </c>
      <c r="U234" s="112">
        <f>U205/$X$175</f>
        <v>11.65705071138882</v>
      </c>
      <c r="V234" s="101" t="e">
        <f t="shared" si="719"/>
        <v>#DIV/0!</v>
      </c>
      <c r="W234" s="109"/>
      <c r="X234" s="112">
        <f t="shared" ref="X234:AG234" si="849">X210/$T$174</f>
        <v>2.6776752739175378E-4</v>
      </c>
      <c r="Y234" s="112">
        <f t="shared" si="849"/>
        <v>7.6090021783763624E-3</v>
      </c>
      <c r="Z234" s="112">
        <f t="shared" si="849"/>
        <v>6.6826888697044578E-3</v>
      </c>
      <c r="AA234" s="112">
        <f t="shared" si="849"/>
        <v>5.8691441377404386E-3</v>
      </c>
      <c r="AB234" s="112">
        <f t="shared" si="849"/>
        <v>5.1546396340155162E-3</v>
      </c>
      <c r="AC234" s="112">
        <f t="shared" si="849"/>
        <v>4.5271182872658015E-3</v>
      </c>
      <c r="AD234" s="112">
        <f t="shared" si="849"/>
        <v>3.9759908435986601E-3</v>
      </c>
      <c r="AE234" s="112">
        <f t="shared" si="849"/>
        <v>3.4919571756823029E-3</v>
      </c>
      <c r="AF234" s="112">
        <f t="shared" si="849"/>
        <v>3.0668493455992393E-3</v>
      </c>
      <c r="AG234" s="112">
        <f t="shared" si="849"/>
        <v>2.6934937730915065E-3</v>
      </c>
      <c r="AH234" s="115" t="e">
        <f t="shared" si="845"/>
        <v>#DIV/0!</v>
      </c>
      <c r="AI234" s="21">
        <f t="shared" si="846"/>
        <v>0.01</v>
      </c>
      <c r="AJ234" s="156" t="e">
        <f>(AJ219)/($O$2*100)</f>
        <v>#DIV/0!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50">(G234)/($O$2*100)</f>
        <v>0</v>
      </c>
      <c r="H235" s="156">
        <f t="shared" ref="H235:T235" si="851">(H234)/($O$2*100)</f>
        <v>0</v>
      </c>
      <c r="I235" s="156">
        <f t="shared" si="851"/>
        <v>0</v>
      </c>
      <c r="J235" s="156">
        <f t="shared" si="851"/>
        <v>0</v>
      </c>
      <c r="K235" s="156">
        <f t="shared" si="851"/>
        <v>0</v>
      </c>
      <c r="L235" s="156">
        <f t="shared" si="851"/>
        <v>0</v>
      </c>
      <c r="M235" s="156">
        <f t="shared" si="851"/>
        <v>0</v>
      </c>
      <c r="N235" s="156">
        <f t="shared" si="851"/>
        <v>0</v>
      </c>
      <c r="O235" s="156">
        <f t="shared" si="851"/>
        <v>0</v>
      </c>
      <c r="P235" s="156">
        <f t="shared" si="851"/>
        <v>0.31279752742226663</v>
      </c>
      <c r="Q235" s="156">
        <f t="shared" si="851"/>
        <v>0.64696631448207953</v>
      </c>
      <c r="R235" s="156">
        <f t="shared" si="851"/>
        <v>1.2395330589776778</v>
      </c>
      <c r="S235" s="156">
        <f t="shared" si="851"/>
        <v>1.1249053936490212</v>
      </c>
      <c r="T235" s="156">
        <f t="shared" si="851"/>
        <v>1.3619320914472606</v>
      </c>
      <c r="U235" s="156">
        <f t="shared" ref="U235" si="852">(U234)/($O$2*100)</f>
        <v>0.777136714092588</v>
      </c>
      <c r="V235" s="101" t="e">
        <f t="shared" si="719"/>
        <v>#DIV/0!</v>
      </c>
      <c r="W235" s="109"/>
      <c r="X235" s="156">
        <f t="shared" ref="X235:AG235" si="853">(X234)/($O$2*100)</f>
        <v>1.7851168492783584E-5</v>
      </c>
      <c r="Y235" s="156">
        <f t="shared" si="853"/>
        <v>5.0726681189175752E-4</v>
      </c>
      <c r="Z235" s="156">
        <f t="shared" si="853"/>
        <v>4.4551259131363051E-4</v>
      </c>
      <c r="AA235" s="156">
        <f t="shared" si="853"/>
        <v>3.9127627584936258E-4</v>
      </c>
      <c r="AB235" s="156">
        <f t="shared" si="853"/>
        <v>3.4364264226770106E-4</v>
      </c>
      <c r="AC235" s="156">
        <f t="shared" si="853"/>
        <v>3.0180788581772008E-4</v>
      </c>
      <c r="AD235" s="156">
        <f t="shared" si="853"/>
        <v>2.6506605623991068E-4</v>
      </c>
      <c r="AE235" s="156">
        <f t="shared" si="853"/>
        <v>2.3279714504548685E-4</v>
      </c>
      <c r="AF235" s="156">
        <f t="shared" si="853"/>
        <v>2.044566230399493E-4</v>
      </c>
      <c r="AG235" s="156">
        <f t="shared" si="853"/>
        <v>1.7956625153943377E-4</v>
      </c>
      <c r="AH235" s="115" t="e">
        <f t="shared" si="845"/>
        <v>#DIV/0!</v>
      </c>
      <c r="AI235" s="21">
        <f t="shared" si="846"/>
        <v>0.01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4">G235-1</f>
        <v>-1</v>
      </c>
      <c r="H236" s="128">
        <f t="shared" ref="H236:T236" si="855">H235-1</f>
        <v>-1</v>
      </c>
      <c r="I236" s="128">
        <f t="shared" si="855"/>
        <v>-1</v>
      </c>
      <c r="J236" s="128">
        <f t="shared" si="855"/>
        <v>-1</v>
      </c>
      <c r="K236" s="128">
        <f t="shared" si="855"/>
        <v>-1</v>
      </c>
      <c r="L236" s="128">
        <f t="shared" si="855"/>
        <v>-1</v>
      </c>
      <c r="M236" s="128">
        <f t="shared" si="855"/>
        <v>-1</v>
      </c>
      <c r="N236" s="128">
        <f t="shared" si="855"/>
        <v>-1</v>
      </c>
      <c r="O236" s="128">
        <f t="shared" si="855"/>
        <v>-1</v>
      </c>
      <c r="P236" s="128">
        <f t="shared" si="855"/>
        <v>-0.68720247257773337</v>
      </c>
      <c r="Q236" s="128">
        <f t="shared" si="855"/>
        <v>-0.35303368551792047</v>
      </c>
      <c r="R236" s="128">
        <f t="shared" si="855"/>
        <v>0.23953305897767785</v>
      </c>
      <c r="S236" s="128">
        <f t="shared" si="855"/>
        <v>0.1249053936490212</v>
      </c>
      <c r="T236" s="128">
        <f t="shared" si="855"/>
        <v>0.36193209144726057</v>
      </c>
      <c r="U236" s="128">
        <f t="shared" ref="U236" si="856">U235-1</f>
        <v>-0.222863285907412</v>
      </c>
      <c r="V236" s="101">
        <f t="shared" si="719"/>
        <v>-0.1393950237750875</v>
      </c>
      <c r="W236" s="109"/>
      <c r="X236" s="128">
        <f t="shared" ref="X236:AG236" si="857">X235-1</f>
        <v>-0.99998214883150727</v>
      </c>
      <c r="Y236" s="128">
        <f t="shared" si="857"/>
        <v>-0.99949273318810827</v>
      </c>
      <c r="Z236" s="128">
        <f t="shared" si="857"/>
        <v>-0.99955448740868635</v>
      </c>
      <c r="AA236" s="128">
        <f t="shared" si="857"/>
        <v>-0.99960872372415066</v>
      </c>
      <c r="AB236" s="128">
        <f t="shared" si="857"/>
        <v>-0.99965635735773228</v>
      </c>
      <c r="AC236" s="128">
        <f t="shared" si="857"/>
        <v>-0.99969819211418232</v>
      </c>
      <c r="AD236" s="128">
        <f t="shared" si="857"/>
        <v>-0.99973493394376012</v>
      </c>
      <c r="AE236" s="128">
        <f t="shared" si="857"/>
        <v>-0.99976720285495446</v>
      </c>
      <c r="AF236" s="128">
        <f t="shared" si="857"/>
        <v>-0.99979554337696008</v>
      </c>
      <c r="AG236" s="128">
        <f t="shared" si="857"/>
        <v>-0.99982043374846052</v>
      </c>
      <c r="AH236" s="115">
        <f t="shared" si="845"/>
        <v>-8.9790784623122732E-6</v>
      </c>
      <c r="AI236" s="21">
        <f t="shared" si="846"/>
        <v>0.01</v>
      </c>
      <c r="AJ236" s="156" t="e">
        <f>(AJ220)/($O$2*100)</f>
        <v>#DIV/0!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2" t="s">
        <v>293</v>
      </c>
      <c r="O240" s="313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0.98625080783088181</v>
      </c>
      <c r="T241" s="109">
        <f>(U205-X192)/U205</f>
        <v>0.96130459274023128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17.683994084234261</v>
      </c>
      <c r="Q242" s="10"/>
      <c r="R242" s="10"/>
      <c r="S242" s="109">
        <f>(U205-Y183)/U205</f>
        <v>22.210071522868162</v>
      </c>
      <c r="T242" s="109">
        <f>(U205-X183)/U205</f>
        <v>3.9400099140609326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-2.1831926390174998</v>
      </c>
      <c r="Q243" s="10"/>
      <c r="R243" s="10"/>
      <c r="S243" s="109">
        <f>(U205-Y176)/U205</f>
        <v>-3.0467374421109645</v>
      </c>
      <c r="T243" s="109">
        <f>(U205-X176)/U205</f>
        <v>0.4390660971331336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0.93212928694793984</v>
      </c>
      <c r="Q244" s="10"/>
      <c r="R244" s="10"/>
      <c r="S244" s="109">
        <f>(U205-Y189)/U205</f>
        <v>0.91371714285714289</v>
      </c>
      <c r="T244" s="109">
        <f>(U205-X189)/U205</f>
        <v>0.98804000000000003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1.6158288114796384</v>
      </c>
      <c r="T246" s="15">
        <f>U205/X175</f>
        <v>11.65705071138882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0.61887744103552977</v>
      </c>
      <c r="T247" s="128">
        <f>1/T246</f>
        <v>8.5784991826707097E-2</v>
      </c>
      <c r="U247" s="128"/>
      <c r="V247" s="10"/>
      <c r="W247" s="10"/>
      <c r="X247" s="110">
        <f>U205-X248</f>
        <v>379.55191113216858</v>
      </c>
      <c r="Y247" s="160">
        <f>X247-Y248</f>
        <v>356.03660893416247</v>
      </c>
      <c r="Z247" s="160">
        <f t="shared" ref="Z247:AB247" si="858">Y247-Z248</f>
        <v>328.9940114064554</v>
      </c>
      <c r="AA247" s="160">
        <f t="shared" si="858"/>
        <v>297.89502424959227</v>
      </c>
      <c r="AB247" s="160">
        <f t="shared" si="858"/>
        <v>262.13118901919967</v>
      </c>
      <c r="AC247" s="160">
        <f>AB247-AC248</f>
        <v>221.0027785042482</v>
      </c>
      <c r="AD247" s="160">
        <f t="shared" ref="AD247:AG247" si="859">AC247-AD248</f>
        <v>173.70510641205402</v>
      </c>
      <c r="AE247" s="160">
        <f t="shared" si="859"/>
        <v>119.31278350603073</v>
      </c>
      <c r="AF247" s="160">
        <f t="shared" si="859"/>
        <v>56.761612164103944</v>
      </c>
      <c r="AG247" s="160">
        <f t="shared" si="859"/>
        <v>-15.172234879111848</v>
      </c>
      <c r="AH247" s="160">
        <f t="shared" ref="AH247" si="860">AG247-AH248</f>
        <v>-97.896158978810007</v>
      </c>
      <c r="AI247" s="160">
        <f t="shared" ref="AI247" si="861">AH247-AI248</f>
        <v>-193.02867169346285</v>
      </c>
      <c r="AJ247" s="160">
        <f t="shared" ref="AJ247" si="862">AI247-AJ248</f>
        <v>-302.43106131531363</v>
      </c>
      <c r="AK247" s="160">
        <f t="shared" ref="AK247" si="863">AJ247-AK248</f>
        <v>-428.24380938044203</v>
      </c>
      <c r="AL247" s="160">
        <f t="shared" ref="AL247" si="864">AK247-AL248</f>
        <v>-572.92846965533965</v>
      </c>
      <c r="AM247" s="160">
        <f t="shared" ref="AM247" si="865">AL247-AM248</f>
        <v>-739.31582897147189</v>
      </c>
      <c r="AN247" s="160">
        <f t="shared" ref="AN247" si="866">AM247-AN248</f>
        <v>-930.66129218502397</v>
      </c>
      <c r="AO247" s="160">
        <f t="shared" ref="AO247" si="867">AN247-AO248</f>
        <v>-1150.7085748806089</v>
      </c>
      <c r="AP247" s="160">
        <f t="shared" ref="AP247" si="868">AO247-AP248</f>
        <v>-1403.7629499805314</v>
      </c>
      <c r="AQ247" s="160">
        <f t="shared" ref="AQ247" si="869">AP247-AQ248</f>
        <v>-1694.7754813454424</v>
      </c>
      <c r="AR247" s="160">
        <f t="shared" ref="AR247" si="870">AQ247-AR248</f>
        <v>-2029.4398924150901</v>
      </c>
      <c r="AS247" s="160">
        <f t="shared" ref="AS247" si="871">AR247-AS248</f>
        <v>-2414.303965145185</v>
      </c>
      <c r="AT247" s="160">
        <f t="shared" ref="AT247" si="872">AS247-AT248</f>
        <v>-2856.897648784794</v>
      </c>
      <c r="AU247" s="160">
        <f t="shared" ref="AU247" si="873">AT247-AU248</f>
        <v>-3365.880384970344</v>
      </c>
      <c r="AV247" s="160">
        <f t="shared" ref="AV247" si="874">AU247-AV248</f>
        <v>-3951.2105315837266</v>
      </c>
      <c r="AW247" s="160">
        <f t="shared" ref="AW247" si="875">AV247-AW248</f>
        <v>-4624.3402001891163</v>
      </c>
      <c r="AX247" s="160">
        <f t="shared" ref="AX247" si="876">AW247-AX248</f>
        <v>-5398.4393190853152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40.603248259860784</v>
      </c>
      <c r="T248" s="156" t="s">
        <v>409</v>
      </c>
      <c r="U248" s="156"/>
      <c r="V248" s="10"/>
      <c r="W248" s="10"/>
      <c r="X248" s="161">
        <f>V174*(1+$N$248)</f>
        <v>20.448088867831427</v>
      </c>
      <c r="Y248" s="161">
        <f>X248*(1+$N$248)</f>
        <v>23.51530219800614</v>
      </c>
      <c r="Z248" s="161">
        <f t="shared" ref="Z248:AG248" si="877">Y248*(1+$N$248)</f>
        <v>27.042597527707059</v>
      </c>
      <c r="AA248" s="161">
        <f t="shared" si="877"/>
        <v>31.098987156863117</v>
      </c>
      <c r="AB248" s="161">
        <f t="shared" si="877"/>
        <v>35.76383523039258</v>
      </c>
      <c r="AC248" s="161">
        <f t="shared" si="877"/>
        <v>41.128410514951462</v>
      </c>
      <c r="AD248" s="161">
        <f t="shared" si="877"/>
        <v>47.297672092194176</v>
      </c>
      <c r="AE248" s="161">
        <f t="shared" si="877"/>
        <v>54.392322906023296</v>
      </c>
      <c r="AF248" s="161">
        <f t="shared" si="877"/>
        <v>62.551171341926782</v>
      </c>
      <c r="AG248" s="161">
        <f t="shared" si="877"/>
        <v>71.933847043215792</v>
      </c>
      <c r="AH248" s="161">
        <f t="shared" ref="AH248" si="878">AG248*(1+$N$248)</f>
        <v>82.723924099698152</v>
      </c>
      <c r="AI248" s="161">
        <f t="shared" ref="AI248" si="879">AH248*(1+$N$248)</f>
        <v>95.132512714652862</v>
      </c>
      <c r="AJ248" s="161">
        <f t="shared" ref="AJ248" si="880">AI248*(1+$N$248)</f>
        <v>109.40238962185079</v>
      </c>
      <c r="AK248" s="161">
        <f t="shared" ref="AK248" si="881">AJ248*(1+$N$248)</f>
        <v>125.81274806512839</v>
      </c>
      <c r="AL248" s="161">
        <f t="shared" ref="AL248" si="882">AK248*(1+$N$248)</f>
        <v>144.68466027489762</v>
      </c>
      <c r="AM248" s="161">
        <f t="shared" ref="AM248" si="883">AL248*(1+$N$248)</f>
        <v>166.38735931613226</v>
      </c>
      <c r="AN248" s="161">
        <f t="shared" ref="AN248" si="884">AM248*(1+$N$248)</f>
        <v>191.34546321355208</v>
      </c>
      <c r="AO248" s="161">
        <f t="shared" ref="AO248" si="885">AN248*(1+$N$248)</f>
        <v>220.04728269558487</v>
      </c>
      <c r="AP248" s="161">
        <f t="shared" ref="AP248" si="886">AO248*(1+$N$248)</f>
        <v>253.05437509992257</v>
      </c>
      <c r="AQ248" s="161">
        <f t="shared" ref="AQ248" si="887">AP248*(1+$N$248)</f>
        <v>291.01253136491096</v>
      </c>
      <c r="AR248" s="161">
        <f t="shared" ref="AR248" si="888">AQ248*(1+$N$248)</f>
        <v>334.6644110696476</v>
      </c>
      <c r="AS248" s="161">
        <f t="shared" ref="AS248" si="889">AR248*(1+$N$248)</f>
        <v>384.86407273009473</v>
      </c>
      <c r="AT248" s="161">
        <f t="shared" ref="AT248" si="890">AS248*(1+$N$248)</f>
        <v>442.59368363960891</v>
      </c>
      <c r="AU248" s="161">
        <f t="shared" ref="AU248" si="891">AT248*(1+$N$248)</f>
        <v>508.98273618555021</v>
      </c>
      <c r="AV248" s="161">
        <f t="shared" ref="AV248" si="892">AU248*(1+$N$248)</f>
        <v>585.33014661338268</v>
      </c>
      <c r="AW248" s="161">
        <f t="shared" ref="AW248" si="893">AV248*(1+$N$248)</f>
        <v>673.12966860539007</v>
      </c>
      <c r="AX248" s="161">
        <f t="shared" ref="AX248" si="894">AW248*(1+$N$248)</f>
        <v>774.09911889619855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24.072802197802197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12.135922330097086</v>
      </c>
      <c r="T249" s="156" t="s">
        <v>409</v>
      </c>
      <c r="U249" s="156"/>
      <c r="V249" s="10"/>
      <c r="W249" s="10"/>
      <c r="X249" s="161">
        <f>T76*(1+$N$249)</f>
        <v>33.488</v>
      </c>
      <c r="Y249" s="161">
        <f>X249*(1+$N$249)</f>
        <v>38.511199999999995</v>
      </c>
      <c r="Z249" s="161">
        <f t="shared" ref="Z249:AG249" si="895">Y249*(1+$N$249)</f>
        <v>44.287879999999994</v>
      </c>
      <c r="AA249" s="161">
        <f t="shared" si="895"/>
        <v>50.93106199999999</v>
      </c>
      <c r="AB249" s="161">
        <f t="shared" si="895"/>
        <v>58.570721299999981</v>
      </c>
      <c r="AC249" s="161">
        <f t="shared" si="895"/>
        <v>67.356329494999969</v>
      </c>
      <c r="AD249" s="161">
        <f t="shared" si="895"/>
        <v>77.459778919249956</v>
      </c>
      <c r="AE249" s="161">
        <f t="shared" si="895"/>
        <v>89.07874575713744</v>
      </c>
      <c r="AF249" s="161">
        <f t="shared" si="895"/>
        <v>102.44055762070805</v>
      </c>
      <c r="AG249" s="161">
        <f t="shared" si="895"/>
        <v>117.80664126381424</v>
      </c>
      <c r="AH249" s="161">
        <f t="shared" ref="AH249" si="896">AG249*(1+$N$249)</f>
        <v>135.47763745338636</v>
      </c>
      <c r="AI249" s="161">
        <f t="shared" ref="AI249" si="897">AH249*(1+$N$249)</f>
        <v>155.79928307139431</v>
      </c>
      <c r="AJ249" s="161">
        <f t="shared" ref="AJ249" si="898">AI249*(1+$N$249)</f>
        <v>179.16917553210345</v>
      </c>
      <c r="AK249" s="161">
        <f t="shared" ref="AK249" si="899">AJ249*(1+$N$249)</f>
        <v>206.04455186191896</v>
      </c>
      <c r="AL249" s="161">
        <f t="shared" ref="AL249" si="900">AK249*(1+$N$249)</f>
        <v>236.95123464120678</v>
      </c>
      <c r="AM249" s="161">
        <f t="shared" ref="AM249" si="901">AL249*(1+$N$249)</f>
        <v>272.49391983738775</v>
      </c>
      <c r="AN249" s="161">
        <f t="shared" ref="AN249" si="902">AM249*(1+$N$249)</f>
        <v>313.36800781299587</v>
      </c>
      <c r="AO249" s="161">
        <f t="shared" ref="AO249" si="903">AN249*(1+$N$249)</f>
        <v>360.37320898494522</v>
      </c>
      <c r="AP249" s="161">
        <f t="shared" ref="AP249" si="904">AO249*(1+$N$249)</f>
        <v>414.42919033268697</v>
      </c>
      <c r="AQ249" s="161">
        <f t="shared" ref="AQ249" si="905">AP249*(1+$N$249)</f>
        <v>476.59356888258998</v>
      </c>
      <c r="AR249" s="161">
        <f t="shared" ref="AR249" si="906">AQ249*(1+$N$249)</f>
        <v>548.08260421497846</v>
      </c>
      <c r="AS249" s="161">
        <f t="shared" ref="AS249" si="907">AR249*(1+$N$249)</f>
        <v>630.29499484722521</v>
      </c>
      <c r="AT249" s="161">
        <f t="shared" ref="AT249" si="908">AS249*(1+$N$249)</f>
        <v>724.83924407430891</v>
      </c>
      <c r="AU249" s="161">
        <f t="shared" ref="AU249" si="909">AT249*(1+$N$249)</f>
        <v>833.56513068545519</v>
      </c>
      <c r="AV249" s="161">
        <f t="shared" ref="AV249" si="910">AU249*(1+$N$249)</f>
        <v>958.59990028827337</v>
      </c>
      <c r="AW249" s="161">
        <f t="shared" ref="AW249" si="911">AV249*(1+$N$249)</f>
        <v>1102.3898853315143</v>
      </c>
      <c r="AX249" s="161">
        <f t="shared" ref="AX249" si="912">AW249*(1+$N$249)</f>
        <v>1267.7483681312413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366.512</v>
      </c>
      <c r="Y250" s="160">
        <f>X250-Y249</f>
        <v>328.00080000000003</v>
      </c>
      <c r="Z250" s="160">
        <f t="shared" ref="Z250:AE250" si="913">Y250-Z249</f>
        <v>283.71292000000005</v>
      </c>
      <c r="AA250" s="160">
        <f t="shared" si="913"/>
        <v>232.78185800000006</v>
      </c>
      <c r="AB250" s="160">
        <f t="shared" si="913"/>
        <v>174.21113670000008</v>
      </c>
      <c r="AC250" s="160">
        <f t="shared" si="913"/>
        <v>106.85480720500011</v>
      </c>
      <c r="AD250" s="160">
        <f t="shared" si="913"/>
        <v>29.395028285750158</v>
      </c>
      <c r="AE250" s="160">
        <f t="shared" si="913"/>
        <v>-59.683717471387283</v>
      </c>
      <c r="AF250" s="160">
        <f>AE250-AF249</f>
        <v>-162.12427509209533</v>
      </c>
      <c r="AG250" s="160">
        <f t="shared" ref="AG250" si="914">AF250-AG249</f>
        <v>-279.93091635590957</v>
      </c>
      <c r="AH250" s="160">
        <f t="shared" ref="AH250" si="915">AG250-AH249</f>
        <v>-415.40855380929594</v>
      </c>
      <c r="AI250" s="160">
        <f t="shared" ref="AI250" si="916">AH250-AI249</f>
        <v>-571.20783688069025</v>
      </c>
      <c r="AJ250" s="160">
        <f t="shared" ref="AJ250" si="917">AI250-AJ249</f>
        <v>-750.37701241279365</v>
      </c>
      <c r="AK250" s="160">
        <f t="shared" ref="AK250" si="918">AJ250-AK249</f>
        <v>-956.42156427471264</v>
      </c>
      <c r="AL250" s="160">
        <f t="shared" ref="AL250" si="919">AK250-AL249</f>
        <v>-1193.3727989159195</v>
      </c>
      <c r="AM250" s="160">
        <f t="shared" ref="AM250" si="920">AL250-AM249</f>
        <v>-1465.8667187533072</v>
      </c>
      <c r="AN250" s="160">
        <f t="shared" ref="AN250" si="921">AM250-AN249</f>
        <v>-1779.2347265663029</v>
      </c>
      <c r="AO250" s="160">
        <f t="shared" ref="AO250" si="922">AN250-AO249</f>
        <v>-2139.6079355512484</v>
      </c>
      <c r="AP250" s="160">
        <f t="shared" ref="AP250" si="923">AO250-AP249</f>
        <v>-2554.0371258839355</v>
      </c>
      <c r="AQ250" s="160">
        <f t="shared" ref="AQ250" si="924">AP250-AQ249</f>
        <v>-3030.6306947665253</v>
      </c>
      <c r="AR250" s="160">
        <f t="shared" ref="AR250" si="925">AQ250-AR249</f>
        <v>-3578.7132989815036</v>
      </c>
      <c r="AS250" s="160">
        <f t="shared" ref="AS250" si="926">AR250-AS249</f>
        <v>-4209.0082938287287</v>
      </c>
      <c r="AT250" s="160">
        <f t="shared" ref="AT250" si="927">AS250-AT249</f>
        <v>-4933.8475379030378</v>
      </c>
      <c r="AU250" s="160">
        <f t="shared" ref="AU250" si="928">AT250-AU249</f>
        <v>-5767.412668588493</v>
      </c>
      <c r="AV250" s="160">
        <f t="shared" ref="AV250" si="929">AU250-AV249</f>
        <v>-6726.0125688767666</v>
      </c>
      <c r="AW250" s="160">
        <f t="shared" ref="AW250" si="930">AV250-AW249</f>
        <v>-7828.4024542082807</v>
      </c>
      <c r="AX250" s="160">
        <f t="shared" ref="AX250" si="931">AW250-AX249</f>
        <v>-9096.1508223395213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 t="e">
        <f t="shared" ref="H252:I252" si="932">H10/H7</f>
        <v>#DIV/0!</v>
      </c>
      <c r="I252" s="15" t="e">
        <f t="shared" si="932"/>
        <v>#DIV/0!</v>
      </c>
      <c r="J252" s="15" t="e">
        <f t="shared" ref="J252:T252" si="933">J10/J7</f>
        <v>#DIV/0!</v>
      </c>
      <c r="K252" s="15">
        <f t="shared" si="933"/>
        <v>3.6590909090909092</v>
      </c>
      <c r="L252" s="15">
        <f t="shared" si="933"/>
        <v>4.5960264900662251</v>
      </c>
      <c r="M252" s="15">
        <f t="shared" si="933"/>
        <v>5.6263157894736846</v>
      </c>
      <c r="N252" s="15">
        <f t="shared" si="933"/>
        <v>6.2712550607287447</v>
      </c>
      <c r="O252" s="15">
        <f t="shared" si="933"/>
        <v>6.6336633663366333</v>
      </c>
      <c r="P252" s="15">
        <f t="shared" si="933"/>
        <v>4.0552050473186121</v>
      </c>
      <c r="Q252" s="15">
        <f t="shared" si="933"/>
        <v>4.4642375168690958</v>
      </c>
      <c r="R252" s="15">
        <f t="shared" si="933"/>
        <v>5.3414932680538554</v>
      </c>
      <c r="S252" s="15">
        <f t="shared" si="933"/>
        <v>5.7341640706126684</v>
      </c>
      <c r="T252" s="15">
        <f t="shared" si="933"/>
        <v>5.6161879895561357</v>
      </c>
      <c r="U252" s="15">
        <f t="shared" ref="U252" si="934">U10/U7</f>
        <v>4.911655530809206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 t="e">
        <f t="shared" ref="H253:I253" si="936">H10/H12</f>
        <v>#DIV/0!</v>
      </c>
      <c r="I253" s="96" t="e">
        <f t="shared" si="936"/>
        <v>#DIV/0!</v>
      </c>
      <c r="J253" s="96" t="e">
        <f t="shared" ref="J253:T253" si="937">J10/J12</f>
        <v>#DIV/0!</v>
      </c>
      <c r="K253" s="96">
        <f t="shared" si="937"/>
        <v>7.430769230769231</v>
      </c>
      <c r="L253" s="96">
        <f t="shared" si="937"/>
        <v>20.411764705882351</v>
      </c>
      <c r="M253" s="96">
        <f t="shared" si="937"/>
        <v>16.703125</v>
      </c>
      <c r="N253" s="96">
        <f t="shared" si="937"/>
        <v>193.625</v>
      </c>
      <c r="O253" s="96">
        <f t="shared" si="937"/>
        <v>118.23529411764706</v>
      </c>
      <c r="P253" s="96">
        <f t="shared" si="937"/>
        <v>12.242857142857142</v>
      </c>
      <c r="Q253" s="96">
        <f t="shared" si="937"/>
        <v>150.36363636363637</v>
      </c>
      <c r="R253" s="96">
        <f t="shared" si="937"/>
        <v>256.70588235294116</v>
      </c>
      <c r="S253" s="96">
        <f t="shared" si="937"/>
        <v>276.10000000000002</v>
      </c>
      <c r="T253" s="96">
        <f t="shared" si="937"/>
        <v>293.31818181818181</v>
      </c>
      <c r="U253" s="96">
        <f t="shared" ref="U253" si="938">U10/U12</f>
        <v>254.46153846153845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 t="e">
        <f t="shared" ref="H254:I254" si="939">H10/(H12+H13)</f>
        <v>#DIV/0!</v>
      </c>
      <c r="I254" s="15" t="e">
        <f t="shared" si="939"/>
        <v>#DIV/0!</v>
      </c>
      <c r="J254" s="15" t="e">
        <f t="shared" ref="J254:T254" si="940">J10/(J12+J13)</f>
        <v>#DIV/0!</v>
      </c>
      <c r="K254" s="15">
        <f t="shared" si="940"/>
        <v>7.1029411764705879</v>
      </c>
      <c r="L254" s="15">
        <f t="shared" si="940"/>
        <v>19.828571428571429</v>
      </c>
      <c r="M254" s="15">
        <f t="shared" si="940"/>
        <v>16.196969696969695</v>
      </c>
      <c r="N254" s="15">
        <f t="shared" si="940"/>
        <v>154.9</v>
      </c>
      <c r="O254" s="15">
        <f t="shared" si="940"/>
        <v>80.400000000000006</v>
      </c>
      <c r="P254" s="15">
        <f t="shared" si="940"/>
        <v>11.793577981651376</v>
      </c>
      <c r="Q254" s="15">
        <f t="shared" si="940"/>
        <v>97.294117647058826</v>
      </c>
      <c r="R254" s="15">
        <f t="shared" si="940"/>
        <v>124.68571428571428</v>
      </c>
      <c r="S254" s="15">
        <f t="shared" si="940"/>
        <v>134.6829268292683</v>
      </c>
      <c r="T254" s="15">
        <f t="shared" si="940"/>
        <v>129.06</v>
      </c>
      <c r="U254" s="15">
        <f t="shared" ref="U254" si="941">U10/(U12+U13)</f>
        <v>108.45901639344262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4" t="s">
        <v>281</v>
      </c>
      <c r="N257" s="314"/>
      <c r="O257" s="314"/>
      <c r="P257" s="315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2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5" t="s">
        <v>15</v>
      </c>
      <c r="E274" s="306"/>
      <c r="F274" s="306"/>
      <c r="G274" s="306"/>
      <c r="H274" s="306"/>
      <c r="I274" s="306"/>
      <c r="J274" s="307"/>
      <c r="K274" s="10"/>
      <c r="L274" s="305" t="s">
        <v>334</v>
      </c>
      <c r="M274" s="306"/>
      <c r="N274" s="307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8" t="s">
        <v>15</v>
      </c>
      <c r="K5" s="278"/>
      <c r="M5" s="278" t="s">
        <v>53</v>
      </c>
      <c r="N5" s="278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8" t="s">
        <v>24</v>
      </c>
      <c r="K14" s="278"/>
      <c r="L14" s="278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8" t="s">
        <v>15</v>
      </c>
      <c r="S5" s="278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8" t="s">
        <v>24</v>
      </c>
      <c r="S14" s="278"/>
      <c r="T14" s="278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8" t="s">
        <v>15</v>
      </c>
      <c r="C2" s="278"/>
      <c r="E2" s="278" t="s">
        <v>53</v>
      </c>
      <c r="F2" s="278"/>
      <c r="H2" s="319" t="s">
        <v>24</v>
      </c>
      <c r="I2" s="320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6" t="s">
        <v>56</v>
      </c>
      <c r="E10" s="317"/>
      <c r="F10" s="317"/>
      <c r="G10" s="317"/>
      <c r="H10" s="318"/>
      <c r="I10" s="316" t="s">
        <v>60</v>
      </c>
      <c r="J10" s="317"/>
      <c r="K10" s="317"/>
      <c r="L10" s="318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1" t="s">
        <v>373</v>
      </c>
      <c r="C3" s="322"/>
      <c r="F3" s="321" t="s">
        <v>374</v>
      </c>
      <c r="G3" s="322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2019-01-05T19:51:51Z</dcterms:modified>
</cp:coreProperties>
</file>
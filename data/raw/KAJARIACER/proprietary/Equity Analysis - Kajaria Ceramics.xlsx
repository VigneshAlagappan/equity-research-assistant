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5" i="18" l="1"/>
  <c r="Q23" i="18"/>
  <c r="Q22" i="18"/>
  <c r="Q21" i="18"/>
  <c r="Q20" i="18"/>
  <c r="Q18" i="18"/>
  <c r="Q16" i="18"/>
  <c r="Q15" i="18"/>
  <c r="Q14" i="18"/>
  <c r="Q13" i="18"/>
  <c r="Q12" i="18"/>
  <c r="Q10" i="18"/>
  <c r="Q9" i="18"/>
  <c r="Q42" i="18"/>
  <c r="Q40" i="18"/>
  <c r="Q38" i="18"/>
  <c r="Q36" i="18"/>
  <c r="Q34" i="18"/>
  <c r="Q33" i="18"/>
  <c r="Q29" i="18"/>
  <c r="F115" i="18" l="1"/>
  <c r="E180" i="18" l="1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6" i="18" s="1"/>
  <c r="Q175" i="18" s="1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3" i="18" l="1"/>
  <c r="H192" i="18" s="1"/>
  <c r="T192" i="18"/>
  <c r="T193" i="18" s="1"/>
  <c r="Q192" i="18"/>
  <c r="Q178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80" i="18" l="1"/>
  <c r="Q181" i="18" s="1"/>
  <c r="R52" i="18"/>
  <c r="P91" i="18"/>
  <c r="R9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Q191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T191" i="18" l="1"/>
  <c r="T190" i="18" s="1"/>
  <c r="P191" i="18"/>
  <c r="F177" i="18"/>
  <c r="F180" i="18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<sst xmlns="http://schemas.openxmlformats.org/spreadsheetml/2006/main" count="648" uniqueCount="456">
  <si>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</si>
  <si>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</si>
  <si>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</si>
  <si>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</si>
  <si>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</si>
  <si>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</si>
  <si>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</si>
  <si>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</si>
  <si>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</si>
  <si>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</si>
  <si>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</si>
  <si>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</si>
  <si>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</si>
  <si>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</si>
  <si>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</si>
  <si>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</si>
  <si>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</si>
  <si>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</si>
  <si>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</si>
  <si>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</si>
  <si>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</si>
  <si>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</si>
  <si>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</si>
  <si>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</si>
  <si>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</si>
  <si>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</si>
  <si>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</si>
  <si>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</si>
  <si>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</si>
  <si>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</si>
  <si>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</si>
  <si>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</si>
  <si>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</si>
  <si>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</si>
  <si>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</si>
  <si>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</si>
  <si>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</si>
  <si>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</si>
  <si>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</si>
  <si>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</si>
  <si>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</si>
  <si>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</si>
  <si>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</si>
  <si>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</si>
  <si>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</si>
  <si>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</si>
  <si>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</si>
  <si>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</si>
  <si>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</si>
  <si>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</si>
  <si>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</si>
  <si>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</si>
  <si>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</si>
  <si>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</si>
  <si>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</si>
  <si>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</si>
  <si>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</si>
  <si>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</si>
  <si>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</si>
  <si>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</si>
  <si>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</si>
  <si>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</si>
  <si>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</si>
  <si>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</si>
  <si>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</si>
  <si>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</si>
  <si>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</si>
  <si>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</si>
  <si>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</si>
  <si>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</si>
  <si>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</si>
  <si>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</si>
  <si>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</si>
  <si>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</si>
  <si>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</si>
  <si>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</si>
  <si>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</si>
  <si>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</si>
  <si>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</si>
  <si>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</si>
  <si>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</si>
  <si>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</si>
  <si>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</si>
  <si>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</si>
  <si>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</si>
  <si>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</si>
  <si>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</si>
  <si>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</si>
  <si>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</si>
  <si>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</si>
  <si>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</si>
  <si>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</si>
  <si>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</si>
  <si>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</si>
  <si>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</si>
  <si>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</si>
  <si>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</si>
  <si>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</si>
  <si>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</si>
  <si>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</si>
  <si>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</si>
  <si>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</si>
  <si>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</si>
  <si>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</si>
  <si>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</si>
  <si>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</si>
  <si>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</si>
  <si>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</si>
  <si>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</si>
  <si>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</si>
  <si>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</si>
  <si>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</si>
  <si>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</si>
  <si>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</si>
  <si>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</si>
  <si>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</si>
  <si>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</si>
  <si>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</si>
  <si>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</si>
  <si>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</si>
  <si>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</si>
  <si>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</si>
  <si>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</si>
  <si>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</si>
  <si>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</si>
  <si>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</si>
  <si>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</si>
  <si>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</si>
  <si>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</si>
  <si>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</si>
  <si>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</si>
  <si>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</si>
  <si>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</si>
  <si>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</si>
  <si>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</si>
  <si>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</si>
  <si>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</si>
  <si>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</si>
  <si>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</si>
  <si>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</si>
  <si>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</si>
  <si>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</si>
  <si>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</si>
  <si>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</si>
  <si>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</si>
  <si>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</si>
  <si>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</si>
  <si>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</si>
  <si>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</si>
  <si>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</si>
  <si>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</si>
  <si>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</si>
  <si>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</si>
  <si>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</si>
  <si>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</si>
  <si>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</si>
  <si>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</si>
  <si>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</si>
  <si>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</si>
  <si>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</si>
  <si>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</si>
  <si>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</si>
  <si>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</si>
  <si>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</si>
  <si>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</si>
  <si>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</si>
  <si>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</si>
  <si>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</si>
  <si>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</si>
  <si>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</si>
  <si>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</si>
  <si>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</si>
  <si>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</si>
  <si>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</si>
  <si>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</si>
  <si>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</si>
  <si>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</si>
  <si>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</si>
  <si>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</si>
  <si>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</si>
  <si>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</si>
  <si>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</si>
  <si>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</si>
  <si>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</si>
  <si>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</si>
  <si>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</si>
  <si>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</si>
  <si>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</si>
  <si>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</si>
  <si>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</si>
  <si>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</si>
  <si>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</si>
  <si>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</si>
  <si>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</si>
  <si>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</si>
  <si>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</si>
  <si>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</si>
  <si>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</si>
  <si>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</si>
  <si>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</si>
  <si>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</si>
  <si>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</si>
  <si>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</si>
  <si>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</si>
  <si>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</si>
  <si>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</si>
  <si>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</si>
  <si>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</si>
  <si>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</si>
  <si>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</si>
  <si>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</si>
  <si>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</si>
  <si>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</si>
  <si>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</si>
  <si>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</si>
  <si>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</si>
  <si>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</si>
  <si>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</si>
  <si>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</si>
  <si>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</si>
  <si>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</si>
  <si>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</si>
  <si>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</si>
  <si>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</si>
  <si>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</si>
  <si>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</si>
  <si>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</si>
  <si>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</si>
  <si>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</si>
  <si>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</si>
  <si>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</si>
  <si>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</si>
  <si>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</si>
  <si>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</si>
  <si>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</si>
  <si>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</si>
  <si>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</si>
  <si>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</si>
  <si>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</si>
  <si>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</si>
  <si>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</si>
  <si>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</si>
  <si>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</si>
  <si>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</si>
  <si>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</si>
  <si>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</si>
  <si>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</si>
  <si>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</si>
  <si>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</si>
  <si>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</si>
  <si>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</si>
  <si>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</si>
  <si>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</si>
  <si>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</si>
  <si>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</si>
  <si>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</si>
  <si>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</si>
  <si>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</si>
  <si>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</si>
  <si>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</si>
  <si>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</si>
  <si>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</si>
  <si>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</si>
  <si>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</si>
  <si>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</si>
  <si>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</si>
  <si>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</si>
  <si>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</si>
  <si>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</si>
  <si>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</si>
  <si>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</si>
  <si>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</si>
  <si>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</si>
  <si>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</si>
  <si>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</si>
  <si>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</si>
  <si>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</si>
  <si>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</si>
  <si>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</si>
  <si>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</si>
  <si>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</si>
  <si>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</si>
  <si>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</si>
  <si>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</si>
  <si>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</si>
  <si>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</si>
  <si>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</si>
  <si>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</si>
  <si>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</si>
  <si>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</si>
  <si>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</si>
  <si>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</si>
  <si>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</si>
  <si>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</si>
  <si>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</si>
  <si>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</si>
  <si>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</si>
  <si>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</si>
  <si>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</si>
  <si>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</si>
  <si>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</si>
  <si>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</si>
  <si>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</si>
  <si>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</si>
  <si>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</si>
  <si>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</si>
  <si>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</si>
  <si>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</si>
  <si>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</si>
  <si>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</si>
  <si>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</si>
  <si>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</si>
  <si>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</si>
  <si>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</si>
  <si>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</si>
  <si>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</si>
  <si>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</si>
  <si>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</si>
  <si>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</si>
  <si>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</si>
  <si>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</si>
  <si>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</si>
  <si>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</si>
  <si>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</si>
  <si>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</si>
  <si>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</si>
  <si>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</si>
  <si>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</si>
  <si>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</si>
  <si>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</si>
  <si>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</si>
  <si>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</si>
  <si>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</si>
  <si>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</si>
  <si>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</si>
  <si>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</si>
  <si>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</si>
  <si>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</si>
  <si>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</si>
  <si>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</si>
  <si>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</si>
  <si>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</si>
  <si>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</si>
  <si>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</si>
  <si>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</si>
  <si>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</si>
  <si>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</si>
  <si>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</si>
  <si>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</si>
  <si>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</si>
  <si>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</si>
  <si>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</si>
  <si>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</si>
  <si>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</si>
  <si>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</si>
  <si>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</si>
  <si>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</si>
  <si>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</si>
  <si>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</si>
  <si>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</si>
  <si>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</si>
  <si>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</si>
  <si>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</si>
  <si>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</si>
  <si>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</si>
  <si>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</si>
  <si>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</si>
  <si>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</si>
  <si>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</si>
  <si>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</si>
  <si>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</si>
  <si>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</si>
  <si>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</si>
  <si>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</si>
  <si>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</si>
  <si>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</si>
  <si>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</si>
  <si>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</si>
  <si>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</si>
  <si>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</si>
  <si>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</si>
  <si>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</si>
  <si>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</si>
  <si>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</si>
  <si>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</si>
  <si>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</si>
  <si>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</si>
  <si>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</si>
  <si>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</si>
  <si>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</si>
  <si>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</si>
  <si>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</si>
  <si>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</si>
  <si>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</si>
  <si>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</si>
  <si>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</si>
  <si>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</si>
  <si>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</si>
  <si>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</si>
  <si>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</si>
  <si>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</si>
  <si>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</si>
  <si>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</si>
  <si>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</si>
  <si>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</si>
  <si>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</si>
  <si>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</si>
  <si>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</si>
  <si>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</si>
  <si>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</si>
  <si>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</si>
  <si>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</si>
  <si>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</si>
  <si>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</si>
  <si>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</si>
  <si>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</si>
  <si>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</si>
  <si>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</si>
  <si>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</si>
  <si>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</si>
  <si>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</si>
  <si>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</si>
  <si>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</si>
  <si>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</si>
  <si>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</si>
  <si>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</si>
  <si>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</si>
  <si>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</si>
  <si>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</si>
  <si>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</si>
  <si>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</si>
  <si>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</si>
  <si>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</si>
  <si>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</si>
  <si>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</si>
  <si>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</si>
  <si>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</si>
  <si>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</si>
  <si>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</si>
  <si>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</si>
  <si>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</si>
  <si>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</si>
  <si>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</si>
  <si>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</si>
  <si>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</si>
  <si>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</si>
  <si>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</si>
  <si>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</si>
  <si>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</si>
  <si>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</si>
  <si>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</si>
  <si>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</si>
  <si>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</si>
  <si>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</si>
  <si>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10x2</t>
  </si>
  <si>
    <t>2nd highest Expenses Comp. ( Power &amp; Fuel Cost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</si>
</sst>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0" fontId="16" fillId="5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65280"/>
        <c:axId val="100852096"/>
      </c:lineChart>
      <c:catAx>
        <c:axId val="100465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0852096"/>
        <c:crosses val="autoZero"/>
        <c:auto val="1"/>
        <c:lblAlgn val="ctr"/>
        <c:lblOffset val="100"/>
        <c:noMultiLvlLbl val="0"/>
      </c:catAx>
      <c:valAx>
        <c:axId val="10085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4652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54" activePane="bottomRight" state="frozen"/>
      <selection pane="topRight" activeCell="C1" sqref="C1"/>
      <selection pane="bottomLeft" activeCell="A5" sqref="A5"/>
      <selection pane="bottomRight" activeCell="A171" sqref="A17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397</v>
      </c>
      <c r="P1" s="164">
        <v>0.05</v>
      </c>
    </row>
    <row r="2" spans="2:32" x14ac:dyDescent="0.2">
      <c r="B2" s="153" t="s">
        <v>314</v>
      </c>
      <c r="C2" s="120"/>
      <c r="F2" s="104" t="s">
        <v>253</v>
      </c>
      <c r="H2" s="126">
        <v>2013</v>
      </c>
      <c r="J2" s="104" t="s">
        <v>327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13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84</v>
      </c>
      <c r="H6" s="147">
        <v>104</v>
      </c>
      <c r="I6" s="147">
        <v>121</v>
      </c>
      <c r="J6" s="147">
        <v>127</v>
      </c>
      <c r="K6" s="147">
        <v>140</v>
      </c>
      <c r="L6" s="147">
        <v>147</v>
      </c>
      <c r="M6" s="147">
        <v>174</v>
      </c>
      <c r="N6" s="147">
        <v>208</v>
      </c>
      <c r="O6" s="147">
        <v>267</v>
      </c>
      <c r="P6" s="147">
        <v>346</v>
      </c>
      <c r="Q6" s="213">
        <v>489</v>
      </c>
      <c r="R6" s="118">
        <f>((Q6/G6)^(1/($H$2-$H$1) ))-1</f>
        <v>0.21619520241082446</v>
      </c>
      <c r="S6" s="31">
        <f>$L$2</f>
        <v>0.15</v>
      </c>
      <c r="T6" s="154">
        <f>Q6*(1+$S6)</f>
        <v>562.34999999999991</v>
      </c>
      <c r="U6" s="154">
        <f>T6*(1+$S6)</f>
        <v>646.70249999999987</v>
      </c>
      <c r="V6" s="154">
        <f t="shared" ref="V6:AC6" si="0">U6*(1+$S6)</f>
        <v>743.70787499999983</v>
      </c>
      <c r="W6" s="154">
        <f t="shared" si="0"/>
        <v>855.26405624999973</v>
      </c>
      <c r="X6" s="154">
        <f t="shared" si="0"/>
        <v>983.55366468749958</v>
      </c>
      <c r="Y6" s="154">
        <f t="shared" si="0"/>
        <v>1131.0867143906244</v>
      </c>
      <c r="Z6" s="154">
        <f t="shared" si="0"/>
        <v>1300.7497215492178</v>
      </c>
      <c r="AA6" s="154">
        <f t="shared" si="0"/>
        <v>1495.8621797816004</v>
      </c>
      <c r="AB6" s="154">
        <f t="shared" si="0"/>
        <v>1720.2415067488403</v>
      </c>
      <c r="AC6" s="154">
        <f t="shared" si="0"/>
        <v>1978.2777327611661</v>
      </c>
      <c r="AD6" s="138">
        <f>((AC6/G6)^(1/($AC$3-$H$1) ))-1</f>
        <v>0.17111730623753818</v>
      </c>
      <c r="AE6" s="31">
        <f>$L$1</f>
        <v>0.05</v>
      </c>
      <c r="AF6" s="146">
        <f t="shared" ref="AF6:AF44" si="1">(AC6*(1+AE6))/($C$1-AE6)</f>
        <v>12218.774231760146</v>
      </c>
    </row>
    <row r="7" spans="2:32" x14ac:dyDescent="0.2">
      <c r="B7" s="20" t="s">
        <v>240</v>
      </c>
      <c r="C7" s="141"/>
      <c r="D7" s="141"/>
      <c r="E7" s="147"/>
      <c r="F7" s="147"/>
      <c r="G7" s="147">
        <v>99</v>
      </c>
      <c r="H7" s="147">
        <v>118</v>
      </c>
      <c r="I7" s="147">
        <v>135</v>
      </c>
      <c r="J7" s="147">
        <v>141</v>
      </c>
      <c r="K7" s="147">
        <v>155</v>
      </c>
      <c r="L7" s="147">
        <v>162</v>
      </c>
      <c r="M7" s="147">
        <v>189</v>
      </c>
      <c r="N7" s="147">
        <v>222</v>
      </c>
      <c r="O7" s="147">
        <v>282</v>
      </c>
      <c r="P7" s="147">
        <v>361</v>
      </c>
      <c r="Q7" s="213">
        <v>529</v>
      </c>
      <c r="R7" s="118">
        <f>((Q7/G7)^(1/($H$2-$H$1) ))-1</f>
        <v>0.20467234871880047</v>
      </c>
      <c r="S7" s="31">
        <f>$L$2</f>
        <v>0.15</v>
      </c>
      <c r="T7" s="154">
        <f t="shared" ref="T7:T44" si="2">Q7*(1+$S7)</f>
        <v>608.34999999999991</v>
      </c>
      <c r="U7" s="154">
        <f t="shared" ref="U7:AC7" si="3">T7*(1+$S7)</f>
        <v>699.60249999999985</v>
      </c>
      <c r="V7" s="154">
        <f t="shared" si="3"/>
        <v>804.54287499999975</v>
      </c>
      <c r="W7" s="154">
        <f t="shared" si="3"/>
        <v>925.2243062499997</v>
      </c>
      <c r="X7" s="154">
        <f t="shared" si="3"/>
        <v>1064.0079521874995</v>
      </c>
      <c r="Y7" s="154">
        <f t="shared" si="3"/>
        <v>1223.6091450156243</v>
      </c>
      <c r="Z7" s="154">
        <f t="shared" si="3"/>
        <v>1407.1505167679679</v>
      </c>
      <c r="AA7" s="154">
        <f t="shared" si="3"/>
        <v>1618.2230942831629</v>
      </c>
      <c r="AB7" s="154">
        <f t="shared" si="3"/>
        <v>1860.9565584256372</v>
      </c>
      <c r="AC7" s="154">
        <f t="shared" si="3"/>
        <v>2140.1000421894828</v>
      </c>
      <c r="AD7" s="138">
        <f>((AC7/G7)^(1/($AC$3-$H$1) ))-1</f>
        <v>0.16611113949120981</v>
      </c>
      <c r="AE7" s="31">
        <f>$L$1</f>
        <v>0.05</v>
      </c>
      <c r="AF7" s="146">
        <f t="shared" si="1"/>
        <v>13218.264966464456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0.16101694915254236</v>
      </c>
      <c r="I8" s="151">
        <f t="shared" ref="I8:Q8" si="4">(I7-H7)/I7</f>
        <v>0.12592592592592591</v>
      </c>
      <c r="J8" s="151">
        <f t="shared" si="4"/>
        <v>4.2553191489361701E-2</v>
      </c>
      <c r="K8" s="151">
        <f t="shared" si="4"/>
        <v>9.0322580645161285E-2</v>
      </c>
      <c r="L8" s="151">
        <f t="shared" si="4"/>
        <v>4.3209876543209874E-2</v>
      </c>
      <c r="M8" s="151">
        <f t="shared" si="4"/>
        <v>0.14285714285714285</v>
      </c>
      <c r="N8" s="151">
        <f t="shared" si="4"/>
        <v>0.14864864864864866</v>
      </c>
      <c r="O8" s="151">
        <f t="shared" si="4"/>
        <v>0.21276595744680851</v>
      </c>
      <c r="P8" s="151">
        <f t="shared" si="4"/>
        <v>0.2188365650969529</v>
      </c>
      <c r="Q8" s="214">
        <f t="shared" si="4"/>
        <v>0.31758034026465026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68</v>
      </c>
      <c r="H9" s="147">
        <v>100</v>
      </c>
      <c r="I9" s="147">
        <v>85</v>
      </c>
      <c r="J9" s="147">
        <v>114</v>
      </c>
      <c r="K9" s="147">
        <v>127</v>
      </c>
      <c r="L9" s="147">
        <v>136</v>
      </c>
      <c r="M9" s="147">
        <v>174</v>
      </c>
      <c r="N9" s="147">
        <v>277</v>
      </c>
      <c r="O9" s="147">
        <v>385</v>
      </c>
      <c r="P9" s="147">
        <v>352</v>
      </c>
      <c r="Q9" s="213">
        <f>P9</f>
        <v>352</v>
      </c>
      <c r="R9" s="118">
        <f>((Q9/G9)^(1/($H$2-$H$1) ))-1</f>
        <v>0.20043067183429608</v>
      </c>
      <c r="S9" s="31">
        <f t="shared" ref="S9:S40" si="5">$L$2</f>
        <v>0.15</v>
      </c>
      <c r="T9" s="154">
        <f t="shared" si="2"/>
        <v>404.79999999999995</v>
      </c>
      <c r="U9" s="154">
        <f t="shared" ref="U9" si="6">T9*(1+$S9)</f>
        <v>465.51999999999992</v>
      </c>
      <c r="V9" s="154">
        <f t="shared" ref="V9" si="7">U9*(1+$S9)</f>
        <v>535.34799999999984</v>
      </c>
      <c r="W9" s="154">
        <f t="shared" ref="W9" si="8">V9*(1+$S9)</f>
        <v>615.65019999999981</v>
      </c>
      <c r="X9" s="154">
        <f t="shared" ref="X9" si="9">W9*(1+$S9)</f>
        <v>707.99772999999971</v>
      </c>
      <c r="Y9" s="154">
        <f t="shared" ref="Y9" si="10">X9*(1+$S9)</f>
        <v>814.19738949999964</v>
      </c>
      <c r="Z9" s="154">
        <f t="shared" ref="Z9" si="11">Y9*(1+$S9)</f>
        <v>936.32699792499955</v>
      </c>
      <c r="AA9" s="154">
        <f t="shared" ref="AA9" si="12">Z9*(1+$S9)</f>
        <v>1076.7760476137494</v>
      </c>
      <c r="AB9" s="154">
        <f t="shared" ref="AB9" si="13">AA9*(1+$S9)</f>
        <v>1238.2924547558116</v>
      </c>
      <c r="AC9" s="154">
        <f t="shared" ref="AC9" si="14">AB9*(1+$S9)</f>
        <v>1424.0363229691832</v>
      </c>
      <c r="AD9" s="138">
        <f>((AC9/G9)^(1/($AC$3-$H$1) ))-1</f>
        <v>0.16426169125733314</v>
      </c>
      <c r="AE9" s="31">
        <f t="shared" ref="AE9:AE81" si="15">$L$1</f>
        <v>0.05</v>
      </c>
      <c r="AF9" s="146">
        <f t="shared" si="1"/>
        <v>8795.5184653978977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147</v>
      </c>
      <c r="H10" s="147">
        <v>145</v>
      </c>
      <c r="I10" s="147">
        <v>203</v>
      </c>
      <c r="J10" s="147">
        <v>332</v>
      </c>
      <c r="K10" s="147">
        <v>337</v>
      </c>
      <c r="L10" s="147">
        <v>325</v>
      </c>
      <c r="M10" s="147">
        <v>262</v>
      </c>
      <c r="N10" s="147">
        <v>288</v>
      </c>
      <c r="O10" s="147">
        <v>206</v>
      </c>
      <c r="P10" s="147">
        <v>263</v>
      </c>
      <c r="Q10" s="213">
        <f>P10</f>
        <v>263</v>
      </c>
      <c r="R10" s="118">
        <f>((Q10/G10)^(1/($H$2-$H$1) ))-1</f>
        <v>6.6770346390896185E-2</v>
      </c>
      <c r="S10" s="31">
        <f t="shared" si="5"/>
        <v>0.15</v>
      </c>
      <c r="T10" s="154">
        <f t="shared" si="2"/>
        <v>302.45</v>
      </c>
      <c r="U10" s="154">
        <f t="shared" ref="U10:AC10" si="16">T10*(1+$S10)</f>
        <v>347.81749999999994</v>
      </c>
      <c r="V10" s="154">
        <f t="shared" si="16"/>
        <v>399.99012499999992</v>
      </c>
      <c r="W10" s="154">
        <f t="shared" si="16"/>
        <v>459.98864374999988</v>
      </c>
      <c r="X10" s="154">
        <f t="shared" si="16"/>
        <v>528.98694031249977</v>
      </c>
      <c r="Y10" s="154">
        <f t="shared" si="16"/>
        <v>608.33498135937464</v>
      </c>
      <c r="Z10" s="154">
        <f t="shared" si="16"/>
        <v>699.58522856328079</v>
      </c>
      <c r="AA10" s="154">
        <f t="shared" si="16"/>
        <v>804.52301284777286</v>
      </c>
      <c r="AB10" s="154">
        <f t="shared" si="16"/>
        <v>925.2014647749387</v>
      </c>
      <c r="AC10" s="154">
        <f t="shared" si="16"/>
        <v>1063.9816844911795</v>
      </c>
      <c r="AD10" s="138">
        <f t="shared" ref="AD10:AD42" si="17">((AC10/G10)^(1/($AC$3-$H$1) ))-1</f>
        <v>0.10402991395056671</v>
      </c>
      <c r="AE10" s="31">
        <f t="shared" si="15"/>
        <v>0.05</v>
      </c>
      <c r="AF10" s="146">
        <f t="shared" si="1"/>
        <v>6571.6515806808156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-1.3793103448275862E-2</v>
      </c>
      <c r="I11" s="148">
        <f t="shared" si="18"/>
        <v>0.2857142857142857</v>
      </c>
      <c r="J11" s="148">
        <f t="shared" si="18"/>
        <v>0.38855421686746988</v>
      </c>
      <c r="K11" s="148">
        <f t="shared" si="18"/>
        <v>1.483679525222552E-2</v>
      </c>
      <c r="L11" s="148">
        <f t="shared" si="18"/>
        <v>-3.6923076923076927E-2</v>
      </c>
      <c r="M11" s="148">
        <f t="shared" si="18"/>
        <v>-0.24045801526717558</v>
      </c>
      <c r="N11" s="148">
        <f t="shared" si="18"/>
        <v>9.0277777777777776E-2</v>
      </c>
      <c r="O11" s="148">
        <f t="shared" si="18"/>
        <v>-0.39805825242718446</v>
      </c>
      <c r="P11" s="148">
        <f t="shared" si="18"/>
        <v>0.21673003802281368</v>
      </c>
      <c r="Q11" s="21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3</v>
      </c>
      <c r="H12" s="147">
        <v>3</v>
      </c>
      <c r="I12" s="147">
        <v>5</v>
      </c>
      <c r="J12" s="147">
        <v>4</v>
      </c>
      <c r="K12" s="147">
        <v>8</v>
      </c>
      <c r="L12" s="147">
        <v>8</v>
      </c>
      <c r="M12" s="147">
        <v>5</v>
      </c>
      <c r="N12" s="147">
        <v>4</v>
      </c>
      <c r="O12" s="147">
        <v>7</v>
      </c>
      <c r="P12" s="147">
        <v>6</v>
      </c>
      <c r="Q12" s="213">
        <f>P12</f>
        <v>6</v>
      </c>
      <c r="R12" s="118">
        <f>((Q12/G12)^(1/($H$2-$H$1) ))-1</f>
        <v>8.0059738892306109E-2</v>
      </c>
      <c r="S12" s="31">
        <f t="shared" si="5"/>
        <v>0.15</v>
      </c>
      <c r="T12" s="154">
        <f t="shared" si="2"/>
        <v>6.8999999999999995</v>
      </c>
      <c r="U12" s="154">
        <f t="shared" ref="U12:AC12" si="19">T12*(1+$S12)</f>
        <v>7.9349999999999987</v>
      </c>
      <c r="V12" s="154">
        <f t="shared" si="19"/>
        <v>9.1252499999999976</v>
      </c>
      <c r="W12" s="154">
        <f t="shared" si="19"/>
        <v>10.494037499999996</v>
      </c>
      <c r="X12" s="154">
        <f t="shared" si="19"/>
        <v>12.068143124999994</v>
      </c>
      <c r="Y12" s="154">
        <f t="shared" si="19"/>
        <v>13.878364593749991</v>
      </c>
      <c r="Z12" s="154">
        <f t="shared" si="19"/>
        <v>15.960119282812489</v>
      </c>
      <c r="AA12" s="154">
        <f t="shared" si="19"/>
        <v>18.35413717523436</v>
      </c>
      <c r="AB12" s="154">
        <f t="shared" si="19"/>
        <v>21.107257751519512</v>
      </c>
      <c r="AC12" s="154">
        <f t="shared" si="19"/>
        <v>24.273346414247438</v>
      </c>
      <c r="AD12" s="138">
        <f t="shared" si="17"/>
        <v>0.11019794717732068</v>
      </c>
      <c r="AE12" s="31">
        <f t="shared" si="15"/>
        <v>0.05</v>
      </c>
      <c r="AF12" s="146">
        <f t="shared" si="1"/>
        <v>149.92361020564596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4</v>
      </c>
      <c r="H13" s="147">
        <v>4</v>
      </c>
      <c r="I13" s="147">
        <v>5</v>
      </c>
      <c r="J13" s="147">
        <v>7</v>
      </c>
      <c r="K13" s="147">
        <v>3</v>
      </c>
      <c r="L13" s="147">
        <v>3.3</v>
      </c>
      <c r="M13" s="147">
        <v>3.3</v>
      </c>
      <c r="N13" s="147">
        <v>4</v>
      </c>
      <c r="O13" s="147">
        <v>0</v>
      </c>
      <c r="P13" s="147">
        <v>0.08</v>
      </c>
      <c r="Q13" s="213">
        <f>P13</f>
        <v>0.08</v>
      </c>
      <c r="R13" s="118">
        <f>((Q13/G13)^(1/($H$2-$H$1) ))-1</f>
        <v>-0.35252119713047458</v>
      </c>
      <c r="S13" s="31">
        <f t="shared" si="5"/>
        <v>0.15</v>
      </c>
      <c r="T13" s="154">
        <f t="shared" si="2"/>
        <v>9.1999999999999998E-2</v>
      </c>
      <c r="U13" s="154">
        <f t="shared" ref="U13:AC13" si="20">T13*(1+$S13)</f>
        <v>0.10579999999999999</v>
      </c>
      <c r="V13" s="154">
        <f t="shared" si="20"/>
        <v>0.12166999999999999</v>
      </c>
      <c r="W13" s="154">
        <f t="shared" si="20"/>
        <v>0.13992049999999998</v>
      </c>
      <c r="X13" s="154">
        <f t="shared" si="20"/>
        <v>0.16090857499999997</v>
      </c>
      <c r="Y13" s="154">
        <f t="shared" si="20"/>
        <v>0.18504486124999994</v>
      </c>
      <c r="Z13" s="154">
        <f t="shared" si="20"/>
        <v>0.21280159043749991</v>
      </c>
      <c r="AA13" s="154">
        <f t="shared" si="20"/>
        <v>0.24472182900312489</v>
      </c>
      <c r="AB13" s="154">
        <f t="shared" si="20"/>
        <v>0.28143010335359359</v>
      </c>
      <c r="AC13" s="154">
        <f t="shared" si="20"/>
        <v>0.32364461885663259</v>
      </c>
      <c r="AD13" s="138">
        <f t="shared" si="17"/>
        <v>-0.11813842442411771</v>
      </c>
      <c r="AE13" s="31">
        <f t="shared" si="15"/>
        <v>0.05</v>
      </c>
      <c r="AF13" s="146">
        <f t="shared" si="1"/>
        <v>1.9989814694086134</v>
      </c>
    </row>
    <row r="14" spans="2:32" x14ac:dyDescent="0.2">
      <c r="B14" s="20" t="s">
        <v>372</v>
      </c>
      <c r="C14" s="141"/>
      <c r="D14" s="141"/>
      <c r="E14" s="147"/>
      <c r="F14" s="147"/>
      <c r="G14" s="147">
        <v>45</v>
      </c>
      <c r="H14" s="147">
        <v>50</v>
      </c>
      <c r="I14" s="147">
        <v>66</v>
      </c>
      <c r="J14" s="147">
        <v>119</v>
      </c>
      <c r="K14" s="147">
        <v>154</v>
      </c>
      <c r="L14" s="147">
        <v>138</v>
      </c>
      <c r="M14" s="147">
        <v>140</v>
      </c>
      <c r="N14" s="147">
        <v>154</v>
      </c>
      <c r="O14" s="147">
        <v>186</v>
      </c>
      <c r="P14" s="147">
        <v>220</v>
      </c>
      <c r="Q14" s="213">
        <f>P14</f>
        <v>220</v>
      </c>
      <c r="R14" s="118">
        <f>((Q14/G14)^(1/($H$2-$H$1) ))-1</f>
        <v>0.19283097296056662</v>
      </c>
      <c r="S14" s="31">
        <f t="shared" si="5"/>
        <v>0.15</v>
      </c>
      <c r="T14" s="154">
        <f t="shared" si="2"/>
        <v>252.99999999999997</v>
      </c>
      <c r="U14" s="154">
        <f t="shared" ref="U14" si="21">T14*(1+$S14)</f>
        <v>290.94999999999993</v>
      </c>
      <c r="V14" s="154">
        <f t="shared" ref="V14" si="22">U14*(1+$S14)</f>
        <v>334.59249999999992</v>
      </c>
      <c r="W14" s="154">
        <f t="shared" ref="W14" si="23">V14*(1+$S14)</f>
        <v>384.78137499999985</v>
      </c>
      <c r="X14" s="154">
        <f t="shared" ref="X14" si="24">W14*(1+$S14)</f>
        <v>442.4985812499998</v>
      </c>
      <c r="Y14" s="154">
        <f t="shared" ref="Y14" si="25">X14*(1+$S14)</f>
        <v>508.87336843749972</v>
      </c>
      <c r="Z14" s="154">
        <f t="shared" ref="Z14" si="26">Y14*(1+$S14)</f>
        <v>585.20437370312459</v>
      </c>
      <c r="AA14" s="154">
        <f t="shared" ref="AA14" si="27">Z14*(1+$S14)</f>
        <v>672.98502975859321</v>
      </c>
      <c r="AB14" s="154">
        <f t="shared" ref="AB14" si="28">AA14*(1+$S14)</f>
        <v>773.93278422238211</v>
      </c>
      <c r="AC14" s="154">
        <f t="shared" ref="AC14" si="29">AB14*(1+$S14)</f>
        <v>890.02270185573934</v>
      </c>
      <c r="AD14" s="138">
        <f t="shared" ref="AD14" si="30">((AC14/G14)^(1/($AC$3-$H$1) ))-1</f>
        <v>0.16093907382905326</v>
      </c>
      <c r="AE14" s="31">
        <f t="shared" si="15"/>
        <v>0.05</v>
      </c>
      <c r="AF14" s="146">
        <f t="shared" ref="AF14" si="31">(AC14*(1+AE14))/($C$1-AE14)</f>
        <v>5497.1990408736847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99</v>
      </c>
      <c r="H15" s="147">
        <v>95</v>
      </c>
      <c r="I15" s="147">
        <v>122</v>
      </c>
      <c r="J15" s="147">
        <v>185</v>
      </c>
      <c r="K15" s="147">
        <v>233</v>
      </c>
      <c r="L15" s="147">
        <v>212</v>
      </c>
      <c r="M15" s="147">
        <v>221</v>
      </c>
      <c r="N15" s="147">
        <v>252</v>
      </c>
      <c r="O15" s="147">
        <v>338</v>
      </c>
      <c r="P15" s="147">
        <v>368</v>
      </c>
      <c r="Q15" s="213">
        <f>P15</f>
        <v>368</v>
      </c>
      <c r="R15" s="118">
        <f>((Q15/G15)^(1/($H$2-$H$1) ))-1</f>
        <v>0.15706287233364669</v>
      </c>
      <c r="S15" s="31">
        <f t="shared" si="5"/>
        <v>0.15</v>
      </c>
      <c r="T15" s="154">
        <f t="shared" si="2"/>
        <v>423.2</v>
      </c>
      <c r="U15" s="154">
        <f t="shared" ref="U15:AC15" si="32">T15*(1+$S15)</f>
        <v>486.67999999999995</v>
      </c>
      <c r="V15" s="154">
        <f t="shared" si="32"/>
        <v>559.6819999999999</v>
      </c>
      <c r="W15" s="154">
        <f t="shared" si="32"/>
        <v>643.63429999999983</v>
      </c>
      <c r="X15" s="154">
        <f t="shared" si="32"/>
        <v>740.17944499999976</v>
      </c>
      <c r="Y15" s="154">
        <f t="shared" si="32"/>
        <v>851.2063617499997</v>
      </c>
      <c r="Z15" s="154">
        <f t="shared" si="32"/>
        <v>978.88731601249958</v>
      </c>
      <c r="AA15" s="154">
        <f t="shared" si="32"/>
        <v>1125.7204134143744</v>
      </c>
      <c r="AB15" s="154">
        <f t="shared" si="32"/>
        <v>1294.5784754265305</v>
      </c>
      <c r="AC15" s="154">
        <f t="shared" si="32"/>
        <v>1488.7652467405101</v>
      </c>
      <c r="AD15" s="138">
        <f t="shared" si="17"/>
        <v>0.14514254830027573</v>
      </c>
      <c r="AE15" s="31">
        <f t="shared" si="15"/>
        <v>0.05</v>
      </c>
      <c r="AF15" s="146">
        <f t="shared" si="1"/>
        <v>9195.3147592796231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50</v>
      </c>
      <c r="H16" s="147">
        <v>13</v>
      </c>
      <c r="I16" s="147">
        <v>52</v>
      </c>
      <c r="J16" s="147">
        <v>109</v>
      </c>
      <c r="K16" s="147">
        <v>148</v>
      </c>
      <c r="L16" s="147">
        <v>156</v>
      </c>
      <c r="M16" s="147">
        <v>101</v>
      </c>
      <c r="N16" s="147">
        <v>17</v>
      </c>
      <c r="O16" s="147">
        <v>-28</v>
      </c>
      <c r="P16" s="147">
        <v>23</v>
      </c>
      <c r="Q16" s="213">
        <f>P16</f>
        <v>23</v>
      </c>
      <c r="R16" s="118">
        <f>((Q16/G16)^(1/($H$2-$H$1) ))-1</f>
        <v>-8.2663555079553586E-2</v>
      </c>
      <c r="S16" s="31">
        <f t="shared" si="5"/>
        <v>0.15</v>
      </c>
      <c r="T16" s="154">
        <f t="shared" si="2"/>
        <v>26.45</v>
      </c>
      <c r="U16" s="154">
        <f t="shared" ref="U16:AC16" si="33">T16*(1+$S16)</f>
        <v>30.417499999999997</v>
      </c>
      <c r="V16" s="154">
        <f t="shared" si="33"/>
        <v>34.980124999999994</v>
      </c>
      <c r="W16" s="154">
        <f t="shared" si="33"/>
        <v>40.227143749999989</v>
      </c>
      <c r="X16" s="154">
        <f t="shared" si="33"/>
        <v>46.261215312499985</v>
      </c>
      <c r="Y16" s="154">
        <f t="shared" si="33"/>
        <v>53.200397609374981</v>
      </c>
      <c r="Z16" s="154">
        <f t="shared" si="33"/>
        <v>61.180457250781224</v>
      </c>
      <c r="AA16" s="154">
        <f t="shared" si="33"/>
        <v>70.357525838398402</v>
      </c>
      <c r="AB16" s="154">
        <f t="shared" si="33"/>
        <v>80.911154714158158</v>
      </c>
      <c r="AC16" s="154">
        <f t="shared" si="33"/>
        <v>93.047827921281879</v>
      </c>
      <c r="AD16" s="138">
        <f t="shared" si="17"/>
        <v>3.1541754091298113E-2</v>
      </c>
      <c r="AE16" s="31">
        <f t="shared" si="15"/>
        <v>0.05</v>
      </c>
      <c r="AF16" s="146">
        <f t="shared" si="1"/>
        <v>574.70717245497644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186</v>
      </c>
      <c r="H18" s="147">
        <v>240</v>
      </c>
      <c r="I18" s="147">
        <v>250</v>
      </c>
      <c r="J18" s="147">
        <v>355</v>
      </c>
      <c r="K18" s="147">
        <v>338</v>
      </c>
      <c r="L18" s="147">
        <v>327</v>
      </c>
      <c r="M18" s="147">
        <v>345</v>
      </c>
      <c r="N18" s="147">
        <v>491</v>
      </c>
      <c r="O18" s="147">
        <v>521</v>
      </c>
      <c r="P18" s="147">
        <v>620</v>
      </c>
      <c r="Q18" s="213">
        <f>P18</f>
        <v>620</v>
      </c>
      <c r="R18" s="118">
        <f>((Q18/G18)^(1/($H$2-$H$1) ))-1</f>
        <v>0.14313530631653704</v>
      </c>
      <c r="S18" s="31">
        <f t="shared" si="5"/>
        <v>0.15</v>
      </c>
      <c r="T18" s="154">
        <f t="shared" si="2"/>
        <v>713</v>
      </c>
      <c r="U18" s="154">
        <f t="shared" ref="U18:U34" si="34">T18*(1+$S18)</f>
        <v>819.94999999999993</v>
      </c>
      <c r="V18" s="154">
        <f t="shared" ref="V18:V34" si="35">U18*(1+$S18)</f>
        <v>942.94249999999988</v>
      </c>
      <c r="W18" s="154">
        <f t="shared" ref="W18:W34" si="36">V18*(1+$S18)</f>
        <v>1084.3838749999998</v>
      </c>
      <c r="X18" s="154">
        <f t="shared" ref="X18:X36" si="37">W18*(1+$S18)</f>
        <v>1247.0414562499996</v>
      </c>
      <c r="Y18" s="154">
        <f t="shared" ref="Y18:Y36" si="38">X18*(1+$S18)</f>
        <v>1434.0976746874994</v>
      </c>
      <c r="Z18" s="154">
        <f t="shared" ref="Z18:Z36" si="39">Y18*(1+$S18)</f>
        <v>1649.2123258906242</v>
      </c>
      <c r="AA18" s="154">
        <f t="shared" ref="AA18:AA36" si="40">Z18*(1+$S18)</f>
        <v>1896.5941747742177</v>
      </c>
      <c r="AB18" s="154">
        <f t="shared" ref="AB18:AB36" si="41">AA18*(1+$S18)</f>
        <v>2181.0833009903499</v>
      </c>
      <c r="AC18" s="154">
        <f t="shared" ref="AC18:AC36" si="42">AB18*(1+$S18)</f>
        <v>2508.2457961389023</v>
      </c>
      <c r="AD18" s="138">
        <f t="shared" si="17"/>
        <v>0.1389190506600213</v>
      </c>
      <c r="AE18" s="31">
        <f t="shared" si="15"/>
        <v>0.05</v>
      </c>
      <c r="AF18" s="146">
        <f t="shared" si="1"/>
        <v>15492.106387916752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35</v>
      </c>
      <c r="H20" s="147">
        <v>77</v>
      </c>
      <c r="I20" s="147">
        <v>4</v>
      </c>
      <c r="J20" s="147">
        <v>-25</v>
      </c>
      <c r="K20" s="147">
        <v>5</v>
      </c>
      <c r="L20" s="147">
        <v>25.4</v>
      </c>
      <c r="M20" s="147">
        <v>108</v>
      </c>
      <c r="N20" s="147">
        <v>159</v>
      </c>
      <c r="O20" s="147">
        <v>78</v>
      </c>
      <c r="P20" s="147">
        <v>87</v>
      </c>
      <c r="Q20" s="213">
        <f>P20</f>
        <v>87</v>
      </c>
      <c r="R20" s="118">
        <f>((Q20/G20)^(1/($H$2-$H$1) ))-1</f>
        <v>0.10646842002896251</v>
      </c>
      <c r="S20" s="31">
        <f t="shared" si="5"/>
        <v>0.15</v>
      </c>
      <c r="T20" s="154">
        <f t="shared" si="2"/>
        <v>100.05</v>
      </c>
      <c r="U20" s="154">
        <f t="shared" ref="U20:U22" si="43">T20*(1+$S20)</f>
        <v>115.05749999999999</v>
      </c>
      <c r="V20" s="154">
        <f t="shared" ref="V20:V22" si="44">U20*(1+$S20)</f>
        <v>132.31612499999997</v>
      </c>
      <c r="W20" s="154">
        <f t="shared" ref="W20:W22" si="45">V20*(1+$S20)</f>
        <v>152.16354374999995</v>
      </c>
      <c r="X20" s="154">
        <f t="shared" ref="X20:X22" si="46">W20*(1+$S20)</f>
        <v>174.98807531249992</v>
      </c>
      <c r="Y20" s="154">
        <f t="shared" ref="Y20:Y22" si="47">X20*(1+$S20)</f>
        <v>201.2362866093749</v>
      </c>
      <c r="Z20" s="154">
        <f t="shared" ref="Z20:Z22" si="48">Y20*(1+$S20)</f>
        <v>231.42172960078111</v>
      </c>
      <c r="AA20" s="154">
        <f t="shared" ref="AA20:AA22" si="49">Z20*(1+$S20)</f>
        <v>266.13498904089823</v>
      </c>
      <c r="AB20" s="154">
        <f t="shared" ref="AB20:AB22" si="50">AA20*(1+$S20)</f>
        <v>306.05523739703295</v>
      </c>
      <c r="AC20" s="154">
        <f t="shared" ref="AC20:AC22" si="51">AB20*(1+$S20)</f>
        <v>351.96352300658788</v>
      </c>
      <c r="AD20" s="138">
        <f t="shared" ref="AD20:AD22" si="52">((AC20/G20)^(1/($AC$3-$H$1) ))-1</f>
        <v>0.1223323485255583</v>
      </c>
      <c r="AE20" s="31">
        <f t="shared" si="15"/>
        <v>0.05</v>
      </c>
      <c r="AF20" s="146">
        <f t="shared" si="1"/>
        <v>2173.8923479818668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-29</v>
      </c>
      <c r="H21" s="147">
        <v>-72</v>
      </c>
      <c r="I21" s="147">
        <v>-53</v>
      </c>
      <c r="J21" s="147">
        <v>-100</v>
      </c>
      <c r="K21" s="147">
        <v>-4</v>
      </c>
      <c r="L21" s="147">
        <v>-12</v>
      </c>
      <c r="M21" s="147">
        <v>-47</v>
      </c>
      <c r="N21" s="147">
        <v>-168</v>
      </c>
      <c r="O21" s="147">
        <v>-33</v>
      </c>
      <c r="P21" s="147">
        <v>-65</v>
      </c>
      <c r="Q21" s="213">
        <f>P21</f>
        <v>-65</v>
      </c>
      <c r="R21" s="118">
        <f>((Q21/G21)^(1/($H$2-$H$1) ))-1</f>
        <v>9.3820732875833146E-2</v>
      </c>
      <c r="S21" s="31">
        <f t="shared" si="5"/>
        <v>0.15</v>
      </c>
      <c r="T21" s="154">
        <f t="shared" si="2"/>
        <v>-74.75</v>
      </c>
      <c r="U21" s="154">
        <f t="shared" si="43"/>
        <v>-85.962499999999991</v>
      </c>
      <c r="V21" s="154">
        <f t="shared" si="44"/>
        <v>-98.856874999999988</v>
      </c>
      <c r="W21" s="154">
        <f t="shared" si="45"/>
        <v>-113.68540624999997</v>
      </c>
      <c r="X21" s="154">
        <f t="shared" si="46"/>
        <v>-130.73821718749997</v>
      </c>
      <c r="Y21" s="154">
        <f t="shared" si="47"/>
        <v>-150.34894976562495</v>
      </c>
      <c r="Z21" s="154">
        <f t="shared" si="48"/>
        <v>-172.90129223046867</v>
      </c>
      <c r="AA21" s="154">
        <f t="shared" si="49"/>
        <v>-198.83648606503897</v>
      </c>
      <c r="AB21" s="154">
        <f t="shared" si="50"/>
        <v>-228.6619589747948</v>
      </c>
      <c r="AC21" s="154">
        <f t="shared" si="51"/>
        <v>-262.961252821014</v>
      </c>
      <c r="AD21" s="138">
        <f t="shared" si="52"/>
        <v>0.1165410331170571</v>
      </c>
      <c r="AE21" s="31">
        <f t="shared" si="15"/>
        <v>0.05</v>
      </c>
      <c r="AF21" s="146">
        <f t="shared" si="1"/>
        <v>-1624.1724438944987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-6</v>
      </c>
      <c r="H22" s="147">
        <v>-5</v>
      </c>
      <c r="I22" s="147">
        <v>51</v>
      </c>
      <c r="J22" s="147">
        <v>124</v>
      </c>
      <c r="K22" s="147">
        <v>3</v>
      </c>
      <c r="L22" s="147">
        <v>-14</v>
      </c>
      <c r="M22" s="147">
        <v>-64</v>
      </c>
      <c r="N22" s="147">
        <v>8</v>
      </c>
      <c r="O22" s="147">
        <v>-42</v>
      </c>
      <c r="P22" s="147">
        <v>-26</v>
      </c>
      <c r="Q22" s="213">
        <f>P22</f>
        <v>-26</v>
      </c>
      <c r="R22" s="118">
        <f>((Q22/G22)^(1/($H$2-$H$1) ))-1</f>
        <v>0.17694999350894247</v>
      </c>
      <c r="S22" s="31">
        <f t="shared" si="5"/>
        <v>0.15</v>
      </c>
      <c r="T22" s="154">
        <f t="shared" si="2"/>
        <v>-29.9</v>
      </c>
      <c r="U22" s="154">
        <f t="shared" si="43"/>
        <v>-34.384999999999998</v>
      </c>
      <c r="V22" s="154">
        <f t="shared" si="44"/>
        <v>-39.542749999999998</v>
      </c>
      <c r="W22" s="154">
        <f t="shared" si="45"/>
        <v>-45.474162499999991</v>
      </c>
      <c r="X22" s="154">
        <f t="shared" si="46"/>
        <v>-52.295286874999988</v>
      </c>
      <c r="Y22" s="154">
        <f t="shared" si="47"/>
        <v>-60.139579906249985</v>
      </c>
      <c r="Z22" s="154">
        <f t="shared" si="48"/>
        <v>-69.160516892187474</v>
      </c>
      <c r="AA22" s="154">
        <f t="shared" si="49"/>
        <v>-79.534594426015587</v>
      </c>
      <c r="AB22" s="154">
        <f t="shared" si="50"/>
        <v>-91.464783589917914</v>
      </c>
      <c r="AC22" s="154">
        <f t="shared" si="51"/>
        <v>-105.1845011284056</v>
      </c>
      <c r="AD22" s="138">
        <f t="shared" si="52"/>
        <v>0.15395806041082927</v>
      </c>
      <c r="AE22" s="31">
        <f t="shared" si="15"/>
        <v>0.05</v>
      </c>
      <c r="AF22" s="146">
        <f t="shared" si="1"/>
        <v>-649.66897755779939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3</v>
      </c>
      <c r="H23" s="147">
        <v>3</v>
      </c>
      <c r="I23" s="147">
        <v>5</v>
      </c>
      <c r="J23" s="147">
        <v>4</v>
      </c>
      <c r="K23" s="147">
        <v>8</v>
      </c>
      <c r="L23" s="147">
        <v>8</v>
      </c>
      <c r="M23" s="147">
        <v>5</v>
      </c>
      <c r="N23" s="147">
        <v>3</v>
      </c>
      <c r="O23" s="147">
        <v>5</v>
      </c>
      <c r="P23" s="147">
        <v>2.2999999999999998</v>
      </c>
      <c r="Q23" s="213">
        <f>P23</f>
        <v>2.2999999999999998</v>
      </c>
      <c r="R23" s="118">
        <f>((Q23/G23)^(1/($H$2-$H$1) ))-1</f>
        <v>-2.909103987625028E-2</v>
      </c>
      <c r="S23" s="31">
        <f t="shared" si="5"/>
        <v>0.15</v>
      </c>
      <c r="T23" s="154">
        <f t="shared" si="2"/>
        <v>2.6449999999999996</v>
      </c>
      <c r="U23" s="154">
        <f t="shared" ref="U23" si="53">T23*(1+$S23)</f>
        <v>3.0417499999999991</v>
      </c>
      <c r="V23" s="154">
        <f t="shared" ref="V23" si="54">U23*(1+$S23)</f>
        <v>3.4980124999999989</v>
      </c>
      <c r="W23" s="154">
        <f t="shared" ref="W23" si="55">V23*(1+$S23)</f>
        <v>4.0227143749999987</v>
      </c>
      <c r="X23" s="154">
        <f t="shared" ref="X23" si="56">W23*(1+$S23)</f>
        <v>4.6261215312499981</v>
      </c>
      <c r="Y23" s="154">
        <f t="shared" ref="Y23" si="57">X23*(1+$S23)</f>
        <v>5.3200397609374974</v>
      </c>
      <c r="Z23" s="154">
        <f t="shared" ref="Z23" si="58">Y23*(1+$S23)</f>
        <v>6.1180457250781215</v>
      </c>
      <c r="AA23" s="154">
        <f t="shared" ref="AA23" si="59">Z23*(1+$S23)</f>
        <v>7.0357525838398391</v>
      </c>
      <c r="AB23" s="154">
        <f t="shared" ref="AB23" si="60">AA23*(1+$S23)</f>
        <v>8.0911154714158151</v>
      </c>
      <c r="AC23" s="154">
        <f t="shared" ref="AC23" si="61">AB23*(1+$S23)</f>
        <v>9.3047827921281865</v>
      </c>
      <c r="AD23" s="138">
        <f t="shared" ref="AD23" si="62">((AC23/G23)^(1/($AC$3-$H$1) ))-1</f>
        <v>5.8228001837755894E-2</v>
      </c>
      <c r="AE23" s="31">
        <f t="shared" si="15"/>
        <v>0.05</v>
      </c>
      <c r="AF23" s="146">
        <f t="shared" si="1"/>
        <v>57.470717245497632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246</v>
      </c>
      <c r="H25" s="147">
        <v>279</v>
      </c>
      <c r="I25" s="147">
        <v>345</v>
      </c>
      <c r="J25" s="147">
        <v>456</v>
      </c>
      <c r="K25" s="147">
        <v>535</v>
      </c>
      <c r="L25" s="147">
        <v>363</v>
      </c>
      <c r="M25" s="147">
        <v>475</v>
      </c>
      <c r="N25" s="147">
        <v>952</v>
      </c>
      <c r="O25" s="147">
        <v>1332</v>
      </c>
      <c r="P25" s="147">
        <v>1635</v>
      </c>
      <c r="Q25" s="213">
        <f>1840+6</f>
        <v>1846</v>
      </c>
      <c r="R25" s="118">
        <f>((Q25/G25)^(1/($H$2-$H$1) ))-1</f>
        <v>0.25099385562676724</v>
      </c>
      <c r="S25" s="31">
        <f t="shared" si="5"/>
        <v>0.15</v>
      </c>
      <c r="T25" s="154">
        <f t="shared" si="2"/>
        <v>2122.8999999999996</v>
      </c>
      <c r="U25" s="154">
        <f t="shared" si="34"/>
        <v>2441.3349999999996</v>
      </c>
      <c r="V25" s="154">
        <f t="shared" si="35"/>
        <v>2807.5352499999995</v>
      </c>
      <c r="W25" s="154">
        <f t="shared" si="36"/>
        <v>3228.6655374999991</v>
      </c>
      <c r="X25" s="154">
        <f t="shared" si="37"/>
        <v>3712.9653681249988</v>
      </c>
      <c r="Y25" s="154">
        <f t="shared" si="38"/>
        <v>4269.9101733437483</v>
      </c>
      <c r="Z25" s="154">
        <f t="shared" si="39"/>
        <v>4910.3966993453105</v>
      </c>
      <c r="AA25" s="154">
        <f t="shared" si="40"/>
        <v>5646.9562042471071</v>
      </c>
      <c r="AB25" s="154">
        <f t="shared" si="41"/>
        <v>6493.9996348841723</v>
      </c>
      <c r="AC25" s="154">
        <f t="shared" si="42"/>
        <v>7468.0995801167974</v>
      </c>
      <c r="AD25" s="138">
        <f t="shared" si="17"/>
        <v>0.18607936333357289</v>
      </c>
      <c r="AE25" s="31">
        <f t="shared" si="15"/>
        <v>0.05</v>
      </c>
      <c r="AF25" s="146">
        <f t="shared" si="1"/>
        <v>46126.497406603754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0.11827956989247312</v>
      </c>
      <c r="I26" s="148">
        <f t="shared" ref="I26" si="63">(I25-H25)/I25</f>
        <v>0.19130434782608696</v>
      </c>
      <c r="J26" s="148">
        <f t="shared" ref="J26" si="64">(J25-I25)/J25</f>
        <v>0.24342105263157895</v>
      </c>
      <c r="K26" s="148">
        <f t="shared" ref="K26" si="65">(K25-J25)/K25</f>
        <v>0.14766355140186915</v>
      </c>
      <c r="L26" s="148">
        <f t="shared" ref="L26" si="66">(L25-K25)/L25</f>
        <v>-0.47382920110192839</v>
      </c>
      <c r="M26" s="148">
        <f t="shared" ref="M26" si="67">(M25-L25)/M25</f>
        <v>0.23578947368421052</v>
      </c>
      <c r="N26" s="148">
        <f t="shared" ref="N26" si="68">(N25-M25)/N25</f>
        <v>0.50105042016806722</v>
      </c>
      <c r="O26" s="148">
        <f t="shared" ref="O26" si="69">(O25-N25)/O25</f>
        <v>0.28528528528528529</v>
      </c>
      <c r="P26" s="148">
        <f t="shared" ref="P26:Q26" si="70">(P25-O25)/P25</f>
        <v>0.1853211009174312</v>
      </c>
      <c r="Q26" s="215">
        <f t="shared" si="70"/>
        <v>0.1143011917659805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197</v>
      </c>
      <c r="H27" s="147">
        <v>218</v>
      </c>
      <c r="I27" s="147">
        <v>277</v>
      </c>
      <c r="J27" s="147">
        <v>399</v>
      </c>
      <c r="K27" s="147">
        <v>450</v>
      </c>
      <c r="L27" s="147">
        <v>292</v>
      </c>
      <c r="M27" s="147">
        <v>417</v>
      </c>
      <c r="N27" s="147">
        <v>800</v>
      </c>
      <c r="O27" s="147">
        <v>1124</v>
      </c>
      <c r="P27" s="147">
        <v>1387</v>
      </c>
      <c r="Q27" s="213">
        <v>1606</v>
      </c>
      <c r="R27" s="118">
        <f>((Q27/G27)^(1/($H$2-$H$1) ))-1</f>
        <v>0.26256357917377016</v>
      </c>
      <c r="S27" s="31">
        <f t="shared" si="5"/>
        <v>0.15</v>
      </c>
      <c r="T27" s="154">
        <f t="shared" si="2"/>
        <v>1846.8999999999999</v>
      </c>
      <c r="U27" s="154">
        <f t="shared" si="34"/>
        <v>2123.9349999999995</v>
      </c>
      <c r="V27" s="154">
        <f t="shared" si="35"/>
        <v>2442.5252499999992</v>
      </c>
      <c r="W27" s="154">
        <f t="shared" si="36"/>
        <v>2808.904037499999</v>
      </c>
      <c r="X27" s="154">
        <f t="shared" si="37"/>
        <v>3230.2396431249986</v>
      </c>
      <c r="Y27" s="154">
        <f t="shared" si="38"/>
        <v>3714.775589593748</v>
      </c>
      <c r="Z27" s="154">
        <f t="shared" si="39"/>
        <v>4271.9919280328095</v>
      </c>
      <c r="AA27" s="154">
        <f t="shared" si="40"/>
        <v>4912.7907172377309</v>
      </c>
      <c r="AB27" s="154">
        <f t="shared" si="41"/>
        <v>5649.7093248233905</v>
      </c>
      <c r="AC27" s="154">
        <f t="shared" si="42"/>
        <v>6497.1657235468983</v>
      </c>
      <c r="AD27" s="138">
        <f t="shared" si="17"/>
        <v>0.19100308362548879</v>
      </c>
      <c r="AE27" s="31">
        <f t="shared" si="15"/>
        <v>0.05</v>
      </c>
      <c r="AF27" s="146">
        <f t="shared" si="1"/>
        <v>40129.552998377905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9.6330275229357804E-2</v>
      </c>
      <c r="I28" s="148">
        <f t="shared" si="71"/>
        <v>0.21299638989169675</v>
      </c>
      <c r="J28" s="148">
        <f t="shared" si="71"/>
        <v>0.30576441102756891</v>
      </c>
      <c r="K28" s="148">
        <f t="shared" si="71"/>
        <v>0.11333333333333333</v>
      </c>
      <c r="L28" s="148">
        <f t="shared" si="71"/>
        <v>-0.54109589041095896</v>
      </c>
      <c r="M28" s="148">
        <f t="shared" si="71"/>
        <v>0.29976019184652281</v>
      </c>
      <c r="N28" s="148">
        <f t="shared" ref="N28" si="72">(N27-M27)/N27</f>
        <v>0.47875000000000001</v>
      </c>
      <c r="O28" s="148">
        <f t="shared" ref="O28" si="73">(O27-N27)/O27</f>
        <v>0.28825622775800713</v>
      </c>
      <c r="P28" s="148">
        <f t="shared" ref="P28:Q28" si="74">(P27-O27)/P27</f>
        <v>0.18961788031723142</v>
      </c>
      <c r="Q28" s="215">
        <f t="shared" si="74"/>
        <v>0.13636363636363635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323</v>
      </c>
      <c r="C29" s="149"/>
      <c r="D29" s="149"/>
      <c r="E29" s="150"/>
      <c r="F29" s="147"/>
      <c r="G29" s="147">
        <v>20</v>
      </c>
      <c r="H29" s="147">
        <v>15</v>
      </c>
      <c r="I29" s="147">
        <v>14</v>
      </c>
      <c r="J29" s="147">
        <v>24</v>
      </c>
      <c r="K29" s="147">
        <v>42</v>
      </c>
      <c r="L29" s="147">
        <v>15</v>
      </c>
      <c r="M29" s="147">
        <v>26</v>
      </c>
      <c r="N29" s="147">
        <v>33</v>
      </c>
      <c r="O29" s="147">
        <v>48</v>
      </c>
      <c r="P29" s="147">
        <v>45</v>
      </c>
      <c r="Q29" s="213">
        <f>P29</f>
        <v>45</v>
      </c>
      <c r="R29" s="118">
        <f>((Q29/G29)^(1/($H$2-$H$1) ))-1</f>
        <v>9.4287380512269037E-2</v>
      </c>
      <c r="S29" s="31">
        <f t="shared" si="5"/>
        <v>0.15</v>
      </c>
      <c r="T29" s="154">
        <f t="shared" si="2"/>
        <v>51.749999999999993</v>
      </c>
      <c r="U29" s="154">
        <f t="shared" ref="U29" si="75">T29*(1+$S29)</f>
        <v>59.512499999999989</v>
      </c>
      <c r="V29" s="154">
        <f t="shared" ref="V29" si="76">U29*(1+$S29)</f>
        <v>68.439374999999984</v>
      </c>
      <c r="W29" s="154">
        <f t="shared" ref="W29" si="77">V29*(1+$S29)</f>
        <v>78.70528124999997</v>
      </c>
      <c r="X29" s="154">
        <f t="shared" ref="X29" si="78">W29*(1+$S29)</f>
        <v>90.511073437499959</v>
      </c>
      <c r="Y29" s="154">
        <f t="shared" ref="Y29" si="79">X29*(1+$S29)</f>
        <v>104.08773445312495</v>
      </c>
      <c r="Z29" s="154">
        <f t="shared" ref="Z29" si="80">Y29*(1+$S29)</f>
        <v>119.70089462109368</v>
      </c>
      <c r="AA29" s="154">
        <f t="shared" ref="AA29" si="81">Z29*(1+$S29)</f>
        <v>137.65602881425772</v>
      </c>
      <c r="AB29" s="154">
        <f t="shared" ref="AB29" si="82">AA29*(1+$S29)</f>
        <v>158.30443313639637</v>
      </c>
      <c r="AC29" s="154">
        <f t="shared" ref="AC29" si="83">AB29*(1+$S29)</f>
        <v>182.05009810685581</v>
      </c>
      <c r="AD29" s="138">
        <f t="shared" ref="AD29" si="84">((AC29/G29)^(1/($AC$3-$H$1) ))-1</f>
        <v>0.11675536124853836</v>
      </c>
      <c r="AE29" s="31">
        <f t="shared" si="15"/>
        <v>0.05</v>
      </c>
      <c r="AF29" s="146">
        <f t="shared" ref="AF29" si="85">(AC29*(1+AE29))/($C$1-AE29)</f>
        <v>1124.427076542345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-0.33333333333333331</v>
      </c>
      <c r="I30" s="148">
        <f t="shared" si="86"/>
        <v>-7.1428571428571425E-2</v>
      </c>
      <c r="J30" s="148">
        <f t="shared" si="86"/>
        <v>0.41666666666666669</v>
      </c>
      <c r="K30" s="148">
        <f t="shared" si="86"/>
        <v>0.42857142857142855</v>
      </c>
      <c r="L30" s="148">
        <f t="shared" si="86"/>
        <v>-1.8</v>
      </c>
      <c r="M30" s="148">
        <f t="shared" ref="M30" si="87">(M29-L29)/M29</f>
        <v>0.42307692307692307</v>
      </c>
      <c r="N30" s="148">
        <f t="shared" ref="N30" si="88">(N29-M29)/N29</f>
        <v>0.21212121212121213</v>
      </c>
      <c r="O30" s="148">
        <f t="shared" ref="O30" si="89">(O29-N29)/O29</f>
        <v>0.3125</v>
      </c>
      <c r="P30" s="148">
        <f t="shared" ref="P30:Q30" si="90">(P29-O29)/P29</f>
        <v>-6.6666666666666666E-2</v>
      </c>
      <c r="Q30" s="21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3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3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315</v>
      </c>
      <c r="C33" s="141"/>
      <c r="D33" s="141"/>
      <c r="E33" s="147"/>
      <c r="F33" s="147"/>
      <c r="G33" s="147">
        <v>100</v>
      </c>
      <c r="H33" s="147">
        <v>112</v>
      </c>
      <c r="I33" s="147">
        <v>155</v>
      </c>
      <c r="J33" s="147">
        <v>238</v>
      </c>
      <c r="K33" s="147">
        <v>278</v>
      </c>
      <c r="L33" s="147">
        <v>161</v>
      </c>
      <c r="M33" s="147">
        <v>243</v>
      </c>
      <c r="N33" s="147">
        <v>548</v>
      </c>
      <c r="O33" s="147">
        <v>702</v>
      </c>
      <c r="P33" s="147">
        <v>815</v>
      </c>
      <c r="Q33" s="213">
        <f>P33</f>
        <v>815</v>
      </c>
      <c r="R33" s="118">
        <f>((Q33/G33)^(1/($H$2-$H$1) ))-1</f>
        <v>0.26252426656985506</v>
      </c>
      <c r="S33" s="31">
        <f t="shared" si="5"/>
        <v>0.15</v>
      </c>
      <c r="T33" s="154">
        <f t="shared" si="2"/>
        <v>937.24999999999989</v>
      </c>
      <c r="U33" s="154">
        <f t="shared" si="34"/>
        <v>1077.8374999999999</v>
      </c>
      <c r="V33" s="154">
        <f t="shared" si="35"/>
        <v>1239.5131249999997</v>
      </c>
      <c r="W33" s="154">
        <f t="shared" si="36"/>
        <v>1425.4400937499995</v>
      </c>
      <c r="X33" s="154">
        <f t="shared" si="37"/>
        <v>1639.2561078124993</v>
      </c>
      <c r="Y33" s="154">
        <f t="shared" si="38"/>
        <v>1885.144523984374</v>
      </c>
      <c r="Z33" s="154">
        <f t="shared" si="39"/>
        <v>2167.9162025820301</v>
      </c>
      <c r="AA33" s="154">
        <f t="shared" si="40"/>
        <v>2493.1036329693343</v>
      </c>
      <c r="AB33" s="154">
        <f t="shared" si="41"/>
        <v>2867.0691779147342</v>
      </c>
      <c r="AC33" s="154">
        <f t="shared" si="42"/>
        <v>3297.1295546019442</v>
      </c>
      <c r="AD33" s="138">
        <f t="shared" si="17"/>
        <v>0.19098639549557328</v>
      </c>
      <c r="AE33" s="31">
        <f t="shared" si="15"/>
        <v>0.05</v>
      </c>
      <c r="AF33" s="146">
        <f t="shared" si="1"/>
        <v>20364.623719600244</v>
      </c>
    </row>
    <row r="34" spans="2:32" x14ac:dyDescent="0.2">
      <c r="B34" s="20" t="s">
        <v>455</v>
      </c>
      <c r="C34" s="141"/>
      <c r="D34" s="141"/>
      <c r="E34" s="147"/>
      <c r="F34" s="147"/>
      <c r="G34" s="147">
        <v>52</v>
      </c>
      <c r="H34" s="147">
        <v>53</v>
      </c>
      <c r="I34" s="147">
        <v>60</v>
      </c>
      <c r="J34" s="147">
        <v>75</v>
      </c>
      <c r="K34" s="147">
        <v>78</v>
      </c>
      <c r="L34" s="147">
        <v>60</v>
      </c>
      <c r="M34" s="147">
        <v>75</v>
      </c>
      <c r="N34" s="147">
        <v>94</v>
      </c>
      <c r="O34" s="147">
        <v>210</v>
      </c>
      <c r="P34" s="147">
        <v>307</v>
      </c>
      <c r="Q34" s="213">
        <f>P34</f>
        <v>307</v>
      </c>
      <c r="R34" s="118">
        <f>((Q34/G34)^(1/($H$2-$H$1) ))-1</f>
        <v>0.21809642955000408</v>
      </c>
      <c r="S34" s="31">
        <f t="shared" si="5"/>
        <v>0.15</v>
      </c>
      <c r="T34" s="154">
        <f t="shared" si="2"/>
        <v>353.04999999999995</v>
      </c>
      <c r="U34" s="154">
        <f t="shared" si="34"/>
        <v>406.00749999999994</v>
      </c>
      <c r="V34" s="154">
        <f t="shared" si="35"/>
        <v>466.90862499999992</v>
      </c>
      <c r="W34" s="154">
        <f t="shared" si="36"/>
        <v>536.94491874999983</v>
      </c>
      <c r="X34" s="154">
        <f t="shared" si="37"/>
        <v>617.48665656249977</v>
      </c>
      <c r="Y34" s="154">
        <f t="shared" si="38"/>
        <v>710.10965504687465</v>
      </c>
      <c r="Z34" s="154">
        <f t="shared" si="39"/>
        <v>816.62610330390578</v>
      </c>
      <c r="AA34" s="154">
        <f t="shared" si="40"/>
        <v>939.12001879949162</v>
      </c>
      <c r="AB34" s="154">
        <f t="shared" si="41"/>
        <v>1079.9880216194153</v>
      </c>
      <c r="AC34" s="154">
        <f t="shared" si="42"/>
        <v>1241.9862248623276</v>
      </c>
      <c r="AD34" s="138">
        <f t="shared" si="17"/>
        <v>0.17194079379364857</v>
      </c>
      <c r="AE34" s="31">
        <f t="shared" si="15"/>
        <v>0.05</v>
      </c>
      <c r="AF34" s="146">
        <f t="shared" si="1"/>
        <v>7671.0913888555542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50</v>
      </c>
      <c r="H36" s="147">
        <v>62</v>
      </c>
      <c r="I36" s="147">
        <v>68</v>
      </c>
      <c r="J36" s="147">
        <v>56</v>
      </c>
      <c r="K36" s="147">
        <v>82</v>
      </c>
      <c r="L36" s="147">
        <v>71</v>
      </c>
      <c r="M36" s="147">
        <v>59</v>
      </c>
      <c r="N36" s="147">
        <v>149</v>
      </c>
      <c r="O36" s="147">
        <v>207</v>
      </c>
      <c r="P36" s="147">
        <v>245</v>
      </c>
      <c r="Q36" s="213">
        <f>P36</f>
        <v>245</v>
      </c>
      <c r="R36" s="118">
        <f>((Q36/G36)^(1/($H$2-$H$1) ))-1</f>
        <v>0.1931318890753444</v>
      </c>
      <c r="S36" s="31">
        <f t="shared" si="5"/>
        <v>0.15</v>
      </c>
      <c r="T36" s="154">
        <f t="shared" si="2"/>
        <v>281.75</v>
      </c>
      <c r="U36" s="154">
        <f t="shared" ref="U36" si="94">T36*(1+$S36)</f>
        <v>324.01249999999999</v>
      </c>
      <c r="V36" s="154">
        <f t="shared" ref="V36" si="95">U36*(1+$S36)</f>
        <v>372.61437499999994</v>
      </c>
      <c r="W36" s="154">
        <f t="shared" ref="W36" si="96">V36*(1+$S36)</f>
        <v>428.50653124999991</v>
      </c>
      <c r="X36" s="154">
        <f t="shared" si="37"/>
        <v>492.78251093749986</v>
      </c>
      <c r="Y36" s="154">
        <f t="shared" si="38"/>
        <v>566.69988757812484</v>
      </c>
      <c r="Z36" s="154">
        <f t="shared" si="39"/>
        <v>651.70487071484354</v>
      </c>
      <c r="AA36" s="154">
        <f t="shared" si="40"/>
        <v>749.46060132207003</v>
      </c>
      <c r="AB36" s="154">
        <f t="shared" si="41"/>
        <v>861.87969152038045</v>
      </c>
      <c r="AC36" s="154">
        <f t="shared" si="42"/>
        <v>991.16164524843748</v>
      </c>
      <c r="AD36" s="138">
        <f t="shared" si="17"/>
        <v>0.1610708565149257</v>
      </c>
      <c r="AE36" s="31">
        <f t="shared" si="15"/>
        <v>0.05</v>
      </c>
      <c r="AF36" s="146">
        <f t="shared" si="1"/>
        <v>6121.8807500638795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0.19354838709677419</v>
      </c>
      <c r="I37" s="148">
        <f t="shared" ref="I37" si="99">(I36-H36)/I36</f>
        <v>8.8235294117647065E-2</v>
      </c>
      <c r="J37" s="148">
        <f t="shared" ref="J37" si="100">(J36-I36)/J36</f>
        <v>-0.21428571428571427</v>
      </c>
      <c r="K37" s="148">
        <f t="shared" ref="K37" si="101">(K36-J36)/K36</f>
        <v>0.31707317073170732</v>
      </c>
      <c r="L37" s="148">
        <f t="shared" ref="L37" si="102">(L36-K36)/L36</f>
        <v>-0.15492957746478872</v>
      </c>
      <c r="M37" s="148">
        <f t="shared" ref="M37" si="103">(M36-L36)/M36</f>
        <v>-0.20338983050847459</v>
      </c>
      <c r="N37" s="148">
        <f t="shared" ref="N37" si="104">(N36-M36)/N36</f>
        <v>0.60402684563758391</v>
      </c>
      <c r="O37" s="148">
        <f t="shared" ref="O37" si="105">(O36-N36)/O36</f>
        <v>0.28019323671497587</v>
      </c>
      <c r="P37" s="148">
        <f t="shared" ref="P37:Q37" si="106">(P36-O36)/P36</f>
        <v>0.15510204081632653</v>
      </c>
      <c r="Q37" s="21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399</v>
      </c>
      <c r="C38" s="149"/>
      <c r="D38" s="149"/>
      <c r="E38" s="150"/>
      <c r="F38" s="150"/>
      <c r="G38" s="147">
        <v>17</v>
      </c>
      <c r="H38" s="147">
        <v>31</v>
      </c>
      <c r="I38" s="147">
        <v>36</v>
      </c>
      <c r="J38" s="147">
        <v>11</v>
      </c>
      <c r="K38" s="147">
        <v>20</v>
      </c>
      <c r="L38" s="147">
        <v>37</v>
      </c>
      <c r="M38" s="147">
        <v>11</v>
      </c>
      <c r="N38" s="147">
        <v>89</v>
      </c>
      <c r="O38" s="147">
        <v>120</v>
      </c>
      <c r="P38" s="147">
        <v>157</v>
      </c>
      <c r="Q38" s="213">
        <f>P38</f>
        <v>157</v>
      </c>
      <c r="R38" s="118">
        <f>((Q38/G38)^(1/($H$2-$H$1) ))-1</f>
        <v>0.28018373014972031</v>
      </c>
      <c r="S38" s="31">
        <f t="shared" si="5"/>
        <v>0.15</v>
      </c>
      <c r="T38" s="154">
        <f t="shared" si="2"/>
        <v>180.54999999999998</v>
      </c>
      <c r="U38" s="154">
        <f t="shared" ref="U38" si="107">T38*(1+$S38)</f>
        <v>207.63249999999996</v>
      </c>
      <c r="V38" s="154">
        <f t="shared" ref="V38" si="108">U38*(1+$S38)</f>
        <v>238.77737499999995</v>
      </c>
      <c r="W38" s="154">
        <f t="shared" ref="W38" si="109">V38*(1+$S38)</f>
        <v>274.5939812499999</v>
      </c>
      <c r="X38" s="154">
        <f t="shared" ref="X38" si="110">W38*(1+$S38)</f>
        <v>315.78307843749985</v>
      </c>
      <c r="Y38" s="154">
        <f t="shared" ref="Y38" si="111">X38*(1+$S38)</f>
        <v>363.15054020312482</v>
      </c>
      <c r="Z38" s="154">
        <f t="shared" ref="Z38" si="112">Y38*(1+$S38)</f>
        <v>417.62312123359351</v>
      </c>
      <c r="AA38" s="154">
        <f t="shared" ref="AA38" si="113">Z38*(1+$S38)</f>
        <v>480.26658941863252</v>
      </c>
      <c r="AB38" s="154">
        <f t="shared" ref="AB38" si="114">AA38*(1+$S38)</f>
        <v>552.30657783142738</v>
      </c>
      <c r="AC38" s="154">
        <f t="shared" ref="AC38" si="115">AB38*(1+$S38)</f>
        <v>635.1525645061414</v>
      </c>
      <c r="AD38" s="138">
        <f t="shared" ref="AD38" si="116">((AC38/G38)^(1/($AC$3-$H$1) ))-1</f>
        <v>0.1984542413763708</v>
      </c>
      <c r="AE38" s="31">
        <f t="shared" si="15"/>
        <v>0.05</v>
      </c>
      <c r="AF38" s="146">
        <f t="shared" ref="AF38" si="117">(AC38*(1+AE38))/($C$1-AE38)</f>
        <v>3923.0011337144037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0.45161290322580644</v>
      </c>
      <c r="I39" s="148">
        <f t="shared" ref="I39" si="120">(I38-H38)/I38</f>
        <v>0.1388888888888889</v>
      </c>
      <c r="J39" s="148">
        <f t="shared" ref="J39" si="121">(J38-I38)/J38</f>
        <v>-2.2727272727272729</v>
      </c>
      <c r="K39" s="148">
        <f t="shared" ref="K39" si="122">(K38-J38)/K38</f>
        <v>0.45</v>
      </c>
      <c r="L39" s="148">
        <f t="shared" ref="L39" si="123">(L38-K38)/L38</f>
        <v>0.45945945945945948</v>
      </c>
      <c r="M39" s="148">
        <f t="shared" ref="M39" si="124">(M38-L38)/M38</f>
        <v>-2.3636363636363638</v>
      </c>
      <c r="N39" s="148">
        <f t="shared" ref="N39" si="125">(N38-M38)/N38</f>
        <v>0.8764044943820225</v>
      </c>
      <c r="O39" s="148">
        <f t="shared" ref="O39" si="126">(O38-N38)/O38</f>
        <v>0.25833333333333336</v>
      </c>
      <c r="P39" s="148">
        <f t="shared" ref="P39:Q39" si="127">(P38-O38)/P38</f>
        <v>0.2356687898089172</v>
      </c>
      <c r="Q39" s="21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400</v>
      </c>
      <c r="C40" s="141"/>
      <c r="D40" s="141"/>
      <c r="E40" s="147"/>
      <c r="F40" s="147"/>
      <c r="G40" s="147">
        <v>13</v>
      </c>
      <c r="H40" s="147">
        <v>25</v>
      </c>
      <c r="I40" s="147">
        <v>28</v>
      </c>
      <c r="J40" s="147">
        <v>8</v>
      </c>
      <c r="K40" s="147">
        <v>15</v>
      </c>
      <c r="L40" s="147">
        <v>29</v>
      </c>
      <c r="M40" s="147">
        <v>8</v>
      </c>
      <c r="N40" s="147">
        <v>61</v>
      </c>
      <c r="O40" s="147">
        <v>82</v>
      </c>
      <c r="P40" s="147">
        <v>108</v>
      </c>
      <c r="Q40" s="213">
        <f>P40</f>
        <v>108</v>
      </c>
      <c r="R40" s="118">
        <f>((Q40/G40)^(1/($H$2-$H$1) ))-1</f>
        <v>0.26521545769208177</v>
      </c>
      <c r="S40" s="31">
        <f t="shared" si="5"/>
        <v>0.15</v>
      </c>
      <c r="T40" s="154">
        <f t="shared" si="2"/>
        <v>124.19999999999999</v>
      </c>
      <c r="U40" s="154">
        <f t="shared" ref="U40:AC40" si="128">T40*(1+$S40)</f>
        <v>142.82999999999998</v>
      </c>
      <c r="V40" s="154">
        <f t="shared" si="128"/>
        <v>164.25449999999998</v>
      </c>
      <c r="W40" s="154">
        <f t="shared" si="128"/>
        <v>188.89267499999997</v>
      </c>
      <c r="X40" s="154">
        <f t="shared" si="128"/>
        <v>217.22657624999994</v>
      </c>
      <c r="Y40" s="154">
        <f t="shared" si="128"/>
        <v>249.8105626874999</v>
      </c>
      <c r="Z40" s="154">
        <f t="shared" si="128"/>
        <v>287.28214709062485</v>
      </c>
      <c r="AA40" s="154">
        <f t="shared" si="128"/>
        <v>330.37446915421856</v>
      </c>
      <c r="AB40" s="154">
        <f t="shared" si="128"/>
        <v>379.93063952735133</v>
      </c>
      <c r="AC40" s="154">
        <f t="shared" si="128"/>
        <v>436.92023545645401</v>
      </c>
      <c r="AD40" s="138">
        <f t="shared" si="17"/>
        <v>0.19212814215210883</v>
      </c>
      <c r="AE40" s="31">
        <f t="shared" si="15"/>
        <v>0.05</v>
      </c>
      <c r="AF40" s="146">
        <f t="shared" si="1"/>
        <v>2698.624983701628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0.48</v>
      </c>
      <c r="I41" s="148">
        <f t="shared" si="129"/>
        <v>0.10714285714285714</v>
      </c>
      <c r="J41" s="148">
        <f t="shared" si="129"/>
        <v>-2.5</v>
      </c>
      <c r="K41" s="148">
        <f t="shared" si="129"/>
        <v>0.46666666666666667</v>
      </c>
      <c r="L41" s="148">
        <f t="shared" si="129"/>
        <v>0.48275862068965519</v>
      </c>
      <c r="M41" s="148">
        <f t="shared" si="129"/>
        <v>-2.625</v>
      </c>
      <c r="N41" s="148">
        <f t="shared" si="129"/>
        <v>0.86885245901639341</v>
      </c>
      <c r="O41" s="148">
        <f t="shared" si="129"/>
        <v>0.25609756097560976</v>
      </c>
      <c r="P41" s="148">
        <f t="shared" si="129"/>
        <v>0.24074074074074073</v>
      </c>
      <c r="Q41" s="21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1.47</v>
      </c>
      <c r="H42" s="145">
        <v>1.47</v>
      </c>
      <c r="I42" s="145">
        <v>7.35</v>
      </c>
      <c r="J42" s="145">
        <v>7.35</v>
      </c>
      <c r="K42" s="145">
        <v>7.35</v>
      </c>
      <c r="L42" s="145">
        <v>7.35</v>
      </c>
      <c r="M42" s="145">
        <v>7.35</v>
      </c>
      <c r="N42" s="145">
        <v>7.35</v>
      </c>
      <c r="O42" s="145">
        <v>7.35</v>
      </c>
      <c r="P42" s="145">
        <v>7.35</v>
      </c>
      <c r="Q42" s="216">
        <f>P42</f>
        <v>7.35</v>
      </c>
      <c r="R42" s="118">
        <f>((Q42/G42)^(1/($H$2-$H$1) ))-1</f>
        <v>0.19581317450040192</v>
      </c>
      <c r="S42" s="31">
        <f>P1</f>
        <v>0.05</v>
      </c>
      <c r="T42" s="154">
        <f t="shared" si="2"/>
        <v>7.7175000000000002</v>
      </c>
      <c r="U42" s="154">
        <f t="shared" ref="U42:AC42" si="130">T42*(1+$S42)</f>
        <v>8.1033749999999998</v>
      </c>
      <c r="V42" s="154">
        <f t="shared" si="130"/>
        <v>8.5085437499999994</v>
      </c>
      <c r="W42" s="154">
        <f t="shared" si="130"/>
        <v>8.9339709374999998</v>
      </c>
      <c r="X42" s="154">
        <f t="shared" si="130"/>
        <v>9.3806694843749998</v>
      </c>
      <c r="Y42" s="154">
        <f t="shared" si="130"/>
        <v>9.8497029585937508</v>
      </c>
      <c r="Z42" s="154">
        <f t="shared" si="130"/>
        <v>10.342188106523439</v>
      </c>
      <c r="AA42" s="154">
        <f t="shared" si="130"/>
        <v>10.859297511849611</v>
      </c>
      <c r="AB42" s="154">
        <f t="shared" si="130"/>
        <v>11.402262387442093</v>
      </c>
      <c r="AC42" s="154">
        <f t="shared" si="130"/>
        <v>11.972375506814197</v>
      </c>
      <c r="AD42" s="138">
        <f t="shared" si="17"/>
        <v>0.11056287090935113</v>
      </c>
      <c r="AE42" s="31">
        <f t="shared" si="15"/>
        <v>0.05</v>
      </c>
      <c r="AF42" s="146">
        <f t="shared" si="1"/>
        <v>73.94702518914653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0.31972789115646255</v>
      </c>
      <c r="H43" s="148">
        <f t="shared" ref="H43" si="131">(H42-G42)/H42</f>
        <v>0</v>
      </c>
      <c r="I43" s="148">
        <f t="shared" ref="I43" si="132">(I42-H42)/I42</f>
        <v>0.8</v>
      </c>
      <c r="J43" s="148">
        <f t="shared" ref="J43" si="133">(J42-I42)/J42</f>
        <v>0</v>
      </c>
      <c r="K43" s="148">
        <f t="shared" ref="K43" si="134">(K42-J42)/K42</f>
        <v>0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</v>
      </c>
      <c r="O43" s="148">
        <f t="shared" ref="O43" si="138">(O42-N42)/O42</f>
        <v>0</v>
      </c>
      <c r="P43" s="148">
        <f t="shared" ref="P43:Q43" si="139">(P42-O42)/P42</f>
        <v>0</v>
      </c>
      <c r="Q43" s="21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2</v>
      </c>
      <c r="H44" s="145">
        <v>3.5</v>
      </c>
      <c r="I44" s="145">
        <v>0.7</v>
      </c>
      <c r="J44" s="145">
        <v>0.2</v>
      </c>
      <c r="K44" s="145">
        <v>0.2</v>
      </c>
      <c r="L44" s="145">
        <v>0.20100000000000001</v>
      </c>
      <c r="M44" s="145">
        <v>1</v>
      </c>
      <c r="N44" s="145">
        <v>2</v>
      </c>
      <c r="O44" s="145">
        <v>2.5</v>
      </c>
      <c r="P44" s="145">
        <v>3</v>
      </c>
      <c r="Q44" s="216">
        <v>3.5</v>
      </c>
      <c r="R44" s="118">
        <f>((Q44/G44)^(1/($H$2-$H$1) ))-1</f>
        <v>6.4153377155776292E-2</v>
      </c>
      <c r="S44" s="31">
        <f>P1</f>
        <v>0.05</v>
      </c>
      <c r="T44" s="154">
        <f t="shared" si="2"/>
        <v>3.6750000000000003</v>
      </c>
      <c r="U44" s="154">
        <f t="shared" ref="U44" si="140">T44*(1+$S44)</f>
        <v>3.8587500000000006</v>
      </c>
      <c r="V44" s="154">
        <f t="shared" ref="V44" si="141">U44*(1+$S44)</f>
        <v>4.0516875000000008</v>
      </c>
      <c r="W44" s="154">
        <f t="shared" ref="W44" si="142">V44*(1+$S44)</f>
        <v>4.2542718750000006</v>
      </c>
      <c r="X44" s="154">
        <f t="shared" ref="X44" si="143">W44*(1+$S44)</f>
        <v>4.4669854687500008</v>
      </c>
      <c r="Y44" s="154">
        <f t="shared" ref="Y44" si="144">X44*(1+$S44)</f>
        <v>4.6903347421875008</v>
      </c>
      <c r="Z44" s="154">
        <f t="shared" ref="Z44" si="145">Y44*(1+$S44)</f>
        <v>4.9248514792968763</v>
      </c>
      <c r="AA44" s="154">
        <f t="shared" ref="AA44" si="146">Z44*(1+$S44)</f>
        <v>5.1710940532617204</v>
      </c>
      <c r="AB44" s="154">
        <f t="shared" ref="AB44" si="147">AA44*(1+$S44)</f>
        <v>5.4296487559248066</v>
      </c>
      <c r="AC44" s="154">
        <f t="shared" ref="AC44" si="148">AB44*(1+$S44)</f>
        <v>5.7011311937210474</v>
      </c>
      <c r="AD44" s="138">
        <f t="shared" ref="AD44" si="149">((AC44/G44)^(1/($AC$3-$H$1) ))-1</f>
        <v>5.3771750833720544E-2</v>
      </c>
      <c r="AE44" s="31">
        <f t="shared" si="15"/>
        <v>0.05</v>
      </c>
      <c r="AF44" s="146">
        <f t="shared" si="1"/>
        <v>35.212869137688827</v>
      </c>
    </row>
    <row r="45" spans="2:32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 t="s">
        <v>454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423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424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7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167.34693877551021</v>
      </c>
      <c r="H50" s="133">
        <f t="shared" si="150"/>
        <v>189.79591836734693</v>
      </c>
      <c r="I50" s="133">
        <f t="shared" si="150"/>
        <v>46.938775510204081</v>
      </c>
      <c r="J50" s="133">
        <f t="shared" si="150"/>
        <v>62.040816326530617</v>
      </c>
      <c r="K50" s="133">
        <f t="shared" si="150"/>
        <v>72.789115646258509</v>
      </c>
      <c r="L50" s="133">
        <f t="shared" si="150"/>
        <v>49.387755102040821</v>
      </c>
      <c r="M50" s="133">
        <f t="shared" si="150"/>
        <v>64.625850340136054</v>
      </c>
      <c r="N50" s="133">
        <f t="shared" si="150"/>
        <v>129.52380952380952</v>
      </c>
      <c r="O50" s="133">
        <f t="shared" si="150"/>
        <v>181.22448979591837</v>
      </c>
      <c r="P50" s="133">
        <f t="shared" si="150"/>
        <v>222.44897959183675</v>
      </c>
      <c r="Q50" s="133">
        <f t="shared" ref="Q50" si="151">Q25/Q42</f>
        <v>251.15646258503403</v>
      </c>
      <c r="R50" s="118">
        <f>((P50/G50)^(1/($H$2-$H$1) ))-1</f>
        <v>3.2130800692493855E-2</v>
      </c>
      <c r="S50" s="128"/>
      <c r="T50" s="158">
        <f t="shared" ref="T50:AC50" si="152">T25/T42</f>
        <v>275.07612568837055</v>
      </c>
      <c r="U50" s="158">
        <f t="shared" si="152"/>
        <v>301.27385194440586</v>
      </c>
      <c r="V50" s="158">
        <f t="shared" si="152"/>
        <v>329.96659974863496</v>
      </c>
      <c r="W50" s="158">
        <f t="shared" si="152"/>
        <v>361.39199020088586</v>
      </c>
      <c r="X50" s="158">
        <f t="shared" si="152"/>
        <v>395.81027498192259</v>
      </c>
      <c r="Y50" s="158">
        <f t="shared" si="152"/>
        <v>433.50649164686752</v>
      </c>
      <c r="Z50" s="158">
        <f t="shared" si="152"/>
        <v>474.79282418466443</v>
      </c>
      <c r="AA50" s="158">
        <f t="shared" si="152"/>
        <v>520.01118839272772</v>
      </c>
      <c r="AB50" s="158">
        <f t="shared" si="152"/>
        <v>569.53606347774928</v>
      </c>
      <c r="AC50" s="158">
        <f t="shared" si="152"/>
        <v>623.77759333277288</v>
      </c>
      <c r="AD50" s="138">
        <f t="shared" ref="AD50" si="153">((AC50/G50)^(1/($AC$3-$H$1) ))-1</f>
        <v>6.7998394690061525E-2</v>
      </c>
      <c r="AE50" s="31">
        <f t="shared" si="15"/>
        <v>0.05</v>
      </c>
      <c r="AF50" s="146">
        <f t="shared" ref="AF50:AF51" si="154">(AC50*(1+AE50))/($C$1-AE50)</f>
        <v>3852.7439588200682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134.01360544217687</v>
      </c>
      <c r="H51" s="133">
        <f t="shared" si="155"/>
        <v>148.29931972789115</v>
      </c>
      <c r="I51" s="133">
        <f t="shared" si="155"/>
        <v>37.687074829931973</v>
      </c>
      <c r="J51" s="133">
        <f t="shared" si="155"/>
        <v>54.285714285714292</v>
      </c>
      <c r="K51" s="133">
        <f t="shared" si="155"/>
        <v>61.224489795918373</v>
      </c>
      <c r="L51" s="133">
        <f t="shared" si="155"/>
        <v>39.72789115646259</v>
      </c>
      <c r="M51" s="133">
        <f t="shared" si="155"/>
        <v>56.734693877551024</v>
      </c>
      <c r="N51" s="133">
        <f t="shared" si="155"/>
        <v>108.84353741496599</v>
      </c>
      <c r="O51" s="133">
        <f t="shared" si="155"/>
        <v>152.92517006802723</v>
      </c>
      <c r="P51" s="133">
        <f t="shared" si="155"/>
        <v>188.70748299319729</v>
      </c>
      <c r="Q51" s="133">
        <f t="shared" ref="Q51" si="156">Q27/Q42</f>
        <v>218.50340136054422</v>
      </c>
      <c r="R51" s="118">
        <f>((P51/G51)^(1/($H$2-$H$1) ))-1</f>
        <v>3.876086935855505E-2</v>
      </c>
      <c r="S51" s="128"/>
      <c r="T51" s="158">
        <f t="shared" ref="T51:AC51" si="157">T27/T42</f>
        <v>239.31324910916746</v>
      </c>
      <c r="U51" s="158">
        <f t="shared" si="157"/>
        <v>262.10498711956433</v>
      </c>
      <c r="V51" s="158">
        <f t="shared" si="157"/>
        <v>287.06736684523713</v>
      </c>
      <c r="W51" s="158">
        <f t="shared" si="157"/>
        <v>314.40711606859298</v>
      </c>
      <c r="X51" s="158">
        <f t="shared" si="157"/>
        <v>344.35065093226848</v>
      </c>
      <c r="Y51" s="158">
        <f t="shared" si="157"/>
        <v>377.14595102105591</v>
      </c>
      <c r="Z51" s="158">
        <f t="shared" si="157"/>
        <v>413.0646130230611</v>
      </c>
      <c r="AA51" s="158">
        <f t="shared" si="157"/>
        <v>452.40409997763834</v>
      </c>
      <c r="AB51" s="158">
        <f t="shared" si="157"/>
        <v>495.49020473741336</v>
      </c>
      <c r="AC51" s="158">
        <f t="shared" si="157"/>
        <v>542.67974804573839</v>
      </c>
      <c r="AD51" s="138">
        <f t="shared" ref="AD51" si="158">((AC51/G51)^(1/($AC$3-$H$1) ))-1</f>
        <v>7.243193053111141E-2</v>
      </c>
      <c r="AE51" s="31">
        <f t="shared" si="15"/>
        <v>0.05</v>
      </c>
      <c r="AF51" s="146">
        <f t="shared" si="154"/>
        <v>3351.8455026354436</v>
      </c>
    </row>
    <row r="52" spans="2:32" x14ac:dyDescent="0.2">
      <c r="B52" s="20" t="s">
        <v>426</v>
      </c>
      <c r="C52" s="133"/>
      <c r="D52" s="133"/>
      <c r="E52" s="133"/>
      <c r="F52" s="133"/>
      <c r="G52" s="133">
        <f>G38-G40</f>
        <v>4</v>
      </c>
      <c r="H52" s="133">
        <f t="shared" ref="H52:P52" si="159">H38-H40</f>
        <v>6</v>
      </c>
      <c r="I52" s="133">
        <f t="shared" si="159"/>
        <v>8</v>
      </c>
      <c r="J52" s="133">
        <f t="shared" si="159"/>
        <v>3</v>
      </c>
      <c r="K52" s="133">
        <f t="shared" si="159"/>
        <v>5</v>
      </c>
      <c r="L52" s="133">
        <f t="shared" si="159"/>
        <v>8</v>
      </c>
      <c r="M52" s="133">
        <f t="shared" si="159"/>
        <v>3</v>
      </c>
      <c r="N52" s="133">
        <f t="shared" si="159"/>
        <v>28</v>
      </c>
      <c r="O52" s="133">
        <f t="shared" si="159"/>
        <v>38</v>
      </c>
      <c r="P52" s="133">
        <f t="shared" si="159"/>
        <v>49</v>
      </c>
      <c r="Q52" s="133">
        <f t="shared" ref="Q52" si="160">Q38-Q40</f>
        <v>49</v>
      </c>
      <c r="R52" s="118">
        <f>((P52/G52)^(1/($H$2-$H$1) ))-1</f>
        <v>0.32100362646247382</v>
      </c>
      <c r="S52" s="128"/>
      <c r="T52" s="133">
        <f t="shared" ref="T52:AC52" si="161">T38-T40</f>
        <v>56.349999999999994</v>
      </c>
      <c r="U52" s="133">
        <f t="shared" si="161"/>
        <v>64.802499999999981</v>
      </c>
      <c r="V52" s="133">
        <f t="shared" si="161"/>
        <v>74.522874999999971</v>
      </c>
      <c r="W52" s="133">
        <f t="shared" si="161"/>
        <v>85.701306249999931</v>
      </c>
      <c r="X52" s="133">
        <f t="shared" si="161"/>
        <v>98.556502187499916</v>
      </c>
      <c r="Y52" s="133">
        <f t="shared" si="161"/>
        <v>113.33997751562492</v>
      </c>
      <c r="Z52" s="133">
        <f t="shared" si="161"/>
        <v>130.34097414296866</v>
      </c>
      <c r="AA52" s="133">
        <f t="shared" si="161"/>
        <v>149.89212026441396</v>
      </c>
      <c r="AB52" s="133">
        <f t="shared" si="161"/>
        <v>172.37593830407604</v>
      </c>
      <c r="AC52" s="133">
        <f t="shared" si="161"/>
        <v>198.23232904968739</v>
      </c>
      <c r="AD52" s="138">
        <f t="shared" ref="AD52" si="162">((AC52/G52)^(1/($AC$3-$H$1) ))-1</f>
        <v>0.21550213109313598</v>
      </c>
      <c r="AE52" s="31">
        <f t="shared" si="15"/>
        <v>0.05</v>
      </c>
      <c r="AF52" s="146">
        <f t="shared" ref="AF52" si="163">(AC52*(1+AE52))/($C$1-AE52)</f>
        <v>1224.3761500127753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8.8435374149659864</v>
      </c>
      <c r="H54" s="133">
        <f t="shared" si="164"/>
        <v>17.006802721088437</v>
      </c>
      <c r="I54" s="133">
        <f t="shared" si="164"/>
        <v>3.8095238095238098</v>
      </c>
      <c r="J54" s="133">
        <f t="shared" si="164"/>
        <v>1.08843537414966</v>
      </c>
      <c r="K54" s="133">
        <f t="shared" si="164"/>
        <v>2.0408163265306123</v>
      </c>
      <c r="L54" s="133">
        <f t="shared" si="164"/>
        <v>3.9455782312925174</v>
      </c>
      <c r="M54" s="133">
        <f t="shared" si="164"/>
        <v>1.08843537414966</v>
      </c>
      <c r="N54" s="133">
        <f t="shared" si="164"/>
        <v>8.2993197278911577</v>
      </c>
      <c r="O54" s="133">
        <f t="shared" si="164"/>
        <v>11.156462585034014</v>
      </c>
      <c r="P54" s="133">
        <f t="shared" si="164"/>
        <v>14.693877551020408</v>
      </c>
      <c r="Q54" s="133">
        <f t="shared" ref="Q54" si="165">Q40/Q42</f>
        <v>14.693877551020408</v>
      </c>
      <c r="R54" s="118">
        <f>((P54/G54)^(1/($H$2-$H$1) ))-1</f>
        <v>5.8037730869352044E-2</v>
      </c>
      <c r="S54" s="128"/>
      <c r="T54" s="158">
        <f t="shared" ref="T54:AC54" si="166">T40/T42</f>
        <v>16.093294460641399</v>
      </c>
      <c r="U54" s="158">
        <f t="shared" si="166"/>
        <v>17.625989171178674</v>
      </c>
      <c r="V54" s="158">
        <f t="shared" si="166"/>
        <v>19.304654806529026</v>
      </c>
      <c r="W54" s="158">
        <f t="shared" si="166"/>
        <v>21.143193359531786</v>
      </c>
      <c r="X54" s="158">
        <f t="shared" si="166"/>
        <v>23.156830822344336</v>
      </c>
      <c r="Y54" s="158">
        <f t="shared" si="166"/>
        <v>25.362243281615218</v>
      </c>
      <c r="Z54" s="158">
        <f t="shared" si="166"/>
        <v>27.777695022721424</v>
      </c>
      <c r="AA54" s="158">
        <f t="shared" si="166"/>
        <v>30.423189786790129</v>
      </c>
      <c r="AB54" s="158">
        <f t="shared" si="166"/>
        <v>33.320636433151087</v>
      </c>
      <c r="AC54" s="158">
        <f t="shared" si="166"/>
        <v>36.49403037916548</v>
      </c>
      <c r="AD54" s="138">
        <f t="shared" ref="AD54:AD68" si="167">((AC54/G54)^(1/($AC$3-$H$1) ))-1</f>
        <v>7.3444983061580649E-2</v>
      </c>
      <c r="AE54" s="31">
        <f t="shared" si="15"/>
        <v>0.05</v>
      </c>
      <c r="AF54" s="146">
        <f t="shared" ref="AF54:AF82" si="168">(AC54*(1+AE54))/($C$1-AE54)</f>
        <v>225.40430528308096</v>
      </c>
    </row>
    <row r="55" spans="2:32" x14ac:dyDescent="0.2">
      <c r="B55" s="20" t="s">
        <v>387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23.80952380952381</v>
      </c>
      <c r="H55" s="133">
        <f t="shared" ref="H55:P55" si="170">H20/H42</f>
        <v>52.38095238095238</v>
      </c>
      <c r="I55" s="133">
        <f t="shared" si="170"/>
        <v>0.54421768707482998</v>
      </c>
      <c r="J55" s="133">
        <f t="shared" si="170"/>
        <v>-3.4013605442176873</v>
      </c>
      <c r="K55" s="133">
        <f t="shared" si="170"/>
        <v>0.68027210884353739</v>
      </c>
      <c r="L55" s="133">
        <f t="shared" si="170"/>
        <v>3.4557823129251699</v>
      </c>
      <c r="M55" s="133">
        <f t="shared" si="170"/>
        <v>14.693877551020408</v>
      </c>
      <c r="N55" s="133">
        <f t="shared" si="170"/>
        <v>21.632653061224492</v>
      </c>
      <c r="O55" s="133">
        <f t="shared" si="170"/>
        <v>10.612244897959185</v>
      </c>
      <c r="P55" s="133">
        <f t="shared" si="170"/>
        <v>11.836734693877551</v>
      </c>
      <c r="Q55" s="133">
        <f t="shared" ref="Q55" si="171">Q20/Q42</f>
        <v>11.836734693877551</v>
      </c>
      <c r="R55" s="118">
        <f>((P55/G55)^(1/($H$2-$H$1) ))-1</f>
        <v>-7.471464303674924E-2</v>
      </c>
      <c r="S55" s="128"/>
      <c r="T55" s="133">
        <f t="shared" ref="T55:AC55" si="172">T20/T42</f>
        <v>12.964042759961126</v>
      </c>
      <c r="U55" s="133">
        <f t="shared" si="172"/>
        <v>14.198713499005043</v>
      </c>
      <c r="V55" s="133">
        <f t="shared" si="172"/>
        <v>15.550971927481713</v>
      </c>
      <c r="W55" s="133">
        <f t="shared" si="172"/>
        <v>17.032016872956159</v>
      </c>
      <c r="X55" s="133">
        <f t="shared" si="172"/>
        <v>18.6541137179996</v>
      </c>
      <c r="Y55" s="133">
        <f t="shared" si="172"/>
        <v>20.4306959768567</v>
      </c>
      <c r="Z55" s="133">
        <f t="shared" si="172"/>
        <v>22.376476546081147</v>
      </c>
      <c r="AA55" s="133">
        <f t="shared" si="172"/>
        <v>24.507569550469821</v>
      </c>
      <c r="AB55" s="133">
        <f t="shared" si="172"/>
        <v>26.841623793371706</v>
      </c>
      <c r="AC55" s="133">
        <f t="shared" si="172"/>
        <v>29.397968916549964</v>
      </c>
      <c r="AD55" s="138">
        <f t="shared" ref="AD55" si="173">((AC55/G55)^(1/($AC$3-$H$1) ))-1</f>
        <v>1.0597758960346093E-2</v>
      </c>
      <c r="AE55" s="31">
        <f t="shared" si="15"/>
        <v>0.05</v>
      </c>
      <c r="AF55" s="146">
        <f t="shared" si="168"/>
        <v>181.57569036692627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67.34693877551021</v>
      </c>
      <c r="H56" s="133">
        <f t="shared" si="174"/>
        <v>80.27210884353741</v>
      </c>
      <c r="I56" s="133">
        <f t="shared" si="174"/>
        <v>18.367346938775512</v>
      </c>
      <c r="J56" s="133">
        <f t="shared" si="174"/>
        <v>19.183673469387756</v>
      </c>
      <c r="K56" s="133">
        <f t="shared" si="174"/>
        <v>21.088435374149661</v>
      </c>
      <c r="L56" s="133">
        <f t="shared" si="174"/>
        <v>22.040816326530614</v>
      </c>
      <c r="M56" s="133">
        <f t="shared" si="174"/>
        <v>25.714285714285715</v>
      </c>
      <c r="N56" s="133">
        <f t="shared" si="174"/>
        <v>30.204081632653061</v>
      </c>
      <c r="O56" s="133">
        <f t="shared" si="174"/>
        <v>38.367346938775512</v>
      </c>
      <c r="P56" s="133">
        <f t="shared" si="174"/>
        <v>49.115646258503403</v>
      </c>
      <c r="Q56" s="133">
        <f t="shared" ref="Q56" si="175">Q7/Q42</f>
        <v>71.972789115646265</v>
      </c>
      <c r="R56" s="118">
        <f>((P56/G56)^(1/($H$2-$H$1) ))-1</f>
        <v>-3.4467516838174284E-2</v>
      </c>
      <c r="S56" s="128"/>
      <c r="T56" s="158">
        <f t="shared" ref="T56:AC56" si="176">T7/T42</f>
        <v>78.827340459993508</v>
      </c>
      <c r="U56" s="158">
        <f t="shared" si="176"/>
        <v>86.33470621808813</v>
      </c>
      <c r="V56" s="158">
        <f t="shared" si="176"/>
        <v>94.557059191239375</v>
      </c>
      <c r="W56" s="158">
        <f t="shared" si="176"/>
        <v>103.56249339992883</v>
      </c>
      <c r="X56" s="158">
        <f t="shared" si="176"/>
        <v>113.42558800944585</v>
      </c>
      <c r="Y56" s="158">
        <f t="shared" si="176"/>
        <v>124.22802496272638</v>
      </c>
      <c r="Z56" s="158">
        <f t="shared" si="176"/>
        <v>136.05926543536697</v>
      </c>
      <c r="AA56" s="158">
        <f t="shared" si="176"/>
        <v>149.01729071492571</v>
      </c>
      <c r="AB56" s="158">
        <f t="shared" si="176"/>
        <v>163.2094136401567</v>
      </c>
      <c r="AC56" s="158">
        <f t="shared" si="176"/>
        <v>178.75316732017163</v>
      </c>
      <c r="AD56" s="138">
        <f t="shared" si="167"/>
        <v>5.001812147418061E-2</v>
      </c>
      <c r="AE56" s="31">
        <f t="shared" si="15"/>
        <v>0.05</v>
      </c>
      <c r="AF56" s="146">
        <f t="shared" si="168"/>
        <v>1104.0636805069425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57.142857142857146</v>
      </c>
      <c r="H57" s="144">
        <f t="shared" si="177"/>
        <v>70.748299319727892</v>
      </c>
      <c r="I57" s="144">
        <f t="shared" si="177"/>
        <v>16.462585034013607</v>
      </c>
      <c r="J57" s="144">
        <f t="shared" si="177"/>
        <v>17.278911564625851</v>
      </c>
      <c r="K57" s="144">
        <f t="shared" si="177"/>
        <v>19.047619047619047</v>
      </c>
      <c r="L57" s="144">
        <f t="shared" si="177"/>
        <v>20</v>
      </c>
      <c r="M57" s="144">
        <f t="shared" si="177"/>
        <v>23.673469387755102</v>
      </c>
      <c r="N57" s="144">
        <f t="shared" si="177"/>
        <v>28.299319727891159</v>
      </c>
      <c r="O57" s="144">
        <f t="shared" si="177"/>
        <v>36.326530612244902</v>
      </c>
      <c r="P57" s="144">
        <f t="shared" si="177"/>
        <v>47.074829931972793</v>
      </c>
      <c r="Q57" s="144">
        <f t="shared" ref="Q57" si="178">Q6/Q42</f>
        <v>66.530612244897966</v>
      </c>
      <c r="R57" s="118">
        <f>((P57/G57)^(1/($H$2-$H$1) ))-1</f>
        <v>-2.130487927128677E-2</v>
      </c>
      <c r="S57" s="128"/>
      <c r="T57" s="157">
        <f t="shared" ref="T57:AC57" si="179">T6/T42</f>
        <v>72.866861030126316</v>
      </c>
      <c r="U57" s="157">
        <f t="shared" si="179"/>
        <v>79.80656208061454</v>
      </c>
      <c r="V57" s="157">
        <f t="shared" si="179"/>
        <v>87.40718704067308</v>
      </c>
      <c r="W57" s="157">
        <f t="shared" si="179"/>
        <v>95.73168104454669</v>
      </c>
      <c r="X57" s="157">
        <f t="shared" si="179"/>
        <v>104.84898400117017</v>
      </c>
      <c r="Y57" s="157">
        <f t="shared" si="179"/>
        <v>114.83460152509112</v>
      </c>
      <c r="Z57" s="157">
        <f t="shared" si="179"/>
        <v>125.77123024176643</v>
      </c>
      <c r="AA57" s="157">
        <f t="shared" si="179"/>
        <v>137.74944264574418</v>
      </c>
      <c r="AB57" s="157">
        <f t="shared" si="179"/>
        <v>150.86843718343405</v>
      </c>
      <c r="AC57" s="157">
        <f t="shared" si="179"/>
        <v>165.23685977233254</v>
      </c>
      <c r="AD57" s="138">
        <f t="shared" si="167"/>
        <v>5.4525895754649056E-2</v>
      </c>
      <c r="AE57" s="31">
        <f t="shared" si="15"/>
        <v>0.05</v>
      </c>
      <c r="AF57" s="146">
        <f t="shared" si="168"/>
        <v>1020.5806044761716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100</v>
      </c>
      <c r="H58" s="144">
        <f t="shared" si="180"/>
        <v>98.639455782312922</v>
      </c>
      <c r="I58" s="144">
        <f t="shared" si="180"/>
        <v>27.61904761904762</v>
      </c>
      <c r="J58" s="144">
        <f t="shared" si="180"/>
        <v>45.170068027210888</v>
      </c>
      <c r="K58" s="144">
        <f t="shared" si="180"/>
        <v>45.850340136054427</v>
      </c>
      <c r="L58" s="144">
        <f t="shared" si="180"/>
        <v>44.217687074829932</v>
      </c>
      <c r="M58" s="144">
        <f t="shared" si="180"/>
        <v>35.646258503401363</v>
      </c>
      <c r="N58" s="144">
        <f t="shared" si="180"/>
        <v>39.183673469387756</v>
      </c>
      <c r="O58" s="144">
        <f t="shared" si="180"/>
        <v>28.027210884353742</v>
      </c>
      <c r="P58" s="144">
        <f t="shared" si="180"/>
        <v>35.782312925170068</v>
      </c>
      <c r="Q58" s="144">
        <f t="shared" ref="Q58" si="181">Q10/Q42</f>
        <v>35.782312925170068</v>
      </c>
      <c r="R58" s="118">
        <f>((P58/G58)^(1/($H$2-$H$1) ))-1</f>
        <v>-0.10791219804332597</v>
      </c>
      <c r="S58" s="128"/>
      <c r="T58" s="157">
        <f t="shared" ref="T58:AC58" si="182">T10/T42</f>
        <v>39.190152251376738</v>
      </c>
      <c r="U58" s="157">
        <f t="shared" si="182"/>
        <v>42.922547703888803</v>
      </c>
      <c r="V58" s="157">
        <f t="shared" si="182"/>
        <v>47.010409389973454</v>
      </c>
      <c r="W58" s="157">
        <f t="shared" si="182"/>
        <v>51.487591236637584</v>
      </c>
      <c r="X58" s="157">
        <f t="shared" si="182"/>
        <v>56.391171354412585</v>
      </c>
      <c r="Y58" s="157">
        <f t="shared" si="182"/>
        <v>61.761759102451862</v>
      </c>
      <c r="Z58" s="157">
        <f t="shared" si="182"/>
        <v>67.643831397923464</v>
      </c>
      <c r="AA58" s="157">
        <f t="shared" si="182"/>
        <v>74.08610105486855</v>
      </c>
      <c r="AB58" s="157">
        <f t="shared" si="182"/>
        <v>81.141920202951255</v>
      </c>
      <c r="AC58" s="157">
        <f t="shared" si="182"/>
        <v>88.869722127041854</v>
      </c>
      <c r="AD58" s="138">
        <f t="shared" si="167"/>
        <v>-5.8825638150814541E-3</v>
      </c>
      <c r="AE58" s="31">
        <f t="shared" si="15"/>
        <v>0.05</v>
      </c>
      <c r="AF58" s="146">
        <f t="shared" si="168"/>
        <v>548.90122490231738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-32.653061224489797</v>
      </c>
      <c r="H60" s="144">
        <f t="shared" si="183"/>
        <v>-18.367346938775512</v>
      </c>
      <c r="I60" s="144">
        <f t="shared" si="183"/>
        <v>-9.2517006802721085</v>
      </c>
      <c r="J60" s="144">
        <f t="shared" si="183"/>
        <v>-25.986394557823129</v>
      </c>
      <c r="K60" s="144">
        <f t="shared" si="183"/>
        <v>-24.761904761904763</v>
      </c>
      <c r="L60" s="144">
        <f t="shared" si="183"/>
        <v>-22.176870748299322</v>
      </c>
      <c r="M60" s="144">
        <f t="shared" si="183"/>
        <v>-9.9319727891156475</v>
      </c>
      <c r="N60" s="144">
        <f t="shared" si="183"/>
        <v>-8.979591836734695</v>
      </c>
      <c r="O60" s="144">
        <f t="shared" si="183"/>
        <v>10.34013605442177</v>
      </c>
      <c r="P60" s="144">
        <f t="shared" si="183"/>
        <v>13.333333333333334</v>
      </c>
      <c r="Q60" s="144">
        <f t="shared" ref="Q60" si="184">(Q7-Q10)/Q42</f>
        <v>36.19047619047619</v>
      </c>
      <c r="R60" s="118">
        <f>((P60/G60)^(1/($H$2-$H$1) ))-1</f>
        <v>-1.9052727047952076</v>
      </c>
      <c r="S60" s="128"/>
      <c r="T60" s="157">
        <f t="shared" ref="T60:AC60" si="185">(T7-T10)/T42</f>
        <v>39.63718820861677</v>
      </c>
      <c r="U60" s="157">
        <f t="shared" si="185"/>
        <v>43.412158514199319</v>
      </c>
      <c r="V60" s="157">
        <f t="shared" si="185"/>
        <v>47.546649801265914</v>
      </c>
      <c r="W60" s="157">
        <f t="shared" si="185"/>
        <v>52.074902163291242</v>
      </c>
      <c r="X60" s="157">
        <f t="shared" si="185"/>
        <v>57.034416655033262</v>
      </c>
      <c r="Y60" s="157">
        <f t="shared" si="185"/>
        <v>62.466265860274518</v>
      </c>
      <c r="Z60" s="157">
        <f t="shared" si="185"/>
        <v>68.415434037443504</v>
      </c>
      <c r="AA60" s="157">
        <f t="shared" si="185"/>
        <v>74.931189660057157</v>
      </c>
      <c r="AB60" s="157">
        <f t="shared" si="185"/>
        <v>82.067493437205457</v>
      </c>
      <c r="AC60" s="157">
        <f t="shared" si="185"/>
        <v>89.883445193129774</v>
      </c>
      <c r="AD60" s="138" t="e">
        <f t="shared" si="167"/>
        <v>#NUM!</v>
      </c>
      <c r="AE60" s="31">
        <f t="shared" si="15"/>
        <v>0.05</v>
      </c>
      <c r="AF60" s="146">
        <f t="shared" si="168"/>
        <v>555.16245560462517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-78.911564625850346</v>
      </c>
      <c r="H61" s="144">
        <f t="shared" si="186"/>
        <v>-86.394557823129247</v>
      </c>
      <c r="I61" s="144">
        <f t="shared" si="186"/>
        <v>-20.816326530612248</v>
      </c>
      <c r="J61" s="144">
        <f t="shared" si="186"/>
        <v>-41.496598639455783</v>
      </c>
      <c r="K61" s="144">
        <f t="shared" si="186"/>
        <v>-42.040816326530617</v>
      </c>
      <c r="L61" s="144">
        <f t="shared" si="186"/>
        <v>-40.680272108843539</v>
      </c>
      <c r="M61" s="144">
        <f t="shared" si="186"/>
        <v>-33.605442176870753</v>
      </c>
      <c r="N61" s="144">
        <f t="shared" si="186"/>
        <v>-46.666666666666671</v>
      </c>
      <c r="O61" s="144">
        <f t="shared" si="186"/>
        <v>-42.040816326530617</v>
      </c>
      <c r="P61" s="144">
        <f t="shared" si="186"/>
        <v>-34.557823129251702</v>
      </c>
      <c r="Q61" s="144">
        <f t="shared" ref="Q61" si="187">(Q7-Q10-Q9)/Q42</f>
        <v>-11.700680272108844</v>
      </c>
      <c r="R61" s="118">
        <f>((P61/G61)^(1/($H$2-$H$1) ))-1</f>
        <v>-8.7661102332329266E-2</v>
      </c>
      <c r="S61" s="128"/>
      <c r="T61" s="157">
        <f t="shared" ref="T61:AC61" si="188">(T7-T10-T9)/T42</f>
        <v>-12.815030774214451</v>
      </c>
      <c r="U61" s="157">
        <f t="shared" si="188"/>
        <v>-14.035509895568207</v>
      </c>
      <c r="V61" s="157">
        <f t="shared" si="188"/>
        <v>-15.372225123717559</v>
      </c>
      <c r="W61" s="157">
        <f t="shared" si="188"/>
        <v>-16.836246564071612</v>
      </c>
      <c r="X61" s="157">
        <f t="shared" si="188"/>
        <v>-18.439698617792711</v>
      </c>
      <c r="Y61" s="157">
        <f t="shared" si="188"/>
        <v>-20.195860390915826</v>
      </c>
      <c r="Z61" s="157">
        <f t="shared" si="188"/>
        <v>-22.119275666241137</v>
      </c>
      <c r="AA61" s="157">
        <f t="shared" si="188"/>
        <v>-24.225873348740294</v>
      </c>
      <c r="AB61" s="157">
        <f t="shared" si="188"/>
        <v>-26.533099381953644</v>
      </c>
      <c r="AC61" s="157">
        <f t="shared" si="188"/>
        <v>-29.060061227853982</v>
      </c>
      <c r="AD61" s="138">
        <f t="shared" si="167"/>
        <v>-4.8721254174973749E-2</v>
      </c>
      <c r="AE61" s="31">
        <f t="shared" si="15"/>
        <v>0.05</v>
      </c>
      <c r="AF61" s="146">
        <f t="shared" si="168"/>
        <v>-179.48861346615698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-11.564625850340136</v>
      </c>
      <c r="H62" s="144">
        <f t="shared" si="189"/>
        <v>-21.768707482993197</v>
      </c>
      <c r="I62" s="144">
        <f t="shared" si="189"/>
        <v>-4.2176870748299322</v>
      </c>
      <c r="J62" s="144">
        <f t="shared" si="189"/>
        <v>-16.326530612244898</v>
      </c>
      <c r="K62" s="144">
        <f t="shared" si="189"/>
        <v>-10.34013605442177</v>
      </c>
      <c r="L62" s="144">
        <f t="shared" si="189"/>
        <v>-11.836734693877551</v>
      </c>
      <c r="M62" s="144">
        <f t="shared" si="189"/>
        <v>-3.5374149659863949</v>
      </c>
      <c r="N62" s="144">
        <f t="shared" si="189"/>
        <v>-12.380952380952381</v>
      </c>
      <c r="O62" s="144">
        <f t="shared" si="189"/>
        <v>3.9455782312925174</v>
      </c>
      <c r="P62" s="144">
        <f t="shared" si="189"/>
        <v>15.510204081632654</v>
      </c>
      <c r="Q62" s="144">
        <f t="shared" ref="Q62" si="190">(Q7+Q15-Q10-Q9)/Q42</f>
        <v>38.367346938775512</v>
      </c>
      <c r="R62" s="118">
        <f>((P62/G62)^(1/($H$2-$H$1) ))-1</f>
        <v>-2.0331540984403533</v>
      </c>
      <c r="S62" s="128"/>
      <c r="T62" s="157">
        <f t="shared" ref="T62:AC62" si="191">(T7+T15-T10-T9)/T42</f>
        <v>42.021379980563644</v>
      </c>
      <c r="U62" s="157">
        <f t="shared" si="191"/>
        <v>46.023416169188764</v>
      </c>
      <c r="V62" s="157">
        <f t="shared" si="191"/>
        <v>50.406598661492446</v>
      </c>
      <c r="W62" s="157">
        <f t="shared" si="191"/>
        <v>55.207227105444083</v>
      </c>
      <c r="X62" s="157">
        <f t="shared" si="191"/>
        <v>60.465058258343525</v>
      </c>
      <c r="Y62" s="157">
        <f t="shared" si="191"/>
        <v>66.223635235328629</v>
      </c>
      <c r="Z62" s="157">
        <f t="shared" si="191"/>
        <v>72.530648114883704</v>
      </c>
      <c r="AA62" s="157">
        <f t="shared" si="191"/>
        <v>79.438328887729782</v>
      </c>
      <c r="AB62" s="157">
        <f t="shared" si="191"/>
        <v>87.003884019894485</v>
      </c>
      <c r="AC62" s="157">
        <f t="shared" si="191"/>
        <v>95.28996821226545</v>
      </c>
      <c r="AD62" s="138" t="e">
        <f t="shared" si="167"/>
        <v>#NUM!</v>
      </c>
      <c r="AE62" s="31">
        <f t="shared" si="15"/>
        <v>0.05</v>
      </c>
      <c r="AF62" s="146">
        <f t="shared" si="168"/>
        <v>588.55568601693369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2.0408163265306123</v>
      </c>
      <c r="H64" s="144">
        <f t="shared" si="192"/>
        <v>2.0408163265306123</v>
      </c>
      <c r="I64" s="144">
        <f t="shared" si="192"/>
        <v>0.68027210884353739</v>
      </c>
      <c r="J64" s="144">
        <f t="shared" si="192"/>
        <v>0.54421768707482998</v>
      </c>
      <c r="K64" s="144">
        <f t="shared" si="192"/>
        <v>1.08843537414966</v>
      </c>
      <c r="L64" s="144">
        <f t="shared" si="192"/>
        <v>1.08843537414966</v>
      </c>
      <c r="M64" s="144">
        <f t="shared" si="192"/>
        <v>0.68027210884353739</v>
      </c>
      <c r="N64" s="144">
        <f t="shared" si="192"/>
        <v>0.54421768707482998</v>
      </c>
      <c r="O64" s="144">
        <f t="shared" si="192"/>
        <v>0.95238095238095244</v>
      </c>
      <c r="P64" s="144">
        <f t="shared" si="192"/>
        <v>0.81632653061224492</v>
      </c>
      <c r="Q64" s="144">
        <f t="shared" ref="Q64" si="193">Q12/Q42</f>
        <v>0.81632653061224492</v>
      </c>
      <c r="R64" s="118">
        <f>((P64/G64)^(1/($H$2-$H$1) ))-1</f>
        <v>-9.6798929863317729E-2</v>
      </c>
      <c r="S64" s="128"/>
      <c r="T64" s="157">
        <f t="shared" ref="T64:AC64" si="194">T12/T42</f>
        <v>0.89407191448007761</v>
      </c>
      <c r="U64" s="157">
        <f t="shared" si="194"/>
        <v>0.97922162062103735</v>
      </c>
      <c r="V64" s="157">
        <f t="shared" si="194"/>
        <v>1.0724808225849456</v>
      </c>
      <c r="W64" s="157">
        <f t="shared" si="194"/>
        <v>1.1746218533073212</v>
      </c>
      <c r="X64" s="157">
        <f t="shared" si="194"/>
        <v>1.2864906012413517</v>
      </c>
      <c r="Y64" s="157">
        <f t="shared" si="194"/>
        <v>1.4090135156452896</v>
      </c>
      <c r="Z64" s="157">
        <f t="shared" si="194"/>
        <v>1.5432052790400788</v>
      </c>
      <c r="AA64" s="157">
        <f t="shared" si="194"/>
        <v>1.690177210377229</v>
      </c>
      <c r="AB64" s="157">
        <f t="shared" si="194"/>
        <v>1.8511464685083934</v>
      </c>
      <c r="AC64" s="157">
        <f t="shared" si="194"/>
        <v>2.0274461321758595</v>
      </c>
      <c r="AD64" s="138">
        <f t="shared" si="167"/>
        <v>-3.285934921735123E-4</v>
      </c>
      <c r="AE64" s="31">
        <f t="shared" si="15"/>
        <v>0.05</v>
      </c>
      <c r="AF64" s="146">
        <f t="shared" si="168"/>
        <v>12.522461404615605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2.7210884353741496</v>
      </c>
      <c r="H65" s="144">
        <f t="shared" si="195"/>
        <v>2.7210884353741496</v>
      </c>
      <c r="I65" s="144">
        <f t="shared" si="195"/>
        <v>0.68027210884353739</v>
      </c>
      <c r="J65" s="144">
        <f t="shared" si="195"/>
        <v>0.95238095238095244</v>
      </c>
      <c r="K65" s="144">
        <f t="shared" si="195"/>
        <v>0.40816326530612246</v>
      </c>
      <c r="L65" s="144">
        <f t="shared" si="195"/>
        <v>0.44897959183673469</v>
      </c>
      <c r="M65" s="144">
        <f t="shared" si="195"/>
        <v>0.44897959183673469</v>
      </c>
      <c r="N65" s="144">
        <f t="shared" si="195"/>
        <v>0.54421768707482998</v>
      </c>
      <c r="O65" s="144">
        <f t="shared" si="195"/>
        <v>0</v>
      </c>
      <c r="P65" s="144">
        <f t="shared" si="195"/>
        <v>1.08843537414966E-2</v>
      </c>
      <c r="Q65" s="144">
        <f t="shared" ref="Q65" si="196">Q13/Q42</f>
        <v>1.08843537414966E-2</v>
      </c>
      <c r="R65" s="118">
        <f>((P65/G65)^(1/($H$2-$H$1) ))-1</f>
        <v>-0.45854518358184571</v>
      </c>
      <c r="S65" s="128"/>
      <c r="T65" s="157">
        <f t="shared" ref="T65:AC65" si="197">T13/T42</f>
        <v>1.1920958859734369E-2</v>
      </c>
      <c r="U65" s="157">
        <f t="shared" si="197"/>
        <v>1.3056288274947167E-2</v>
      </c>
      <c r="V65" s="157">
        <f t="shared" si="197"/>
        <v>1.4299744301132612E-2</v>
      </c>
      <c r="W65" s="157">
        <f t="shared" si="197"/>
        <v>1.5661624710764287E-2</v>
      </c>
      <c r="X65" s="157">
        <f t="shared" si="197"/>
        <v>1.7153208016551361E-2</v>
      </c>
      <c r="Y65" s="157">
        <f t="shared" si="197"/>
        <v>1.8786846875270533E-2</v>
      </c>
      <c r="Z65" s="157">
        <f t="shared" si="197"/>
        <v>2.0576070387201058E-2</v>
      </c>
      <c r="AA65" s="157">
        <f t="shared" si="197"/>
        <v>2.2535696138363061E-2</v>
      </c>
      <c r="AB65" s="157">
        <f t="shared" si="197"/>
        <v>2.4681952913445254E-2</v>
      </c>
      <c r="AC65" s="157">
        <f t="shared" si="197"/>
        <v>2.7032615095678132E-2</v>
      </c>
      <c r="AD65" s="138">
        <f t="shared" si="167"/>
        <v>-0.20593277636429852</v>
      </c>
      <c r="AE65" s="31">
        <f t="shared" si="15"/>
        <v>0.05</v>
      </c>
      <c r="AF65" s="146">
        <f t="shared" si="168"/>
        <v>0.16696615206154142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4.7619047619047619</v>
      </c>
      <c r="H66" s="144">
        <f t="shared" si="198"/>
        <v>4.7619047619047619</v>
      </c>
      <c r="I66" s="144">
        <f t="shared" si="198"/>
        <v>1.3605442176870748</v>
      </c>
      <c r="J66" s="144">
        <f t="shared" si="198"/>
        <v>1.4965986394557824</v>
      </c>
      <c r="K66" s="144">
        <f t="shared" si="198"/>
        <v>1.4965986394557824</v>
      </c>
      <c r="L66" s="144">
        <f t="shared" si="198"/>
        <v>1.5374149659863947</v>
      </c>
      <c r="M66" s="144">
        <f t="shared" si="198"/>
        <v>1.129251700680272</v>
      </c>
      <c r="N66" s="144">
        <f t="shared" si="198"/>
        <v>1.08843537414966</v>
      </c>
      <c r="O66" s="144">
        <f t="shared" ref="O66" si="199">(O64+O65)</f>
        <v>0.95238095238095244</v>
      </c>
      <c r="P66" s="144">
        <f t="shared" si="198"/>
        <v>0.82721088435374157</v>
      </c>
      <c r="Q66" s="144">
        <f t="shared" ref="Q66" si="200">(Q64+Q65)</f>
        <v>0.82721088435374157</v>
      </c>
      <c r="R66" s="118">
        <f>((P66/G66)^(1/($H$2-$H$1) ))-1</f>
        <v>-0.17673949398055655</v>
      </c>
      <c r="S66" s="128"/>
      <c r="T66" s="157">
        <f t="shared" ref="T66:AC66" si="201">(T64+T65)</f>
        <v>0.90599287333981193</v>
      </c>
      <c r="U66" s="157">
        <f t="shared" si="201"/>
        <v>0.99227790889598455</v>
      </c>
      <c r="V66" s="157">
        <f t="shared" si="201"/>
        <v>1.0867805668860782</v>
      </c>
      <c r="W66" s="157">
        <f t="shared" si="201"/>
        <v>1.1902834780180855</v>
      </c>
      <c r="X66" s="157">
        <f t="shared" si="201"/>
        <v>1.303643809257903</v>
      </c>
      <c r="Y66" s="157">
        <f t="shared" si="201"/>
        <v>1.4278003625205602</v>
      </c>
      <c r="Z66" s="157">
        <f t="shared" si="201"/>
        <v>1.5637813494272799</v>
      </c>
      <c r="AA66" s="157">
        <f t="shared" si="201"/>
        <v>1.7127129065155922</v>
      </c>
      <c r="AB66" s="157">
        <f t="shared" si="201"/>
        <v>1.8758284214218386</v>
      </c>
      <c r="AC66" s="157">
        <f t="shared" si="201"/>
        <v>2.0544787472715376</v>
      </c>
      <c r="AD66" s="138">
        <f t="shared" si="167"/>
        <v>-4.116021161191441E-2</v>
      </c>
      <c r="AE66" s="31">
        <f t="shared" si="15"/>
        <v>0.05</v>
      </c>
      <c r="AF66" s="146">
        <f t="shared" si="168"/>
        <v>12.689427556677146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67.34693877551021</v>
      </c>
      <c r="H67" s="144">
        <f t="shared" si="202"/>
        <v>64.625850340136054</v>
      </c>
      <c r="I67" s="144">
        <f t="shared" si="202"/>
        <v>16.598639455782315</v>
      </c>
      <c r="J67" s="144">
        <f t="shared" si="202"/>
        <v>25.170068027210885</v>
      </c>
      <c r="K67" s="144">
        <f t="shared" si="202"/>
        <v>31.700680272108844</v>
      </c>
      <c r="L67" s="144">
        <f t="shared" si="202"/>
        <v>28.843537414965986</v>
      </c>
      <c r="M67" s="144">
        <f t="shared" si="202"/>
        <v>30.068027210884356</v>
      </c>
      <c r="N67" s="144">
        <f t="shared" si="202"/>
        <v>34.285714285714285</v>
      </c>
      <c r="O67" s="144">
        <f t="shared" si="202"/>
        <v>45.986394557823132</v>
      </c>
      <c r="P67" s="144">
        <f t="shared" si="202"/>
        <v>50.06802721088436</v>
      </c>
      <c r="Q67" s="144">
        <f t="shared" ref="Q67" si="203">Q15/Q42</f>
        <v>50.06802721088436</v>
      </c>
      <c r="R67" s="118">
        <f>((P67/G67)^(1/($H$2-$H$1) ))-1</f>
        <v>-3.2404980136587658E-2</v>
      </c>
      <c r="S67" s="128"/>
      <c r="T67" s="157">
        <f t="shared" ref="T67:AC67" si="204">T15/T42</f>
        <v>54.8364107547781</v>
      </c>
      <c r="U67" s="157">
        <f t="shared" si="204"/>
        <v>60.058926064756967</v>
      </c>
      <c r="V67" s="157">
        <f t="shared" si="204"/>
        <v>65.778823785210008</v>
      </c>
      <c r="W67" s="157">
        <f t="shared" si="204"/>
        <v>72.043473669515706</v>
      </c>
      <c r="X67" s="157">
        <f t="shared" si="204"/>
        <v>78.904756876136247</v>
      </c>
      <c r="Y67" s="157">
        <f t="shared" si="204"/>
        <v>86.419495626244455</v>
      </c>
      <c r="Z67" s="157">
        <f t="shared" si="204"/>
        <v>94.649923781124869</v>
      </c>
      <c r="AA67" s="157">
        <f t="shared" si="204"/>
        <v>103.66420223647008</v>
      </c>
      <c r="AB67" s="157">
        <f t="shared" si="204"/>
        <v>113.53698340184816</v>
      </c>
      <c r="AC67" s="157">
        <f t="shared" si="204"/>
        <v>124.35002944011941</v>
      </c>
      <c r="AD67" s="138">
        <f t="shared" si="167"/>
        <v>3.1137073187590181E-2</v>
      </c>
      <c r="AE67" s="31">
        <f t="shared" si="15"/>
        <v>0.05</v>
      </c>
      <c r="AF67" s="146">
        <f t="shared" si="168"/>
        <v>768.04429948309064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34.013605442176875</v>
      </c>
      <c r="H68" s="144">
        <f t="shared" si="205"/>
        <v>8.8435374149659864</v>
      </c>
      <c r="I68" s="144">
        <f t="shared" si="205"/>
        <v>7.0748299319727899</v>
      </c>
      <c r="J68" s="144">
        <f t="shared" si="205"/>
        <v>14.829931972789117</v>
      </c>
      <c r="K68" s="144">
        <f t="shared" si="205"/>
        <v>20.136054421768709</v>
      </c>
      <c r="L68" s="144">
        <f t="shared" si="205"/>
        <v>21.22448979591837</v>
      </c>
      <c r="M68" s="144">
        <f t="shared" si="205"/>
        <v>13.741496598639456</v>
      </c>
      <c r="N68" s="144">
        <f t="shared" si="205"/>
        <v>2.3129251700680271</v>
      </c>
      <c r="O68" s="144">
        <f t="shared" si="205"/>
        <v>-3.8095238095238098</v>
      </c>
      <c r="P68" s="144">
        <f t="shared" si="205"/>
        <v>3.1292517006802725</v>
      </c>
      <c r="Q68" s="144">
        <f t="shared" ref="Q68" si="206">Q16/Q42</f>
        <v>3.1292517006802725</v>
      </c>
      <c r="R68" s="118">
        <f>((P68/G68)^(1/($H$2-$H$1) ))-1</f>
        <v>-0.23287645220692621</v>
      </c>
      <c r="S68" s="128"/>
      <c r="T68" s="157">
        <f t="shared" ref="T68:AC68" si="207">T16/T42</f>
        <v>3.4272756721736313</v>
      </c>
      <c r="U68" s="157">
        <f t="shared" si="207"/>
        <v>3.7536828790473105</v>
      </c>
      <c r="V68" s="157">
        <f t="shared" si="207"/>
        <v>4.1111764865756255</v>
      </c>
      <c r="W68" s="157">
        <f t="shared" si="207"/>
        <v>4.5027171043447316</v>
      </c>
      <c r="X68" s="157">
        <f t="shared" si="207"/>
        <v>4.9315473047585154</v>
      </c>
      <c r="Y68" s="157">
        <f t="shared" si="207"/>
        <v>5.4012184766402784</v>
      </c>
      <c r="Z68" s="157">
        <f t="shared" si="207"/>
        <v>5.9156202363203043</v>
      </c>
      <c r="AA68" s="157">
        <f t="shared" si="207"/>
        <v>6.4790126397793797</v>
      </c>
      <c r="AB68" s="157">
        <f t="shared" si="207"/>
        <v>7.0960614626155101</v>
      </c>
      <c r="AC68" s="157">
        <f t="shared" si="207"/>
        <v>7.7718768400074634</v>
      </c>
      <c r="AD68" s="138">
        <f t="shared" si="167"/>
        <v>-7.1154113727346924E-2</v>
      </c>
      <c r="AE68" s="137"/>
      <c r="AF68" s="146">
        <f t="shared" si="168"/>
        <v>35.326712909124836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2</v>
      </c>
      <c r="H70" s="159">
        <f t="shared" si="208"/>
        <v>3.5</v>
      </c>
      <c r="I70" s="159">
        <f t="shared" si="208"/>
        <v>0.7</v>
      </c>
      <c r="J70" s="159">
        <f t="shared" si="208"/>
        <v>0.2</v>
      </c>
      <c r="K70" s="159">
        <f t="shared" si="208"/>
        <v>0.2</v>
      </c>
      <c r="L70" s="159">
        <f t="shared" si="208"/>
        <v>0.20100000000000001</v>
      </c>
      <c r="M70" s="159">
        <f t="shared" si="208"/>
        <v>1</v>
      </c>
      <c r="N70" s="159">
        <f t="shared" si="208"/>
        <v>2</v>
      </c>
      <c r="O70" s="159">
        <f t="shared" si="208"/>
        <v>2.5</v>
      </c>
      <c r="P70" s="159">
        <f t="shared" si="208"/>
        <v>3</v>
      </c>
      <c r="Q70" s="159">
        <f t="shared" ref="Q70" si="209">Q44</f>
        <v>3.5</v>
      </c>
      <c r="R70" s="118">
        <f>((P70/G70)^(1/($H$2-$H$1) ))-1</f>
        <v>4.6081918643214648E-2</v>
      </c>
      <c r="S70" s="128"/>
      <c r="T70" s="159">
        <f t="shared" ref="T70:AC70" si="210">T44</f>
        <v>3.6750000000000003</v>
      </c>
      <c r="U70" s="159">
        <f t="shared" si="210"/>
        <v>3.8587500000000006</v>
      </c>
      <c r="V70" s="159">
        <f t="shared" si="210"/>
        <v>4.0516875000000008</v>
      </c>
      <c r="W70" s="159">
        <f t="shared" si="210"/>
        <v>4.2542718750000006</v>
      </c>
      <c r="X70" s="159">
        <f t="shared" si="210"/>
        <v>4.4669854687500008</v>
      </c>
      <c r="Y70" s="159">
        <f t="shared" si="210"/>
        <v>4.6903347421875008</v>
      </c>
      <c r="Z70" s="159">
        <f t="shared" si="210"/>
        <v>4.9248514792968763</v>
      </c>
      <c r="AA70" s="159">
        <f t="shared" si="210"/>
        <v>5.1710940532617204</v>
      </c>
      <c r="AB70" s="159">
        <f t="shared" si="210"/>
        <v>5.4296487559248066</v>
      </c>
      <c r="AC70" s="159">
        <f t="shared" si="210"/>
        <v>5.7011311937210474</v>
      </c>
      <c r="AD70" s="138">
        <f t="shared" ref="AD70" si="211">((AC70/G70)^(1/($AC$3-$H$1) ))-1</f>
        <v>5.3771750833720544E-2</v>
      </c>
      <c r="AE70" s="31">
        <f t="shared" si="15"/>
        <v>0.05</v>
      </c>
      <c r="AF70" s="146">
        <f t="shared" si="168"/>
        <v>35.212869137688827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316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6</v>
      </c>
      <c r="H72" s="144">
        <f t="shared" si="212"/>
        <v>5</v>
      </c>
      <c r="I72" s="144">
        <f t="shared" si="212"/>
        <v>-49</v>
      </c>
      <c r="J72" s="144">
        <f t="shared" si="212"/>
        <v>-125</v>
      </c>
      <c r="K72" s="144">
        <f t="shared" si="212"/>
        <v>1</v>
      </c>
      <c r="L72" s="144">
        <f t="shared" si="212"/>
        <v>13.399999999999999</v>
      </c>
      <c r="M72" s="144">
        <f t="shared" si="212"/>
        <v>61</v>
      </c>
      <c r="N72" s="144">
        <f t="shared" si="212"/>
        <v>-9</v>
      </c>
      <c r="O72" s="144">
        <f t="shared" si="212"/>
        <v>45</v>
      </c>
      <c r="P72" s="144">
        <f t="shared" si="212"/>
        <v>22</v>
      </c>
      <c r="Q72" s="144">
        <f t="shared" ref="Q72" si="213">Q20+Q21</f>
        <v>22</v>
      </c>
      <c r="R72" s="118">
        <f>((P72/G72)^(1/($H$2-$H$1) ))-1</f>
        <v>0.15530545939187279</v>
      </c>
      <c r="S72" s="128"/>
      <c r="T72" s="144">
        <f t="shared" ref="T72:AC72" si="214">T20+T21</f>
        <v>25.299999999999997</v>
      </c>
      <c r="U72" s="144">
        <f t="shared" si="214"/>
        <v>29.094999999999999</v>
      </c>
      <c r="V72" s="144">
        <f t="shared" si="214"/>
        <v>33.459249999999983</v>
      </c>
      <c r="W72" s="144">
        <f t="shared" si="214"/>
        <v>38.478137499999974</v>
      </c>
      <c r="X72" s="144">
        <f t="shared" si="214"/>
        <v>44.249858124999946</v>
      </c>
      <c r="Y72" s="144">
        <f t="shared" si="214"/>
        <v>50.887336843749949</v>
      </c>
      <c r="Z72" s="144">
        <f t="shared" si="214"/>
        <v>58.520437370312436</v>
      </c>
      <c r="AA72" s="144">
        <f t="shared" si="214"/>
        <v>67.298502975859265</v>
      </c>
      <c r="AB72" s="144">
        <f t="shared" si="214"/>
        <v>77.393278422238154</v>
      </c>
      <c r="AC72" s="144">
        <f t="shared" si="214"/>
        <v>89.002270185573877</v>
      </c>
      <c r="AD72" s="138">
        <f t="shared" ref="AD72:AD77" si="215">((AC72/G72)^(1/($AC$3-$H$1) ))-1</f>
        <v>0.14435953267189672</v>
      </c>
      <c r="AE72" s="31">
        <f t="shared" si="15"/>
        <v>0.05</v>
      </c>
      <c r="AF72" s="146">
        <f t="shared" si="168"/>
        <v>549.71990408736815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317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4.0816326530612246</v>
      </c>
      <c r="H74" s="144">
        <f t="shared" si="216"/>
        <v>3.4013605442176873</v>
      </c>
      <c r="I74" s="144">
        <f t="shared" si="216"/>
        <v>-6.666666666666667</v>
      </c>
      <c r="J74" s="144">
        <f t="shared" si="216"/>
        <v>-17.006802721088437</v>
      </c>
      <c r="K74" s="144">
        <f t="shared" si="216"/>
        <v>0.1360544217687075</v>
      </c>
      <c r="L74" s="144">
        <f t="shared" si="216"/>
        <v>1.8231292517006801</v>
      </c>
      <c r="M74" s="144">
        <f t="shared" si="216"/>
        <v>8.2993197278911577</v>
      </c>
      <c r="N74" s="144">
        <f t="shared" si="216"/>
        <v>-1.2244897959183674</v>
      </c>
      <c r="O74" s="144">
        <f t="shared" si="216"/>
        <v>6.1224489795918373</v>
      </c>
      <c r="P74" s="144">
        <f t="shared" si="216"/>
        <v>2.9931972789115648</v>
      </c>
      <c r="Q74" s="144">
        <f t="shared" ref="Q74" si="217">Q72/Q42</f>
        <v>2.9931972789115648</v>
      </c>
      <c r="R74" s="118">
        <f>((P74/G74)^(1/($H$2-$H$1) ))-1</f>
        <v>-3.3874618520951416E-2</v>
      </c>
      <c r="S74" s="128"/>
      <c r="T74" s="146">
        <f t="shared" ref="T74:AC74" si="218">T72/T42</f>
        <v>3.2782636864269512</v>
      </c>
      <c r="U74" s="146">
        <f t="shared" si="218"/>
        <v>3.5904792756104711</v>
      </c>
      <c r="V74" s="146">
        <f t="shared" si="218"/>
        <v>3.9324296828114664</v>
      </c>
      <c r="W74" s="146">
        <f t="shared" si="218"/>
        <v>4.3069467954601768</v>
      </c>
      <c r="X74" s="146">
        <f t="shared" si="218"/>
        <v>4.7171322045516195</v>
      </c>
      <c r="Y74" s="146">
        <f t="shared" si="218"/>
        <v>5.1663828906993929</v>
      </c>
      <c r="Z74" s="146">
        <f t="shared" si="218"/>
        <v>5.6584193564802874</v>
      </c>
      <c r="AA74" s="146">
        <f t="shared" si="218"/>
        <v>6.1973164380498345</v>
      </c>
      <c r="AB74" s="146">
        <f t="shared" si="218"/>
        <v>6.7875370511974369</v>
      </c>
      <c r="AC74" s="146">
        <f t="shared" si="218"/>
        <v>7.4339691513114792</v>
      </c>
      <c r="AD74" s="138">
        <f t="shared" si="215"/>
        <v>3.0432011233071599E-2</v>
      </c>
      <c r="AE74" s="31">
        <f t="shared" si="15"/>
        <v>0.05</v>
      </c>
      <c r="AF74" s="146">
        <f t="shared" si="168"/>
        <v>45.915691816923847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23.80952380952381</v>
      </c>
      <c r="H75" s="144">
        <f t="shared" si="219"/>
        <v>52.38095238095238</v>
      </c>
      <c r="I75" s="144">
        <f t="shared" si="219"/>
        <v>0.54421768707482998</v>
      </c>
      <c r="J75" s="144">
        <f t="shared" si="219"/>
        <v>-3.4013605442176873</v>
      </c>
      <c r="K75" s="144">
        <f t="shared" si="219"/>
        <v>0.68027210884353739</v>
      </c>
      <c r="L75" s="144">
        <f t="shared" si="219"/>
        <v>3.4557823129251699</v>
      </c>
      <c r="M75" s="144">
        <f t="shared" si="219"/>
        <v>14.693877551020408</v>
      </c>
      <c r="N75" s="144">
        <f t="shared" si="219"/>
        <v>21.632653061224492</v>
      </c>
      <c r="O75" s="144">
        <f t="shared" si="219"/>
        <v>10.612244897959185</v>
      </c>
      <c r="P75" s="144">
        <f t="shared" si="219"/>
        <v>11.836734693877551</v>
      </c>
      <c r="Q75" s="144">
        <f t="shared" ref="Q75" si="220">Q20/Q42</f>
        <v>11.836734693877551</v>
      </c>
      <c r="R75" s="118">
        <f>((P75/G75)^(1/($H$2-$H$1) ))-1</f>
        <v>-7.471464303674924E-2</v>
      </c>
      <c r="S75" s="128"/>
      <c r="T75" s="146">
        <f t="shared" ref="T75:AC75" si="221">T20/T42</f>
        <v>12.964042759961126</v>
      </c>
      <c r="U75" s="146">
        <f t="shared" si="221"/>
        <v>14.198713499005043</v>
      </c>
      <c r="V75" s="146">
        <f t="shared" si="221"/>
        <v>15.550971927481713</v>
      </c>
      <c r="W75" s="146">
        <f t="shared" si="221"/>
        <v>17.032016872956159</v>
      </c>
      <c r="X75" s="146">
        <f t="shared" si="221"/>
        <v>18.6541137179996</v>
      </c>
      <c r="Y75" s="146">
        <f t="shared" si="221"/>
        <v>20.4306959768567</v>
      </c>
      <c r="Z75" s="146">
        <f t="shared" si="221"/>
        <v>22.376476546081147</v>
      </c>
      <c r="AA75" s="146">
        <f t="shared" si="221"/>
        <v>24.507569550469821</v>
      </c>
      <c r="AB75" s="146">
        <f t="shared" si="221"/>
        <v>26.841623793371706</v>
      </c>
      <c r="AC75" s="146">
        <f t="shared" si="221"/>
        <v>29.397968916549964</v>
      </c>
      <c r="AD75" s="138">
        <f t="shared" si="215"/>
        <v>1.0597758960346093E-2</v>
      </c>
      <c r="AE75" s="31">
        <f t="shared" si="15"/>
        <v>0.05</v>
      </c>
      <c r="AF75" s="146">
        <f t="shared" si="168"/>
        <v>181.57569036692627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-19.727891156462587</v>
      </c>
      <c r="H76" s="144">
        <f t="shared" si="222"/>
        <v>-48.979591836734691</v>
      </c>
      <c r="I76" s="144">
        <f t="shared" si="222"/>
        <v>-7.2108843537414966</v>
      </c>
      <c r="J76" s="144">
        <f t="shared" si="222"/>
        <v>-13.605442176870749</v>
      </c>
      <c r="K76" s="144">
        <f t="shared" si="222"/>
        <v>-0.54421768707482998</v>
      </c>
      <c r="L76" s="144">
        <f t="shared" si="222"/>
        <v>-1.6326530612244898</v>
      </c>
      <c r="M76" s="144">
        <f t="shared" si="222"/>
        <v>-6.3945578231292517</v>
      </c>
      <c r="N76" s="144">
        <f t="shared" si="222"/>
        <v>-22.857142857142858</v>
      </c>
      <c r="O76" s="144">
        <f t="shared" si="222"/>
        <v>-4.4897959183673475</v>
      </c>
      <c r="P76" s="144">
        <f t="shared" si="222"/>
        <v>-8.8435374149659864</v>
      </c>
      <c r="Q76" s="144">
        <f t="shared" ref="Q76" si="223">Q21/Q42</f>
        <v>-8.8435374149659864</v>
      </c>
      <c r="R76" s="118">
        <f>((P76/G76)^(1/($H$2-$H$1) ))-1</f>
        <v>-8.5291284457691408E-2</v>
      </c>
      <c r="S76" s="128"/>
      <c r="T76" s="146">
        <f t="shared" ref="T76:AC76" si="224">T21/T42</f>
        <v>-9.6857790735341744</v>
      </c>
      <c r="U76" s="146">
        <f t="shared" si="224"/>
        <v>-10.608234223394572</v>
      </c>
      <c r="V76" s="146">
        <f t="shared" si="224"/>
        <v>-11.618542244670246</v>
      </c>
      <c r="W76" s="146">
        <f t="shared" si="224"/>
        <v>-12.725070077495982</v>
      </c>
      <c r="X76" s="146">
        <f t="shared" si="224"/>
        <v>-13.93698151344798</v>
      </c>
      <c r="Y76" s="146">
        <f t="shared" si="224"/>
        <v>-15.264313086157308</v>
      </c>
      <c r="Z76" s="146">
        <f t="shared" si="224"/>
        <v>-16.718057189600859</v>
      </c>
      <c r="AA76" s="146">
        <f t="shared" si="224"/>
        <v>-18.310253112419986</v>
      </c>
      <c r="AB76" s="146">
        <f t="shared" si="224"/>
        <v>-20.054086742174267</v>
      </c>
      <c r="AC76" s="146">
        <f t="shared" si="224"/>
        <v>-21.963999765238484</v>
      </c>
      <c r="AD76" s="138">
        <f t="shared" si="215"/>
        <v>5.383002047250951E-3</v>
      </c>
      <c r="AE76" s="31">
        <f t="shared" si="15"/>
        <v>0.05</v>
      </c>
      <c r="AF76" s="146">
        <f t="shared" si="168"/>
        <v>-135.65999855000243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-4.0816326530612246</v>
      </c>
      <c r="H77" s="144">
        <f t="shared" si="225"/>
        <v>-3.4013605442176873</v>
      </c>
      <c r="I77" s="144">
        <f t="shared" si="225"/>
        <v>6.9387755102040822</v>
      </c>
      <c r="J77" s="144">
        <f t="shared" si="225"/>
        <v>16.870748299319729</v>
      </c>
      <c r="K77" s="144">
        <f t="shared" si="225"/>
        <v>0.40816326530612246</v>
      </c>
      <c r="L77" s="144">
        <f t="shared" si="225"/>
        <v>-1.9047619047619049</v>
      </c>
      <c r="M77" s="144">
        <f t="shared" si="225"/>
        <v>-8.7074829931972797</v>
      </c>
      <c r="N77" s="144">
        <f t="shared" si="225"/>
        <v>1.08843537414966</v>
      </c>
      <c r="O77" s="144">
        <f t="shared" si="225"/>
        <v>-5.7142857142857144</v>
      </c>
      <c r="P77" s="144">
        <f t="shared" si="225"/>
        <v>-3.5374149659863949</v>
      </c>
      <c r="Q77" s="144">
        <f t="shared" ref="Q77" si="226">Q22/Q42</f>
        <v>-3.5374149659863949</v>
      </c>
      <c r="R77" s="118">
        <f>((P77/G77)^(1/($H$2-$H$1) ))-1</f>
        <v>-1.5774354551111536E-2</v>
      </c>
      <c r="S77" s="128"/>
      <c r="T77" s="146">
        <f t="shared" ref="T77:AC77" si="227">T22/T42</f>
        <v>-3.8743116294136701</v>
      </c>
      <c r="U77" s="146">
        <f t="shared" si="227"/>
        <v>-4.243293689357829</v>
      </c>
      <c r="V77" s="146">
        <f t="shared" si="227"/>
        <v>-4.6474168978680988</v>
      </c>
      <c r="W77" s="146">
        <f t="shared" si="227"/>
        <v>-5.0900280309983934</v>
      </c>
      <c r="X77" s="146">
        <f t="shared" si="227"/>
        <v>-5.5747926053791925</v>
      </c>
      <c r="Y77" s="146">
        <f t="shared" si="227"/>
        <v>-6.1057252344629243</v>
      </c>
      <c r="Z77" s="146">
        <f t="shared" si="227"/>
        <v>-6.6872228758403436</v>
      </c>
      <c r="AA77" s="146">
        <f t="shared" si="227"/>
        <v>-7.324101244967995</v>
      </c>
      <c r="AB77" s="146">
        <f t="shared" si="227"/>
        <v>-8.0216346968697074</v>
      </c>
      <c r="AC77" s="146">
        <f t="shared" si="227"/>
        <v>-8.7855999060953938</v>
      </c>
      <c r="AD77" s="138">
        <f t="shared" si="215"/>
        <v>3.9074950764331984E-2</v>
      </c>
      <c r="AE77" s="31">
        <f t="shared" si="15"/>
        <v>0.05</v>
      </c>
      <c r="AF77" s="146">
        <f t="shared" si="168"/>
        <v>-54.263999420000964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2.0408163265306123</v>
      </c>
      <c r="H78" s="144">
        <f t="shared" si="228"/>
        <v>2.0408163265306123</v>
      </c>
      <c r="I78" s="144">
        <f t="shared" si="228"/>
        <v>0.68027210884353739</v>
      </c>
      <c r="J78" s="144">
        <f t="shared" si="228"/>
        <v>0.54421768707482998</v>
      </c>
      <c r="K78" s="144">
        <f t="shared" si="228"/>
        <v>1.08843537414966</v>
      </c>
      <c r="L78" s="144">
        <f t="shared" si="228"/>
        <v>1.08843537414966</v>
      </c>
      <c r="M78" s="144">
        <f t="shared" si="228"/>
        <v>0.68027210884353739</v>
      </c>
      <c r="N78" s="144">
        <f t="shared" si="228"/>
        <v>0.40816326530612246</v>
      </c>
      <c r="O78" s="144">
        <f t="shared" si="228"/>
        <v>0.68027210884353739</v>
      </c>
      <c r="P78" s="144">
        <f t="shared" si="228"/>
        <v>0.31292517006802723</v>
      </c>
      <c r="Q78" s="144">
        <f t="shared" ref="Q78" si="229">Q23/Q42</f>
        <v>0.31292517006802723</v>
      </c>
      <c r="R78" s="118">
        <f>((P78/G78)^(1/($H$2-$H$1) ))-1</f>
        <v>-0.1880763811375592</v>
      </c>
      <c r="S78" s="128"/>
      <c r="T78" s="146">
        <f t="shared" ref="T78:AC78" si="230">T23/T42</f>
        <v>0.34272756721736308</v>
      </c>
      <c r="U78" s="146">
        <f t="shared" si="230"/>
        <v>0.37536828790473092</v>
      </c>
      <c r="V78" s="146">
        <f t="shared" si="230"/>
        <v>0.41111764865756245</v>
      </c>
      <c r="W78" s="146">
        <f t="shared" si="230"/>
        <v>0.45027171043447317</v>
      </c>
      <c r="X78" s="146">
        <f t="shared" si="230"/>
        <v>0.49315473047585151</v>
      </c>
      <c r="Y78" s="146">
        <f t="shared" si="230"/>
        <v>0.54012184766402771</v>
      </c>
      <c r="Z78" s="146">
        <f t="shared" si="230"/>
        <v>0.59156202363203036</v>
      </c>
      <c r="AA78" s="146">
        <f t="shared" si="230"/>
        <v>0.6479012639779379</v>
      </c>
      <c r="AB78" s="146">
        <f t="shared" si="230"/>
        <v>0.70960614626155094</v>
      </c>
      <c r="AC78" s="146">
        <f t="shared" si="230"/>
        <v>0.77718768400074623</v>
      </c>
      <c r="AD78" s="138">
        <f t="shared" ref="AD78" si="231">((AC78/G78)^(1/($AC$3-$H$1) ))-1</f>
        <v>-4.7124634221511918E-2</v>
      </c>
      <c r="AE78" s="31">
        <f t="shared" si="15"/>
        <v>0.05</v>
      </c>
      <c r="AF78" s="146">
        <f t="shared" si="168"/>
        <v>4.8002768717693156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310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34.013605442176875</v>
      </c>
      <c r="H80" s="144">
        <f t="shared" si="232"/>
        <v>42.176870748299322</v>
      </c>
      <c r="I80" s="144">
        <f t="shared" si="232"/>
        <v>9.2517006802721085</v>
      </c>
      <c r="J80" s="144">
        <f t="shared" si="232"/>
        <v>7.6190476190476195</v>
      </c>
      <c r="K80" s="144">
        <f t="shared" si="232"/>
        <v>11.156462585034014</v>
      </c>
      <c r="L80" s="144">
        <f t="shared" si="232"/>
        <v>9.6598639455782322</v>
      </c>
      <c r="M80" s="144">
        <f t="shared" si="232"/>
        <v>8.0272108843537424</v>
      </c>
      <c r="N80" s="144">
        <f t="shared" si="232"/>
        <v>20.272108843537417</v>
      </c>
      <c r="O80" s="144">
        <f t="shared" si="232"/>
        <v>28.163265306122451</v>
      </c>
      <c r="P80" s="144">
        <f t="shared" si="232"/>
        <v>33.333333333333336</v>
      </c>
      <c r="Q80" s="144">
        <f t="shared" ref="Q80" si="233">Q36/Q42</f>
        <v>33.333333333333336</v>
      </c>
      <c r="R80" s="118">
        <f>((P80/G80)^(1/($H$2-$H$1) ))-1</f>
        <v>-2.2422277009765956E-3</v>
      </c>
      <c r="S80" s="128"/>
      <c r="T80" s="144">
        <f t="shared" ref="T80:AC80" si="234">T36/T42</f>
        <v>36.507936507936506</v>
      </c>
      <c r="U80" s="144">
        <f t="shared" si="234"/>
        <v>39.984882842025698</v>
      </c>
      <c r="V80" s="144">
        <f t="shared" si="234"/>
        <v>43.792966922218618</v>
      </c>
      <c r="W80" s="144">
        <f t="shared" si="234"/>
        <v>47.963725676715626</v>
      </c>
      <c r="X80" s="144">
        <f t="shared" si="234"/>
        <v>52.531699550688536</v>
      </c>
      <c r="Y80" s="144">
        <f t="shared" si="234"/>
        <v>57.534718555516015</v>
      </c>
      <c r="Z80" s="144">
        <f t="shared" si="234"/>
        <v>63.014215560803244</v>
      </c>
      <c r="AA80" s="144">
        <f t="shared" si="234"/>
        <v>69.015569423736878</v>
      </c>
      <c r="AB80" s="144">
        <f t="shared" si="234"/>
        <v>75.588480797426087</v>
      </c>
      <c r="AC80" s="144">
        <f t="shared" si="234"/>
        <v>82.787383730514293</v>
      </c>
      <c r="AD80" s="138">
        <f t="shared" ref="AD80:AD82" si="235">((AC80/G80)^(1/($AC$3-$H$1) ))-1</f>
        <v>4.5479627429123148E-2</v>
      </c>
      <c r="AE80" s="31">
        <f t="shared" si="15"/>
        <v>0.05</v>
      </c>
      <c r="AF80" s="146">
        <f t="shared" si="168"/>
        <v>511.33384068847067</v>
      </c>
    </row>
    <row r="81" spans="2:32" x14ac:dyDescent="0.2">
      <c r="B81" s="20" t="s">
        <v>311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8.8435374149659864</v>
      </c>
      <c r="H81" s="144">
        <f t="shared" si="236"/>
        <v>17.006802721088437</v>
      </c>
      <c r="I81" s="144">
        <f t="shared" si="236"/>
        <v>3.8095238095238098</v>
      </c>
      <c r="J81" s="144">
        <f t="shared" si="236"/>
        <v>1.08843537414966</v>
      </c>
      <c r="K81" s="144">
        <f t="shared" si="236"/>
        <v>2.0408163265306123</v>
      </c>
      <c r="L81" s="144">
        <f t="shared" si="236"/>
        <v>3.9455782312925174</v>
      </c>
      <c r="M81" s="144">
        <f t="shared" si="236"/>
        <v>1.08843537414966</v>
      </c>
      <c r="N81" s="144">
        <f t="shared" si="236"/>
        <v>8.2993197278911577</v>
      </c>
      <c r="O81" s="144">
        <f t="shared" si="236"/>
        <v>11.156462585034014</v>
      </c>
      <c r="P81" s="144">
        <f t="shared" si="236"/>
        <v>14.693877551020408</v>
      </c>
      <c r="Q81" s="144">
        <f t="shared" ref="Q81" si="237">Q40/Q42</f>
        <v>14.693877551020408</v>
      </c>
      <c r="R81" s="118">
        <f>((P81/G81)^(1/($H$2-$H$1) ))-1</f>
        <v>5.8037730869352044E-2</v>
      </c>
      <c r="S81" s="128"/>
      <c r="T81" s="144">
        <f t="shared" ref="T81:AC81" si="238">T40/T42</f>
        <v>16.093294460641399</v>
      </c>
      <c r="U81" s="144">
        <f t="shared" si="238"/>
        <v>17.625989171178674</v>
      </c>
      <c r="V81" s="144">
        <f t="shared" si="238"/>
        <v>19.304654806529026</v>
      </c>
      <c r="W81" s="144">
        <f t="shared" si="238"/>
        <v>21.143193359531786</v>
      </c>
      <c r="X81" s="144">
        <f t="shared" si="238"/>
        <v>23.156830822344336</v>
      </c>
      <c r="Y81" s="144">
        <f t="shared" si="238"/>
        <v>25.362243281615218</v>
      </c>
      <c r="Z81" s="144">
        <f t="shared" si="238"/>
        <v>27.777695022721424</v>
      </c>
      <c r="AA81" s="144">
        <f t="shared" si="238"/>
        <v>30.423189786790129</v>
      </c>
      <c r="AB81" s="144">
        <f t="shared" si="238"/>
        <v>33.320636433151087</v>
      </c>
      <c r="AC81" s="144">
        <f t="shared" si="238"/>
        <v>36.49403037916548</v>
      </c>
      <c r="AD81" s="138">
        <f t="shared" si="235"/>
        <v>7.3444983061580649E-2</v>
      </c>
      <c r="AE81" s="31">
        <f t="shared" si="15"/>
        <v>0.05</v>
      </c>
      <c r="AF81" s="146">
        <f t="shared" si="168"/>
        <v>225.40430528308096</v>
      </c>
    </row>
    <row r="82" spans="2:32" x14ac:dyDescent="0.2">
      <c r="B82" s="20" t="s">
        <v>312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57.142857142857146</v>
      </c>
      <c r="H82" s="144">
        <f t="shared" si="239"/>
        <v>70.748299319727892</v>
      </c>
      <c r="I82" s="144">
        <f t="shared" si="239"/>
        <v>16.462585034013607</v>
      </c>
      <c r="J82" s="144">
        <f t="shared" si="239"/>
        <v>17.278911564625851</v>
      </c>
      <c r="K82" s="144">
        <f t="shared" si="239"/>
        <v>19.047619047619047</v>
      </c>
      <c r="L82" s="144">
        <f t="shared" si="239"/>
        <v>20</v>
      </c>
      <c r="M82" s="144">
        <f t="shared" si="239"/>
        <v>23.673469387755102</v>
      </c>
      <c r="N82" s="144">
        <f t="shared" si="239"/>
        <v>28.299319727891159</v>
      </c>
      <c r="O82" s="144">
        <f t="shared" si="239"/>
        <v>36.326530612244902</v>
      </c>
      <c r="P82" s="144">
        <f t="shared" si="239"/>
        <v>47.074829931972793</v>
      </c>
      <c r="Q82" s="144">
        <f t="shared" ref="Q82" si="240">Q6/Q42</f>
        <v>66.530612244897966</v>
      </c>
      <c r="R82" s="118">
        <f>((P82/G82)^(1/($H$2-$H$1) ))-1</f>
        <v>-2.130487927128677E-2</v>
      </c>
      <c r="S82" s="128"/>
      <c r="T82" s="144">
        <f t="shared" ref="T82:AC82" si="241">T6/T42</f>
        <v>72.866861030126316</v>
      </c>
      <c r="U82" s="144">
        <f t="shared" si="241"/>
        <v>79.80656208061454</v>
      </c>
      <c r="V82" s="144">
        <f t="shared" si="241"/>
        <v>87.40718704067308</v>
      </c>
      <c r="W82" s="144">
        <f t="shared" si="241"/>
        <v>95.73168104454669</v>
      </c>
      <c r="X82" s="144">
        <f t="shared" si="241"/>
        <v>104.84898400117017</v>
      </c>
      <c r="Y82" s="144">
        <f t="shared" si="241"/>
        <v>114.83460152509112</v>
      </c>
      <c r="Z82" s="144">
        <f t="shared" si="241"/>
        <v>125.77123024176643</v>
      </c>
      <c r="AA82" s="144">
        <f t="shared" si="241"/>
        <v>137.74944264574418</v>
      </c>
      <c r="AB82" s="144">
        <f t="shared" si="241"/>
        <v>150.86843718343405</v>
      </c>
      <c r="AC82" s="144">
        <f t="shared" si="241"/>
        <v>165.23685977233254</v>
      </c>
      <c r="AD82" s="138">
        <f t="shared" si="235"/>
        <v>5.4525895754649056E-2</v>
      </c>
      <c r="AE82" s="31">
        <f t="shared" ref="AE82" si="242">$L$1</f>
        <v>0.05</v>
      </c>
      <c r="AF82" s="146">
        <f t="shared" si="168"/>
        <v>1020.5806044761716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309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308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0.2032520325203252</v>
      </c>
      <c r="H86" s="152">
        <f t="shared" si="243"/>
        <v>0.22222222222222221</v>
      </c>
      <c r="I86" s="152">
        <f t="shared" si="243"/>
        <v>0.19710144927536233</v>
      </c>
      <c r="J86" s="152">
        <f t="shared" si="243"/>
        <v>0.12280701754385964</v>
      </c>
      <c r="K86" s="152">
        <f t="shared" si="243"/>
        <v>0.15327102803738318</v>
      </c>
      <c r="L86" s="152">
        <f t="shared" si="243"/>
        <v>0.19559228650137742</v>
      </c>
      <c r="M86" s="152">
        <f t="shared" si="243"/>
        <v>0.12421052631578948</v>
      </c>
      <c r="N86" s="152">
        <f t="shared" si="243"/>
        <v>0.15651260504201681</v>
      </c>
      <c r="O86" s="152">
        <f t="shared" si="243"/>
        <v>0.1554054054054054</v>
      </c>
      <c r="P86" s="152">
        <f t="shared" si="243"/>
        <v>0.14984709480122324</v>
      </c>
      <c r="Q86" s="152">
        <f t="shared" ref="Q86" si="244">Q36/Q25</f>
        <v>0.13271939328277357</v>
      </c>
      <c r="R86" s="118">
        <f t="shared" ref="R86:R138" si="245">((P86/G86)^(1/($H$2-$H$1) ))-1</f>
        <v>-3.3302977074619156E-2</v>
      </c>
      <c r="S86" s="152"/>
      <c r="T86" s="152">
        <f t="shared" ref="T86:AC86" si="246">T36/T25</f>
        <v>0.13271939328277357</v>
      </c>
      <c r="U86" s="152">
        <f t="shared" si="246"/>
        <v>0.13271939328277357</v>
      </c>
      <c r="V86" s="152">
        <f t="shared" si="246"/>
        <v>0.13271939328277357</v>
      </c>
      <c r="W86" s="152">
        <f t="shared" si="246"/>
        <v>0.13271939328277357</v>
      </c>
      <c r="X86" s="152">
        <f t="shared" si="246"/>
        <v>0.13271939328277357</v>
      </c>
      <c r="Y86" s="152">
        <f t="shared" si="246"/>
        <v>0.13271939328277357</v>
      </c>
      <c r="Z86" s="152">
        <f t="shared" si="246"/>
        <v>0.13271939328277357</v>
      </c>
      <c r="AA86" s="152">
        <f t="shared" si="246"/>
        <v>0.13271939328277357</v>
      </c>
      <c r="AB86" s="152">
        <f t="shared" si="246"/>
        <v>0.13271939328277357</v>
      </c>
      <c r="AC86" s="152">
        <f t="shared" si="246"/>
        <v>0.13271939328277357</v>
      </c>
      <c r="AD86" s="138">
        <f t="shared" ref="AD86:AD125" si="247">((AC86/G86)^(1/($AC$3-$H$1) ))-1</f>
        <v>-2.1085019764915836E-2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5.2845528455284556E-2</v>
      </c>
      <c r="H87" s="152">
        <f t="shared" si="248"/>
        <v>8.9605734767025089E-2</v>
      </c>
      <c r="I87" s="152">
        <f t="shared" si="248"/>
        <v>8.1159420289855067E-2</v>
      </c>
      <c r="J87" s="152">
        <f t="shared" si="248"/>
        <v>1.7543859649122806E-2</v>
      </c>
      <c r="K87" s="152">
        <f t="shared" si="248"/>
        <v>2.8037383177570093E-2</v>
      </c>
      <c r="L87" s="152">
        <f t="shared" si="248"/>
        <v>7.9889807162534437E-2</v>
      </c>
      <c r="M87" s="152">
        <f t="shared" si="248"/>
        <v>1.6842105263157894E-2</v>
      </c>
      <c r="N87" s="152">
        <f t="shared" si="248"/>
        <v>6.4075630252100835E-2</v>
      </c>
      <c r="O87" s="152">
        <f t="shared" si="248"/>
        <v>6.1561561561561562E-2</v>
      </c>
      <c r="P87" s="152">
        <f t="shared" si="248"/>
        <v>6.6055045871559637E-2</v>
      </c>
      <c r="Q87" s="152">
        <f t="shared" ref="Q87" si="249">Q40/Q25</f>
        <v>5.8504875406283859E-2</v>
      </c>
      <c r="R87" s="118">
        <f t="shared" si="245"/>
        <v>2.5100433161646007E-2</v>
      </c>
      <c r="S87" s="152"/>
      <c r="T87" s="152">
        <f t="shared" ref="T87:AC87" si="250">T40/T25</f>
        <v>5.8504875406283859E-2</v>
      </c>
      <c r="U87" s="152">
        <f t="shared" si="250"/>
        <v>5.8504875406283859E-2</v>
      </c>
      <c r="V87" s="152">
        <f t="shared" si="250"/>
        <v>5.8504875406283859E-2</v>
      </c>
      <c r="W87" s="152">
        <f t="shared" si="250"/>
        <v>5.8504875406283866E-2</v>
      </c>
      <c r="X87" s="152">
        <f t="shared" si="250"/>
        <v>5.8504875406283859E-2</v>
      </c>
      <c r="Y87" s="152">
        <f t="shared" si="250"/>
        <v>5.8504875406283859E-2</v>
      </c>
      <c r="Z87" s="152">
        <f t="shared" si="250"/>
        <v>5.8504875406283852E-2</v>
      </c>
      <c r="AA87" s="152">
        <f t="shared" si="250"/>
        <v>5.8504875406283845E-2</v>
      </c>
      <c r="AB87" s="152">
        <f t="shared" si="250"/>
        <v>5.8504875406283852E-2</v>
      </c>
      <c r="AC87" s="152">
        <f t="shared" si="250"/>
        <v>5.8504875406283859E-2</v>
      </c>
      <c r="AD87" s="138">
        <f t="shared" si="247"/>
        <v>5.099809511511344E-3</v>
      </c>
      <c r="AE87" s="146"/>
      <c r="AF87" s="146"/>
    </row>
    <row r="88" spans="2:32" x14ac:dyDescent="0.2">
      <c r="B88" s="20" t="s">
        <v>358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0.13131313131313133</v>
      </c>
      <c r="H88" s="152">
        <f t="shared" si="251"/>
        <v>0.21186440677966101</v>
      </c>
      <c r="I88" s="152">
        <f t="shared" si="251"/>
        <v>0.2074074074074074</v>
      </c>
      <c r="J88" s="152">
        <f t="shared" si="251"/>
        <v>5.6737588652482268E-2</v>
      </c>
      <c r="K88" s="152">
        <f t="shared" si="251"/>
        <v>9.6774193548387094E-2</v>
      </c>
      <c r="L88" s="152">
        <f t="shared" si="251"/>
        <v>0.17901234567901234</v>
      </c>
      <c r="M88" s="152">
        <f t="shared" si="251"/>
        <v>4.2328042328042326E-2</v>
      </c>
      <c r="N88" s="152">
        <f t="shared" si="251"/>
        <v>0.2747747747747748</v>
      </c>
      <c r="O88" s="152">
        <f t="shared" si="251"/>
        <v>0.29078014184397161</v>
      </c>
      <c r="P88" s="152">
        <f t="shared" ref="P88:Q88" si="252">P40/P7</f>
        <v>0.29916897506925205</v>
      </c>
      <c r="Q88" s="152">
        <f t="shared" si="252"/>
        <v>0.20415879017013233</v>
      </c>
      <c r="R88" s="118">
        <f t="shared" si="245"/>
        <v>9.5807494124485082E-2</v>
      </c>
      <c r="S88" s="20"/>
      <c r="T88" s="152">
        <f t="shared" ref="T88" si="253">T40/T7</f>
        <v>0.20415879017013233</v>
      </c>
      <c r="U88" s="152">
        <f t="shared" ref="U88:AC88" si="254">U40/U7</f>
        <v>0.20415879017013236</v>
      </c>
      <c r="V88" s="152">
        <f t="shared" si="254"/>
        <v>0.20415879017013236</v>
      </c>
      <c r="W88" s="152">
        <f t="shared" si="254"/>
        <v>0.20415879017013236</v>
      </c>
      <c r="X88" s="152">
        <f t="shared" si="254"/>
        <v>0.20415879017013236</v>
      </c>
      <c r="Y88" s="152">
        <f t="shared" si="254"/>
        <v>0.20415879017013236</v>
      </c>
      <c r="Z88" s="152">
        <f t="shared" si="254"/>
        <v>0.20415879017013233</v>
      </c>
      <c r="AA88" s="152">
        <f t="shared" si="254"/>
        <v>0.20415879017013236</v>
      </c>
      <c r="AB88" s="152">
        <f t="shared" si="254"/>
        <v>0.20415879017013236</v>
      </c>
      <c r="AC88" s="152">
        <f t="shared" si="254"/>
        <v>0.20415879017013236</v>
      </c>
      <c r="AD88" s="138">
        <f t="shared" si="247"/>
        <v>2.231091169599031E-2</v>
      </c>
      <c r="AE88" s="146"/>
      <c r="AF88" s="146"/>
    </row>
    <row r="89" spans="2:32" x14ac:dyDescent="0.2">
      <c r="B89" s="20" t="s">
        <v>359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5.2845528455284556E-2</v>
      </c>
      <c r="H89" s="152">
        <f t="shared" ref="H89:O89" si="256">(H40)/(H7+H10)</f>
        <v>9.5057034220532313E-2</v>
      </c>
      <c r="I89" s="152">
        <f t="shared" si="256"/>
        <v>8.2840236686390539E-2</v>
      </c>
      <c r="J89" s="152">
        <f t="shared" si="256"/>
        <v>1.6913319238900635E-2</v>
      </c>
      <c r="K89" s="152">
        <f t="shared" si="256"/>
        <v>3.048780487804878E-2</v>
      </c>
      <c r="L89" s="152">
        <f t="shared" si="256"/>
        <v>5.9548254620123205E-2</v>
      </c>
      <c r="M89" s="152">
        <f t="shared" si="256"/>
        <v>1.7738359201773836E-2</v>
      </c>
      <c r="N89" s="152">
        <f t="shared" si="256"/>
        <v>0.11960784313725491</v>
      </c>
      <c r="O89" s="152">
        <f t="shared" si="256"/>
        <v>0.16803278688524589</v>
      </c>
      <c r="P89" s="152">
        <f t="shared" ref="P89:Q89" si="257">(P40)/(P7+P10)</f>
        <v>0.17307692307692307</v>
      </c>
      <c r="Q89" s="152">
        <f t="shared" si="257"/>
        <v>0.13636363636363635</v>
      </c>
      <c r="R89" s="118">
        <f t="shared" si="245"/>
        <v>0.14090078793673544</v>
      </c>
      <c r="S89" s="20"/>
      <c r="T89" s="152">
        <f t="shared" ref="T89:AC89" si="258">(T40)/(T7+T10)</f>
        <v>0.13636363636363635</v>
      </c>
      <c r="U89" s="152">
        <f t="shared" si="258"/>
        <v>0.13636363636363638</v>
      </c>
      <c r="V89" s="152">
        <f t="shared" si="258"/>
        <v>0.13636363636363638</v>
      </c>
      <c r="W89" s="152">
        <f t="shared" si="258"/>
        <v>0.13636363636363638</v>
      </c>
      <c r="X89" s="152">
        <f t="shared" si="258"/>
        <v>0.13636363636363638</v>
      </c>
      <c r="Y89" s="152">
        <f t="shared" si="258"/>
        <v>0.13636363636363638</v>
      </c>
      <c r="Z89" s="152">
        <f t="shared" si="258"/>
        <v>0.13636363636363635</v>
      </c>
      <c r="AA89" s="152">
        <f t="shared" si="258"/>
        <v>0.13636363636363638</v>
      </c>
      <c r="AB89" s="152">
        <f t="shared" si="258"/>
        <v>0.13636363636363638</v>
      </c>
      <c r="AC89" s="152">
        <f t="shared" si="258"/>
        <v>0.13636363636363638</v>
      </c>
      <c r="AD89" s="138">
        <f t="shared" si="247"/>
        <v>4.8538825970504629E-2</v>
      </c>
      <c r="AE89" s="146"/>
      <c r="AF89" s="146"/>
    </row>
    <row r="90" spans="2:32" x14ac:dyDescent="0.2">
      <c r="B90" s="20" t="s">
        <v>375</v>
      </c>
      <c r="C90" s="152"/>
      <c r="D90" s="152"/>
      <c r="E90" s="152"/>
      <c r="F90" s="152"/>
      <c r="G90" s="152">
        <f>G20/G25</f>
        <v>0.14227642276422764</v>
      </c>
      <c r="H90" s="152">
        <f t="shared" ref="H90:P90" si="259">H20/H25</f>
        <v>0.27598566308243727</v>
      </c>
      <c r="I90" s="152">
        <f t="shared" si="259"/>
        <v>1.1594202898550725E-2</v>
      </c>
      <c r="J90" s="152">
        <f t="shared" si="259"/>
        <v>-5.4824561403508769E-2</v>
      </c>
      <c r="K90" s="152">
        <f t="shared" si="259"/>
        <v>9.3457943925233638E-3</v>
      </c>
      <c r="L90" s="152">
        <f t="shared" si="259"/>
        <v>6.9972451790633605E-2</v>
      </c>
      <c r="M90" s="152">
        <f t="shared" si="259"/>
        <v>0.22736842105263158</v>
      </c>
      <c r="N90" s="152">
        <f t="shared" si="259"/>
        <v>0.16701680672268907</v>
      </c>
      <c r="O90" s="152">
        <f t="shared" si="259"/>
        <v>5.8558558558558557E-2</v>
      </c>
      <c r="P90" s="152">
        <f t="shared" si="259"/>
        <v>5.321100917431193E-2</v>
      </c>
      <c r="Q90" s="152">
        <f t="shared" ref="Q90" si="260">Q20/Q25</f>
        <v>4.7128927410617555E-2</v>
      </c>
      <c r="R90" s="118">
        <f t="shared" si="245"/>
        <v>-0.10351928617725259</v>
      </c>
      <c r="S90" s="20"/>
      <c r="T90" s="152">
        <f t="shared" ref="T90:AC90" si="261">T20/T25</f>
        <v>4.7128927410617555E-2</v>
      </c>
      <c r="U90" s="152">
        <f t="shared" si="261"/>
        <v>4.7128927410617555E-2</v>
      </c>
      <c r="V90" s="152">
        <f t="shared" si="261"/>
        <v>4.7128927410617548E-2</v>
      </c>
      <c r="W90" s="152">
        <f t="shared" si="261"/>
        <v>4.7128927410617548E-2</v>
      </c>
      <c r="X90" s="152">
        <f t="shared" si="261"/>
        <v>4.7128927410617541E-2</v>
      </c>
      <c r="Y90" s="152">
        <f t="shared" si="261"/>
        <v>4.7128927410617548E-2</v>
      </c>
      <c r="Z90" s="152">
        <f t="shared" si="261"/>
        <v>4.7128927410617541E-2</v>
      </c>
      <c r="AA90" s="152">
        <f t="shared" si="261"/>
        <v>4.7128927410617534E-2</v>
      </c>
      <c r="AB90" s="152">
        <f t="shared" si="261"/>
        <v>4.7128927410617541E-2</v>
      </c>
      <c r="AC90" s="152">
        <f t="shared" si="261"/>
        <v>4.7128927410617541E-2</v>
      </c>
      <c r="AD90" s="138">
        <f t="shared" si="247"/>
        <v>-5.3745994390163143E-2</v>
      </c>
      <c r="AE90" s="146"/>
      <c r="AF90" s="146"/>
    </row>
    <row r="91" spans="2:32" x14ac:dyDescent="0.2">
      <c r="B91" s="20" t="s">
        <v>427</v>
      </c>
      <c r="C91" s="152"/>
      <c r="D91" s="152"/>
      <c r="E91" s="152"/>
      <c r="F91" s="152"/>
      <c r="G91" s="152">
        <f>G52/G25</f>
        <v>1.6260162601626018E-2</v>
      </c>
      <c r="H91" s="152">
        <f t="shared" ref="H91:P91" si="262">H52/H25</f>
        <v>2.1505376344086023E-2</v>
      </c>
      <c r="I91" s="152">
        <f t="shared" si="262"/>
        <v>2.318840579710145E-2</v>
      </c>
      <c r="J91" s="152">
        <f t="shared" si="262"/>
        <v>6.5789473684210523E-3</v>
      </c>
      <c r="K91" s="152">
        <f t="shared" si="262"/>
        <v>9.3457943925233638E-3</v>
      </c>
      <c r="L91" s="152">
        <f t="shared" si="262"/>
        <v>2.2038567493112948E-2</v>
      </c>
      <c r="M91" s="152">
        <f t="shared" si="262"/>
        <v>6.3157894736842104E-3</v>
      </c>
      <c r="N91" s="152">
        <f t="shared" si="262"/>
        <v>2.9411764705882353E-2</v>
      </c>
      <c r="O91" s="152">
        <f t="shared" si="262"/>
        <v>2.8528528528528527E-2</v>
      </c>
      <c r="P91" s="152">
        <f t="shared" si="262"/>
        <v>2.9969418960244649E-2</v>
      </c>
      <c r="Q91" s="152">
        <f t="shared" ref="Q91" si="263">Q52/Q25</f>
        <v>2.6543878656554713E-2</v>
      </c>
      <c r="R91" s="118">
        <f t="shared" si="245"/>
        <v>7.0301015895707142E-2</v>
      </c>
      <c r="S91" s="20"/>
      <c r="T91" s="152">
        <f t="shared" ref="T91:AC91" si="264">T52/T25</f>
        <v>2.6543878656554713E-2</v>
      </c>
      <c r="U91" s="152">
        <f t="shared" si="264"/>
        <v>2.654387865655471E-2</v>
      </c>
      <c r="V91" s="152">
        <f t="shared" si="264"/>
        <v>2.6543878656554706E-2</v>
      </c>
      <c r="W91" s="152">
        <f t="shared" si="264"/>
        <v>2.6543878656554699E-2</v>
      </c>
      <c r="X91" s="152">
        <f t="shared" si="264"/>
        <v>2.6543878656554699E-2</v>
      </c>
      <c r="Y91" s="152">
        <f t="shared" si="264"/>
        <v>2.6543878656554706E-2</v>
      </c>
      <c r="Z91" s="152">
        <f t="shared" si="264"/>
        <v>2.6543878656554706E-2</v>
      </c>
      <c r="AA91" s="152">
        <f t="shared" si="264"/>
        <v>2.6543878656554706E-2</v>
      </c>
      <c r="AB91" s="152">
        <f t="shared" si="264"/>
        <v>2.6543878656554706E-2</v>
      </c>
      <c r="AC91" s="152">
        <f t="shared" si="264"/>
        <v>2.6543878656554703E-2</v>
      </c>
      <c r="AD91" s="138">
        <f t="shared" si="247"/>
        <v>2.4806744530878611E-2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322</v>
      </c>
      <c r="C93" s="152"/>
      <c r="D93" s="152"/>
      <c r="E93" s="152"/>
      <c r="F93" s="152"/>
      <c r="G93" s="152">
        <f>G29/G25</f>
        <v>8.1300813008130079E-2</v>
      </c>
      <c r="H93" s="152">
        <f t="shared" ref="H93:P93" si="265">H29/H25</f>
        <v>5.3763440860215055E-2</v>
      </c>
      <c r="I93" s="152">
        <f t="shared" si="265"/>
        <v>4.0579710144927533E-2</v>
      </c>
      <c r="J93" s="152">
        <f t="shared" si="265"/>
        <v>5.2631578947368418E-2</v>
      </c>
      <c r="K93" s="152">
        <f t="shared" si="265"/>
        <v>7.8504672897196259E-2</v>
      </c>
      <c r="L93" s="152">
        <f t="shared" si="265"/>
        <v>4.1322314049586778E-2</v>
      </c>
      <c r="M93" s="152">
        <f t="shared" si="265"/>
        <v>5.473684210526316E-2</v>
      </c>
      <c r="N93" s="152">
        <f t="shared" si="265"/>
        <v>3.4663865546218489E-2</v>
      </c>
      <c r="O93" s="152">
        <f t="shared" si="265"/>
        <v>3.6036036036036036E-2</v>
      </c>
      <c r="P93" s="152">
        <f t="shared" si="265"/>
        <v>2.7522935779816515E-2</v>
      </c>
      <c r="Q93" s="152">
        <f t="shared" ref="Q93" si="266">Q29/Q25</f>
        <v>2.437703141928494E-2</v>
      </c>
      <c r="R93" s="118">
        <f t="shared" si="245"/>
        <v>-0.11338858457145573</v>
      </c>
      <c r="S93" s="20"/>
      <c r="T93" s="152">
        <f t="shared" ref="T93:AC93" si="267">T29/T25</f>
        <v>2.437703141928494E-2</v>
      </c>
      <c r="U93" s="152">
        <f t="shared" si="267"/>
        <v>2.437703141928494E-2</v>
      </c>
      <c r="V93" s="152">
        <f t="shared" si="267"/>
        <v>2.437703141928494E-2</v>
      </c>
      <c r="W93" s="152">
        <f t="shared" si="267"/>
        <v>2.4377031419284937E-2</v>
      </c>
      <c r="X93" s="152">
        <f t="shared" si="267"/>
        <v>2.4377031419284937E-2</v>
      </c>
      <c r="Y93" s="152">
        <f t="shared" si="267"/>
        <v>2.437703141928494E-2</v>
      </c>
      <c r="Z93" s="152">
        <f t="shared" si="267"/>
        <v>2.4377031419284937E-2</v>
      </c>
      <c r="AA93" s="152">
        <f t="shared" si="267"/>
        <v>2.4377031419284934E-2</v>
      </c>
      <c r="AB93" s="152">
        <f t="shared" si="267"/>
        <v>2.4377031419284937E-2</v>
      </c>
      <c r="AC93" s="152">
        <f t="shared" si="267"/>
        <v>2.4377031419284937E-2</v>
      </c>
      <c r="AD93" s="138">
        <f t="shared" si="247"/>
        <v>-5.8448029894217046E-2</v>
      </c>
      <c r="AE93" s="146"/>
      <c r="AF93" s="146"/>
    </row>
    <row r="94" spans="2:32" x14ac:dyDescent="0.2">
      <c r="B94" s="20" t="s">
        <v>368</v>
      </c>
      <c r="C94" s="152"/>
      <c r="D94" s="152"/>
      <c r="E94" s="152"/>
      <c r="F94" s="152"/>
      <c r="G94" s="152">
        <f>G29/G36</f>
        <v>0.4</v>
      </c>
      <c r="H94" s="152">
        <f t="shared" ref="H94:P94" si="268">H29/H36</f>
        <v>0.24193548387096775</v>
      </c>
      <c r="I94" s="152">
        <f t="shared" si="268"/>
        <v>0.20588235294117646</v>
      </c>
      <c r="J94" s="152">
        <f t="shared" si="268"/>
        <v>0.42857142857142855</v>
      </c>
      <c r="K94" s="152">
        <f t="shared" si="268"/>
        <v>0.51219512195121952</v>
      </c>
      <c r="L94" s="152">
        <f t="shared" si="268"/>
        <v>0.21126760563380281</v>
      </c>
      <c r="M94" s="152">
        <f t="shared" si="268"/>
        <v>0.44067796610169491</v>
      </c>
      <c r="N94" s="152">
        <f t="shared" si="268"/>
        <v>0.22147651006711411</v>
      </c>
      <c r="O94" s="152">
        <f t="shared" si="268"/>
        <v>0.2318840579710145</v>
      </c>
      <c r="P94" s="152">
        <f t="shared" si="268"/>
        <v>0.18367346938775511</v>
      </c>
      <c r="Q94" s="152">
        <f t="shared" ref="Q94" si="269">Q29/Q36</f>
        <v>0.18367346938775511</v>
      </c>
      <c r="R94" s="118">
        <f t="shared" ref="R94" si="270">((P94/G94)^(1/($H$2-$H$1) ))-1</f>
        <v>-8.2844578598664342E-2</v>
      </c>
      <c r="S94" s="20"/>
      <c r="T94" s="152">
        <f t="shared" ref="T94:AC94" si="271">T29/T36</f>
        <v>0.18367346938775508</v>
      </c>
      <c r="U94" s="152">
        <f t="shared" si="271"/>
        <v>0.18367346938775508</v>
      </c>
      <c r="V94" s="152">
        <f t="shared" si="271"/>
        <v>0.18367346938775508</v>
      </c>
      <c r="W94" s="152">
        <f t="shared" si="271"/>
        <v>0.18367346938775508</v>
      </c>
      <c r="X94" s="152">
        <f t="shared" si="271"/>
        <v>0.18367346938775508</v>
      </c>
      <c r="Y94" s="152">
        <f t="shared" si="271"/>
        <v>0.18367346938775506</v>
      </c>
      <c r="Z94" s="152">
        <f t="shared" si="271"/>
        <v>0.18367346938775506</v>
      </c>
      <c r="AA94" s="152">
        <f t="shared" si="271"/>
        <v>0.18367346938775506</v>
      </c>
      <c r="AB94" s="152">
        <f t="shared" si="271"/>
        <v>0.18367346938775506</v>
      </c>
      <c r="AC94" s="152">
        <f t="shared" si="271"/>
        <v>0.18367346938775506</v>
      </c>
      <c r="AD94" s="138">
        <f t="shared" ref="AD94" si="272">((AC94/G94)^(1/($AC$3-$H$1) ))-1</f>
        <v>-3.8167778493213511E-2</v>
      </c>
      <c r="AE94" s="146"/>
      <c r="AF94" s="146"/>
    </row>
    <row r="95" spans="2:32" ht="12" customHeight="1" x14ac:dyDescent="0.2">
      <c r="B95" s="20" t="s">
        <v>367</v>
      </c>
      <c r="C95" s="152"/>
      <c r="D95" s="152"/>
      <c r="E95" s="152"/>
      <c r="F95" s="152"/>
      <c r="G95" s="171">
        <f t="shared" ref="G95:P95" si="273">G29/G40</f>
        <v>1.5384615384615385</v>
      </c>
      <c r="H95" s="171">
        <f t="shared" si="273"/>
        <v>0.6</v>
      </c>
      <c r="I95" s="171">
        <f t="shared" si="273"/>
        <v>0.5</v>
      </c>
      <c r="J95" s="171">
        <f t="shared" si="273"/>
        <v>3</v>
      </c>
      <c r="K95" s="171">
        <f t="shared" si="273"/>
        <v>2.8</v>
      </c>
      <c r="L95" s="171">
        <f t="shared" si="273"/>
        <v>0.51724137931034486</v>
      </c>
      <c r="M95" s="171">
        <f t="shared" si="273"/>
        <v>3.25</v>
      </c>
      <c r="N95" s="171">
        <f t="shared" si="273"/>
        <v>0.54098360655737709</v>
      </c>
      <c r="O95" s="171">
        <f t="shared" si="273"/>
        <v>0.58536585365853655</v>
      </c>
      <c r="P95" s="171">
        <f t="shared" si="273"/>
        <v>0.41666666666666669</v>
      </c>
      <c r="Q95" s="171">
        <f t="shared" ref="Q95" si="274">Q29/Q40</f>
        <v>0.41666666666666669</v>
      </c>
      <c r="R95" s="118">
        <f t="shared" ref="R95" si="275">((P95/G95)^(1/($H$2-$H$1) ))-1</f>
        <v>-0.13509799942818257</v>
      </c>
      <c r="S95" s="20"/>
      <c r="T95" s="171">
        <f t="shared" ref="T95:AC95" si="276">T29/T40</f>
        <v>0.41666666666666663</v>
      </c>
      <c r="U95" s="171">
        <f t="shared" si="276"/>
        <v>0.41666666666666663</v>
      </c>
      <c r="V95" s="171">
        <f t="shared" si="276"/>
        <v>0.41666666666666663</v>
      </c>
      <c r="W95" s="171">
        <f t="shared" si="276"/>
        <v>0.41666666666666657</v>
      </c>
      <c r="X95" s="171">
        <f t="shared" si="276"/>
        <v>0.41666666666666657</v>
      </c>
      <c r="Y95" s="171">
        <f t="shared" si="276"/>
        <v>0.41666666666666663</v>
      </c>
      <c r="Z95" s="171">
        <f t="shared" si="276"/>
        <v>0.41666666666666663</v>
      </c>
      <c r="AA95" s="171">
        <f t="shared" si="276"/>
        <v>0.41666666666666663</v>
      </c>
      <c r="AB95" s="171">
        <f t="shared" si="276"/>
        <v>0.41666666666666663</v>
      </c>
      <c r="AC95" s="171">
        <f t="shared" si="276"/>
        <v>0.41666666666666663</v>
      </c>
      <c r="AD95" s="138">
        <f t="shared" ref="AD95" si="277">((AC95/G95)^(1/($AC$3-$H$1) ))-1</f>
        <v>-6.322540189975101E-2</v>
      </c>
      <c r="AE95" s="146"/>
      <c r="AF95" s="146"/>
    </row>
    <row r="96" spans="2:32" ht="12" customHeight="1" x14ac:dyDescent="0.2">
      <c r="B96" s="20" t="s">
        <v>324</v>
      </c>
      <c r="C96" s="152"/>
      <c r="D96" s="152"/>
      <c r="E96" s="152"/>
      <c r="F96" s="152"/>
      <c r="G96" s="171">
        <f t="shared" ref="G96:P96" si="278">G29/G12</f>
        <v>6.666666666666667</v>
      </c>
      <c r="H96" s="171">
        <f t="shared" si="278"/>
        <v>5</v>
      </c>
      <c r="I96" s="171">
        <f t="shared" si="278"/>
        <v>2.8</v>
      </c>
      <c r="J96" s="171">
        <f t="shared" si="278"/>
        <v>6</v>
      </c>
      <c r="K96" s="171">
        <f t="shared" si="278"/>
        <v>5.25</v>
      </c>
      <c r="L96" s="171">
        <f t="shared" si="278"/>
        <v>1.875</v>
      </c>
      <c r="M96" s="171">
        <f t="shared" si="278"/>
        <v>5.2</v>
      </c>
      <c r="N96" s="171">
        <f t="shared" si="278"/>
        <v>8.25</v>
      </c>
      <c r="O96" s="171">
        <f t="shared" si="278"/>
        <v>6.8571428571428568</v>
      </c>
      <c r="P96" s="171">
        <f t="shared" si="278"/>
        <v>7.5</v>
      </c>
      <c r="Q96" s="171">
        <f t="shared" ref="Q96" si="279">Q29/Q12</f>
        <v>7.5</v>
      </c>
      <c r="R96" s="118">
        <f t="shared" si="245"/>
        <v>1.3173013591409877E-2</v>
      </c>
      <c r="S96" s="20"/>
      <c r="T96" s="152">
        <f t="shared" ref="T96:AC96" si="280">T29/T12</f>
        <v>7.4999999999999991</v>
      </c>
      <c r="U96" s="152">
        <f t="shared" si="280"/>
        <v>7.5</v>
      </c>
      <c r="V96" s="152">
        <f t="shared" si="280"/>
        <v>7.5</v>
      </c>
      <c r="W96" s="152">
        <f t="shared" si="280"/>
        <v>7.5</v>
      </c>
      <c r="X96" s="152">
        <f t="shared" si="280"/>
        <v>7.5000000000000009</v>
      </c>
      <c r="Y96" s="152">
        <f t="shared" si="280"/>
        <v>7.5000000000000018</v>
      </c>
      <c r="Z96" s="152">
        <f t="shared" si="280"/>
        <v>7.5000000000000009</v>
      </c>
      <c r="AA96" s="152">
        <f t="shared" si="280"/>
        <v>7.5000000000000009</v>
      </c>
      <c r="AB96" s="152">
        <f t="shared" si="280"/>
        <v>7.5000000000000018</v>
      </c>
      <c r="AC96" s="152">
        <f t="shared" si="280"/>
        <v>7.5000000000000009</v>
      </c>
      <c r="AD96" s="138">
        <f t="shared" si="247"/>
        <v>5.9065269287246203E-3</v>
      </c>
      <c r="AE96" s="146"/>
      <c r="AF96" s="146"/>
    </row>
    <row r="97" spans="2:32" ht="12" customHeight="1" x14ac:dyDescent="0.2">
      <c r="B97" s="20" t="s">
        <v>369</v>
      </c>
      <c r="C97" s="152"/>
      <c r="D97" s="152"/>
      <c r="E97" s="152"/>
      <c r="F97" s="152"/>
      <c r="G97" s="171">
        <f>G29/G23</f>
        <v>6.666666666666667</v>
      </c>
      <c r="H97" s="171">
        <f t="shared" ref="H97:P97" si="281">H29/H23</f>
        <v>5</v>
      </c>
      <c r="I97" s="171">
        <f t="shared" si="281"/>
        <v>2.8</v>
      </c>
      <c r="J97" s="171">
        <f t="shared" si="281"/>
        <v>6</v>
      </c>
      <c r="K97" s="171">
        <f t="shared" si="281"/>
        <v>5.25</v>
      </c>
      <c r="L97" s="171">
        <f t="shared" si="281"/>
        <v>1.875</v>
      </c>
      <c r="M97" s="171">
        <f t="shared" si="281"/>
        <v>5.2</v>
      </c>
      <c r="N97" s="171">
        <f t="shared" si="281"/>
        <v>11</v>
      </c>
      <c r="O97" s="171">
        <f t="shared" si="281"/>
        <v>9.6</v>
      </c>
      <c r="P97" s="171">
        <f t="shared" si="281"/>
        <v>19.565217391304348</v>
      </c>
      <c r="Q97" s="171">
        <f t="shared" ref="Q97" si="282">Q29/Q23</f>
        <v>19.565217391304348</v>
      </c>
      <c r="R97" s="118">
        <f t="shared" ref="R97" si="283">((P97/G97)^(1/($H$2-$H$1) ))-1</f>
        <v>0.12707516920308759</v>
      </c>
      <c r="S97" s="20"/>
      <c r="T97" s="171">
        <f t="shared" ref="T97:AC97" si="284">T29/T23</f>
        <v>19.565217391304348</v>
      </c>
      <c r="U97" s="171">
        <f t="shared" si="284"/>
        <v>19.565217391304351</v>
      </c>
      <c r="V97" s="171">
        <f t="shared" si="284"/>
        <v>19.565217391304351</v>
      </c>
      <c r="W97" s="171">
        <f t="shared" si="284"/>
        <v>19.565217391304348</v>
      </c>
      <c r="X97" s="171">
        <f t="shared" si="284"/>
        <v>19.565217391304348</v>
      </c>
      <c r="Y97" s="171">
        <f t="shared" si="284"/>
        <v>19.565217391304348</v>
      </c>
      <c r="Z97" s="171">
        <f t="shared" si="284"/>
        <v>19.565217391304348</v>
      </c>
      <c r="AA97" s="171">
        <f t="shared" si="284"/>
        <v>19.565217391304348</v>
      </c>
      <c r="AB97" s="171">
        <f t="shared" si="284"/>
        <v>19.565217391304348</v>
      </c>
      <c r="AC97" s="171">
        <f t="shared" si="284"/>
        <v>19.565217391304348</v>
      </c>
      <c r="AD97" s="138">
        <f t="shared" ref="AD97" si="285">((AC97/G97)^(1/($AC$3-$H$1) ))-1</f>
        <v>5.5306946432282844E-2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401</v>
      </c>
      <c r="C99" s="152"/>
      <c r="D99" s="152"/>
      <c r="E99" s="152"/>
      <c r="F99" s="152"/>
      <c r="G99" s="127">
        <f>1/G93</f>
        <v>12.3</v>
      </c>
      <c r="H99" s="127">
        <f t="shared" ref="H99:P99" si="286">1/H93</f>
        <v>18.600000000000001</v>
      </c>
      <c r="I99" s="127">
        <f t="shared" si="286"/>
        <v>24.642857142857146</v>
      </c>
      <c r="J99" s="127">
        <f t="shared" si="286"/>
        <v>19</v>
      </c>
      <c r="K99" s="127">
        <f t="shared" si="286"/>
        <v>12.738095238095239</v>
      </c>
      <c r="L99" s="127">
        <f t="shared" si="286"/>
        <v>24.2</v>
      </c>
      <c r="M99" s="127">
        <f t="shared" si="286"/>
        <v>18.26923076923077</v>
      </c>
      <c r="N99" s="127">
        <f t="shared" si="286"/>
        <v>28.848484848484848</v>
      </c>
      <c r="O99" s="127">
        <f t="shared" si="286"/>
        <v>27.75</v>
      </c>
      <c r="P99" s="127">
        <f t="shared" si="286"/>
        <v>36.333333333333329</v>
      </c>
      <c r="Q99" s="127">
        <f t="shared" ref="Q99" si="287">1/Q93</f>
        <v>41.022222222222219</v>
      </c>
      <c r="R99" s="118">
        <f t="shared" si="245"/>
        <v>0.12788983155224698</v>
      </c>
      <c r="S99" s="20"/>
      <c r="T99" s="127">
        <f t="shared" ref="T99:AC99" si="288">1/T93</f>
        <v>41.022222222222219</v>
      </c>
      <c r="U99" s="127">
        <f t="shared" si="288"/>
        <v>41.022222222222219</v>
      </c>
      <c r="V99" s="127">
        <f t="shared" si="288"/>
        <v>41.022222222222219</v>
      </c>
      <c r="W99" s="127">
        <f t="shared" si="288"/>
        <v>41.022222222222226</v>
      </c>
      <c r="X99" s="127">
        <f t="shared" si="288"/>
        <v>41.022222222222226</v>
      </c>
      <c r="Y99" s="127">
        <f t="shared" si="288"/>
        <v>41.022222222222219</v>
      </c>
      <c r="Z99" s="127">
        <f t="shared" si="288"/>
        <v>41.022222222222226</v>
      </c>
      <c r="AA99" s="127">
        <f t="shared" si="288"/>
        <v>41.022222222222233</v>
      </c>
      <c r="AB99" s="127">
        <f t="shared" si="288"/>
        <v>41.022222222222226</v>
      </c>
      <c r="AC99" s="127">
        <f t="shared" si="288"/>
        <v>41.022222222222226</v>
      </c>
      <c r="AD99" s="138">
        <f t="shared" si="247"/>
        <v>6.2076265304453093E-2</v>
      </c>
      <c r="AE99" s="146"/>
      <c r="AF99" s="146"/>
    </row>
    <row r="100" spans="2:32" ht="12" customHeight="1" x14ac:dyDescent="0.2">
      <c r="B100" s="20" t="s">
        <v>402</v>
      </c>
      <c r="C100" s="152"/>
      <c r="D100" s="152"/>
      <c r="E100" s="152"/>
      <c r="F100" s="152"/>
      <c r="G100" s="127">
        <f t="shared" ref="G100:P103" si="289">1/G94</f>
        <v>2.5</v>
      </c>
      <c r="H100" s="127">
        <f t="shared" si="289"/>
        <v>4.1333333333333329</v>
      </c>
      <c r="I100" s="127">
        <f t="shared" si="289"/>
        <v>4.8571428571428577</v>
      </c>
      <c r="J100" s="127">
        <f t="shared" si="289"/>
        <v>2.3333333333333335</v>
      </c>
      <c r="K100" s="127">
        <f t="shared" si="289"/>
        <v>1.9523809523809523</v>
      </c>
      <c r="L100" s="127">
        <f t="shared" si="289"/>
        <v>4.7333333333333334</v>
      </c>
      <c r="M100" s="127">
        <f t="shared" si="289"/>
        <v>2.2692307692307692</v>
      </c>
      <c r="N100" s="127">
        <f t="shared" si="289"/>
        <v>4.5151515151515147</v>
      </c>
      <c r="O100" s="127">
        <f t="shared" si="289"/>
        <v>4.3125</v>
      </c>
      <c r="P100" s="127">
        <f t="shared" si="289"/>
        <v>5.4444444444444438</v>
      </c>
      <c r="Q100" s="127">
        <f t="shared" ref="Q100" si="290">1/Q94</f>
        <v>5.4444444444444438</v>
      </c>
      <c r="R100" s="118">
        <f t="shared" si="245"/>
        <v>9.0327742349366247E-2</v>
      </c>
      <c r="S100" s="20"/>
      <c r="T100" s="127">
        <f t="shared" ref="T100:AC100" si="291">1/T94</f>
        <v>5.4444444444444446</v>
      </c>
      <c r="U100" s="127">
        <f t="shared" si="291"/>
        <v>5.4444444444444446</v>
      </c>
      <c r="V100" s="127">
        <f t="shared" si="291"/>
        <v>5.4444444444444446</v>
      </c>
      <c r="W100" s="127">
        <f t="shared" si="291"/>
        <v>5.4444444444444446</v>
      </c>
      <c r="X100" s="127">
        <f t="shared" si="291"/>
        <v>5.4444444444444446</v>
      </c>
      <c r="Y100" s="127">
        <f t="shared" si="291"/>
        <v>5.4444444444444455</v>
      </c>
      <c r="Z100" s="127">
        <f t="shared" si="291"/>
        <v>5.4444444444444455</v>
      </c>
      <c r="AA100" s="127">
        <f t="shared" si="291"/>
        <v>5.4444444444444455</v>
      </c>
      <c r="AB100" s="127">
        <f t="shared" si="291"/>
        <v>5.4444444444444455</v>
      </c>
      <c r="AC100" s="127">
        <f t="shared" si="291"/>
        <v>5.4444444444444455</v>
      </c>
      <c r="AD100" s="138">
        <f t="shared" si="247"/>
        <v>3.9682366258660728E-2</v>
      </c>
      <c r="AE100" s="146"/>
      <c r="AF100" s="146"/>
    </row>
    <row r="101" spans="2:32" ht="12" customHeight="1" x14ac:dyDescent="0.2">
      <c r="B101" s="20" t="s">
        <v>403</v>
      </c>
      <c r="C101" s="152"/>
      <c r="D101" s="152"/>
      <c r="E101" s="152"/>
      <c r="F101" s="152"/>
      <c r="G101" s="127">
        <f t="shared" si="289"/>
        <v>0.64999999999999991</v>
      </c>
      <c r="H101" s="127">
        <f t="shared" si="289"/>
        <v>1.6666666666666667</v>
      </c>
      <c r="I101" s="127">
        <f t="shared" si="289"/>
        <v>2</v>
      </c>
      <c r="J101" s="127">
        <f t="shared" si="289"/>
        <v>0.33333333333333331</v>
      </c>
      <c r="K101" s="127">
        <f t="shared" si="289"/>
        <v>0.35714285714285715</v>
      </c>
      <c r="L101" s="127">
        <f t="shared" si="289"/>
        <v>1.9333333333333331</v>
      </c>
      <c r="M101" s="127">
        <f t="shared" si="289"/>
        <v>0.30769230769230771</v>
      </c>
      <c r="N101" s="127">
        <f t="shared" si="289"/>
        <v>1.8484848484848484</v>
      </c>
      <c r="O101" s="127">
        <f t="shared" si="289"/>
        <v>1.7083333333333335</v>
      </c>
      <c r="P101" s="127">
        <f t="shared" si="289"/>
        <v>2.4</v>
      </c>
      <c r="Q101" s="127">
        <f t="shared" ref="Q101" si="292">1/Q95</f>
        <v>2.4</v>
      </c>
      <c r="R101" s="118">
        <f t="shared" si="245"/>
        <v>0.15620035488282435</v>
      </c>
      <c r="S101" s="20"/>
      <c r="T101" s="127">
        <f t="shared" ref="T101:AC101" si="293">1/T95</f>
        <v>2.4000000000000004</v>
      </c>
      <c r="U101" s="127">
        <f t="shared" si="293"/>
        <v>2.4000000000000004</v>
      </c>
      <c r="V101" s="127">
        <f t="shared" si="293"/>
        <v>2.4000000000000004</v>
      </c>
      <c r="W101" s="127">
        <f t="shared" si="293"/>
        <v>2.4000000000000004</v>
      </c>
      <c r="X101" s="127">
        <f t="shared" si="293"/>
        <v>2.4000000000000004</v>
      </c>
      <c r="Y101" s="127">
        <f t="shared" si="293"/>
        <v>2.4000000000000004</v>
      </c>
      <c r="Z101" s="127">
        <f t="shared" si="293"/>
        <v>2.4000000000000004</v>
      </c>
      <c r="AA101" s="127">
        <f t="shared" si="293"/>
        <v>2.4000000000000004</v>
      </c>
      <c r="AB101" s="127">
        <f t="shared" si="293"/>
        <v>2.4000000000000004</v>
      </c>
      <c r="AC101" s="127">
        <f t="shared" si="293"/>
        <v>2.4000000000000004</v>
      </c>
      <c r="AD101" s="138">
        <f t="shared" si="247"/>
        <v>6.7492651944203175E-2</v>
      </c>
      <c r="AE101" s="146"/>
      <c r="AF101" s="146"/>
    </row>
    <row r="102" spans="2:32" ht="12" customHeight="1" x14ac:dyDescent="0.2">
      <c r="B102" s="20" t="s">
        <v>404</v>
      </c>
      <c r="C102" s="152"/>
      <c r="D102" s="152"/>
      <c r="E102" s="152"/>
      <c r="F102" s="152"/>
      <c r="G102" s="127">
        <f t="shared" si="289"/>
        <v>0.15</v>
      </c>
      <c r="H102" s="127">
        <f t="shared" si="289"/>
        <v>0.2</v>
      </c>
      <c r="I102" s="127">
        <f t="shared" si="289"/>
        <v>0.35714285714285715</v>
      </c>
      <c r="J102" s="127">
        <f t="shared" si="289"/>
        <v>0.16666666666666666</v>
      </c>
      <c r="K102" s="127">
        <f t="shared" si="289"/>
        <v>0.19047619047619047</v>
      </c>
      <c r="L102" s="127">
        <f t="shared" si="289"/>
        <v>0.53333333333333333</v>
      </c>
      <c r="M102" s="127">
        <f t="shared" si="289"/>
        <v>0.19230769230769229</v>
      </c>
      <c r="N102" s="127">
        <f t="shared" si="289"/>
        <v>0.12121212121212122</v>
      </c>
      <c r="O102" s="127">
        <f t="shared" si="289"/>
        <v>0.14583333333333334</v>
      </c>
      <c r="P102" s="127">
        <f t="shared" si="289"/>
        <v>0.13333333333333333</v>
      </c>
      <c r="Q102" s="127">
        <f t="shared" ref="Q102" si="294">1/Q96</f>
        <v>0.13333333333333333</v>
      </c>
      <c r="R102" s="118">
        <f t="shared" si="245"/>
        <v>-1.3001741474257367E-2</v>
      </c>
      <c r="S102" s="20"/>
      <c r="T102" s="127">
        <f t="shared" ref="T102:AC102" si="295">1/T96</f>
        <v>0.13333333333333336</v>
      </c>
      <c r="U102" s="127">
        <f t="shared" si="295"/>
        <v>0.13333333333333333</v>
      </c>
      <c r="V102" s="127">
        <f t="shared" si="295"/>
        <v>0.13333333333333333</v>
      </c>
      <c r="W102" s="127">
        <f t="shared" si="295"/>
        <v>0.13333333333333333</v>
      </c>
      <c r="X102" s="127">
        <f t="shared" si="295"/>
        <v>0.1333333333333333</v>
      </c>
      <c r="Y102" s="127">
        <f t="shared" si="295"/>
        <v>0.1333333333333333</v>
      </c>
      <c r="Z102" s="127">
        <f t="shared" si="295"/>
        <v>0.1333333333333333</v>
      </c>
      <c r="AA102" s="127">
        <f t="shared" si="295"/>
        <v>0.1333333333333333</v>
      </c>
      <c r="AB102" s="127">
        <f t="shared" si="295"/>
        <v>0.1333333333333333</v>
      </c>
      <c r="AC102" s="127">
        <f t="shared" si="295"/>
        <v>0.1333333333333333</v>
      </c>
      <c r="AD102" s="138">
        <f t="shared" si="247"/>
        <v>-5.871844719765984E-3</v>
      </c>
      <c r="AE102" s="146"/>
      <c r="AF102" s="146"/>
    </row>
    <row r="103" spans="2:32" ht="12" customHeight="1" x14ac:dyDescent="0.2">
      <c r="B103" s="20" t="s">
        <v>405</v>
      </c>
      <c r="C103" s="152"/>
      <c r="D103" s="152"/>
      <c r="E103" s="152"/>
      <c r="F103" s="152"/>
      <c r="G103" s="127">
        <f t="shared" si="289"/>
        <v>0.15</v>
      </c>
      <c r="H103" s="127">
        <f t="shared" si="289"/>
        <v>0.2</v>
      </c>
      <c r="I103" s="127">
        <f t="shared" si="289"/>
        <v>0.35714285714285715</v>
      </c>
      <c r="J103" s="127">
        <f t="shared" si="289"/>
        <v>0.16666666666666666</v>
      </c>
      <c r="K103" s="127">
        <f t="shared" si="289"/>
        <v>0.19047619047619047</v>
      </c>
      <c r="L103" s="127">
        <f t="shared" si="289"/>
        <v>0.53333333333333333</v>
      </c>
      <c r="M103" s="127">
        <f t="shared" si="289"/>
        <v>0.19230769230769229</v>
      </c>
      <c r="N103" s="127">
        <f t="shared" si="289"/>
        <v>9.0909090909090912E-2</v>
      </c>
      <c r="O103" s="127">
        <f t="shared" si="289"/>
        <v>0.10416666666666667</v>
      </c>
      <c r="P103" s="127">
        <f t="shared" si="289"/>
        <v>5.1111111111111114E-2</v>
      </c>
      <c r="Q103" s="127">
        <f t="shared" ref="Q103" si="296">1/Q97</f>
        <v>5.1111111111111114E-2</v>
      </c>
      <c r="R103" s="118">
        <f t="shared" si="245"/>
        <v>-0.11274773207268662</v>
      </c>
      <c r="S103" s="20"/>
      <c r="T103" s="127">
        <f t="shared" ref="T103:AC103" si="297">1/T97</f>
        <v>5.1111111111111114E-2</v>
      </c>
      <c r="U103" s="127">
        <f t="shared" si="297"/>
        <v>5.11111111111111E-2</v>
      </c>
      <c r="V103" s="127">
        <f t="shared" si="297"/>
        <v>5.11111111111111E-2</v>
      </c>
      <c r="W103" s="127">
        <f t="shared" si="297"/>
        <v>5.1111111111111114E-2</v>
      </c>
      <c r="X103" s="127">
        <f t="shared" si="297"/>
        <v>5.1111111111111114E-2</v>
      </c>
      <c r="Y103" s="127">
        <f t="shared" si="297"/>
        <v>5.1111111111111114E-2</v>
      </c>
      <c r="Z103" s="127">
        <f t="shared" si="297"/>
        <v>5.1111111111111114E-2</v>
      </c>
      <c r="AA103" s="127">
        <f t="shared" si="297"/>
        <v>5.1111111111111114E-2</v>
      </c>
      <c r="AB103" s="127">
        <f t="shared" si="297"/>
        <v>5.1111111111111114E-2</v>
      </c>
      <c r="AC103" s="127">
        <f t="shared" si="297"/>
        <v>5.1111111111111114E-2</v>
      </c>
      <c r="AD103" s="138">
        <f t="shared" si="247"/>
        <v>-5.2408397972989018E-2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325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140</v>
      </c>
      <c r="H106" s="163">
        <f t="shared" si="298"/>
        <v>138</v>
      </c>
      <c r="I106" s="163">
        <f t="shared" si="298"/>
        <v>193</v>
      </c>
      <c r="J106" s="163">
        <f t="shared" si="298"/>
        <v>321</v>
      </c>
      <c r="K106" s="163">
        <f t="shared" si="298"/>
        <v>326</v>
      </c>
      <c r="L106" s="163">
        <f t="shared" si="298"/>
        <v>313.7</v>
      </c>
      <c r="M106" s="163">
        <f t="shared" si="298"/>
        <v>253.7</v>
      </c>
      <c r="N106" s="163">
        <f t="shared" si="298"/>
        <v>280</v>
      </c>
      <c r="O106" s="163">
        <f t="shared" si="298"/>
        <v>199</v>
      </c>
      <c r="P106" s="163">
        <f>P10-(P12+P13)</f>
        <v>256.92</v>
      </c>
      <c r="Q106" s="163">
        <f>Q10-(Q12+Q13)</f>
        <v>256.92</v>
      </c>
      <c r="R106" s="118">
        <f t="shared" si="245"/>
        <v>6.9785366869922649E-2</v>
      </c>
      <c r="S106" s="20"/>
      <c r="T106" s="163">
        <f>T10-(T12+T13)</f>
        <v>295.45799999999997</v>
      </c>
      <c r="U106" s="163">
        <f t="shared" ref="U106:AC106" si="299">U10-(U12+U13)</f>
        <v>339.77669999999995</v>
      </c>
      <c r="V106" s="163">
        <f t="shared" si="299"/>
        <v>390.74320499999993</v>
      </c>
      <c r="W106" s="163">
        <f t="shared" si="299"/>
        <v>449.35468574999987</v>
      </c>
      <c r="X106" s="163">
        <f t="shared" si="299"/>
        <v>516.75788861249976</v>
      </c>
      <c r="Y106" s="163">
        <f t="shared" si="299"/>
        <v>594.2715719043747</v>
      </c>
      <c r="Z106" s="163">
        <f t="shared" si="299"/>
        <v>683.41230769003084</v>
      </c>
      <c r="AA106" s="163">
        <f t="shared" si="299"/>
        <v>785.92415384353535</v>
      </c>
      <c r="AB106" s="163">
        <f t="shared" si="299"/>
        <v>903.81277692006563</v>
      </c>
      <c r="AC106" s="163">
        <f t="shared" si="299"/>
        <v>1039.3846934580754</v>
      </c>
      <c r="AD106" s="138">
        <f t="shared" si="247"/>
        <v>0.10543297154444953</v>
      </c>
      <c r="AE106" s="146"/>
      <c r="AF106" s="146"/>
    </row>
    <row r="107" spans="2:32" ht="12" customHeight="1" x14ac:dyDescent="0.2">
      <c r="B107" s="20" t="s">
        <v>320</v>
      </c>
      <c r="C107" s="20"/>
      <c r="D107" s="20"/>
      <c r="E107" s="20"/>
      <c r="F107" s="20"/>
      <c r="G107" s="152">
        <f t="shared" ref="G107:P107" si="300">G40/G18</f>
        <v>6.9892473118279563E-2</v>
      </c>
      <c r="H107" s="152">
        <f t="shared" si="300"/>
        <v>0.10416666666666667</v>
      </c>
      <c r="I107" s="152">
        <f t="shared" si="300"/>
        <v>0.112</v>
      </c>
      <c r="J107" s="152">
        <f t="shared" si="300"/>
        <v>2.2535211267605635E-2</v>
      </c>
      <c r="K107" s="152">
        <f t="shared" si="300"/>
        <v>4.4378698224852069E-2</v>
      </c>
      <c r="L107" s="152">
        <f t="shared" si="300"/>
        <v>8.8685015290519878E-2</v>
      </c>
      <c r="M107" s="152">
        <f t="shared" si="300"/>
        <v>2.318840579710145E-2</v>
      </c>
      <c r="N107" s="152">
        <f t="shared" si="300"/>
        <v>0.12423625254582485</v>
      </c>
      <c r="O107" s="152">
        <f t="shared" si="300"/>
        <v>0.15738963531669867</v>
      </c>
      <c r="P107" s="152">
        <f t="shared" si="300"/>
        <v>0.17419354838709677</v>
      </c>
      <c r="Q107" s="152">
        <f t="shared" ref="Q107" si="301">Q40/Q18</f>
        <v>0.17419354838709677</v>
      </c>
      <c r="R107" s="118">
        <f t="shared" si="245"/>
        <v>0.10679413950472472</v>
      </c>
      <c r="S107" s="20"/>
      <c r="T107" s="152">
        <f t="shared" ref="T107:AC107" si="302">T40/T18</f>
        <v>0.17419354838709675</v>
      </c>
      <c r="U107" s="152">
        <f t="shared" si="302"/>
        <v>0.17419354838709677</v>
      </c>
      <c r="V107" s="152">
        <f t="shared" si="302"/>
        <v>0.17419354838709677</v>
      </c>
      <c r="W107" s="152">
        <f t="shared" si="302"/>
        <v>0.17419354838709677</v>
      </c>
      <c r="X107" s="152">
        <f t="shared" si="302"/>
        <v>0.17419354838709677</v>
      </c>
      <c r="Y107" s="152">
        <f t="shared" si="302"/>
        <v>0.17419354838709677</v>
      </c>
      <c r="Z107" s="152">
        <f t="shared" si="302"/>
        <v>0.17419354838709677</v>
      </c>
      <c r="AA107" s="152">
        <f t="shared" si="302"/>
        <v>0.17419354838709677</v>
      </c>
      <c r="AB107" s="152">
        <f t="shared" si="302"/>
        <v>0.1741935483870968</v>
      </c>
      <c r="AC107" s="152">
        <f t="shared" si="302"/>
        <v>0.1741935483870968</v>
      </c>
      <c r="AD107" s="138">
        <f t="shared" si="247"/>
        <v>4.6718940614130622E-2</v>
      </c>
      <c r="AE107" s="20"/>
      <c r="AF107" s="20"/>
    </row>
    <row r="108" spans="2:32" x14ac:dyDescent="0.2">
      <c r="B108" s="20" t="s">
        <v>321</v>
      </c>
      <c r="C108" s="20"/>
      <c r="D108" s="20"/>
      <c r="E108" s="20"/>
      <c r="F108" s="20"/>
      <c r="G108" s="152">
        <f t="shared" ref="G108:P108" si="303">G40/G25</f>
        <v>5.2845528455284556E-2</v>
      </c>
      <c r="H108" s="152">
        <f t="shared" si="303"/>
        <v>8.9605734767025089E-2</v>
      </c>
      <c r="I108" s="152">
        <f t="shared" si="303"/>
        <v>8.1159420289855067E-2</v>
      </c>
      <c r="J108" s="152">
        <f t="shared" si="303"/>
        <v>1.7543859649122806E-2</v>
      </c>
      <c r="K108" s="152">
        <f t="shared" si="303"/>
        <v>2.8037383177570093E-2</v>
      </c>
      <c r="L108" s="152">
        <f t="shared" si="303"/>
        <v>7.9889807162534437E-2</v>
      </c>
      <c r="M108" s="152">
        <f t="shared" si="303"/>
        <v>1.6842105263157894E-2</v>
      </c>
      <c r="N108" s="152">
        <f t="shared" si="303"/>
        <v>6.4075630252100835E-2</v>
      </c>
      <c r="O108" s="152">
        <f t="shared" si="303"/>
        <v>6.1561561561561562E-2</v>
      </c>
      <c r="P108" s="152">
        <f t="shared" si="303"/>
        <v>6.6055045871559637E-2</v>
      </c>
      <c r="Q108" s="152">
        <f t="shared" ref="Q108" si="304">Q40/Q25</f>
        <v>5.8504875406283859E-2</v>
      </c>
      <c r="R108" s="118">
        <f t="shared" si="245"/>
        <v>2.5100433161646007E-2</v>
      </c>
      <c r="S108" s="20"/>
      <c r="T108" s="152">
        <f t="shared" ref="T108:AC108" si="305">T40/T25</f>
        <v>5.8504875406283859E-2</v>
      </c>
      <c r="U108" s="152">
        <f t="shared" si="305"/>
        <v>5.8504875406283859E-2</v>
      </c>
      <c r="V108" s="152">
        <f t="shared" si="305"/>
        <v>5.8504875406283859E-2</v>
      </c>
      <c r="W108" s="152">
        <f t="shared" si="305"/>
        <v>5.8504875406283866E-2</v>
      </c>
      <c r="X108" s="152">
        <f t="shared" si="305"/>
        <v>5.8504875406283859E-2</v>
      </c>
      <c r="Y108" s="152">
        <f t="shared" si="305"/>
        <v>5.8504875406283859E-2</v>
      </c>
      <c r="Z108" s="152">
        <f t="shared" si="305"/>
        <v>5.8504875406283852E-2</v>
      </c>
      <c r="AA108" s="152">
        <f t="shared" si="305"/>
        <v>5.8504875406283845E-2</v>
      </c>
      <c r="AB108" s="152">
        <f t="shared" si="305"/>
        <v>5.8504875406283852E-2</v>
      </c>
      <c r="AC108" s="152">
        <f t="shared" si="305"/>
        <v>5.8504875406283859E-2</v>
      </c>
      <c r="AD108" s="138">
        <f t="shared" si="247"/>
        <v>5.099809511511344E-3</v>
      </c>
      <c r="AE108" s="20"/>
      <c r="AF108" s="20"/>
    </row>
    <row r="109" spans="2:32" x14ac:dyDescent="0.2">
      <c r="B109" s="20" t="s">
        <v>347</v>
      </c>
      <c r="C109" s="20"/>
      <c r="D109" s="20"/>
      <c r="E109" s="152"/>
      <c r="F109" s="152"/>
      <c r="G109" s="152">
        <f t="shared" ref="G109:O109" si="306">G25/G18</f>
        <v>1.3225806451612903</v>
      </c>
      <c r="H109" s="152">
        <f t="shared" si="306"/>
        <v>1.1625000000000001</v>
      </c>
      <c r="I109" s="152">
        <f t="shared" si="306"/>
        <v>1.38</v>
      </c>
      <c r="J109" s="152">
        <f t="shared" si="306"/>
        <v>1.2845070422535212</v>
      </c>
      <c r="K109" s="152">
        <f t="shared" si="306"/>
        <v>1.5828402366863905</v>
      </c>
      <c r="L109" s="152">
        <f t="shared" si="306"/>
        <v>1.1100917431192661</v>
      </c>
      <c r="M109" s="152">
        <f t="shared" si="306"/>
        <v>1.3768115942028984</v>
      </c>
      <c r="N109" s="152">
        <f t="shared" si="306"/>
        <v>1.9389002036659877</v>
      </c>
      <c r="O109" s="152">
        <f t="shared" si="306"/>
        <v>2.5566218809980805</v>
      </c>
      <c r="P109" s="152">
        <f>P25/P18</f>
        <v>2.6370967741935485</v>
      </c>
      <c r="Q109" s="152">
        <f>Q25/Q18</f>
        <v>2.9774193548387098</v>
      </c>
      <c r="R109" s="118">
        <f t="shared" si="245"/>
        <v>7.9693368279161181E-2</v>
      </c>
      <c r="S109" s="20"/>
      <c r="T109" s="152">
        <f>T25/T18</f>
        <v>2.9774193548387093</v>
      </c>
      <c r="U109" s="152">
        <f t="shared" ref="U109:AC109" si="307">U25/U18</f>
        <v>2.9774193548387093</v>
      </c>
      <c r="V109" s="152">
        <f t="shared" si="307"/>
        <v>2.9774193548387093</v>
      </c>
      <c r="W109" s="152">
        <f t="shared" si="307"/>
        <v>2.9774193548387093</v>
      </c>
      <c r="X109" s="152">
        <f t="shared" si="307"/>
        <v>2.9774193548387098</v>
      </c>
      <c r="Y109" s="152">
        <f t="shared" si="307"/>
        <v>2.9774193548387098</v>
      </c>
      <c r="Z109" s="152">
        <f t="shared" si="307"/>
        <v>2.9774193548387098</v>
      </c>
      <c r="AA109" s="152">
        <f t="shared" si="307"/>
        <v>2.9774193548387102</v>
      </c>
      <c r="AB109" s="152">
        <f t="shared" si="307"/>
        <v>2.9774193548387102</v>
      </c>
      <c r="AC109" s="152">
        <f t="shared" si="307"/>
        <v>2.9774193548387102</v>
      </c>
      <c r="AD109" s="138">
        <f t="shared" si="247"/>
        <v>4.1407958402505773E-2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333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2.94</v>
      </c>
      <c r="H111" s="165">
        <f t="shared" ref="H111:P111" si="309">H70*H42</f>
        <v>5.1449999999999996</v>
      </c>
      <c r="I111" s="165">
        <f t="shared" si="309"/>
        <v>5.1449999999999996</v>
      </c>
      <c r="J111" s="165">
        <f t="shared" si="309"/>
        <v>1.47</v>
      </c>
      <c r="K111" s="165">
        <f t="shared" si="309"/>
        <v>1.47</v>
      </c>
      <c r="L111" s="165">
        <f t="shared" si="309"/>
        <v>1.4773499999999999</v>
      </c>
      <c r="M111" s="165">
        <f t="shared" si="309"/>
        <v>7.35</v>
      </c>
      <c r="N111" s="165">
        <f t="shared" si="309"/>
        <v>14.7</v>
      </c>
      <c r="O111" s="165">
        <f t="shared" si="309"/>
        <v>18.375</v>
      </c>
      <c r="P111" s="165">
        <f t="shared" si="309"/>
        <v>22.049999999999997</v>
      </c>
      <c r="Q111" s="165">
        <f t="shared" ref="Q111" si="310">Q70*Q42</f>
        <v>25.724999999999998</v>
      </c>
      <c r="R111" s="118">
        <f t="shared" si="245"/>
        <v>0.25091853992021362</v>
      </c>
      <c r="S111" s="20"/>
      <c r="T111" s="165">
        <f t="shared" ref="T111:AC111" si="311">T70*T42</f>
        <v>28.361812500000003</v>
      </c>
      <c r="U111" s="165">
        <f t="shared" si="311"/>
        <v>31.268898281250003</v>
      </c>
      <c r="V111" s="165">
        <f t="shared" si="311"/>
        <v>34.473960355078127</v>
      </c>
      <c r="W111" s="165">
        <f t="shared" si="311"/>
        <v>38.007541291473636</v>
      </c>
      <c r="X111" s="165">
        <f t="shared" si="311"/>
        <v>41.903314273849688</v>
      </c>
      <c r="Y111" s="165">
        <f t="shared" si="311"/>
        <v>46.198403986919281</v>
      </c>
      <c r="Z111" s="165">
        <f t="shared" si="311"/>
        <v>50.933740395578518</v>
      </c>
      <c r="AA111" s="165">
        <f t="shared" si="311"/>
        <v>56.154448786125322</v>
      </c>
      <c r="AB111" s="165">
        <f t="shared" si="311"/>
        <v>61.910279786703178</v>
      </c>
      <c r="AC111" s="165">
        <f t="shared" si="311"/>
        <v>68.256083464840259</v>
      </c>
      <c r="AD111" s="138">
        <f t="shared" si="247"/>
        <v>0.17027978088907014</v>
      </c>
      <c r="AE111" s="20"/>
      <c r="AF111" s="20"/>
    </row>
    <row r="112" spans="2:32" x14ac:dyDescent="0.2">
      <c r="B112" s="20" t="s">
        <v>334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3.4398</v>
      </c>
      <c r="H112" s="165">
        <f t="shared" si="312"/>
        <v>6.0196499999999995</v>
      </c>
      <c r="I112" s="165">
        <f t="shared" si="312"/>
        <v>6.0196499999999995</v>
      </c>
      <c r="J112" s="165">
        <f t="shared" si="312"/>
        <v>1.7199</v>
      </c>
      <c r="K112" s="165">
        <f t="shared" si="312"/>
        <v>1.7199</v>
      </c>
      <c r="L112" s="165">
        <f t="shared" si="312"/>
        <v>1.7284994999999999</v>
      </c>
      <c r="M112" s="165">
        <f t="shared" si="312"/>
        <v>8.599499999999999</v>
      </c>
      <c r="N112" s="165">
        <f t="shared" si="312"/>
        <v>17.198999999999998</v>
      </c>
      <c r="O112" s="165">
        <f t="shared" si="312"/>
        <v>21.498750000000001</v>
      </c>
      <c r="P112" s="165">
        <f t="shared" si="312"/>
        <v>25.798499999999997</v>
      </c>
      <c r="Q112" s="165">
        <f t="shared" ref="Q112" si="313">(Q111*0.17)+Q111</f>
        <v>30.098249999999997</v>
      </c>
      <c r="R112" s="118">
        <f t="shared" si="245"/>
        <v>0.25091853992021362</v>
      </c>
      <c r="S112" s="20"/>
      <c r="T112" s="165">
        <f t="shared" ref="T112:AC112" si="314">(T111*0.17)+T111</f>
        <v>33.183320625000007</v>
      </c>
      <c r="U112" s="165">
        <f t="shared" si="314"/>
        <v>36.584610989062504</v>
      </c>
      <c r="V112" s="165">
        <f t="shared" si="314"/>
        <v>40.334533615441408</v>
      </c>
      <c r="W112" s="165">
        <f t="shared" si="314"/>
        <v>44.468823311024153</v>
      </c>
      <c r="X112" s="165">
        <f t="shared" si="314"/>
        <v>49.026877700404135</v>
      </c>
      <c r="Y112" s="165">
        <f t="shared" si="314"/>
        <v>54.052132664695563</v>
      </c>
      <c r="Z112" s="165">
        <f t="shared" si="314"/>
        <v>59.592476262826864</v>
      </c>
      <c r="AA112" s="165">
        <f t="shared" si="314"/>
        <v>65.700705079766621</v>
      </c>
      <c r="AB112" s="165">
        <f t="shared" si="314"/>
        <v>72.435027350442724</v>
      </c>
      <c r="AC112" s="165">
        <f t="shared" si="314"/>
        <v>79.859617653863097</v>
      </c>
      <c r="AD112" s="138">
        <f t="shared" si="247"/>
        <v>0.17027978088907014</v>
      </c>
      <c r="AE112" s="20"/>
      <c r="AF112" s="20"/>
    </row>
    <row r="113" spans="2:32" x14ac:dyDescent="0.2">
      <c r="B113" s="20" t="s">
        <v>335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0.2646</v>
      </c>
      <c r="H113" s="152">
        <f t="shared" si="315"/>
        <v>0.24078599999999997</v>
      </c>
      <c r="I113" s="152">
        <f t="shared" si="315"/>
        <v>0.21498749999999997</v>
      </c>
      <c r="J113" s="152">
        <f t="shared" si="315"/>
        <v>0.2149875</v>
      </c>
      <c r="K113" s="152">
        <f t="shared" si="315"/>
        <v>0.11466</v>
      </c>
      <c r="L113" s="152">
        <f t="shared" si="315"/>
        <v>5.9603431034482755E-2</v>
      </c>
      <c r="M113" s="152">
        <f t="shared" si="315"/>
        <v>1.0749374999999999</v>
      </c>
      <c r="N113" s="152">
        <f t="shared" si="315"/>
        <v>0.28195081967213109</v>
      </c>
      <c r="O113" s="152">
        <f t="shared" si="315"/>
        <v>0.26217987804878051</v>
      </c>
      <c r="P113" s="152">
        <f t="shared" si="315"/>
        <v>0.23887499999999998</v>
      </c>
      <c r="Q113" s="152">
        <f t="shared" ref="Q113" si="316">Q112/Q40</f>
        <v>0.27868749999999998</v>
      </c>
      <c r="R113" s="118">
        <f t="shared" si="245"/>
        <v>-1.1299986642549831E-2</v>
      </c>
      <c r="S113" s="20"/>
      <c r="T113" s="152">
        <f t="shared" ref="T113:AC113" si="317">T112/T40</f>
        <v>0.26717649456521747</v>
      </c>
      <c r="U113" s="152">
        <f t="shared" si="317"/>
        <v>0.2561409437027411</v>
      </c>
      <c r="V113" s="152">
        <f t="shared" si="317"/>
        <v>0.24556120907154089</v>
      </c>
      <c r="W113" s="152">
        <f t="shared" si="317"/>
        <v>0.23541846347945553</v>
      </c>
      <c r="X113" s="152">
        <f t="shared" si="317"/>
        <v>0.22569465737921721</v>
      </c>
      <c r="Y113" s="152">
        <f t="shared" si="317"/>
        <v>0.21637248674833653</v>
      </c>
      <c r="Z113" s="152">
        <f t="shared" si="317"/>
        <v>0.2074353622956879</v>
      </c>
      <c r="AA113" s="152">
        <f t="shared" si="317"/>
        <v>0.19886737993999645</v>
      </c>
      <c r="AB113" s="152">
        <f t="shared" si="317"/>
        <v>0.19065329250769233</v>
      </c>
      <c r="AC113" s="152">
        <f t="shared" si="317"/>
        <v>0.1827784825997659</v>
      </c>
      <c r="AD113" s="138">
        <f t="shared" si="247"/>
        <v>-1.8327191927200559E-2</v>
      </c>
      <c r="AE113" s="20"/>
      <c r="AF113" s="20"/>
    </row>
    <row r="114" spans="2:32" x14ac:dyDescent="0.2">
      <c r="B114" s="20" t="s">
        <v>328</v>
      </c>
      <c r="C114" s="20"/>
      <c r="D114" s="20"/>
      <c r="E114" s="20"/>
      <c r="F114" s="152" t="e">
        <f>1-F113</f>
        <v>#DIV/0!</v>
      </c>
      <c r="G114" s="152">
        <f>1-G113</f>
        <v>0.73540000000000005</v>
      </c>
      <c r="H114" s="152">
        <f t="shared" ref="H114:P114" si="318">1-H113</f>
        <v>0.75921400000000006</v>
      </c>
      <c r="I114" s="152">
        <f t="shared" si="318"/>
        <v>0.7850125</v>
      </c>
      <c r="J114" s="152">
        <f t="shared" si="318"/>
        <v>0.7850125</v>
      </c>
      <c r="K114" s="152">
        <f t="shared" si="318"/>
        <v>0.88534000000000002</v>
      </c>
      <c r="L114" s="152">
        <f t="shared" si="318"/>
        <v>0.94039656896551727</v>
      </c>
      <c r="M114" s="152">
        <f t="shared" si="318"/>
        <v>-7.4937499999999879E-2</v>
      </c>
      <c r="N114" s="152">
        <f t="shared" si="318"/>
        <v>0.71804918032786891</v>
      </c>
      <c r="O114" s="152">
        <f t="shared" si="318"/>
        <v>0.73782012195121949</v>
      </c>
      <c r="P114" s="152">
        <f t="shared" si="318"/>
        <v>0.76112500000000005</v>
      </c>
      <c r="Q114" s="152">
        <f t="shared" ref="Q114" si="319">1-Q113</f>
        <v>0.72131250000000002</v>
      </c>
      <c r="R114" s="118">
        <f t="shared" si="245"/>
        <v>3.8276437960997889E-3</v>
      </c>
      <c r="S114" s="20"/>
      <c r="T114" s="152">
        <f t="shared" ref="T114:AC114" si="320">1-T113</f>
        <v>0.73282350543478247</v>
      </c>
      <c r="U114" s="152">
        <f t="shared" si="320"/>
        <v>0.7438590562972589</v>
      </c>
      <c r="V114" s="152">
        <f t="shared" si="320"/>
        <v>0.75443879092845911</v>
      </c>
      <c r="W114" s="152">
        <f t="shared" si="320"/>
        <v>0.7645815365205445</v>
      </c>
      <c r="X114" s="152">
        <f t="shared" si="320"/>
        <v>0.77430534262078277</v>
      </c>
      <c r="Y114" s="152">
        <f t="shared" si="320"/>
        <v>0.78362751325166347</v>
      </c>
      <c r="Z114" s="152">
        <f t="shared" si="320"/>
        <v>0.79256463770431207</v>
      </c>
      <c r="AA114" s="152">
        <f t="shared" si="320"/>
        <v>0.80113262006000352</v>
      </c>
      <c r="AB114" s="152">
        <f t="shared" si="320"/>
        <v>0.80934670749230764</v>
      </c>
      <c r="AC114" s="152">
        <f t="shared" si="320"/>
        <v>0.81722151740023408</v>
      </c>
      <c r="AD114" s="138">
        <f t="shared" si="247"/>
        <v>5.2887173696174461E-3</v>
      </c>
      <c r="AE114" s="20"/>
      <c r="AF114" s="20"/>
    </row>
    <row r="115" spans="2:32" x14ac:dyDescent="0.2">
      <c r="B115" s="20" t="s">
        <v>451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9.8279999999999992E-2</v>
      </c>
      <c r="H115" s="152">
        <f t="shared" si="321"/>
        <v>7.817727272727272E-2</v>
      </c>
      <c r="I115" s="152">
        <f t="shared" si="321"/>
        <v>1.5049124999999999</v>
      </c>
      <c r="J115" s="152">
        <f t="shared" si="321"/>
        <v>-6.8795999999999996E-2</v>
      </c>
      <c r="K115" s="152">
        <f t="shared" si="321"/>
        <v>0.34398000000000001</v>
      </c>
      <c r="L115" s="152">
        <f t="shared" si="321"/>
        <v>6.8051161417322828E-2</v>
      </c>
      <c r="M115" s="152">
        <f t="shared" si="321"/>
        <v>7.9624999999999987E-2</v>
      </c>
      <c r="N115" s="152">
        <f t="shared" si="321"/>
        <v>0.10816981132075471</v>
      </c>
      <c r="O115" s="152">
        <f t="shared" si="321"/>
        <v>0.27562500000000001</v>
      </c>
      <c r="P115" s="152">
        <f t="shared" si="321"/>
        <v>0.29653448275862065</v>
      </c>
      <c r="Q115" s="152">
        <f>Q112/Q20</f>
        <v>0.34595689655172412</v>
      </c>
      <c r="R115" s="118">
        <f t="shared" si="245"/>
        <v>0.13055060341213376</v>
      </c>
      <c r="S115" s="20"/>
      <c r="T115" s="152">
        <f>T112/T20</f>
        <v>0.3316673725637182</v>
      </c>
      <c r="U115" s="152">
        <f t="shared" ref="U115:AC115" si="322">U112/U20</f>
        <v>0.317968068044782</v>
      </c>
      <c r="V115" s="152">
        <f t="shared" si="322"/>
        <v>0.30483460436467147</v>
      </c>
      <c r="W115" s="152">
        <f t="shared" si="322"/>
        <v>0.2922436098365655</v>
      </c>
      <c r="X115" s="152">
        <f t="shared" si="322"/>
        <v>0.28017267812592483</v>
      </c>
      <c r="Y115" s="152">
        <f t="shared" si="322"/>
        <v>0.26860032837724535</v>
      </c>
      <c r="Z115" s="152">
        <f t="shared" si="322"/>
        <v>0.25750596698775052</v>
      </c>
      <c r="AA115" s="152">
        <f t="shared" si="322"/>
        <v>0.24686985095999564</v>
      </c>
      <c r="AB115" s="152">
        <f t="shared" si="322"/>
        <v>0.23667305276816983</v>
      </c>
      <c r="AC115" s="152">
        <f t="shared" si="322"/>
        <v>0.2268974266755715</v>
      </c>
      <c r="AD115" s="138" t="s">
        <v>452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332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329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353</v>
      </c>
      <c r="C120" s="20"/>
      <c r="D120" s="20"/>
      <c r="E120" s="20"/>
      <c r="F120" s="20"/>
      <c r="G120" s="152">
        <f>G27/G25</f>
        <v>0.80081300813008127</v>
      </c>
      <c r="H120" s="152">
        <f t="shared" ref="H120:P120" si="329">H27/H25</f>
        <v>0.78136200716845883</v>
      </c>
      <c r="I120" s="152">
        <f t="shared" si="329"/>
        <v>0.80289855072463767</v>
      </c>
      <c r="J120" s="152">
        <f t="shared" si="329"/>
        <v>0.875</v>
      </c>
      <c r="K120" s="152">
        <f t="shared" si="329"/>
        <v>0.84112149532710279</v>
      </c>
      <c r="L120" s="152">
        <f t="shared" si="329"/>
        <v>0.80440771349862261</v>
      </c>
      <c r="M120" s="152">
        <f t="shared" si="329"/>
        <v>0.87789473684210528</v>
      </c>
      <c r="N120" s="152">
        <f t="shared" si="329"/>
        <v>0.84033613445378152</v>
      </c>
      <c r="O120" s="152">
        <f t="shared" si="329"/>
        <v>0.84384384384384381</v>
      </c>
      <c r="P120" s="152">
        <f t="shared" si="329"/>
        <v>0.84831804281345569</v>
      </c>
      <c r="Q120" s="152">
        <f t="shared" ref="Q120" si="330">Q27/Q25</f>
        <v>0.86998916576381369</v>
      </c>
      <c r="R120" s="118">
        <f t="shared" si="245"/>
        <v>6.423670974272655E-3</v>
      </c>
      <c r="S120" s="20"/>
      <c r="T120" s="152">
        <f t="shared" ref="T120:AC120" si="331">T27/T25</f>
        <v>0.86998916576381369</v>
      </c>
      <c r="U120" s="152">
        <f t="shared" si="331"/>
        <v>0.86998916576381358</v>
      </c>
      <c r="V120" s="152">
        <f t="shared" si="331"/>
        <v>0.86998916576381358</v>
      </c>
      <c r="W120" s="152">
        <f t="shared" si="331"/>
        <v>0.86998916576381358</v>
      </c>
      <c r="X120" s="152">
        <f t="shared" si="331"/>
        <v>0.86998916576381358</v>
      </c>
      <c r="Y120" s="152">
        <f t="shared" si="331"/>
        <v>0.86998916576381358</v>
      </c>
      <c r="Z120" s="152">
        <f t="shared" si="331"/>
        <v>0.86998916576381335</v>
      </c>
      <c r="AA120" s="152">
        <f t="shared" si="331"/>
        <v>0.86998916576381335</v>
      </c>
      <c r="AB120" s="152">
        <f t="shared" si="331"/>
        <v>0.86998916576381347</v>
      </c>
      <c r="AC120" s="152">
        <f t="shared" si="331"/>
        <v>0.86998916576381347</v>
      </c>
      <c r="AD120" s="138">
        <f t="shared" si="247"/>
        <v>4.1512570272510541E-3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0.4065040650406504</v>
      </c>
      <c r="H121" s="152">
        <f t="shared" ref="H121:P121" si="332">H33/H25</f>
        <v>0.40143369175627241</v>
      </c>
      <c r="I121" s="152">
        <f t="shared" si="332"/>
        <v>0.44927536231884058</v>
      </c>
      <c r="J121" s="152">
        <f t="shared" si="332"/>
        <v>0.52192982456140347</v>
      </c>
      <c r="K121" s="152">
        <f t="shared" si="332"/>
        <v>0.51962616822429908</v>
      </c>
      <c r="L121" s="152">
        <f t="shared" si="332"/>
        <v>0.44352617079889806</v>
      </c>
      <c r="M121" s="152">
        <f t="shared" si="332"/>
        <v>0.51157894736842102</v>
      </c>
      <c r="N121" s="152">
        <f t="shared" si="332"/>
        <v>0.57563025210084029</v>
      </c>
      <c r="O121" s="152">
        <f t="shared" si="332"/>
        <v>0.52702702702702697</v>
      </c>
      <c r="P121" s="152">
        <f t="shared" si="332"/>
        <v>0.49847094801223241</v>
      </c>
      <c r="Q121" s="152">
        <f t="shared" ref="Q121" si="333">Q33/Q25</f>
        <v>0.44149512459371615</v>
      </c>
      <c r="R121" s="118">
        <f t="shared" si="245"/>
        <v>2.291998146992591E-2</v>
      </c>
      <c r="S121" s="20"/>
      <c r="T121" s="152">
        <f t="shared" ref="T121:AC121" si="334">T33/T25</f>
        <v>0.44149512459371615</v>
      </c>
      <c r="U121" s="152">
        <f t="shared" si="334"/>
        <v>0.44149512459371615</v>
      </c>
      <c r="V121" s="152">
        <f t="shared" si="334"/>
        <v>0.44149512459371615</v>
      </c>
      <c r="W121" s="152">
        <f t="shared" si="334"/>
        <v>0.44149512459371609</v>
      </c>
      <c r="X121" s="152">
        <f t="shared" si="334"/>
        <v>0.44149512459371609</v>
      </c>
      <c r="Y121" s="152">
        <f t="shared" si="334"/>
        <v>0.44149512459371609</v>
      </c>
      <c r="Z121" s="152">
        <f t="shared" si="334"/>
        <v>0.44149512459371609</v>
      </c>
      <c r="AA121" s="152">
        <f t="shared" si="334"/>
        <v>0.44149512459371604</v>
      </c>
      <c r="AB121" s="152">
        <f t="shared" si="334"/>
        <v>0.44149512459371604</v>
      </c>
      <c r="AC121" s="152">
        <f t="shared" si="334"/>
        <v>0.44149512459371609</v>
      </c>
      <c r="AD121" s="138">
        <f t="shared" si="247"/>
        <v>4.1371870329223182E-3</v>
      </c>
      <c r="AE121" s="20"/>
      <c r="AF121" s="20"/>
    </row>
    <row r="122" spans="2:32" x14ac:dyDescent="0.2">
      <c r="B122" s="20" t="str">
        <f>B34</f>
        <v>2nd highest Expenses Comp. ( Power &amp; Fuel Cost )</v>
      </c>
      <c r="C122" s="20"/>
      <c r="D122" s="20"/>
      <c r="E122" s="20"/>
      <c r="F122" s="20"/>
      <c r="G122" s="152">
        <f>G34/G25</f>
        <v>0.21138211382113822</v>
      </c>
      <c r="H122" s="152">
        <f t="shared" ref="H122:P122" si="335">H34/H25</f>
        <v>0.18996415770609318</v>
      </c>
      <c r="I122" s="152">
        <f t="shared" si="335"/>
        <v>0.17391304347826086</v>
      </c>
      <c r="J122" s="152">
        <f t="shared" si="335"/>
        <v>0.16447368421052633</v>
      </c>
      <c r="K122" s="152">
        <f t="shared" si="335"/>
        <v>0.14579439252336449</v>
      </c>
      <c r="L122" s="152">
        <f t="shared" si="335"/>
        <v>0.16528925619834711</v>
      </c>
      <c r="M122" s="152">
        <f t="shared" si="335"/>
        <v>0.15789473684210525</v>
      </c>
      <c r="N122" s="152">
        <f t="shared" si="335"/>
        <v>9.8739495798319324E-2</v>
      </c>
      <c r="O122" s="152">
        <f t="shared" si="335"/>
        <v>0.15765765765765766</v>
      </c>
      <c r="P122" s="152">
        <f t="shared" si="335"/>
        <v>0.18776758409785932</v>
      </c>
      <c r="Q122" s="152">
        <f t="shared" ref="Q122" si="336">Q34/Q25</f>
        <v>0.16630552546045504</v>
      </c>
      <c r="R122" s="118">
        <f t="shared" si="245"/>
        <v>-1.3076255136731274E-2</v>
      </c>
      <c r="S122" s="20"/>
      <c r="T122" s="152">
        <f t="shared" ref="T122:AC122" si="337">T34/T25</f>
        <v>0.16630552546045504</v>
      </c>
      <c r="U122" s="152">
        <f t="shared" si="337"/>
        <v>0.16630552546045504</v>
      </c>
      <c r="V122" s="152">
        <f t="shared" si="337"/>
        <v>0.16630552546045504</v>
      </c>
      <c r="W122" s="152">
        <f t="shared" si="337"/>
        <v>0.16630552546045502</v>
      </c>
      <c r="X122" s="152">
        <f t="shared" si="337"/>
        <v>0.16630552546045502</v>
      </c>
      <c r="Y122" s="152">
        <f t="shared" si="337"/>
        <v>0.16630552546045502</v>
      </c>
      <c r="Z122" s="152">
        <f t="shared" si="337"/>
        <v>0.16630552546045502</v>
      </c>
      <c r="AA122" s="152">
        <f t="shared" si="337"/>
        <v>0.16630552546045502</v>
      </c>
      <c r="AB122" s="152">
        <f t="shared" si="337"/>
        <v>0.16630552546045502</v>
      </c>
      <c r="AC122" s="152">
        <f t="shared" si="337"/>
        <v>0.16630552546045504</v>
      </c>
      <c r="AD122" s="138">
        <f t="shared" si="247"/>
        <v>-1.192042453229003E-2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361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364</v>
      </c>
      <c r="C125" s="20"/>
      <c r="D125" s="20"/>
      <c r="E125" s="20"/>
      <c r="F125" s="20"/>
      <c r="G125" s="25">
        <f>G15/G9</f>
        <v>1.4558823529411764</v>
      </c>
      <c r="H125" s="25">
        <f t="shared" ref="H125:AC125" si="338">H15/H9</f>
        <v>0.95</v>
      </c>
      <c r="I125" s="25">
        <f t="shared" si="338"/>
        <v>1.4352941176470588</v>
      </c>
      <c r="J125" s="25">
        <f t="shared" si="338"/>
        <v>1.6228070175438596</v>
      </c>
      <c r="K125" s="25">
        <f t="shared" si="338"/>
        <v>1.8346456692913387</v>
      </c>
      <c r="L125" s="25">
        <f t="shared" si="338"/>
        <v>1.5588235294117647</v>
      </c>
      <c r="M125" s="25">
        <f t="shared" si="338"/>
        <v>1.2701149425287357</v>
      </c>
      <c r="N125" s="25">
        <f t="shared" si="338"/>
        <v>0.90974729241877261</v>
      </c>
      <c r="O125" s="25">
        <f t="shared" si="338"/>
        <v>0.87792207792207788</v>
      </c>
      <c r="P125" s="25">
        <f t="shared" si="338"/>
        <v>1.0454545454545454</v>
      </c>
      <c r="Q125" s="25">
        <f t="shared" ref="Q125" si="339">Q15/Q9</f>
        <v>1.0454545454545454</v>
      </c>
      <c r="R125" s="118">
        <f t="shared" si="245"/>
        <v>-3.6126867230393267E-2</v>
      </c>
      <c r="S125" s="20"/>
      <c r="T125" s="20">
        <f t="shared" si="338"/>
        <v>1.0454545454545456</v>
      </c>
      <c r="U125" s="20">
        <f t="shared" si="338"/>
        <v>1.0454545454545454</v>
      </c>
      <c r="V125" s="20">
        <f t="shared" si="338"/>
        <v>1.0454545454545456</v>
      </c>
      <c r="W125" s="20">
        <f t="shared" si="338"/>
        <v>1.0454545454545454</v>
      </c>
      <c r="X125" s="20">
        <f t="shared" si="338"/>
        <v>1.0454545454545456</v>
      </c>
      <c r="Y125" s="20">
        <f t="shared" si="338"/>
        <v>1.0454545454545456</v>
      </c>
      <c r="Z125" s="20">
        <f t="shared" si="338"/>
        <v>1.0454545454545454</v>
      </c>
      <c r="AA125" s="20">
        <f t="shared" si="338"/>
        <v>1.0454545454545456</v>
      </c>
      <c r="AB125" s="20">
        <f t="shared" si="338"/>
        <v>1.0454545454545456</v>
      </c>
      <c r="AC125" s="20">
        <f t="shared" si="338"/>
        <v>1.0454545454545456</v>
      </c>
      <c r="AD125" s="138">
        <f t="shared" si="247"/>
        <v>-1.6421688612299645E-2</v>
      </c>
      <c r="AE125" s="20"/>
      <c r="AF125" s="20"/>
    </row>
    <row r="126" spans="2:32" x14ac:dyDescent="0.2">
      <c r="B126" s="20" t="s">
        <v>354</v>
      </c>
      <c r="C126" s="20"/>
      <c r="D126" s="20"/>
      <c r="E126" s="20"/>
      <c r="F126" s="20"/>
      <c r="G126" s="25">
        <f>G12/G9</f>
        <v>4.4117647058823532E-2</v>
      </c>
      <c r="H126" s="25">
        <f t="shared" ref="H126:P126" si="340">H12/H9</f>
        <v>0.03</v>
      </c>
      <c r="I126" s="25">
        <f t="shared" si="340"/>
        <v>5.8823529411764705E-2</v>
      </c>
      <c r="J126" s="25">
        <f t="shared" si="340"/>
        <v>3.5087719298245612E-2</v>
      </c>
      <c r="K126" s="25">
        <f t="shared" si="340"/>
        <v>6.2992125984251968E-2</v>
      </c>
      <c r="L126" s="25">
        <f t="shared" si="340"/>
        <v>5.8823529411764705E-2</v>
      </c>
      <c r="M126" s="25">
        <f t="shared" si="340"/>
        <v>2.8735632183908046E-2</v>
      </c>
      <c r="N126" s="25">
        <f t="shared" si="340"/>
        <v>1.444043321299639E-2</v>
      </c>
      <c r="O126" s="25">
        <f t="shared" si="340"/>
        <v>1.8181818181818181E-2</v>
      </c>
      <c r="P126" s="25">
        <f t="shared" si="340"/>
        <v>1.7045454545454544E-2</v>
      </c>
      <c r="Q126" s="25">
        <f t="shared" ref="Q126" si="341">Q12/Q9</f>
        <v>1.7045454545454544E-2</v>
      </c>
      <c r="R126" s="118">
        <f t="shared" si="245"/>
        <v>-0.10027312344332162</v>
      </c>
      <c r="S126" s="128"/>
      <c r="T126" s="20">
        <f t="shared" ref="T126:AC126" si="342">T12/T9</f>
        <v>1.7045454545454548E-2</v>
      </c>
      <c r="U126" s="20">
        <f t="shared" si="342"/>
        <v>1.7045454545454544E-2</v>
      </c>
      <c r="V126" s="20">
        <f t="shared" si="342"/>
        <v>1.7045454545454548E-2</v>
      </c>
      <c r="W126" s="20">
        <f t="shared" si="342"/>
        <v>1.7045454545454544E-2</v>
      </c>
      <c r="X126" s="20">
        <f t="shared" si="342"/>
        <v>1.7045454545454544E-2</v>
      </c>
      <c r="Y126" s="20">
        <f t="shared" si="342"/>
        <v>1.7045454545454541E-2</v>
      </c>
      <c r="Z126" s="20">
        <f t="shared" si="342"/>
        <v>1.7045454545454541E-2</v>
      </c>
      <c r="AA126" s="20">
        <f t="shared" si="342"/>
        <v>1.7045454545454541E-2</v>
      </c>
      <c r="AB126" s="20">
        <f t="shared" si="342"/>
        <v>1.7045454545454541E-2</v>
      </c>
      <c r="AC126" s="20">
        <f t="shared" si="342"/>
        <v>1.7045454545454544E-2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G25/360</f>
        <v>0.68333333333333335</v>
      </c>
      <c r="H127" s="25">
        <f t="shared" ref="H127:P127" si="344">H25/360</f>
        <v>0.77500000000000002</v>
      </c>
      <c r="I127" s="25">
        <f t="shared" si="344"/>
        <v>0.95833333333333337</v>
      </c>
      <c r="J127" s="25">
        <f t="shared" si="344"/>
        <v>1.2666666666666666</v>
      </c>
      <c r="K127" s="25">
        <f t="shared" si="344"/>
        <v>1.4861111111111112</v>
      </c>
      <c r="L127" s="25">
        <f t="shared" si="344"/>
        <v>1.0083333333333333</v>
      </c>
      <c r="M127" s="25">
        <f t="shared" si="344"/>
        <v>1.3194444444444444</v>
      </c>
      <c r="N127" s="25">
        <f t="shared" si="344"/>
        <v>2.6444444444444444</v>
      </c>
      <c r="O127" s="25">
        <f t="shared" si="344"/>
        <v>3.7</v>
      </c>
      <c r="P127" s="25">
        <f t="shared" si="344"/>
        <v>4.541666666666667</v>
      </c>
      <c r="Q127" s="25">
        <f t="shared" ref="Q127" si="345">Q25/360</f>
        <v>5.1277777777777782</v>
      </c>
      <c r="R127" s="118">
        <f t="shared" si="245"/>
        <v>0.23423560927573273</v>
      </c>
      <c r="S127" s="128"/>
      <c r="T127" s="25">
        <f t="shared" ref="T127:AC127" si="346">T25/360</f>
        <v>5.8969444444444434</v>
      </c>
      <c r="U127" s="25">
        <f t="shared" si="346"/>
        <v>6.7814861111111098</v>
      </c>
      <c r="V127" s="25">
        <f t="shared" si="346"/>
        <v>7.7987090277777762</v>
      </c>
      <c r="W127" s="25">
        <f t="shared" si="346"/>
        <v>8.9685153819444423</v>
      </c>
      <c r="X127" s="25">
        <f t="shared" si="346"/>
        <v>10.313792689236108</v>
      </c>
      <c r="Y127" s="25">
        <f t="shared" si="346"/>
        <v>11.860861592621523</v>
      </c>
      <c r="Z127" s="25">
        <f t="shared" si="346"/>
        <v>13.639990831514751</v>
      </c>
      <c r="AA127" s="25">
        <f t="shared" si="346"/>
        <v>15.685989456241964</v>
      </c>
      <c r="AB127" s="25">
        <f t="shared" si="346"/>
        <v>18.038887874678256</v>
      </c>
      <c r="AC127" s="25">
        <f t="shared" si="346"/>
        <v>20.744721055879992</v>
      </c>
      <c r="AD127" s="118">
        <f t="shared" ref="AD127:AD138" si="347">((AC127/T127)^(1/($H$2-$H$1) ))-1</f>
        <v>0.14999999999999991</v>
      </c>
      <c r="AE127" s="20"/>
      <c r="AF127" s="20"/>
    </row>
    <row r="128" spans="2:32" x14ac:dyDescent="0.2">
      <c r="B128" s="20" t="s">
        <v>355</v>
      </c>
      <c r="C128" s="20"/>
      <c r="D128" s="20"/>
      <c r="E128" s="20"/>
      <c r="F128" s="20"/>
      <c r="G128" s="25">
        <f>G27/360</f>
        <v>0.54722222222222228</v>
      </c>
      <c r="H128" s="25">
        <f t="shared" ref="H128:P128" si="348">H27/360</f>
        <v>0.60555555555555551</v>
      </c>
      <c r="I128" s="25">
        <f t="shared" si="348"/>
        <v>0.76944444444444449</v>
      </c>
      <c r="J128" s="25">
        <f t="shared" si="348"/>
        <v>1.1083333333333334</v>
      </c>
      <c r="K128" s="25">
        <f t="shared" si="348"/>
        <v>1.25</v>
      </c>
      <c r="L128" s="25">
        <f t="shared" si="348"/>
        <v>0.81111111111111112</v>
      </c>
      <c r="M128" s="25">
        <f t="shared" si="348"/>
        <v>1.1583333333333334</v>
      </c>
      <c r="N128" s="25">
        <f t="shared" si="348"/>
        <v>2.2222222222222223</v>
      </c>
      <c r="O128" s="25">
        <f t="shared" si="348"/>
        <v>3.1222222222222222</v>
      </c>
      <c r="P128" s="25">
        <f t="shared" si="348"/>
        <v>3.8527777777777779</v>
      </c>
      <c r="Q128" s="25">
        <f t="shared" ref="Q128" si="349">Q27/360</f>
        <v>4.4611111111111112</v>
      </c>
      <c r="R128" s="118">
        <f t="shared" si="245"/>
        <v>0.24216393273445092</v>
      </c>
      <c r="S128" s="128"/>
      <c r="T128" s="25">
        <f t="shared" ref="T128:AC128" si="350">T27/360</f>
        <v>5.1302777777777777</v>
      </c>
      <c r="U128" s="25">
        <f t="shared" si="350"/>
        <v>5.899819444444443</v>
      </c>
      <c r="V128" s="25">
        <f t="shared" si="350"/>
        <v>6.7847923611111094</v>
      </c>
      <c r="W128" s="25">
        <f t="shared" si="350"/>
        <v>7.8025112152777751</v>
      </c>
      <c r="X128" s="25">
        <f t="shared" si="350"/>
        <v>8.9728878975694411</v>
      </c>
      <c r="Y128" s="25">
        <f t="shared" si="350"/>
        <v>10.318821082204856</v>
      </c>
      <c r="Z128" s="25">
        <f t="shared" si="350"/>
        <v>11.866644244535582</v>
      </c>
      <c r="AA128" s="25">
        <f t="shared" si="350"/>
        <v>13.646640881215919</v>
      </c>
      <c r="AB128" s="25">
        <f t="shared" si="350"/>
        <v>15.693637013398307</v>
      </c>
      <c r="AC128" s="25">
        <f t="shared" si="350"/>
        <v>18.047682565408049</v>
      </c>
      <c r="AD128" s="118">
        <f t="shared" si="347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365</v>
      </c>
      <c r="C130" s="20"/>
      <c r="D130" s="20"/>
      <c r="E130" s="20"/>
      <c r="F130" s="20"/>
      <c r="G130" s="25">
        <f>G10/G7</f>
        <v>1.4848484848484849</v>
      </c>
      <c r="H130" s="25">
        <f t="shared" ref="H130:P130" si="351">H10/H7</f>
        <v>1.228813559322034</v>
      </c>
      <c r="I130" s="25">
        <f t="shared" si="351"/>
        <v>1.5037037037037038</v>
      </c>
      <c r="J130" s="25">
        <f t="shared" si="351"/>
        <v>2.354609929078014</v>
      </c>
      <c r="K130" s="25">
        <f t="shared" si="351"/>
        <v>2.1741935483870969</v>
      </c>
      <c r="L130" s="25">
        <f t="shared" si="351"/>
        <v>2.0061728395061729</v>
      </c>
      <c r="M130" s="25">
        <f t="shared" si="351"/>
        <v>1.3862433862433863</v>
      </c>
      <c r="N130" s="25">
        <f t="shared" si="351"/>
        <v>1.2972972972972974</v>
      </c>
      <c r="O130" s="25">
        <f t="shared" si="351"/>
        <v>0.73049645390070927</v>
      </c>
      <c r="P130" s="25">
        <f t="shared" si="351"/>
        <v>0.72853185595567871</v>
      </c>
      <c r="Q130" s="25">
        <f t="shared" ref="Q130" si="352">Q10/Q7</f>
        <v>0.49716446124763702</v>
      </c>
      <c r="R130" s="118">
        <f t="shared" si="245"/>
        <v>-7.6066504738030893E-2</v>
      </c>
      <c r="S130" s="128"/>
      <c r="T130" s="25">
        <f t="shared" ref="T130:AC130" si="353">T10/T7</f>
        <v>0.49716446124763708</v>
      </c>
      <c r="U130" s="25">
        <f t="shared" si="353"/>
        <v>0.49716446124763708</v>
      </c>
      <c r="V130" s="25">
        <f t="shared" si="353"/>
        <v>0.49716446124763708</v>
      </c>
      <c r="W130" s="25">
        <f t="shared" si="353"/>
        <v>0.49716446124763708</v>
      </c>
      <c r="X130" s="25">
        <f t="shared" si="353"/>
        <v>0.49716446124763702</v>
      </c>
      <c r="Y130" s="25">
        <f t="shared" si="353"/>
        <v>0.49716446124763702</v>
      </c>
      <c r="Z130" s="25">
        <f t="shared" si="353"/>
        <v>0.49716446124763702</v>
      </c>
      <c r="AA130" s="25">
        <f t="shared" si="353"/>
        <v>0.49716446124763702</v>
      </c>
      <c r="AB130" s="25">
        <f t="shared" si="353"/>
        <v>0.49716446124763702</v>
      </c>
      <c r="AC130" s="25">
        <f t="shared" si="353"/>
        <v>0.49716446124763702</v>
      </c>
      <c r="AD130" s="118">
        <f t="shared" si="347"/>
        <v>0</v>
      </c>
      <c r="AE130" s="20"/>
      <c r="AF130" s="20"/>
    </row>
    <row r="131" spans="2:32" x14ac:dyDescent="0.2">
      <c r="B131" s="20" t="s">
        <v>357</v>
      </c>
      <c r="C131" s="20"/>
      <c r="D131" s="20"/>
      <c r="E131" s="20"/>
      <c r="F131" s="20"/>
      <c r="G131" s="25">
        <f>G10/(G10+G7)</f>
        <v>0.59756097560975607</v>
      </c>
      <c r="H131" s="25">
        <f t="shared" ref="H131:P131" si="354">H10/(H10+H7)</f>
        <v>0.5513307984790875</v>
      </c>
      <c r="I131" s="25">
        <f t="shared" si="354"/>
        <v>0.60059171597633132</v>
      </c>
      <c r="J131" s="25">
        <f t="shared" si="354"/>
        <v>0.70190274841437628</v>
      </c>
      <c r="K131" s="25">
        <f t="shared" si="354"/>
        <v>0.68495934959349591</v>
      </c>
      <c r="L131" s="25">
        <f t="shared" si="354"/>
        <v>0.66735112936344965</v>
      </c>
      <c r="M131" s="25">
        <f t="shared" si="354"/>
        <v>0.58093126385809313</v>
      </c>
      <c r="N131" s="25">
        <f t="shared" si="354"/>
        <v>0.56470588235294117</v>
      </c>
      <c r="O131" s="25">
        <f t="shared" si="354"/>
        <v>0.42213114754098363</v>
      </c>
      <c r="P131" s="25">
        <f t="shared" si="354"/>
        <v>0.42147435897435898</v>
      </c>
      <c r="Q131" s="25">
        <f t="shared" ref="Q131" si="355">Q10/(Q10+Q7)</f>
        <v>0.33207070707070707</v>
      </c>
      <c r="R131" s="118">
        <f t="shared" si="245"/>
        <v>-3.8045953876481242E-2</v>
      </c>
      <c r="S131" s="128"/>
      <c r="T131" s="25">
        <f t="shared" ref="T131:AC131" si="356">T10/(T10+T7)</f>
        <v>0.33207070707070707</v>
      </c>
      <c r="U131" s="25">
        <f t="shared" si="356"/>
        <v>0.33207070707070707</v>
      </c>
      <c r="V131" s="25">
        <f t="shared" si="356"/>
        <v>0.33207070707070707</v>
      </c>
      <c r="W131" s="25">
        <f t="shared" si="356"/>
        <v>0.33207070707070707</v>
      </c>
      <c r="X131" s="25">
        <f t="shared" si="356"/>
        <v>0.33207070707070707</v>
      </c>
      <c r="Y131" s="25">
        <f t="shared" si="356"/>
        <v>0.33207070707070702</v>
      </c>
      <c r="Z131" s="25">
        <f t="shared" si="356"/>
        <v>0.33207070707070702</v>
      </c>
      <c r="AA131" s="25">
        <f t="shared" si="356"/>
        <v>0.33207070707070707</v>
      </c>
      <c r="AB131" s="25">
        <f t="shared" si="356"/>
        <v>0.33207070707070707</v>
      </c>
      <c r="AC131" s="25">
        <f t="shared" si="356"/>
        <v>0.33207070707070707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362</v>
      </c>
      <c r="C133" s="20"/>
      <c r="D133" s="20"/>
      <c r="E133" s="20"/>
      <c r="F133" s="20"/>
      <c r="G133" s="25">
        <f>G16</f>
        <v>50</v>
      </c>
      <c r="H133" s="25">
        <f t="shared" ref="H133:P133" si="357">H16</f>
        <v>13</v>
      </c>
      <c r="I133" s="25">
        <f t="shared" si="357"/>
        <v>52</v>
      </c>
      <c r="J133" s="25">
        <f t="shared" si="357"/>
        <v>109</v>
      </c>
      <c r="K133" s="25">
        <f t="shared" si="357"/>
        <v>148</v>
      </c>
      <c r="L133" s="25">
        <f t="shared" si="357"/>
        <v>156</v>
      </c>
      <c r="M133" s="25">
        <f t="shared" si="357"/>
        <v>101</v>
      </c>
      <c r="N133" s="25">
        <f t="shared" si="357"/>
        <v>17</v>
      </c>
      <c r="O133" s="25">
        <f t="shared" si="357"/>
        <v>-28</v>
      </c>
      <c r="P133" s="25">
        <f t="shared" si="357"/>
        <v>23</v>
      </c>
      <c r="Q133" s="25">
        <f t="shared" ref="Q133" si="358">Q16</f>
        <v>23</v>
      </c>
      <c r="R133" s="118">
        <f t="shared" si="245"/>
        <v>-8.2663555079553586E-2</v>
      </c>
      <c r="S133" s="128"/>
      <c r="T133" s="25">
        <f t="shared" ref="T133:AC133" si="359">T16</f>
        <v>26.45</v>
      </c>
      <c r="U133" s="25">
        <f t="shared" si="359"/>
        <v>30.417499999999997</v>
      </c>
      <c r="V133" s="25">
        <f t="shared" si="359"/>
        <v>34.980124999999994</v>
      </c>
      <c r="W133" s="25">
        <f t="shared" si="359"/>
        <v>40.227143749999989</v>
      </c>
      <c r="X133" s="25">
        <f t="shared" si="359"/>
        <v>46.261215312499985</v>
      </c>
      <c r="Y133" s="25">
        <f t="shared" si="359"/>
        <v>53.200397609374981</v>
      </c>
      <c r="Z133" s="25">
        <f t="shared" si="359"/>
        <v>61.180457250781224</v>
      </c>
      <c r="AA133" s="25">
        <f t="shared" si="359"/>
        <v>70.357525838398402</v>
      </c>
      <c r="AB133" s="25">
        <f t="shared" si="359"/>
        <v>80.911154714158158</v>
      </c>
      <c r="AC133" s="25">
        <f t="shared" si="359"/>
        <v>93.047827921281879</v>
      </c>
      <c r="AD133" s="118">
        <f t="shared" si="347"/>
        <v>0.14999999999999991</v>
      </c>
      <c r="AE133" s="20"/>
      <c r="AF133" s="20"/>
    </row>
    <row r="134" spans="2:32" x14ac:dyDescent="0.2">
      <c r="B134" s="20" t="s">
        <v>363</v>
      </c>
      <c r="C134" s="20"/>
      <c r="D134" s="20"/>
      <c r="E134" s="20"/>
      <c r="F134" s="20"/>
      <c r="G134" s="119">
        <f t="shared" ref="G134:P134" si="360">G133*365/G25</f>
        <v>74.1869918699187</v>
      </c>
      <c r="H134" s="119">
        <f t="shared" si="360"/>
        <v>17.007168458781361</v>
      </c>
      <c r="I134" s="119">
        <f t="shared" si="360"/>
        <v>55.014492753623188</v>
      </c>
      <c r="J134" s="119">
        <f t="shared" si="360"/>
        <v>87.247807017543863</v>
      </c>
      <c r="K134" s="119">
        <f t="shared" si="360"/>
        <v>100.97196261682242</v>
      </c>
      <c r="L134" s="119">
        <f t="shared" si="360"/>
        <v>156.85950413223139</v>
      </c>
      <c r="M134" s="119">
        <f t="shared" si="360"/>
        <v>77.610526315789471</v>
      </c>
      <c r="N134" s="119">
        <f t="shared" si="360"/>
        <v>6.5178571428571432</v>
      </c>
      <c r="O134" s="119">
        <f t="shared" si="360"/>
        <v>-7.6726726726726726</v>
      </c>
      <c r="P134" s="119">
        <f t="shared" si="360"/>
        <v>5.1345565749235478</v>
      </c>
      <c r="Q134" s="119">
        <f t="shared" ref="Q134" si="361">Q133*365/Q25</f>
        <v>4.5476706392199349</v>
      </c>
      <c r="R134" s="118">
        <f t="shared" si="245"/>
        <v>-0.25675743105584781</v>
      </c>
      <c r="S134" s="128"/>
      <c r="T134" s="119">
        <f t="shared" ref="T134:AC134" si="362">T133*365/T25</f>
        <v>4.5476706392199358</v>
      </c>
      <c r="U134" s="119">
        <f t="shared" si="362"/>
        <v>4.5476706392199358</v>
      </c>
      <c r="V134" s="119">
        <f t="shared" si="362"/>
        <v>4.5476706392199349</v>
      </c>
      <c r="W134" s="119">
        <f t="shared" si="362"/>
        <v>4.5476706392199349</v>
      </c>
      <c r="X134" s="119">
        <f t="shared" si="362"/>
        <v>4.5476706392199349</v>
      </c>
      <c r="Y134" s="119">
        <f t="shared" si="362"/>
        <v>4.5476706392199349</v>
      </c>
      <c r="Z134" s="119">
        <f t="shared" si="362"/>
        <v>4.5476706392199349</v>
      </c>
      <c r="AA134" s="119">
        <f t="shared" si="362"/>
        <v>4.547670639219934</v>
      </c>
      <c r="AB134" s="119">
        <f t="shared" si="362"/>
        <v>4.5476706392199349</v>
      </c>
      <c r="AC134" s="119">
        <f t="shared" si="362"/>
        <v>4.5476706392199358</v>
      </c>
      <c r="AD134" s="118">
        <f t="shared" si="347"/>
        <v>0</v>
      </c>
      <c r="AE134" s="20"/>
      <c r="AF134" s="20"/>
    </row>
    <row r="135" spans="2:32" x14ac:dyDescent="0.2">
      <c r="B135" s="20" t="s">
        <v>366</v>
      </c>
      <c r="C135" s="20"/>
      <c r="D135" s="20"/>
      <c r="E135" s="20"/>
      <c r="F135" s="20"/>
      <c r="G135" s="133">
        <f>G80/G29</f>
        <v>1.7006802721088436</v>
      </c>
      <c r="H135" s="133">
        <f t="shared" ref="H135:P135" si="363">H80/H29</f>
        <v>2.8117913832199548</v>
      </c>
      <c r="I135" s="133">
        <f t="shared" si="363"/>
        <v>0.66083576287657919</v>
      </c>
      <c r="J135" s="133">
        <f t="shared" si="363"/>
        <v>0.3174603174603175</v>
      </c>
      <c r="K135" s="133">
        <f t="shared" si="363"/>
        <v>0.26563006154842889</v>
      </c>
      <c r="L135" s="133">
        <f t="shared" si="363"/>
        <v>0.64399092970521543</v>
      </c>
      <c r="M135" s="133">
        <f t="shared" si="363"/>
        <v>0.30873888016745166</v>
      </c>
      <c r="N135" s="133">
        <f t="shared" si="363"/>
        <v>0.61430632859204293</v>
      </c>
      <c r="O135" s="133">
        <f t="shared" si="363"/>
        <v>0.58673469387755106</v>
      </c>
      <c r="P135" s="133">
        <f t="shared" si="363"/>
        <v>0.74074074074074081</v>
      </c>
      <c r="Q135" s="133">
        <f t="shared" ref="Q135" si="364">Q80/Q29</f>
        <v>0.74074074074074081</v>
      </c>
      <c r="R135" s="118">
        <f t="shared" si="245"/>
        <v>-8.8212301386549119E-2</v>
      </c>
      <c r="S135" s="128"/>
      <c r="T135" s="133">
        <f t="shared" ref="T135:AC135" si="365">T80/T29</f>
        <v>0.70546737213403887</v>
      </c>
      <c r="U135" s="133">
        <f t="shared" si="365"/>
        <v>0.67187368774670375</v>
      </c>
      <c r="V135" s="133">
        <f t="shared" si="365"/>
        <v>0.63987970261590832</v>
      </c>
      <c r="W135" s="133">
        <f t="shared" si="365"/>
        <v>0.60940924058657941</v>
      </c>
      <c r="X135" s="133">
        <f t="shared" si="365"/>
        <v>0.58038975293959938</v>
      </c>
      <c r="Y135" s="133">
        <f t="shared" si="365"/>
        <v>0.55275214565676134</v>
      </c>
      <c r="Z135" s="133">
        <f t="shared" si="365"/>
        <v>0.52643061491120124</v>
      </c>
      <c r="AA135" s="133">
        <f t="shared" si="365"/>
        <v>0.50136249039162017</v>
      </c>
      <c r="AB135" s="133">
        <f t="shared" si="365"/>
        <v>0.47748808608725724</v>
      </c>
      <c r="AC135" s="133">
        <f t="shared" si="365"/>
        <v>0.45475055817834031</v>
      </c>
      <c r="AD135" s="118">
        <f t="shared" si="347"/>
        <v>-4.7619047619047561E-2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373</v>
      </c>
      <c r="C137" s="20"/>
      <c r="D137" s="20"/>
      <c r="E137" s="20"/>
      <c r="F137" s="20"/>
      <c r="G137" s="180">
        <f>G25/G14</f>
        <v>5.4666666666666668</v>
      </c>
      <c r="H137" s="180">
        <f t="shared" ref="H137:P137" si="366">H25/H14</f>
        <v>5.58</v>
      </c>
      <c r="I137" s="180">
        <f t="shared" si="366"/>
        <v>5.2272727272727275</v>
      </c>
      <c r="J137" s="180">
        <f t="shared" si="366"/>
        <v>3.8319327731092439</v>
      </c>
      <c r="K137" s="180">
        <f t="shared" si="366"/>
        <v>3.4740259740259742</v>
      </c>
      <c r="L137" s="180">
        <f t="shared" si="366"/>
        <v>2.6304347826086958</v>
      </c>
      <c r="M137" s="180">
        <f t="shared" si="366"/>
        <v>3.3928571428571428</v>
      </c>
      <c r="N137" s="180">
        <f t="shared" si="366"/>
        <v>6.1818181818181817</v>
      </c>
      <c r="O137" s="180">
        <f t="shared" si="366"/>
        <v>7.161290322580645</v>
      </c>
      <c r="P137" s="180">
        <f t="shared" si="366"/>
        <v>7.4318181818181817</v>
      </c>
      <c r="Q137" s="180">
        <f t="shared" ref="Q137" si="367">Q25/Q14</f>
        <v>8.3909090909090907</v>
      </c>
      <c r="R137" s="118">
        <f t="shared" si="245"/>
        <v>3.4711235081698932E-2</v>
      </c>
      <c r="S137" s="128"/>
      <c r="T137" s="20">
        <f t="shared" ref="T137" si="368">T25/T14</f>
        <v>8.3909090909090907</v>
      </c>
      <c r="U137" s="20">
        <f t="shared" ref="U137:AC137" si="369">U25/U14</f>
        <v>8.3909090909090907</v>
      </c>
      <c r="V137" s="20">
        <f t="shared" si="369"/>
        <v>8.3909090909090907</v>
      </c>
      <c r="W137" s="20">
        <f t="shared" si="369"/>
        <v>8.3909090909090924</v>
      </c>
      <c r="X137" s="20">
        <f t="shared" si="369"/>
        <v>8.3909090909090924</v>
      </c>
      <c r="Y137" s="20">
        <f t="shared" si="369"/>
        <v>8.3909090909090924</v>
      </c>
      <c r="Z137" s="20">
        <f t="shared" si="369"/>
        <v>8.3909090909090942</v>
      </c>
      <c r="AA137" s="20">
        <f t="shared" si="369"/>
        <v>8.3909090909090942</v>
      </c>
      <c r="AB137" s="20">
        <f t="shared" si="369"/>
        <v>8.3909090909090942</v>
      </c>
      <c r="AC137" s="20">
        <f t="shared" si="369"/>
        <v>8.3909090909090942</v>
      </c>
      <c r="AD137" s="118">
        <f t="shared" si="347"/>
        <v>0</v>
      </c>
      <c r="AE137" s="20"/>
      <c r="AF137" s="20"/>
    </row>
    <row r="138" spans="2:32" x14ac:dyDescent="0.2">
      <c r="B138" s="20" t="s">
        <v>374</v>
      </c>
      <c r="C138" s="20"/>
      <c r="D138" s="20"/>
      <c r="E138" s="20"/>
      <c r="F138" s="20"/>
      <c r="G138" s="180">
        <f>G27/G14</f>
        <v>4.3777777777777782</v>
      </c>
      <c r="H138" s="180">
        <f t="shared" ref="H138:P138" si="370">H27/H14</f>
        <v>4.3600000000000003</v>
      </c>
      <c r="I138" s="180">
        <f t="shared" si="370"/>
        <v>4.1969696969696972</v>
      </c>
      <c r="J138" s="180">
        <f t="shared" si="370"/>
        <v>3.3529411764705883</v>
      </c>
      <c r="K138" s="180">
        <f t="shared" si="370"/>
        <v>2.9220779220779223</v>
      </c>
      <c r="L138" s="180">
        <f t="shared" si="370"/>
        <v>2.1159420289855073</v>
      </c>
      <c r="M138" s="180">
        <f t="shared" si="370"/>
        <v>2.9785714285714286</v>
      </c>
      <c r="N138" s="180">
        <f t="shared" si="370"/>
        <v>5.1948051948051948</v>
      </c>
      <c r="O138" s="180">
        <f t="shared" si="370"/>
        <v>6.043010752688172</v>
      </c>
      <c r="P138" s="180">
        <f t="shared" si="370"/>
        <v>6.3045454545454547</v>
      </c>
      <c r="Q138" s="180">
        <f t="shared" ref="Q138" si="371">Q27/Q14</f>
        <v>7.3</v>
      </c>
      <c r="R138" s="118">
        <f t="shared" si="245"/>
        <v>4.1357879609247084E-2</v>
      </c>
      <c r="S138" s="128"/>
      <c r="T138" s="20">
        <f t="shared" ref="T138:AC138" si="372">T27/T14</f>
        <v>7.3000000000000007</v>
      </c>
      <c r="U138" s="20">
        <f t="shared" si="372"/>
        <v>7.3</v>
      </c>
      <c r="V138" s="20">
        <f t="shared" si="372"/>
        <v>7.3</v>
      </c>
      <c r="W138" s="20">
        <f t="shared" si="372"/>
        <v>7.3000000000000007</v>
      </c>
      <c r="X138" s="20">
        <f t="shared" si="372"/>
        <v>7.3</v>
      </c>
      <c r="Y138" s="20">
        <f t="shared" si="372"/>
        <v>7.3</v>
      </c>
      <c r="Z138" s="20">
        <f t="shared" si="372"/>
        <v>7.3</v>
      </c>
      <c r="AA138" s="20">
        <f t="shared" si="372"/>
        <v>7.3000000000000007</v>
      </c>
      <c r="AB138" s="20">
        <f t="shared" si="372"/>
        <v>7.3000000000000016</v>
      </c>
      <c r="AC138" s="20">
        <f t="shared" si="372"/>
        <v>7.3000000000000016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7.8787878787878789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43.741559475964735</v>
      </c>
      <c r="T142" s="133">
        <f>PV($C$1, ($AC$3-$T$3), 0, -AC54)</f>
        <v>6.0951353368147574</v>
      </c>
      <c r="U142" s="133">
        <f>PV($C$1, ($AC$3-$T$3), 0, -AF54)</f>
        <v>37.646424139149978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214.25263854430872</v>
      </c>
      <c r="T143" s="133">
        <f>PV($C$1, ($AC$3-$T$3), 0, -AC56)</f>
        <v>29.854875862731539</v>
      </c>
      <c r="U143" s="133">
        <f>PV($C$1, ($AC$3-$T$3), 0, -AF56)</f>
        <v>184.39776268157718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198.05206096061804</v>
      </c>
      <c r="T144" s="133">
        <f>PV($C$1, ($AC$3-$T$3), 0, -AC57)</f>
        <v>27.59741833057792</v>
      </c>
      <c r="U144" s="133">
        <f>PV($C$1, ($AC$3-$T$3), 0, -AF57)</f>
        <v>170.45464263004013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106.51879761276597</v>
      </c>
      <c r="T145" s="133">
        <f>PV($C$1, ($AC$3-$T$3), 0, -AC58)</f>
        <v>14.84278327391001</v>
      </c>
      <c r="U145" s="133">
        <f>PV($C$1, ($AC$3-$T$3), 0, -AF58)</f>
        <v>91.67601433885595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2.4300866375535959</v>
      </c>
      <c r="T146" s="133">
        <f>PV($C$1, ($AC$3-$T$3), 0, -AC64)</f>
        <v>0.33861862982304197</v>
      </c>
      <c r="U146" s="133">
        <f>PV($C$1, ($AC$3-$T$3), 0, -AF64)</f>
        <v>2.0914680077305539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107.73384093154276</v>
      </c>
      <c r="T148" s="133">
        <f>PV($C$1, ($AC$3-$T$3), 0, -AC60)</f>
        <v>15.012092588821529</v>
      </c>
      <c r="U148" s="133">
        <f>PV($C$1, ($AC$3-$T$3), 0, -$AF$60)</f>
        <v>92.721748342721227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-34.831241804934869</v>
      </c>
      <c r="T149" s="133">
        <f>PV($C$1, ($AC$3-$T$3), 0, -AC61)</f>
        <v>-4.8535336941302676</v>
      </c>
      <c r="U149" s="133">
        <f>PV($C$1, ($AC$3-$T$3), 0, -$AF$61)</f>
        <v>-29.977708110804603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114.21407196501906</v>
      </c>
      <c r="T150" s="133">
        <f>PV($C$1, ($AC$3-$T$3), 0, -AC62)</f>
        <v>15.915075601682982</v>
      </c>
      <c r="U150" s="133">
        <f>PV($C$1, ($AC$3-$T$3), 0, -$AF$62)</f>
        <v>98.298996363336073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149.04531376995391</v>
      </c>
      <c r="T152" s="133">
        <f>PV($C$1, ($AC$3-$T$3), 0, -AC67)</f>
        <v>20.768609295813249</v>
      </c>
      <c r="U152" s="133">
        <f>PV($C$1, ($AC$3-$T$3), 0, -AF67)</f>
        <v>128.27670447414067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7.1982111763898198</v>
      </c>
      <c r="T153" s="133">
        <f>PV($C$1, ($AC$3-$T$3), 0, -AC68)</f>
        <v>1.2980380809883281</v>
      </c>
      <c r="U153" s="133">
        <f>PV($C$1, ($AC$3-$T$3), 0, -AF68)</f>
        <v>5.9001730954014917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29.093909738883138</v>
      </c>
      <c r="T155" s="133">
        <f>PV($C$1, ($AC$3-$T$3), 0, -AC12)</f>
        <v>4.0540693898443712</v>
      </c>
      <c r="U155" s="133">
        <f>PV($C$1, ($AC$3-$T$3), 0, -AF12)</f>
        <v>25.039840349038766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3.9583550665147125</v>
      </c>
      <c r="T156" s="140">
        <f>T155/P42</f>
        <v>0.55157406664549269</v>
      </c>
      <c r="U156" s="140">
        <f>U155/P42</f>
        <v>3.4067809998692198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33.168397277760825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27.287238064546269</v>
      </c>
      <c r="U159" s="133">
        <f>PV($C$1, ($AC$3-$T$3), 0, -AF70)</f>
        <v>5.8811592132145565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517.80296853876689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425.99022059229151</v>
      </c>
      <c r="U161" s="133">
        <f>PV($C$1, ($AC$3-$T$3), 0, -AF72)</f>
        <v>91.812747946475412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43.249810218870444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35.581094190525086</v>
      </c>
      <c r="U163" s="133">
        <f>PV($C$1, ($AC$3-$T$3), 0, -AF74)</f>
        <v>7.6687160283453579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171.03334041098782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140.70705429889478</v>
      </c>
      <c r="U164" s="133">
        <f>PV($C$1, ($AC$3-$T$3), 0, -AF75)</f>
        <v>30.32628611209303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-127.78353019211735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-105.12596010836968</v>
      </c>
      <c r="U165" s="133">
        <f>PV($C$1, ($AC$3-$T$3), 0, -AF76)</f>
        <v>-22.657570083747675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-51.113412076846934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-42.050384043347869</v>
      </c>
      <c r="U166" s="133">
        <f>PV($C$1, ($AC$3-$T$3), 0, -AF77)</f>
        <v>-9.0630280334990676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4.5215710683364598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3.7198416653730808</v>
      </c>
      <c r="U168" s="133">
        <f>PV($C$1, ($AC$3-$T$3), 0, -AF78)</f>
        <v>0.80172940296337902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308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389</v>
      </c>
      <c r="P170" s="20">
        <v>518</v>
      </c>
      <c r="Q170" s="20"/>
      <c r="R170" s="20">
        <v>200</v>
      </c>
      <c r="S170" s="23" t="s">
        <v>390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16</v>
      </c>
      <c r="G171" s="22">
        <v>63</v>
      </c>
      <c r="H171" s="22">
        <v>140</v>
      </c>
      <c r="I171" s="22">
        <v>38</v>
      </c>
      <c r="J171" s="22">
        <v>30</v>
      </c>
      <c r="K171" s="22">
        <v>23</v>
      </c>
      <c r="L171" s="22">
        <v>23</v>
      </c>
      <c r="M171" s="22">
        <v>55</v>
      </c>
      <c r="N171" s="22">
        <v>66</v>
      </c>
      <c r="O171" s="22">
        <v>148</v>
      </c>
      <c r="P171" s="22">
        <v>175</v>
      </c>
      <c r="Q171" s="22">
        <v>200</v>
      </c>
      <c r="R171" s="118">
        <f t="shared" ref="R171:R176" si="377">((P171/G171)^(1/($H$2-$H$1) ))-1</f>
        <v>0.12021071419040008</v>
      </c>
      <c r="S171" s="31">
        <f>L2-3%</f>
        <v>0.12</v>
      </c>
      <c r="T171" s="119">
        <f t="shared" ref="T171" si="378">P171*(1+$S171)</f>
        <v>196.00000000000003</v>
      </c>
      <c r="U171" s="119">
        <f t="shared" ref="U171:AC171" si="379">T171*(1+$S171)</f>
        <v>219.52000000000004</v>
      </c>
      <c r="V171" s="119">
        <f t="shared" si="379"/>
        <v>245.86240000000006</v>
      </c>
      <c r="W171" s="119">
        <f t="shared" si="379"/>
        <v>275.3658880000001</v>
      </c>
      <c r="X171" s="119">
        <f t="shared" si="379"/>
        <v>308.40979456000014</v>
      </c>
      <c r="Y171" s="119">
        <f t="shared" si="379"/>
        <v>345.41896990720016</v>
      </c>
      <c r="Z171" s="119">
        <f t="shared" si="379"/>
        <v>386.8692462960642</v>
      </c>
      <c r="AA171" s="119">
        <f t="shared" si="379"/>
        <v>433.29355585159198</v>
      </c>
      <c r="AB171" s="119">
        <f t="shared" si="379"/>
        <v>485.28878255378305</v>
      </c>
      <c r="AC171" s="119">
        <f t="shared" si="379"/>
        <v>543.52343646023712</v>
      </c>
      <c r="AD171" s="138">
        <f t="shared" ref="AD171:AD176" si="380">((AC171/G171)^(1/($AC$3-$H$1) ))-1</f>
        <v>0.11376582118418632</v>
      </c>
      <c r="AE171" s="31">
        <v>0.08</v>
      </c>
      <c r="AF171" s="127">
        <f t="shared" ref="AF171:AF179" si="381">(AC171*(1+AD171))/($C$1-AE171)</f>
        <v>4323.9844752999061</v>
      </c>
    </row>
    <row r="172" spans="2:32" x14ac:dyDescent="0.2">
      <c r="B172" s="20" t="s">
        <v>360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0.37646341463414634</v>
      </c>
      <c r="H172" s="25">
        <f t="shared" si="382"/>
        <v>0.73763440860215057</v>
      </c>
      <c r="I172" s="25">
        <f t="shared" si="382"/>
        <v>0.80956521739130438</v>
      </c>
      <c r="J172" s="25">
        <f t="shared" si="382"/>
        <v>0.48355263157894735</v>
      </c>
      <c r="K172" s="25">
        <f t="shared" si="382"/>
        <v>0.31598130841121491</v>
      </c>
      <c r="L172" s="25">
        <f t="shared" si="382"/>
        <v>0.46570247933884296</v>
      </c>
      <c r="M172" s="25">
        <f t="shared" si="382"/>
        <v>0.85105263157894739</v>
      </c>
      <c r="N172" s="25">
        <f t="shared" si="382"/>
        <v>0.50955882352941173</v>
      </c>
      <c r="O172" s="25">
        <f t="shared" si="382"/>
        <v>0.81666666666666665</v>
      </c>
      <c r="P172" s="25">
        <f t="shared" si="382"/>
        <v>0.78669724770642202</v>
      </c>
      <c r="Q172" s="25">
        <f t="shared" ref="Q172" si="383">Q171/Q50</f>
        <v>0.79631635969664127</v>
      </c>
      <c r="R172" s="118">
        <f t="shared" ref="R172" si="384">((P172/G172)^(1/($H$2-$H$1) ))-1</f>
        <v>8.5337937244785556E-2</v>
      </c>
      <c r="S172" s="128"/>
      <c r="T172" s="25">
        <f t="shared" ref="T172:AC172" si="385">T171/T50</f>
        <v>0.71253002967638623</v>
      </c>
      <c r="U172" s="25">
        <f t="shared" si="385"/>
        <v>0.7286394042603741</v>
      </c>
      <c r="V172" s="25">
        <f t="shared" si="385"/>
        <v>0.7451129907914783</v>
      </c>
      <c r="W172" s="25">
        <f t="shared" si="385"/>
        <v>0.76195902362676415</v>
      </c>
      <c r="X172" s="25">
        <f t="shared" si="385"/>
        <v>0.77918592329136938</v>
      </c>
      <c r="Y172" s="25">
        <f t="shared" si="385"/>
        <v>0.79680230068752222</v>
      </c>
      <c r="Z172" s="25">
        <f t="shared" si="385"/>
        <v>0.8148169613987184</v>
      </c>
      <c r="AA172" s="25">
        <f t="shared" si="385"/>
        <v>0.83323891009121132</v>
      </c>
      <c r="AB172" s="25">
        <f t="shared" si="385"/>
        <v>0.85207735501501281</v>
      </c>
      <c r="AC172" s="25">
        <f t="shared" si="385"/>
        <v>0.87134171260665694</v>
      </c>
      <c r="AD172" s="138">
        <f t="shared" ref="AD172" si="386">((AC172/G172)^(1/($AC$3-$H$1) ))-1</f>
        <v>4.2853460006751165E-2</v>
      </c>
      <c r="AE172" s="31">
        <v>0.08</v>
      </c>
      <c r="AF172" s="127">
        <f t="shared" ref="AF172" si="387">(AC172*(1+AD172))/($C$1-AE172)</f>
        <v>6.4905837131432884</v>
      </c>
    </row>
    <row r="173" spans="2:32" x14ac:dyDescent="0.2">
      <c r="B173" s="20" t="s">
        <v>388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7.1238461538461539</v>
      </c>
      <c r="H173" s="25">
        <f t="shared" si="388"/>
        <v>8.2319999999999993</v>
      </c>
      <c r="I173" s="25">
        <f t="shared" si="388"/>
        <v>9.9749999999999996</v>
      </c>
      <c r="J173" s="25">
        <f t="shared" si="388"/>
        <v>27.562499999999996</v>
      </c>
      <c r="K173" s="25">
        <f t="shared" si="388"/>
        <v>11.27</v>
      </c>
      <c r="L173" s="25">
        <f t="shared" si="388"/>
        <v>5.8293103448275856</v>
      </c>
      <c r="M173" s="25">
        <f t="shared" si="388"/>
        <v>50.531249999999993</v>
      </c>
      <c r="N173" s="25">
        <f t="shared" si="388"/>
        <v>7.9524590163934414</v>
      </c>
      <c r="O173" s="25">
        <f t="shared" si="388"/>
        <v>13.265853658536585</v>
      </c>
      <c r="P173" s="25">
        <f t="shared" si="388"/>
        <v>11.909722222222221</v>
      </c>
      <c r="Q173" s="25">
        <f t="shared" ref="Q173" si="389">Q171/Q54</f>
        <v>13.611111111111111</v>
      </c>
      <c r="R173" s="118">
        <f t="shared" si="377"/>
        <v>5.8762538902996209E-2</v>
      </c>
      <c r="S173" s="128"/>
      <c r="T173" s="119">
        <f t="shared" ref="T173:AC173" si="390">T171/T54</f>
        <v>12.178985507246379</v>
      </c>
      <c r="U173" s="119">
        <f t="shared" si="390"/>
        <v>12.45433648393195</v>
      </c>
      <c r="V173" s="119">
        <f t="shared" si="390"/>
        <v>12.735912787046933</v>
      </c>
      <c r="W173" s="119">
        <f t="shared" si="390"/>
        <v>13.023855163101912</v>
      </c>
      <c r="X173" s="119">
        <f t="shared" si="390"/>
        <v>13.318307540702477</v>
      </c>
      <c r="Y173" s="119">
        <f t="shared" si="390"/>
        <v>13.619417102492278</v>
      </c>
      <c r="Z173" s="119">
        <f t="shared" si="390"/>
        <v>13.927334358722542</v>
      </c>
      <c r="AA173" s="119">
        <f t="shared" si="390"/>
        <v>14.242213222484967</v>
      </c>
      <c r="AB173" s="119">
        <f t="shared" si="390"/>
        <v>14.5642110866455</v>
      </c>
      <c r="AC173" s="119">
        <f t="shared" si="390"/>
        <v>14.893488902517488</v>
      </c>
      <c r="AD173" s="138">
        <f t="shared" si="380"/>
        <v>3.7562090986355212E-2</v>
      </c>
      <c r="AE173" s="31">
        <v>0.08</v>
      </c>
      <c r="AF173" s="127">
        <f t="shared" si="381"/>
        <v>110.37799634127228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1.1025</v>
      </c>
      <c r="H174" s="25">
        <f t="shared" si="391"/>
        <v>1.9788461538461539</v>
      </c>
      <c r="I174" s="25">
        <f t="shared" si="391"/>
        <v>2.3082644628099174</v>
      </c>
      <c r="J174" s="25">
        <f t="shared" si="391"/>
        <v>1.7362204724409449</v>
      </c>
      <c r="K174" s="25">
        <f t="shared" si="391"/>
        <v>1.2075</v>
      </c>
      <c r="L174" s="25">
        <f t="shared" si="391"/>
        <v>1.1499999999999999</v>
      </c>
      <c r="M174" s="25">
        <f t="shared" si="391"/>
        <v>2.3232758620689657</v>
      </c>
      <c r="N174" s="25">
        <f t="shared" si="391"/>
        <v>2.3322115384615381</v>
      </c>
      <c r="O174" s="25">
        <f t="shared" si="391"/>
        <v>4.0741573033707859</v>
      </c>
      <c r="P174" s="25">
        <f t="shared" si="391"/>
        <v>3.7174855491329475</v>
      </c>
      <c r="Q174" s="25">
        <f t="shared" ref="Q174" si="392">Q171/Q57</f>
        <v>3.0061349693251529</v>
      </c>
      <c r="R174" s="118">
        <f t="shared" si="377"/>
        <v>0.14459619800323287</v>
      </c>
      <c r="S174" s="128"/>
      <c r="T174" s="119">
        <f t="shared" ref="T174:AC174" si="393">T171/T57</f>
        <v>2.6898372899439864</v>
      </c>
      <c r="U174" s="119">
        <f t="shared" si="393"/>
        <v>2.7506510025861979</v>
      </c>
      <c r="V174" s="119">
        <f t="shared" si="393"/>
        <v>2.8128396339490163</v>
      </c>
      <c r="W174" s="119">
        <f t="shared" si="393"/>
        <v>2.8764342691513427</v>
      </c>
      <c r="X174" s="119">
        <f t="shared" si="393"/>
        <v>2.9414666961060694</v>
      </c>
      <c r="Y174" s="119">
        <f t="shared" si="393"/>
        <v>3.0079694214093378</v>
      </c>
      <c r="Z174" s="119">
        <f t="shared" si="393"/>
        <v>3.075975686589028</v>
      </c>
      <c r="AA174" s="119">
        <f t="shared" si="393"/>
        <v>3.1455194847206065</v>
      </c>
      <c r="AB174" s="119">
        <f t="shared" si="393"/>
        <v>3.2166355774186388</v>
      </c>
      <c r="AC174" s="119">
        <f t="shared" si="393"/>
        <v>3.2893595122124522</v>
      </c>
      <c r="AD174" s="138">
        <f t="shared" si="380"/>
        <v>5.6176833274581117E-2</v>
      </c>
      <c r="AE174" s="31">
        <v>0.08</v>
      </c>
      <c r="AF174" s="127">
        <f t="shared" si="381"/>
        <v>24.815323665072629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13.23</v>
      </c>
      <c r="H175" s="25">
        <f t="shared" si="394"/>
        <v>29.4</v>
      </c>
      <c r="I175" s="25">
        <f t="shared" si="394"/>
        <v>27.93</v>
      </c>
      <c r="J175" s="25">
        <f t="shared" si="394"/>
        <v>20.045454545454543</v>
      </c>
      <c r="K175" s="25">
        <f t="shared" si="394"/>
        <v>15.368181818181817</v>
      </c>
      <c r="L175" s="25">
        <f t="shared" si="394"/>
        <v>14.960176991150441</v>
      </c>
      <c r="M175" s="25">
        <f t="shared" si="394"/>
        <v>48.704819277108435</v>
      </c>
      <c r="N175" s="25">
        <f t="shared" si="394"/>
        <v>60.637499999999996</v>
      </c>
      <c r="O175" s="25">
        <f t="shared" si="394"/>
        <v>155.39999999999998</v>
      </c>
      <c r="P175" s="25">
        <f t="shared" si="394"/>
        <v>211.55427631578945</v>
      </c>
      <c r="Q175" s="25">
        <f t="shared" ref="Q175" si="395">Q171/Q66</f>
        <v>241.77631578947367</v>
      </c>
      <c r="R175" s="118">
        <f t="shared" si="377"/>
        <v>0.36070017448880676</v>
      </c>
      <c r="S175" s="128"/>
      <c r="T175" s="119">
        <f t="shared" ref="T175:AC175" si="396">T171/T66</f>
        <v>216.33724256292913</v>
      </c>
      <c r="U175" s="119">
        <f t="shared" si="396"/>
        <v>221.22834543826491</v>
      </c>
      <c r="V175" s="119">
        <f t="shared" si="396"/>
        <v>226.2300297699127</v>
      </c>
      <c r="W175" s="119">
        <f t="shared" si="396"/>
        <v>231.34479566036293</v>
      </c>
      <c r="X175" s="119">
        <f t="shared" si="396"/>
        <v>236.57519973616249</v>
      </c>
      <c r="Y175" s="119">
        <f t="shared" si="396"/>
        <v>241.92385642584969</v>
      </c>
      <c r="Z175" s="119">
        <f t="shared" si="396"/>
        <v>247.39343926678202</v>
      </c>
      <c r="AA175" s="119">
        <f t="shared" si="396"/>
        <v>252.98668224150933</v>
      </c>
      <c r="AB175" s="119">
        <f t="shared" si="396"/>
        <v>258.70638114436093</v>
      </c>
      <c r="AC175" s="119">
        <f t="shared" si="396"/>
        <v>264.55539497892914</v>
      </c>
      <c r="AD175" s="138">
        <f t="shared" si="380"/>
        <v>0.16157655811983807</v>
      </c>
      <c r="AE175" s="31">
        <v>0.08</v>
      </c>
      <c r="AF175" s="127">
        <f t="shared" si="381"/>
        <v>2195.0096080832773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1.8521999999999998</v>
      </c>
      <c r="H176" s="25">
        <f t="shared" si="397"/>
        <v>15.830769230769231</v>
      </c>
      <c r="I176" s="25">
        <f t="shared" si="397"/>
        <v>5.3711538461538453</v>
      </c>
      <c r="J176" s="25">
        <f t="shared" si="397"/>
        <v>2.0229357798165135</v>
      </c>
      <c r="K176" s="25">
        <f t="shared" si="397"/>
        <v>1.1422297297297297</v>
      </c>
      <c r="L176" s="25">
        <f t="shared" si="397"/>
        <v>1.0836538461538461</v>
      </c>
      <c r="M176" s="25">
        <f t="shared" si="397"/>
        <v>4.0024752475247523</v>
      </c>
      <c r="N176" s="25">
        <f t="shared" si="397"/>
        <v>28.535294117647059</v>
      </c>
      <c r="O176" s="25">
        <f t="shared" si="397"/>
        <v>-38.849999999999994</v>
      </c>
      <c r="P176" s="25">
        <f t="shared" si="397"/>
        <v>55.923913043478251</v>
      </c>
      <c r="Q176" s="25">
        <f t="shared" ref="Q176" si="398">Q171/Q68</f>
        <v>63.91304347826086</v>
      </c>
      <c r="R176" s="118">
        <f t="shared" si="377"/>
        <v>0.46027418583762358</v>
      </c>
      <c r="S176" s="128"/>
      <c r="T176" s="119">
        <f t="shared" ref="T176:AC176" si="399">T171/T68</f>
        <v>57.188279773156907</v>
      </c>
      <c r="U176" s="119">
        <f t="shared" si="399"/>
        <v>58.481232185419586</v>
      </c>
      <c r="V176" s="119">
        <f t="shared" si="399"/>
        <v>59.803416565263866</v>
      </c>
      <c r="W176" s="119">
        <f t="shared" si="399"/>
        <v>61.155493809348116</v>
      </c>
      <c r="X176" s="119">
        <f t="shared" si="399"/>
        <v>62.538139756342076</v>
      </c>
      <c r="Y176" s="119">
        <f t="shared" si="399"/>
        <v>63.952045524746339</v>
      </c>
      <c r="Z176" s="119">
        <f t="shared" si="399"/>
        <v>65.397917858349317</v>
      </c>
      <c r="AA176" s="119">
        <f t="shared" si="399"/>
        <v>66.87647947949462</v>
      </c>
      <c r="AB176" s="119">
        <f t="shared" si="399"/>
        <v>68.388469450335393</v>
      </c>
      <c r="AC176" s="119">
        <f t="shared" si="399"/>
        <v>69.934643542256026</v>
      </c>
      <c r="AD176" s="138">
        <f t="shared" si="380"/>
        <v>0.19908570156196181</v>
      </c>
      <c r="AE176" s="31">
        <v>0.08</v>
      </c>
      <c r="AF176" s="127">
        <f t="shared" si="381"/>
        <v>598.98307939536994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-5.44764705882353</v>
      </c>
      <c r="H177" s="182">
        <f t="shared" si="400"/>
        <v>-6.4312500000000004</v>
      </c>
      <c r="I177" s="182">
        <f t="shared" si="400"/>
        <v>-9.0096774193548388</v>
      </c>
      <c r="J177" s="182">
        <f t="shared" si="400"/>
        <v>-1.8374999999999999</v>
      </c>
      <c r="K177" s="182">
        <f t="shared" si="400"/>
        <v>-2.2243421052631578</v>
      </c>
      <c r="L177" s="182">
        <f t="shared" si="400"/>
        <v>-1.943103448275862</v>
      </c>
      <c r="M177" s="182">
        <f t="shared" si="400"/>
        <v>-15.548076923076922</v>
      </c>
      <c r="N177" s="182">
        <f t="shared" si="400"/>
        <v>-5.3307692307692305</v>
      </c>
      <c r="O177" s="182">
        <f t="shared" si="400"/>
        <v>37.510344827586202</v>
      </c>
      <c r="P177" s="182">
        <f t="shared" si="400"/>
        <v>11.282894736842104</v>
      </c>
      <c r="Q177" s="182">
        <f t="shared" ref="Q177" si="401">Q171/Q62</f>
        <v>5.2127659574468082</v>
      </c>
      <c r="R177" s="118">
        <f t="shared" ref="R177:R180" si="402">((P177/G177)^(1/($H$2-$H$1) ))-1</f>
        <v>-2.0842629534949983</v>
      </c>
      <c r="S177" s="128"/>
      <c r="T177" s="135">
        <f t="shared" ref="T177:AC177" si="403">T171/T62</f>
        <v>4.6642923219241457</v>
      </c>
      <c r="U177" s="135">
        <f t="shared" si="403"/>
        <v>4.7697458874632996</v>
      </c>
      <c r="V177" s="135">
        <f t="shared" si="403"/>
        <v>4.8775836205711673</v>
      </c>
      <c r="W177" s="135">
        <f t="shared" si="403"/>
        <v>4.9878594241666914</v>
      </c>
      <c r="X177" s="135">
        <f t="shared" si="403"/>
        <v>5.1006284198435035</v>
      </c>
      <c r="Y177" s="135">
        <f t="shared" si="403"/>
        <v>5.2159469754225736</v>
      </c>
      <c r="Z177" s="135">
        <f t="shared" si="403"/>
        <v>5.3338727331277829</v>
      </c>
      <c r="AA177" s="135">
        <f t="shared" si="403"/>
        <v>5.4544646383984983</v>
      </c>
      <c r="AB177" s="135">
        <f t="shared" si="403"/>
        <v>5.5777829693535974</v>
      </c>
      <c r="AC177" s="135">
        <f t="shared" si="403"/>
        <v>5.7038893669215893</v>
      </c>
      <c r="AD177" s="138" t="e">
        <f t="shared" ref="AD177" si="404">((AC177/G177)^(1/($AC$3-$H$1) ))-1</f>
        <v>#NUM!</v>
      </c>
      <c r="AE177" s="31">
        <v>0.08</v>
      </c>
      <c r="AF177" s="127" t="e">
        <f t="shared" si="381"/>
        <v>#NUM!</v>
      </c>
    </row>
    <row r="178" spans="2:46" x14ac:dyDescent="0.2">
      <c r="B178" s="20" t="s">
        <v>370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>
        <f t="shared" si="405"/>
        <v>0</v>
      </c>
      <c r="G178" s="161">
        <f t="shared" si="405"/>
        <v>0.14037360976136487</v>
      </c>
      <c r="H178" s="161">
        <f t="shared" si="405"/>
        <v>0.12147716229348884</v>
      </c>
      <c r="I178" s="161">
        <f t="shared" si="405"/>
        <v>0.10025062656641605</v>
      </c>
      <c r="J178" s="161">
        <f t="shared" si="405"/>
        <v>3.6281179138321996E-2</v>
      </c>
      <c r="K178" s="161">
        <f t="shared" si="405"/>
        <v>8.8731144631765749E-2</v>
      </c>
      <c r="L178" s="161">
        <f t="shared" si="405"/>
        <v>0.17154687962141379</v>
      </c>
      <c r="M178" s="161">
        <f t="shared" si="405"/>
        <v>1.9789734075448363E-2</v>
      </c>
      <c r="N178" s="161">
        <f t="shared" si="405"/>
        <v>0.12574726860441149</v>
      </c>
      <c r="O178" s="161">
        <f t="shared" si="405"/>
        <v>7.5381503952932527E-2</v>
      </c>
      <c r="P178" s="161">
        <f t="shared" si="405"/>
        <v>8.3965014577259481E-2</v>
      </c>
      <c r="Q178" s="161">
        <f t="shared" ref="Q178" si="406">Q54/Q171</f>
        <v>7.3469387755102047E-2</v>
      </c>
      <c r="R178" s="118">
        <f t="shared" si="402"/>
        <v>-5.5501150393818421E-2</v>
      </c>
      <c r="S178" s="128"/>
      <c r="T178" s="161">
        <f t="shared" ref="T178:AC178" si="407">T54/T171</f>
        <v>8.2108645207354058E-2</v>
      </c>
      <c r="U178" s="161">
        <f t="shared" si="407"/>
        <v>8.0293318017395546E-2</v>
      </c>
      <c r="V178" s="161">
        <f t="shared" si="407"/>
        <v>7.8518125612249051E-2</v>
      </c>
      <c r="W178" s="161">
        <f t="shared" si="407"/>
        <v>7.6782180658236721E-2</v>
      </c>
      <c r="X178" s="161">
        <f t="shared" si="407"/>
        <v>7.5084615439602223E-2</v>
      </c>
      <c r="Y178" s="161">
        <f t="shared" si="407"/>
        <v>7.342458142478106E-2</v>
      </c>
      <c r="Z178" s="161">
        <f t="shared" si="407"/>
        <v>7.1801248842260371E-2</v>
      </c>
      <c r="AA178" s="161">
        <f t="shared" si="407"/>
        <v>7.0213806265815831E-2</v>
      </c>
      <c r="AB178" s="161">
        <f t="shared" si="407"/>
        <v>6.8661460208918515E-2</v>
      </c>
      <c r="AC178" s="161">
        <f t="shared" si="407"/>
        <v>6.7143434728109089E-2</v>
      </c>
      <c r="AD178" s="138">
        <f t="shared" ref="AD178:AD180" si="408">((AC178/G178)^(1/($AC$3-$H$1) ))-1</f>
        <v>-3.6202258460163006E-2</v>
      </c>
      <c r="AE178" s="31">
        <v>0.08</v>
      </c>
      <c r="AF178" s="127">
        <f t="shared" si="381"/>
        <v>0.46223350535842145</v>
      </c>
    </row>
    <row r="179" spans="2:46" x14ac:dyDescent="0.2">
      <c r="B179" s="20" t="s">
        <v>319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>
        <f t="shared" si="409"/>
        <v>0</v>
      </c>
      <c r="G179" s="152">
        <f t="shared" si="409"/>
        <v>3.1746031746031744E-2</v>
      </c>
      <c r="H179" s="152">
        <f t="shared" si="409"/>
        <v>2.5000000000000001E-2</v>
      </c>
      <c r="I179" s="152">
        <f t="shared" si="409"/>
        <v>1.8421052631578946E-2</v>
      </c>
      <c r="J179" s="152">
        <f t="shared" si="409"/>
        <v>6.6666666666666671E-3</v>
      </c>
      <c r="K179" s="152">
        <f t="shared" si="409"/>
        <v>8.6956521739130436E-3</v>
      </c>
      <c r="L179" s="152">
        <f t="shared" si="409"/>
        <v>8.7391304347826087E-3</v>
      </c>
      <c r="M179" s="152">
        <f t="shared" si="409"/>
        <v>1.8181818181818181E-2</v>
      </c>
      <c r="N179" s="152">
        <f t="shared" si="409"/>
        <v>3.0303030303030304E-2</v>
      </c>
      <c r="O179" s="152">
        <f t="shared" si="409"/>
        <v>1.6891891891891893E-2</v>
      </c>
      <c r="P179" s="152">
        <f t="shared" si="409"/>
        <v>1.7142857142857144E-2</v>
      </c>
      <c r="Q179" s="152">
        <f t="shared" ref="Q179" si="410">Q44/Q171</f>
        <v>1.7500000000000002E-2</v>
      </c>
      <c r="R179" s="118">
        <f t="shared" si="402"/>
        <v>-6.6173974778271916E-2</v>
      </c>
      <c r="S179" s="128"/>
      <c r="T179" s="152">
        <f t="shared" ref="T179:AC179" si="411">T44/T171</f>
        <v>1.8749999999999999E-2</v>
      </c>
      <c r="U179" s="152">
        <f t="shared" si="411"/>
        <v>1.7578125E-2</v>
      </c>
      <c r="V179" s="152">
        <f t="shared" si="411"/>
        <v>1.64794921875E-2</v>
      </c>
      <c r="W179" s="152">
        <f t="shared" si="411"/>
        <v>1.5449523925781247E-2</v>
      </c>
      <c r="X179" s="152">
        <f t="shared" si="411"/>
        <v>1.4483928680419918E-2</v>
      </c>
      <c r="Y179" s="152">
        <f t="shared" si="411"/>
        <v>1.3578683137893673E-2</v>
      </c>
      <c r="Z179" s="152">
        <f t="shared" si="411"/>
        <v>1.2730015441775318E-2</v>
      </c>
      <c r="AA179" s="152">
        <f t="shared" si="411"/>
        <v>1.1934389476664361E-2</v>
      </c>
      <c r="AB179" s="152">
        <f t="shared" si="411"/>
        <v>1.1188490134372836E-2</v>
      </c>
      <c r="AC179" s="152">
        <f t="shared" si="411"/>
        <v>1.0489209500974534E-2</v>
      </c>
      <c r="AD179" s="138">
        <f t="shared" si="408"/>
        <v>-5.3865964648366016E-2</v>
      </c>
      <c r="AE179" s="31">
        <v>0.08</v>
      </c>
      <c r="AF179" s="127">
        <f t="shared" si="381"/>
        <v>7.0887129377183805E-2</v>
      </c>
    </row>
    <row r="180" spans="2:46" x14ac:dyDescent="0.2">
      <c r="B180" s="20" t="s">
        <v>445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0.47492307692307695</v>
      </c>
      <c r="H180" s="181">
        <f t="shared" si="412"/>
        <v>0.54879999999999995</v>
      </c>
      <c r="I180" s="181">
        <f t="shared" si="412"/>
        <v>0.66499999999999992</v>
      </c>
      <c r="J180" s="181">
        <f t="shared" si="412"/>
        <v>1.8374999999999997</v>
      </c>
      <c r="K180" s="181">
        <f t="shared" si="412"/>
        <v>0.7513333333333333</v>
      </c>
      <c r="L180" s="181">
        <f t="shared" si="412"/>
        <v>0.38862068965517238</v>
      </c>
      <c r="M180" s="181">
        <f t="shared" si="412"/>
        <v>3.3687499999999995</v>
      </c>
      <c r="N180" s="181">
        <f t="shared" si="412"/>
        <v>0.53016393442622944</v>
      </c>
      <c r="O180" s="181">
        <f t="shared" si="412"/>
        <v>0.88439024390243903</v>
      </c>
      <c r="P180" s="181">
        <f>(P173)/($L$2*100)</f>
        <v>0.7939814814814814</v>
      </c>
      <c r="Q180" s="181">
        <f>(Q173)/($L$2*100)</f>
        <v>0.90740740740740733</v>
      </c>
      <c r="R180" s="118">
        <f t="shared" si="402"/>
        <v>5.8762538902996209E-2</v>
      </c>
      <c r="S180" s="128"/>
      <c r="T180" s="181">
        <f>(T173)/($L$2*100)</f>
        <v>0.81193236714975858</v>
      </c>
      <c r="U180" s="181">
        <f t="shared" ref="U180:AC180" si="413">(U173)/($L$2*100)</f>
        <v>0.83028909892879665</v>
      </c>
      <c r="V180" s="181">
        <f t="shared" si="413"/>
        <v>0.84906085246979557</v>
      </c>
      <c r="W180" s="181">
        <f t="shared" si="413"/>
        <v>0.86825701087346074</v>
      </c>
      <c r="X180" s="181">
        <f t="shared" si="413"/>
        <v>0.88788716938016521</v>
      </c>
      <c r="Y180" s="181">
        <f t="shared" si="413"/>
        <v>0.90796114016615193</v>
      </c>
      <c r="Z180" s="181">
        <f t="shared" si="413"/>
        <v>0.92848895724816949</v>
      </c>
      <c r="AA180" s="181">
        <f t="shared" si="413"/>
        <v>0.94948088149899779</v>
      </c>
      <c r="AB180" s="181">
        <f t="shared" si="413"/>
        <v>0.97094740577636662</v>
      </c>
      <c r="AC180" s="181">
        <f t="shared" si="413"/>
        <v>0.99289926016783248</v>
      </c>
      <c r="AD180" s="138">
        <f t="shared" si="408"/>
        <v>3.7562090986355212E-2</v>
      </c>
      <c r="AE180" s="31">
        <v>0.08</v>
      </c>
      <c r="AF180" s="181">
        <f>(AF173)/($L$2*100)</f>
        <v>7.3585330894181515</v>
      </c>
    </row>
    <row r="181" spans="2:46" x14ac:dyDescent="0.2">
      <c r="B181" s="20" t="s">
        <v>446</v>
      </c>
      <c r="C181" s="152"/>
      <c r="D181" s="152"/>
      <c r="E181" s="152"/>
      <c r="F181" s="152"/>
      <c r="G181" s="152">
        <f t="shared" ref="G181:P181" si="414">G180-1</f>
        <v>-0.525076923076923</v>
      </c>
      <c r="H181" s="152">
        <f t="shared" si="414"/>
        <v>-0.45120000000000005</v>
      </c>
      <c r="I181" s="152">
        <f t="shared" si="414"/>
        <v>-0.33500000000000008</v>
      </c>
      <c r="J181" s="152">
        <f t="shared" si="414"/>
        <v>0.83749999999999969</v>
      </c>
      <c r="K181" s="152">
        <f t="shared" si="414"/>
        <v>-0.2486666666666667</v>
      </c>
      <c r="L181" s="152">
        <f t="shared" si="414"/>
        <v>-0.61137931034482762</v>
      </c>
      <c r="M181" s="152">
        <f t="shared" si="414"/>
        <v>2.3687499999999995</v>
      </c>
      <c r="N181" s="152">
        <f t="shared" si="414"/>
        <v>-0.46983606557377056</v>
      </c>
      <c r="O181" s="152">
        <f t="shared" si="414"/>
        <v>-0.11560975609756097</v>
      </c>
      <c r="P181" s="152">
        <f t="shared" si="414"/>
        <v>-0.2060185185185186</v>
      </c>
      <c r="Q181" s="152">
        <f>Q180-1</f>
        <v>-9.2592592592592671E-2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350</v>
      </c>
      <c r="L183" s="204"/>
      <c r="M183" s="20"/>
      <c r="N183" s="20"/>
      <c r="O183" s="20"/>
      <c r="P183" s="108" t="s">
        <v>429</v>
      </c>
      <c r="Q183" s="108" t="s">
        <v>428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313</v>
      </c>
      <c r="D184" s="20"/>
      <c r="E184" s="20"/>
      <c r="F184" s="20"/>
      <c r="G184" s="20"/>
      <c r="H184" s="20"/>
      <c r="I184" s="20"/>
      <c r="J184" s="20"/>
      <c r="K184" s="20" t="s">
        <v>351</v>
      </c>
      <c r="L184" s="22">
        <v>1</v>
      </c>
      <c r="M184" s="20"/>
      <c r="N184" s="20"/>
      <c r="O184" s="20"/>
      <c r="P184" s="128">
        <f>(Q171-S159)/Q171</f>
        <v>0.8341580136111959</v>
      </c>
      <c r="Q184" s="128">
        <f>(Q171-T159)/Q171</f>
        <v>0.86356380967726865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348</v>
      </c>
      <c r="C185" s="20" t="s">
        <v>313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0.34734816019989107</v>
      </c>
      <c r="N185" s="20"/>
      <c r="O185" s="20"/>
      <c r="P185" s="128">
        <f>(Q171-S150)/Q171</f>
        <v>0.4289296401749047</v>
      </c>
      <c r="Q185" s="128">
        <f>(Q171-T150)/Q171</f>
        <v>0.92042462199158503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349</v>
      </c>
      <c r="C186" s="20" t="s">
        <v>313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-0.22430079168176414</v>
      </c>
      <c r="N186" s="20"/>
      <c r="O186" s="20"/>
      <c r="P186" s="128">
        <f>(Q171-S143)/Q171</f>
        <v>-7.126319272154362E-2</v>
      </c>
      <c r="Q186" s="128">
        <f>(Q171-T143)/Q171</f>
        <v>0.85072562068634228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352</v>
      </c>
      <c r="C187" s="20" t="s">
        <v>313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0.97738082819134453</v>
      </c>
      <c r="N187" s="20"/>
      <c r="O187" s="20"/>
      <c r="P187" s="128">
        <f>(Q171-S156)/Q171</f>
        <v>0.98020822466742641</v>
      </c>
      <c r="Q187" s="128">
        <f>(Q171-T156)/Q171</f>
        <v>0.99724212966677261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398</v>
      </c>
      <c r="C188" s="20" t="s">
        <v>313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0.9741624510380773</v>
      </c>
      <c r="N188" s="20"/>
      <c r="O188" s="20"/>
      <c r="P188" s="128">
        <f>(Q171-S168)/Q171</f>
        <v>0.9773921446583177</v>
      </c>
      <c r="Q188" s="128">
        <f>(Q171-T168)/Q171</f>
        <v>0.98140079167313454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4.572310690246348</v>
      </c>
      <c r="Q189" s="25">
        <f>Q171/T142</f>
        <v>32.813053188826736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406</v>
      </c>
      <c r="AE189" s="115" t="s">
        <v>407</v>
      </c>
      <c r="AF189" s="115" t="s">
        <v>408</v>
      </c>
      <c r="AG189" s="115" t="s">
        <v>409</v>
      </c>
      <c r="AH189" s="115" t="s">
        <v>410</v>
      </c>
      <c r="AI189" s="115" t="s">
        <v>411</v>
      </c>
      <c r="AJ189" s="115" t="s">
        <v>412</v>
      </c>
      <c r="AK189" s="115" t="s">
        <v>413</v>
      </c>
      <c r="AL189" s="115" t="s">
        <v>414</v>
      </c>
      <c r="AM189" s="115" t="s">
        <v>415</v>
      </c>
      <c r="AN189" s="115" t="s">
        <v>416</v>
      </c>
      <c r="AO189" s="115" t="s">
        <v>417</v>
      </c>
      <c r="AP189" s="115" t="s">
        <v>418</v>
      </c>
      <c r="AQ189" s="115" t="s">
        <v>419</v>
      </c>
      <c r="AR189" s="115" t="s">
        <v>420</v>
      </c>
      <c r="AS189" s="115" t="s">
        <v>421</v>
      </c>
      <c r="AT189" s="115" t="s">
        <v>422</v>
      </c>
    </row>
    <row r="190" spans="2:46" x14ac:dyDescent="0.2">
      <c r="B190" s="20" t="s">
        <v>370</v>
      </c>
      <c r="C190" s="20"/>
      <c r="D190" s="20"/>
      <c r="E190" s="20"/>
      <c r="F190" s="20"/>
      <c r="G190" s="189" t="s">
        <v>447</v>
      </c>
      <c r="H190" s="190"/>
      <c r="I190" s="189" t="s">
        <v>448</v>
      </c>
      <c r="J190" s="190"/>
      <c r="K190" s="20"/>
      <c r="L190" s="189" t="s">
        <v>449</v>
      </c>
      <c r="M190" s="190"/>
      <c r="N190" s="189" t="s">
        <v>450</v>
      </c>
      <c r="O190" s="190"/>
      <c r="P190" s="152">
        <f>1/P189</f>
        <v>0.21870779737982368</v>
      </c>
      <c r="Q190" s="152">
        <f>1/Q189</f>
        <v>3.0475676684073787E-2</v>
      </c>
      <c r="R190" s="20"/>
      <c r="S190" s="20"/>
      <c r="T190" s="129">
        <f>Q171-T191</f>
        <v>191.72727272727272</v>
      </c>
      <c r="U190" s="185">
        <f>T190-U191</f>
        <v>183.04090909090908</v>
      </c>
      <c r="V190" s="185">
        <f t="shared" ref="V190:X190" si="415">U190-V191</f>
        <v>173.92022727272726</v>
      </c>
      <c r="W190" s="185">
        <f t="shared" si="415"/>
        <v>164.34351136363634</v>
      </c>
      <c r="X190" s="185">
        <f t="shared" si="415"/>
        <v>154.28795965909089</v>
      </c>
      <c r="Y190" s="185">
        <f>X190-Y191</f>
        <v>143.72963036931816</v>
      </c>
      <c r="Z190" s="185">
        <f t="shared" ref="Z190:AC190" si="416">Y190-Z191</f>
        <v>132.64338461505679</v>
      </c>
      <c r="AA190" s="185">
        <f t="shared" si="416"/>
        <v>121.00282657308236</v>
      </c>
      <c r="AB190" s="185">
        <f t="shared" si="416"/>
        <v>108.7802406290092</v>
      </c>
      <c r="AC190" s="185">
        <f t="shared" si="416"/>
        <v>95.946525387732379</v>
      </c>
      <c r="AD190" s="185">
        <f t="shared" ref="AD190" si="417">AC190-AD191</f>
        <v>82.471124384391715</v>
      </c>
      <c r="AE190" s="185">
        <f t="shared" ref="AE190" si="418">AD190-AE191</f>
        <v>68.321953330884014</v>
      </c>
      <c r="AF190" s="185">
        <f t="shared" ref="AF190" si="419">AE190-AF191</f>
        <v>53.465323724700937</v>
      </c>
      <c r="AG190" s="185">
        <f t="shared" ref="AG190" si="420">AF190-AG191</f>
        <v>37.865862638208704</v>
      </c>
      <c r="AH190" s="185">
        <f t="shared" ref="AH190" si="421">AG190-AH191</f>
        <v>21.486428497391856</v>
      </c>
      <c r="AI190" s="185">
        <f t="shared" ref="AI190" si="422">AH190-AI191</f>
        <v>4.2880226495341631</v>
      </c>
      <c r="AJ190" s="185">
        <f t="shared" ref="AJ190" si="423">AI190-AJ191</f>
        <v>-13.770303490716415</v>
      </c>
      <c r="AK190" s="185">
        <f t="shared" ref="AK190" si="424">AJ190-AK191</f>
        <v>-32.731545937979519</v>
      </c>
      <c r="AL190" s="185">
        <f t="shared" ref="AL190" si="425">AK190-AL191</f>
        <v>-52.640850507605776</v>
      </c>
      <c r="AM190" s="185">
        <f t="shared" ref="AM190" si="426">AL190-AM191</f>
        <v>-73.545620305713356</v>
      </c>
      <c r="AN190" s="185">
        <f t="shared" ref="AN190" si="427">AM190-AN191</f>
        <v>-95.495628593726309</v>
      </c>
      <c r="AO190" s="185">
        <f t="shared" ref="AO190" si="428">AN190-AO191</f>
        <v>-118.54313729613992</v>
      </c>
      <c r="AP190" s="185">
        <f t="shared" ref="AP190" si="429">AO190-AP191</f>
        <v>-142.74302143367422</v>
      </c>
      <c r="AQ190" s="185">
        <f t="shared" ref="AQ190" si="430">AP190-AQ191</f>
        <v>-168.15289977808521</v>
      </c>
      <c r="AR190" s="185">
        <f t="shared" ref="AR190" si="431">AQ190-AR191</f>
        <v>-194.83327203971677</v>
      </c>
      <c r="AS190" s="185">
        <f t="shared" ref="AS190" si="432">AR190-AS191</f>
        <v>-222.84766291442992</v>
      </c>
      <c r="AT190" s="185">
        <f t="shared" ref="AT190" si="433">AS190-AT191</f>
        <v>-252.26277333287871</v>
      </c>
    </row>
    <row r="191" spans="2:46" x14ac:dyDescent="0.2">
      <c r="B191" s="20" t="s">
        <v>395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25.384615384615383</v>
      </c>
      <c r="Q191" s="181">
        <f>Q171/R141</f>
        <v>25.384615384615383</v>
      </c>
      <c r="R191" s="20"/>
      <c r="S191" s="20"/>
      <c r="T191" s="186">
        <f>R141*(1+$K$191)</f>
        <v>8.2727272727272734</v>
      </c>
      <c r="U191" s="186">
        <f>T191*(1+$K$191)</f>
        <v>8.6863636363636374</v>
      </c>
      <c r="V191" s="186">
        <f t="shared" ref="V191:AC191" si="434">U191*(1+$K$191)</f>
        <v>9.1206818181818203</v>
      </c>
      <c r="W191" s="186">
        <f t="shared" si="434"/>
        <v>9.5767159090909111</v>
      </c>
      <c r="X191" s="186">
        <f t="shared" si="434"/>
        <v>10.055551704545458</v>
      </c>
      <c r="Y191" s="186">
        <f t="shared" si="434"/>
        <v>10.558329289772731</v>
      </c>
      <c r="Z191" s="186">
        <f t="shared" si="434"/>
        <v>11.086245754261368</v>
      </c>
      <c r="AA191" s="186">
        <f t="shared" si="434"/>
        <v>11.640558041974437</v>
      </c>
      <c r="AB191" s="186">
        <f t="shared" si="434"/>
        <v>12.22258594407316</v>
      </c>
      <c r="AC191" s="186">
        <f t="shared" si="434"/>
        <v>12.833715241276819</v>
      </c>
      <c r="AD191" s="186">
        <f t="shared" ref="AD191" si="435">AC191*(1+$K$191)</f>
        <v>13.475401003340661</v>
      </c>
      <c r="AE191" s="186">
        <f t="shared" ref="AE191" si="436">AD191*(1+$K$191)</f>
        <v>14.149171053507695</v>
      </c>
      <c r="AF191" s="186">
        <f t="shared" ref="AF191" si="437">AE191*(1+$K$191)</f>
        <v>14.85662960618308</v>
      </c>
      <c r="AG191" s="186">
        <f t="shared" ref="AG191" si="438">AF191*(1+$K$191)</f>
        <v>15.599461086492235</v>
      </c>
      <c r="AH191" s="186">
        <f t="shared" ref="AH191" si="439">AG191*(1+$K$191)</f>
        <v>16.379434140816848</v>
      </c>
      <c r="AI191" s="186">
        <f t="shared" ref="AI191" si="440">AH191*(1+$K$191)</f>
        <v>17.198405847857693</v>
      </c>
      <c r="AJ191" s="186">
        <f t="shared" ref="AJ191" si="441">AI191*(1+$K$191)</f>
        <v>18.058326140250578</v>
      </c>
      <c r="AK191" s="186">
        <f t="shared" ref="AK191" si="442">AJ191*(1+$K$191)</f>
        <v>18.961242447263107</v>
      </c>
      <c r="AL191" s="186">
        <f t="shared" ref="AL191" si="443">AK191*(1+$K$191)</f>
        <v>19.909304569626261</v>
      </c>
      <c r="AM191" s="186">
        <f t="shared" ref="AM191" si="444">AL191*(1+$K$191)</f>
        <v>20.904769798107576</v>
      </c>
      <c r="AN191" s="186">
        <f t="shared" ref="AN191" si="445">AM191*(1+$K$191)</f>
        <v>21.950008288012956</v>
      </c>
      <c r="AO191" s="186">
        <f t="shared" ref="AO191" si="446">AN191*(1+$K$191)</f>
        <v>23.047508702413605</v>
      </c>
      <c r="AP191" s="186">
        <f t="shared" ref="AP191" si="447">AO191*(1+$K$191)</f>
        <v>24.199884137534287</v>
      </c>
      <c r="AQ191" s="186">
        <f t="shared" ref="AQ191" si="448">AP191*(1+$K$191)</f>
        <v>25.409878344411002</v>
      </c>
      <c r="AR191" s="186">
        <f t="shared" ref="AR191" si="449">AQ191*(1+$K$191)</f>
        <v>26.680372261631554</v>
      </c>
      <c r="AS191" s="186">
        <f t="shared" ref="AS191" si="450">AR191*(1+$K$191)</f>
        <v>28.014390874713133</v>
      </c>
      <c r="AT191" s="186">
        <f t="shared" ref="AT191" si="451">AS191*(1+$K$191)</f>
        <v>29.415110418448791</v>
      </c>
    </row>
    <row r="192" spans="2:46" x14ac:dyDescent="0.2">
      <c r="B192" s="20" t="s">
        <v>394</v>
      </c>
      <c r="C192" s="20"/>
      <c r="D192" s="20"/>
      <c r="E192" s="23" t="s">
        <v>390</v>
      </c>
      <c r="F192" s="22"/>
      <c r="G192" s="191">
        <v>0</v>
      </c>
      <c r="H192" s="192">
        <f>Q173</f>
        <v>13.611111111111111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13.611111111111111</v>
      </c>
      <c r="Q192" s="181">
        <f>Q171/Q54</f>
        <v>13.611111111111111</v>
      </c>
      <c r="R192" s="20"/>
      <c r="S192" s="20"/>
      <c r="T192" s="186">
        <f>Q54*(1+$K$192)</f>
        <v>15.428571428571429</v>
      </c>
      <c r="U192" s="186">
        <f>T192*(1+$K$192)</f>
        <v>16.2</v>
      </c>
      <c r="V192" s="186">
        <f t="shared" ref="V192:AC192" si="452">U192*(1+$K$192)</f>
        <v>17.010000000000002</v>
      </c>
      <c r="W192" s="186">
        <f t="shared" si="452"/>
        <v>17.860500000000002</v>
      </c>
      <c r="X192" s="186">
        <f t="shared" si="452"/>
        <v>18.753525000000003</v>
      </c>
      <c r="Y192" s="186">
        <f t="shared" si="452"/>
        <v>19.691201250000006</v>
      </c>
      <c r="Z192" s="186">
        <f t="shared" si="452"/>
        <v>20.675761312500008</v>
      </c>
      <c r="AA192" s="186">
        <f t="shared" si="452"/>
        <v>21.709549378125008</v>
      </c>
      <c r="AB192" s="186">
        <f t="shared" si="452"/>
        <v>22.795026847031259</v>
      </c>
      <c r="AC192" s="186">
        <f t="shared" si="452"/>
        <v>23.934778189382822</v>
      </c>
      <c r="AD192" s="186">
        <f t="shared" ref="AD192" si="453">AC192*(1+$K$192)</f>
        <v>25.131517098851965</v>
      </c>
      <c r="AE192" s="186">
        <f t="shared" ref="AE192" si="454">AD192*(1+$K$192)</f>
        <v>26.388092953794565</v>
      </c>
      <c r="AF192" s="186">
        <f t="shared" ref="AF192" si="455">AE192*(1+$K$192)</f>
        <v>27.707497601484295</v>
      </c>
      <c r="AG192" s="186">
        <f t="shared" ref="AG192" si="456">AF192*(1+$K$192)</f>
        <v>29.092872481558512</v>
      </c>
      <c r="AH192" s="186">
        <f t="shared" ref="AH192" si="457">AG192*(1+$K$192)</f>
        <v>30.54751610563644</v>
      </c>
      <c r="AI192" s="186">
        <f t="shared" ref="AI192" si="458">AH192*(1+$K$192)</f>
        <v>32.074891910918261</v>
      </c>
      <c r="AJ192" s="186">
        <f t="shared" ref="AJ192" si="459">AI192*(1+$K$192)</f>
        <v>33.678636506464173</v>
      </c>
      <c r="AK192" s="186">
        <f t="shared" ref="AK192" si="460">AJ192*(1+$K$192)</f>
        <v>35.362568331787386</v>
      </c>
      <c r="AL192" s="186">
        <f t="shared" ref="AL192" si="461">AK192*(1+$K$192)</f>
        <v>37.130696748376756</v>
      </c>
      <c r="AM192" s="186">
        <f t="shared" ref="AM192" si="462">AL192*(1+$K$192)</f>
        <v>38.987231585795598</v>
      </c>
      <c r="AN192" s="186">
        <f t="shared" ref="AN192" si="463">AM192*(1+$K$192)</f>
        <v>40.936593165085377</v>
      </c>
      <c r="AO192" s="186">
        <f t="shared" ref="AO192" si="464">AN192*(1+$K$192)</f>
        <v>42.983422823339644</v>
      </c>
      <c r="AP192" s="186">
        <f t="shared" ref="AP192" si="465">AO192*(1+$K$192)</f>
        <v>45.132593964506626</v>
      </c>
      <c r="AQ192" s="186">
        <f t="shared" ref="AQ192" si="466">AP192*(1+$K$192)</f>
        <v>47.389223662731958</v>
      </c>
      <c r="AR192" s="186">
        <f t="shared" ref="AR192" si="467">AQ192*(1+$K$192)</f>
        <v>49.758684845868558</v>
      </c>
      <c r="AS192" s="186">
        <f t="shared" ref="AS192" si="468">AR192*(1+$K$192)</f>
        <v>52.246619088161985</v>
      </c>
      <c r="AT192" s="186">
        <f t="shared" ref="AT192" si="469">AS192*(1+$K$192)</f>
        <v>54.858950042570086</v>
      </c>
    </row>
    <row r="193" spans="2:46" x14ac:dyDescent="0.2">
      <c r="B193" s="20"/>
      <c r="C193" s="20"/>
      <c r="D193" s="20"/>
      <c r="E193" s="23" t="s">
        <v>453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184.57142857142858</v>
      </c>
      <c r="U193" s="185">
        <f>T193-U192</f>
        <v>168.37142857142859</v>
      </c>
      <c r="V193" s="185">
        <f t="shared" ref="V193:AA193" si="470">U193-V192</f>
        <v>151.3614285714286</v>
      </c>
      <c r="W193" s="185">
        <f t="shared" si="470"/>
        <v>133.5009285714286</v>
      </c>
      <c r="X193" s="185">
        <f t="shared" si="470"/>
        <v>114.74740357142861</v>
      </c>
      <c r="Y193" s="185">
        <f t="shared" si="470"/>
        <v>95.0562023214286</v>
      </c>
      <c r="Z193" s="185">
        <f t="shared" si="470"/>
        <v>74.380441008928585</v>
      </c>
      <c r="AA193" s="185">
        <f t="shared" si="470"/>
        <v>52.670891630803581</v>
      </c>
      <c r="AB193" s="185">
        <f>AA193-AB192</f>
        <v>29.875864783772322</v>
      </c>
      <c r="AC193" s="185">
        <f t="shared" ref="AC193" si="471">AB193-AC192</f>
        <v>5.9410865943894997</v>
      </c>
      <c r="AD193" s="185">
        <f t="shared" ref="AD193" si="472">AC193-AD192</f>
        <v>-19.190430504462466</v>
      </c>
      <c r="AE193" s="185">
        <f t="shared" ref="AE193" si="473">AD193-AE192</f>
        <v>-45.578523458257031</v>
      </c>
      <c r="AF193" s="185">
        <f t="shared" ref="AF193" si="474">AE193-AF192</f>
        <v>-73.28602105974133</v>
      </c>
      <c r="AG193" s="185">
        <f t="shared" ref="AG193" si="475">AF193-AG192</f>
        <v>-102.37889354129985</v>
      </c>
      <c r="AH193" s="185">
        <f t="shared" ref="AH193" si="476">AG193-AH192</f>
        <v>-132.92640964693629</v>
      </c>
      <c r="AI193" s="185">
        <f t="shared" ref="AI193" si="477">AH193-AI192</f>
        <v>-165.00130155785456</v>
      </c>
      <c r="AJ193" s="185">
        <f t="shared" ref="AJ193" si="478">AI193-AJ192</f>
        <v>-198.67993806431872</v>
      </c>
      <c r="AK193" s="185">
        <f t="shared" ref="AK193" si="479">AJ193-AK192</f>
        <v>-234.04250639610609</v>
      </c>
      <c r="AL193" s="185">
        <f t="shared" ref="AL193" si="480">AK193-AL192</f>
        <v>-271.17320314448284</v>
      </c>
      <c r="AM193" s="185">
        <f t="shared" ref="AM193" si="481">AL193-AM192</f>
        <v>-310.16043473027844</v>
      </c>
      <c r="AN193" s="185">
        <f t="shared" ref="AN193" si="482">AM193-AN192</f>
        <v>-351.09702789536379</v>
      </c>
      <c r="AO193" s="185">
        <f t="shared" ref="AO193" si="483">AN193-AO192</f>
        <v>-394.08045071870345</v>
      </c>
      <c r="AP193" s="185">
        <f t="shared" ref="AP193" si="484">AO193-AP192</f>
        <v>-439.21304468321006</v>
      </c>
      <c r="AQ193" s="185">
        <f t="shared" ref="AQ193" si="485">AP193-AQ192</f>
        <v>-486.60226834594204</v>
      </c>
      <c r="AR193" s="185">
        <f t="shared" ref="AR193" si="486">AQ193-AR192</f>
        <v>-536.36095319181061</v>
      </c>
      <c r="AS193" s="185">
        <f t="shared" ref="AS193" si="487">AR193-AS192</f>
        <v>-588.6075722799726</v>
      </c>
      <c r="AT193" s="185">
        <f t="shared" ref="AT193" si="488">AS193-AT192</f>
        <v>-643.46652232254269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1.4848484848484849</v>
      </c>
      <c r="H195" s="25">
        <f t="shared" si="489"/>
        <v>1.228813559322034</v>
      </c>
      <c r="I195" s="25">
        <f t="shared" si="489"/>
        <v>1.5037037037037038</v>
      </c>
      <c r="J195" s="25">
        <f t="shared" si="489"/>
        <v>2.354609929078014</v>
      </c>
      <c r="K195" s="25">
        <f t="shared" si="489"/>
        <v>2.1741935483870969</v>
      </c>
      <c r="L195" s="25">
        <f t="shared" si="489"/>
        <v>2.0061728395061729</v>
      </c>
      <c r="M195" s="25">
        <f t="shared" si="489"/>
        <v>1.3862433862433863</v>
      </c>
      <c r="N195" s="25">
        <f t="shared" si="489"/>
        <v>1.2972972972972974</v>
      </c>
      <c r="O195" s="25">
        <f t="shared" si="489"/>
        <v>0.73049645390070927</v>
      </c>
      <c r="P195" s="25">
        <f t="shared" si="489"/>
        <v>0.72853185595567871</v>
      </c>
      <c r="Q195" s="25">
        <f t="shared" ref="Q195" si="490">Q10/Q7</f>
        <v>0.49716446124763702</v>
      </c>
      <c r="R195" s="118">
        <f t="shared" ref="R195:R197" si="491">((P195/G195)^(1/($H$2-$H$1) ))-1</f>
        <v>-7.6066504738030893E-2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49</v>
      </c>
      <c r="H196" s="112">
        <f t="shared" ref="H196:P196" si="492">H10/H12</f>
        <v>48.333333333333336</v>
      </c>
      <c r="I196" s="112">
        <f t="shared" si="492"/>
        <v>40.6</v>
      </c>
      <c r="J196" s="112">
        <f t="shared" si="492"/>
        <v>83</v>
      </c>
      <c r="K196" s="112">
        <f t="shared" si="492"/>
        <v>42.125</v>
      </c>
      <c r="L196" s="112">
        <f t="shared" si="492"/>
        <v>40.625</v>
      </c>
      <c r="M196" s="112">
        <f t="shared" si="492"/>
        <v>52.4</v>
      </c>
      <c r="N196" s="112">
        <f t="shared" si="492"/>
        <v>72</v>
      </c>
      <c r="O196" s="112">
        <f t="shared" si="492"/>
        <v>29.428571428571427</v>
      </c>
      <c r="P196" s="112">
        <f t="shared" si="492"/>
        <v>43.833333333333336</v>
      </c>
      <c r="Q196" s="112">
        <f t="shared" ref="Q196" si="493">Q10/Q12</f>
        <v>43.833333333333336</v>
      </c>
      <c r="R196" s="118">
        <f t="shared" si="491"/>
        <v>-1.2304312458715772E-2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21</v>
      </c>
      <c r="H197" s="25">
        <f t="shared" ref="H197:P197" si="494">H10/(H12+H13)</f>
        <v>20.714285714285715</v>
      </c>
      <c r="I197" s="25">
        <f t="shared" si="494"/>
        <v>20.3</v>
      </c>
      <c r="J197" s="25">
        <f t="shared" si="494"/>
        <v>30.181818181818183</v>
      </c>
      <c r="K197" s="25">
        <f t="shared" si="494"/>
        <v>30.636363636363637</v>
      </c>
      <c r="L197" s="25">
        <f t="shared" si="494"/>
        <v>28.761061946902654</v>
      </c>
      <c r="M197" s="25">
        <f t="shared" si="494"/>
        <v>31.566265060240962</v>
      </c>
      <c r="N197" s="25">
        <f t="shared" si="494"/>
        <v>36</v>
      </c>
      <c r="O197" s="25">
        <f t="shared" si="494"/>
        <v>29.428571428571427</v>
      </c>
      <c r="P197" s="25">
        <f t="shared" si="494"/>
        <v>43.256578947368418</v>
      </c>
      <c r="Q197" s="25">
        <f t="shared" ref="Q197" si="495">Q10/(Q12+Q13)</f>
        <v>43.256578947368418</v>
      </c>
      <c r="R197" s="118">
        <f t="shared" si="491"/>
        <v>8.3603301062039614E-2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376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336</v>
      </c>
      <c r="M200" s="201"/>
      <c r="N200" s="202"/>
      <c r="O200" s="23" t="s">
        <v>339</v>
      </c>
      <c r="P200" s="20"/>
      <c r="Q200" s="137"/>
      <c r="R200" s="200" t="s">
        <v>337</v>
      </c>
      <c r="S200" s="201"/>
      <c r="T200" s="202"/>
      <c r="U200" s="23" t="s">
        <v>339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338</v>
      </c>
      <c r="D201" s="166" t="s">
        <v>0</v>
      </c>
      <c r="E201" s="166" t="s">
        <v>377</v>
      </c>
      <c r="F201" s="166" t="s">
        <v>378</v>
      </c>
      <c r="G201" s="166" t="s">
        <v>379</v>
      </c>
      <c r="H201" s="166" t="s">
        <v>380</v>
      </c>
      <c r="I201" s="166" t="s">
        <v>381</v>
      </c>
      <c r="J201" s="166" t="s">
        <v>382</v>
      </c>
      <c r="K201" s="20"/>
      <c r="L201" s="166" t="s">
        <v>338</v>
      </c>
      <c r="M201" s="166"/>
      <c r="N201" s="166" t="s">
        <v>0</v>
      </c>
      <c r="O201" s="166" t="s">
        <v>371</v>
      </c>
      <c r="P201" s="20"/>
      <c r="Q201" s="20"/>
      <c r="R201" s="166" t="s">
        <v>338</v>
      </c>
      <c r="S201" s="166"/>
      <c r="T201" s="166" t="s">
        <v>0</v>
      </c>
      <c r="U201" s="166" t="s">
        <v>371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340</v>
      </c>
      <c r="D202" s="21">
        <v>1</v>
      </c>
      <c r="E202" s="176" t="s">
        <v>383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340</v>
      </c>
      <c r="M202" s="167"/>
      <c r="N202" s="21">
        <v>15</v>
      </c>
      <c r="O202" s="173">
        <f>N202</f>
        <v>15</v>
      </c>
      <c r="P202" s="20"/>
      <c r="Q202" s="20"/>
      <c r="R202" s="167" t="s">
        <v>340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341</v>
      </c>
      <c r="D203" s="21">
        <v>1</v>
      </c>
      <c r="E203" s="176" t="s">
        <v>384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341</v>
      </c>
      <c r="M203" s="167"/>
      <c r="N203" s="21">
        <v>1</v>
      </c>
      <c r="O203" s="173">
        <f>N203</f>
        <v>1</v>
      </c>
      <c r="P203" s="20"/>
      <c r="Q203" s="20"/>
      <c r="R203" s="167" t="s">
        <v>341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343</v>
      </c>
      <c r="D204" s="168">
        <f>D202*D203</f>
        <v>1</v>
      </c>
      <c r="E204" s="176" t="s">
        <v>396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342</v>
      </c>
      <c r="M204" s="167"/>
      <c r="N204" s="168">
        <f>N202*N203</f>
        <v>15</v>
      </c>
      <c r="O204" s="173">
        <f>N204</f>
        <v>15</v>
      </c>
      <c r="P204" s="20"/>
      <c r="Q204" s="20"/>
      <c r="R204" s="167" t="s">
        <v>343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385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344</v>
      </c>
      <c r="M205" s="167"/>
      <c r="N205" s="21">
        <v>520</v>
      </c>
      <c r="O205" s="21">
        <v>602</v>
      </c>
      <c r="P205" s="20"/>
      <c r="Q205" s="20"/>
      <c r="R205" s="167" t="s">
        <v>344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344</v>
      </c>
      <c r="D206" s="21">
        <v>1</v>
      </c>
      <c r="E206" s="176"/>
      <c r="F206" s="167"/>
      <c r="G206" s="167"/>
      <c r="H206" s="169" t="s">
        <v>386</v>
      </c>
      <c r="I206" s="167"/>
      <c r="J206" s="167">
        <f>J205</f>
        <v>20</v>
      </c>
      <c r="K206" s="20"/>
      <c r="L206" s="167" t="s">
        <v>345</v>
      </c>
      <c r="M206" s="167"/>
      <c r="N206" s="168">
        <f>N205*N203</f>
        <v>520</v>
      </c>
      <c r="O206" s="168">
        <f>O205*O203</f>
        <v>602</v>
      </c>
      <c r="P206" s="20"/>
      <c r="Q206" s="20"/>
      <c r="R206" s="167" t="s">
        <v>341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341</v>
      </c>
      <c r="D207" s="21">
        <v>1</v>
      </c>
      <c r="E207" s="176" t="s">
        <v>385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343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343</v>
      </c>
      <c r="D208" s="168">
        <f>D207*D206</f>
        <v>1</v>
      </c>
      <c r="E208" s="167"/>
      <c r="F208" s="167"/>
      <c r="G208" s="167"/>
      <c r="H208" s="169" t="s">
        <v>386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385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346</v>
      </c>
      <c r="M209" s="169"/>
      <c r="N209" s="170">
        <f>N206/N204</f>
        <v>34.666666666666664</v>
      </c>
      <c r="O209" s="170">
        <f>O206/O204</f>
        <v>40.133333333333333</v>
      </c>
      <c r="P209" s="20"/>
      <c r="Q209" s="20"/>
      <c r="R209" s="169" t="s">
        <v>346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346</v>
      </c>
      <c r="D210" s="170">
        <f>D208/D204</f>
        <v>1</v>
      </c>
      <c r="E210" s="176"/>
      <c r="F210" s="167"/>
      <c r="G210" s="167"/>
      <c r="H210" s="169" t="s">
        <v>386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391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392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393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430</v>
      </c>
      <c r="C3" s="212"/>
      <c r="F3" s="211" t="s">
        <v>431</v>
      </c>
      <c r="G3" s="212"/>
    </row>
    <row r="4" spans="2:7" x14ac:dyDescent="0.2">
      <c r="B4" s="188" t="s">
        <v>432</v>
      </c>
      <c r="C4" s="188"/>
      <c r="F4" s="188" t="s">
        <v>433</v>
      </c>
      <c r="G4" s="188"/>
    </row>
    <row r="5" spans="2:7" x14ac:dyDescent="0.2">
      <c r="B5" s="188" t="s">
        <v>434</v>
      </c>
      <c r="C5" s="188"/>
      <c r="F5" s="188" t="s">
        <v>292</v>
      </c>
      <c r="G5" s="188"/>
    </row>
    <row r="6" spans="2:7" x14ac:dyDescent="0.2">
      <c r="B6" s="188" t="s">
        <v>435</v>
      </c>
      <c r="C6" s="188"/>
      <c r="F6" s="188" t="s">
        <v>436</v>
      </c>
      <c r="G6" s="188"/>
    </row>
    <row r="7" spans="2:7" x14ac:dyDescent="0.2">
      <c r="B7" s="188" t="s">
        <v>437</v>
      </c>
      <c r="C7" s="188"/>
      <c r="F7" s="188" t="s">
        <v>438</v>
      </c>
      <c r="G7" s="188"/>
    </row>
    <row r="8" spans="2:7" x14ac:dyDescent="0.2">
      <c r="B8" s="188" t="s">
        <v>439</v>
      </c>
      <c r="C8" s="188"/>
      <c r="F8" s="188" t="s">
        <v>440</v>
      </c>
      <c r="G8" s="188"/>
    </row>
    <row r="9" spans="2:7" x14ac:dyDescent="0.2">
      <c r="B9" s="188" t="s">
        <v>441</v>
      </c>
      <c r="C9" s="188"/>
      <c r="F9" s="188" t="s">
        <v>442</v>
      </c>
      <c r="G9" s="188"/>
    </row>
    <row r="10" spans="2:7" x14ac:dyDescent="0.2">
      <c r="B10" s="188" t="s">
        <v>440</v>
      </c>
      <c r="C10" s="188"/>
      <c r="F10" s="188"/>
      <c r="G10" s="188"/>
    </row>
    <row r="11" spans="2:7" x14ac:dyDescent="0.2">
      <c r="B11" s="188" t="s">
        <v>443</v>
      </c>
      <c r="C11" s="188"/>
      <c r="F11" s="188"/>
      <c r="G11" s="188"/>
    </row>
    <row r="12" spans="2:7" x14ac:dyDescent="0.2">
      <c r="B12" s="188" t="s">
        <v>444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2014-06-28T08:29:57Z</dcterms:modified>
</cp:coreProperties>
</file>
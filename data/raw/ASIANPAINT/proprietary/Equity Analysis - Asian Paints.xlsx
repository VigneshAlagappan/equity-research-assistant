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2"/>
  </bookViews>
  <sheets>
    <sheet name="1 - Eval Steps" sheetId="16" r:id="rId1"/>
    <sheet name="2 - Analysis" sheetId="15" r:id="rId2"/>
    <sheet name="3 - Forecast" sheetId="18" r:id="rId3"/>
    <sheet name="BV calc" sheetId="8" r:id="rId4"/>
    <sheet name="Sheet1" sheetId="11" state="hidden" r:id="rId5"/>
    <sheet name="IOB" sheetId="9" state="hidden" r:id="rId6"/>
    <sheet name="Template" sheetId="12" state="hidden" r:id="rId7"/>
  </sheets>
  <calcPr calcId="144525"/>
</workbook>
</file>

<file path=xl/calcChain.xml><?xml version="1.0" encoding="utf-8"?>
<calcChain xmlns="http://schemas.openxmlformats.org/spreadsheetml/2006/main">
  <c r="P43" i="18" l="1"/>
  <c r="O43" i="18"/>
  <c r="N43" i="18"/>
  <c r="M43" i="18"/>
  <c r="L43" i="18"/>
  <c r="K43" i="18"/>
  <c r="J43" i="18"/>
  <c r="I43" i="18"/>
  <c r="H43" i="18"/>
  <c r="G43" i="18"/>
  <c r="O198" i="18" l="1"/>
  <c r="F50" i="18"/>
  <c r="P12" i="18"/>
  <c r="O12" i="18"/>
  <c r="N12" i="18"/>
  <c r="M12" i="18"/>
  <c r="K12" i="18"/>
  <c r="J12" i="18"/>
  <c r="I12" i="18"/>
  <c r="H12" i="18"/>
  <c r="K184" i="18" l="1"/>
  <c r="K183" i="18"/>
  <c r="K182" i="18"/>
  <c r="K181" i="18"/>
  <c r="AD38" i="18" l="1"/>
  <c r="R38" i="18"/>
  <c r="S38" i="18" s="1"/>
  <c r="T38" i="18" s="1"/>
  <c r="U38" i="18" s="1"/>
  <c r="V38" i="18" s="1"/>
  <c r="W38" i="18" s="1"/>
  <c r="X38" i="18" s="1"/>
  <c r="Y38" i="18" s="1"/>
  <c r="Z38" i="18" s="1"/>
  <c r="AA38" i="18" s="1"/>
  <c r="AB38" i="18" s="1"/>
  <c r="Q38" i="18"/>
  <c r="P39" i="18"/>
  <c r="O39" i="18"/>
  <c r="N39" i="18"/>
  <c r="M39" i="18"/>
  <c r="L39" i="18"/>
  <c r="K39" i="18"/>
  <c r="J39" i="18"/>
  <c r="I39" i="18"/>
  <c r="H39" i="18"/>
  <c r="G39" i="18"/>
  <c r="AE38" i="18" l="1"/>
  <c r="AC38" i="18"/>
  <c r="K187" i="18" l="1"/>
  <c r="T202" i="18" l="1"/>
  <c r="T203" i="18" s="1"/>
  <c r="D200" i="18"/>
  <c r="G210" i="18" s="1"/>
  <c r="H200" i="18"/>
  <c r="L26" i="18"/>
  <c r="L104" i="18"/>
  <c r="J104" i="18"/>
  <c r="H104" i="18"/>
  <c r="F104" i="18"/>
  <c r="G104" i="18"/>
  <c r="I104" i="18"/>
  <c r="K104" i="18"/>
  <c r="M104" i="18"/>
  <c r="N104" i="18"/>
  <c r="O104" i="18"/>
  <c r="P104" i="18"/>
  <c r="H135" i="18"/>
  <c r="I135" i="18"/>
  <c r="J135" i="18"/>
  <c r="K135" i="18"/>
  <c r="L135" i="18"/>
  <c r="M135" i="18"/>
  <c r="N135" i="18"/>
  <c r="O135" i="18"/>
  <c r="P135" i="18"/>
  <c r="H134" i="18"/>
  <c r="I134" i="18"/>
  <c r="J134" i="18"/>
  <c r="K134" i="18"/>
  <c r="L134" i="18"/>
  <c r="M134" i="18"/>
  <c r="N134" i="18"/>
  <c r="O134" i="18"/>
  <c r="P134" i="18"/>
  <c r="G214" i="18"/>
  <c r="G215" i="18" s="1"/>
  <c r="AD54" i="18"/>
  <c r="C54" i="18"/>
  <c r="D54" i="18"/>
  <c r="E54" i="18"/>
  <c r="F54" i="18"/>
  <c r="H54" i="18"/>
  <c r="I54" i="18"/>
  <c r="J54" i="18"/>
  <c r="K54" i="18"/>
  <c r="L54" i="18"/>
  <c r="M54" i="18"/>
  <c r="N54" i="18"/>
  <c r="O54" i="18"/>
  <c r="P54" i="18"/>
  <c r="G54" i="18"/>
  <c r="H205" i="18"/>
  <c r="D204" i="18"/>
  <c r="G211" i="18" s="1"/>
  <c r="K211" i="18" s="1"/>
  <c r="H203" i="18"/>
  <c r="I203" i="18" s="1"/>
  <c r="J203" i="18" s="1"/>
  <c r="J204" i="18" s="1"/>
  <c r="H201" i="18"/>
  <c r="H199" i="18"/>
  <c r="H198" i="18"/>
  <c r="I198" i="18" s="1"/>
  <c r="J198" i="18" s="1"/>
  <c r="G213" i="18" l="1"/>
  <c r="K210" i="18"/>
  <c r="K213" i="18" s="1"/>
  <c r="G216" i="18"/>
  <c r="D206" i="18"/>
  <c r="Q54" i="18"/>
  <c r="I199" i="18"/>
  <c r="J199" i="18" s="1"/>
  <c r="I205" i="18"/>
  <c r="J205" i="18" s="1"/>
  <c r="J206" i="18" s="1"/>
  <c r="H89" i="18"/>
  <c r="I89" i="18"/>
  <c r="J89" i="18"/>
  <c r="K89" i="18"/>
  <c r="L89" i="18"/>
  <c r="M89" i="18"/>
  <c r="N89" i="18"/>
  <c r="O89" i="18"/>
  <c r="P89" i="18"/>
  <c r="G89" i="18"/>
  <c r="H41" i="18"/>
  <c r="I41" i="18"/>
  <c r="J41" i="18"/>
  <c r="K41" i="18"/>
  <c r="L41" i="18"/>
  <c r="M41" i="18"/>
  <c r="N41" i="18"/>
  <c r="O41" i="18"/>
  <c r="P41" i="18"/>
  <c r="K37" i="18"/>
  <c r="L37" i="18"/>
  <c r="M37" i="18"/>
  <c r="J37" i="18"/>
  <c r="I37" i="18"/>
  <c r="H37" i="18"/>
  <c r="G37" i="18"/>
  <c r="P37" i="18"/>
  <c r="O37" i="18"/>
  <c r="N37" i="18"/>
  <c r="P30" i="18"/>
  <c r="O30" i="18"/>
  <c r="N30" i="18"/>
  <c r="M30" i="18"/>
  <c r="N28" i="18"/>
  <c r="O28" i="18"/>
  <c r="P28" i="18"/>
  <c r="N26" i="18"/>
  <c r="O26" i="18"/>
  <c r="P26" i="18"/>
  <c r="H11" i="18"/>
  <c r="I11" i="18"/>
  <c r="J11" i="18"/>
  <c r="K11" i="18"/>
  <c r="L11" i="18"/>
  <c r="M11" i="18"/>
  <c r="N11" i="18"/>
  <c r="O11" i="18"/>
  <c r="P11" i="18"/>
  <c r="G135" i="18"/>
  <c r="G134" i="18"/>
  <c r="AD14" i="18"/>
  <c r="R14" i="18"/>
  <c r="S14" i="18" s="1"/>
  <c r="T14" i="18" s="1"/>
  <c r="U14" i="18" s="1"/>
  <c r="V14" i="18" s="1"/>
  <c r="W14" i="18" s="1"/>
  <c r="X14" i="18" s="1"/>
  <c r="Y14" i="18" s="1"/>
  <c r="Z14" i="18" s="1"/>
  <c r="AA14" i="18" s="1"/>
  <c r="AB14" i="18" s="1"/>
  <c r="Q14" i="18"/>
  <c r="T199" i="18"/>
  <c r="T198" i="18"/>
  <c r="O199" i="18"/>
  <c r="O202" i="18" s="1"/>
  <c r="H95" i="18"/>
  <c r="H101" i="18" s="1"/>
  <c r="I95" i="18"/>
  <c r="I101" i="18" s="1"/>
  <c r="J95" i="18"/>
  <c r="J101" i="18" s="1"/>
  <c r="K95" i="18"/>
  <c r="K101" i="18" s="1"/>
  <c r="L95" i="18"/>
  <c r="L101" i="18" s="1"/>
  <c r="M95" i="18"/>
  <c r="M101" i="18" s="1"/>
  <c r="N95" i="18"/>
  <c r="N101" i="18" s="1"/>
  <c r="O95" i="18"/>
  <c r="O101" i="18" s="1"/>
  <c r="P95" i="18"/>
  <c r="P101" i="18" s="1"/>
  <c r="G95" i="18"/>
  <c r="G101" i="18" s="1"/>
  <c r="H92" i="18"/>
  <c r="H98" i="18" s="1"/>
  <c r="I92" i="18"/>
  <c r="I98" i="18" s="1"/>
  <c r="J92" i="18"/>
  <c r="J98" i="18" s="1"/>
  <c r="K92" i="18"/>
  <c r="K98" i="18" s="1"/>
  <c r="L92" i="18"/>
  <c r="L98" i="18" s="1"/>
  <c r="M92" i="18"/>
  <c r="M98" i="18" s="1"/>
  <c r="N92" i="18"/>
  <c r="N98" i="18" s="1"/>
  <c r="O92" i="18"/>
  <c r="O98" i="18" s="1"/>
  <c r="P92" i="18"/>
  <c r="P98" i="18" s="1"/>
  <c r="G92" i="18"/>
  <c r="G98" i="18" s="1"/>
  <c r="H93" i="18"/>
  <c r="H99" i="18" s="1"/>
  <c r="I93" i="18"/>
  <c r="I99" i="18" s="1"/>
  <c r="J93" i="18"/>
  <c r="J99" i="18" s="1"/>
  <c r="K93" i="18"/>
  <c r="K99" i="18" s="1"/>
  <c r="L93" i="18"/>
  <c r="L99" i="18" s="1"/>
  <c r="M93" i="18"/>
  <c r="M99" i="18" s="1"/>
  <c r="N93" i="18"/>
  <c r="N99" i="18" s="1"/>
  <c r="O93" i="18"/>
  <c r="O99" i="18" s="1"/>
  <c r="P93" i="18"/>
  <c r="P99" i="18" s="1"/>
  <c r="G93" i="18"/>
  <c r="G99" i="18" s="1"/>
  <c r="H130" i="18"/>
  <c r="H131" i="18" s="1"/>
  <c r="I130" i="18"/>
  <c r="I131" i="18" s="1"/>
  <c r="J130" i="18"/>
  <c r="J131" i="18" s="1"/>
  <c r="K130" i="18"/>
  <c r="K131" i="18" s="1"/>
  <c r="L130" i="18"/>
  <c r="L131" i="18" s="1"/>
  <c r="M130" i="18"/>
  <c r="M131" i="18" s="1"/>
  <c r="N130" i="18"/>
  <c r="N131" i="18" s="1"/>
  <c r="O130" i="18"/>
  <c r="O131" i="18" s="1"/>
  <c r="P130" i="18"/>
  <c r="P131" i="18" s="1"/>
  <c r="G130" i="18"/>
  <c r="G131" i="18" s="1"/>
  <c r="K214" i="18" l="1"/>
  <c r="Q98" i="18"/>
  <c r="Q99" i="18"/>
  <c r="Q101" i="18"/>
  <c r="I200" i="18"/>
  <c r="J200" i="18" s="1"/>
  <c r="I201" i="18" s="1"/>
  <c r="J201" i="18" s="1"/>
  <c r="J202" i="18" s="1"/>
  <c r="Q134" i="18"/>
  <c r="Q135" i="18"/>
  <c r="Q89" i="18"/>
  <c r="Q95" i="18"/>
  <c r="AC14" i="18"/>
  <c r="AE14" i="18"/>
  <c r="Q92" i="18"/>
  <c r="Q131" i="18"/>
  <c r="Q130" i="18"/>
  <c r="Q93" i="18"/>
  <c r="P88" i="18"/>
  <c r="P87" i="18"/>
  <c r="E88" i="18"/>
  <c r="F88" i="18"/>
  <c r="H88" i="18"/>
  <c r="I88" i="18"/>
  <c r="J88" i="18"/>
  <c r="K88" i="18"/>
  <c r="L88" i="18"/>
  <c r="M88" i="18"/>
  <c r="N88" i="18"/>
  <c r="O88" i="18"/>
  <c r="G88" i="18"/>
  <c r="G87" i="18"/>
  <c r="H128" i="18"/>
  <c r="I128" i="18"/>
  <c r="J128" i="18"/>
  <c r="K128" i="18"/>
  <c r="L128" i="18"/>
  <c r="M128" i="18"/>
  <c r="N128" i="18"/>
  <c r="O128" i="18"/>
  <c r="P128" i="18"/>
  <c r="G128" i="18"/>
  <c r="H127" i="18"/>
  <c r="I127" i="18"/>
  <c r="J127" i="18"/>
  <c r="K127" i="18"/>
  <c r="L127" i="18"/>
  <c r="M127" i="18"/>
  <c r="N127" i="18"/>
  <c r="O127" i="18"/>
  <c r="P127" i="18"/>
  <c r="G127" i="18"/>
  <c r="H124" i="18"/>
  <c r="I124" i="18"/>
  <c r="J124" i="18"/>
  <c r="K124" i="18"/>
  <c r="L124" i="18"/>
  <c r="M124" i="18"/>
  <c r="N124" i="18"/>
  <c r="O124" i="18"/>
  <c r="P124" i="18"/>
  <c r="G124" i="18"/>
  <c r="H125" i="18"/>
  <c r="I125" i="18"/>
  <c r="J125" i="18"/>
  <c r="K125" i="18"/>
  <c r="L125" i="18"/>
  <c r="M125" i="18"/>
  <c r="N125" i="18"/>
  <c r="O125" i="18"/>
  <c r="P125" i="18"/>
  <c r="G125" i="18"/>
  <c r="H123" i="18"/>
  <c r="I123" i="18"/>
  <c r="J123" i="18"/>
  <c r="K123" i="18"/>
  <c r="L123" i="18"/>
  <c r="M123" i="18"/>
  <c r="N123" i="18"/>
  <c r="O123" i="18"/>
  <c r="P123" i="18"/>
  <c r="G123" i="18"/>
  <c r="H122" i="18"/>
  <c r="I122" i="18"/>
  <c r="J122" i="18"/>
  <c r="K122" i="18"/>
  <c r="L122" i="18"/>
  <c r="M122" i="18"/>
  <c r="N122" i="18"/>
  <c r="O122" i="18"/>
  <c r="P122" i="18"/>
  <c r="G122" i="18"/>
  <c r="H119" i="18"/>
  <c r="I119" i="18"/>
  <c r="J119" i="18"/>
  <c r="K119" i="18"/>
  <c r="L119" i="18"/>
  <c r="M119" i="18"/>
  <c r="N119" i="18"/>
  <c r="O119" i="18"/>
  <c r="P119" i="18"/>
  <c r="G119" i="18"/>
  <c r="H118" i="18"/>
  <c r="I118" i="18"/>
  <c r="J118" i="18"/>
  <c r="K118" i="18"/>
  <c r="L118" i="18"/>
  <c r="M118" i="18"/>
  <c r="N118" i="18"/>
  <c r="O118" i="18"/>
  <c r="P118" i="18"/>
  <c r="G118" i="18"/>
  <c r="H117" i="18"/>
  <c r="I117" i="18"/>
  <c r="J117" i="18"/>
  <c r="K117" i="18"/>
  <c r="L117" i="18"/>
  <c r="M117" i="18"/>
  <c r="N117" i="18"/>
  <c r="O117" i="18"/>
  <c r="P117" i="18"/>
  <c r="G117" i="18"/>
  <c r="B119" i="18"/>
  <c r="B118" i="18"/>
  <c r="AD32" i="18"/>
  <c r="R32" i="18"/>
  <c r="S32" i="18" s="1"/>
  <c r="T32" i="18" s="1"/>
  <c r="U32" i="18" s="1"/>
  <c r="V32" i="18" s="1"/>
  <c r="W32" i="18" s="1"/>
  <c r="X32" i="18" s="1"/>
  <c r="Y32" i="18" s="1"/>
  <c r="Z32" i="18" s="1"/>
  <c r="AA32" i="18" s="1"/>
  <c r="AB32" i="18" s="1"/>
  <c r="Q32" i="18"/>
  <c r="G107" i="18"/>
  <c r="H107" i="18"/>
  <c r="I107" i="18"/>
  <c r="J107" i="18"/>
  <c r="K107" i="18"/>
  <c r="L107" i="18"/>
  <c r="M107" i="18"/>
  <c r="N107" i="18"/>
  <c r="O107" i="18"/>
  <c r="P107" i="18"/>
  <c r="S203" i="18"/>
  <c r="N202" i="18"/>
  <c r="S200" i="18"/>
  <c r="T200" i="18" s="1"/>
  <c r="T205" i="18" s="1"/>
  <c r="N200" i="18"/>
  <c r="O200" i="18" s="1"/>
  <c r="O205" i="18" s="1"/>
  <c r="F115" i="18"/>
  <c r="H115" i="18"/>
  <c r="I115" i="18"/>
  <c r="J115" i="18"/>
  <c r="K115" i="18"/>
  <c r="L115" i="18"/>
  <c r="M115" i="18"/>
  <c r="N115" i="18"/>
  <c r="O115" i="18"/>
  <c r="P115" i="18"/>
  <c r="G115" i="18"/>
  <c r="F114" i="18"/>
  <c r="H114" i="18"/>
  <c r="I114" i="18"/>
  <c r="J114" i="18"/>
  <c r="K114" i="18"/>
  <c r="L114" i="18"/>
  <c r="M114" i="18"/>
  <c r="N114" i="18"/>
  <c r="O114" i="18"/>
  <c r="P114" i="18"/>
  <c r="G114" i="18"/>
  <c r="Q125" i="18" l="1"/>
  <c r="Q88" i="18"/>
  <c r="Q122" i="18"/>
  <c r="Q128" i="18"/>
  <c r="Q127" i="18"/>
  <c r="Q123" i="18"/>
  <c r="Q124" i="18"/>
  <c r="Q117" i="18"/>
  <c r="Q118" i="18"/>
  <c r="Q119" i="18"/>
  <c r="Q107" i="18"/>
  <c r="AC32" i="18"/>
  <c r="AE32" i="18"/>
  <c r="N205" i="18"/>
  <c r="S205" i="18"/>
  <c r="Q115" i="18"/>
  <c r="Q114" i="18"/>
  <c r="R9" i="18"/>
  <c r="R10" i="18"/>
  <c r="R12" i="18"/>
  <c r="R13" i="18"/>
  <c r="R15" i="18"/>
  <c r="R16" i="18"/>
  <c r="R18" i="18"/>
  <c r="R20" i="18"/>
  <c r="R21" i="18"/>
  <c r="R22" i="18"/>
  <c r="R23" i="18"/>
  <c r="R25" i="18"/>
  <c r="R27" i="18"/>
  <c r="R29" i="18"/>
  <c r="R31" i="18"/>
  <c r="S31" i="18" s="1"/>
  <c r="T31" i="18" s="1"/>
  <c r="U31" i="18" s="1"/>
  <c r="V31" i="18" s="1"/>
  <c r="W31" i="18" s="1"/>
  <c r="X31" i="18" s="1"/>
  <c r="Y31" i="18" s="1"/>
  <c r="Z31" i="18" s="1"/>
  <c r="AA31" i="18" s="1"/>
  <c r="AB31" i="18" s="1"/>
  <c r="R33" i="18"/>
  <c r="R34" i="18"/>
  <c r="R36" i="18"/>
  <c r="R40" i="18"/>
  <c r="R7" i="18"/>
  <c r="R6" i="18"/>
  <c r="AD9" i="18"/>
  <c r="AD10" i="18"/>
  <c r="AD11" i="18"/>
  <c r="AD12" i="18"/>
  <c r="AD13" i="18"/>
  <c r="AD15" i="18"/>
  <c r="AD16" i="18"/>
  <c r="AD18" i="18"/>
  <c r="AD20" i="18"/>
  <c r="AD21" i="18"/>
  <c r="AD22" i="18"/>
  <c r="AD23" i="18"/>
  <c r="AD25" i="18"/>
  <c r="AD27" i="18"/>
  <c r="AD29" i="18"/>
  <c r="AD31" i="18"/>
  <c r="AD33" i="18"/>
  <c r="AD34" i="18"/>
  <c r="AD36" i="18"/>
  <c r="AD40" i="18"/>
  <c r="AD42" i="18"/>
  <c r="AD44" i="18"/>
  <c r="AD50" i="18"/>
  <c r="AD51" i="18"/>
  <c r="AD53" i="18"/>
  <c r="AD55" i="18"/>
  <c r="AD56" i="18"/>
  <c r="AD57" i="18"/>
  <c r="AD59" i="18"/>
  <c r="AD60" i="18"/>
  <c r="AD61" i="18"/>
  <c r="AD63" i="18"/>
  <c r="AD64" i="18"/>
  <c r="AD65" i="18"/>
  <c r="AD66" i="18"/>
  <c r="AD68" i="18"/>
  <c r="AD69" i="18"/>
  <c r="AD71" i="18"/>
  <c r="AD73" i="18"/>
  <c r="AD74" i="18"/>
  <c r="AD75" i="18"/>
  <c r="AD76" i="18"/>
  <c r="AD77" i="18"/>
  <c r="AD79" i="18"/>
  <c r="AD80" i="18"/>
  <c r="AD81" i="18"/>
  <c r="AD7" i="18"/>
  <c r="AD6" i="18"/>
  <c r="Q104" i="18" l="1"/>
  <c r="H91" i="18"/>
  <c r="H97" i="18" s="1"/>
  <c r="I91" i="18"/>
  <c r="I97" i="18" s="1"/>
  <c r="J91" i="18"/>
  <c r="J97" i="18" s="1"/>
  <c r="K91" i="18"/>
  <c r="K97" i="18" s="1"/>
  <c r="L91" i="18"/>
  <c r="L97" i="18" s="1"/>
  <c r="M91" i="18"/>
  <c r="M97" i="18" s="1"/>
  <c r="N91" i="18"/>
  <c r="N97" i="18" s="1"/>
  <c r="O91" i="18"/>
  <c r="O97" i="18" s="1"/>
  <c r="P91" i="18"/>
  <c r="P97" i="18" s="1"/>
  <c r="H94" i="18"/>
  <c r="H100" i="18" s="1"/>
  <c r="I94" i="18"/>
  <c r="I100" i="18" s="1"/>
  <c r="J94" i="18"/>
  <c r="J100" i="18" s="1"/>
  <c r="K94" i="18"/>
  <c r="K100" i="18" s="1"/>
  <c r="L94" i="18"/>
  <c r="L100" i="18" s="1"/>
  <c r="M94" i="18"/>
  <c r="M100" i="18" s="1"/>
  <c r="N94" i="18"/>
  <c r="N100" i="18" s="1"/>
  <c r="O94" i="18"/>
  <c r="O100" i="18" s="1"/>
  <c r="P94" i="18"/>
  <c r="P100" i="18" s="1"/>
  <c r="G94" i="18"/>
  <c r="G100" i="18" s="1"/>
  <c r="G91" i="18"/>
  <c r="G97" i="18" s="1"/>
  <c r="S29" i="18"/>
  <c r="Q29" i="18"/>
  <c r="L30" i="18"/>
  <c r="K30" i="18"/>
  <c r="J30" i="18"/>
  <c r="I30" i="18"/>
  <c r="H30" i="18"/>
  <c r="G30" i="18"/>
  <c r="Q97" i="18" l="1"/>
  <c r="Q100" i="18"/>
  <c r="T29" i="18"/>
  <c r="Q94" i="18"/>
  <c r="Q91" i="18"/>
  <c r="H106" i="18"/>
  <c r="I106" i="18"/>
  <c r="J106" i="18"/>
  <c r="K106" i="18"/>
  <c r="L106" i="18"/>
  <c r="M106" i="18"/>
  <c r="N106" i="18"/>
  <c r="O106" i="18"/>
  <c r="P106" i="18"/>
  <c r="G106" i="18"/>
  <c r="H105" i="18"/>
  <c r="I105" i="18"/>
  <c r="J105" i="18"/>
  <c r="K105" i="18"/>
  <c r="L105" i="18"/>
  <c r="M105" i="18"/>
  <c r="N105" i="18"/>
  <c r="O105" i="18"/>
  <c r="P105" i="18"/>
  <c r="G105" i="18"/>
  <c r="U29" i="18" l="1"/>
  <c r="Q105" i="18"/>
  <c r="Q106" i="18"/>
  <c r="AE68" i="18"/>
  <c r="V29" i="18" l="1"/>
  <c r="C176" i="18"/>
  <c r="D176" i="18"/>
  <c r="E176" i="18"/>
  <c r="F176" i="18"/>
  <c r="G176" i="18"/>
  <c r="H176" i="18"/>
  <c r="I176" i="18"/>
  <c r="J176" i="18"/>
  <c r="K176" i="18"/>
  <c r="L176" i="18"/>
  <c r="M176" i="18"/>
  <c r="N176" i="18"/>
  <c r="O176" i="18"/>
  <c r="P176" i="18"/>
  <c r="C9" i="15"/>
  <c r="D69" i="18"/>
  <c r="E69" i="18"/>
  <c r="E109" i="18" s="1"/>
  <c r="E110" i="18" s="1"/>
  <c r="F69" i="18"/>
  <c r="F109" i="18" s="1"/>
  <c r="F110" i="18" s="1"/>
  <c r="G69" i="18"/>
  <c r="G109" i="18" s="1"/>
  <c r="G110" i="18" s="1"/>
  <c r="H69" i="18"/>
  <c r="H109" i="18" s="1"/>
  <c r="H110" i="18" s="1"/>
  <c r="I69" i="18"/>
  <c r="I109" i="18" s="1"/>
  <c r="I110" i="18" s="1"/>
  <c r="J69" i="18"/>
  <c r="J109" i="18" s="1"/>
  <c r="J110" i="18" s="1"/>
  <c r="K69" i="18"/>
  <c r="K109" i="18" s="1"/>
  <c r="K110" i="18" s="1"/>
  <c r="L69" i="18"/>
  <c r="L109" i="18" s="1"/>
  <c r="L110" i="18" s="1"/>
  <c r="M69" i="18"/>
  <c r="M109" i="18" s="1"/>
  <c r="M110" i="18" s="1"/>
  <c r="N69" i="18"/>
  <c r="N109" i="18" s="1"/>
  <c r="N110" i="18" s="1"/>
  <c r="O69" i="18"/>
  <c r="O109" i="18" s="1"/>
  <c r="O110" i="18" s="1"/>
  <c r="P69" i="18"/>
  <c r="P109" i="18" s="1"/>
  <c r="C69" i="18"/>
  <c r="S44" i="18"/>
  <c r="Q44" i="18"/>
  <c r="S69" i="18" l="1"/>
  <c r="S109" i="18" s="1"/>
  <c r="S110" i="18" s="1"/>
  <c r="W29" i="18"/>
  <c r="Q176" i="18"/>
  <c r="N111" i="18"/>
  <c r="N112" i="18" s="1"/>
  <c r="J111" i="18"/>
  <c r="J112" i="18" s="1"/>
  <c r="L111" i="18"/>
  <c r="L112" i="18" s="1"/>
  <c r="H111" i="18"/>
  <c r="H112" i="18" s="1"/>
  <c r="M111" i="18"/>
  <c r="M112" i="18" s="1"/>
  <c r="I111" i="18"/>
  <c r="I112" i="18" s="1"/>
  <c r="F111" i="18"/>
  <c r="F112" i="18" s="1"/>
  <c r="O111" i="18"/>
  <c r="O112" i="18" s="1"/>
  <c r="K111" i="18"/>
  <c r="K112" i="18" s="1"/>
  <c r="G111" i="18"/>
  <c r="G112" i="18" s="1"/>
  <c r="P110" i="18"/>
  <c r="Q109" i="18"/>
  <c r="T44" i="18"/>
  <c r="U44" i="18" l="1"/>
  <c r="X29" i="18"/>
  <c r="P111" i="18"/>
  <c r="Q110" i="18"/>
  <c r="T69" i="18"/>
  <c r="C79" i="18"/>
  <c r="D79" i="18"/>
  <c r="E79" i="18"/>
  <c r="F79" i="18"/>
  <c r="G79" i="18"/>
  <c r="G132" i="18" s="1"/>
  <c r="H79" i="18"/>
  <c r="H132" i="18" s="1"/>
  <c r="I79" i="18"/>
  <c r="I132" i="18" s="1"/>
  <c r="J79" i="18"/>
  <c r="J132" i="18" s="1"/>
  <c r="K79" i="18"/>
  <c r="K132" i="18" s="1"/>
  <c r="L79" i="18"/>
  <c r="L132" i="18" s="1"/>
  <c r="M79" i="18"/>
  <c r="M132" i="18" s="1"/>
  <c r="N79" i="18"/>
  <c r="N132" i="18" s="1"/>
  <c r="O79" i="18"/>
  <c r="O132" i="18" s="1"/>
  <c r="C80" i="18"/>
  <c r="D80" i="18"/>
  <c r="E80" i="18"/>
  <c r="F80" i="18"/>
  <c r="G80" i="18"/>
  <c r="H80" i="18"/>
  <c r="I80" i="18"/>
  <c r="J80" i="18"/>
  <c r="K80" i="18"/>
  <c r="L80" i="18"/>
  <c r="M80" i="18"/>
  <c r="N80" i="18"/>
  <c r="O80" i="18"/>
  <c r="C81" i="18"/>
  <c r="D81" i="18"/>
  <c r="E81" i="18"/>
  <c r="F81" i="18"/>
  <c r="G81" i="18"/>
  <c r="H81" i="18"/>
  <c r="I81" i="18"/>
  <c r="J81" i="18"/>
  <c r="K81" i="18"/>
  <c r="L81" i="18"/>
  <c r="M81" i="18"/>
  <c r="N81" i="18"/>
  <c r="O81" i="18"/>
  <c r="P81" i="18"/>
  <c r="P80" i="18"/>
  <c r="P79" i="18"/>
  <c r="P132" i="18" s="1"/>
  <c r="E87" i="18"/>
  <c r="F87" i="18"/>
  <c r="H87" i="18"/>
  <c r="I87" i="18"/>
  <c r="J87" i="18"/>
  <c r="K87" i="18"/>
  <c r="L87" i="18"/>
  <c r="M87" i="18"/>
  <c r="N87" i="18"/>
  <c r="O87" i="18"/>
  <c r="E85" i="18"/>
  <c r="E86" i="18"/>
  <c r="F86" i="18"/>
  <c r="G86" i="18"/>
  <c r="H86" i="18"/>
  <c r="I86" i="18"/>
  <c r="J86" i="18"/>
  <c r="K86" i="18"/>
  <c r="L86" i="18"/>
  <c r="M86" i="18"/>
  <c r="N86" i="18"/>
  <c r="O86" i="18"/>
  <c r="F85" i="18"/>
  <c r="G85" i="18"/>
  <c r="H85" i="18"/>
  <c r="I85" i="18"/>
  <c r="J85" i="18"/>
  <c r="K85" i="18"/>
  <c r="L85" i="18"/>
  <c r="M85" i="18"/>
  <c r="N85" i="18"/>
  <c r="O85" i="18"/>
  <c r="P86" i="18"/>
  <c r="G41" i="18"/>
  <c r="G28" i="18"/>
  <c r="G11" i="18"/>
  <c r="G8" i="18"/>
  <c r="G26" i="18"/>
  <c r="V44" i="18" l="1"/>
  <c r="U69" i="18"/>
  <c r="Q132" i="18"/>
  <c r="Y29" i="18"/>
  <c r="Q81" i="18"/>
  <c r="Q79" i="18"/>
  <c r="Q80" i="18"/>
  <c r="Q86" i="18"/>
  <c r="Q87" i="18"/>
  <c r="P85" i="18"/>
  <c r="Q85" i="18" s="1"/>
  <c r="C191" i="18"/>
  <c r="D191" i="18"/>
  <c r="E191" i="18"/>
  <c r="F191" i="18"/>
  <c r="C192" i="18"/>
  <c r="D192" i="18"/>
  <c r="E192" i="18"/>
  <c r="F192" i="18"/>
  <c r="C193" i="18"/>
  <c r="D193" i="18"/>
  <c r="E193" i="18"/>
  <c r="F193" i="18"/>
  <c r="H193" i="18"/>
  <c r="I193" i="18"/>
  <c r="J193" i="18"/>
  <c r="K193" i="18"/>
  <c r="L193" i="18"/>
  <c r="M193" i="18"/>
  <c r="N193" i="18"/>
  <c r="O193" i="18"/>
  <c r="P193" i="18"/>
  <c r="G193" i="18"/>
  <c r="H192" i="18"/>
  <c r="I192" i="18"/>
  <c r="J192" i="18"/>
  <c r="K192" i="18"/>
  <c r="L192" i="18"/>
  <c r="M192" i="18"/>
  <c r="N192" i="18"/>
  <c r="O192" i="18"/>
  <c r="P192" i="18"/>
  <c r="G192" i="18"/>
  <c r="H191" i="18"/>
  <c r="I191" i="18"/>
  <c r="J191" i="18"/>
  <c r="K191" i="18"/>
  <c r="L191" i="18"/>
  <c r="M191" i="18"/>
  <c r="N191" i="18"/>
  <c r="O191" i="18"/>
  <c r="P191" i="18"/>
  <c r="G191" i="18"/>
  <c r="H51" i="18"/>
  <c r="I51" i="18"/>
  <c r="J51" i="18"/>
  <c r="K51" i="18"/>
  <c r="L51" i="18"/>
  <c r="M51" i="18"/>
  <c r="N51" i="18"/>
  <c r="O51" i="18"/>
  <c r="P51" i="18"/>
  <c r="C51" i="18"/>
  <c r="D51" i="18"/>
  <c r="E51" i="18"/>
  <c r="F51" i="18"/>
  <c r="G51" i="18"/>
  <c r="G53" i="18"/>
  <c r="G175" i="18" s="1"/>
  <c r="H50" i="18"/>
  <c r="H169" i="18" s="1"/>
  <c r="I50" i="18"/>
  <c r="I169" i="18" s="1"/>
  <c r="J50" i="18"/>
  <c r="J169" i="18" s="1"/>
  <c r="K50" i="18"/>
  <c r="K169" i="18" s="1"/>
  <c r="L50" i="18"/>
  <c r="L169" i="18" s="1"/>
  <c r="M50" i="18"/>
  <c r="M169" i="18" s="1"/>
  <c r="N50" i="18"/>
  <c r="N169" i="18" s="1"/>
  <c r="O50" i="18"/>
  <c r="O169" i="18" s="1"/>
  <c r="P50" i="18"/>
  <c r="P169" i="18" s="1"/>
  <c r="C50" i="18"/>
  <c r="C169" i="18" s="1"/>
  <c r="D50" i="18"/>
  <c r="D169" i="18" s="1"/>
  <c r="E50" i="18"/>
  <c r="E169" i="18" s="1"/>
  <c r="F169" i="18"/>
  <c r="G50" i="18"/>
  <c r="G169" i="18" s="1"/>
  <c r="M28" i="18"/>
  <c r="L28" i="18"/>
  <c r="K28" i="18"/>
  <c r="J28" i="18"/>
  <c r="I28" i="18"/>
  <c r="H28" i="18"/>
  <c r="M26" i="18"/>
  <c r="K26" i="18"/>
  <c r="J26" i="18"/>
  <c r="I26" i="18"/>
  <c r="H26" i="18"/>
  <c r="I8" i="18"/>
  <c r="J8" i="18"/>
  <c r="K8" i="18"/>
  <c r="L8" i="18"/>
  <c r="M8" i="18"/>
  <c r="N8" i="18"/>
  <c r="O8" i="18"/>
  <c r="P8" i="18"/>
  <c r="H8" i="18"/>
  <c r="Q42" i="18"/>
  <c r="S36" i="18"/>
  <c r="S92" i="18" s="1"/>
  <c r="S98" i="18" s="1"/>
  <c r="Q36" i="18"/>
  <c r="W44" i="18" l="1"/>
  <c r="V69" i="18"/>
  <c r="Q169" i="18"/>
  <c r="Z29" i="18"/>
  <c r="T36" i="18"/>
  <c r="T92" i="18" s="1"/>
  <c r="T98" i="18" s="1"/>
  <c r="Q193" i="18"/>
  <c r="Q51" i="18"/>
  <c r="Q50" i="18"/>
  <c r="Q192" i="18"/>
  <c r="Q191" i="18"/>
  <c r="Q31" i="18"/>
  <c r="Q34" i="18"/>
  <c r="X44" i="18" l="1"/>
  <c r="W69" i="18"/>
  <c r="AA29" i="18"/>
  <c r="U36" i="18"/>
  <c r="U92" i="18" s="1"/>
  <c r="U98" i="18" s="1"/>
  <c r="I76" i="18"/>
  <c r="J76" i="18"/>
  <c r="K76" i="18"/>
  <c r="L76" i="18"/>
  <c r="M76" i="18"/>
  <c r="N76" i="18"/>
  <c r="O76" i="18"/>
  <c r="P76" i="18"/>
  <c r="I77" i="18"/>
  <c r="J77" i="18"/>
  <c r="K77" i="18"/>
  <c r="L77" i="18"/>
  <c r="M77" i="18"/>
  <c r="N77" i="18"/>
  <c r="O77" i="18"/>
  <c r="P77" i="18"/>
  <c r="I71" i="18"/>
  <c r="I73" i="18" s="1"/>
  <c r="J71" i="18"/>
  <c r="J73" i="18" s="1"/>
  <c r="K71" i="18"/>
  <c r="K73" i="18" s="1"/>
  <c r="L71" i="18"/>
  <c r="L73" i="18" s="1"/>
  <c r="M71" i="18"/>
  <c r="M73" i="18" s="1"/>
  <c r="N71" i="18"/>
  <c r="N73" i="18" s="1"/>
  <c r="O71" i="18"/>
  <c r="O73" i="18" s="1"/>
  <c r="P71" i="18"/>
  <c r="P73" i="18" s="1"/>
  <c r="I74" i="18"/>
  <c r="J74" i="18"/>
  <c r="K74" i="18"/>
  <c r="L74" i="18"/>
  <c r="M74" i="18"/>
  <c r="N74" i="18"/>
  <c r="O74" i="18"/>
  <c r="P74" i="18"/>
  <c r="I75" i="18"/>
  <c r="J75" i="18"/>
  <c r="K75" i="18"/>
  <c r="L75" i="18"/>
  <c r="M75" i="18"/>
  <c r="N75" i="18"/>
  <c r="O75" i="18"/>
  <c r="P75" i="18"/>
  <c r="C74" i="18"/>
  <c r="D74" i="18"/>
  <c r="E74" i="18"/>
  <c r="F74" i="18"/>
  <c r="G74" i="18"/>
  <c r="C75" i="18"/>
  <c r="D75" i="18"/>
  <c r="E75" i="18"/>
  <c r="F75" i="18"/>
  <c r="G75" i="18"/>
  <c r="C76" i="18"/>
  <c r="D76" i="18"/>
  <c r="E76" i="18"/>
  <c r="F76" i="18"/>
  <c r="G76" i="18"/>
  <c r="C77" i="18"/>
  <c r="D77" i="18"/>
  <c r="E77" i="18"/>
  <c r="F77" i="18"/>
  <c r="G77" i="18"/>
  <c r="H77" i="18"/>
  <c r="H76" i="18"/>
  <c r="S23" i="18"/>
  <c r="Q23" i="18"/>
  <c r="S22" i="18"/>
  <c r="T22" i="18" s="1"/>
  <c r="U22" i="18" s="1"/>
  <c r="V22" i="18" s="1"/>
  <c r="W22" i="18" s="1"/>
  <c r="X22" i="18" s="1"/>
  <c r="Y22" i="18" s="1"/>
  <c r="Z22" i="18" s="1"/>
  <c r="AA22" i="18" s="1"/>
  <c r="AB22" i="18" s="1"/>
  <c r="S21" i="18"/>
  <c r="Q20" i="18"/>
  <c r="C71" i="18"/>
  <c r="C73" i="18" s="1"/>
  <c r="D71" i="18"/>
  <c r="D73" i="18" s="1"/>
  <c r="E71" i="18"/>
  <c r="E73" i="18" s="1"/>
  <c r="F71" i="18"/>
  <c r="F73" i="18" s="1"/>
  <c r="G71" i="18"/>
  <c r="G73" i="18" s="1"/>
  <c r="H71" i="18"/>
  <c r="H73" i="18" s="1"/>
  <c r="H75" i="18"/>
  <c r="H74" i="18"/>
  <c r="Y44" i="18" l="1"/>
  <c r="X69" i="18"/>
  <c r="T23" i="18"/>
  <c r="S95" i="18"/>
  <c r="S101" i="18" s="1"/>
  <c r="AB29" i="18"/>
  <c r="AE31" i="18"/>
  <c r="AC31" i="18"/>
  <c r="AC22" i="18"/>
  <c r="AE22" i="18"/>
  <c r="V36" i="18"/>
  <c r="V92" i="18" s="1"/>
  <c r="V98" i="18" s="1"/>
  <c r="Q76" i="18"/>
  <c r="Q77" i="18"/>
  <c r="Q75" i="18"/>
  <c r="Q73" i="18"/>
  <c r="Q74" i="18"/>
  <c r="Q22" i="18"/>
  <c r="Q21" i="18"/>
  <c r="Q71" i="18"/>
  <c r="S20" i="18"/>
  <c r="S54" i="18" s="1"/>
  <c r="T21" i="18"/>
  <c r="Q69" i="18"/>
  <c r="Q168" i="18"/>
  <c r="Y69" i="18" l="1"/>
  <c r="Z44" i="18"/>
  <c r="U23" i="18"/>
  <c r="T95" i="18"/>
  <c r="T101" i="18" s="1"/>
  <c r="AE29" i="18"/>
  <c r="AC29" i="18"/>
  <c r="T20" i="18"/>
  <c r="S71" i="18"/>
  <c r="U21" i="18"/>
  <c r="C19" i="15"/>
  <c r="S9" i="18"/>
  <c r="T9" i="18" s="1"/>
  <c r="U9" i="18" s="1"/>
  <c r="V9" i="18" s="1"/>
  <c r="W9" i="18" s="1"/>
  <c r="X9" i="18" s="1"/>
  <c r="Y9" i="18" s="1"/>
  <c r="Z9" i="18" s="1"/>
  <c r="AA9" i="18" s="1"/>
  <c r="AB9" i="18" s="1"/>
  <c r="AE9" i="18" s="1"/>
  <c r="Q40" i="18"/>
  <c r="Q33" i="18"/>
  <c r="Q27" i="18"/>
  <c r="Q25" i="18"/>
  <c r="Q18" i="18"/>
  <c r="Q16" i="18"/>
  <c r="Q15" i="18"/>
  <c r="Q13" i="18"/>
  <c r="Q12" i="18"/>
  <c r="Q10" i="18"/>
  <c r="Q9" i="18"/>
  <c r="Q7" i="18"/>
  <c r="Q6" i="18"/>
  <c r="S18" i="18"/>
  <c r="S25" i="18"/>
  <c r="S89" i="18" s="1"/>
  <c r="S27" i="18"/>
  <c r="S33" i="18"/>
  <c r="T33" i="18" s="1"/>
  <c r="U33" i="18" s="1"/>
  <c r="V33" i="18" s="1"/>
  <c r="W33" i="18" s="1"/>
  <c r="X33" i="18" s="1"/>
  <c r="Y33" i="18" s="1"/>
  <c r="Z33" i="18" s="1"/>
  <c r="AA33" i="18" s="1"/>
  <c r="AB33" i="18" s="1"/>
  <c r="AE33" i="18" s="1"/>
  <c r="S34" i="18"/>
  <c r="T34" i="18" s="1"/>
  <c r="U34" i="18" s="1"/>
  <c r="V34" i="18" s="1"/>
  <c r="W34" i="18" s="1"/>
  <c r="X34" i="18" s="1"/>
  <c r="Y34" i="18" s="1"/>
  <c r="Z34" i="18" s="1"/>
  <c r="AA34" i="18" s="1"/>
  <c r="AB34" i="18" s="1"/>
  <c r="AE34" i="18" s="1"/>
  <c r="W36" i="18"/>
  <c r="W92" i="18" s="1"/>
  <c r="W98" i="18" s="1"/>
  <c r="O67" i="18"/>
  <c r="O173" i="18" s="1"/>
  <c r="O66" i="18"/>
  <c r="O64" i="18"/>
  <c r="O63" i="18"/>
  <c r="O61" i="18"/>
  <c r="O174" i="18" s="1"/>
  <c r="O60" i="18"/>
  <c r="O59" i="18"/>
  <c r="O57" i="18"/>
  <c r="O56" i="18"/>
  <c r="O171" i="18" s="1"/>
  <c r="O55" i="18"/>
  <c r="O53" i="18"/>
  <c r="Z69" i="18" l="1"/>
  <c r="AA44" i="18"/>
  <c r="T71" i="18"/>
  <c r="S124" i="18"/>
  <c r="S134" i="18"/>
  <c r="S125" i="18"/>
  <c r="S135" i="18"/>
  <c r="V23" i="18"/>
  <c r="U95" i="18"/>
  <c r="U101" i="18" s="1"/>
  <c r="S118" i="18"/>
  <c r="S119" i="18"/>
  <c r="S117" i="18"/>
  <c r="S107" i="18"/>
  <c r="P112" i="18"/>
  <c r="Q112" i="18" s="1"/>
  <c r="Q111" i="18"/>
  <c r="S91" i="18"/>
  <c r="S97" i="18" s="1"/>
  <c r="S115" i="18"/>
  <c r="S114" i="18"/>
  <c r="T18" i="18"/>
  <c r="O170" i="18"/>
  <c r="O175" i="18"/>
  <c r="U20" i="18"/>
  <c r="T27" i="18"/>
  <c r="X36" i="18"/>
  <c r="X92" i="18" s="1"/>
  <c r="X98" i="18" s="1"/>
  <c r="T25" i="18"/>
  <c r="T89" i="18" s="1"/>
  <c r="S85" i="18"/>
  <c r="V21" i="18"/>
  <c r="AC33" i="18"/>
  <c r="AC34" i="18"/>
  <c r="AC9" i="18"/>
  <c r="O65" i="18"/>
  <c r="O172" i="18" s="1"/>
  <c r="D61" i="18"/>
  <c r="E61" i="18"/>
  <c r="F61" i="18"/>
  <c r="G61" i="18"/>
  <c r="G174" i="18" s="1"/>
  <c r="H61" i="18"/>
  <c r="H174" i="18" s="1"/>
  <c r="I61" i="18"/>
  <c r="I174" i="18" s="1"/>
  <c r="J61" i="18"/>
  <c r="J174" i="18" s="1"/>
  <c r="K61" i="18"/>
  <c r="K174" i="18" s="1"/>
  <c r="L61" i="18"/>
  <c r="L174" i="18" s="1"/>
  <c r="M61" i="18"/>
  <c r="M174" i="18" s="1"/>
  <c r="N61" i="18"/>
  <c r="N174" i="18" s="1"/>
  <c r="P61" i="18"/>
  <c r="C61" i="18"/>
  <c r="C60" i="18"/>
  <c r="AB44" i="18" l="1"/>
  <c r="AA69" i="18"/>
  <c r="T125" i="18"/>
  <c r="T135" i="18"/>
  <c r="T124" i="18"/>
  <c r="T134" i="18"/>
  <c r="W23" i="18"/>
  <c r="V95" i="18"/>
  <c r="V101" i="18" s="1"/>
  <c r="T117" i="18"/>
  <c r="T119" i="18"/>
  <c r="T118" i="18"/>
  <c r="T107" i="18"/>
  <c r="T91" i="18"/>
  <c r="T97" i="18" s="1"/>
  <c r="T115" i="18"/>
  <c r="T114" i="18"/>
  <c r="U18" i="18"/>
  <c r="V20" i="18"/>
  <c r="U71" i="18"/>
  <c r="U27" i="18"/>
  <c r="U25" i="18"/>
  <c r="T85" i="18"/>
  <c r="Y36" i="18"/>
  <c r="Y92" i="18" s="1"/>
  <c r="Y98" i="18" s="1"/>
  <c r="W21" i="18"/>
  <c r="P174" i="18"/>
  <c r="Q174" i="18" s="1"/>
  <c r="Q61" i="18"/>
  <c r="D60" i="18"/>
  <c r="E60" i="18"/>
  <c r="F60" i="18"/>
  <c r="G60" i="18"/>
  <c r="H60" i="18"/>
  <c r="I60" i="18"/>
  <c r="J60" i="18"/>
  <c r="K60" i="18"/>
  <c r="L60" i="18"/>
  <c r="M60" i="18"/>
  <c r="N60" i="18"/>
  <c r="P60" i="18"/>
  <c r="D59" i="18"/>
  <c r="E59" i="18"/>
  <c r="F59" i="18"/>
  <c r="G59" i="18"/>
  <c r="H59" i="18"/>
  <c r="I59" i="18"/>
  <c r="J59" i="18"/>
  <c r="K59" i="18"/>
  <c r="L59" i="18"/>
  <c r="M59" i="18"/>
  <c r="N59" i="18"/>
  <c r="P59" i="18"/>
  <c r="C59" i="18"/>
  <c r="AE44" i="18" l="1"/>
  <c r="AB69" i="18"/>
  <c r="AC44" i="18"/>
  <c r="U124" i="18"/>
  <c r="U134" i="18"/>
  <c r="U125" i="18"/>
  <c r="U135" i="18"/>
  <c r="U89" i="18"/>
  <c r="X23" i="18"/>
  <c r="W95" i="18"/>
  <c r="W101" i="18" s="1"/>
  <c r="U119" i="18"/>
  <c r="U118" i="18"/>
  <c r="U117" i="18"/>
  <c r="U107" i="18"/>
  <c r="U91" i="18"/>
  <c r="U97" i="18" s="1"/>
  <c r="U115" i="18"/>
  <c r="U114" i="18"/>
  <c r="V18" i="18"/>
  <c r="W20" i="18"/>
  <c r="V71" i="18"/>
  <c r="V27" i="18"/>
  <c r="V25" i="18"/>
  <c r="V89" i="18" s="1"/>
  <c r="U85" i="18"/>
  <c r="Z36" i="18"/>
  <c r="Z92" i="18" s="1"/>
  <c r="Z98" i="18" s="1"/>
  <c r="X21" i="18"/>
  <c r="Q59" i="18"/>
  <c r="Q60" i="18"/>
  <c r="C46" i="15"/>
  <c r="S156" i="18" l="1"/>
  <c r="AE69" i="18"/>
  <c r="T156" i="18" s="1"/>
  <c r="AC69" i="18"/>
  <c r="V125" i="18"/>
  <c r="V135" i="18"/>
  <c r="V124" i="18"/>
  <c r="V134" i="18"/>
  <c r="Y23" i="18"/>
  <c r="X95" i="18"/>
  <c r="X101" i="18" s="1"/>
  <c r="V107" i="18"/>
  <c r="V119" i="18"/>
  <c r="V118" i="18"/>
  <c r="V117" i="18"/>
  <c r="V91" i="18"/>
  <c r="V97" i="18" s="1"/>
  <c r="V115" i="18"/>
  <c r="V114" i="18"/>
  <c r="W18" i="18"/>
  <c r="X20" i="18"/>
  <c r="W71" i="18"/>
  <c r="W27" i="18"/>
  <c r="W25" i="18"/>
  <c r="V85" i="18"/>
  <c r="AA36" i="18"/>
  <c r="AA92" i="18" s="1"/>
  <c r="AA98" i="18" s="1"/>
  <c r="Y21" i="18"/>
  <c r="S176" i="18"/>
  <c r="C53" i="18"/>
  <c r="D53" i="18"/>
  <c r="E53" i="18"/>
  <c r="F53" i="18"/>
  <c r="H53" i="18"/>
  <c r="I53" i="18"/>
  <c r="J53" i="18"/>
  <c r="K53" i="18"/>
  <c r="L53" i="18"/>
  <c r="L175" i="18" s="1"/>
  <c r="M53" i="18"/>
  <c r="N53" i="18"/>
  <c r="N175" i="18" s="1"/>
  <c r="P53" i="18"/>
  <c r="D67" i="18"/>
  <c r="D173" i="18" s="1"/>
  <c r="E67" i="18"/>
  <c r="E173" i="18" s="1"/>
  <c r="F67" i="18"/>
  <c r="F173" i="18" s="1"/>
  <c r="G67" i="18"/>
  <c r="H67" i="18"/>
  <c r="H173" i="18" s="1"/>
  <c r="I67" i="18"/>
  <c r="I173" i="18" s="1"/>
  <c r="J67" i="18"/>
  <c r="J173" i="18" s="1"/>
  <c r="K67" i="18"/>
  <c r="K173" i="18" s="1"/>
  <c r="L67" i="18"/>
  <c r="L173" i="18" s="1"/>
  <c r="M67" i="18"/>
  <c r="M173" i="18" s="1"/>
  <c r="N67" i="18"/>
  <c r="P67" i="18"/>
  <c r="D66" i="18"/>
  <c r="E66" i="18"/>
  <c r="F66" i="18"/>
  <c r="G66" i="18"/>
  <c r="H66" i="18"/>
  <c r="I66" i="18"/>
  <c r="J66" i="18"/>
  <c r="K66" i="18"/>
  <c r="L66" i="18"/>
  <c r="M66" i="18"/>
  <c r="N66" i="18"/>
  <c r="P66" i="18"/>
  <c r="D64" i="18"/>
  <c r="E64" i="18"/>
  <c r="F64" i="18"/>
  <c r="G64" i="18"/>
  <c r="H64" i="18"/>
  <c r="I64" i="18"/>
  <c r="J64" i="18"/>
  <c r="K64" i="18"/>
  <c r="L64" i="18"/>
  <c r="M64" i="18"/>
  <c r="N64" i="18"/>
  <c r="P64" i="18"/>
  <c r="D63" i="18"/>
  <c r="D65" i="18" s="1"/>
  <c r="D172" i="18" s="1"/>
  <c r="E63" i="18"/>
  <c r="E65" i="18" s="1"/>
  <c r="E172" i="18" s="1"/>
  <c r="F63" i="18"/>
  <c r="G63" i="18"/>
  <c r="H63" i="18"/>
  <c r="I63" i="18"/>
  <c r="J63" i="18"/>
  <c r="K63" i="18"/>
  <c r="L63" i="18"/>
  <c r="M63" i="18"/>
  <c r="N63" i="18"/>
  <c r="P63" i="18"/>
  <c r="D57" i="18"/>
  <c r="E57" i="18"/>
  <c r="F57" i="18"/>
  <c r="G57" i="18"/>
  <c r="H57" i="18"/>
  <c r="I57" i="18"/>
  <c r="J57" i="18"/>
  <c r="K57" i="18"/>
  <c r="L57" i="18"/>
  <c r="M57" i="18"/>
  <c r="N57" i="18"/>
  <c r="P57" i="18"/>
  <c r="D56" i="18"/>
  <c r="D171" i="18" s="1"/>
  <c r="E56" i="18"/>
  <c r="E171" i="18" s="1"/>
  <c r="F56" i="18"/>
  <c r="F171" i="18" s="1"/>
  <c r="G56" i="18"/>
  <c r="H56" i="18"/>
  <c r="H171" i="18" s="1"/>
  <c r="I56" i="18"/>
  <c r="I171" i="18" s="1"/>
  <c r="J56" i="18"/>
  <c r="J171" i="18" s="1"/>
  <c r="K56" i="18"/>
  <c r="K171" i="18" s="1"/>
  <c r="L56" i="18"/>
  <c r="L171" i="18" s="1"/>
  <c r="M56" i="18"/>
  <c r="M171" i="18" s="1"/>
  <c r="N56" i="18"/>
  <c r="P56" i="18"/>
  <c r="C67" i="18"/>
  <c r="C173" i="18" s="1"/>
  <c r="C66" i="18"/>
  <c r="C64" i="18"/>
  <c r="C63" i="18"/>
  <c r="C57" i="18"/>
  <c r="C56" i="18"/>
  <c r="C171" i="18" s="1"/>
  <c r="D55" i="18"/>
  <c r="E55" i="18"/>
  <c r="F55" i="18"/>
  <c r="G55" i="18"/>
  <c r="H55" i="18"/>
  <c r="I55" i="18"/>
  <c r="J55" i="18"/>
  <c r="K55" i="18"/>
  <c r="L55" i="18"/>
  <c r="M55" i="18"/>
  <c r="N55" i="18"/>
  <c r="P55" i="18"/>
  <c r="C55" i="18"/>
  <c r="S15" i="18"/>
  <c r="S122" i="18" s="1"/>
  <c r="S16" i="18"/>
  <c r="S130" i="18" s="1"/>
  <c r="S131" i="18" s="1"/>
  <c r="S40" i="18"/>
  <c r="S93" i="18" s="1"/>
  <c r="S99" i="18" s="1"/>
  <c r="S10" i="18"/>
  <c r="S12" i="18"/>
  <c r="S13" i="18"/>
  <c r="S7" i="18"/>
  <c r="S6" i="18"/>
  <c r="P188" i="18" l="1"/>
  <c r="S104" i="18"/>
  <c r="R156" i="18"/>
  <c r="P180" i="18" s="1"/>
  <c r="W124" i="18"/>
  <c r="W134" i="18"/>
  <c r="W89" i="18"/>
  <c r="W125" i="18"/>
  <c r="W135" i="18"/>
  <c r="Z23" i="18"/>
  <c r="Y95" i="18"/>
  <c r="Y101" i="18" s="1"/>
  <c r="S87" i="18"/>
  <c r="S88" i="18"/>
  <c r="S128" i="18"/>
  <c r="S127" i="18"/>
  <c r="S94" i="18"/>
  <c r="S100" i="18" s="1"/>
  <c r="S123" i="18"/>
  <c r="H175" i="18"/>
  <c r="H170" i="18"/>
  <c r="W107" i="18"/>
  <c r="W118" i="18"/>
  <c r="W117" i="18"/>
  <c r="W119" i="18"/>
  <c r="S106" i="18"/>
  <c r="S111" i="18"/>
  <c r="S112" i="18" s="1"/>
  <c r="W91" i="18"/>
  <c r="W97" i="18" s="1"/>
  <c r="W115" i="18"/>
  <c r="W114" i="18"/>
  <c r="S105" i="18"/>
  <c r="X18" i="18"/>
  <c r="D170" i="18"/>
  <c r="D174" i="18" s="1"/>
  <c r="D175" i="18"/>
  <c r="E170" i="18"/>
  <c r="E174" i="18" s="1"/>
  <c r="E175" i="18"/>
  <c r="C170" i="18"/>
  <c r="C174" i="18" s="1"/>
  <c r="C175" i="18"/>
  <c r="P170" i="18"/>
  <c r="P175" i="18"/>
  <c r="Q175" i="18" s="1"/>
  <c r="K170" i="18"/>
  <c r="K175" i="18"/>
  <c r="F170" i="18"/>
  <c r="F174" i="18" s="1"/>
  <c r="F175" i="18"/>
  <c r="J170" i="18"/>
  <c r="J175" i="18"/>
  <c r="M170" i="18"/>
  <c r="M175" i="18"/>
  <c r="I170" i="18"/>
  <c r="I175" i="18"/>
  <c r="Q138" i="18"/>
  <c r="Y20" i="18"/>
  <c r="X71" i="18"/>
  <c r="H65" i="18"/>
  <c r="H172" i="18" s="1"/>
  <c r="X27" i="18"/>
  <c r="T12" i="18"/>
  <c r="T15" i="18"/>
  <c r="T122" i="18" s="1"/>
  <c r="T13" i="18"/>
  <c r="T10" i="18"/>
  <c r="T16" i="18"/>
  <c r="T130" i="18" s="1"/>
  <c r="T131" i="18" s="1"/>
  <c r="T6" i="18"/>
  <c r="T7" i="18"/>
  <c r="X25" i="18"/>
  <c r="X89" i="18" s="1"/>
  <c r="W85" i="18"/>
  <c r="T40" i="18"/>
  <c r="T93" i="18" s="1"/>
  <c r="T99" i="18" s="1"/>
  <c r="S86" i="18"/>
  <c r="AB36" i="18"/>
  <c r="F65" i="18"/>
  <c r="F172" i="18" s="1"/>
  <c r="L65" i="18"/>
  <c r="L172" i="18" s="1"/>
  <c r="K65" i="18"/>
  <c r="K172" i="18" s="1"/>
  <c r="J65" i="18"/>
  <c r="J172" i="18" s="1"/>
  <c r="Z21" i="18"/>
  <c r="C65" i="18"/>
  <c r="C172" i="18" s="1"/>
  <c r="T168" i="18"/>
  <c r="T176" i="18" s="1"/>
  <c r="I65" i="18"/>
  <c r="I172" i="18" s="1"/>
  <c r="Q55" i="18"/>
  <c r="G171" i="18"/>
  <c r="Q56" i="18"/>
  <c r="Q57" i="18"/>
  <c r="Q64" i="18"/>
  <c r="Q66" i="18"/>
  <c r="G170" i="18"/>
  <c r="Q53" i="18"/>
  <c r="G173" i="18"/>
  <c r="Q67" i="18"/>
  <c r="G65" i="18"/>
  <c r="Q63" i="18"/>
  <c r="N171" i="18"/>
  <c r="N170" i="18"/>
  <c r="N173" i="18"/>
  <c r="P171" i="18"/>
  <c r="L170" i="18"/>
  <c r="N65" i="18"/>
  <c r="M65" i="18"/>
  <c r="M172" i="18" s="1"/>
  <c r="P173" i="18"/>
  <c r="P65" i="18"/>
  <c r="S64" i="18"/>
  <c r="C6" i="12"/>
  <c r="C26" i="15"/>
  <c r="C58" i="15"/>
  <c r="C57" i="15"/>
  <c r="C54" i="15"/>
  <c r="C53" i="15"/>
  <c r="C50" i="15"/>
  <c r="C49" i="15"/>
  <c r="C45" i="15"/>
  <c r="P187" i="18" l="1"/>
  <c r="S187" i="18"/>
  <c r="T104" i="18"/>
  <c r="X124" i="18"/>
  <c r="X134" i="18"/>
  <c r="X125" i="18"/>
  <c r="X135" i="18"/>
  <c r="AE36" i="18"/>
  <c r="AB92" i="18"/>
  <c r="AA23" i="18"/>
  <c r="Z95" i="18"/>
  <c r="Z101" i="18" s="1"/>
  <c r="T128" i="18"/>
  <c r="T127" i="18"/>
  <c r="T94" i="18"/>
  <c r="T100" i="18" s="1"/>
  <c r="T123" i="18"/>
  <c r="T88" i="18"/>
  <c r="X117" i="18"/>
  <c r="X118" i="18"/>
  <c r="X119" i="18"/>
  <c r="X107" i="18"/>
  <c r="X91" i="18"/>
  <c r="X97" i="18" s="1"/>
  <c r="X115" i="18"/>
  <c r="X114" i="18"/>
  <c r="T105" i="18"/>
  <c r="T106" i="18"/>
  <c r="Y18" i="18"/>
  <c r="Z20" i="18"/>
  <c r="Y71" i="18"/>
  <c r="S63" i="18"/>
  <c r="S80" i="18"/>
  <c r="S59" i="18"/>
  <c r="S61" i="18"/>
  <c r="S174" i="18" s="1"/>
  <c r="S67" i="18"/>
  <c r="S173" i="18" s="1"/>
  <c r="S77" i="18"/>
  <c r="S79" i="18"/>
  <c r="S132" i="18" s="1"/>
  <c r="S51" i="18"/>
  <c r="S50" i="18"/>
  <c r="S169" i="18" s="1"/>
  <c r="S60" i="18"/>
  <c r="S56" i="18"/>
  <c r="S57" i="18"/>
  <c r="S66" i="18"/>
  <c r="S55" i="18"/>
  <c r="S81" i="18"/>
  <c r="S53" i="18"/>
  <c r="Y27" i="18"/>
  <c r="U15" i="18"/>
  <c r="U122" i="18" s="1"/>
  <c r="U13" i="18"/>
  <c r="U12" i="18"/>
  <c r="S65" i="18"/>
  <c r="U16" i="18"/>
  <c r="U130" i="18" s="1"/>
  <c r="U131" i="18" s="1"/>
  <c r="U10" i="18"/>
  <c r="U7" i="18"/>
  <c r="U6" i="18"/>
  <c r="AC36" i="18"/>
  <c r="Y25" i="18"/>
  <c r="Y89" i="18" s="1"/>
  <c r="X85" i="18"/>
  <c r="U40" i="18"/>
  <c r="U93" i="18" s="1"/>
  <c r="U99" i="18" s="1"/>
  <c r="T87" i="18"/>
  <c r="T86" i="18"/>
  <c r="T42" i="18"/>
  <c r="S74" i="18"/>
  <c r="S75" i="18"/>
  <c r="S76" i="18"/>
  <c r="S73" i="18"/>
  <c r="AA21" i="18"/>
  <c r="U168" i="18"/>
  <c r="U176" i="18" s="1"/>
  <c r="Q171" i="18"/>
  <c r="Q170" i="18"/>
  <c r="Q173" i="18"/>
  <c r="G172" i="18"/>
  <c r="Q65" i="18"/>
  <c r="N172" i="18"/>
  <c r="P172" i="18"/>
  <c r="C16" i="15"/>
  <c r="C21" i="15"/>
  <c r="C10" i="15"/>
  <c r="S175" i="18" l="1"/>
  <c r="S188" i="18"/>
  <c r="AC92" i="18"/>
  <c r="AB98" i="18"/>
  <c r="AC98" i="18" s="1"/>
  <c r="T187" i="18"/>
  <c r="U187" i="18" s="1"/>
  <c r="V187" i="18" s="1"/>
  <c r="W187" i="18" s="1"/>
  <c r="X187" i="18" s="1"/>
  <c r="Y187" i="18" s="1"/>
  <c r="Z187" i="18" s="1"/>
  <c r="AA187" i="18" s="1"/>
  <c r="AB187" i="18" s="1"/>
  <c r="AC187" i="18" s="1"/>
  <c r="S186" i="18"/>
  <c r="U104" i="18"/>
  <c r="T109" i="18"/>
  <c r="T110" i="18" s="1"/>
  <c r="T111" i="18" s="1"/>
  <c r="T112" i="18" s="1"/>
  <c r="T54" i="18"/>
  <c r="Y124" i="18"/>
  <c r="Y134" i="18"/>
  <c r="Y125" i="18"/>
  <c r="Y135" i="18"/>
  <c r="AB23" i="18"/>
  <c r="AA95" i="18"/>
  <c r="AA101" i="18" s="1"/>
  <c r="U94" i="18"/>
  <c r="U100" i="18" s="1"/>
  <c r="U123" i="18"/>
  <c r="U128" i="18"/>
  <c r="U127" i="18"/>
  <c r="U88" i="18"/>
  <c r="Y119" i="18"/>
  <c r="Y118" i="18"/>
  <c r="Y117" i="18"/>
  <c r="Y107" i="18"/>
  <c r="T63" i="18"/>
  <c r="Y91" i="18"/>
  <c r="Y97" i="18" s="1"/>
  <c r="Y115" i="18"/>
  <c r="Y114" i="18"/>
  <c r="U105" i="18"/>
  <c r="U106" i="18"/>
  <c r="T59" i="18"/>
  <c r="Z18" i="18"/>
  <c r="AA20" i="18"/>
  <c r="Z71" i="18"/>
  <c r="T61" i="18"/>
  <c r="T174" i="18" s="1"/>
  <c r="T67" i="18"/>
  <c r="T173" i="18" s="1"/>
  <c r="T77" i="18"/>
  <c r="T79" i="18"/>
  <c r="T132" i="18" s="1"/>
  <c r="T50" i="18"/>
  <c r="T169" i="18" s="1"/>
  <c r="T51" i="18"/>
  <c r="T56" i="18"/>
  <c r="T55" i="18"/>
  <c r="T66" i="18"/>
  <c r="T81" i="18"/>
  <c r="T60" i="18"/>
  <c r="T57" i="18"/>
  <c r="T53" i="18"/>
  <c r="T175" i="18" s="1"/>
  <c r="T64" i="18"/>
  <c r="T80" i="18"/>
  <c r="Z27" i="18"/>
  <c r="V13" i="18"/>
  <c r="V12" i="18"/>
  <c r="V15" i="18"/>
  <c r="V122" i="18" s="1"/>
  <c r="V10" i="18"/>
  <c r="V16" i="18"/>
  <c r="V130" i="18" s="1"/>
  <c r="V131" i="18" s="1"/>
  <c r="V6" i="18"/>
  <c r="V7" i="18"/>
  <c r="V40" i="18"/>
  <c r="V93" i="18" s="1"/>
  <c r="V99" i="18" s="1"/>
  <c r="U87" i="18"/>
  <c r="U86" i="18"/>
  <c r="Z25" i="18"/>
  <c r="Z89" i="18" s="1"/>
  <c r="Y85" i="18"/>
  <c r="U42" i="18"/>
  <c r="T76" i="18"/>
  <c r="T75" i="18"/>
  <c r="T74" i="18"/>
  <c r="T73" i="18"/>
  <c r="AB21" i="18"/>
  <c r="AE21" i="18" s="1"/>
  <c r="S172" i="18"/>
  <c r="V168" i="18"/>
  <c r="V176" i="18" s="1"/>
  <c r="S170" i="18"/>
  <c r="S171" i="18"/>
  <c r="Q172" i="18"/>
  <c r="D31" i="8"/>
  <c r="D29" i="8"/>
  <c r="D28" i="8"/>
  <c r="D13" i="8"/>
  <c r="D30" i="8" s="1"/>
  <c r="E14" i="8"/>
  <c r="F14" i="8" s="1"/>
  <c r="G14" i="8" s="1"/>
  <c r="H14" i="8" s="1"/>
  <c r="I14" i="8" s="1"/>
  <c r="T188" i="18" l="1"/>
  <c r="U188" i="18" s="1"/>
  <c r="V188" i="18" s="1"/>
  <c r="W188" i="18" s="1"/>
  <c r="X188" i="18" s="1"/>
  <c r="Y188" i="18" s="1"/>
  <c r="Z188" i="18" s="1"/>
  <c r="AA188" i="18" s="1"/>
  <c r="AB188" i="18" s="1"/>
  <c r="AC188" i="18" s="1"/>
  <c r="AD188" i="18" s="1"/>
  <c r="AE188" i="18" s="1"/>
  <c r="AF188" i="18" s="1"/>
  <c r="AG188" i="18" s="1"/>
  <c r="AH188" i="18" s="1"/>
  <c r="AI188" i="18" s="1"/>
  <c r="AJ188" i="18" s="1"/>
  <c r="AK188" i="18" s="1"/>
  <c r="AL188" i="18" s="1"/>
  <c r="AM188" i="18" s="1"/>
  <c r="AN188" i="18" s="1"/>
  <c r="AO188" i="18" s="1"/>
  <c r="AP188" i="18" s="1"/>
  <c r="AQ188" i="18" s="1"/>
  <c r="AR188" i="18" s="1"/>
  <c r="AS188" i="18" s="1"/>
  <c r="S189" i="18"/>
  <c r="T186" i="18"/>
  <c r="U186" i="18" s="1"/>
  <c r="V186" i="18" s="1"/>
  <c r="W186" i="18" s="1"/>
  <c r="X186" i="18" s="1"/>
  <c r="Y186" i="18" s="1"/>
  <c r="Z186" i="18" s="1"/>
  <c r="AA186" i="18" s="1"/>
  <c r="AB186" i="18" s="1"/>
  <c r="AC186" i="18" s="1"/>
  <c r="AD187" i="18"/>
  <c r="AE187" i="18" s="1"/>
  <c r="AF187" i="18" s="1"/>
  <c r="AG187" i="18" s="1"/>
  <c r="AH187" i="18" s="1"/>
  <c r="AI187" i="18" s="1"/>
  <c r="AJ187" i="18" s="1"/>
  <c r="AK187" i="18" s="1"/>
  <c r="AL187" i="18" s="1"/>
  <c r="AM187" i="18" s="1"/>
  <c r="AN187" i="18" s="1"/>
  <c r="AO187" i="18" s="1"/>
  <c r="AP187" i="18" s="1"/>
  <c r="AQ187" i="18" s="1"/>
  <c r="AR187" i="18" s="1"/>
  <c r="AS187" i="18" s="1"/>
  <c r="V104" i="18"/>
  <c r="U109" i="18"/>
  <c r="U110" i="18" s="1"/>
  <c r="U111" i="18" s="1"/>
  <c r="U112" i="18" s="1"/>
  <c r="U54" i="18"/>
  <c r="Z124" i="18"/>
  <c r="Z134" i="18"/>
  <c r="Z125" i="18"/>
  <c r="Z135" i="18"/>
  <c r="AE23" i="18"/>
  <c r="AB95" i="18"/>
  <c r="AC23" i="18"/>
  <c r="V88" i="18"/>
  <c r="V127" i="18"/>
  <c r="V128" i="18"/>
  <c r="V94" i="18"/>
  <c r="V100" i="18" s="1"/>
  <c r="V123" i="18"/>
  <c r="Z119" i="18"/>
  <c r="Z118" i="18"/>
  <c r="Z117" i="18"/>
  <c r="Z107" i="18"/>
  <c r="U63" i="18"/>
  <c r="T65" i="18"/>
  <c r="T172" i="18" s="1"/>
  <c r="Z91" i="18"/>
  <c r="Z97" i="18" s="1"/>
  <c r="Z115" i="18"/>
  <c r="Z114" i="18"/>
  <c r="V106" i="18"/>
  <c r="V105" i="18"/>
  <c r="AA18" i="18"/>
  <c r="AB20" i="18"/>
  <c r="AA71" i="18"/>
  <c r="U81" i="18"/>
  <c r="U80" i="18"/>
  <c r="U59" i="18"/>
  <c r="U67" i="18"/>
  <c r="U173" i="18" s="1"/>
  <c r="U66" i="18"/>
  <c r="U61" i="18"/>
  <c r="U174" i="18" s="1"/>
  <c r="U64" i="18"/>
  <c r="U55" i="18"/>
  <c r="U77" i="18"/>
  <c r="U79" i="18"/>
  <c r="U132" i="18" s="1"/>
  <c r="U51" i="18"/>
  <c r="U50" i="18"/>
  <c r="U169" i="18" s="1"/>
  <c r="U60" i="18"/>
  <c r="U56" i="18"/>
  <c r="U57" i="18"/>
  <c r="U53" i="18"/>
  <c r="U175" i="18" s="1"/>
  <c r="AA27" i="18"/>
  <c r="W12" i="18"/>
  <c r="W15" i="18"/>
  <c r="W122" i="18" s="1"/>
  <c r="W13" i="18"/>
  <c r="W16" i="18"/>
  <c r="W130" i="18" s="1"/>
  <c r="W131" i="18" s="1"/>
  <c r="W10" i="18"/>
  <c r="W7" i="18"/>
  <c r="W6" i="18"/>
  <c r="AA25" i="18"/>
  <c r="Z85" i="18"/>
  <c r="W40" i="18"/>
  <c r="W93" i="18" s="1"/>
  <c r="W99" i="18" s="1"/>
  <c r="V86" i="18"/>
  <c r="V87" i="18"/>
  <c r="V42" i="18"/>
  <c r="U76" i="18"/>
  <c r="U74" i="18"/>
  <c r="U75" i="18"/>
  <c r="U73" i="18"/>
  <c r="AC21" i="18"/>
  <c r="W168" i="18"/>
  <c r="W176" i="18" s="1"/>
  <c r="T170" i="18"/>
  <c r="T171" i="18"/>
  <c r="I7" i="12"/>
  <c r="F7" i="12"/>
  <c r="H39" i="12"/>
  <c r="L25" i="12"/>
  <c r="L26" i="12" s="1"/>
  <c r="L27" i="12" s="1"/>
  <c r="L28" i="12" s="1"/>
  <c r="L29" i="12" s="1"/>
  <c r="L30" i="12" s="1"/>
  <c r="L31" i="12" s="1"/>
  <c r="L32" i="12" s="1"/>
  <c r="L33" i="12" s="1"/>
  <c r="L34" i="12" s="1"/>
  <c r="L39" i="12" s="1"/>
  <c r="I25" i="12"/>
  <c r="I26" i="12" s="1"/>
  <c r="I27" i="12" s="1"/>
  <c r="I28" i="12" s="1"/>
  <c r="I29" i="12" s="1"/>
  <c r="I30" i="12" s="1"/>
  <c r="I31" i="12" s="1"/>
  <c r="I32" i="12" s="1"/>
  <c r="I33" i="12" s="1"/>
  <c r="I34" i="12" s="1"/>
  <c r="F24" i="12"/>
  <c r="G24" i="12" s="1"/>
  <c r="K25" i="12" s="1"/>
  <c r="K26" i="12" s="1"/>
  <c r="K27" i="12" s="1"/>
  <c r="K28" i="12" s="1"/>
  <c r="K29" i="12" s="1"/>
  <c r="K30" i="12" s="1"/>
  <c r="K31" i="12" s="1"/>
  <c r="K32" i="12" s="1"/>
  <c r="K33" i="12" s="1"/>
  <c r="K34" i="12" s="1"/>
  <c r="K40" i="12" s="1"/>
  <c r="F23" i="12"/>
  <c r="G23" i="12" s="1"/>
  <c r="F22" i="12"/>
  <c r="G22" i="12" s="1"/>
  <c r="F21" i="12"/>
  <c r="G21" i="12" s="1"/>
  <c r="F20" i="12"/>
  <c r="G20" i="12" s="1"/>
  <c r="F19" i="12"/>
  <c r="G19" i="12" s="1"/>
  <c r="F18" i="12"/>
  <c r="G18" i="12" s="1"/>
  <c r="F17" i="12"/>
  <c r="G17" i="12" s="1"/>
  <c r="F16" i="12"/>
  <c r="G16" i="12" s="1"/>
  <c r="F15" i="12"/>
  <c r="G15" i="12" s="1"/>
  <c r="F14" i="12"/>
  <c r="G14" i="12" s="1"/>
  <c r="F13" i="12"/>
  <c r="G13" i="12" s="1"/>
  <c r="T189" i="18" l="1"/>
  <c r="U189" i="18" s="1"/>
  <c r="V189" i="18" s="1"/>
  <c r="W189" i="18" s="1"/>
  <c r="X189" i="18" s="1"/>
  <c r="Y189" i="18" s="1"/>
  <c r="Z189" i="18" s="1"/>
  <c r="AA189" i="18" s="1"/>
  <c r="AB189" i="18" s="1"/>
  <c r="AC189" i="18" s="1"/>
  <c r="AD189" i="18" s="1"/>
  <c r="AE189" i="18" s="1"/>
  <c r="AF189" i="18" s="1"/>
  <c r="AG189" i="18" s="1"/>
  <c r="AH189" i="18" s="1"/>
  <c r="AI189" i="18" s="1"/>
  <c r="AJ189" i="18" s="1"/>
  <c r="AK189" i="18" s="1"/>
  <c r="AL189" i="18" s="1"/>
  <c r="AM189" i="18" s="1"/>
  <c r="AN189" i="18" s="1"/>
  <c r="AO189" i="18" s="1"/>
  <c r="AP189" i="18" s="1"/>
  <c r="AQ189" i="18" s="1"/>
  <c r="AR189" i="18" s="1"/>
  <c r="AS189" i="18" s="1"/>
  <c r="AD186" i="18"/>
  <c r="AE186" i="18" s="1"/>
  <c r="AF186" i="18" s="1"/>
  <c r="AG186" i="18" s="1"/>
  <c r="AH186" i="18" s="1"/>
  <c r="AI186" i="18" s="1"/>
  <c r="AJ186" i="18" s="1"/>
  <c r="AK186" i="18" s="1"/>
  <c r="AL186" i="18" s="1"/>
  <c r="AM186" i="18" s="1"/>
  <c r="AN186" i="18" s="1"/>
  <c r="AO186" i="18" s="1"/>
  <c r="AP186" i="18" s="1"/>
  <c r="AQ186" i="18" s="1"/>
  <c r="AR186" i="18" s="1"/>
  <c r="AS186" i="18" s="1"/>
  <c r="AC95" i="18"/>
  <c r="AB101" i="18"/>
  <c r="AC101" i="18" s="1"/>
  <c r="W104" i="18"/>
  <c r="V109" i="18"/>
  <c r="V110" i="18" s="1"/>
  <c r="V111" i="18" s="1"/>
  <c r="V112" i="18" s="1"/>
  <c r="V54" i="18"/>
  <c r="AA124" i="18"/>
  <c r="AA134" i="18"/>
  <c r="AA125" i="18"/>
  <c r="AA135" i="18"/>
  <c r="AE20" i="18"/>
  <c r="AA89" i="18"/>
  <c r="W128" i="18"/>
  <c r="W127" i="18"/>
  <c r="W94" i="18"/>
  <c r="W100" i="18" s="1"/>
  <c r="W123" i="18"/>
  <c r="W88" i="18"/>
  <c r="AA118" i="18"/>
  <c r="AA117" i="18"/>
  <c r="AA119" i="18"/>
  <c r="AA107" i="18"/>
  <c r="U65" i="18"/>
  <c r="U172" i="18" s="1"/>
  <c r="AA91" i="18"/>
  <c r="AA97" i="18" s="1"/>
  <c r="AA115" i="18"/>
  <c r="AA114" i="18"/>
  <c r="V66" i="18"/>
  <c r="W106" i="18"/>
  <c r="W105" i="18"/>
  <c r="AB18" i="18"/>
  <c r="V81" i="18"/>
  <c r="V57" i="18"/>
  <c r="V64" i="18"/>
  <c r="AC20" i="18"/>
  <c r="AB71" i="18"/>
  <c r="V55" i="18"/>
  <c r="V63" i="18"/>
  <c r="V60" i="18"/>
  <c r="V80" i="18"/>
  <c r="V56" i="18"/>
  <c r="V61" i="18"/>
  <c r="V174" i="18" s="1"/>
  <c r="V77" i="18"/>
  <c r="V79" i="18"/>
  <c r="V132" i="18" s="1"/>
  <c r="V50" i="18"/>
  <c r="V169" i="18" s="1"/>
  <c r="V51" i="18"/>
  <c r="V59" i="18"/>
  <c r="V67" i="18"/>
  <c r="V173" i="18" s="1"/>
  <c r="V53" i="18"/>
  <c r="V175" i="18" s="1"/>
  <c r="AB27" i="18"/>
  <c r="AB135" i="18" s="1"/>
  <c r="AC135" i="18" s="1"/>
  <c r="X15" i="18"/>
  <c r="X122" i="18" s="1"/>
  <c r="X13" i="18"/>
  <c r="X12" i="18"/>
  <c r="X10" i="18"/>
  <c r="X16" i="18"/>
  <c r="X130" i="18" s="1"/>
  <c r="X131" i="18" s="1"/>
  <c r="X6" i="18"/>
  <c r="X7" i="18"/>
  <c r="X40" i="18"/>
  <c r="X93" i="18" s="1"/>
  <c r="X99" i="18" s="1"/>
  <c r="W87" i="18"/>
  <c r="W86" i="18"/>
  <c r="AB25" i="18"/>
  <c r="AB89" i="18" s="1"/>
  <c r="AC89" i="18" s="1"/>
  <c r="AA85" i="18"/>
  <c r="W42" i="18"/>
  <c r="V76" i="18"/>
  <c r="V74" i="18"/>
  <c r="V75" i="18"/>
  <c r="V73" i="18"/>
  <c r="X168" i="18"/>
  <c r="X176" i="18" s="1"/>
  <c r="U170" i="18"/>
  <c r="U171" i="18"/>
  <c r="G40" i="12"/>
  <c r="J25" i="12"/>
  <c r="J26" i="12" s="1"/>
  <c r="J27" i="12" s="1"/>
  <c r="J28" i="12" s="1"/>
  <c r="J29" i="12" s="1"/>
  <c r="J30" i="12" s="1"/>
  <c r="J31" i="12" s="1"/>
  <c r="J32" i="12" s="1"/>
  <c r="J33" i="12" s="1"/>
  <c r="J34" i="12" s="1"/>
  <c r="K37" i="12" s="1"/>
  <c r="N10" i="11"/>
  <c r="H44" i="11"/>
  <c r="I41" i="11"/>
  <c r="F41" i="11"/>
  <c r="G41" i="11" s="1"/>
  <c r="K41" i="11" s="1"/>
  <c r="I40" i="11"/>
  <c r="F40" i="11"/>
  <c r="G40" i="11" s="1"/>
  <c r="K40" i="11" s="1"/>
  <c r="I39" i="11"/>
  <c r="F39" i="11"/>
  <c r="G39" i="11" s="1"/>
  <c r="K39" i="11" s="1"/>
  <c r="I38" i="11"/>
  <c r="F38" i="11"/>
  <c r="G38" i="11" s="1"/>
  <c r="K38" i="11" s="1"/>
  <c r="I37" i="11"/>
  <c r="F37" i="11"/>
  <c r="G37" i="11" s="1"/>
  <c r="K37" i="11" s="1"/>
  <c r="I36" i="11"/>
  <c r="F36" i="11"/>
  <c r="G36" i="11" s="1"/>
  <c r="K36" i="11" s="1"/>
  <c r="I35" i="11"/>
  <c r="F35" i="11"/>
  <c r="G35" i="11" s="1"/>
  <c r="K35" i="11" s="1"/>
  <c r="I34" i="11"/>
  <c r="F34" i="11"/>
  <c r="G34" i="11" s="1"/>
  <c r="K34" i="11" s="1"/>
  <c r="I33" i="11"/>
  <c r="F33" i="11"/>
  <c r="G33" i="11" s="1"/>
  <c r="K33" i="11" s="1"/>
  <c r="I32" i="11"/>
  <c r="F32" i="11"/>
  <c r="G32" i="11" s="1"/>
  <c r="K32" i="11" s="1"/>
  <c r="N31" i="11"/>
  <c r="Q31" i="11" s="1"/>
  <c r="I31" i="11"/>
  <c r="F31" i="11"/>
  <c r="G31" i="11" s="1"/>
  <c r="I30" i="11"/>
  <c r="F30" i="11"/>
  <c r="G30" i="11" s="1"/>
  <c r="K30" i="11" s="1"/>
  <c r="I29" i="11"/>
  <c r="D22" i="11"/>
  <c r="L19" i="11"/>
  <c r="K11" i="11"/>
  <c r="K12" i="11" s="1"/>
  <c r="K9" i="11"/>
  <c r="H44" i="9"/>
  <c r="N31" i="9"/>
  <c r="P31" i="9" s="1"/>
  <c r="I29" i="9"/>
  <c r="I30" i="9"/>
  <c r="I32" i="9"/>
  <c r="I33" i="9"/>
  <c r="I34" i="9"/>
  <c r="I35" i="9"/>
  <c r="I36" i="9"/>
  <c r="I37" i="9"/>
  <c r="I38" i="9"/>
  <c r="I39" i="9"/>
  <c r="I40" i="9"/>
  <c r="I41" i="9"/>
  <c r="I31" i="9"/>
  <c r="F31" i="9"/>
  <c r="G31" i="9" s="1"/>
  <c r="K31" i="9" s="1"/>
  <c r="L31" i="9" s="1"/>
  <c r="F32" i="9"/>
  <c r="G32" i="9" s="1"/>
  <c r="K32" i="9" s="1"/>
  <c r="F33" i="9"/>
  <c r="G33" i="9" s="1"/>
  <c r="K33" i="9" s="1"/>
  <c r="F34" i="9"/>
  <c r="G34" i="9" s="1"/>
  <c r="K34" i="9" s="1"/>
  <c r="F35" i="9"/>
  <c r="G35" i="9" s="1"/>
  <c r="K35" i="9" s="1"/>
  <c r="F36" i="9"/>
  <c r="G36" i="9" s="1"/>
  <c r="K36" i="9" s="1"/>
  <c r="F37" i="9"/>
  <c r="G37" i="9" s="1"/>
  <c r="K37" i="9" s="1"/>
  <c r="F38" i="9"/>
  <c r="G38" i="9" s="1"/>
  <c r="K38" i="9" s="1"/>
  <c r="F39" i="9"/>
  <c r="G39" i="9" s="1"/>
  <c r="K39" i="9" s="1"/>
  <c r="F40" i="9"/>
  <c r="G40" i="9" s="1"/>
  <c r="K40" i="9" s="1"/>
  <c r="F41" i="9"/>
  <c r="G41" i="9" s="1"/>
  <c r="K41" i="9" s="1"/>
  <c r="F30" i="9"/>
  <c r="G30" i="9" s="1"/>
  <c r="K30" i="9" s="1"/>
  <c r="X104" i="18" l="1"/>
  <c r="W109" i="18"/>
  <c r="W110" i="18" s="1"/>
  <c r="W111" i="18" s="1"/>
  <c r="W112" i="18" s="1"/>
  <c r="W54" i="18"/>
  <c r="AB124" i="18"/>
  <c r="AC124" i="18" s="1"/>
  <c r="AB134" i="18"/>
  <c r="AC134" i="18" s="1"/>
  <c r="X94" i="18"/>
  <c r="X100" i="18" s="1"/>
  <c r="X123" i="18"/>
  <c r="X128" i="18"/>
  <c r="X127" i="18"/>
  <c r="AE27" i="18"/>
  <c r="AB125" i="18"/>
  <c r="AC125" i="18" s="1"/>
  <c r="X88" i="18"/>
  <c r="AB117" i="18"/>
  <c r="AC117" i="18" s="1"/>
  <c r="AB119" i="18"/>
  <c r="AC119" i="18" s="1"/>
  <c r="AB118" i="18"/>
  <c r="AC118" i="18" s="1"/>
  <c r="N32" i="9"/>
  <c r="N33" i="9" s="1"/>
  <c r="N34" i="9" s="1"/>
  <c r="N35" i="9" s="1"/>
  <c r="N36" i="9" s="1"/>
  <c r="N37" i="9" s="1"/>
  <c r="N38" i="9" s="1"/>
  <c r="N39" i="9" s="1"/>
  <c r="N40" i="9" s="1"/>
  <c r="N41" i="9" s="1"/>
  <c r="N42" i="9" s="1"/>
  <c r="M45" i="9"/>
  <c r="AB107" i="18"/>
  <c r="AC107" i="18" s="1"/>
  <c r="V65" i="18"/>
  <c r="V172" i="18" s="1"/>
  <c r="W64" i="18"/>
  <c r="AB91" i="18"/>
  <c r="AB115" i="18"/>
  <c r="AC115" i="18" s="1"/>
  <c r="AB114" i="18"/>
  <c r="AC114" i="18" s="1"/>
  <c r="X106" i="18"/>
  <c r="X105" i="18"/>
  <c r="AE25" i="18"/>
  <c r="AE18" i="18"/>
  <c r="AC18" i="18"/>
  <c r="S158" i="18"/>
  <c r="AE71" i="18"/>
  <c r="AC71" i="18"/>
  <c r="M32" i="9"/>
  <c r="M33" i="9" s="1"/>
  <c r="M34" i="9" s="1"/>
  <c r="M35" i="9" s="1"/>
  <c r="M36" i="9" s="1"/>
  <c r="M37" i="9" s="1"/>
  <c r="M38" i="9" s="1"/>
  <c r="M39" i="9" s="1"/>
  <c r="M40" i="9" s="1"/>
  <c r="M41" i="9" s="1"/>
  <c r="P32" i="9"/>
  <c r="W67" i="18"/>
  <c r="W173" i="18" s="1"/>
  <c r="W66" i="18"/>
  <c r="W61" i="18"/>
  <c r="W174" i="18" s="1"/>
  <c r="W63" i="18"/>
  <c r="W60" i="18"/>
  <c r="W80" i="18"/>
  <c r="W59" i="18"/>
  <c r="W81" i="18"/>
  <c r="W77" i="18"/>
  <c r="W79" i="18"/>
  <c r="W132" i="18" s="1"/>
  <c r="W51" i="18"/>
  <c r="W50" i="18"/>
  <c r="W169" i="18" s="1"/>
  <c r="W55" i="18"/>
  <c r="W56" i="18"/>
  <c r="W57" i="18"/>
  <c r="W53" i="18"/>
  <c r="W175" i="18" s="1"/>
  <c r="AC27" i="18"/>
  <c r="Y12" i="18"/>
  <c r="Y15" i="18"/>
  <c r="Y122" i="18" s="1"/>
  <c r="Y13" i="18"/>
  <c r="Y10" i="18"/>
  <c r="Y16" i="18"/>
  <c r="Y130" i="18" s="1"/>
  <c r="Y131" i="18" s="1"/>
  <c r="Y7" i="18"/>
  <c r="Y6" i="18"/>
  <c r="AC25" i="18"/>
  <c r="AB85" i="18"/>
  <c r="AC85" i="18" s="1"/>
  <c r="Y40" i="18"/>
  <c r="Y93" i="18" s="1"/>
  <c r="Y99" i="18" s="1"/>
  <c r="X87" i="18"/>
  <c r="X86" i="18"/>
  <c r="O31" i="9"/>
  <c r="O32" i="9" s="1"/>
  <c r="X42" i="18"/>
  <c r="W76" i="18"/>
  <c r="W74" i="18"/>
  <c r="W75" i="18"/>
  <c r="W73" i="18"/>
  <c r="Y168" i="18"/>
  <c r="Y176" i="18" s="1"/>
  <c r="V170" i="18"/>
  <c r="V171" i="18"/>
  <c r="P31" i="11"/>
  <c r="N32" i="11"/>
  <c r="T19" i="9"/>
  <c r="D22" i="9"/>
  <c r="AC91" i="18" l="1"/>
  <c r="AB97" i="18"/>
  <c r="AC97" i="18" s="1"/>
  <c r="Y104" i="18"/>
  <c r="X109" i="18"/>
  <c r="X110" i="18" s="1"/>
  <c r="X111" i="18" s="1"/>
  <c r="X112" i="18" s="1"/>
  <c r="X54" i="18"/>
  <c r="Y128" i="18"/>
  <c r="Y127" i="18"/>
  <c r="Y94" i="18"/>
  <c r="Y100" i="18" s="1"/>
  <c r="Y123" i="18"/>
  <c r="Y88" i="18"/>
  <c r="W65" i="18"/>
  <c r="W172" i="18" s="1"/>
  <c r="X57" i="18"/>
  <c r="Y105" i="18"/>
  <c r="Y106" i="18"/>
  <c r="T158" i="18"/>
  <c r="R158" i="18" s="1"/>
  <c r="X59" i="18"/>
  <c r="X66" i="18"/>
  <c r="X53" i="18"/>
  <c r="X175" i="18" s="1"/>
  <c r="X61" i="18"/>
  <c r="X174" i="18" s="1"/>
  <c r="X56" i="18"/>
  <c r="X55" i="18"/>
  <c r="X77" i="18"/>
  <c r="X79" i="18"/>
  <c r="X132" i="18" s="1"/>
  <c r="X51" i="18"/>
  <c r="X50" i="18"/>
  <c r="X169" i="18" s="1"/>
  <c r="X81" i="18"/>
  <c r="X60" i="18"/>
  <c r="X67" i="18"/>
  <c r="X173" i="18" s="1"/>
  <c r="X64" i="18"/>
  <c r="X63" i="18"/>
  <c r="X80" i="18"/>
  <c r="Z13" i="18"/>
  <c r="Z12" i="18"/>
  <c r="Z15" i="18"/>
  <c r="Z122" i="18" s="1"/>
  <c r="Z10" i="18"/>
  <c r="Z16" i="18"/>
  <c r="Z130" i="18" s="1"/>
  <c r="Z131" i="18" s="1"/>
  <c r="Z6" i="18"/>
  <c r="Z7" i="18"/>
  <c r="Z40" i="18"/>
  <c r="Z93" i="18" s="1"/>
  <c r="Z99" i="18" s="1"/>
  <c r="Y87" i="18"/>
  <c r="Y86" i="18"/>
  <c r="Y42" i="18"/>
  <c r="X76" i="18"/>
  <c r="X74" i="18"/>
  <c r="X75" i="18"/>
  <c r="X73" i="18"/>
  <c r="Z168" i="18"/>
  <c r="Z176" i="18" s="1"/>
  <c r="W170" i="18"/>
  <c r="W171" i="18"/>
  <c r="N33" i="11"/>
  <c r="O32" i="11"/>
  <c r="P32" i="11"/>
  <c r="M45" i="11"/>
  <c r="L31" i="11"/>
  <c r="M32" i="11" s="1"/>
  <c r="M33" i="11" s="1"/>
  <c r="M34" i="11" s="1"/>
  <c r="M35" i="11" s="1"/>
  <c r="M36" i="11" s="1"/>
  <c r="M37" i="11" s="1"/>
  <c r="M38" i="11" s="1"/>
  <c r="M39" i="11" s="1"/>
  <c r="M40" i="11" s="1"/>
  <c r="M41" i="11" s="1"/>
  <c r="Q32" i="11"/>
  <c r="S11" i="9"/>
  <c r="S12" i="9" s="1"/>
  <c r="S9" i="9"/>
  <c r="Z104" i="18" l="1"/>
  <c r="Y109" i="18"/>
  <c r="Y110" i="18" s="1"/>
  <c r="Y111" i="18" s="1"/>
  <c r="Y112" i="18" s="1"/>
  <c r="Y54" i="18"/>
  <c r="Z94" i="18"/>
  <c r="Z100" i="18" s="1"/>
  <c r="Z123" i="18"/>
  <c r="Z127" i="18"/>
  <c r="Z128" i="18"/>
  <c r="Z88" i="18"/>
  <c r="Z105" i="18"/>
  <c r="Z106" i="18"/>
  <c r="X65" i="18"/>
  <c r="X172" i="18" s="1"/>
  <c r="Y77" i="18"/>
  <c r="Y79" i="18"/>
  <c r="Y132" i="18" s="1"/>
  <c r="Y50" i="18"/>
  <c r="Y169" i="18" s="1"/>
  <c r="Y51" i="18"/>
  <c r="Y61" i="18"/>
  <c r="Y174" i="18" s="1"/>
  <c r="Y67" i="18"/>
  <c r="Y173" i="18" s="1"/>
  <c r="Y66" i="18"/>
  <c r="Y64" i="18"/>
  <c r="Y55" i="18"/>
  <c r="Y53" i="18"/>
  <c r="Y175" i="18" s="1"/>
  <c r="Y60" i="18"/>
  <c r="Y56" i="18"/>
  <c r="Y57" i="18"/>
  <c r="Y63" i="18"/>
  <c r="Y80" i="18"/>
  <c r="Y59" i="18"/>
  <c r="Y81" i="18"/>
  <c r="AA12" i="18"/>
  <c r="AA15" i="18"/>
  <c r="AA122" i="18" s="1"/>
  <c r="AA13" i="18"/>
  <c r="AA10" i="18"/>
  <c r="AA16" i="18"/>
  <c r="AA130" i="18" s="1"/>
  <c r="AA131" i="18" s="1"/>
  <c r="AA7" i="18"/>
  <c r="AA6" i="18"/>
  <c r="AA40" i="18"/>
  <c r="AA93" i="18" s="1"/>
  <c r="AA99" i="18" s="1"/>
  <c r="Z86" i="18"/>
  <c r="Z87" i="18"/>
  <c r="Z42" i="18"/>
  <c r="Y76" i="18"/>
  <c r="Y74" i="18"/>
  <c r="Y75" i="18"/>
  <c r="Y73" i="18"/>
  <c r="AA168" i="18"/>
  <c r="AA176" i="18" s="1"/>
  <c r="X170" i="18"/>
  <c r="X171" i="18"/>
  <c r="N34" i="11"/>
  <c r="O33" i="11"/>
  <c r="D25" i="8"/>
  <c r="D23" i="8"/>
  <c r="AA104" i="18" l="1"/>
  <c r="Z109" i="18"/>
  <c r="Z110" i="18" s="1"/>
  <c r="Z111" i="18" s="1"/>
  <c r="Z112" i="18" s="1"/>
  <c r="Z54" i="18"/>
  <c r="AA88" i="18"/>
  <c r="AA127" i="18"/>
  <c r="AA128" i="18"/>
  <c r="AA94" i="18"/>
  <c r="AA100" i="18" s="1"/>
  <c r="AA123" i="18"/>
  <c r="AA105" i="18"/>
  <c r="AA106" i="18"/>
  <c r="Y65" i="18"/>
  <c r="Y172" i="18" s="1"/>
  <c r="Z77" i="18"/>
  <c r="Z79" i="18"/>
  <c r="Z132" i="18" s="1"/>
  <c r="Z51" i="18"/>
  <c r="Z50" i="18"/>
  <c r="Z169" i="18" s="1"/>
  <c r="Z55" i="18"/>
  <c r="Z66" i="18"/>
  <c r="Z56" i="18"/>
  <c r="Z61" i="18"/>
  <c r="Z174" i="18" s="1"/>
  <c r="Z64" i="18"/>
  <c r="Z63" i="18"/>
  <c r="Z81" i="18"/>
  <c r="Z67" i="18"/>
  <c r="Z173" i="18" s="1"/>
  <c r="Z53" i="18"/>
  <c r="Z175" i="18" s="1"/>
  <c r="Z60" i="18"/>
  <c r="Z80" i="18"/>
  <c r="Z59" i="18"/>
  <c r="Z57" i="18"/>
  <c r="AB15" i="18"/>
  <c r="AB13" i="18"/>
  <c r="AE13" i="18" s="1"/>
  <c r="AB12" i="18"/>
  <c r="AB123" i="18" s="1"/>
  <c r="AC123" i="18" s="1"/>
  <c r="AB10" i="18"/>
  <c r="AB16" i="18"/>
  <c r="AB6" i="18"/>
  <c r="AE6" i="18" s="1"/>
  <c r="AB7" i="18"/>
  <c r="AE7" i="18" s="1"/>
  <c r="AB40" i="18"/>
  <c r="AB93" i="18" s="1"/>
  <c r="AA87" i="18"/>
  <c r="AA86" i="18"/>
  <c r="AA42" i="18"/>
  <c r="Z76" i="18"/>
  <c r="Z74" i="18"/>
  <c r="Z75" i="18"/>
  <c r="Z73" i="18"/>
  <c r="AB176" i="18"/>
  <c r="Y170" i="18"/>
  <c r="Y171" i="18"/>
  <c r="N35" i="11"/>
  <c r="O34" i="11"/>
  <c r="D35" i="8"/>
  <c r="E5" i="8"/>
  <c r="E18" i="8" s="1"/>
  <c r="D18" i="8"/>
  <c r="D19" i="8"/>
  <c r="D21" i="8"/>
  <c r="D20" i="8"/>
  <c r="AC93" i="18" l="1"/>
  <c r="AB99" i="18"/>
  <c r="AC99" i="18" s="1"/>
  <c r="AB104" i="18"/>
  <c r="AC176" i="18"/>
  <c r="AE176" i="18" s="1"/>
  <c r="AA109" i="18"/>
  <c r="AA110" i="18" s="1"/>
  <c r="AA111" i="18" s="1"/>
  <c r="AA112" i="18" s="1"/>
  <c r="AA54" i="18"/>
  <c r="AE16" i="18"/>
  <c r="AB130" i="18"/>
  <c r="AB128" i="18"/>
  <c r="AC128" i="18" s="1"/>
  <c r="AB127" i="18"/>
  <c r="AC127" i="18" s="1"/>
  <c r="AE15" i="18"/>
  <c r="AB122" i="18"/>
  <c r="AC122" i="18" s="1"/>
  <c r="AB88" i="18"/>
  <c r="AC88" i="18" s="1"/>
  <c r="AE10" i="18"/>
  <c r="AC104" i="18"/>
  <c r="AE12" i="18"/>
  <c r="AB94" i="18"/>
  <c r="AE40" i="18"/>
  <c r="AB105" i="18"/>
  <c r="AC105" i="18" s="1"/>
  <c r="AB106" i="18"/>
  <c r="AC106" i="18" s="1"/>
  <c r="Z65" i="18"/>
  <c r="Z172" i="18" s="1"/>
  <c r="AA77" i="18"/>
  <c r="AA79" i="18"/>
  <c r="AA132" i="18" s="1"/>
  <c r="AA50" i="18"/>
  <c r="AA169" i="18" s="1"/>
  <c r="AA51" i="18"/>
  <c r="AA59" i="18"/>
  <c r="AA67" i="18"/>
  <c r="AA173" i="18" s="1"/>
  <c r="AA53" i="18"/>
  <c r="AA175" i="18" s="1"/>
  <c r="AA61" i="18"/>
  <c r="AA174" i="18" s="1"/>
  <c r="AA64" i="18"/>
  <c r="AA80" i="18"/>
  <c r="AA55" i="18"/>
  <c r="AA56" i="18"/>
  <c r="AA57" i="18"/>
  <c r="AA60" i="18"/>
  <c r="AA81" i="18"/>
  <c r="AA63" i="18"/>
  <c r="AA66" i="18"/>
  <c r="AC15" i="18"/>
  <c r="AC13" i="18"/>
  <c r="S152" i="18"/>
  <c r="AC12" i="18"/>
  <c r="AC10" i="18"/>
  <c r="AC16" i="18"/>
  <c r="AC7" i="18"/>
  <c r="AC6" i="18"/>
  <c r="AB87" i="18"/>
  <c r="AC87" i="18" s="1"/>
  <c r="AB86" i="18"/>
  <c r="AC86" i="18" s="1"/>
  <c r="AC40" i="18"/>
  <c r="AB42" i="18"/>
  <c r="AA76" i="18"/>
  <c r="AA74" i="18"/>
  <c r="AA75" i="18"/>
  <c r="AA73" i="18"/>
  <c r="AC168" i="18"/>
  <c r="AE168" i="18" s="1"/>
  <c r="Z170" i="18"/>
  <c r="Z171" i="18"/>
  <c r="N36" i="11"/>
  <c r="O35" i="11"/>
  <c r="F5" i="8"/>
  <c r="G5" i="8" s="1"/>
  <c r="H5" i="8" s="1"/>
  <c r="I5" i="8" s="1"/>
  <c r="AC94" i="18" l="1"/>
  <c r="AB100" i="18"/>
  <c r="AC100" i="18" s="1"/>
  <c r="AB109" i="18"/>
  <c r="AB110" i="18" s="1"/>
  <c r="AB111" i="18" s="1"/>
  <c r="AB112" i="18" s="1"/>
  <c r="AB54" i="18"/>
  <c r="AC130" i="18"/>
  <c r="AB131" i="18"/>
  <c r="AC131" i="18" s="1"/>
  <c r="AE42" i="18"/>
  <c r="T152" i="18"/>
  <c r="T153" i="18" s="1"/>
  <c r="AA65" i="18"/>
  <c r="AA172" i="18" s="1"/>
  <c r="AB77" i="18"/>
  <c r="AB79" i="18"/>
  <c r="AB50" i="18"/>
  <c r="AB169" i="18" s="1"/>
  <c r="AC169" i="18" s="1"/>
  <c r="AE169" i="18" s="1"/>
  <c r="AB51" i="18"/>
  <c r="AB59" i="18"/>
  <c r="AB64" i="18"/>
  <c r="AB53" i="18"/>
  <c r="AB61" i="18"/>
  <c r="AB57" i="18"/>
  <c r="AB80" i="18"/>
  <c r="AB56" i="18"/>
  <c r="AE56" i="18" s="1"/>
  <c r="AB55" i="18"/>
  <c r="AB66" i="18"/>
  <c r="AB81" i="18"/>
  <c r="AB60" i="18"/>
  <c r="AB67" i="18"/>
  <c r="AB63" i="18"/>
  <c r="S153" i="18"/>
  <c r="AB76" i="18"/>
  <c r="AB74" i="18"/>
  <c r="AC42" i="18"/>
  <c r="AB75" i="18"/>
  <c r="AB73" i="18"/>
  <c r="AA170" i="18"/>
  <c r="AA171" i="18"/>
  <c r="N37" i="11"/>
  <c r="O36" i="11"/>
  <c r="F18" i="8"/>
  <c r="G18" i="8"/>
  <c r="AE53" i="18" l="1"/>
  <c r="AB175" i="18"/>
  <c r="AE54" i="18"/>
  <c r="AC54" i="18"/>
  <c r="AE79" i="18"/>
  <c r="AB132" i="18"/>
  <c r="AC132" i="18" s="1"/>
  <c r="AC109" i="18"/>
  <c r="R152" i="18"/>
  <c r="R153" i="18"/>
  <c r="M183" i="18" s="1"/>
  <c r="AC80" i="18"/>
  <c r="AE80" i="18"/>
  <c r="AC51" i="18"/>
  <c r="AE51" i="18"/>
  <c r="S149" i="18"/>
  <c r="AE66" i="18"/>
  <c r="AB173" i="18"/>
  <c r="AC173" i="18" s="1"/>
  <c r="AE173" i="18" s="1"/>
  <c r="AE67" i="18"/>
  <c r="AC50" i="18"/>
  <c r="AE50" i="18"/>
  <c r="AC64" i="18"/>
  <c r="AE64" i="18"/>
  <c r="S143" i="18"/>
  <c r="AE63" i="18"/>
  <c r="S142" i="18"/>
  <c r="AE57" i="18"/>
  <c r="AB174" i="18"/>
  <c r="AC174" i="18" s="1"/>
  <c r="AE174" i="18" s="1"/>
  <c r="AE61" i="18"/>
  <c r="AC60" i="18"/>
  <c r="AE60" i="18"/>
  <c r="S140" i="18"/>
  <c r="AE55" i="18"/>
  <c r="S145" i="18"/>
  <c r="AE59" i="18"/>
  <c r="AC81" i="18"/>
  <c r="AE81" i="18"/>
  <c r="S165" i="18"/>
  <c r="AE77" i="18"/>
  <c r="S163" i="18"/>
  <c r="AE76" i="18"/>
  <c r="S162" i="18"/>
  <c r="AE75" i="18"/>
  <c r="S160" i="18"/>
  <c r="AE73" i="18"/>
  <c r="S161" i="18"/>
  <c r="AE74" i="18"/>
  <c r="AC66" i="18"/>
  <c r="S146" i="18"/>
  <c r="AC55" i="18"/>
  <c r="AC57" i="18"/>
  <c r="T142" i="18" s="1"/>
  <c r="AC59" i="18"/>
  <c r="S147" i="18"/>
  <c r="AC77" i="18"/>
  <c r="AC63" i="18"/>
  <c r="S150" i="18"/>
  <c r="AB65" i="18"/>
  <c r="AC61" i="18"/>
  <c r="AC67" i="18"/>
  <c r="AC79" i="18"/>
  <c r="AC75" i="18"/>
  <c r="AC74" i="18"/>
  <c r="AC73" i="18"/>
  <c r="AC76" i="18"/>
  <c r="S139" i="18"/>
  <c r="AC53" i="18"/>
  <c r="AB170" i="18"/>
  <c r="AC56" i="18"/>
  <c r="T141" i="18" s="1"/>
  <c r="AB171" i="18"/>
  <c r="S141" i="18"/>
  <c r="N38" i="11"/>
  <c r="O37" i="11"/>
  <c r="H18" i="8"/>
  <c r="AC175" i="18" l="1"/>
  <c r="AE175" i="18" s="1"/>
  <c r="T139" i="18"/>
  <c r="R139" i="18" s="1"/>
  <c r="P185" i="18" s="1"/>
  <c r="P186" i="18" s="1"/>
  <c r="P183" i="18"/>
  <c r="AC110" i="18"/>
  <c r="T150" i="18"/>
  <c r="R150" i="18" s="1"/>
  <c r="T140" i="18"/>
  <c r="R140" i="18" s="1"/>
  <c r="M182" i="18" s="1"/>
  <c r="T149" i="18"/>
  <c r="R149" i="18" s="1"/>
  <c r="T145" i="18"/>
  <c r="R145" i="18" s="1"/>
  <c r="T147" i="18"/>
  <c r="R147" i="18" s="1"/>
  <c r="T165" i="18"/>
  <c r="R165" i="18" s="1"/>
  <c r="T162" i="18"/>
  <c r="R162" i="18" s="1"/>
  <c r="AC65" i="18"/>
  <c r="AE65" i="18"/>
  <c r="T143" i="18"/>
  <c r="R143" i="18" s="1"/>
  <c r="R142" i="18"/>
  <c r="T146" i="18"/>
  <c r="R146" i="18" s="1"/>
  <c r="T160" i="18"/>
  <c r="R160" i="18" s="1"/>
  <c r="AB172" i="18"/>
  <c r="AC172" i="18" s="1"/>
  <c r="AE172" i="18" s="1"/>
  <c r="T163" i="18"/>
  <c r="R163" i="18" s="1"/>
  <c r="T161" i="18"/>
  <c r="R161" i="18" s="1"/>
  <c r="AC171" i="18"/>
  <c r="AE171" i="18" s="1"/>
  <c r="AC170" i="18"/>
  <c r="AE170" i="18" s="1"/>
  <c r="R141" i="18"/>
  <c r="N39" i="11"/>
  <c r="O38" i="11"/>
  <c r="I18" i="8"/>
  <c r="P184" i="18" l="1"/>
  <c r="M184" i="18"/>
  <c r="P182" i="18"/>
  <c r="P181" i="18"/>
  <c r="M181" i="18"/>
  <c r="AC112" i="18"/>
  <c r="AC111" i="18"/>
  <c r="N40" i="11"/>
  <c r="O39" i="11"/>
  <c r="N41" i="11" l="1"/>
  <c r="O40" i="11"/>
  <c r="N42" i="11" l="1"/>
  <c r="O41" i="11"/>
</calcChain>
</file>

<file path=xl/comments1.xml><?xml version="1.0" encoding="utf-8"?>
<comments xmlns="http://schemas.openxmlformats.org/spreadsheetml/2006/main">
  <authors>
    <author>Author</author>
  </authors>
  <commentList>
    <comment ref="B132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ability for company to pay interest on outstanding debt.
Lesser ratio is risky...</t>
        </r>
      </text>
    </comment>
    <comment ref="B17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payback period</t>
        </r>
      </text>
    </comment>
  </commentList>
</comments>
</file>

<file path=xl/sharedStrings.xml><?xml version="1.0" encoding="utf-8"?>
<sst xmlns="http://schemas.openxmlformats.org/spreadsheetml/2006/main" count="618" uniqueCount="429">
  <si>
    <t>#</t>
  </si>
  <si>
    <t>CAGR</t>
  </si>
  <si>
    <t>Cash and equivalents</t>
  </si>
  <si>
    <t>Total Number of outstanding shares</t>
  </si>
  <si>
    <t>Total Liabilities</t>
  </si>
  <si>
    <t>Current year</t>
  </si>
  <si>
    <t>in INR Cr</t>
  </si>
  <si>
    <t>INR Cr to INR</t>
  </si>
  <si>
    <t>Book Value (Networth based)</t>
  </si>
  <si>
    <t>Book Value (Total Liability)</t>
  </si>
  <si>
    <t>Book Value (Cash Based)</t>
  </si>
  <si>
    <t>Y1</t>
  </si>
  <si>
    <t>Y2</t>
  </si>
  <si>
    <t>Y3</t>
  </si>
  <si>
    <t>Y4</t>
  </si>
  <si>
    <t>Y5</t>
  </si>
  <si>
    <t>Networth (reserves only)</t>
  </si>
  <si>
    <t>Networth (includes reserves &amp; Share capital</t>
  </si>
  <si>
    <t>Book Value (reserves &amp; Surplus alone)</t>
  </si>
  <si>
    <t>Total Current Assets</t>
  </si>
  <si>
    <t>In Mn</t>
  </si>
  <si>
    <t>to INR Cr</t>
  </si>
  <si>
    <t>Book Value (Total C.A)</t>
  </si>
  <si>
    <t>Net Current Assets</t>
  </si>
  <si>
    <t>Book Value (on Net Current Assets)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</si>
  <si>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</si>
  <si>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</si>
  <si>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</si>
  <si>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</si>
  <si>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</si>
  <si>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</si>
  <si>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</si>
  <si>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</si>
  <si>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</si>
  <si>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</si>
  <si>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</si>
  <si>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</si>
  <si>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</si>
  <si>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</si>
  <si>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</si>
  <si>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</si>
  <si>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</si>
  <si>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</si>
  <si>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</si>
  <si>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</si>
  <si>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</si>
  <si>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</si>
  <si>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</si>
  <si>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</si>
  <si>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</si>
  <si>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</si>
  <si>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</si>
  <si>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</si>
  <si>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</si>
  <si>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</si>
  <si>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</si>
  <si>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</si>
  <si>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</si>
  <si>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</si>
  <si>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</si>
  <si>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</si>
  <si>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</si>
  <si>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</si>
  <si>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</si>
  <si>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</si>
  <si>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</si>
  <si>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</si>
  <si>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</si>
  <si>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</si>
  <si>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</si>
  <si>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</si>
  <si>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</si>
  <si>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</si>
  <si>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</si>
  <si>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</si>
  <si>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</si>
  <si>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</si>
  <si>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</si>
  <si>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Total Debt (For Banks)</t>
  </si>
  <si>
    <t>Total Advances (For Banks)</t>
  </si>
  <si>
    <t>Net (Advances - Debt)</t>
  </si>
  <si>
    <t>Ratio of Advances to Debt (for Banks)</t>
  </si>
  <si>
    <t>Debt per share</t>
  </si>
  <si>
    <t>For Banks Only</t>
  </si>
  <si>
    <t>Advances per share</t>
  </si>
  <si>
    <t>Net per share</t>
  </si>
  <si>
    <t>BOI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</si>
  <si>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</si>
  <si>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</si>
  <si>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</si>
  <si>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</si>
  <si>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</si>
  <si>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</si>
  <si>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</si>
  <si>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</si>
  <si>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</si>
  <si>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</si>
  <si>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</si>
  <si>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</si>
  <si>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</si>
  <si>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</si>
  <si>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</si>
  <si>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</si>
  <si>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</si>
  <si>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</si>
  <si>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</si>
  <si>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</si>
  <si>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</si>
  <si>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</si>
  <si>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</si>
  <si>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</si>
  <si>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</si>
  <si>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</si>
  <si>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</si>
  <si>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</si>
  <si>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</si>
  <si>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</si>
  <si>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</si>
  <si>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</si>
  <si>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</si>
  <si>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</si>
  <si>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</si>
  <si>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</si>
  <si>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</si>
  <si>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</si>
  <si>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</si>
  <si>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</si>
  <si>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</si>
  <si>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</si>
  <si>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</si>
  <si>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</si>
  <si>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</si>
  <si>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</si>
  <si>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</si>
  <si>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</si>
  <si>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</si>
  <si>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</si>
  <si>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</si>
  <si>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</si>
  <si>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</si>
  <si>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</si>
  <si>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</si>
  <si>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</si>
  <si>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</si>
  <si>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</si>
  <si>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</si>
  <si>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</si>
  <si>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</si>
  <si>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</si>
  <si>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</si>
  <si>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</si>
  <si>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</si>
  <si>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</si>
  <si>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</si>
  <si>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</si>
  <si>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</si>
  <si>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</si>
  <si>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</si>
  <si>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</si>
  <si>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</si>
  <si>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</si>
  <si>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</si>
  <si>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</si>
  <si>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</si>
  <si>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</si>
  <si>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</si>
  <si>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</si>
  <si>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</si>
  <si>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</si>
  <si>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</si>
  <si>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</si>
  <si>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</si>
  <si>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</si>
  <si>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</si>
  <si>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</si>
  <si>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</si>
  <si>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</si>
  <si>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</si>
  <si>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</si>
  <si>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</si>
  <si>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</si>
  <si>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</si>
  <si>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</si>
  <si>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</si>
  <si>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</si>
  <si>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</si>
  <si>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</si>
  <si>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</si>
  <si>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</si>
  <si>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</si>
  <si>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</si>
  <si>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</si>
  <si>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</si>
  <si>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</si>
  <si>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</si>
  <si>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</si>
  <si>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</si>
  <si>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</si>
  <si>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</si>
  <si>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</si>
  <si>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</si>
  <si>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</si>
  <si>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</si>
  <si>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</si>
  <si>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</si>
  <si>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</si>
  <si>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</si>
  <si>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</si>
  <si>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</si>
  <si>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</si>
  <si>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</si>
  <si>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</si>
  <si>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Long Term Debt</t>
  </si>
  <si>
    <t>Secured Loan alone</t>
  </si>
  <si>
    <t>Un-secured Alone</t>
  </si>
  <si>
    <t>Total Free Reserves</t>
  </si>
  <si>
    <t>Total Shareholder Equity</t>
  </si>
  <si>
    <t>Cash &amp; Cash Equivalents</t>
  </si>
  <si>
    <t>Investments</t>
  </si>
  <si>
    <t>Current Liability</t>
  </si>
  <si>
    <t>How Much cash/Cash equivalent required</t>
  </si>
  <si>
    <t>How many years required to pay-off the LT Debt</t>
  </si>
  <si>
    <t>years required to pay-off</t>
  </si>
  <si>
    <t>Repayment capability of LT Debt with Net profit (in years)</t>
  </si>
  <si>
    <t>Repayment capability of Secured Loan with Net profit  (in years)</t>
  </si>
  <si>
    <t>Repayment capability of Un-Secured Loan with Net profit  (in years)</t>
  </si>
  <si>
    <t>Repayment capability of Current Liability with Net profit  (in years)</t>
  </si>
  <si>
    <t>Multiples</t>
  </si>
  <si>
    <t>P/E ratio</t>
  </si>
  <si>
    <t>RE - % earnings retained</t>
  </si>
  <si>
    <t>Return of Assets (ROA)</t>
  </si>
  <si>
    <t>Return of Equity (ROE)</t>
  </si>
  <si>
    <t>Return of Capital Employed (ROCE)</t>
  </si>
  <si>
    <t>Return of Investment (ROI)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</si>
  <si>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</si>
  <si>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</si>
  <si>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</si>
  <si>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</si>
  <si>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</si>
  <si>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</si>
  <si>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</si>
  <si>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</si>
  <si>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</si>
  <si>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</si>
  <si>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</si>
  <si>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</si>
  <si>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</si>
  <si>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</si>
  <si>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</si>
  <si>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</si>
  <si>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</si>
  <si>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</si>
  <si>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</si>
  <si>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</si>
  <si>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</si>
  <si>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</si>
  <si>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</si>
  <si>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</si>
  <si>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</si>
  <si>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</si>
  <si>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</si>
  <si>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</si>
  <si>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Repayment capability of LT Debt with Cash + Investment</t>
  </si>
  <si>
    <t>Repayment capability of Secured Loan with Cash + Investment</t>
  </si>
  <si>
    <t>Repayment capability of Un-Secured Loan with Cash + Investment</t>
  </si>
  <si>
    <t>Repayment capability of Current Liability with Cash + Investment</t>
  </si>
  <si>
    <t>Net Profit Margin</t>
  </si>
  <si>
    <t>Gross Profit Margin - Operating</t>
  </si>
  <si>
    <t>??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</si>
  <si>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</si>
  <si>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</si>
  <si>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</si>
  <si>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</si>
  <si>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</si>
  <si>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</si>
  <si>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</si>
  <si>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</si>
  <si>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</si>
  <si>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</si>
  <si>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Suzlon Energy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</si>
  <si>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</si>
  <si>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</si>
  <si>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</si>
  <si>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</si>
  <si>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</si>
  <si>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</si>
  <si>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- Investments) per share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</si>
  <si>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</si>
  <si>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</si>
  <si>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</si>
  <si>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</si>
  <si>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</si>
  <si>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</si>
  <si>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</si>
  <si>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</si>
  <si>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</si>
  <si>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</si>
  <si>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</si>
  <si>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</si>
  <si>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</si>
  <si>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</si>
  <si>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</si>
  <si>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</si>
  <si>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</si>
  <si>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</si>
  <si>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</si>
  <si>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</si>
  <si>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</si>
  <si>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2nd highest Expenses Comp. ( Empl )</t>
  </si>
  <si>
    <t>Operating Profit Margin</t>
  </si>
  <si>
    <t>Profitability Ratios</t>
  </si>
  <si>
    <t>Operating profit per year</t>
  </si>
  <si>
    <t>Net Profit per year</t>
  </si>
  <si>
    <t>Reserves per share</t>
  </si>
  <si>
    <t>if NEGATIVE, then stock is in DISCOUNT, if POSITIVE, then stock is in PREMIUM</t>
  </si>
  <si>
    <t>Company Name</t>
  </si>
  <si>
    <t>Top Expenses ( Raw material )</t>
  </si>
  <si>
    <t>Net Cash Flow (Operations + Investments)</t>
  </si>
  <si>
    <t>Net Cash Flow (Operations + Investments) per share</t>
  </si>
  <si>
    <t>Earnings yield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</si>
  <si>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</si>
  <si>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</si>
  <si>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</si>
  <si>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</si>
  <si>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</si>
  <si>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</si>
  <si>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</si>
  <si>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</si>
  <si>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</si>
  <si>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</si>
  <si>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</si>
  <si>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</si>
  <si>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</si>
  <si>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</si>
  <si>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</si>
  <si>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</si>
  <si>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</si>
  <si>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</si>
  <si>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Investment calc</t>
  </si>
  <si>
    <t>Desc</t>
  </si>
  <si>
    <t>10 yr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</si>
  <si>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</si>
  <si>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</si>
  <si>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</si>
  <si>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</si>
  <si>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</si>
  <si>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</si>
  <si>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</si>
  <si>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</si>
  <si>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</si>
  <si>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</si>
  <si>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</si>
  <si>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</si>
  <si>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</si>
  <si>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</si>
  <si>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</si>
  <si>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</si>
  <si>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</si>
  <si>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</si>
  <si>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</si>
  <si>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</si>
  <si>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</si>
  <si>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</si>
  <si>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</si>
  <si>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</si>
  <si>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</si>
  <si>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</si>
  <si>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</si>
  <si>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</si>
  <si>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</si>
  <si>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</si>
  <si>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</si>
  <si>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</si>
  <si>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</si>
  <si>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</si>
  <si>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</si>
  <si>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</si>
  <si>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</si>
  <si>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</si>
  <si>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</si>
  <si>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</si>
  <si>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</si>
  <si>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</si>
  <si>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</si>
  <si>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</si>
  <si>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</si>
  <si>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S-1</t>
  </si>
  <si>
    <t>Result Quantity</t>
  </si>
  <si>
    <t>Cash EPS (Net Profit per share)</t>
  </si>
  <si>
    <t>P/E (how many years it will take to recover invested amount)</t>
  </si>
  <si>
    <t>Current</t>
  </si>
  <si>
    <t>Preferred</t>
  </si>
  <si>
    <t>Overall gains</t>
  </si>
  <si>
    <t>Total Gain</t>
  </si>
  <si>
    <t>Multiplication - x</t>
  </si>
  <si>
    <t>Payback Period - with Last EPS i.e. P/EPSlast</t>
  </si>
  <si>
    <t>Payback Period -in years  with Avg EPS i.e. P/EPSavg</t>
  </si>
  <si>
    <t>B-3</t>
  </si>
  <si>
    <t>Avg growth rate</t>
  </si>
  <si>
    <t>% Discount (Price / Cash) Cash means Net Cash &amp; Cash Equivalent per share</t>
  </si>
  <si>
    <t>Profit before Tax (PBT)</t>
  </si>
  <si>
    <t>Net Earnings (Net Profit or PAT)</t>
  </si>
  <si>
    <t>Interest Coverage ratio (Earnings/Interest Outgo)</t>
  </si>
  <si>
    <t>Interest Coverage ratio (Operating Profit /Interest Outgo)</t>
  </si>
  <si>
    <t>Interest Coverage ratio (Net Profit /Interest Outgo)</t>
  </si>
  <si>
    <t>Interest Coverage ratio (Cash Only /Interest Outgo)</t>
  </si>
  <si>
    <t>Interest Coverage ratio (Net-cash and cash equivalent /Interest Outgo)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</si>
  <si>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</si>
  <si>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</si>
  <si>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</si>
  <si>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</si>
  <si>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</si>
  <si>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</si>
  <si>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</si>
  <si>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</si>
  <si>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</si>
  <si>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</si>
  <si>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</si>
  <si>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</si>
  <si>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</si>
  <si>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</si>
  <si>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</si>
  <si>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</si>
  <si>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</si>
  <si>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Bonus issue</t>
  </si>
  <si>
    <t>Rights issue</t>
  </si>
  <si>
    <t>Stock Split - FV</t>
  </si>
  <si>
    <t>1x2</t>
  </si>
  <si>
    <t>10x1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</si>
</sst>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_(&quot;$&quot;* #,##0_);_(&quot;$&quot;* \(#,##0\);_(&quot;$&quot;* &quot;-&quot;??_);_(@_)"/>
    <numFmt numFmtId="174" formatCode="#,##0.00_ ;[Red]\-#,##0.00\ "/>
    <numFmt numFmtId="175" formatCode="#,##0_ ;[Red]\-#,##0\ "/>
    <numFmt numFmtId="176" formatCode="0_);[Red]\(0\)"/>
    <numFmt numFmtId="177" formatCode="0.00_);[Red]\(0.00\)"/>
    <numFmt numFmtId="178" formatCode="#,##0.0_ ;[Red]\-#,##0.0\ "/>
    <numFmt numFmtId="179" formatCode="#,##0.0;[Red]\-#,##0.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mbria"/>
      <family val="1"/>
      <scheme val="major"/>
    </font>
    <font>
      <sz val="10"/>
      <color rgb="FFFF0000"/>
      <name val="Cambria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11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9" fontId="2" fillId="6" borderId="0" xfId="0" applyNumberFormat="1" applyFont="1" applyFill="1"/>
    <xf numFmtId="164" fontId="2" fillId="6" borderId="0" xfId="2" applyNumberFormat="1" applyFont="1" applyFill="1"/>
    <xf numFmtId="164" fontId="2" fillId="5" borderId="0" xfId="2" applyNumberFormat="1" applyFont="1" applyFill="1"/>
    <xf numFmtId="1" fontId="2" fillId="5" borderId="0" xfId="2" applyNumberFormat="1" applyFont="1" applyFill="1"/>
    <xf numFmtId="164" fontId="2" fillId="6" borderId="1" xfId="2" applyNumberFormat="1" applyFont="1" applyFill="1" applyBorder="1"/>
    <xf numFmtId="165" fontId="2" fillId="5" borderId="1" xfId="0" applyNumberFormat="1" applyFont="1" applyFill="1" applyBorder="1"/>
    <xf numFmtId="43" fontId="2" fillId="5" borderId="0" xfId="0" applyNumberFormat="1" applyFont="1" applyFill="1"/>
    <xf numFmtId="43" fontId="2" fillId="5" borderId="0" xfId="2" applyNumberFormat="1" applyFont="1" applyFill="1"/>
    <xf numFmtId="38" fontId="2" fillId="6" borderId="0" xfId="2" applyNumberFormat="1" applyFont="1" applyFill="1"/>
    <xf numFmtId="40" fontId="2" fillId="5" borderId="0" xfId="2" applyNumberFormat="1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10" fontId="2" fillId="5" borderId="0" xfId="1" applyNumberFormat="1" applyFont="1" applyFill="1"/>
    <xf numFmtId="0" fontId="3" fillId="5" borderId="0" xfId="0" applyFont="1" applyFill="1"/>
    <xf numFmtId="164" fontId="2" fillId="5" borderId="0" xfId="0" applyNumberFormat="1" applyFont="1" applyFill="1"/>
    <xf numFmtId="9" fontId="2" fillId="5" borderId="0" xfId="0" applyNumberFormat="1" applyFont="1" applyFill="1"/>
    <xf numFmtId="38" fontId="2" fillId="5" borderId="0" xfId="2" applyNumberFormat="1" applyFont="1" applyFill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9" fontId="4" fillId="6" borderId="1" xfId="0" applyNumberFormat="1" applyFont="1" applyFill="1" applyBorder="1"/>
    <xf numFmtId="172" fontId="4" fillId="5" borderId="1" xfId="0" applyNumberFormat="1" applyFont="1" applyFill="1" applyBorder="1"/>
    <xf numFmtId="173" fontId="4" fillId="6" borderId="1" xfId="3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7" fillId="13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170" fontId="4" fillId="6" borderId="1" xfId="3" applyNumberFormat="1" applyFont="1" applyFill="1" applyBorder="1"/>
    <xf numFmtId="9" fontId="4" fillId="6" borderId="1" xfId="1" applyFont="1" applyFill="1" applyBorder="1"/>
    <xf numFmtId="10" fontId="4" fillId="6" borderId="1" xfId="0" applyNumberFormat="1" applyFont="1" applyFill="1" applyBorder="1"/>
    <xf numFmtId="40" fontId="4" fillId="5" borderId="1" xfId="0" applyNumberFormat="1" applyFont="1" applyFill="1" applyBorder="1"/>
    <xf numFmtId="0" fontId="5" fillId="5" borderId="1" xfId="0" applyFont="1" applyFill="1" applyBorder="1" applyAlignment="1">
      <alignment horizontal="center" vertical="center"/>
    </xf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4" fontId="4" fillId="5" borderId="1" xfId="0" applyNumberFormat="1" applyFont="1" applyFill="1" applyBorder="1"/>
    <xf numFmtId="0" fontId="8" fillId="5" borderId="1" xfId="0" applyFont="1" applyFill="1" applyBorder="1"/>
    <xf numFmtId="1" fontId="8" fillId="5" borderId="1" xfId="0" applyNumberFormat="1" applyFont="1" applyFill="1" applyBorder="1"/>
    <xf numFmtId="1" fontId="8" fillId="5" borderId="1" xfId="2" applyNumberFormat="1" applyFont="1" applyFill="1" applyBorder="1"/>
    <xf numFmtId="40" fontId="4" fillId="5" borderId="1" xfId="2" applyNumberFormat="1" applyFont="1" applyFill="1" applyBorder="1"/>
    <xf numFmtId="43" fontId="8" fillId="5" borderId="1" xfId="2" applyNumberFormat="1" applyFont="1" applyFill="1" applyBorder="1"/>
    <xf numFmtId="175" fontId="4" fillId="5" borderId="1" xfId="2" applyNumberFormat="1" applyFont="1" applyFill="1" applyBorder="1"/>
    <xf numFmtId="175" fontId="8" fillId="5" borderId="1" xfId="2" applyNumberFormat="1" applyFont="1" applyFill="1" applyBorder="1"/>
    <xf numFmtId="9" fontId="9" fillId="5" borderId="1" xfId="1" applyFont="1" applyFill="1" applyBorder="1"/>
    <xf numFmtId="0" fontId="10" fillId="5" borderId="1" xfId="0" applyFont="1" applyFill="1" applyBorder="1"/>
    <xf numFmtId="175" fontId="10" fillId="5" borderId="1" xfId="2" applyNumberFormat="1" applyFont="1" applyFill="1" applyBorder="1"/>
    <xf numFmtId="9" fontId="9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5" fontId="4" fillId="5" borderId="1" xfId="0" applyNumberFormat="1" applyFont="1" applyFill="1" applyBorder="1"/>
    <xf numFmtId="175" fontId="5" fillId="5" borderId="1" xfId="0" applyNumberFormat="1" applyFont="1" applyFill="1" applyBorder="1"/>
    <xf numFmtId="175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1" fillId="5" borderId="1" xfId="2" applyNumberFormat="1" applyFont="1" applyFill="1" applyBorder="1"/>
    <xf numFmtId="40" fontId="5" fillId="5" borderId="1" xfId="0" applyNumberFormat="1" applyFont="1" applyFill="1" applyBorder="1"/>
    <xf numFmtId="168" fontId="4" fillId="5" borderId="1" xfId="1" applyNumberFormat="1" applyFont="1" applyFill="1" applyBorder="1"/>
    <xf numFmtId="1" fontId="4" fillId="5" borderId="4" xfId="0" applyNumberFormat="1" applyFont="1" applyFill="1" applyBorder="1"/>
    <xf numFmtId="176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43" fontId="4" fillId="5" borderId="1" xfId="2" applyFont="1" applyFill="1" applyBorder="1"/>
    <xf numFmtId="2" fontId="4" fillId="5" borderId="1" xfId="1" applyNumberFormat="1" applyFont="1" applyFill="1" applyBorder="1"/>
    <xf numFmtId="177" fontId="4" fillId="5" borderId="1" xfId="0" applyNumberFormat="1" applyFont="1" applyFill="1" applyBorder="1"/>
    <xf numFmtId="16" fontId="5" fillId="5" borderId="1" xfId="0" applyNumberFormat="1" applyFont="1" applyFill="1" applyBorder="1"/>
    <xf numFmtId="9" fontId="4" fillId="6" borderId="1" xfId="0" applyNumberFormat="1" applyFont="1" applyFill="1" applyBorder="1" applyAlignment="1">
      <alignment horizontal="center"/>
    </xf>
    <xf numFmtId="178" fontId="4" fillId="5" borderId="1" xfId="0" applyNumberFormat="1" applyFont="1" applyFill="1" applyBorder="1"/>
    <xf numFmtId="179" fontId="4" fillId="5" borderId="1" xfId="0" applyNumberFormat="1" applyFont="1" applyFill="1" applyBorder="1"/>
    <xf numFmtId="175" fontId="8" fillId="5" borderId="1" xfId="2" applyNumberFormat="1" applyFont="1" applyFill="1" applyBorder="1" applyAlignment="1">
      <alignment horizontal="center"/>
    </xf>
    <xf numFmtId="2" fontId="5" fillId="5" borderId="1" xfId="0" applyNumberFormat="1" applyFont="1" applyFill="1" applyBorder="1"/>
    <xf numFmtId="179" fontId="15" fillId="5" borderId="1" xfId="0" applyNumberFormat="1" applyFont="1" applyFill="1" applyBorder="1"/>
    <xf numFmtId="1" fontId="15" fillId="5" borderId="1" xfId="0" applyNumberFormat="1" applyFont="1" applyFill="1" applyBorder="1"/>
    <xf numFmtId="2" fontId="4" fillId="6" borderId="1" xfId="1" applyNumberFormat="1" applyFont="1" applyFill="1" applyBorder="1"/>
    <xf numFmtId="0" fontId="14" fillId="2" borderId="4" xfId="0" applyFont="1" applyFill="1" applyBorder="1" applyAlignment="1">
      <alignment horizontal="center"/>
    </xf>
    <xf numFmtId="0" fontId="14" fillId="2" borderId="5" xfId="0" applyFont="1" applyFill="1" applyBorder="1" applyAlignment="1">
      <alignment horizontal="center"/>
    </xf>
    <xf numFmtId="0" fontId="14" fillId="2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175" fontId="15" fillId="5" borderId="1" xfId="0" applyNumberFormat="1" applyFont="1" applyFill="1" applyBorder="1"/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369280"/>
        <c:axId val="96637312"/>
      </c:lineChart>
      <c:catAx>
        <c:axId val="96369280"/>
        <c:scaling>
          <c:orientation val="minMax"/>
        </c:scaling>
        <c:delete val="0"/>
        <c:axPos val="b"/>
        <c:majorTickMark val="out"/>
        <c:minorTickMark val="none"/>
        <c:tickLblPos val="nextTo"/>
        <c:crossAx val="96637312"/>
        <c:crosses val="autoZero"/>
        <c:auto val="1"/>
        <c:lblAlgn val="ctr"/>
        <c:lblOffset val="100"/>
        <c:noMultiLvlLbl val="0"/>
      </c:catAx>
      <c:valAx>
        <c:axId val="966373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96369280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108"/>
  <sheetViews>
    <sheetView zoomScale="80" zoomScaleNormal="80" workbookViewId="0">
      <selection activeCell="D21" sqref="D21"/>
    </sheetView>
  </sheetViews>
  <sheetFormatPr defaultRowHeight="12.75" x14ac:dyDescent="0.2"/>
  <cols>
    <col min="1" max="1" width="9.140625" style="104"/>
    <col min="2" max="2" width="9.140625" style="105"/>
    <col min="3" max="3" width="24.28515625" style="104" bestFit="1" customWidth="1"/>
    <col min="4" max="4" width="39.28515625" style="104" bestFit="1" customWidth="1"/>
    <col min="5" max="5" width="39.42578125" style="104" customWidth="1"/>
    <col min="6" max="6" width="56" style="104" bestFit="1" customWidth="1"/>
    <col min="7" max="16384" width="9.140625" style="104"/>
  </cols>
  <sheetData>
    <row r="3" spans="2:6" x14ac:dyDescent="0.2">
      <c r="B3" s="103"/>
      <c r="C3" s="107" t="s">
        <v>87</v>
      </c>
      <c r="D3" s="107" t="s">
        <v>90</v>
      </c>
      <c r="E3" s="107" t="s">
        <v>95</v>
      </c>
      <c r="F3" s="107" t="s">
        <v>96</v>
      </c>
    </row>
    <row r="4" spans="2:6" x14ac:dyDescent="0.2">
      <c r="B4" s="103"/>
      <c r="C4" s="20"/>
      <c r="D4" s="20"/>
      <c r="E4" s="20"/>
      <c r="F4" s="20"/>
    </row>
    <row r="5" spans="2:6" x14ac:dyDescent="0.2">
      <c r="B5" s="103"/>
      <c r="C5" s="108" t="s">
        <v>126</v>
      </c>
      <c r="D5" s="20"/>
      <c r="E5" s="20"/>
      <c r="F5" s="20"/>
    </row>
    <row r="6" spans="2:6" x14ac:dyDescent="0.2">
      <c r="B6" s="103">
        <v>1</v>
      </c>
      <c r="C6" s="20" t="s">
        <v>127</v>
      </c>
      <c r="D6" s="20" t="s">
        <v>128</v>
      </c>
      <c r="E6" s="20" t="s">
        <v>208</v>
      </c>
      <c r="F6" s="20"/>
    </row>
    <row r="7" spans="2:6" x14ac:dyDescent="0.2">
      <c r="B7" s="103"/>
      <c r="C7" s="20"/>
      <c r="D7" s="20" t="s">
        <v>129</v>
      </c>
      <c r="E7" s="20"/>
      <c r="F7" s="20"/>
    </row>
    <row r="8" spans="2:6" x14ac:dyDescent="0.2">
      <c r="B8" s="103"/>
      <c r="C8" s="20"/>
      <c r="D8" s="20" t="s">
        <v>135</v>
      </c>
      <c r="E8" s="20"/>
      <c r="F8" s="20"/>
    </row>
    <row r="9" spans="2:6" x14ac:dyDescent="0.2">
      <c r="B9" s="103"/>
      <c r="C9" s="20"/>
      <c r="D9" s="20"/>
      <c r="E9" s="20"/>
      <c r="F9" s="20"/>
    </row>
    <row r="10" spans="2:6" x14ac:dyDescent="0.2">
      <c r="B10" s="103">
        <v>2</v>
      </c>
      <c r="C10" s="20" t="s">
        <v>209</v>
      </c>
      <c r="D10" s="20" t="s">
        <v>130</v>
      </c>
      <c r="E10" s="20" t="s">
        <v>132</v>
      </c>
      <c r="F10" s="20" t="s">
        <v>133</v>
      </c>
    </row>
    <row r="11" spans="2:6" x14ac:dyDescent="0.2">
      <c r="B11" s="103"/>
      <c r="C11" s="20"/>
      <c r="D11" s="20" t="s">
        <v>131</v>
      </c>
      <c r="E11" s="20"/>
      <c r="F11" s="20"/>
    </row>
    <row r="12" spans="2:6" x14ac:dyDescent="0.2">
      <c r="B12" s="103"/>
      <c r="C12" s="20"/>
      <c r="D12" s="20"/>
      <c r="E12" s="20"/>
      <c r="F12" s="20"/>
    </row>
    <row r="13" spans="2:6" x14ac:dyDescent="0.2">
      <c r="B13" s="103">
        <v>3</v>
      </c>
      <c r="C13" s="20" t="s">
        <v>134</v>
      </c>
      <c r="D13" s="20" t="s">
        <v>137</v>
      </c>
      <c r="E13" s="20" t="s">
        <v>138</v>
      </c>
      <c r="F13" s="20"/>
    </row>
    <row r="14" spans="2:6" x14ac:dyDescent="0.2">
      <c r="B14" s="103"/>
      <c r="C14" s="20"/>
      <c r="D14" s="20" t="s">
        <v>136</v>
      </c>
      <c r="E14" s="20" t="s">
        <v>139</v>
      </c>
      <c r="F14" s="20"/>
    </row>
    <row r="15" spans="2:6" x14ac:dyDescent="0.2">
      <c r="B15" s="103"/>
      <c r="C15" s="20"/>
      <c r="D15" s="20"/>
      <c r="E15" s="20" t="s">
        <v>140</v>
      </c>
      <c r="F15" s="20"/>
    </row>
    <row r="16" spans="2:6" x14ac:dyDescent="0.2">
      <c r="B16" s="103"/>
      <c r="C16" s="20"/>
      <c r="D16" s="20"/>
      <c r="E16" s="20"/>
      <c r="F16" s="20"/>
    </row>
    <row r="17" spans="2:6" x14ac:dyDescent="0.2">
      <c r="B17" s="103">
        <v>4</v>
      </c>
      <c r="C17" s="20" t="s">
        <v>141</v>
      </c>
      <c r="D17" s="20" t="s">
        <v>142</v>
      </c>
      <c r="E17" s="20"/>
      <c r="F17" s="20"/>
    </row>
    <row r="18" spans="2:6" x14ac:dyDescent="0.2">
      <c r="B18" s="103"/>
      <c r="C18" s="20"/>
      <c r="D18" s="20" t="s">
        <v>143</v>
      </c>
      <c r="E18" s="20"/>
      <c r="F18" s="20"/>
    </row>
    <row r="19" spans="2:6" x14ac:dyDescent="0.2">
      <c r="B19" s="103"/>
      <c r="C19" s="20"/>
      <c r="D19" s="20" t="s">
        <v>144</v>
      </c>
      <c r="E19" s="20"/>
      <c r="F19" s="20"/>
    </row>
    <row r="20" spans="2:6" x14ac:dyDescent="0.2">
      <c r="B20" s="103"/>
      <c r="C20" s="20"/>
      <c r="D20" s="20" t="s">
        <v>145</v>
      </c>
      <c r="E20" s="20"/>
      <c r="F20" s="20"/>
    </row>
    <row r="21" spans="2:6" x14ac:dyDescent="0.2">
      <c r="B21" s="103"/>
      <c r="C21" s="20"/>
      <c r="D21" s="20"/>
      <c r="E21" s="20"/>
      <c r="F21" s="20"/>
    </row>
    <row r="22" spans="2:6" x14ac:dyDescent="0.2">
      <c r="B22" s="103">
        <v>5</v>
      </c>
      <c r="C22" s="20" t="s">
        <v>146</v>
      </c>
      <c r="D22" s="20" t="s">
        <v>147</v>
      </c>
      <c r="E22" s="20"/>
      <c r="F22" s="20"/>
    </row>
    <row r="23" spans="2:6" x14ac:dyDescent="0.2">
      <c r="B23" s="103"/>
      <c r="C23" s="20"/>
      <c r="D23" s="20" t="s">
        <v>148</v>
      </c>
      <c r="E23" s="20"/>
      <c r="F23" s="20"/>
    </row>
    <row r="24" spans="2:6" ht="25.5" x14ac:dyDescent="0.2">
      <c r="B24" s="103"/>
      <c r="C24" s="20"/>
      <c r="D24" s="20" t="s">
        <v>149</v>
      </c>
      <c r="E24" s="106" t="s">
        <v>150</v>
      </c>
      <c r="F24" s="20"/>
    </row>
    <row r="25" spans="2:6" x14ac:dyDescent="0.2">
      <c r="B25" s="103"/>
      <c r="C25" s="20"/>
      <c r="D25" s="20"/>
      <c r="E25" s="20"/>
      <c r="F25" s="20"/>
    </row>
    <row r="26" spans="2:6" x14ac:dyDescent="0.2">
      <c r="B26" s="103"/>
      <c r="C26" s="20"/>
      <c r="D26" s="20"/>
      <c r="E26" s="20"/>
      <c r="F26" s="20"/>
    </row>
    <row r="27" spans="2:6" x14ac:dyDescent="0.2">
      <c r="B27" s="103"/>
      <c r="C27" s="108" t="s">
        <v>88</v>
      </c>
      <c r="D27" s="20"/>
      <c r="E27" s="20"/>
      <c r="F27" s="20"/>
    </row>
    <row r="28" spans="2:6" x14ac:dyDescent="0.2">
      <c r="B28" s="103">
        <v>1</v>
      </c>
      <c r="C28" s="20" t="s">
        <v>89</v>
      </c>
      <c r="D28" s="20" t="s">
        <v>91</v>
      </c>
      <c r="E28" s="20" t="s">
        <v>93</v>
      </c>
      <c r="F28" s="20" t="s">
        <v>97</v>
      </c>
    </row>
    <row r="29" spans="2:6" x14ac:dyDescent="0.2">
      <c r="B29" s="103"/>
      <c r="C29" s="20"/>
      <c r="D29" s="20" t="s">
        <v>92</v>
      </c>
      <c r="E29" s="20" t="s">
        <v>94</v>
      </c>
      <c r="F29" s="20"/>
    </row>
    <row r="30" spans="2:6" x14ac:dyDescent="0.2">
      <c r="B30" s="103"/>
      <c r="C30" s="20"/>
      <c r="D30" s="20"/>
      <c r="E30" s="20"/>
      <c r="F30" s="20"/>
    </row>
    <row r="31" spans="2:6" x14ac:dyDescent="0.2">
      <c r="B31" s="103">
        <v>2</v>
      </c>
      <c r="C31" s="20" t="s">
        <v>98</v>
      </c>
      <c r="D31" s="20" t="s">
        <v>99</v>
      </c>
      <c r="E31" s="20"/>
      <c r="F31" s="20"/>
    </row>
    <row r="32" spans="2:6" x14ac:dyDescent="0.2">
      <c r="B32" s="103"/>
      <c r="C32" s="20"/>
      <c r="D32" s="20" t="s">
        <v>25</v>
      </c>
      <c r="E32" s="20"/>
      <c r="F32" s="20"/>
    </row>
    <row r="33" spans="2:6" x14ac:dyDescent="0.2">
      <c r="B33" s="103"/>
      <c r="C33" s="20"/>
      <c r="D33" s="20" t="s">
        <v>100</v>
      </c>
      <c r="E33" s="20"/>
      <c r="F33" s="20"/>
    </row>
    <row r="34" spans="2:6" x14ac:dyDescent="0.2">
      <c r="B34" s="103"/>
      <c r="C34" s="20"/>
      <c r="D34" s="20"/>
      <c r="E34" s="20"/>
      <c r="F34" s="20"/>
    </row>
    <row r="35" spans="2:6" x14ac:dyDescent="0.2">
      <c r="B35" s="103">
        <v>3</v>
      </c>
      <c r="C35" s="20" t="s">
        <v>101</v>
      </c>
      <c r="D35" s="20" t="s">
        <v>25</v>
      </c>
      <c r="E35" s="20"/>
      <c r="F35" s="20"/>
    </row>
    <row r="36" spans="2:6" x14ac:dyDescent="0.2">
      <c r="B36" s="103"/>
      <c r="C36" s="20"/>
      <c r="D36" s="20" t="s">
        <v>102</v>
      </c>
      <c r="E36" s="20"/>
      <c r="F36" s="20"/>
    </row>
    <row r="37" spans="2:6" x14ac:dyDescent="0.2">
      <c r="B37" s="103"/>
      <c r="C37" s="20"/>
      <c r="D37" s="20" t="s">
        <v>103</v>
      </c>
      <c r="E37" s="20"/>
      <c r="F37" s="20"/>
    </row>
    <row r="38" spans="2:6" x14ac:dyDescent="0.2">
      <c r="B38" s="103"/>
      <c r="C38" s="20"/>
      <c r="D38" s="20" t="s">
        <v>104</v>
      </c>
      <c r="E38" s="20"/>
      <c r="F38" s="20"/>
    </row>
    <row r="39" spans="2:6" x14ac:dyDescent="0.2">
      <c r="B39" s="103"/>
      <c r="C39" s="20"/>
      <c r="D39" s="20"/>
      <c r="E39" s="20"/>
      <c r="F39" s="20"/>
    </row>
    <row r="40" spans="2:6" x14ac:dyDescent="0.2">
      <c r="B40" s="103">
        <v>4</v>
      </c>
      <c r="C40" s="20" t="s">
        <v>109</v>
      </c>
      <c r="D40" s="20" t="s">
        <v>105</v>
      </c>
      <c r="E40" s="20" t="s">
        <v>107</v>
      </c>
      <c r="F40" s="20" t="s">
        <v>108</v>
      </c>
    </row>
    <row r="41" spans="2:6" x14ac:dyDescent="0.2">
      <c r="B41" s="103"/>
      <c r="C41" s="20"/>
      <c r="D41" s="20" t="s">
        <v>106</v>
      </c>
      <c r="E41" s="20"/>
      <c r="F41" s="20"/>
    </row>
    <row r="42" spans="2:6" x14ac:dyDescent="0.2">
      <c r="B42" s="103"/>
      <c r="C42" s="20"/>
      <c r="D42" s="20" t="s">
        <v>110</v>
      </c>
      <c r="E42" s="20" t="s">
        <v>111</v>
      </c>
      <c r="F42" s="20" t="s">
        <v>108</v>
      </c>
    </row>
    <row r="43" spans="2:6" x14ac:dyDescent="0.2">
      <c r="B43" s="103"/>
      <c r="C43" s="20"/>
      <c r="D43" s="20"/>
      <c r="E43" s="106" t="s">
        <v>125</v>
      </c>
      <c r="F43" s="20"/>
    </row>
    <row r="44" spans="2:6" x14ac:dyDescent="0.2">
      <c r="B44" s="103"/>
      <c r="C44" s="20"/>
      <c r="D44" s="20"/>
      <c r="E44" s="20"/>
      <c r="F44" s="20"/>
    </row>
    <row r="45" spans="2:6" ht="25.5" x14ac:dyDescent="0.2">
      <c r="B45" s="103">
        <v>5</v>
      </c>
      <c r="C45" s="20" t="s">
        <v>112</v>
      </c>
      <c r="D45" s="20" t="s">
        <v>114</v>
      </c>
      <c r="E45" s="106" t="s">
        <v>117</v>
      </c>
      <c r="F45" s="20" t="s">
        <v>118</v>
      </c>
    </row>
    <row r="46" spans="2:6" x14ac:dyDescent="0.2">
      <c r="B46" s="103"/>
      <c r="C46" s="20" t="s">
        <v>113</v>
      </c>
      <c r="D46" s="20" t="s">
        <v>115</v>
      </c>
      <c r="E46" s="20"/>
      <c r="F46" s="20"/>
    </row>
    <row r="47" spans="2:6" x14ac:dyDescent="0.2">
      <c r="B47" s="103"/>
      <c r="C47" s="20"/>
      <c r="D47" s="20" t="s">
        <v>116</v>
      </c>
      <c r="E47" s="20"/>
      <c r="F47" s="20"/>
    </row>
    <row r="48" spans="2:6" x14ac:dyDescent="0.2">
      <c r="B48" s="103"/>
      <c r="C48" s="20"/>
      <c r="D48" s="20"/>
      <c r="E48" s="20"/>
      <c r="F48" s="20"/>
    </row>
    <row r="49" spans="2:6" x14ac:dyDescent="0.2">
      <c r="B49" s="103">
        <v>6</v>
      </c>
      <c r="C49" s="20" t="s">
        <v>119</v>
      </c>
      <c r="D49" s="20" t="s">
        <v>120</v>
      </c>
      <c r="E49" s="20"/>
      <c r="F49" s="20"/>
    </row>
    <row r="50" spans="2:6" x14ac:dyDescent="0.2">
      <c r="B50" s="103"/>
      <c r="C50" s="20"/>
      <c r="D50" s="20" t="s">
        <v>121</v>
      </c>
      <c r="E50" s="20"/>
      <c r="F50" s="20"/>
    </row>
    <row r="51" spans="2:6" x14ac:dyDescent="0.2">
      <c r="B51" s="103"/>
      <c r="C51" s="20"/>
      <c r="D51" s="20"/>
      <c r="E51" s="20"/>
      <c r="F51" s="20"/>
    </row>
    <row r="52" spans="2:6" x14ac:dyDescent="0.2">
      <c r="B52" s="103">
        <v>7</v>
      </c>
      <c r="C52" s="20" t="s">
        <v>122</v>
      </c>
      <c r="D52" s="20" t="s">
        <v>124</v>
      </c>
      <c r="E52" s="20"/>
      <c r="F52" s="20"/>
    </row>
    <row r="53" spans="2:6" ht="25.5" x14ac:dyDescent="0.2">
      <c r="B53" s="103"/>
      <c r="C53" s="20"/>
      <c r="D53" s="106" t="s">
        <v>123</v>
      </c>
      <c r="E53" s="20"/>
      <c r="F53" s="20"/>
    </row>
    <row r="54" spans="2:6" x14ac:dyDescent="0.2">
      <c r="B54" s="103"/>
      <c r="C54" s="20"/>
      <c r="D54" s="20"/>
      <c r="E54" s="20"/>
      <c r="F54" s="20"/>
    </row>
    <row r="55" spans="2:6" x14ac:dyDescent="0.2">
      <c r="B55" s="103"/>
      <c r="C55" s="20"/>
      <c r="D55" s="20"/>
      <c r="E55" s="20"/>
      <c r="F55" s="20"/>
    </row>
    <row r="56" spans="2:6" x14ac:dyDescent="0.2">
      <c r="B56" s="103"/>
      <c r="C56" s="108" t="s">
        <v>151</v>
      </c>
      <c r="D56" s="20"/>
      <c r="E56" s="20"/>
      <c r="F56" s="20"/>
    </row>
    <row r="57" spans="2:6" x14ac:dyDescent="0.2">
      <c r="B57" s="103">
        <v>1</v>
      </c>
      <c r="C57" s="20" t="s">
        <v>152</v>
      </c>
      <c r="D57" s="20" t="s">
        <v>153</v>
      </c>
      <c r="E57" s="20"/>
      <c r="F57" s="20"/>
    </row>
    <row r="58" spans="2:6" x14ac:dyDescent="0.2">
      <c r="B58" s="103"/>
      <c r="C58" s="20"/>
      <c r="D58" s="20" t="s">
        <v>154</v>
      </c>
      <c r="E58" s="20"/>
      <c r="F58" s="20"/>
    </row>
    <row r="59" spans="2:6" x14ac:dyDescent="0.2">
      <c r="B59" s="103"/>
      <c r="C59" s="20"/>
      <c r="D59" s="20" t="s">
        <v>155</v>
      </c>
      <c r="E59" s="20"/>
      <c r="F59" s="20"/>
    </row>
    <row r="60" spans="2:6" x14ac:dyDescent="0.2">
      <c r="B60" s="103"/>
      <c r="C60" s="20"/>
      <c r="D60" s="20"/>
      <c r="E60" s="20"/>
      <c r="F60" s="20"/>
    </row>
    <row r="61" spans="2:6" x14ac:dyDescent="0.2">
      <c r="B61" s="103">
        <v>2</v>
      </c>
      <c r="C61" s="20" t="s">
        <v>156</v>
      </c>
      <c r="D61" s="20" t="s">
        <v>157</v>
      </c>
      <c r="E61" s="20"/>
      <c r="F61" s="20"/>
    </row>
    <row r="62" spans="2:6" x14ac:dyDescent="0.2">
      <c r="B62" s="103"/>
      <c r="C62" s="20"/>
      <c r="D62" s="20"/>
      <c r="E62" s="20"/>
      <c r="F62" s="20"/>
    </row>
    <row r="63" spans="2:6" x14ac:dyDescent="0.2">
      <c r="B63" s="103">
        <v>3</v>
      </c>
      <c r="C63" s="20" t="s">
        <v>158</v>
      </c>
      <c r="D63" s="20" t="s">
        <v>159</v>
      </c>
      <c r="E63" s="20"/>
      <c r="F63" s="20"/>
    </row>
    <row r="64" spans="2:6" x14ac:dyDescent="0.2">
      <c r="B64" s="103"/>
      <c r="C64" s="20"/>
      <c r="D64" s="20"/>
      <c r="E64" s="20"/>
      <c r="F64" s="20"/>
    </row>
    <row r="65" spans="2:6" ht="25.5" x14ac:dyDescent="0.2">
      <c r="B65" s="103">
        <v>4</v>
      </c>
      <c r="C65" s="20" t="s">
        <v>160</v>
      </c>
      <c r="D65" s="20" t="s">
        <v>161</v>
      </c>
      <c r="E65" s="106" t="s">
        <v>166</v>
      </c>
      <c r="F65" s="20" t="s">
        <v>167</v>
      </c>
    </row>
    <row r="66" spans="2:6" x14ac:dyDescent="0.2">
      <c r="B66" s="103"/>
      <c r="C66" s="20"/>
      <c r="D66" s="20" t="s">
        <v>162</v>
      </c>
      <c r="E66" s="20" t="s">
        <v>168</v>
      </c>
      <c r="F66" s="20"/>
    </row>
    <row r="67" spans="2:6" x14ac:dyDescent="0.2">
      <c r="B67" s="103"/>
      <c r="C67" s="20"/>
      <c r="D67" s="20" t="s">
        <v>163</v>
      </c>
      <c r="E67" s="20"/>
      <c r="F67" s="20"/>
    </row>
    <row r="68" spans="2:6" x14ac:dyDescent="0.2">
      <c r="B68" s="103"/>
      <c r="C68" s="20"/>
      <c r="D68" s="20" t="s">
        <v>164</v>
      </c>
      <c r="E68" s="20"/>
      <c r="F68" s="20"/>
    </row>
    <row r="69" spans="2:6" x14ac:dyDescent="0.2">
      <c r="B69" s="103"/>
      <c r="C69" s="20"/>
      <c r="D69" s="20" t="s">
        <v>165</v>
      </c>
      <c r="E69" s="20"/>
      <c r="F69" s="20"/>
    </row>
    <row r="70" spans="2:6" x14ac:dyDescent="0.2">
      <c r="B70" s="103"/>
      <c r="C70" s="20"/>
      <c r="D70" s="20"/>
      <c r="E70" s="20"/>
      <c r="F70" s="20"/>
    </row>
    <row r="71" spans="2:6" x14ac:dyDescent="0.2">
      <c r="B71" s="103">
        <v>5</v>
      </c>
      <c r="C71" s="20" t="s">
        <v>169</v>
      </c>
      <c r="D71" s="20" t="s">
        <v>170</v>
      </c>
      <c r="E71" s="20"/>
      <c r="F71" s="20"/>
    </row>
    <row r="72" spans="2:6" x14ac:dyDescent="0.2">
      <c r="B72" s="103"/>
      <c r="C72" s="20"/>
      <c r="D72" s="20" t="s">
        <v>171</v>
      </c>
      <c r="E72" s="20"/>
      <c r="F72" s="20"/>
    </row>
    <row r="73" spans="2:6" x14ac:dyDescent="0.2">
      <c r="B73" s="103"/>
      <c r="C73" s="20"/>
      <c r="D73" s="20" t="s">
        <v>172</v>
      </c>
      <c r="E73" s="20" t="s">
        <v>173</v>
      </c>
      <c r="F73" s="20" t="s">
        <v>174</v>
      </c>
    </row>
    <row r="74" spans="2:6" x14ac:dyDescent="0.2">
      <c r="B74" s="103"/>
      <c r="C74" s="20"/>
      <c r="D74" s="20" t="s">
        <v>175</v>
      </c>
      <c r="E74" s="20"/>
      <c r="F74" s="20"/>
    </row>
    <row r="75" spans="2:6" x14ac:dyDescent="0.2">
      <c r="B75" s="103"/>
      <c r="C75" s="20"/>
      <c r="D75" s="20"/>
      <c r="E75" s="20"/>
      <c r="F75" s="20"/>
    </row>
    <row r="76" spans="2:6" x14ac:dyDescent="0.2">
      <c r="B76" s="103">
        <v>6</v>
      </c>
      <c r="C76" s="20" t="s">
        <v>176</v>
      </c>
      <c r="D76" s="20" t="s">
        <v>177</v>
      </c>
      <c r="E76" s="20"/>
      <c r="F76" s="20"/>
    </row>
    <row r="77" spans="2:6" x14ac:dyDescent="0.2">
      <c r="B77" s="103"/>
      <c r="C77" s="20"/>
      <c r="D77" s="20" t="s">
        <v>178</v>
      </c>
      <c r="E77" s="20"/>
      <c r="F77" s="20"/>
    </row>
    <row r="78" spans="2:6" x14ac:dyDescent="0.2">
      <c r="B78" s="103"/>
      <c r="C78" s="20"/>
      <c r="D78" s="20"/>
      <c r="E78" s="20"/>
      <c r="F78" s="20"/>
    </row>
    <row r="79" spans="2:6" x14ac:dyDescent="0.2">
      <c r="B79" s="103">
        <v>7</v>
      </c>
      <c r="C79" s="20" t="s">
        <v>179</v>
      </c>
      <c r="D79" s="20" t="s">
        <v>180</v>
      </c>
      <c r="E79" s="20"/>
      <c r="F79" s="20"/>
    </row>
    <row r="80" spans="2:6" x14ac:dyDescent="0.2">
      <c r="B80" s="103"/>
      <c r="C80" s="20"/>
      <c r="D80" s="20" t="s">
        <v>181</v>
      </c>
      <c r="E80" s="20"/>
      <c r="F80" s="20"/>
    </row>
    <row r="81" spans="2:6" x14ac:dyDescent="0.2">
      <c r="B81" s="103"/>
      <c r="C81" s="20"/>
      <c r="D81" s="20"/>
      <c r="E81" s="20"/>
      <c r="F81" s="20"/>
    </row>
    <row r="82" spans="2:6" x14ac:dyDescent="0.2">
      <c r="B82" s="103">
        <v>8</v>
      </c>
      <c r="C82" s="20" t="s">
        <v>182</v>
      </c>
      <c r="D82" s="20" t="s">
        <v>183</v>
      </c>
      <c r="E82" s="20" t="s">
        <v>185</v>
      </c>
      <c r="F82" s="20"/>
    </row>
    <row r="83" spans="2:6" x14ac:dyDescent="0.2">
      <c r="B83" s="103"/>
      <c r="C83" s="20"/>
      <c r="D83" s="20" t="s">
        <v>184</v>
      </c>
      <c r="E83" s="20" t="s">
        <v>186</v>
      </c>
      <c r="F83" s="20"/>
    </row>
    <row r="84" spans="2:6" x14ac:dyDescent="0.2">
      <c r="B84" s="103"/>
      <c r="C84" s="20"/>
      <c r="D84" s="20"/>
      <c r="E84" s="20"/>
      <c r="F84" s="20"/>
    </row>
    <row r="85" spans="2:6" x14ac:dyDescent="0.2">
      <c r="B85" s="103">
        <v>9</v>
      </c>
      <c r="C85" s="20" t="s">
        <v>187</v>
      </c>
      <c r="D85" s="20" t="s">
        <v>188</v>
      </c>
      <c r="E85" s="23"/>
      <c r="F85" s="20"/>
    </row>
    <row r="86" spans="2:6" x14ac:dyDescent="0.2">
      <c r="B86" s="103"/>
      <c r="C86" s="20"/>
      <c r="D86" s="20" t="s">
        <v>189</v>
      </c>
      <c r="E86" s="20"/>
      <c r="F86" s="20"/>
    </row>
    <row r="87" spans="2:6" x14ac:dyDescent="0.2">
      <c r="B87" s="103"/>
      <c r="C87" s="20"/>
      <c r="D87" s="20" t="s">
        <v>190</v>
      </c>
      <c r="E87" s="20"/>
      <c r="F87" s="20"/>
    </row>
    <row r="88" spans="2:6" ht="25.5" x14ac:dyDescent="0.2">
      <c r="B88" s="103"/>
      <c r="C88" s="20"/>
      <c r="D88" s="109" t="s">
        <v>210</v>
      </c>
      <c r="E88" s="23" t="s">
        <v>211</v>
      </c>
      <c r="F88" s="20"/>
    </row>
    <row r="89" spans="2:6" x14ac:dyDescent="0.2">
      <c r="B89" s="103"/>
      <c r="C89" s="20"/>
      <c r="D89" s="20" t="s">
        <v>191</v>
      </c>
      <c r="E89" s="20"/>
      <c r="F89" s="20"/>
    </row>
    <row r="90" spans="2:6" x14ac:dyDescent="0.2">
      <c r="B90" s="103"/>
      <c r="C90" s="20"/>
      <c r="D90" s="20"/>
      <c r="E90" s="20"/>
      <c r="F90" s="20"/>
    </row>
    <row r="91" spans="2:6" x14ac:dyDescent="0.2">
      <c r="B91" s="103">
        <v>10</v>
      </c>
      <c r="C91" s="20" t="s">
        <v>110</v>
      </c>
      <c r="D91" s="20" t="s">
        <v>192</v>
      </c>
      <c r="E91" s="20"/>
      <c r="F91" s="20"/>
    </row>
    <row r="92" spans="2:6" x14ac:dyDescent="0.2">
      <c r="B92" s="103"/>
      <c r="C92" s="20"/>
      <c r="D92" s="20"/>
      <c r="E92" s="20"/>
      <c r="F92" s="20"/>
    </row>
    <row r="93" spans="2:6" x14ac:dyDescent="0.2">
      <c r="B93" s="103">
        <v>11</v>
      </c>
      <c r="C93" s="20" t="s">
        <v>193</v>
      </c>
      <c r="D93" s="20" t="s">
        <v>194</v>
      </c>
      <c r="E93" s="20"/>
      <c r="F93" s="20"/>
    </row>
    <row r="94" spans="2:6" x14ac:dyDescent="0.2">
      <c r="B94" s="103"/>
      <c r="C94" s="20"/>
      <c r="D94" s="20"/>
      <c r="E94" s="20"/>
      <c r="F94" s="20"/>
    </row>
    <row r="95" spans="2:6" x14ac:dyDescent="0.2">
      <c r="B95" s="103">
        <v>12</v>
      </c>
      <c r="C95" s="20" t="s">
        <v>195</v>
      </c>
      <c r="D95" s="20" t="s">
        <v>77</v>
      </c>
      <c r="E95" s="20" t="s">
        <v>206</v>
      </c>
      <c r="F95" s="20"/>
    </row>
    <row r="96" spans="2:6" x14ac:dyDescent="0.2">
      <c r="B96" s="103"/>
      <c r="C96" s="20"/>
      <c r="D96" s="20" t="s">
        <v>204</v>
      </c>
      <c r="E96" s="20" t="s">
        <v>207</v>
      </c>
      <c r="F96" s="20"/>
    </row>
    <row r="97" spans="2:6" x14ac:dyDescent="0.2">
      <c r="B97" s="103"/>
      <c r="C97" s="20"/>
      <c r="D97" s="20"/>
      <c r="E97" s="20" t="s">
        <v>205</v>
      </c>
      <c r="F97" s="20"/>
    </row>
    <row r="98" spans="2:6" x14ac:dyDescent="0.2">
      <c r="B98" s="103"/>
      <c r="C98" s="20"/>
      <c r="D98" s="20"/>
      <c r="E98" s="20"/>
      <c r="F98" s="20"/>
    </row>
    <row r="99" spans="2:6" x14ac:dyDescent="0.2">
      <c r="B99" s="103">
        <v>13</v>
      </c>
      <c r="C99" s="20" t="s">
        <v>196</v>
      </c>
      <c r="D99" s="20" t="s">
        <v>197</v>
      </c>
      <c r="E99" s="20"/>
      <c r="F99" s="20"/>
    </row>
    <row r="100" spans="2:6" x14ac:dyDescent="0.2">
      <c r="B100" s="103"/>
      <c r="C100" s="20"/>
      <c r="D100" s="20" t="s">
        <v>198</v>
      </c>
      <c r="E100" s="20"/>
      <c r="F100" s="20"/>
    </row>
    <row r="101" spans="2:6" x14ac:dyDescent="0.2">
      <c r="B101" s="103"/>
      <c r="C101" s="20"/>
      <c r="D101" s="20" t="s">
        <v>199</v>
      </c>
      <c r="E101" s="20"/>
      <c r="F101" s="20"/>
    </row>
    <row r="102" spans="2:6" x14ac:dyDescent="0.2">
      <c r="B102" s="103"/>
      <c r="C102" s="20"/>
      <c r="D102" s="20"/>
      <c r="E102" s="20"/>
      <c r="F102" s="20"/>
    </row>
    <row r="103" spans="2:6" x14ac:dyDescent="0.2">
      <c r="B103" s="103">
        <v>14</v>
      </c>
      <c r="C103" s="20" t="s">
        <v>200</v>
      </c>
      <c r="D103" s="20" t="s">
        <v>201</v>
      </c>
      <c r="E103" s="20" t="s">
        <v>203</v>
      </c>
      <c r="F103" s="20"/>
    </row>
    <row r="104" spans="2:6" x14ac:dyDescent="0.2">
      <c r="B104" s="103"/>
      <c r="C104" s="20"/>
      <c r="D104" s="20" t="s">
        <v>202</v>
      </c>
      <c r="E104" s="20"/>
      <c r="F104" s="20"/>
    </row>
    <row r="105" spans="2:6" x14ac:dyDescent="0.2">
      <c r="B105" s="103"/>
      <c r="C105" s="20"/>
      <c r="D105" s="20"/>
      <c r="E105" s="20"/>
      <c r="F105" s="20"/>
    </row>
    <row r="106" spans="2:6" x14ac:dyDescent="0.2">
      <c r="B106" s="103"/>
      <c r="C106" s="20"/>
      <c r="D106" s="20"/>
      <c r="E106" s="20"/>
      <c r="F106" s="20"/>
    </row>
    <row r="107" spans="2:6" x14ac:dyDescent="0.2">
      <c r="B107" s="103"/>
      <c r="C107" s="20"/>
      <c r="D107" s="20"/>
      <c r="E107" s="20"/>
      <c r="F107" s="20"/>
    </row>
    <row r="108" spans="2:6" x14ac:dyDescent="0.2">
      <c r="B108" s="103"/>
      <c r="C108" s="20"/>
      <c r="D108" s="20"/>
      <c r="E108" s="20"/>
      <c r="F10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64"/>
  <sheetViews>
    <sheetView zoomScale="80" zoomScaleNormal="80" workbookViewId="0">
      <selection activeCell="C9" sqref="C9"/>
    </sheetView>
  </sheetViews>
  <sheetFormatPr defaultRowHeight="12.75" x14ac:dyDescent="0.2"/>
  <cols>
    <col min="1" max="1" width="9.140625" style="104"/>
    <col min="2" max="2" width="59.42578125" style="104" bestFit="1" customWidth="1"/>
    <col min="3" max="3" width="12.28515625" style="104" bestFit="1" customWidth="1"/>
    <col min="4" max="4" width="40" style="104" bestFit="1" customWidth="1"/>
    <col min="5" max="16384" width="9.140625" style="104"/>
  </cols>
  <sheetData>
    <row r="2" spans="2:7" ht="18" x14ac:dyDescent="0.25">
      <c r="B2" s="125" t="s">
        <v>279</v>
      </c>
    </row>
    <row r="3" spans="2:7" x14ac:dyDescent="0.2">
      <c r="B3" s="20"/>
      <c r="C3" s="20"/>
      <c r="D3" s="20"/>
      <c r="E3" s="20"/>
      <c r="F3" s="20"/>
      <c r="G3" s="20"/>
    </row>
    <row r="4" spans="2:7" x14ac:dyDescent="0.2">
      <c r="B4" s="20" t="s">
        <v>114</v>
      </c>
      <c r="C4" s="113">
        <v>5</v>
      </c>
      <c r="D4" s="20"/>
      <c r="E4" s="20"/>
      <c r="F4" s="20"/>
      <c r="G4" s="20"/>
    </row>
    <row r="5" spans="2:7" x14ac:dyDescent="0.2">
      <c r="B5" s="20"/>
      <c r="C5" s="20"/>
      <c r="D5" s="20"/>
      <c r="E5" s="20"/>
      <c r="F5" s="20"/>
      <c r="G5" s="20"/>
    </row>
    <row r="6" spans="2:7" x14ac:dyDescent="0.2">
      <c r="B6" s="108" t="s">
        <v>98</v>
      </c>
      <c r="C6" s="20"/>
      <c r="D6" s="20"/>
      <c r="E6" s="20"/>
      <c r="F6" s="20"/>
      <c r="G6" s="20"/>
    </row>
    <row r="7" spans="2:7" x14ac:dyDescent="0.2">
      <c r="B7" s="20" t="s">
        <v>99</v>
      </c>
      <c r="C7" s="130">
        <v>14</v>
      </c>
      <c r="D7" s="20"/>
      <c r="E7" s="20"/>
      <c r="F7" s="20"/>
      <c r="G7" s="20"/>
    </row>
    <row r="8" spans="2:7" x14ac:dyDescent="0.2">
      <c r="B8" s="20" t="s">
        <v>25</v>
      </c>
      <c r="C8" s="130">
        <v>5</v>
      </c>
      <c r="D8" s="20"/>
      <c r="E8" s="20"/>
      <c r="F8" s="20"/>
      <c r="G8" s="20"/>
    </row>
    <row r="9" spans="2:7" x14ac:dyDescent="0.2">
      <c r="B9" s="20" t="s">
        <v>319</v>
      </c>
      <c r="C9" s="152">
        <f>C8/C7</f>
        <v>0.35714285714285715</v>
      </c>
      <c r="D9" s="20"/>
      <c r="E9" s="20"/>
      <c r="F9" s="20"/>
      <c r="G9" s="20"/>
    </row>
    <row r="10" spans="2:7" x14ac:dyDescent="0.2">
      <c r="B10" s="20" t="s">
        <v>100</v>
      </c>
      <c r="C10" s="110">
        <f>C7/C8</f>
        <v>2.8</v>
      </c>
      <c r="D10" s="20" t="s">
        <v>268</v>
      </c>
      <c r="E10" s="20"/>
      <c r="F10" s="20"/>
      <c r="G10" s="20"/>
    </row>
    <row r="11" spans="2:7" x14ac:dyDescent="0.2">
      <c r="B11" s="20"/>
      <c r="C11" s="20"/>
      <c r="D11" s="20"/>
      <c r="E11" s="20"/>
      <c r="F11" s="20"/>
      <c r="G11" s="20"/>
    </row>
    <row r="12" spans="2:7" x14ac:dyDescent="0.2">
      <c r="B12" s="108" t="s">
        <v>101</v>
      </c>
      <c r="C12" s="20"/>
      <c r="D12" s="20"/>
      <c r="E12" s="20"/>
      <c r="F12" s="20"/>
      <c r="G12" s="20"/>
    </row>
    <row r="13" spans="2:7" x14ac:dyDescent="0.2">
      <c r="B13" s="20" t="s">
        <v>25</v>
      </c>
      <c r="C13" s="130">
        <v>-2.66</v>
      </c>
      <c r="D13" s="20"/>
      <c r="E13" s="20"/>
      <c r="F13" s="20"/>
      <c r="G13" s="20"/>
    </row>
    <row r="14" spans="2:7" x14ac:dyDescent="0.2">
      <c r="B14" s="20" t="s">
        <v>102</v>
      </c>
      <c r="C14" s="130">
        <v>28</v>
      </c>
      <c r="D14" s="20"/>
      <c r="E14" s="20"/>
      <c r="F14" s="20"/>
      <c r="G14" s="20"/>
    </row>
    <row r="15" spans="2:7" x14ac:dyDescent="0.2">
      <c r="B15" s="20" t="s">
        <v>103</v>
      </c>
      <c r="C15" s="130">
        <v>1000</v>
      </c>
      <c r="D15" s="20"/>
      <c r="E15" s="20"/>
      <c r="F15" s="20"/>
      <c r="G15" s="20"/>
    </row>
    <row r="16" spans="2:7" x14ac:dyDescent="0.2">
      <c r="B16" s="20" t="s">
        <v>104</v>
      </c>
      <c r="C16" s="20">
        <f>C15*C13</f>
        <v>-2660</v>
      </c>
      <c r="D16" s="20" t="s">
        <v>268</v>
      </c>
      <c r="E16" s="20"/>
      <c r="F16" s="20"/>
      <c r="G16" s="20"/>
    </row>
    <row r="17" spans="2:7" x14ac:dyDescent="0.2">
      <c r="B17" s="20"/>
      <c r="C17" s="20"/>
      <c r="D17" s="20"/>
      <c r="E17" s="20"/>
      <c r="F17" s="20"/>
      <c r="G17" s="20"/>
    </row>
    <row r="18" spans="2:7" x14ac:dyDescent="0.2">
      <c r="B18" s="108" t="s">
        <v>112</v>
      </c>
      <c r="C18" s="20"/>
      <c r="D18" s="20"/>
      <c r="E18" s="20"/>
      <c r="F18" s="20"/>
      <c r="G18" s="20"/>
    </row>
    <row r="19" spans="2:7" x14ac:dyDescent="0.2">
      <c r="B19" s="20" t="s">
        <v>114</v>
      </c>
      <c r="C19" s="130">
        <f>C4</f>
        <v>5</v>
      </c>
      <c r="D19" s="20"/>
      <c r="E19" s="20"/>
      <c r="F19" s="20"/>
      <c r="G19" s="20"/>
    </row>
    <row r="20" spans="2:7" x14ac:dyDescent="0.2">
      <c r="B20" s="20" t="s">
        <v>115</v>
      </c>
      <c r="C20" s="111">
        <v>0.08</v>
      </c>
      <c r="D20" s="20"/>
      <c r="E20" s="20"/>
      <c r="F20" s="20"/>
      <c r="G20" s="20"/>
    </row>
    <row r="21" spans="2:7" x14ac:dyDescent="0.2">
      <c r="B21" s="20" t="s">
        <v>116</v>
      </c>
      <c r="C21" s="112">
        <f>C19/C20</f>
        <v>62.5</v>
      </c>
      <c r="D21" s="20" t="s">
        <v>268</v>
      </c>
      <c r="E21" s="20"/>
      <c r="F21" s="20"/>
      <c r="G21" s="20"/>
    </row>
    <row r="22" spans="2:7" x14ac:dyDescent="0.2">
      <c r="B22" s="20"/>
      <c r="C22" s="20"/>
      <c r="D22" s="20"/>
      <c r="E22" s="20"/>
      <c r="F22" s="20"/>
      <c r="G22" s="20"/>
    </row>
    <row r="23" spans="2:7" x14ac:dyDescent="0.2">
      <c r="B23" s="108" t="s">
        <v>227</v>
      </c>
      <c r="C23" s="20"/>
      <c r="D23" s="20"/>
      <c r="E23" s="20"/>
      <c r="F23" s="20"/>
      <c r="G23" s="20"/>
    </row>
    <row r="24" spans="2:7" x14ac:dyDescent="0.2">
      <c r="B24" s="20" t="s">
        <v>99</v>
      </c>
      <c r="C24" s="130">
        <v>14</v>
      </c>
      <c r="D24" s="20"/>
      <c r="E24" s="20"/>
      <c r="F24" s="20"/>
      <c r="G24" s="20"/>
    </row>
    <row r="25" spans="2:7" x14ac:dyDescent="0.2">
      <c r="B25" s="20" t="s">
        <v>114</v>
      </c>
      <c r="C25" s="130">
        <v>-2.66</v>
      </c>
      <c r="D25" s="20"/>
      <c r="E25" s="20"/>
      <c r="F25" s="20"/>
      <c r="G25" s="20"/>
    </row>
    <row r="26" spans="2:7" x14ac:dyDescent="0.2">
      <c r="B26" s="20" t="s">
        <v>228</v>
      </c>
      <c r="C26" s="20">
        <f>C24/C25</f>
        <v>-5.2631578947368416</v>
      </c>
      <c r="D26" s="20"/>
      <c r="E26" s="20"/>
      <c r="F26" s="20"/>
      <c r="G26" s="20"/>
    </row>
    <row r="27" spans="2:7" x14ac:dyDescent="0.2">
      <c r="B27" s="20" t="s">
        <v>77</v>
      </c>
      <c r="C27" s="130">
        <v>15</v>
      </c>
      <c r="D27" s="20"/>
      <c r="E27" s="20"/>
      <c r="F27" s="20"/>
      <c r="G27" s="20"/>
    </row>
    <row r="28" spans="2:7" x14ac:dyDescent="0.2">
      <c r="B28" s="20" t="s">
        <v>229</v>
      </c>
      <c r="C28" s="131">
        <v>1</v>
      </c>
      <c r="D28" s="20"/>
      <c r="E28" s="20"/>
      <c r="F28" s="20"/>
      <c r="G28" s="20"/>
    </row>
    <row r="29" spans="2:7" x14ac:dyDescent="0.2">
      <c r="B29" s="20" t="s">
        <v>230</v>
      </c>
      <c r="C29" s="22">
        <v>139.13</v>
      </c>
      <c r="D29" s="20"/>
      <c r="E29" s="20"/>
      <c r="F29" s="20"/>
      <c r="G29" s="20"/>
    </row>
    <row r="30" spans="2:7" x14ac:dyDescent="0.2">
      <c r="B30" s="20" t="s">
        <v>231</v>
      </c>
      <c r="C30" s="132">
        <v>2.5499999999999998E-2</v>
      </c>
      <c r="D30" s="20"/>
      <c r="E30" s="20"/>
      <c r="F30" s="20"/>
      <c r="G30" s="20"/>
    </row>
    <row r="31" spans="2:7" x14ac:dyDescent="0.2">
      <c r="B31" s="20" t="s">
        <v>232</v>
      </c>
      <c r="C31" s="132">
        <v>3.1899999999999998E-2</v>
      </c>
      <c r="D31" s="20"/>
      <c r="E31" s="20"/>
      <c r="F31" s="20"/>
      <c r="G31" s="20"/>
    </row>
    <row r="32" spans="2:7" x14ac:dyDescent="0.2">
      <c r="B32" s="20" t="s">
        <v>233</v>
      </c>
      <c r="C32" s="132"/>
      <c r="D32" s="20"/>
      <c r="E32" s="20"/>
      <c r="F32" s="20"/>
      <c r="G32" s="20"/>
    </row>
    <row r="33" spans="2:7" x14ac:dyDescent="0.2">
      <c r="B33" s="20" t="s">
        <v>267</v>
      </c>
      <c r="C33" s="132">
        <v>3.44E-2</v>
      </c>
      <c r="D33" s="20"/>
      <c r="E33" s="20"/>
      <c r="F33" s="20"/>
      <c r="G33" s="20"/>
    </row>
    <row r="34" spans="2:7" x14ac:dyDescent="0.2">
      <c r="B34" s="20" t="s">
        <v>266</v>
      </c>
      <c r="C34" s="132">
        <v>0.1241</v>
      </c>
      <c r="D34" s="20"/>
      <c r="E34" s="20"/>
      <c r="F34" s="20"/>
      <c r="G34" s="20"/>
    </row>
    <row r="35" spans="2:7" x14ac:dyDescent="0.2">
      <c r="B35" s="20"/>
      <c r="C35" s="20"/>
      <c r="D35" s="20"/>
      <c r="E35" s="20"/>
      <c r="F35" s="20"/>
      <c r="G35" s="20"/>
    </row>
    <row r="36" spans="2:7" x14ac:dyDescent="0.2">
      <c r="B36" s="20"/>
      <c r="C36" s="20"/>
      <c r="D36" s="20"/>
      <c r="E36" s="20"/>
      <c r="F36" s="20"/>
      <c r="G36" s="20"/>
    </row>
    <row r="37" spans="2:7" x14ac:dyDescent="0.2">
      <c r="B37" s="108" t="s">
        <v>187</v>
      </c>
      <c r="C37" s="20"/>
      <c r="D37" s="20"/>
      <c r="E37" s="20"/>
      <c r="F37" s="20"/>
      <c r="G37" s="20"/>
    </row>
    <row r="38" spans="2:7" x14ac:dyDescent="0.2">
      <c r="B38" s="20" t="s">
        <v>215</v>
      </c>
      <c r="C38" s="130">
        <v>3141.2</v>
      </c>
      <c r="D38" s="20"/>
      <c r="E38" s="20"/>
      <c r="F38" s="20"/>
      <c r="G38" s="20"/>
    </row>
    <row r="39" spans="2:7" x14ac:dyDescent="0.2">
      <c r="B39" s="20" t="s">
        <v>216</v>
      </c>
      <c r="C39" s="130">
        <v>3384.26</v>
      </c>
      <c r="D39" s="20"/>
      <c r="E39" s="20"/>
      <c r="F39" s="20"/>
      <c r="G39" s="20"/>
    </row>
    <row r="40" spans="2:7" x14ac:dyDescent="0.2">
      <c r="B40" s="20" t="s">
        <v>34</v>
      </c>
      <c r="C40" s="130">
        <v>92.03</v>
      </c>
      <c r="D40" s="20"/>
      <c r="E40" s="20"/>
      <c r="F40" s="20"/>
      <c r="G40" s="20"/>
    </row>
    <row r="41" spans="2:7" x14ac:dyDescent="0.2">
      <c r="B41" s="20" t="s">
        <v>217</v>
      </c>
      <c r="C41" s="130">
        <v>31.09</v>
      </c>
      <c r="D41" s="20"/>
      <c r="E41" s="20"/>
      <c r="F41" s="20"/>
      <c r="G41" s="20"/>
    </row>
    <row r="42" spans="2:7" x14ac:dyDescent="0.2">
      <c r="B42" s="20" t="s">
        <v>218</v>
      </c>
      <c r="C42" s="130">
        <v>1005.03</v>
      </c>
      <c r="D42" s="20"/>
      <c r="E42" s="20"/>
      <c r="F42" s="20"/>
      <c r="G42" s="20"/>
    </row>
    <row r="43" spans="2:7" x14ac:dyDescent="0.2">
      <c r="B43" s="20"/>
      <c r="C43" s="20"/>
      <c r="D43" s="20"/>
      <c r="E43" s="20"/>
      <c r="F43" s="20"/>
      <c r="G43" s="20"/>
    </row>
    <row r="44" spans="2:7" x14ac:dyDescent="0.2">
      <c r="B44" s="23" t="s">
        <v>212</v>
      </c>
      <c r="C44" s="130">
        <v>281.95</v>
      </c>
      <c r="D44" s="20"/>
      <c r="E44" s="20"/>
      <c r="F44" s="20"/>
      <c r="G44" s="20"/>
    </row>
    <row r="45" spans="2:7" x14ac:dyDescent="0.2">
      <c r="B45" s="20" t="s">
        <v>262</v>
      </c>
      <c r="C45" s="25">
        <f>C44/(C41+C42)</f>
        <v>0.27212098984673594</v>
      </c>
      <c r="D45" s="20" t="s">
        <v>220</v>
      </c>
      <c r="E45" s="20"/>
      <c r="F45" s="20"/>
      <c r="G45" s="20"/>
    </row>
    <row r="46" spans="2:7" x14ac:dyDescent="0.2">
      <c r="B46" s="20" t="s">
        <v>223</v>
      </c>
      <c r="C46" s="25">
        <f>C44/C40</f>
        <v>3.0636748886232748</v>
      </c>
      <c r="D46" s="20" t="s">
        <v>221</v>
      </c>
      <c r="E46" s="20"/>
      <c r="F46" s="20"/>
      <c r="G46" s="20"/>
    </row>
    <row r="47" spans="2:7" x14ac:dyDescent="0.2">
      <c r="B47" s="20"/>
      <c r="C47" s="25"/>
      <c r="D47" s="20"/>
      <c r="E47" s="20"/>
      <c r="F47" s="20"/>
      <c r="G47" s="20"/>
    </row>
    <row r="48" spans="2:7" x14ac:dyDescent="0.2">
      <c r="B48" s="23" t="s">
        <v>213</v>
      </c>
      <c r="C48" s="130">
        <v>171.6</v>
      </c>
      <c r="D48" s="20"/>
      <c r="E48" s="20"/>
      <c r="F48" s="20"/>
      <c r="G48" s="20"/>
    </row>
    <row r="49" spans="2:7" x14ac:dyDescent="0.2">
      <c r="B49" s="20" t="s">
        <v>263</v>
      </c>
      <c r="C49" s="25">
        <f>C48/(C41+C42)</f>
        <v>0.16561788209859862</v>
      </c>
      <c r="D49" s="20" t="s">
        <v>220</v>
      </c>
      <c r="E49" s="20"/>
      <c r="F49" s="20"/>
      <c r="G49" s="20"/>
    </row>
    <row r="50" spans="2:7" x14ac:dyDescent="0.2">
      <c r="B50" s="20" t="s">
        <v>224</v>
      </c>
      <c r="C50" s="25">
        <f>C48/C40</f>
        <v>1.8646093665109202</v>
      </c>
      <c r="D50" s="20" t="s">
        <v>222</v>
      </c>
      <c r="E50" s="20"/>
      <c r="F50" s="20"/>
      <c r="G50" s="20"/>
    </row>
    <row r="51" spans="2:7" x14ac:dyDescent="0.2">
      <c r="B51" s="20"/>
      <c r="C51" s="25"/>
      <c r="D51" s="20"/>
      <c r="E51" s="20"/>
      <c r="F51" s="20"/>
      <c r="G51" s="20"/>
    </row>
    <row r="52" spans="2:7" x14ac:dyDescent="0.2">
      <c r="B52" s="23" t="s">
        <v>214</v>
      </c>
      <c r="C52" s="130">
        <v>110.33</v>
      </c>
      <c r="D52" s="20"/>
      <c r="E52" s="20"/>
      <c r="F52" s="20"/>
      <c r="G52" s="20"/>
    </row>
    <row r="53" spans="2:7" x14ac:dyDescent="0.2">
      <c r="B53" s="20" t="s">
        <v>264</v>
      </c>
      <c r="C53" s="25">
        <f>C52/(C41+C42)</f>
        <v>0.10648380496467591</v>
      </c>
      <c r="D53" s="20" t="s">
        <v>220</v>
      </c>
      <c r="E53" s="20"/>
      <c r="F53" s="20"/>
      <c r="G53" s="20"/>
    </row>
    <row r="54" spans="2:7" x14ac:dyDescent="0.2">
      <c r="B54" s="20" t="s">
        <v>225</v>
      </c>
      <c r="C54" s="25">
        <f>C52/C40</f>
        <v>1.1988482016733673</v>
      </c>
      <c r="D54" s="20" t="s">
        <v>222</v>
      </c>
      <c r="E54" s="20"/>
      <c r="F54" s="20"/>
      <c r="G54" s="20"/>
    </row>
    <row r="55" spans="2:7" x14ac:dyDescent="0.2">
      <c r="B55" s="20"/>
      <c r="C55" s="20"/>
      <c r="D55" s="20"/>
      <c r="E55" s="20"/>
      <c r="F55" s="20"/>
      <c r="G55" s="20"/>
    </row>
    <row r="56" spans="2:7" x14ac:dyDescent="0.2">
      <c r="B56" s="23" t="s">
        <v>219</v>
      </c>
      <c r="C56" s="130">
        <v>1320.99</v>
      </c>
      <c r="D56" s="20"/>
      <c r="E56" s="20"/>
      <c r="F56" s="20"/>
      <c r="G56" s="20"/>
    </row>
    <row r="57" spans="2:7" x14ac:dyDescent="0.2">
      <c r="B57" s="20" t="s">
        <v>265</v>
      </c>
      <c r="C57" s="25">
        <f>C56/(C41+C42)</f>
        <v>1.2749391962320968</v>
      </c>
      <c r="D57" s="20" t="s">
        <v>220</v>
      </c>
      <c r="E57" s="20"/>
      <c r="F57" s="20"/>
      <c r="G57" s="20"/>
    </row>
    <row r="58" spans="2:7" x14ac:dyDescent="0.2">
      <c r="B58" s="20" t="s">
        <v>226</v>
      </c>
      <c r="C58" s="25">
        <f>C56/C40</f>
        <v>14.353906334890796</v>
      </c>
      <c r="D58" s="20" t="s">
        <v>222</v>
      </c>
      <c r="E58" s="20"/>
      <c r="F58" s="20"/>
      <c r="G58" s="20"/>
    </row>
    <row r="59" spans="2:7" x14ac:dyDescent="0.2">
      <c r="B59" s="20"/>
      <c r="C59" s="20"/>
      <c r="D59" s="20"/>
      <c r="E59" s="20"/>
      <c r="F59" s="20"/>
      <c r="G59" s="20"/>
    </row>
    <row r="60" spans="2:7" x14ac:dyDescent="0.2">
      <c r="B60" s="20"/>
      <c r="C60" s="25"/>
      <c r="D60" s="20"/>
      <c r="E60" s="20"/>
      <c r="F60" s="20"/>
      <c r="G60" s="20"/>
    </row>
    <row r="61" spans="2:7" x14ac:dyDescent="0.2">
      <c r="B61" s="20"/>
      <c r="C61" s="25"/>
      <c r="D61" s="20"/>
      <c r="E61" s="20"/>
      <c r="F61" s="20"/>
      <c r="G61" s="20"/>
    </row>
    <row r="62" spans="2:7" x14ac:dyDescent="0.2">
      <c r="B62" s="20"/>
      <c r="C62" s="20"/>
      <c r="D62" s="20"/>
      <c r="E62" s="20"/>
      <c r="F62" s="20"/>
      <c r="G62" s="20"/>
    </row>
    <row r="63" spans="2:7" x14ac:dyDescent="0.2">
      <c r="B63" s="20"/>
      <c r="C63" s="20"/>
      <c r="D63" s="20"/>
      <c r="E63" s="20"/>
      <c r="F63" s="20"/>
      <c r="G63" s="20"/>
    </row>
    <row r="64" spans="2:7" x14ac:dyDescent="0.2">
      <c r="B64" s="20"/>
      <c r="C64" s="20"/>
      <c r="D64" s="20"/>
      <c r="E64" s="20"/>
      <c r="F64" s="20"/>
      <c r="G64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AS218"/>
  <sheetViews>
    <sheetView tabSelected="1" zoomScale="80" zoomScaleNormal="80" workbookViewId="0">
      <pane xSplit="2" ySplit="3" topLeftCell="C155" activePane="bottomRight" state="frozen"/>
      <selection pane="topRight" activeCell="C1" sqref="C1"/>
      <selection pane="bottomLeft" activeCell="A5" sqref="A5"/>
      <selection pane="bottomRight" activeCell="S169" sqref="S169"/>
    </sheetView>
  </sheetViews>
  <sheetFormatPr defaultRowHeight="12.75" x14ac:dyDescent="0.2"/>
  <cols>
    <col min="1" max="1" width="4.7109375" style="104" customWidth="1"/>
    <col min="2" max="2" width="46.7109375" style="104" bestFit="1" customWidth="1"/>
    <col min="3" max="3" width="7.85546875" style="104" customWidth="1"/>
    <col min="4" max="4" width="8.140625" style="104" customWidth="1"/>
    <col min="5" max="5" width="8.42578125" style="104" bestFit="1" customWidth="1"/>
    <col min="6" max="6" width="9" style="104" bestFit="1" customWidth="1"/>
    <col min="7" max="7" width="13.42578125" style="104" bestFit="1" customWidth="1"/>
    <col min="8" max="15" width="10.140625" style="104" bestFit="1" customWidth="1"/>
    <col min="16" max="16" width="10.7109375" style="104" bestFit="1" customWidth="1"/>
    <col min="17" max="17" width="9.42578125" style="104" bestFit="1" customWidth="1"/>
    <col min="18" max="18" width="10.85546875" style="104" bestFit="1" customWidth="1"/>
    <col min="19" max="20" width="9.7109375" style="104" bestFit="1" customWidth="1"/>
    <col min="21" max="27" width="8" style="104" bestFit="1" customWidth="1"/>
    <col min="28" max="28" width="11.28515625" style="104" bestFit="1" customWidth="1"/>
    <col min="29" max="29" width="9.28515625" style="104" bestFit="1" customWidth="1"/>
    <col min="30" max="30" width="9" style="104" customWidth="1"/>
    <col min="31" max="31" width="10.7109375" style="104" customWidth="1"/>
    <col min="32" max="16384" width="9.140625" style="104"/>
  </cols>
  <sheetData>
    <row r="1" spans="2:31" x14ac:dyDescent="0.2">
      <c r="B1" s="123" t="s">
        <v>241</v>
      </c>
      <c r="C1" s="124">
        <v>0.22</v>
      </c>
      <c r="F1" s="104" t="s">
        <v>252</v>
      </c>
      <c r="H1" s="126">
        <v>2004</v>
      </c>
      <c r="J1" s="104" t="s">
        <v>327</v>
      </c>
      <c r="L1" s="164">
        <v>0.05</v>
      </c>
      <c r="N1" s="104" t="s">
        <v>398</v>
      </c>
      <c r="P1" s="164">
        <v>0.05</v>
      </c>
    </row>
    <row r="2" spans="2:31" x14ac:dyDescent="0.2">
      <c r="B2" s="153" t="s">
        <v>315</v>
      </c>
      <c r="C2" s="120"/>
      <c r="F2" s="104" t="s">
        <v>253</v>
      </c>
      <c r="H2" s="126">
        <v>2013</v>
      </c>
      <c r="J2" s="104" t="s">
        <v>328</v>
      </c>
      <c r="L2" s="164">
        <v>0.15</v>
      </c>
      <c r="S2" s="115" t="s">
        <v>11</v>
      </c>
      <c r="T2" s="115" t="s">
        <v>12</v>
      </c>
      <c r="U2" s="115" t="s">
        <v>13</v>
      </c>
      <c r="V2" s="115" t="s">
        <v>14</v>
      </c>
      <c r="W2" s="115" t="s">
        <v>15</v>
      </c>
      <c r="X2" s="115" t="s">
        <v>234</v>
      </c>
      <c r="Y2" s="115" t="s">
        <v>235</v>
      </c>
      <c r="Z2" s="115" t="s">
        <v>236</v>
      </c>
      <c r="AA2" s="115" t="s">
        <v>237</v>
      </c>
      <c r="AB2" s="115" t="s">
        <v>238</v>
      </c>
      <c r="AD2" s="195" t="s">
        <v>291</v>
      </c>
      <c r="AE2" s="196"/>
    </row>
    <row r="3" spans="2:31" x14ac:dyDescent="0.2">
      <c r="B3" s="20"/>
      <c r="C3" s="114">
        <v>2000</v>
      </c>
      <c r="D3" s="114">
        <v>2001</v>
      </c>
      <c r="E3" s="114">
        <v>2002</v>
      </c>
      <c r="F3" s="114">
        <v>2003</v>
      </c>
      <c r="G3" s="114">
        <v>2004</v>
      </c>
      <c r="H3" s="114">
        <v>2005</v>
      </c>
      <c r="I3" s="114">
        <v>2006</v>
      </c>
      <c r="J3" s="114">
        <v>2007</v>
      </c>
      <c r="K3" s="114">
        <v>2008</v>
      </c>
      <c r="L3" s="114">
        <v>2009</v>
      </c>
      <c r="M3" s="114">
        <v>2010</v>
      </c>
      <c r="N3" s="114">
        <v>2011</v>
      </c>
      <c r="O3" s="114">
        <v>2012</v>
      </c>
      <c r="P3" s="114">
        <v>2013</v>
      </c>
      <c r="Q3" s="116" t="s">
        <v>1</v>
      </c>
      <c r="R3" s="116" t="s">
        <v>254</v>
      </c>
      <c r="S3" s="115">
        <v>2014</v>
      </c>
      <c r="T3" s="115">
        <v>2015</v>
      </c>
      <c r="U3" s="115">
        <v>2016</v>
      </c>
      <c r="V3" s="115">
        <v>2017</v>
      </c>
      <c r="W3" s="115">
        <v>2018</v>
      </c>
      <c r="X3" s="115">
        <v>2019</v>
      </c>
      <c r="Y3" s="115">
        <v>2020</v>
      </c>
      <c r="Z3" s="115">
        <v>2021</v>
      </c>
      <c r="AA3" s="115">
        <v>2022</v>
      </c>
      <c r="AB3" s="115">
        <v>2023</v>
      </c>
      <c r="AC3" s="136" t="s">
        <v>1</v>
      </c>
      <c r="AD3" s="197" t="s">
        <v>292</v>
      </c>
      <c r="AE3" s="198"/>
    </row>
    <row r="4" spans="2:31" x14ac:dyDescent="0.2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37"/>
      <c r="AD4" s="20"/>
      <c r="AE4" s="20"/>
    </row>
    <row r="5" spans="2:31" x14ac:dyDescent="0.2">
      <c r="B5" s="108" t="s">
        <v>242</v>
      </c>
      <c r="C5" s="20"/>
      <c r="D5" s="20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20"/>
      <c r="R5" s="20"/>
      <c r="S5" s="154"/>
      <c r="T5" s="154"/>
      <c r="U5" s="154"/>
      <c r="V5" s="154"/>
      <c r="W5" s="154"/>
      <c r="X5" s="154"/>
      <c r="Y5" s="154"/>
      <c r="Z5" s="154"/>
      <c r="AA5" s="154"/>
      <c r="AB5" s="154"/>
      <c r="AC5" s="137"/>
      <c r="AD5" s="20"/>
      <c r="AE5" s="154"/>
    </row>
    <row r="6" spans="2:31" x14ac:dyDescent="0.2">
      <c r="B6" s="20" t="s">
        <v>16</v>
      </c>
      <c r="C6" s="141"/>
      <c r="D6" s="141"/>
      <c r="E6" s="147"/>
      <c r="F6" s="147"/>
      <c r="G6" s="147">
        <v>433</v>
      </c>
      <c r="H6" s="147">
        <v>471</v>
      </c>
      <c r="I6" s="147">
        <v>550</v>
      </c>
      <c r="J6" s="147">
        <v>682</v>
      </c>
      <c r="K6" s="147">
        <v>886</v>
      </c>
      <c r="L6" s="147">
        <v>1107</v>
      </c>
      <c r="M6" s="147">
        <v>1614</v>
      </c>
      <c r="N6" s="147">
        <v>2091</v>
      </c>
      <c r="O6" s="147">
        <v>2652</v>
      </c>
      <c r="P6" s="147">
        <v>3288</v>
      </c>
      <c r="Q6" s="118">
        <f>((P6/G6)^(1/($H$2-$H$1) ))-1</f>
        <v>0.2526423814903076</v>
      </c>
      <c r="R6" s="31">
        <f>$L$2</f>
        <v>0.15</v>
      </c>
      <c r="S6" s="154">
        <f>P6*(1+$R6)</f>
        <v>3781.2</v>
      </c>
      <c r="T6" s="154">
        <f>S6*(1+$R6)</f>
        <v>4348.3799999999992</v>
      </c>
      <c r="U6" s="154">
        <f t="shared" ref="U6:AB6" si="0">T6*(1+$R6)</f>
        <v>5000.6369999999988</v>
      </c>
      <c r="V6" s="154">
        <f t="shared" si="0"/>
        <v>5750.7325499999979</v>
      </c>
      <c r="W6" s="154">
        <f t="shared" si="0"/>
        <v>6613.3424324999969</v>
      </c>
      <c r="X6" s="154">
        <f t="shared" si="0"/>
        <v>7605.343797374996</v>
      </c>
      <c r="Y6" s="154">
        <f t="shared" si="0"/>
        <v>8746.1453669812454</v>
      </c>
      <c r="Z6" s="154">
        <f t="shared" si="0"/>
        <v>10058.067172028432</v>
      </c>
      <c r="AA6" s="154">
        <f t="shared" si="0"/>
        <v>11566.777247832695</v>
      </c>
      <c r="AB6" s="154">
        <f t="shared" si="0"/>
        <v>13301.793835007598</v>
      </c>
      <c r="AC6" s="138">
        <f>((AB6/G6)^(1/($AB$3-$H$1) ))-1</f>
        <v>0.19752719592264967</v>
      </c>
      <c r="AD6" s="31">
        <f>$L$1</f>
        <v>0.05</v>
      </c>
      <c r="AE6" s="146">
        <f t="shared" ref="AE6:AE44" si="1">(AB6*(1+AD6))/($C$1-AD6)</f>
        <v>82158.138392693989</v>
      </c>
    </row>
    <row r="7" spans="2:31" x14ac:dyDescent="0.2">
      <c r="B7" s="20" t="s">
        <v>240</v>
      </c>
      <c r="C7" s="141"/>
      <c r="D7" s="141"/>
      <c r="E7" s="147"/>
      <c r="F7" s="147"/>
      <c r="G7" s="147">
        <v>529</v>
      </c>
      <c r="H7" s="147">
        <v>567</v>
      </c>
      <c r="I7" s="147">
        <v>646</v>
      </c>
      <c r="J7" s="147">
        <v>777</v>
      </c>
      <c r="K7" s="147">
        <v>982</v>
      </c>
      <c r="L7" s="147">
        <v>1203</v>
      </c>
      <c r="M7" s="147">
        <v>1709</v>
      </c>
      <c r="N7" s="147">
        <v>2187</v>
      </c>
      <c r="O7" s="147">
        <v>2748</v>
      </c>
      <c r="P7" s="147">
        <v>3384</v>
      </c>
      <c r="Q7" s="118">
        <f>((P7/G7)^(1/($H$2-$H$1) ))-1</f>
        <v>0.2290024325501907</v>
      </c>
      <c r="R7" s="31">
        <f>$L$2</f>
        <v>0.15</v>
      </c>
      <c r="S7" s="154">
        <f t="shared" ref="S7:S16" si="2">P7*(1+$R7)</f>
        <v>3891.6</v>
      </c>
      <c r="T7" s="154">
        <f t="shared" ref="T7:AB7" si="3">S7*(1+$R7)</f>
        <v>4475.3399999999992</v>
      </c>
      <c r="U7" s="154">
        <f t="shared" si="3"/>
        <v>5146.6409999999987</v>
      </c>
      <c r="V7" s="154">
        <f t="shared" si="3"/>
        <v>5918.6371499999977</v>
      </c>
      <c r="W7" s="154">
        <f t="shared" si="3"/>
        <v>6806.432722499997</v>
      </c>
      <c r="X7" s="154">
        <f t="shared" si="3"/>
        <v>7827.3976308749961</v>
      </c>
      <c r="Y7" s="154">
        <f t="shared" si="3"/>
        <v>9001.5072755062447</v>
      </c>
      <c r="Z7" s="154">
        <f t="shared" si="3"/>
        <v>10351.733366832181</v>
      </c>
      <c r="AA7" s="154">
        <f t="shared" si="3"/>
        <v>11904.493371857006</v>
      </c>
      <c r="AB7" s="154">
        <f t="shared" si="3"/>
        <v>13690.167377635556</v>
      </c>
      <c r="AC7" s="138">
        <f>((AB7/G7)^(1/($AB$3-$H$1) ))-1</f>
        <v>0.18676833993154518</v>
      </c>
      <c r="AD7" s="31">
        <f>$L$1</f>
        <v>0.05</v>
      </c>
      <c r="AE7" s="146">
        <f t="shared" si="1"/>
        <v>84556.91615598432</v>
      </c>
    </row>
    <row r="8" spans="2:31" x14ac:dyDescent="0.2">
      <c r="B8" s="20"/>
      <c r="C8" s="141"/>
      <c r="D8" s="141"/>
      <c r="E8" s="147"/>
      <c r="F8" s="147"/>
      <c r="G8" s="148">
        <f>(G7-F7)/G7</f>
        <v>1</v>
      </c>
      <c r="H8" s="151">
        <f>(H7-G7)/H7</f>
        <v>6.7019400352733682E-2</v>
      </c>
      <c r="I8" s="151">
        <f t="shared" ref="I8:P8" si="4">(I7-H7)/I7</f>
        <v>0.12229102167182662</v>
      </c>
      <c r="J8" s="151">
        <f t="shared" si="4"/>
        <v>0.16859716859716858</v>
      </c>
      <c r="K8" s="151">
        <f t="shared" si="4"/>
        <v>0.20875763747454176</v>
      </c>
      <c r="L8" s="151">
        <f t="shared" si="4"/>
        <v>0.18370739817123857</v>
      </c>
      <c r="M8" s="151">
        <f t="shared" si="4"/>
        <v>0.29607957870099472</v>
      </c>
      <c r="N8" s="151">
        <f t="shared" si="4"/>
        <v>0.21856424325560128</v>
      </c>
      <c r="O8" s="151">
        <f t="shared" si="4"/>
        <v>0.20414847161572053</v>
      </c>
      <c r="P8" s="151">
        <f t="shared" si="4"/>
        <v>0.18794326241134751</v>
      </c>
      <c r="Q8" s="128"/>
      <c r="R8" s="20"/>
      <c r="S8" s="154"/>
      <c r="T8" s="154"/>
      <c r="U8" s="154"/>
      <c r="V8" s="154"/>
      <c r="W8" s="154"/>
      <c r="X8" s="154"/>
      <c r="Y8" s="154"/>
      <c r="Z8" s="154"/>
      <c r="AA8" s="154"/>
      <c r="AB8" s="154"/>
      <c r="AC8" s="137"/>
      <c r="AD8" s="137"/>
      <c r="AE8" s="146"/>
    </row>
    <row r="9" spans="2:31" x14ac:dyDescent="0.2">
      <c r="B9" s="20" t="s">
        <v>269</v>
      </c>
      <c r="C9" s="141"/>
      <c r="D9" s="141"/>
      <c r="E9" s="147"/>
      <c r="F9" s="147"/>
      <c r="G9" s="147">
        <v>528</v>
      </c>
      <c r="H9" s="147">
        <v>554</v>
      </c>
      <c r="I9" s="147">
        <v>639</v>
      </c>
      <c r="J9" s="147">
        <v>854</v>
      </c>
      <c r="K9" s="147">
        <v>1070</v>
      </c>
      <c r="L9" s="147">
        <v>1105</v>
      </c>
      <c r="M9" s="147">
        <v>1469</v>
      </c>
      <c r="N9" s="147">
        <v>1759</v>
      </c>
      <c r="O9" s="147">
        <v>2262</v>
      </c>
      <c r="P9" s="147">
        <v>2466</v>
      </c>
      <c r="Q9" s="118">
        <f t="shared" ref="Q9:Q16" si="5">((P9/G9)^(1/($H$2-$H$1) ))-1</f>
        <v>0.18678825273028332</v>
      </c>
      <c r="R9" s="31">
        <f t="shared" ref="R9:R40" si="6">$L$2</f>
        <v>0.15</v>
      </c>
      <c r="S9" s="154">
        <f t="shared" ref="S9" si="7">P9*(1+$R9)</f>
        <v>2835.8999999999996</v>
      </c>
      <c r="T9" s="154">
        <f t="shared" ref="T9" si="8">S9*(1+$R9)</f>
        <v>3261.2849999999994</v>
      </c>
      <c r="U9" s="154">
        <f t="shared" ref="U9" si="9">T9*(1+$R9)</f>
        <v>3750.4777499999991</v>
      </c>
      <c r="V9" s="154">
        <f t="shared" ref="V9" si="10">U9*(1+$R9)</f>
        <v>4313.0494124999987</v>
      </c>
      <c r="W9" s="154">
        <f t="shared" ref="W9" si="11">V9*(1+$R9)</f>
        <v>4960.0068243749984</v>
      </c>
      <c r="X9" s="154">
        <f t="shared" ref="X9" si="12">W9*(1+$R9)</f>
        <v>5704.0078480312477</v>
      </c>
      <c r="Y9" s="154">
        <f t="shared" ref="Y9" si="13">X9*(1+$R9)</f>
        <v>6559.6090252359345</v>
      </c>
      <c r="Z9" s="154">
        <f t="shared" ref="Z9" si="14">Y9*(1+$R9)</f>
        <v>7543.5503790213243</v>
      </c>
      <c r="AA9" s="154">
        <f t="shared" ref="AA9" si="15">Z9*(1+$R9)</f>
        <v>8675.0829358745214</v>
      </c>
      <c r="AB9" s="154">
        <f t="shared" ref="AB9" si="16">AA9*(1+$R9)</f>
        <v>9976.3453762556983</v>
      </c>
      <c r="AC9" s="138">
        <f>((AB9/G9)^(1/($AB$3-$H$1) ))-1</f>
        <v>0.16728165632668657</v>
      </c>
      <c r="AD9" s="31">
        <f t="shared" ref="AD9:AD80" si="17">$L$1</f>
        <v>0.05</v>
      </c>
      <c r="AE9" s="146">
        <f t="shared" si="1"/>
        <v>61618.603794520495</v>
      </c>
    </row>
    <row r="10" spans="2:31" x14ac:dyDescent="0.2">
      <c r="B10" s="20" t="s">
        <v>4</v>
      </c>
      <c r="C10" s="141"/>
      <c r="D10" s="141"/>
      <c r="E10" s="147"/>
      <c r="F10" s="147"/>
      <c r="G10" s="147">
        <v>169</v>
      </c>
      <c r="H10" s="147">
        <v>220</v>
      </c>
      <c r="I10" s="147">
        <v>242</v>
      </c>
      <c r="J10" s="147">
        <v>288</v>
      </c>
      <c r="K10" s="147">
        <v>257</v>
      </c>
      <c r="L10" s="147">
        <v>299</v>
      </c>
      <c r="M10" s="147">
        <v>226</v>
      </c>
      <c r="N10" s="147">
        <v>233</v>
      </c>
      <c r="O10" s="147">
        <v>335</v>
      </c>
      <c r="P10" s="147">
        <v>237</v>
      </c>
      <c r="Q10" s="118">
        <f t="shared" si="5"/>
        <v>3.8288299955446581E-2</v>
      </c>
      <c r="R10" s="31">
        <f t="shared" si="6"/>
        <v>0.15</v>
      </c>
      <c r="S10" s="154">
        <f t="shared" si="2"/>
        <v>272.54999999999995</v>
      </c>
      <c r="T10" s="154">
        <f t="shared" ref="T10:AB10" si="18">S10*(1+$R10)</f>
        <v>313.43249999999995</v>
      </c>
      <c r="U10" s="154">
        <f t="shared" si="18"/>
        <v>360.44737499999991</v>
      </c>
      <c r="V10" s="154">
        <f t="shared" si="18"/>
        <v>414.51448124999985</v>
      </c>
      <c r="W10" s="154">
        <f t="shared" si="18"/>
        <v>476.69165343749978</v>
      </c>
      <c r="X10" s="154">
        <f t="shared" si="18"/>
        <v>548.19540145312476</v>
      </c>
      <c r="Y10" s="154">
        <f t="shared" si="18"/>
        <v>630.42471167109341</v>
      </c>
      <c r="Z10" s="154">
        <f t="shared" si="18"/>
        <v>724.98841842175739</v>
      </c>
      <c r="AA10" s="154">
        <f t="shared" si="18"/>
        <v>833.73668118502098</v>
      </c>
      <c r="AB10" s="154">
        <f t="shared" si="18"/>
        <v>958.79718336277404</v>
      </c>
      <c r="AC10" s="138">
        <f t="shared" ref="AC10:AC42" si="19">((AB10/G10)^(1/($AB$3-$H$1) ))-1</f>
        <v>9.5659962112440544E-2</v>
      </c>
      <c r="AD10" s="31">
        <f t="shared" si="17"/>
        <v>0.05</v>
      </c>
      <c r="AE10" s="146">
        <f t="shared" si="1"/>
        <v>5921.9826031230168</v>
      </c>
    </row>
    <row r="11" spans="2:31" x14ac:dyDescent="0.2">
      <c r="B11" s="20"/>
      <c r="C11" s="141"/>
      <c r="D11" s="141"/>
      <c r="E11" s="147"/>
      <c r="F11" s="147"/>
      <c r="G11" s="148">
        <f>(G10-F10)/G10</f>
        <v>1</v>
      </c>
      <c r="H11" s="148">
        <f t="shared" ref="H11:P11" si="20">(H10-G10)/H10</f>
        <v>0.23181818181818181</v>
      </c>
      <c r="I11" s="148">
        <f t="shared" si="20"/>
        <v>9.0909090909090912E-2</v>
      </c>
      <c r="J11" s="148">
        <f t="shared" si="20"/>
        <v>0.15972222222222221</v>
      </c>
      <c r="K11" s="148">
        <f t="shared" si="20"/>
        <v>-0.12062256809338522</v>
      </c>
      <c r="L11" s="148">
        <f t="shared" si="20"/>
        <v>0.14046822742474915</v>
      </c>
      <c r="M11" s="148">
        <f t="shared" si="20"/>
        <v>-0.32300884955752213</v>
      </c>
      <c r="N11" s="148">
        <f t="shared" si="20"/>
        <v>3.0042918454935622E-2</v>
      </c>
      <c r="O11" s="148">
        <f t="shared" si="20"/>
        <v>0.30447761194029849</v>
      </c>
      <c r="P11" s="148">
        <f t="shared" si="20"/>
        <v>-0.41350210970464135</v>
      </c>
      <c r="Q11" s="128"/>
      <c r="R11" s="20"/>
      <c r="S11" s="154"/>
      <c r="T11" s="154"/>
      <c r="U11" s="154"/>
      <c r="V11" s="154"/>
      <c r="W11" s="154"/>
      <c r="X11" s="154"/>
      <c r="Y11" s="154"/>
      <c r="Z11" s="154"/>
      <c r="AA11" s="154"/>
      <c r="AB11" s="154"/>
      <c r="AC11" s="119"/>
      <c r="AD11" s="31">
        <f t="shared" si="17"/>
        <v>0.05</v>
      </c>
      <c r="AE11" s="154"/>
    </row>
    <row r="12" spans="2:31" x14ac:dyDescent="0.2">
      <c r="B12" s="20" t="s">
        <v>2</v>
      </c>
      <c r="C12" s="141"/>
      <c r="D12" s="141"/>
      <c r="E12" s="147"/>
      <c r="F12" s="147"/>
      <c r="G12" s="147">
        <v>70</v>
      </c>
      <c r="H12" s="147">
        <f>49+12</f>
        <v>61</v>
      </c>
      <c r="I12" s="147">
        <f>57+16</f>
        <v>73</v>
      </c>
      <c r="J12" s="147">
        <f>103+2</f>
        <v>105</v>
      </c>
      <c r="K12" s="147">
        <f>107+3.45</f>
        <v>110.45</v>
      </c>
      <c r="L12" s="147">
        <v>210</v>
      </c>
      <c r="M12" s="147">
        <f>93+13</f>
        <v>106</v>
      </c>
      <c r="N12" s="147">
        <f>103+29</f>
        <v>132</v>
      </c>
      <c r="O12" s="147">
        <f>556+68</f>
        <v>624</v>
      </c>
      <c r="P12" s="147">
        <f>752</f>
        <v>752</v>
      </c>
      <c r="Q12" s="118">
        <f t="shared" si="5"/>
        <v>0.30187373929416506</v>
      </c>
      <c r="R12" s="31">
        <f t="shared" si="6"/>
        <v>0.15</v>
      </c>
      <c r="S12" s="154">
        <f t="shared" si="2"/>
        <v>864.8</v>
      </c>
      <c r="T12" s="154">
        <f t="shared" ref="T12:AB12" si="21">S12*(1+$R12)</f>
        <v>994.51999999999987</v>
      </c>
      <c r="U12" s="154">
        <f t="shared" si="21"/>
        <v>1143.6979999999999</v>
      </c>
      <c r="V12" s="154">
        <f t="shared" si="21"/>
        <v>1315.2526999999998</v>
      </c>
      <c r="W12" s="154">
        <f t="shared" si="21"/>
        <v>1512.5406049999997</v>
      </c>
      <c r="X12" s="154">
        <f t="shared" si="21"/>
        <v>1739.4216957499996</v>
      </c>
      <c r="Y12" s="154">
        <f t="shared" si="21"/>
        <v>2000.3349501124994</v>
      </c>
      <c r="Z12" s="154">
        <f t="shared" si="21"/>
        <v>2300.3851926293742</v>
      </c>
      <c r="AA12" s="154">
        <f t="shared" si="21"/>
        <v>2645.4429715237802</v>
      </c>
      <c r="AB12" s="154">
        <f t="shared" si="21"/>
        <v>3042.2594172523468</v>
      </c>
      <c r="AC12" s="138">
        <f t="shared" si="19"/>
        <v>0.21959516777109767</v>
      </c>
      <c r="AD12" s="31">
        <f t="shared" si="17"/>
        <v>0.05</v>
      </c>
      <c r="AE12" s="146">
        <f t="shared" si="1"/>
        <v>18790.425812440968</v>
      </c>
    </row>
    <row r="13" spans="2:31" x14ac:dyDescent="0.2">
      <c r="B13" s="20" t="s">
        <v>218</v>
      </c>
      <c r="C13" s="141"/>
      <c r="D13" s="141"/>
      <c r="E13" s="147"/>
      <c r="F13" s="147"/>
      <c r="G13" s="147">
        <v>102</v>
      </c>
      <c r="H13" s="147">
        <v>114</v>
      </c>
      <c r="I13" s="147">
        <v>164</v>
      </c>
      <c r="J13" s="147">
        <v>193</v>
      </c>
      <c r="K13" s="147">
        <v>277</v>
      </c>
      <c r="L13" s="147">
        <v>78.400000000000006</v>
      </c>
      <c r="M13" s="147">
        <v>624</v>
      </c>
      <c r="N13" s="147">
        <v>922</v>
      </c>
      <c r="O13" s="147">
        <v>355</v>
      </c>
      <c r="P13" s="147">
        <v>281</v>
      </c>
      <c r="Q13" s="118">
        <f t="shared" si="5"/>
        <v>0.11918191346716012</v>
      </c>
      <c r="R13" s="31">
        <f t="shared" si="6"/>
        <v>0.15</v>
      </c>
      <c r="S13" s="154">
        <f t="shared" si="2"/>
        <v>323.14999999999998</v>
      </c>
      <c r="T13" s="154">
        <f t="shared" ref="T13:AB13" si="22">S13*(1+$R13)</f>
        <v>371.62249999999995</v>
      </c>
      <c r="U13" s="154">
        <f t="shared" si="22"/>
        <v>427.3658749999999</v>
      </c>
      <c r="V13" s="154">
        <f t="shared" si="22"/>
        <v>491.47075624999985</v>
      </c>
      <c r="W13" s="154">
        <f t="shared" si="22"/>
        <v>565.19136968749979</v>
      </c>
      <c r="X13" s="154">
        <f t="shared" si="22"/>
        <v>649.97007514062466</v>
      </c>
      <c r="Y13" s="154">
        <f t="shared" si="22"/>
        <v>747.46558641171828</v>
      </c>
      <c r="Z13" s="154">
        <f t="shared" si="22"/>
        <v>859.58542437347592</v>
      </c>
      <c r="AA13" s="154">
        <f t="shared" si="22"/>
        <v>988.52323802949718</v>
      </c>
      <c r="AB13" s="154">
        <f t="shared" si="22"/>
        <v>1136.8017237339216</v>
      </c>
      <c r="AC13" s="138">
        <f t="shared" si="19"/>
        <v>0.13529758296216143</v>
      </c>
      <c r="AD13" s="31">
        <f t="shared" si="17"/>
        <v>0.05</v>
      </c>
      <c r="AE13" s="146">
        <f t="shared" si="1"/>
        <v>7021.4224112977527</v>
      </c>
    </row>
    <row r="14" spans="2:31" x14ac:dyDescent="0.2">
      <c r="B14" s="20" t="s">
        <v>373</v>
      </c>
      <c r="C14" s="141"/>
      <c r="D14" s="141"/>
      <c r="E14" s="147"/>
      <c r="F14" s="147"/>
      <c r="G14" s="147">
        <v>318</v>
      </c>
      <c r="H14" s="147">
        <v>454</v>
      </c>
      <c r="I14" s="147">
        <v>489</v>
      </c>
      <c r="J14" s="147">
        <v>598</v>
      </c>
      <c r="K14" s="147">
        <v>714</v>
      </c>
      <c r="L14" s="147">
        <v>769</v>
      </c>
      <c r="M14" s="147">
        <v>955.88</v>
      </c>
      <c r="N14" s="147">
        <v>1305</v>
      </c>
      <c r="O14" s="147">
        <v>1598</v>
      </c>
      <c r="P14" s="147">
        <v>1830</v>
      </c>
      <c r="Q14" s="118">
        <f t="shared" ref="Q14" si="23">((P14/G14)^(1/($H$2-$H$1) ))-1</f>
        <v>0.21463868194479896</v>
      </c>
      <c r="R14" s="31">
        <f t="shared" si="6"/>
        <v>0.15</v>
      </c>
      <c r="S14" s="154">
        <f t="shared" ref="S14" si="24">P14*(1+$R14)</f>
        <v>2104.5</v>
      </c>
      <c r="T14" s="154">
        <f t="shared" ref="T14" si="25">S14*(1+$R14)</f>
        <v>2420.1749999999997</v>
      </c>
      <c r="U14" s="154">
        <f t="shared" ref="U14" si="26">T14*(1+$R14)</f>
        <v>2783.2012499999996</v>
      </c>
      <c r="V14" s="154">
        <f t="shared" ref="V14" si="27">U14*(1+$R14)</f>
        <v>3200.6814374999994</v>
      </c>
      <c r="W14" s="154">
        <f t="shared" ref="W14" si="28">V14*(1+$R14)</f>
        <v>3680.7836531249991</v>
      </c>
      <c r="X14" s="154">
        <f t="shared" ref="X14" si="29">W14*(1+$R14)</f>
        <v>4232.9012010937486</v>
      </c>
      <c r="Y14" s="154">
        <f t="shared" ref="Y14" si="30">X14*(1+$R14)</f>
        <v>4867.8363812578109</v>
      </c>
      <c r="Z14" s="154">
        <f t="shared" ref="Z14" si="31">Y14*(1+$R14)</f>
        <v>5598.0118384464822</v>
      </c>
      <c r="AA14" s="154">
        <f t="shared" ref="AA14" si="32">Z14*(1+$R14)</f>
        <v>6437.7136142134541</v>
      </c>
      <c r="AB14" s="154">
        <f t="shared" ref="AB14" si="33">AA14*(1+$R14)</f>
        <v>7403.3706563454716</v>
      </c>
      <c r="AC14" s="138">
        <f t="shared" ref="AC14" si="34">((AB14/G14)^(1/($AB$3-$H$1) ))-1</f>
        <v>0.18017794224509687</v>
      </c>
      <c r="AD14" s="31">
        <f t="shared" si="17"/>
        <v>0.05</v>
      </c>
      <c r="AE14" s="146">
        <f t="shared" ref="AE14" si="35">(AB14*(1+AD14))/($C$1-AD14)</f>
        <v>45726.701112722039</v>
      </c>
    </row>
    <row r="15" spans="2:31" x14ac:dyDescent="0.2">
      <c r="B15" s="20" t="s">
        <v>19</v>
      </c>
      <c r="C15" s="141"/>
      <c r="D15" s="141"/>
      <c r="E15" s="147"/>
      <c r="F15" s="147"/>
      <c r="G15" s="147">
        <v>653</v>
      </c>
      <c r="H15" s="147">
        <v>799</v>
      </c>
      <c r="I15" s="147">
        <v>894</v>
      </c>
      <c r="J15" s="147">
        <v>1122</v>
      </c>
      <c r="K15" s="147">
        <v>1281</v>
      </c>
      <c r="L15" s="147">
        <v>1547</v>
      </c>
      <c r="M15" s="147">
        <v>1591</v>
      </c>
      <c r="N15" s="147">
        <v>1994</v>
      </c>
      <c r="O15" s="147">
        <v>2937</v>
      </c>
      <c r="P15" s="147">
        <v>3563</v>
      </c>
      <c r="Q15" s="118">
        <f t="shared" si="5"/>
        <v>0.20747478731816016</v>
      </c>
      <c r="R15" s="31">
        <f t="shared" si="6"/>
        <v>0.15</v>
      </c>
      <c r="S15" s="154">
        <f t="shared" si="2"/>
        <v>4097.45</v>
      </c>
      <c r="T15" s="154">
        <f t="shared" ref="T15:AB15" si="36">S15*(1+$R15)</f>
        <v>4712.0674999999992</v>
      </c>
      <c r="U15" s="154">
        <f t="shared" si="36"/>
        <v>5418.8776249999983</v>
      </c>
      <c r="V15" s="154">
        <f t="shared" si="36"/>
        <v>6231.7092687499971</v>
      </c>
      <c r="W15" s="154">
        <f t="shared" si="36"/>
        <v>7166.4656590624963</v>
      </c>
      <c r="X15" s="154">
        <f t="shared" si="36"/>
        <v>8241.4355079218694</v>
      </c>
      <c r="Y15" s="154">
        <f t="shared" si="36"/>
        <v>9477.6508341101489</v>
      </c>
      <c r="Z15" s="154">
        <f t="shared" si="36"/>
        <v>10899.298459226671</v>
      </c>
      <c r="AA15" s="154">
        <f t="shared" si="36"/>
        <v>12534.193228110671</v>
      </c>
      <c r="AB15" s="154">
        <f t="shared" si="36"/>
        <v>14414.32221232727</v>
      </c>
      <c r="AC15" s="138">
        <f t="shared" si="19"/>
        <v>0.1768756610276252</v>
      </c>
      <c r="AD15" s="31">
        <f t="shared" si="17"/>
        <v>0.05</v>
      </c>
      <c r="AE15" s="146">
        <f t="shared" si="1"/>
        <v>89029.637193786097</v>
      </c>
    </row>
    <row r="16" spans="2:31" x14ac:dyDescent="0.2">
      <c r="B16" s="20" t="s">
        <v>23</v>
      </c>
      <c r="C16" s="141"/>
      <c r="D16" s="141"/>
      <c r="E16" s="147"/>
      <c r="F16" s="147"/>
      <c r="G16" s="147">
        <v>134</v>
      </c>
      <c r="H16" s="147">
        <v>246</v>
      </c>
      <c r="I16" s="147">
        <v>274</v>
      </c>
      <c r="J16" s="147">
        <v>379</v>
      </c>
      <c r="K16" s="147">
        <v>256</v>
      </c>
      <c r="L16" s="147">
        <v>466</v>
      </c>
      <c r="M16" s="147">
        <v>78</v>
      </c>
      <c r="N16" s="147">
        <v>227</v>
      </c>
      <c r="O16" s="147">
        <v>720</v>
      </c>
      <c r="P16" s="147">
        <v>1002</v>
      </c>
      <c r="Q16" s="118">
        <f t="shared" si="5"/>
        <v>0.25050309008297589</v>
      </c>
      <c r="R16" s="31">
        <f t="shared" si="6"/>
        <v>0.15</v>
      </c>
      <c r="S16" s="154">
        <f t="shared" si="2"/>
        <v>1152.3</v>
      </c>
      <c r="T16" s="154">
        <f t="shared" ref="T16:AB16" si="37">S16*(1+$R16)</f>
        <v>1325.1449999999998</v>
      </c>
      <c r="U16" s="154">
        <f t="shared" si="37"/>
        <v>1523.9167499999996</v>
      </c>
      <c r="V16" s="154">
        <f t="shared" si="37"/>
        <v>1752.5042624999994</v>
      </c>
      <c r="W16" s="154">
        <f t="shared" si="37"/>
        <v>2015.3799018749992</v>
      </c>
      <c r="X16" s="154">
        <f t="shared" si="37"/>
        <v>2317.6868871562488</v>
      </c>
      <c r="Y16" s="154">
        <f t="shared" si="37"/>
        <v>2665.339920229686</v>
      </c>
      <c r="Z16" s="154">
        <f t="shared" si="37"/>
        <v>3065.1409082641385</v>
      </c>
      <c r="AA16" s="154">
        <f t="shared" si="37"/>
        <v>3524.9120445037588</v>
      </c>
      <c r="AB16" s="154">
        <f t="shared" si="37"/>
        <v>4053.6488511793223</v>
      </c>
      <c r="AC16" s="138">
        <f t="shared" si="19"/>
        <v>0.19655799805828233</v>
      </c>
      <c r="AD16" s="31">
        <f t="shared" si="17"/>
        <v>0.05</v>
      </c>
      <c r="AE16" s="146">
        <f t="shared" si="1"/>
        <v>25037.242904342878</v>
      </c>
    </row>
    <row r="17" spans="2:31" x14ac:dyDescent="0.2">
      <c r="B17" s="20"/>
      <c r="C17" s="141"/>
      <c r="D17" s="141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  <c r="Q17" s="128"/>
      <c r="R17" s="20"/>
      <c r="S17" s="154"/>
      <c r="T17" s="154"/>
      <c r="U17" s="154"/>
      <c r="V17" s="154"/>
      <c r="W17" s="154"/>
      <c r="X17" s="154"/>
      <c r="Y17" s="154"/>
      <c r="Z17" s="154"/>
      <c r="AA17" s="154"/>
      <c r="AB17" s="154"/>
      <c r="AC17" s="139"/>
      <c r="AD17" s="137"/>
      <c r="AE17" s="154"/>
    </row>
    <row r="18" spans="2:31" x14ac:dyDescent="0.2">
      <c r="B18" s="20" t="s">
        <v>277</v>
      </c>
      <c r="C18" s="141"/>
      <c r="D18" s="141"/>
      <c r="E18" s="147"/>
      <c r="F18" s="147"/>
      <c r="G18" s="147">
        <v>527</v>
      </c>
      <c r="H18" s="147">
        <v>477</v>
      </c>
      <c r="I18" s="147">
        <v>463</v>
      </c>
      <c r="J18" s="147">
        <v>526</v>
      </c>
      <c r="K18" s="147">
        <v>622</v>
      </c>
      <c r="L18" s="147">
        <v>863</v>
      </c>
      <c r="M18" s="147">
        <v>909</v>
      </c>
      <c r="N18" s="147">
        <v>1309</v>
      </c>
      <c r="O18" s="147">
        <v>1300</v>
      </c>
      <c r="P18" s="147">
        <v>2440</v>
      </c>
      <c r="Q18" s="118">
        <f>((P18/G18)^(1/($H$2-$H$1) ))-1</f>
        <v>0.18564110015667001</v>
      </c>
      <c r="R18" s="31">
        <f t="shared" si="6"/>
        <v>0.15</v>
      </c>
      <c r="S18" s="154">
        <f t="shared" ref="S18:S34" si="38">P18*(1+$R18)</f>
        <v>2806</v>
      </c>
      <c r="T18" s="154">
        <f t="shared" ref="T18:T34" si="39">S18*(1+$R18)</f>
        <v>3226.8999999999996</v>
      </c>
      <c r="U18" s="154">
        <f t="shared" ref="U18:U34" si="40">T18*(1+$R18)</f>
        <v>3710.9349999999995</v>
      </c>
      <c r="V18" s="154">
        <f t="shared" ref="V18:V34" si="41">U18*(1+$R18)</f>
        <v>4267.575249999999</v>
      </c>
      <c r="W18" s="154">
        <f t="shared" ref="W18:W36" si="42">V18*(1+$R18)</f>
        <v>4907.7115374999985</v>
      </c>
      <c r="X18" s="154">
        <f t="shared" ref="X18:X36" si="43">W18*(1+$R18)</f>
        <v>5643.8682681249975</v>
      </c>
      <c r="Y18" s="154">
        <f t="shared" ref="Y18:Y36" si="44">X18*(1+$R18)</f>
        <v>6490.4485083437467</v>
      </c>
      <c r="Z18" s="154">
        <f t="shared" ref="Z18:Z36" si="45">Y18*(1+$R18)</f>
        <v>7464.0157845953081</v>
      </c>
      <c r="AA18" s="154">
        <f t="shared" ref="AA18:AA36" si="46">Z18*(1+$R18)</f>
        <v>8583.6181522846036</v>
      </c>
      <c r="AB18" s="154">
        <f t="shared" ref="AB18:AB36" si="47">AA18*(1+$R18)</f>
        <v>9871.1608751272943</v>
      </c>
      <c r="AC18" s="138">
        <f t="shared" si="19"/>
        <v>0.16674706362490288</v>
      </c>
      <c r="AD18" s="31">
        <f t="shared" si="17"/>
        <v>0.05</v>
      </c>
      <c r="AE18" s="146">
        <f t="shared" si="1"/>
        <v>60968.934816962712</v>
      </c>
    </row>
    <row r="19" spans="2:31" x14ac:dyDescent="0.2">
      <c r="B19" s="20"/>
      <c r="C19" s="141"/>
      <c r="D19" s="141"/>
      <c r="E19" s="147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128"/>
      <c r="R19" s="20"/>
      <c r="S19" s="154"/>
      <c r="T19" s="154"/>
      <c r="U19" s="154"/>
      <c r="V19" s="154"/>
      <c r="W19" s="154"/>
      <c r="X19" s="154"/>
      <c r="Y19" s="154"/>
      <c r="Z19" s="154"/>
      <c r="AA19" s="154"/>
      <c r="AB19" s="154"/>
      <c r="AC19" s="139"/>
      <c r="AD19" s="137"/>
      <c r="AE19" s="154"/>
    </row>
    <row r="20" spans="2:31" x14ac:dyDescent="0.2">
      <c r="B20" s="20" t="s">
        <v>283</v>
      </c>
      <c r="C20" s="141"/>
      <c r="D20" s="141"/>
      <c r="E20" s="147"/>
      <c r="F20" s="147"/>
      <c r="G20" s="147">
        <v>243</v>
      </c>
      <c r="H20" s="147">
        <v>157</v>
      </c>
      <c r="I20" s="147">
        <v>219</v>
      </c>
      <c r="J20" s="147">
        <v>312</v>
      </c>
      <c r="K20" s="147">
        <v>457</v>
      </c>
      <c r="L20" s="147">
        <v>325</v>
      </c>
      <c r="M20" s="147">
        <v>847</v>
      </c>
      <c r="N20" s="147">
        <v>743</v>
      </c>
      <c r="O20" s="147">
        <v>753</v>
      </c>
      <c r="P20" s="147">
        <v>1081</v>
      </c>
      <c r="Q20" s="118">
        <f>((P20/G20)^(1/($H$2-$H$1) ))-1</f>
        <v>0.18038689730730306</v>
      </c>
      <c r="R20" s="31">
        <f t="shared" si="6"/>
        <v>0.15</v>
      </c>
      <c r="S20" s="154">
        <f t="shared" ref="S20:S22" si="48">P20*(1+$R20)</f>
        <v>1243.1499999999999</v>
      </c>
      <c r="T20" s="154">
        <f t="shared" ref="T20:T22" si="49">S20*(1+$R20)</f>
        <v>1429.6224999999997</v>
      </c>
      <c r="U20" s="154">
        <f t="shared" ref="U20:U22" si="50">T20*(1+$R20)</f>
        <v>1644.0658749999996</v>
      </c>
      <c r="V20" s="154">
        <f t="shared" ref="V20:V22" si="51">U20*(1+$R20)</f>
        <v>1890.6757562499993</v>
      </c>
      <c r="W20" s="154">
        <f t="shared" ref="W20:W22" si="52">V20*(1+$R20)</f>
        <v>2174.2771196874992</v>
      </c>
      <c r="X20" s="154">
        <f t="shared" ref="X20:X22" si="53">W20*(1+$R20)</f>
        <v>2500.4186876406238</v>
      </c>
      <c r="Y20" s="154">
        <f t="shared" ref="Y20:Y22" si="54">X20*(1+$R20)</f>
        <v>2875.4814907867171</v>
      </c>
      <c r="Z20" s="154">
        <f t="shared" ref="Z20:Z22" si="55">Y20*(1+$R20)</f>
        <v>3306.8037144047244</v>
      </c>
      <c r="AA20" s="154">
        <f t="shared" ref="AA20:AA22" si="56">Z20*(1+$R20)</f>
        <v>3802.8242715654328</v>
      </c>
      <c r="AB20" s="154">
        <f t="shared" ref="AB20:AB22" si="57">AA20*(1+$R20)</f>
        <v>4373.2479123002477</v>
      </c>
      <c r="AC20" s="138">
        <f t="shared" ref="AC20:AC22" si="58">((AB20/G20)^(1/($AB$3-$H$1) ))-1</f>
        <v>0.16429502936232443</v>
      </c>
      <c r="AD20" s="31">
        <f t="shared" si="17"/>
        <v>0.05</v>
      </c>
      <c r="AE20" s="146">
        <f t="shared" si="1"/>
        <v>27011.237105383887</v>
      </c>
    </row>
    <row r="21" spans="2:31" x14ac:dyDescent="0.2">
      <c r="B21" s="20" t="s">
        <v>284</v>
      </c>
      <c r="C21" s="141"/>
      <c r="D21" s="141"/>
      <c r="E21" s="147"/>
      <c r="F21" s="147"/>
      <c r="G21" s="147">
        <v>-123</v>
      </c>
      <c r="H21" s="147">
        <v>-73</v>
      </c>
      <c r="I21" s="147">
        <v>-106</v>
      </c>
      <c r="J21" s="147">
        <v>-111</v>
      </c>
      <c r="K21" s="147">
        <v>-332</v>
      </c>
      <c r="L21" s="147">
        <v>-17</v>
      </c>
      <c r="M21" s="147">
        <v>-242</v>
      </c>
      <c r="N21" s="147">
        <v>-410</v>
      </c>
      <c r="O21" s="147">
        <v>-464</v>
      </c>
      <c r="P21" s="147">
        <v>-425</v>
      </c>
      <c r="Q21" s="118">
        <f>((P21/G21)^(1/($H$2-$H$1) ))-1</f>
        <v>0.14770833439960418</v>
      </c>
      <c r="R21" s="31">
        <f t="shared" si="6"/>
        <v>0.15</v>
      </c>
      <c r="S21" s="154">
        <f t="shared" si="48"/>
        <v>-488.74999999999994</v>
      </c>
      <c r="T21" s="154">
        <f t="shared" si="49"/>
        <v>-562.06249999999989</v>
      </c>
      <c r="U21" s="154">
        <f t="shared" si="50"/>
        <v>-646.37187499999982</v>
      </c>
      <c r="V21" s="154">
        <f t="shared" si="51"/>
        <v>-743.32765624999968</v>
      </c>
      <c r="W21" s="154">
        <f t="shared" si="52"/>
        <v>-854.82680468749959</v>
      </c>
      <c r="X21" s="154">
        <f t="shared" si="53"/>
        <v>-983.05082539062448</v>
      </c>
      <c r="Y21" s="154">
        <f t="shared" si="54"/>
        <v>-1130.5084491992181</v>
      </c>
      <c r="Z21" s="154">
        <f t="shared" si="55"/>
        <v>-1300.0847165791008</v>
      </c>
      <c r="AA21" s="154">
        <f t="shared" si="56"/>
        <v>-1495.0974240659659</v>
      </c>
      <c r="AB21" s="154">
        <f t="shared" si="57"/>
        <v>-1719.3620376758606</v>
      </c>
      <c r="AC21" s="138">
        <f t="shared" si="58"/>
        <v>0.14891390435233642</v>
      </c>
      <c r="AD21" s="31">
        <f t="shared" si="17"/>
        <v>0.05</v>
      </c>
      <c r="AE21" s="146">
        <f t="shared" si="1"/>
        <v>-10619.589056233257</v>
      </c>
    </row>
    <row r="22" spans="2:31" x14ac:dyDescent="0.2">
      <c r="B22" s="20" t="s">
        <v>285</v>
      </c>
      <c r="C22" s="141"/>
      <c r="D22" s="141"/>
      <c r="E22" s="147"/>
      <c r="F22" s="147"/>
      <c r="G22" s="147">
        <v>-123</v>
      </c>
      <c r="H22" s="147">
        <v>-82</v>
      </c>
      <c r="I22" s="147">
        <v>-110</v>
      </c>
      <c r="J22" s="147">
        <v>-187</v>
      </c>
      <c r="K22" s="147">
        <v>-126</v>
      </c>
      <c r="L22" s="147">
        <v>-222</v>
      </c>
      <c r="M22" s="147">
        <v>-238</v>
      </c>
      <c r="N22" s="147">
        <v>-321</v>
      </c>
      <c r="O22" s="147">
        <v>-297</v>
      </c>
      <c r="P22" s="147">
        <v>-590</v>
      </c>
      <c r="Q22" s="118">
        <f>((P22/G22)^(1/($H$2-$H$1) ))-1</f>
        <v>0.19031187605293542</v>
      </c>
      <c r="R22" s="31">
        <f t="shared" si="6"/>
        <v>0.15</v>
      </c>
      <c r="S22" s="154">
        <f t="shared" si="48"/>
        <v>-678.5</v>
      </c>
      <c r="T22" s="154">
        <f t="shared" si="49"/>
        <v>-780.27499999999998</v>
      </c>
      <c r="U22" s="154">
        <f t="shared" si="50"/>
        <v>-897.31624999999985</v>
      </c>
      <c r="V22" s="154">
        <f t="shared" si="51"/>
        <v>-1031.9136874999997</v>
      </c>
      <c r="W22" s="154">
        <f t="shared" si="52"/>
        <v>-1186.7007406249995</v>
      </c>
      <c r="X22" s="154">
        <f t="shared" si="53"/>
        <v>-1364.7058517187493</v>
      </c>
      <c r="Y22" s="154">
        <f t="shared" si="54"/>
        <v>-1569.4117294765615</v>
      </c>
      <c r="Z22" s="154">
        <f t="shared" si="55"/>
        <v>-1804.8234888980455</v>
      </c>
      <c r="AA22" s="154">
        <f t="shared" si="56"/>
        <v>-2075.547012232752</v>
      </c>
      <c r="AB22" s="154">
        <f t="shared" si="57"/>
        <v>-2386.8790640676648</v>
      </c>
      <c r="AC22" s="138">
        <f t="shared" si="58"/>
        <v>0.16892202648411025</v>
      </c>
      <c r="AD22" s="31">
        <f t="shared" si="17"/>
        <v>0.05</v>
      </c>
      <c r="AE22" s="146">
        <f t="shared" si="1"/>
        <v>-14742.48833688852</v>
      </c>
    </row>
    <row r="23" spans="2:31" x14ac:dyDescent="0.2">
      <c r="B23" s="20" t="s">
        <v>295</v>
      </c>
      <c r="C23" s="141"/>
      <c r="D23" s="141"/>
      <c r="E23" s="147"/>
      <c r="F23" s="147"/>
      <c r="G23" s="147">
        <v>24.5</v>
      </c>
      <c r="H23" s="147">
        <v>25</v>
      </c>
      <c r="I23" s="147">
        <v>28</v>
      </c>
      <c r="J23" s="147">
        <v>42</v>
      </c>
      <c r="K23" s="147">
        <v>41</v>
      </c>
      <c r="L23" s="147">
        <v>128</v>
      </c>
      <c r="M23" s="147">
        <v>495</v>
      </c>
      <c r="N23" s="147">
        <v>507</v>
      </c>
      <c r="O23" s="147">
        <v>501</v>
      </c>
      <c r="P23" s="147">
        <v>567</v>
      </c>
      <c r="Q23" s="118">
        <f>((P23/G23)^(1/($H$2-$H$1) ))-1</f>
        <v>0.41775728016006908</v>
      </c>
      <c r="R23" s="31">
        <f t="shared" si="6"/>
        <v>0.15</v>
      </c>
      <c r="S23" s="154">
        <f t="shared" ref="S23" si="59">P23*(1+$R23)</f>
        <v>652.04999999999995</v>
      </c>
      <c r="T23" s="154">
        <f t="shared" ref="T23" si="60">S23*(1+$R23)</f>
        <v>749.85749999999985</v>
      </c>
      <c r="U23" s="154">
        <f t="shared" ref="U23" si="61">T23*(1+$R23)</f>
        <v>862.33612499999981</v>
      </c>
      <c r="V23" s="154">
        <f t="shared" ref="V23" si="62">U23*(1+$R23)</f>
        <v>991.68654374999971</v>
      </c>
      <c r="W23" s="154">
        <f t="shared" ref="W23" si="63">V23*(1+$R23)</f>
        <v>1140.4395253124997</v>
      </c>
      <c r="X23" s="154">
        <f t="shared" ref="X23" si="64">W23*(1+$R23)</f>
        <v>1311.5054541093746</v>
      </c>
      <c r="Y23" s="154">
        <f t="shared" ref="Y23" si="65">X23*(1+$R23)</f>
        <v>1508.2312722257807</v>
      </c>
      <c r="Z23" s="154">
        <f t="shared" ref="Z23" si="66">Y23*(1+$R23)</f>
        <v>1734.4659630596477</v>
      </c>
      <c r="AA23" s="154">
        <f t="shared" ref="AA23" si="67">Z23*(1+$R23)</f>
        <v>1994.6358575185948</v>
      </c>
      <c r="AB23" s="154">
        <f t="shared" ref="AB23" si="68">AA23*(1+$R23)</f>
        <v>2293.8312361463836</v>
      </c>
      <c r="AC23" s="138">
        <f t="shared" ref="AC23" si="69">((AB23/G23)^(1/($AB$3-$H$1) ))-1</f>
        <v>0.26986528694819167</v>
      </c>
      <c r="AD23" s="31">
        <f t="shared" si="17"/>
        <v>0.05</v>
      </c>
      <c r="AE23" s="146">
        <f t="shared" si="1"/>
        <v>14167.781164433549</v>
      </c>
    </row>
    <row r="24" spans="2:31" x14ac:dyDescent="0.2">
      <c r="B24" s="20"/>
      <c r="C24" s="141"/>
      <c r="D24" s="141"/>
      <c r="E24" s="147"/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128"/>
      <c r="R24" s="20"/>
      <c r="S24" s="154"/>
      <c r="T24" s="154"/>
      <c r="U24" s="154"/>
      <c r="V24" s="154"/>
      <c r="W24" s="154"/>
      <c r="X24" s="154"/>
      <c r="Y24" s="154"/>
      <c r="Z24" s="154"/>
      <c r="AA24" s="154"/>
      <c r="AB24" s="154"/>
      <c r="AC24" s="119"/>
      <c r="AD24" s="137"/>
      <c r="AE24" s="154"/>
    </row>
    <row r="25" spans="2:31" x14ac:dyDescent="0.2">
      <c r="B25" s="20" t="s">
        <v>89</v>
      </c>
      <c r="C25" s="141"/>
      <c r="D25" s="141"/>
      <c r="E25" s="147"/>
      <c r="F25" s="147"/>
      <c r="G25" s="147">
        <v>2234</v>
      </c>
      <c r="H25" s="147">
        <v>2655</v>
      </c>
      <c r="I25" s="147">
        <v>3051</v>
      </c>
      <c r="J25" s="147">
        <v>3948</v>
      </c>
      <c r="K25" s="147">
        <v>4679</v>
      </c>
      <c r="L25" s="147">
        <v>5749</v>
      </c>
      <c r="M25" s="147">
        <v>7206</v>
      </c>
      <c r="N25" s="147">
        <v>8246</v>
      </c>
      <c r="O25" s="147">
        <v>10277</v>
      </c>
      <c r="P25" s="147">
        <v>11736</v>
      </c>
      <c r="Q25" s="118">
        <f>((P25/G25)^(1/($H$2-$H$1) ))-1</f>
        <v>0.20239883835978656</v>
      </c>
      <c r="R25" s="31">
        <f t="shared" si="6"/>
        <v>0.15</v>
      </c>
      <c r="S25" s="154">
        <f t="shared" si="38"/>
        <v>13496.4</v>
      </c>
      <c r="T25" s="154">
        <f t="shared" si="39"/>
        <v>15520.859999999999</v>
      </c>
      <c r="U25" s="154">
        <f t="shared" si="40"/>
        <v>17848.988999999998</v>
      </c>
      <c r="V25" s="154">
        <f t="shared" si="41"/>
        <v>20526.337349999994</v>
      </c>
      <c r="W25" s="154">
        <f t="shared" si="42"/>
        <v>23605.287952499992</v>
      </c>
      <c r="X25" s="154">
        <f t="shared" si="43"/>
        <v>27146.081145374988</v>
      </c>
      <c r="Y25" s="154">
        <f t="shared" si="44"/>
        <v>31217.993317181234</v>
      </c>
      <c r="Z25" s="154">
        <f t="shared" si="45"/>
        <v>35900.692314758417</v>
      </c>
      <c r="AA25" s="154">
        <f t="shared" si="46"/>
        <v>41285.796161972175</v>
      </c>
      <c r="AB25" s="154">
        <f t="shared" si="47"/>
        <v>47478.665586267998</v>
      </c>
      <c r="AC25" s="138">
        <f t="shared" si="19"/>
        <v>0.17452959695233483</v>
      </c>
      <c r="AD25" s="31">
        <f t="shared" si="17"/>
        <v>0.05</v>
      </c>
      <c r="AE25" s="146">
        <f t="shared" si="1"/>
        <v>293250.58156224358</v>
      </c>
    </row>
    <row r="26" spans="2:31" s="123" customFormat="1" x14ac:dyDescent="0.2">
      <c r="B26" s="23"/>
      <c r="C26" s="149"/>
      <c r="D26" s="149"/>
      <c r="E26" s="150"/>
      <c r="F26" s="150"/>
      <c r="G26" s="148">
        <f>(G25-F25)/G25</f>
        <v>1</v>
      </c>
      <c r="H26" s="148">
        <f>(H25-G25)/H25</f>
        <v>0.15856873822975517</v>
      </c>
      <c r="I26" s="148">
        <f t="shared" ref="I26" si="70">(I25-H25)/I25</f>
        <v>0.12979351032448377</v>
      </c>
      <c r="J26" s="148">
        <f t="shared" ref="J26" si="71">(J25-I25)/J25</f>
        <v>0.22720364741641338</v>
      </c>
      <c r="K26" s="148">
        <f t="shared" ref="K26" si="72">(K25-J25)/K25</f>
        <v>0.15622996366745032</v>
      </c>
      <c r="L26" s="148">
        <f t="shared" ref="L26" si="73">(L25-K25)/L25</f>
        <v>0.18611932510001739</v>
      </c>
      <c r="M26" s="148">
        <f t="shared" ref="M26" si="74">(M25-L25)/M25</f>
        <v>0.20219261726339161</v>
      </c>
      <c r="N26" s="148">
        <f t="shared" ref="N26" si="75">(N25-M25)/N25</f>
        <v>0.12612175600291051</v>
      </c>
      <c r="O26" s="148">
        <f t="shared" ref="O26" si="76">(O25-N25)/O25</f>
        <v>0.19762576627420453</v>
      </c>
      <c r="P26" s="148">
        <f t="shared" ref="P26" si="77">(P25-O25)/P25</f>
        <v>0.12431833674164962</v>
      </c>
      <c r="Q26" s="128"/>
      <c r="R26" s="20"/>
      <c r="S26" s="155"/>
      <c r="T26" s="155"/>
      <c r="U26" s="155"/>
      <c r="V26" s="155"/>
      <c r="W26" s="155"/>
      <c r="X26" s="155"/>
      <c r="Y26" s="155"/>
      <c r="Z26" s="155"/>
      <c r="AA26" s="155"/>
      <c r="AB26" s="155"/>
      <c r="AC26" s="119"/>
      <c r="AD26" s="137"/>
      <c r="AE26" s="154"/>
    </row>
    <row r="27" spans="2:31" x14ac:dyDescent="0.2">
      <c r="B27" s="20" t="s">
        <v>261</v>
      </c>
      <c r="C27" s="141"/>
      <c r="D27" s="141"/>
      <c r="E27" s="147"/>
      <c r="F27" s="147"/>
      <c r="G27" s="147">
        <v>1910</v>
      </c>
      <c r="H27" s="147">
        <v>2290</v>
      </c>
      <c r="I27" s="147">
        <v>2630</v>
      </c>
      <c r="J27" s="147">
        <v>3437</v>
      </c>
      <c r="K27" s="147">
        <v>3961</v>
      </c>
      <c r="L27" s="147">
        <v>5026</v>
      </c>
      <c r="M27" s="147">
        <v>5830</v>
      </c>
      <c r="N27" s="147">
        <v>6849</v>
      </c>
      <c r="O27" s="147">
        <v>8663</v>
      </c>
      <c r="P27" s="147">
        <v>9890</v>
      </c>
      <c r="Q27" s="118">
        <f>((P27/G27)^(1/($H$2-$H$1) ))-1</f>
        <v>0.20047034447662249</v>
      </c>
      <c r="R27" s="31">
        <f t="shared" si="6"/>
        <v>0.15</v>
      </c>
      <c r="S27" s="154">
        <f t="shared" si="38"/>
        <v>11373.5</v>
      </c>
      <c r="T27" s="154">
        <f t="shared" si="39"/>
        <v>13079.525</v>
      </c>
      <c r="U27" s="154">
        <f t="shared" si="40"/>
        <v>15041.453749999999</v>
      </c>
      <c r="V27" s="154">
        <f t="shared" si="41"/>
        <v>17297.671812499997</v>
      </c>
      <c r="W27" s="154">
        <f t="shared" si="42"/>
        <v>19892.322584374993</v>
      </c>
      <c r="X27" s="154">
        <f t="shared" si="43"/>
        <v>22876.170972031239</v>
      </c>
      <c r="Y27" s="154">
        <f t="shared" si="44"/>
        <v>26307.596617835923</v>
      </c>
      <c r="Z27" s="154">
        <f t="shared" si="45"/>
        <v>30253.736110511309</v>
      </c>
      <c r="AA27" s="154">
        <f t="shared" si="46"/>
        <v>34791.796527088001</v>
      </c>
      <c r="AB27" s="154">
        <f t="shared" si="47"/>
        <v>40010.566006151195</v>
      </c>
      <c r="AC27" s="138">
        <f t="shared" si="19"/>
        <v>0.17363689598461107</v>
      </c>
      <c r="AD27" s="31">
        <f t="shared" si="17"/>
        <v>0.05</v>
      </c>
      <c r="AE27" s="146">
        <f t="shared" si="1"/>
        <v>247124.08415563975</v>
      </c>
    </row>
    <row r="28" spans="2:31" s="123" customFormat="1" x14ac:dyDescent="0.2">
      <c r="B28" s="23"/>
      <c r="C28" s="149"/>
      <c r="D28" s="149"/>
      <c r="E28" s="150"/>
      <c r="F28" s="150"/>
      <c r="G28" s="148">
        <f t="shared" ref="G28:M28" si="78">(G27-F27)/G27</f>
        <v>1</v>
      </c>
      <c r="H28" s="148">
        <f t="shared" si="78"/>
        <v>0.16593886462882096</v>
      </c>
      <c r="I28" s="148">
        <f t="shared" si="78"/>
        <v>0.12927756653992395</v>
      </c>
      <c r="J28" s="148">
        <f t="shared" si="78"/>
        <v>0.23479778876927554</v>
      </c>
      <c r="K28" s="148">
        <f t="shared" si="78"/>
        <v>0.13228982580156526</v>
      </c>
      <c r="L28" s="148">
        <f t="shared" si="78"/>
        <v>0.21189812972542776</v>
      </c>
      <c r="M28" s="148">
        <f t="shared" si="78"/>
        <v>0.13790737564322469</v>
      </c>
      <c r="N28" s="148">
        <f t="shared" ref="N28" si="79">(N27-M27)/N27</f>
        <v>0.14878084391882027</v>
      </c>
      <c r="O28" s="148">
        <f t="shared" ref="O28" si="80">(O27-N27)/O27</f>
        <v>0.20939628304282581</v>
      </c>
      <c r="P28" s="148">
        <f t="shared" ref="P28" si="81">(P27-O27)/P27</f>
        <v>0.12406471183013144</v>
      </c>
      <c r="Q28" s="128"/>
      <c r="R28" s="20"/>
      <c r="S28" s="155"/>
      <c r="T28" s="155"/>
      <c r="U28" s="155"/>
      <c r="V28" s="155"/>
      <c r="W28" s="155"/>
      <c r="X28" s="155"/>
      <c r="Y28" s="155"/>
      <c r="Z28" s="155"/>
      <c r="AA28" s="155"/>
      <c r="AB28" s="155"/>
      <c r="AC28" s="119"/>
      <c r="AD28" s="137"/>
      <c r="AE28" s="154"/>
    </row>
    <row r="29" spans="2:31" s="123" customFormat="1" x14ac:dyDescent="0.2">
      <c r="B29" s="20" t="s">
        <v>324</v>
      </c>
      <c r="C29" s="149"/>
      <c r="D29" s="149"/>
      <c r="E29" s="150"/>
      <c r="F29" s="147"/>
      <c r="G29" s="147">
        <v>15</v>
      </c>
      <c r="H29" s="147">
        <v>11</v>
      </c>
      <c r="I29" s="147">
        <v>11</v>
      </c>
      <c r="J29" s="147">
        <v>24</v>
      </c>
      <c r="K29" s="147">
        <v>26</v>
      </c>
      <c r="L29" s="147">
        <v>32</v>
      </c>
      <c r="M29" s="147">
        <v>36</v>
      </c>
      <c r="N29" s="147">
        <v>25</v>
      </c>
      <c r="O29" s="147">
        <v>38</v>
      </c>
      <c r="P29" s="147">
        <v>36.6</v>
      </c>
      <c r="Q29" s="118">
        <f>((P29/G29)^(1/($H$2-$H$1) ))-1</f>
        <v>0.1041887398545922</v>
      </c>
      <c r="R29" s="31">
        <f t="shared" si="6"/>
        <v>0.15</v>
      </c>
      <c r="S29" s="154">
        <f t="shared" ref="S29" si="82">P29*(1+$R29)</f>
        <v>42.089999999999996</v>
      </c>
      <c r="T29" s="154">
        <f t="shared" ref="T29" si="83">S29*(1+$R29)</f>
        <v>48.403499999999994</v>
      </c>
      <c r="U29" s="154">
        <f t="shared" ref="U29" si="84">T29*(1+$R29)</f>
        <v>55.664024999999988</v>
      </c>
      <c r="V29" s="154">
        <f t="shared" ref="V29" si="85">U29*(1+$R29)</f>
        <v>64.013628749999981</v>
      </c>
      <c r="W29" s="154">
        <f t="shared" ref="W29" si="86">V29*(1+$R29)</f>
        <v>73.61567306249998</v>
      </c>
      <c r="X29" s="154">
        <f t="shared" ref="X29" si="87">W29*(1+$R29)</f>
        <v>84.658024021874965</v>
      </c>
      <c r="Y29" s="154">
        <f t="shared" ref="Y29" si="88">X29*(1+$R29)</f>
        <v>97.356727625156196</v>
      </c>
      <c r="Z29" s="154">
        <f t="shared" ref="Z29" si="89">Y29*(1+$R29)</f>
        <v>111.96023676892962</v>
      </c>
      <c r="AA29" s="154">
        <f t="shared" ref="AA29" si="90">Z29*(1+$R29)</f>
        <v>128.75427228426906</v>
      </c>
      <c r="AB29" s="154">
        <f t="shared" ref="AB29" si="91">AA29*(1+$R29)</f>
        <v>148.0674131269094</v>
      </c>
      <c r="AC29" s="138">
        <f t="shared" ref="AC29" si="92">((AB29/G29)^(1/($AB$3-$H$1) ))-1</f>
        <v>0.12806771495904679</v>
      </c>
      <c r="AD29" s="31">
        <f t="shared" si="17"/>
        <v>0.05</v>
      </c>
      <c r="AE29" s="146">
        <f t="shared" ref="AE29" si="93">(AB29*(1+AD29))/($C$1-AD29)</f>
        <v>914.53402225444063</v>
      </c>
    </row>
    <row r="30" spans="2:31" s="123" customFormat="1" x14ac:dyDescent="0.2">
      <c r="B30" s="23"/>
      <c r="C30" s="149"/>
      <c r="D30" s="149"/>
      <c r="E30" s="150"/>
      <c r="F30" s="150"/>
      <c r="G30" s="148">
        <f t="shared" ref="G30:L30" si="94">(G29-F29)/G29</f>
        <v>1</v>
      </c>
      <c r="H30" s="148">
        <f t="shared" si="94"/>
        <v>-0.36363636363636365</v>
      </c>
      <c r="I30" s="148">
        <f t="shared" si="94"/>
        <v>0</v>
      </c>
      <c r="J30" s="148">
        <f t="shared" si="94"/>
        <v>0.54166666666666663</v>
      </c>
      <c r="K30" s="148">
        <f t="shared" si="94"/>
        <v>7.6923076923076927E-2</v>
      </c>
      <c r="L30" s="148">
        <f t="shared" si="94"/>
        <v>0.1875</v>
      </c>
      <c r="M30" s="148">
        <f t="shared" ref="M30" si="95">(M29-L29)/M29</f>
        <v>0.1111111111111111</v>
      </c>
      <c r="N30" s="148">
        <f t="shared" ref="N30" si="96">(N29-M29)/N29</f>
        <v>-0.44</v>
      </c>
      <c r="O30" s="148">
        <f t="shared" ref="O30" si="97">(O29-N29)/O29</f>
        <v>0.34210526315789475</v>
      </c>
      <c r="P30" s="148">
        <f t="shared" ref="P30" si="98">(P29-O29)/P29</f>
        <v>-3.8251366120218538E-2</v>
      </c>
      <c r="Q30" s="128"/>
      <c r="R30" s="20"/>
      <c r="S30" s="155"/>
      <c r="T30" s="155"/>
      <c r="U30" s="155"/>
      <c r="V30" s="155"/>
      <c r="W30" s="155"/>
      <c r="X30" s="155"/>
      <c r="Y30" s="155"/>
      <c r="Z30" s="155"/>
      <c r="AA30" s="155"/>
      <c r="AB30" s="155"/>
      <c r="AC30" s="162"/>
      <c r="AD30" s="137"/>
      <c r="AE30" s="154"/>
    </row>
    <row r="31" spans="2:31" x14ac:dyDescent="0.2">
      <c r="B31" s="20" t="s">
        <v>332</v>
      </c>
      <c r="C31" s="141"/>
      <c r="D31" s="141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47"/>
      <c r="Q31" s="118" t="e">
        <f>((P31/G31)^(1/($H$2-$H$1) ))-1</f>
        <v>#DIV/0!</v>
      </c>
      <c r="R31" s="31">
        <f t="shared" si="6"/>
        <v>0.15</v>
      </c>
      <c r="S31" s="154">
        <f>P31*(1+$R31)</f>
        <v>0</v>
      </c>
      <c r="T31" s="154">
        <f>S31*(1+$R31)</f>
        <v>0</v>
      </c>
      <c r="U31" s="154">
        <f t="shared" ref="U31:AB32" si="99">T31*(1+$R31)</f>
        <v>0</v>
      </c>
      <c r="V31" s="154">
        <f t="shared" si="99"/>
        <v>0</v>
      </c>
      <c r="W31" s="154">
        <f t="shared" si="99"/>
        <v>0</v>
      </c>
      <c r="X31" s="154">
        <f t="shared" si="99"/>
        <v>0</v>
      </c>
      <c r="Y31" s="154">
        <f t="shared" si="99"/>
        <v>0</v>
      </c>
      <c r="Z31" s="154">
        <f t="shared" si="99"/>
        <v>0</v>
      </c>
      <c r="AA31" s="154">
        <f t="shared" si="99"/>
        <v>0</v>
      </c>
      <c r="AB31" s="154">
        <f t="shared" si="99"/>
        <v>0</v>
      </c>
      <c r="AC31" s="138" t="e">
        <f t="shared" ref="AC31" si="100">((AB31/G31)^(1/($AB$3-$H$1) ))-1</f>
        <v>#DIV/0!</v>
      </c>
      <c r="AD31" s="31">
        <f t="shared" si="17"/>
        <v>0.05</v>
      </c>
      <c r="AE31" s="146">
        <f t="shared" si="1"/>
        <v>0</v>
      </c>
    </row>
    <row r="32" spans="2:31" x14ac:dyDescent="0.2">
      <c r="B32" s="20" t="s">
        <v>331</v>
      </c>
      <c r="C32" s="141"/>
      <c r="D32" s="141"/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47"/>
      <c r="Q32" s="118" t="e">
        <f>((P32/G32)^(1/($H$2-$H$1) ))-1</f>
        <v>#DIV/0!</v>
      </c>
      <c r="R32" s="31">
        <f t="shared" si="6"/>
        <v>0.15</v>
      </c>
      <c r="S32" s="154">
        <f>P32*(1+$R32)</f>
        <v>0</v>
      </c>
      <c r="T32" s="154">
        <f>S32*(1+$R32)</f>
        <v>0</v>
      </c>
      <c r="U32" s="154">
        <f t="shared" si="99"/>
        <v>0</v>
      </c>
      <c r="V32" s="154">
        <f t="shared" si="99"/>
        <v>0</v>
      </c>
      <c r="W32" s="154">
        <f t="shared" si="99"/>
        <v>0</v>
      </c>
      <c r="X32" s="154">
        <f t="shared" si="99"/>
        <v>0</v>
      </c>
      <c r="Y32" s="154">
        <f t="shared" si="99"/>
        <v>0</v>
      </c>
      <c r="Z32" s="154">
        <f t="shared" si="99"/>
        <v>0</v>
      </c>
      <c r="AA32" s="154">
        <f t="shared" si="99"/>
        <v>0</v>
      </c>
      <c r="AB32" s="154">
        <f t="shared" si="99"/>
        <v>0</v>
      </c>
      <c r="AC32" s="138" t="e">
        <f t="shared" ref="AC32" si="101">((AB32/G32)^(1/($AB$3-$H$1) ))-1</f>
        <v>#DIV/0!</v>
      </c>
      <c r="AD32" s="31">
        <f t="shared" si="17"/>
        <v>0.05</v>
      </c>
      <c r="AE32" s="146">
        <f t="shared" si="1"/>
        <v>0</v>
      </c>
    </row>
    <row r="33" spans="2:31" x14ac:dyDescent="0.2">
      <c r="B33" s="20" t="s">
        <v>316</v>
      </c>
      <c r="C33" s="141"/>
      <c r="D33" s="141"/>
      <c r="E33" s="147"/>
      <c r="F33" s="147"/>
      <c r="G33" s="147">
        <v>1260</v>
      </c>
      <c r="H33" s="147">
        <v>1579</v>
      </c>
      <c r="I33" s="147">
        <v>1823</v>
      </c>
      <c r="J33" s="147">
        <v>2293</v>
      </c>
      <c r="K33" s="147">
        <v>2638</v>
      </c>
      <c r="L33" s="147">
        <v>3403</v>
      </c>
      <c r="M33" s="147">
        <v>3882</v>
      </c>
      <c r="N33" s="147">
        <v>4653</v>
      </c>
      <c r="O33" s="147">
        <v>5977</v>
      </c>
      <c r="P33" s="147">
        <v>6627</v>
      </c>
      <c r="Q33" s="118">
        <f>((P33/G33)^(1/($H$2-$H$1) ))-1</f>
        <v>0.20255558152428788</v>
      </c>
      <c r="R33" s="31">
        <f t="shared" si="6"/>
        <v>0.15</v>
      </c>
      <c r="S33" s="154">
        <f t="shared" si="38"/>
        <v>7621.0499999999993</v>
      </c>
      <c r="T33" s="154">
        <f t="shared" si="39"/>
        <v>8764.2074999999986</v>
      </c>
      <c r="U33" s="154">
        <f t="shared" si="40"/>
        <v>10078.838624999999</v>
      </c>
      <c r="V33" s="154">
        <f t="shared" si="41"/>
        <v>11590.664418749997</v>
      </c>
      <c r="W33" s="154">
        <f t="shared" si="42"/>
        <v>13329.264081562495</v>
      </c>
      <c r="X33" s="154">
        <f t="shared" si="43"/>
        <v>15328.653693796867</v>
      </c>
      <c r="Y33" s="154">
        <f t="shared" si="44"/>
        <v>17627.951747866395</v>
      </c>
      <c r="Z33" s="154">
        <f t="shared" si="45"/>
        <v>20272.144510046353</v>
      </c>
      <c r="AA33" s="154">
        <f t="shared" si="46"/>
        <v>23312.966186553305</v>
      </c>
      <c r="AB33" s="154">
        <f t="shared" si="47"/>
        <v>26809.911114536299</v>
      </c>
      <c r="AC33" s="138">
        <f t="shared" si="19"/>
        <v>0.17460212033264488</v>
      </c>
      <c r="AD33" s="31">
        <f t="shared" si="17"/>
        <v>0.05</v>
      </c>
      <c r="AE33" s="146">
        <f t="shared" si="1"/>
        <v>165590.62747213597</v>
      </c>
    </row>
    <row r="34" spans="2:31" x14ac:dyDescent="0.2">
      <c r="B34" s="20" t="s">
        <v>308</v>
      </c>
      <c r="C34" s="141"/>
      <c r="D34" s="141"/>
      <c r="E34" s="147"/>
      <c r="F34" s="147"/>
      <c r="G34" s="147">
        <v>185</v>
      </c>
      <c r="H34" s="147">
        <v>202</v>
      </c>
      <c r="I34" s="147">
        <v>224</v>
      </c>
      <c r="J34" s="147">
        <v>263</v>
      </c>
      <c r="K34" s="147">
        <v>307</v>
      </c>
      <c r="L34" s="147">
        <v>372</v>
      </c>
      <c r="M34" s="147">
        <v>438</v>
      </c>
      <c r="N34" s="147">
        <v>455</v>
      </c>
      <c r="O34" s="147">
        <v>528</v>
      </c>
      <c r="P34" s="147">
        <v>623</v>
      </c>
      <c r="Q34" s="118">
        <f>((P34/G34)^(1/($H$2-$H$1) ))-1</f>
        <v>0.14443386888753462</v>
      </c>
      <c r="R34" s="31">
        <f t="shared" si="6"/>
        <v>0.15</v>
      </c>
      <c r="S34" s="154">
        <f t="shared" si="38"/>
        <v>716.44999999999993</v>
      </c>
      <c r="T34" s="154">
        <f t="shared" si="39"/>
        <v>823.9174999999999</v>
      </c>
      <c r="U34" s="154">
        <f t="shared" si="40"/>
        <v>947.50512499999979</v>
      </c>
      <c r="V34" s="154">
        <f t="shared" si="41"/>
        <v>1089.6308937499996</v>
      </c>
      <c r="W34" s="154">
        <f t="shared" si="42"/>
        <v>1253.0755278124993</v>
      </c>
      <c r="X34" s="154">
        <f t="shared" si="43"/>
        <v>1441.036856984374</v>
      </c>
      <c r="Y34" s="154">
        <f t="shared" si="44"/>
        <v>1657.1923855320299</v>
      </c>
      <c r="Z34" s="154">
        <f t="shared" si="45"/>
        <v>1905.7712433618342</v>
      </c>
      <c r="AA34" s="154">
        <f t="shared" si="46"/>
        <v>2191.6369298661093</v>
      </c>
      <c r="AB34" s="154">
        <f t="shared" si="47"/>
        <v>2520.3824693460256</v>
      </c>
      <c r="AC34" s="138">
        <f t="shared" si="19"/>
        <v>0.14736004502302857</v>
      </c>
      <c r="AD34" s="31">
        <f t="shared" si="17"/>
        <v>0.05</v>
      </c>
      <c r="AE34" s="146">
        <f t="shared" si="1"/>
        <v>15567.068193019573</v>
      </c>
    </row>
    <row r="35" spans="2:31" x14ac:dyDescent="0.2">
      <c r="B35" s="20"/>
      <c r="C35" s="141"/>
      <c r="D35" s="141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28"/>
      <c r="R35" s="20"/>
      <c r="S35" s="154"/>
      <c r="T35" s="154"/>
      <c r="U35" s="154"/>
      <c r="V35" s="154"/>
      <c r="W35" s="154"/>
      <c r="X35" s="154"/>
      <c r="Y35" s="154"/>
      <c r="Z35" s="154"/>
      <c r="AA35" s="154"/>
      <c r="AB35" s="154"/>
      <c r="AC35" s="139"/>
      <c r="AD35" s="137"/>
      <c r="AE35" s="154"/>
    </row>
    <row r="36" spans="2:31" x14ac:dyDescent="0.2">
      <c r="B36" s="20" t="s">
        <v>278</v>
      </c>
      <c r="C36" s="141"/>
      <c r="D36" s="141"/>
      <c r="E36" s="147"/>
      <c r="F36" s="147"/>
      <c r="G36" s="147">
        <v>305</v>
      </c>
      <c r="H36" s="147">
        <v>346</v>
      </c>
      <c r="I36" s="147">
        <v>403</v>
      </c>
      <c r="J36" s="147">
        <v>486</v>
      </c>
      <c r="K36" s="147">
        <v>666</v>
      </c>
      <c r="L36" s="147">
        <v>700</v>
      </c>
      <c r="M36" s="147">
        <v>1238</v>
      </c>
      <c r="N36" s="147">
        <v>1318</v>
      </c>
      <c r="O36" s="147">
        <v>1544</v>
      </c>
      <c r="P36" s="147">
        <v>1732</v>
      </c>
      <c r="Q36" s="118">
        <f>((P36/G36)^(1/($H$2-$H$1) ))-1</f>
        <v>0.21284510208942842</v>
      </c>
      <c r="R36" s="31">
        <f t="shared" si="6"/>
        <v>0.15</v>
      </c>
      <c r="S36" s="154">
        <f t="shared" ref="S36" si="102">P36*(1+$R36)</f>
        <v>1991.8</v>
      </c>
      <c r="T36" s="154">
        <f t="shared" ref="T36" si="103">S36*(1+$R36)</f>
        <v>2290.5699999999997</v>
      </c>
      <c r="U36" s="154">
        <f t="shared" ref="U36" si="104">T36*(1+$R36)</f>
        <v>2634.1554999999994</v>
      </c>
      <c r="V36" s="154">
        <f t="shared" ref="V36" si="105">U36*(1+$R36)</f>
        <v>3029.278824999999</v>
      </c>
      <c r="W36" s="154">
        <f t="shared" si="42"/>
        <v>3483.6706487499987</v>
      </c>
      <c r="X36" s="154">
        <f t="shared" si="43"/>
        <v>4006.2212460624983</v>
      </c>
      <c r="Y36" s="154">
        <f t="shared" si="44"/>
        <v>4607.1544329718727</v>
      </c>
      <c r="Z36" s="154">
        <f t="shared" si="45"/>
        <v>5298.2275979176529</v>
      </c>
      <c r="AA36" s="154">
        <f t="shared" si="46"/>
        <v>6092.9617376053002</v>
      </c>
      <c r="AB36" s="154">
        <f t="shared" si="47"/>
        <v>7006.9059982460949</v>
      </c>
      <c r="AC36" s="138">
        <f t="shared" si="19"/>
        <v>0.17935213466015165</v>
      </c>
      <c r="AD36" s="31">
        <f t="shared" si="17"/>
        <v>0.05</v>
      </c>
      <c r="AE36" s="146">
        <f t="shared" si="1"/>
        <v>43277.948812696472</v>
      </c>
    </row>
    <row r="37" spans="2:31" s="123" customFormat="1" x14ac:dyDescent="0.2">
      <c r="B37" s="23"/>
      <c r="C37" s="149"/>
      <c r="D37" s="149"/>
      <c r="E37" s="150"/>
      <c r="F37" s="150"/>
      <c r="G37" s="148">
        <f t="shared" ref="G37" si="106">(G36-F36)/G36</f>
        <v>1</v>
      </c>
      <c r="H37" s="148">
        <f t="shared" ref="H37" si="107">(H36-G36)/H36</f>
        <v>0.11849710982658959</v>
      </c>
      <c r="I37" s="148">
        <f t="shared" ref="I37" si="108">(I36-H36)/I36</f>
        <v>0.14143920595533499</v>
      </c>
      <c r="J37" s="148">
        <f t="shared" ref="J37" si="109">(J36-I36)/J36</f>
        <v>0.17078189300411523</v>
      </c>
      <c r="K37" s="148">
        <f t="shared" ref="K37" si="110">(K36-J36)/K36</f>
        <v>0.27027027027027029</v>
      </c>
      <c r="L37" s="148">
        <f t="shared" ref="L37" si="111">(L36-K36)/L36</f>
        <v>4.8571428571428571E-2</v>
      </c>
      <c r="M37" s="148">
        <f t="shared" ref="M37" si="112">(M36-L36)/M36</f>
        <v>0.43457189014539582</v>
      </c>
      <c r="N37" s="148">
        <f t="shared" ref="N37" si="113">(N36-M36)/N36</f>
        <v>6.0698027314112293E-2</v>
      </c>
      <c r="O37" s="148">
        <f t="shared" ref="O37" si="114">(O36-N36)/O36</f>
        <v>0.14637305699481865</v>
      </c>
      <c r="P37" s="148">
        <f t="shared" ref="P37" si="115">(P36-O36)/P36</f>
        <v>0.10854503464203233</v>
      </c>
      <c r="Q37" s="128"/>
      <c r="R37" s="20"/>
      <c r="S37" s="155"/>
      <c r="T37" s="155"/>
      <c r="U37" s="155"/>
      <c r="V37" s="155"/>
      <c r="W37" s="155"/>
      <c r="X37" s="155"/>
      <c r="Y37" s="155"/>
      <c r="Z37" s="155"/>
      <c r="AA37" s="155"/>
      <c r="AB37" s="155"/>
      <c r="AC37" s="139"/>
      <c r="AD37" s="137"/>
      <c r="AE37" s="156"/>
    </row>
    <row r="38" spans="2:31" s="123" customFormat="1" x14ac:dyDescent="0.2">
      <c r="B38" s="20" t="s">
        <v>400</v>
      </c>
      <c r="C38" s="149"/>
      <c r="D38" s="149"/>
      <c r="E38" s="150"/>
      <c r="F38" s="150"/>
      <c r="G38" s="147">
        <v>245</v>
      </c>
      <c r="H38" s="147">
        <v>294</v>
      </c>
      <c r="I38" s="147">
        <v>349</v>
      </c>
      <c r="J38" s="147">
        <v>426</v>
      </c>
      <c r="K38" s="147">
        <v>632</v>
      </c>
      <c r="L38" s="147">
        <v>616</v>
      </c>
      <c r="M38" s="147">
        <v>1254</v>
      </c>
      <c r="N38" s="147">
        <v>1259</v>
      </c>
      <c r="O38" s="147">
        <v>1454</v>
      </c>
      <c r="P38" s="147">
        <v>1655</v>
      </c>
      <c r="Q38" s="118">
        <f>((P38/G38)^(1/($H$2-$H$1) ))-1</f>
        <v>0.23646356575255978</v>
      </c>
      <c r="R38" s="31">
        <f t="shared" si="6"/>
        <v>0.15</v>
      </c>
      <c r="S38" s="154">
        <f t="shared" ref="S38" si="116">P38*(1+$R38)</f>
        <v>1903.2499999999998</v>
      </c>
      <c r="T38" s="154">
        <f t="shared" ref="T38" si="117">S38*(1+$R38)</f>
        <v>2188.7374999999997</v>
      </c>
      <c r="U38" s="154">
        <f t="shared" ref="U38" si="118">T38*(1+$R38)</f>
        <v>2517.0481249999993</v>
      </c>
      <c r="V38" s="154">
        <f t="shared" ref="V38" si="119">U38*(1+$R38)</f>
        <v>2894.6053437499991</v>
      </c>
      <c r="W38" s="154">
        <f t="shared" ref="W38" si="120">V38*(1+$R38)</f>
        <v>3328.7961453124985</v>
      </c>
      <c r="X38" s="154">
        <f t="shared" ref="X38" si="121">W38*(1+$R38)</f>
        <v>3828.1155671093729</v>
      </c>
      <c r="Y38" s="154">
        <f t="shared" ref="Y38" si="122">X38*(1+$R38)</f>
        <v>4402.3329021757781</v>
      </c>
      <c r="Z38" s="154">
        <f t="shared" ref="Z38" si="123">Y38*(1+$R38)</f>
        <v>5062.6828375021441</v>
      </c>
      <c r="AA38" s="154">
        <f t="shared" ref="AA38" si="124">Z38*(1+$R38)</f>
        <v>5822.0852631274656</v>
      </c>
      <c r="AB38" s="154">
        <f t="shared" ref="AB38" si="125">AA38*(1+$R38)</f>
        <v>6695.3980525965853</v>
      </c>
      <c r="AC38" s="138">
        <f t="shared" ref="AC38" si="126">((AB38/G38)^(1/($AB$3-$H$1) ))-1</f>
        <v>0.19017567360512189</v>
      </c>
      <c r="AD38" s="31">
        <f t="shared" si="17"/>
        <v>0.05</v>
      </c>
      <c r="AE38" s="146">
        <f t="shared" ref="AE38" si="127">(AB38*(1+AD38))/($C$1-AD38)</f>
        <v>41353.929148390678</v>
      </c>
    </row>
    <row r="39" spans="2:31" s="123" customFormat="1" x14ac:dyDescent="0.2">
      <c r="B39" s="23"/>
      <c r="C39" s="149"/>
      <c r="D39" s="149"/>
      <c r="E39" s="150"/>
      <c r="F39" s="150"/>
      <c r="G39" s="148">
        <f t="shared" ref="G39" si="128">(G38-F38)/G38</f>
        <v>1</v>
      </c>
      <c r="H39" s="148">
        <f t="shared" ref="H39" si="129">(H38-G38)/H38</f>
        <v>0.16666666666666666</v>
      </c>
      <c r="I39" s="148">
        <f t="shared" ref="I39" si="130">(I38-H38)/I38</f>
        <v>0.15759312320916904</v>
      </c>
      <c r="J39" s="148">
        <f t="shared" ref="J39" si="131">(J38-I38)/J38</f>
        <v>0.18075117370892019</v>
      </c>
      <c r="K39" s="148">
        <f t="shared" ref="K39" si="132">(K38-J38)/K38</f>
        <v>0.32594936708860761</v>
      </c>
      <c r="L39" s="148">
        <f t="shared" ref="L39" si="133">(L38-K38)/L38</f>
        <v>-2.5974025974025976E-2</v>
      </c>
      <c r="M39" s="148">
        <f t="shared" ref="M39" si="134">(M38-L38)/M38</f>
        <v>0.50877192982456143</v>
      </c>
      <c r="N39" s="148">
        <f t="shared" ref="N39" si="135">(N38-M38)/N38</f>
        <v>3.9714058776806989E-3</v>
      </c>
      <c r="O39" s="148">
        <f t="shared" ref="O39" si="136">(O38-N38)/O38</f>
        <v>0.13411279229711143</v>
      </c>
      <c r="P39" s="148">
        <f t="shared" ref="P39" si="137">(P38-O38)/P38</f>
        <v>0.12145015105740181</v>
      </c>
      <c r="Q39" s="128"/>
      <c r="R39" s="20"/>
      <c r="S39" s="155"/>
      <c r="T39" s="155"/>
      <c r="U39" s="155"/>
      <c r="V39" s="155"/>
      <c r="W39" s="155"/>
      <c r="X39" s="155"/>
      <c r="Y39" s="155"/>
      <c r="Z39" s="155"/>
      <c r="AA39" s="155"/>
      <c r="AB39" s="155"/>
      <c r="AC39" s="139"/>
      <c r="AD39" s="137"/>
      <c r="AE39" s="156"/>
    </row>
    <row r="40" spans="2:31" x14ac:dyDescent="0.2">
      <c r="B40" s="20" t="s">
        <v>401</v>
      </c>
      <c r="C40" s="141"/>
      <c r="D40" s="141"/>
      <c r="E40" s="147"/>
      <c r="F40" s="147"/>
      <c r="G40" s="147">
        <v>144</v>
      </c>
      <c r="H40" s="147">
        <v>181</v>
      </c>
      <c r="I40" s="147">
        <v>210</v>
      </c>
      <c r="J40" s="147">
        <v>283</v>
      </c>
      <c r="K40" s="147">
        <v>428</v>
      </c>
      <c r="L40" s="147">
        <v>419</v>
      </c>
      <c r="M40" s="147">
        <v>884</v>
      </c>
      <c r="N40" s="147">
        <v>881</v>
      </c>
      <c r="O40" s="147">
        <v>1020</v>
      </c>
      <c r="P40" s="147">
        <v>1159</v>
      </c>
      <c r="Q40" s="118">
        <f>((P40/G40)^(1/($H$2-$H$1) ))-1</f>
        <v>0.26076940253026981</v>
      </c>
      <c r="R40" s="31">
        <f t="shared" si="6"/>
        <v>0.15</v>
      </c>
      <c r="S40" s="154">
        <f>P40*(1+$R40)</f>
        <v>1332.85</v>
      </c>
      <c r="T40" s="154">
        <f t="shared" ref="T40:AB40" si="138">S40*(1+$R40)</f>
        <v>1532.7774999999997</v>
      </c>
      <c r="U40" s="154">
        <f t="shared" si="138"/>
        <v>1762.6941249999995</v>
      </c>
      <c r="V40" s="154">
        <f t="shared" si="138"/>
        <v>2027.0982437499993</v>
      </c>
      <c r="W40" s="154">
        <f t="shared" si="138"/>
        <v>2331.1629803124988</v>
      </c>
      <c r="X40" s="154">
        <f t="shared" si="138"/>
        <v>2680.8374273593736</v>
      </c>
      <c r="Y40" s="154">
        <f t="shared" si="138"/>
        <v>3082.9630414632793</v>
      </c>
      <c r="Z40" s="154">
        <f t="shared" si="138"/>
        <v>3545.407497682771</v>
      </c>
      <c r="AA40" s="154">
        <f t="shared" si="138"/>
        <v>4077.2186223351864</v>
      </c>
      <c r="AB40" s="154">
        <f t="shared" si="138"/>
        <v>4688.8014156854642</v>
      </c>
      <c r="AC40" s="138">
        <f t="shared" si="19"/>
        <v>0.2012011937469329</v>
      </c>
      <c r="AD40" s="31">
        <f t="shared" si="17"/>
        <v>0.05</v>
      </c>
      <c r="AE40" s="146">
        <f t="shared" si="1"/>
        <v>28960.244038057281</v>
      </c>
    </row>
    <row r="41" spans="2:31" s="123" customFormat="1" x14ac:dyDescent="0.2">
      <c r="B41" s="23"/>
      <c r="C41" s="149"/>
      <c r="D41" s="149"/>
      <c r="E41" s="150"/>
      <c r="F41" s="150"/>
      <c r="G41" s="148">
        <f>(G40-F40)/G40</f>
        <v>1</v>
      </c>
      <c r="H41" s="148">
        <f t="shared" ref="H41:P41" si="139">(H40-G40)/H40</f>
        <v>0.20441988950276244</v>
      </c>
      <c r="I41" s="148">
        <f t="shared" si="139"/>
        <v>0.1380952380952381</v>
      </c>
      <c r="J41" s="148">
        <f t="shared" si="139"/>
        <v>0.25795053003533569</v>
      </c>
      <c r="K41" s="148">
        <f t="shared" si="139"/>
        <v>0.33878504672897197</v>
      </c>
      <c r="L41" s="148">
        <f t="shared" si="139"/>
        <v>-2.1479713603818614E-2</v>
      </c>
      <c r="M41" s="148">
        <f t="shared" si="139"/>
        <v>0.52601809954751133</v>
      </c>
      <c r="N41" s="148">
        <f t="shared" si="139"/>
        <v>-3.4052213393870601E-3</v>
      </c>
      <c r="O41" s="148">
        <f t="shared" si="139"/>
        <v>0.13627450980392156</v>
      </c>
      <c r="P41" s="148">
        <f t="shared" si="139"/>
        <v>0.11993097497842968</v>
      </c>
      <c r="Q41" s="128"/>
      <c r="R41" s="20"/>
      <c r="S41" s="155"/>
      <c r="T41" s="155"/>
      <c r="U41" s="155"/>
      <c r="V41" s="155"/>
      <c r="W41" s="155"/>
      <c r="X41" s="155"/>
      <c r="Y41" s="155"/>
      <c r="Z41" s="155"/>
      <c r="AA41" s="155"/>
      <c r="AB41" s="155"/>
      <c r="AC41" s="139"/>
      <c r="AD41" s="137"/>
      <c r="AE41" s="156"/>
    </row>
    <row r="42" spans="2:31" x14ac:dyDescent="0.2">
      <c r="B42" s="20" t="s">
        <v>239</v>
      </c>
      <c r="C42" s="142">
        <v>1</v>
      </c>
      <c r="D42" s="142">
        <v>1</v>
      </c>
      <c r="E42" s="143">
        <v>1</v>
      </c>
      <c r="F42" s="147">
        <v>1</v>
      </c>
      <c r="G42" s="147">
        <v>9.59</v>
      </c>
      <c r="H42" s="147">
        <v>9.59</v>
      </c>
      <c r="I42" s="147">
        <v>9.59</v>
      </c>
      <c r="J42" s="147">
        <v>9.59</v>
      </c>
      <c r="K42" s="147">
        <v>9.59</v>
      </c>
      <c r="L42" s="147">
        <v>9.59</v>
      </c>
      <c r="M42" s="147">
        <v>9.59</v>
      </c>
      <c r="N42" s="147">
        <v>9.59</v>
      </c>
      <c r="O42" s="147">
        <v>9.59</v>
      </c>
      <c r="P42" s="147">
        <v>9.59</v>
      </c>
      <c r="Q42" s="118">
        <f>((P42/G42)^(1/($H$2-$H$1) ))-1</f>
        <v>0</v>
      </c>
      <c r="R42" s="31">
        <v>0.01</v>
      </c>
      <c r="S42" s="210">
        <v>100</v>
      </c>
      <c r="T42" s="154">
        <f t="shared" ref="T42:AB42" si="140">S42*(1+$R42)</f>
        <v>101</v>
      </c>
      <c r="U42" s="154">
        <f t="shared" si="140"/>
        <v>102.01</v>
      </c>
      <c r="V42" s="154">
        <f t="shared" si="140"/>
        <v>103.0301</v>
      </c>
      <c r="W42" s="154">
        <f t="shared" si="140"/>
        <v>104.060401</v>
      </c>
      <c r="X42" s="154">
        <f t="shared" si="140"/>
        <v>105.10100500999999</v>
      </c>
      <c r="Y42" s="154">
        <f t="shared" si="140"/>
        <v>106.1520150601</v>
      </c>
      <c r="Z42" s="154">
        <f t="shared" si="140"/>
        <v>107.213535210701</v>
      </c>
      <c r="AA42" s="154">
        <f t="shared" si="140"/>
        <v>108.28567056280801</v>
      </c>
      <c r="AB42" s="154">
        <f t="shared" si="140"/>
        <v>109.36852726843608</v>
      </c>
      <c r="AC42" s="138">
        <f t="shared" si="19"/>
        <v>0.13667278224006929</v>
      </c>
      <c r="AD42" s="31">
        <f t="shared" si="17"/>
        <v>0.05</v>
      </c>
      <c r="AE42" s="146">
        <f t="shared" si="1"/>
        <v>675.5114919521053</v>
      </c>
    </row>
    <row r="43" spans="2:31" x14ac:dyDescent="0.2">
      <c r="B43" s="20"/>
      <c r="C43" s="142"/>
      <c r="D43" s="142"/>
      <c r="E43" s="143"/>
      <c r="F43" s="147"/>
      <c r="G43" s="148">
        <f>(G42-F42)/G42</f>
        <v>0.89572471324296143</v>
      </c>
      <c r="H43" s="148">
        <f t="shared" ref="H43" si="141">(H42-G42)/H42</f>
        <v>0</v>
      </c>
      <c r="I43" s="148">
        <f t="shared" ref="I43" si="142">(I42-H42)/I42</f>
        <v>0</v>
      </c>
      <c r="J43" s="148">
        <f t="shared" ref="J43" si="143">(J42-I42)/J42</f>
        <v>0</v>
      </c>
      <c r="K43" s="148">
        <f t="shared" ref="K43" si="144">(K42-J42)/K42</f>
        <v>0</v>
      </c>
      <c r="L43" s="148">
        <f t="shared" ref="L43" si="145">(L42-K42)/L42</f>
        <v>0</v>
      </c>
      <c r="M43" s="148">
        <f t="shared" ref="M43" si="146">(M42-L42)/M42</f>
        <v>0</v>
      </c>
      <c r="N43" s="148">
        <f t="shared" ref="N43" si="147">(N42-M42)/N42</f>
        <v>0</v>
      </c>
      <c r="O43" s="148">
        <f t="shared" ref="O43" si="148">(O42-N42)/O42</f>
        <v>0</v>
      </c>
      <c r="P43" s="148">
        <f t="shared" ref="P43" si="149">(P42-O42)/P42</f>
        <v>0</v>
      </c>
      <c r="Q43" s="128"/>
      <c r="R43" s="20"/>
      <c r="S43" s="154"/>
      <c r="T43" s="154"/>
      <c r="U43" s="154"/>
      <c r="V43" s="154"/>
      <c r="W43" s="154"/>
      <c r="X43" s="154"/>
      <c r="Y43" s="154"/>
      <c r="Z43" s="154"/>
      <c r="AA43" s="154"/>
      <c r="AB43" s="154"/>
      <c r="AC43" s="138"/>
      <c r="AD43" s="31"/>
      <c r="AE43" s="146"/>
    </row>
    <row r="44" spans="2:31" x14ac:dyDescent="0.2">
      <c r="B44" s="20" t="s">
        <v>282</v>
      </c>
      <c r="C44" s="145"/>
      <c r="D44" s="145"/>
      <c r="E44" s="145"/>
      <c r="F44" s="147"/>
      <c r="G44" s="147">
        <v>8.5</v>
      </c>
      <c r="H44" s="147">
        <v>9.5</v>
      </c>
      <c r="I44" s="147">
        <v>12.5</v>
      </c>
      <c r="J44" s="147">
        <v>13</v>
      </c>
      <c r="K44" s="147">
        <v>17</v>
      </c>
      <c r="L44" s="147">
        <v>17.5</v>
      </c>
      <c r="M44" s="147">
        <v>27</v>
      </c>
      <c r="N44" s="147">
        <v>32</v>
      </c>
      <c r="O44" s="147">
        <v>40</v>
      </c>
      <c r="P44" s="147">
        <v>46</v>
      </c>
      <c r="Q44" s="118">
        <f>((P44/G44)^(1/($H$2-$H$1) ))-1</f>
        <v>0.20637436675869569</v>
      </c>
      <c r="R44" s="31">
        <v>0.05</v>
      </c>
      <c r="S44" s="154">
        <f t="shared" ref="S44" si="150">P44*(1+$R44)</f>
        <v>48.300000000000004</v>
      </c>
      <c r="T44" s="154">
        <f t="shared" ref="T44" si="151">S44*(1+$R44)</f>
        <v>50.715000000000003</v>
      </c>
      <c r="U44" s="154">
        <f t="shared" ref="U44" si="152">T44*(1+$R44)</f>
        <v>53.250750000000004</v>
      </c>
      <c r="V44" s="154">
        <f t="shared" ref="V44" si="153">U44*(1+$R44)</f>
        <v>55.913287500000003</v>
      </c>
      <c r="W44" s="154">
        <f t="shared" ref="W44" si="154">V44*(1+$R44)</f>
        <v>58.708951875000004</v>
      </c>
      <c r="X44" s="154">
        <f t="shared" ref="X44" si="155">W44*(1+$R44)</f>
        <v>61.644399468750009</v>
      </c>
      <c r="Y44" s="154">
        <f t="shared" ref="Y44" si="156">X44*(1+$R44)</f>
        <v>64.726619442187513</v>
      </c>
      <c r="Z44" s="154">
        <f t="shared" ref="Z44" si="157">Y44*(1+$R44)</f>
        <v>67.962950414296898</v>
      </c>
      <c r="AA44" s="154">
        <f t="shared" ref="AA44" si="158">Z44*(1+$R44)</f>
        <v>71.361097935011742</v>
      </c>
      <c r="AB44" s="154">
        <f t="shared" ref="AB44" si="159">AA44*(1+$R44)</f>
        <v>74.929152831762337</v>
      </c>
      <c r="AC44" s="138">
        <f t="shared" ref="AC44" si="160">((AB44/G44)^(1/($AB$3-$H$1) ))-1</f>
        <v>0.12137029422686507</v>
      </c>
      <c r="AD44" s="31">
        <f t="shared" si="17"/>
        <v>0.05</v>
      </c>
      <c r="AE44" s="146">
        <f t="shared" si="1"/>
        <v>462.79770866676745</v>
      </c>
    </row>
    <row r="45" spans="2:31" x14ac:dyDescent="0.2">
      <c r="B45" s="20" t="s">
        <v>426</v>
      </c>
      <c r="C45" s="20"/>
      <c r="D45" s="20"/>
      <c r="E45" s="127"/>
      <c r="F45" s="127"/>
      <c r="G45" s="147">
        <v>0</v>
      </c>
      <c r="H45" s="147">
        <v>0</v>
      </c>
      <c r="I45" s="147">
        <v>0</v>
      </c>
      <c r="J45" s="147">
        <v>0</v>
      </c>
      <c r="K45" s="147">
        <v>0</v>
      </c>
      <c r="L45" s="147">
        <v>0</v>
      </c>
      <c r="M45" s="147">
        <v>0</v>
      </c>
      <c r="N45" s="147">
        <v>0</v>
      </c>
      <c r="O45" s="147">
        <v>0</v>
      </c>
      <c r="P45" s="187">
        <v>0</v>
      </c>
      <c r="Q45" s="187" t="s">
        <v>428</v>
      </c>
      <c r="R45" s="128"/>
      <c r="S45" s="154"/>
      <c r="T45" s="154"/>
      <c r="U45" s="154"/>
      <c r="V45" s="154"/>
      <c r="W45" s="154"/>
      <c r="X45" s="154"/>
      <c r="Y45" s="154"/>
      <c r="Z45" s="154"/>
      <c r="AA45" s="154"/>
      <c r="AB45" s="154"/>
      <c r="AC45" s="139"/>
      <c r="AD45" s="137"/>
      <c r="AE45" s="154"/>
    </row>
    <row r="46" spans="2:31" x14ac:dyDescent="0.2">
      <c r="B46" s="20" t="s">
        <v>424</v>
      </c>
      <c r="C46" s="20"/>
      <c r="D46" s="20"/>
      <c r="E46" s="127"/>
      <c r="F46" s="127"/>
      <c r="G46" s="187" t="s">
        <v>427</v>
      </c>
      <c r="H46" s="147">
        <v>0</v>
      </c>
      <c r="I46" s="147">
        <v>0</v>
      </c>
      <c r="J46" s="147">
        <v>0</v>
      </c>
      <c r="K46" s="147">
        <v>0</v>
      </c>
      <c r="L46" s="147">
        <v>0</v>
      </c>
      <c r="M46" s="147">
        <v>0</v>
      </c>
      <c r="N46" s="147">
        <v>0</v>
      </c>
      <c r="O46" s="147">
        <v>0</v>
      </c>
      <c r="P46" s="147">
        <v>0</v>
      </c>
      <c r="Q46" s="187"/>
      <c r="R46" s="128"/>
      <c r="S46" s="154"/>
      <c r="T46" s="154"/>
      <c r="U46" s="154"/>
      <c r="V46" s="154"/>
      <c r="W46" s="154"/>
      <c r="X46" s="154"/>
      <c r="Y46" s="154"/>
      <c r="Z46" s="154"/>
      <c r="AA46" s="154"/>
      <c r="AB46" s="154"/>
      <c r="AC46" s="139"/>
      <c r="AD46" s="137"/>
      <c r="AE46" s="154"/>
    </row>
    <row r="47" spans="2:31" x14ac:dyDescent="0.2">
      <c r="B47" s="20" t="s">
        <v>425</v>
      </c>
      <c r="C47" s="20"/>
      <c r="D47" s="20"/>
      <c r="E47" s="127"/>
      <c r="F47" s="127"/>
      <c r="G47" s="147">
        <v>0</v>
      </c>
      <c r="H47" s="147">
        <v>0</v>
      </c>
      <c r="I47" s="147">
        <v>0</v>
      </c>
      <c r="J47" s="147">
        <v>0</v>
      </c>
      <c r="K47" s="147">
        <v>0</v>
      </c>
      <c r="L47" s="147">
        <v>0</v>
      </c>
      <c r="M47" s="147">
        <v>0</v>
      </c>
      <c r="N47" s="147">
        <v>0</v>
      </c>
      <c r="O47" s="147">
        <v>0</v>
      </c>
      <c r="P47" s="147">
        <v>0</v>
      </c>
      <c r="Q47" s="187"/>
      <c r="R47" s="128"/>
      <c r="S47" s="154"/>
      <c r="T47" s="154"/>
      <c r="U47" s="154"/>
      <c r="V47" s="154"/>
      <c r="W47" s="154"/>
      <c r="X47" s="154"/>
      <c r="Y47" s="154"/>
      <c r="Z47" s="154"/>
      <c r="AA47" s="154"/>
      <c r="AB47" s="154"/>
      <c r="AC47" s="139"/>
      <c r="AD47" s="137"/>
      <c r="AE47" s="154"/>
    </row>
    <row r="48" spans="2:31" x14ac:dyDescent="0.2">
      <c r="B48" s="20"/>
      <c r="C48" s="20"/>
      <c r="D48" s="20"/>
      <c r="E48" s="127"/>
      <c r="F48" s="127"/>
      <c r="G48" s="127"/>
      <c r="H48" s="20"/>
      <c r="I48" s="20"/>
      <c r="J48" s="20"/>
      <c r="K48" s="20"/>
      <c r="L48" s="20"/>
      <c r="M48" s="20"/>
      <c r="N48" s="20"/>
      <c r="O48" s="20"/>
      <c r="P48" s="20"/>
      <c r="Q48" s="128"/>
      <c r="R48" s="128"/>
      <c r="S48" s="154"/>
      <c r="T48" s="154"/>
      <c r="U48" s="154"/>
      <c r="V48" s="154"/>
      <c r="W48" s="154"/>
      <c r="X48" s="154"/>
      <c r="Y48" s="154"/>
      <c r="Z48" s="154"/>
      <c r="AA48" s="154"/>
      <c r="AB48" s="154"/>
      <c r="AC48" s="139"/>
      <c r="AD48" s="137"/>
      <c r="AE48" s="154"/>
    </row>
    <row r="49" spans="2:31" x14ac:dyDescent="0.2">
      <c r="B49" s="108" t="s">
        <v>243</v>
      </c>
      <c r="C49" s="20"/>
      <c r="D49" s="20"/>
      <c r="E49" s="127"/>
      <c r="F49" s="127"/>
      <c r="G49" s="127"/>
      <c r="H49" s="20"/>
      <c r="I49" s="20"/>
      <c r="J49" s="20"/>
      <c r="K49" s="20"/>
      <c r="L49" s="20"/>
      <c r="M49" s="20"/>
      <c r="N49" s="20"/>
      <c r="O49" s="20"/>
      <c r="P49" s="20"/>
      <c r="Q49" s="128"/>
      <c r="R49" s="128"/>
      <c r="S49" s="154"/>
      <c r="T49" s="154"/>
      <c r="U49" s="154"/>
      <c r="V49" s="154"/>
      <c r="W49" s="154"/>
      <c r="X49" s="154"/>
      <c r="Y49" s="154"/>
      <c r="Z49" s="154"/>
      <c r="AA49" s="154"/>
      <c r="AB49" s="154"/>
      <c r="AC49" s="139"/>
      <c r="AD49" s="137"/>
      <c r="AE49" s="154"/>
    </row>
    <row r="50" spans="2:31" x14ac:dyDescent="0.2">
      <c r="B50" s="20" t="s">
        <v>303</v>
      </c>
      <c r="C50" s="133">
        <f t="shared" ref="C50:P50" si="161">C25/C42</f>
        <v>0</v>
      </c>
      <c r="D50" s="133">
        <f t="shared" si="161"/>
        <v>0</v>
      </c>
      <c r="E50" s="133">
        <f t="shared" si="161"/>
        <v>0</v>
      </c>
      <c r="F50" s="133">
        <f t="shared" si="161"/>
        <v>0</v>
      </c>
      <c r="G50" s="133">
        <f t="shared" si="161"/>
        <v>232.95099061522419</v>
      </c>
      <c r="H50" s="133">
        <f t="shared" si="161"/>
        <v>276.85088633993746</v>
      </c>
      <c r="I50" s="133">
        <f t="shared" si="161"/>
        <v>318.1438998957247</v>
      </c>
      <c r="J50" s="133">
        <f t="shared" si="161"/>
        <v>411.67883211678833</v>
      </c>
      <c r="K50" s="133">
        <f t="shared" si="161"/>
        <v>487.90406673618355</v>
      </c>
      <c r="L50" s="133">
        <f t="shared" si="161"/>
        <v>599.47862356621476</v>
      </c>
      <c r="M50" s="133">
        <f t="shared" si="161"/>
        <v>751.40771637121998</v>
      </c>
      <c r="N50" s="133">
        <f t="shared" si="161"/>
        <v>859.85401459854018</v>
      </c>
      <c r="O50" s="133">
        <f t="shared" si="161"/>
        <v>1071.6371220020856</v>
      </c>
      <c r="P50" s="133">
        <f t="shared" si="161"/>
        <v>1223.7747653806048</v>
      </c>
      <c r="Q50" s="118">
        <f>((P50/G50)^(1/($H$2-$H$1) ))-1</f>
        <v>0.20239883835978656</v>
      </c>
      <c r="R50" s="128"/>
      <c r="S50" s="158">
        <f t="shared" ref="S50:AB50" si="162">S25/S42</f>
        <v>134.964</v>
      </c>
      <c r="T50" s="158">
        <f t="shared" si="162"/>
        <v>153.67188118811879</v>
      </c>
      <c r="U50" s="158">
        <f t="shared" si="162"/>
        <v>174.97293402607585</v>
      </c>
      <c r="V50" s="158">
        <f t="shared" si="162"/>
        <v>199.22660804949226</v>
      </c>
      <c r="W50" s="158">
        <f t="shared" si="162"/>
        <v>226.84217748209517</v>
      </c>
      <c r="X50" s="158">
        <f t="shared" si="162"/>
        <v>258.28564762812812</v>
      </c>
      <c r="Y50" s="158">
        <f t="shared" si="162"/>
        <v>294.08761858648251</v>
      </c>
      <c r="Z50" s="158">
        <f t="shared" si="162"/>
        <v>334.85223898460879</v>
      </c>
      <c r="AA50" s="158">
        <f t="shared" si="162"/>
        <v>381.26740082405945</v>
      </c>
      <c r="AB50" s="158">
        <f t="shared" si="162"/>
        <v>434.11634747293897</v>
      </c>
      <c r="AC50" s="138">
        <f t="shared" ref="AC50" si="163">((AB50/G50)^(1/($AB$3-$H$1) ))-1</f>
        <v>3.3304936393093065E-2</v>
      </c>
      <c r="AD50" s="31">
        <f t="shared" si="17"/>
        <v>0.05</v>
      </c>
      <c r="AE50" s="146">
        <f t="shared" ref="AE50:AE51" si="164">(AB50*(1+AD50))/($C$1-AD50)</f>
        <v>2681.306852038741</v>
      </c>
    </row>
    <row r="51" spans="2:31" x14ac:dyDescent="0.2">
      <c r="B51" s="20" t="s">
        <v>304</v>
      </c>
      <c r="C51" s="133">
        <f t="shared" ref="C51:P51" si="165">C27/C42</f>
        <v>0</v>
      </c>
      <c r="D51" s="133">
        <f t="shared" si="165"/>
        <v>0</v>
      </c>
      <c r="E51" s="133">
        <f t="shared" si="165"/>
        <v>0</v>
      </c>
      <c r="F51" s="133">
        <f t="shared" si="165"/>
        <v>0</v>
      </c>
      <c r="G51" s="133">
        <f t="shared" si="165"/>
        <v>199.1657977059437</v>
      </c>
      <c r="H51" s="133">
        <f t="shared" si="165"/>
        <v>238.79040667361835</v>
      </c>
      <c r="I51" s="133">
        <f t="shared" si="165"/>
        <v>274.24400417101145</v>
      </c>
      <c r="J51" s="133">
        <f t="shared" si="165"/>
        <v>358.39416058394158</v>
      </c>
      <c r="K51" s="133">
        <f t="shared" si="165"/>
        <v>413.0344108446298</v>
      </c>
      <c r="L51" s="133">
        <f t="shared" si="165"/>
        <v>524.08759124087589</v>
      </c>
      <c r="M51" s="133">
        <f t="shared" si="165"/>
        <v>607.92492179353496</v>
      </c>
      <c r="N51" s="133">
        <f t="shared" si="165"/>
        <v>714.18143899895722</v>
      </c>
      <c r="O51" s="133">
        <f t="shared" si="165"/>
        <v>903.3368091762253</v>
      </c>
      <c r="P51" s="133">
        <f t="shared" si="165"/>
        <v>1031.2825860271116</v>
      </c>
      <c r="Q51" s="118">
        <f>((P51/G51)^(1/($H$2-$H$1) ))-1</f>
        <v>0.20047034447662249</v>
      </c>
      <c r="R51" s="128"/>
      <c r="S51" s="158">
        <f t="shared" ref="S51:AB51" si="166">S27/S42</f>
        <v>113.735</v>
      </c>
      <c r="T51" s="158">
        <f t="shared" si="166"/>
        <v>129.50024752475247</v>
      </c>
      <c r="U51" s="158">
        <f t="shared" si="166"/>
        <v>147.45077688461913</v>
      </c>
      <c r="V51" s="158">
        <f t="shared" si="166"/>
        <v>167.88949843298218</v>
      </c>
      <c r="W51" s="158">
        <f t="shared" si="166"/>
        <v>191.16131009695988</v>
      </c>
      <c r="X51" s="158">
        <f t="shared" si="166"/>
        <v>217.65891743713252</v>
      </c>
      <c r="Y51" s="158">
        <f t="shared" si="166"/>
        <v>247.82946044822015</v>
      </c>
      <c r="Z51" s="158">
        <f t="shared" si="166"/>
        <v>282.18205892619125</v>
      </c>
      <c r="AA51" s="158">
        <f t="shared" si="166"/>
        <v>321.29640372784149</v>
      </c>
      <c r="AB51" s="158">
        <f t="shared" si="166"/>
        <v>365.83253889803728</v>
      </c>
      <c r="AC51" s="138">
        <f t="shared" ref="AC51" si="167">((AB51/G51)^(1/($AB$3-$H$1) ))-1</f>
        <v>3.2519573198274143E-2</v>
      </c>
      <c r="AD51" s="31">
        <f t="shared" si="17"/>
        <v>0.05</v>
      </c>
      <c r="AE51" s="146">
        <f t="shared" si="164"/>
        <v>2259.5539167231718</v>
      </c>
    </row>
    <row r="52" spans="2:31" x14ac:dyDescent="0.2">
      <c r="B52" s="20"/>
      <c r="C52" s="133"/>
      <c r="D52" s="133"/>
      <c r="E52" s="133"/>
      <c r="F52" s="133"/>
      <c r="G52" s="133"/>
      <c r="H52" s="133"/>
      <c r="I52" s="133"/>
      <c r="J52" s="133"/>
      <c r="K52" s="133"/>
      <c r="L52" s="133"/>
      <c r="M52" s="133"/>
      <c r="N52" s="133"/>
      <c r="O52" s="133"/>
      <c r="P52" s="133"/>
      <c r="Q52" s="128"/>
      <c r="R52" s="128"/>
      <c r="S52" s="158"/>
      <c r="T52" s="158"/>
      <c r="U52" s="158"/>
      <c r="V52" s="158"/>
      <c r="W52" s="158"/>
      <c r="X52" s="158"/>
      <c r="Y52" s="158"/>
      <c r="Z52" s="158"/>
      <c r="AA52" s="158"/>
      <c r="AB52" s="158"/>
      <c r="AC52" s="119"/>
      <c r="AD52" s="137"/>
      <c r="AE52" s="146"/>
    </row>
    <row r="53" spans="2:31" x14ac:dyDescent="0.2">
      <c r="B53" s="20" t="s">
        <v>257</v>
      </c>
      <c r="C53" s="25">
        <f t="shared" ref="C53:P53" si="168">C40/C42</f>
        <v>0</v>
      </c>
      <c r="D53" s="25">
        <f t="shared" si="168"/>
        <v>0</v>
      </c>
      <c r="E53" s="25">
        <f t="shared" si="168"/>
        <v>0</v>
      </c>
      <c r="F53" s="133">
        <f t="shared" si="168"/>
        <v>0</v>
      </c>
      <c r="G53" s="133">
        <f t="shared" si="168"/>
        <v>15.015641293013555</v>
      </c>
      <c r="H53" s="133">
        <f t="shared" si="168"/>
        <v>18.873826903023982</v>
      </c>
      <c r="I53" s="133">
        <f t="shared" si="168"/>
        <v>21.897810218978101</v>
      </c>
      <c r="J53" s="133">
        <f t="shared" si="168"/>
        <v>29.509906152241918</v>
      </c>
      <c r="K53" s="133">
        <f t="shared" si="168"/>
        <v>44.629822732012514</v>
      </c>
      <c r="L53" s="133">
        <f t="shared" si="168"/>
        <v>43.691345151199165</v>
      </c>
      <c r="M53" s="133">
        <f t="shared" si="168"/>
        <v>92.179353493222109</v>
      </c>
      <c r="N53" s="133">
        <f t="shared" si="168"/>
        <v>91.866527632950991</v>
      </c>
      <c r="O53" s="133">
        <f t="shared" si="168"/>
        <v>106.36079249217936</v>
      </c>
      <c r="P53" s="133">
        <f t="shared" si="168"/>
        <v>120.85505735140772</v>
      </c>
      <c r="Q53" s="118">
        <f>((P53/G53)^(1/($H$2-$H$1) ))-1</f>
        <v>0.26076940253026981</v>
      </c>
      <c r="R53" s="128"/>
      <c r="S53" s="158">
        <f t="shared" ref="S53:AB53" si="169">S40/S42</f>
        <v>13.328499999999998</v>
      </c>
      <c r="T53" s="158">
        <f t="shared" si="169"/>
        <v>15.176014851485146</v>
      </c>
      <c r="U53" s="158">
        <f t="shared" si="169"/>
        <v>17.279620870502885</v>
      </c>
      <c r="V53" s="158">
        <f t="shared" si="169"/>
        <v>19.6748158426518</v>
      </c>
      <c r="W53" s="158">
        <f t="shared" si="169"/>
        <v>22.402018038662938</v>
      </c>
      <c r="X53" s="158">
        <f t="shared" si="169"/>
        <v>25.507248261843941</v>
      </c>
      <c r="Y53" s="158">
        <f t="shared" si="169"/>
        <v>29.042906436752997</v>
      </c>
      <c r="Z53" s="158">
        <f t="shared" si="169"/>
        <v>33.068655843827671</v>
      </c>
      <c r="AA53" s="158">
        <f t="shared" si="169"/>
        <v>37.652429921189913</v>
      </c>
      <c r="AB53" s="158">
        <f t="shared" si="169"/>
        <v>42.871578623137033</v>
      </c>
      <c r="AC53" s="138">
        <f t="shared" ref="AC53:AC67" si="170">((AB53/G53)^(1/($AB$3-$H$1) ))-1</f>
        <v>5.6769558060232539E-2</v>
      </c>
      <c r="AD53" s="31">
        <f t="shared" si="17"/>
        <v>0.05</v>
      </c>
      <c r="AE53" s="146">
        <f t="shared" ref="AE53:AE81" si="171">(AB53*(1+AD53))/($C$1-AD53)</f>
        <v>264.79504443702291</v>
      </c>
    </row>
    <row r="54" spans="2:31" x14ac:dyDescent="0.2">
      <c r="B54" s="20" t="s">
        <v>388</v>
      </c>
      <c r="C54" s="133">
        <f t="shared" ref="C54:F54" si="172">C20/C42</f>
        <v>0</v>
      </c>
      <c r="D54" s="133">
        <f t="shared" si="172"/>
        <v>0</v>
      </c>
      <c r="E54" s="133">
        <f t="shared" si="172"/>
        <v>0</v>
      </c>
      <c r="F54" s="133">
        <f t="shared" si="172"/>
        <v>0</v>
      </c>
      <c r="G54" s="133">
        <f>G20/G42</f>
        <v>25.338894681960376</v>
      </c>
      <c r="H54" s="133">
        <f t="shared" ref="H54:P54" si="173">H20/H42</f>
        <v>16.371220020855059</v>
      </c>
      <c r="I54" s="133">
        <f t="shared" si="173"/>
        <v>22.83628779979145</v>
      </c>
      <c r="J54" s="133">
        <f t="shared" si="173"/>
        <v>32.533889468196037</v>
      </c>
      <c r="K54" s="133">
        <f t="shared" si="173"/>
        <v>47.653806047966633</v>
      </c>
      <c r="L54" s="133">
        <f t="shared" si="173"/>
        <v>33.889468196037541</v>
      </c>
      <c r="M54" s="133">
        <f t="shared" si="173"/>
        <v>88.321167883211686</v>
      </c>
      <c r="N54" s="133">
        <f t="shared" si="173"/>
        <v>77.476538060479669</v>
      </c>
      <c r="O54" s="133">
        <f t="shared" si="173"/>
        <v>78.519290928050054</v>
      </c>
      <c r="P54" s="133">
        <f t="shared" si="173"/>
        <v>112.72158498435871</v>
      </c>
      <c r="Q54" s="118">
        <f>((P54/G54)^(1/($H$2-$H$1) ))-1</f>
        <v>0.18038689730730328</v>
      </c>
      <c r="R54" s="128"/>
      <c r="S54" s="133">
        <f t="shared" ref="S54:AB54" si="174">S20/S42</f>
        <v>12.431499999999998</v>
      </c>
      <c r="T54" s="133">
        <f t="shared" si="174"/>
        <v>14.154678217821779</v>
      </c>
      <c r="U54" s="133">
        <f t="shared" si="174"/>
        <v>16.116712822272319</v>
      </c>
      <c r="V54" s="133">
        <f t="shared" si="174"/>
        <v>18.350712619418978</v>
      </c>
      <c r="W54" s="133">
        <f t="shared" si="174"/>
        <v>20.894375754783987</v>
      </c>
      <c r="X54" s="133">
        <f t="shared" si="174"/>
        <v>23.790625859407506</v>
      </c>
      <c r="Y54" s="133">
        <f t="shared" si="174"/>
        <v>27.088336374572901</v>
      </c>
      <c r="Z54" s="133">
        <f t="shared" si="174"/>
        <v>30.843155277979044</v>
      </c>
      <c r="AA54" s="133">
        <f t="shared" si="174"/>
        <v>35.118444128391978</v>
      </c>
      <c r="AB54" s="133">
        <f t="shared" si="174"/>
        <v>39.98634727490176</v>
      </c>
      <c r="AC54" s="138">
        <f t="shared" ref="AC54" si="175">((AB54/G54)^(1/($AB$3-$H$1) ))-1</f>
        <v>2.4300966429247506E-2</v>
      </c>
      <c r="AD54" s="31">
        <f t="shared" si="17"/>
        <v>0.05</v>
      </c>
      <c r="AE54" s="146">
        <f t="shared" si="171"/>
        <v>246.97449787439328</v>
      </c>
    </row>
    <row r="55" spans="2:31" x14ac:dyDescent="0.2">
      <c r="B55" s="20" t="s">
        <v>245</v>
      </c>
      <c r="C55" s="25">
        <f t="shared" ref="C55:P55" si="176">C7/C42</f>
        <v>0</v>
      </c>
      <c r="D55" s="25">
        <f t="shared" si="176"/>
        <v>0</v>
      </c>
      <c r="E55" s="25">
        <f t="shared" si="176"/>
        <v>0</v>
      </c>
      <c r="F55" s="133">
        <f t="shared" si="176"/>
        <v>0</v>
      </c>
      <c r="G55" s="133">
        <f t="shared" si="176"/>
        <v>55.161626694473412</v>
      </c>
      <c r="H55" s="133">
        <f t="shared" si="176"/>
        <v>59.12408759124088</v>
      </c>
      <c r="I55" s="133">
        <f t="shared" si="176"/>
        <v>67.361835245046919</v>
      </c>
      <c r="J55" s="133">
        <f t="shared" si="176"/>
        <v>81.021897810218974</v>
      </c>
      <c r="K55" s="133">
        <f t="shared" si="176"/>
        <v>102.39833159541189</v>
      </c>
      <c r="L55" s="133">
        <f t="shared" si="176"/>
        <v>125.44316996871741</v>
      </c>
      <c r="M55" s="133">
        <f t="shared" si="176"/>
        <v>178.20646506777894</v>
      </c>
      <c r="N55" s="133">
        <f t="shared" si="176"/>
        <v>228.05005213764338</v>
      </c>
      <c r="O55" s="133">
        <f t="shared" si="176"/>
        <v>286.54848800834202</v>
      </c>
      <c r="P55" s="133">
        <f t="shared" si="176"/>
        <v>352.86757038581857</v>
      </c>
      <c r="Q55" s="118">
        <f>((P55/G55)^(1/($H$2-$H$1) ))-1</f>
        <v>0.2290024325501907</v>
      </c>
      <c r="R55" s="128"/>
      <c r="S55" s="158">
        <f t="shared" ref="S55:AB55" si="177">S7/S42</f>
        <v>38.915999999999997</v>
      </c>
      <c r="T55" s="158">
        <f t="shared" si="177"/>
        <v>44.310297029702966</v>
      </c>
      <c r="U55" s="158">
        <f t="shared" si="177"/>
        <v>50.452318400156834</v>
      </c>
      <c r="V55" s="158">
        <f t="shared" si="177"/>
        <v>57.445709069485495</v>
      </c>
      <c r="W55" s="158">
        <f t="shared" si="177"/>
        <v>65.408480623671608</v>
      </c>
      <c r="X55" s="158">
        <f t="shared" si="177"/>
        <v>74.475002690319144</v>
      </c>
      <c r="Y55" s="158">
        <f t="shared" si="177"/>
        <v>84.798270389967342</v>
      </c>
      <c r="Z55" s="158">
        <f t="shared" si="177"/>
        <v>96.552486087586573</v>
      </c>
      <c r="AA55" s="158">
        <f t="shared" si="177"/>
        <v>109.93599901061836</v>
      </c>
      <c r="AB55" s="158">
        <f t="shared" si="177"/>
        <v>125.17465233882288</v>
      </c>
      <c r="AC55" s="138">
        <f t="shared" si="170"/>
        <v>4.4072101025196986E-2</v>
      </c>
      <c r="AD55" s="31">
        <f t="shared" si="17"/>
        <v>0.05</v>
      </c>
      <c r="AE55" s="146">
        <f t="shared" si="171"/>
        <v>773.13755856331795</v>
      </c>
    </row>
    <row r="56" spans="2:31" x14ac:dyDescent="0.2">
      <c r="B56" s="20" t="s">
        <v>246</v>
      </c>
      <c r="C56" s="127">
        <f t="shared" ref="C56:P56" si="178">C6/C42</f>
        <v>0</v>
      </c>
      <c r="D56" s="127">
        <f t="shared" si="178"/>
        <v>0</v>
      </c>
      <c r="E56" s="127">
        <f t="shared" si="178"/>
        <v>0</v>
      </c>
      <c r="F56" s="144">
        <f t="shared" si="178"/>
        <v>0</v>
      </c>
      <c r="G56" s="144">
        <f t="shared" si="178"/>
        <v>45.151199165797706</v>
      </c>
      <c r="H56" s="144">
        <f t="shared" si="178"/>
        <v>49.113660062565174</v>
      </c>
      <c r="I56" s="144">
        <f t="shared" si="178"/>
        <v>57.35140771637122</v>
      </c>
      <c r="J56" s="144">
        <f t="shared" si="178"/>
        <v>71.115745568300312</v>
      </c>
      <c r="K56" s="144">
        <f t="shared" si="178"/>
        <v>92.387904066736183</v>
      </c>
      <c r="L56" s="144">
        <f t="shared" si="178"/>
        <v>115.43274244004171</v>
      </c>
      <c r="M56" s="144">
        <f t="shared" si="178"/>
        <v>168.30031282586026</v>
      </c>
      <c r="N56" s="144">
        <f t="shared" si="178"/>
        <v>218.03962460896767</v>
      </c>
      <c r="O56" s="144">
        <f t="shared" si="178"/>
        <v>276.53806047966634</v>
      </c>
      <c r="P56" s="144">
        <f t="shared" si="178"/>
        <v>342.85714285714289</v>
      </c>
      <c r="Q56" s="118">
        <f>((P56/G56)^(1/($H$2-$H$1) ))-1</f>
        <v>0.2526423814903076</v>
      </c>
      <c r="R56" s="128"/>
      <c r="S56" s="157">
        <f t="shared" ref="S56:AB56" si="179">S6/S42</f>
        <v>37.811999999999998</v>
      </c>
      <c r="T56" s="157">
        <f t="shared" si="179"/>
        <v>43.053267326732666</v>
      </c>
      <c r="U56" s="157">
        <f t="shared" si="179"/>
        <v>49.021046956180754</v>
      </c>
      <c r="V56" s="157">
        <f t="shared" si="179"/>
        <v>55.816043563968179</v>
      </c>
      <c r="W56" s="157">
        <f t="shared" si="179"/>
        <v>63.55292088966673</v>
      </c>
      <c r="X56" s="157">
        <f t="shared" si="179"/>
        <v>72.362236656551232</v>
      </c>
      <c r="Y56" s="157">
        <f t="shared" si="179"/>
        <v>82.392645698053371</v>
      </c>
      <c r="Z56" s="157">
        <f t="shared" si="179"/>
        <v>93.813408468080581</v>
      </c>
      <c r="AA56" s="157">
        <f t="shared" si="179"/>
        <v>106.81724726563628</v>
      </c>
      <c r="AB56" s="157">
        <f t="shared" si="179"/>
        <v>121.62359837176407</v>
      </c>
      <c r="AC56" s="138">
        <f t="shared" si="170"/>
        <v>5.3537319300153596E-2</v>
      </c>
      <c r="AD56" s="31">
        <f t="shared" si="17"/>
        <v>0.05</v>
      </c>
      <c r="AE56" s="146">
        <f t="shared" si="171"/>
        <v>751.20457817854287</v>
      </c>
    </row>
    <row r="57" spans="2:31" x14ac:dyDescent="0.2">
      <c r="B57" s="20" t="s">
        <v>247</v>
      </c>
      <c r="C57" s="127">
        <f t="shared" ref="C57:P57" si="180">C10/C42</f>
        <v>0</v>
      </c>
      <c r="D57" s="127">
        <f t="shared" si="180"/>
        <v>0</v>
      </c>
      <c r="E57" s="127">
        <f t="shared" si="180"/>
        <v>0</v>
      </c>
      <c r="F57" s="144">
        <f t="shared" si="180"/>
        <v>0</v>
      </c>
      <c r="G57" s="144">
        <f t="shared" si="180"/>
        <v>17.622523461939522</v>
      </c>
      <c r="H57" s="144">
        <f t="shared" si="180"/>
        <v>22.940563086548487</v>
      </c>
      <c r="I57" s="144">
        <f t="shared" si="180"/>
        <v>25.234619395203339</v>
      </c>
      <c r="J57" s="144">
        <f t="shared" si="180"/>
        <v>30.03128258602711</v>
      </c>
      <c r="K57" s="144">
        <f t="shared" si="180"/>
        <v>26.798748696558917</v>
      </c>
      <c r="L57" s="144">
        <f t="shared" si="180"/>
        <v>31.178310740354537</v>
      </c>
      <c r="M57" s="144">
        <f t="shared" si="180"/>
        <v>23.56621480709072</v>
      </c>
      <c r="N57" s="144">
        <f t="shared" si="180"/>
        <v>24.296141814389991</v>
      </c>
      <c r="O57" s="144">
        <f t="shared" si="180"/>
        <v>34.932221063607926</v>
      </c>
      <c r="P57" s="144">
        <f t="shared" si="180"/>
        <v>24.713242961418143</v>
      </c>
      <c r="Q57" s="118">
        <f>((P57/G57)^(1/($H$2-$H$1) ))-1</f>
        <v>3.8288299955446581E-2</v>
      </c>
      <c r="R57" s="128"/>
      <c r="S57" s="157">
        <f t="shared" ref="S57:AB57" si="181">S10/S42</f>
        <v>2.7254999999999994</v>
      </c>
      <c r="T57" s="157">
        <f t="shared" si="181"/>
        <v>3.1032920792079204</v>
      </c>
      <c r="U57" s="157">
        <f t="shared" si="181"/>
        <v>3.5334513773159482</v>
      </c>
      <c r="V57" s="157">
        <f t="shared" si="181"/>
        <v>4.0232367167458811</v>
      </c>
      <c r="W57" s="157">
        <f t="shared" si="181"/>
        <v>4.5809130933245186</v>
      </c>
      <c r="X57" s="157">
        <f t="shared" si="181"/>
        <v>5.2158911458645507</v>
      </c>
      <c r="Y57" s="157">
        <f t="shared" si="181"/>
        <v>5.9388859581626061</v>
      </c>
      <c r="Z57" s="157">
        <f t="shared" si="181"/>
        <v>6.7620978731554429</v>
      </c>
      <c r="AA57" s="157">
        <f t="shared" si="181"/>
        <v>7.6994183704245138</v>
      </c>
      <c r="AB57" s="157">
        <f t="shared" si="181"/>
        <v>8.7666644811764254</v>
      </c>
      <c r="AC57" s="138">
        <f t="shared" si="170"/>
        <v>-3.6081465808307289E-2</v>
      </c>
      <c r="AD57" s="31">
        <f t="shared" si="17"/>
        <v>0.05</v>
      </c>
      <c r="AE57" s="146">
        <f t="shared" si="171"/>
        <v>54.147045324913222</v>
      </c>
    </row>
    <row r="58" spans="2:31" x14ac:dyDescent="0.2">
      <c r="B58" s="20"/>
      <c r="C58" s="127"/>
      <c r="D58" s="127"/>
      <c r="E58" s="127"/>
      <c r="F58" s="144"/>
      <c r="G58" s="144"/>
      <c r="H58" s="144"/>
      <c r="I58" s="144"/>
      <c r="J58" s="144"/>
      <c r="K58" s="144"/>
      <c r="L58" s="144"/>
      <c r="M58" s="144"/>
      <c r="N58" s="144"/>
      <c r="O58" s="144"/>
      <c r="P58" s="144"/>
      <c r="Q58" s="128"/>
      <c r="R58" s="128"/>
      <c r="S58" s="157"/>
      <c r="T58" s="157"/>
      <c r="U58" s="157"/>
      <c r="V58" s="157"/>
      <c r="W58" s="157"/>
      <c r="X58" s="157"/>
      <c r="Y58" s="157"/>
      <c r="Z58" s="157"/>
      <c r="AA58" s="157"/>
      <c r="AB58" s="157"/>
      <c r="AC58" s="139"/>
      <c r="AD58" s="137"/>
      <c r="AE58" s="146"/>
    </row>
    <row r="59" spans="2:31" x14ac:dyDescent="0.2">
      <c r="B59" s="20" t="s">
        <v>270</v>
      </c>
      <c r="C59" s="127">
        <f t="shared" ref="C59:P59" si="182">(C7-C10)/C42</f>
        <v>0</v>
      </c>
      <c r="D59" s="127">
        <f t="shared" si="182"/>
        <v>0</v>
      </c>
      <c r="E59" s="127">
        <f t="shared" si="182"/>
        <v>0</v>
      </c>
      <c r="F59" s="144">
        <f t="shared" si="182"/>
        <v>0</v>
      </c>
      <c r="G59" s="144">
        <f t="shared" si="182"/>
        <v>37.53910323253389</v>
      </c>
      <c r="H59" s="144">
        <f t="shared" si="182"/>
        <v>36.183524504692386</v>
      </c>
      <c r="I59" s="144">
        <f t="shared" si="182"/>
        <v>42.127215849843587</v>
      </c>
      <c r="J59" s="144">
        <f t="shared" si="182"/>
        <v>50.99061522419187</v>
      </c>
      <c r="K59" s="144">
        <f t="shared" si="182"/>
        <v>75.599582898852972</v>
      </c>
      <c r="L59" s="144">
        <f t="shared" si="182"/>
        <v>94.26485922836288</v>
      </c>
      <c r="M59" s="144">
        <f t="shared" si="182"/>
        <v>154.64025026068822</v>
      </c>
      <c r="N59" s="144">
        <f t="shared" si="182"/>
        <v>203.75391032325339</v>
      </c>
      <c r="O59" s="144">
        <f t="shared" si="182"/>
        <v>251.61626694473409</v>
      </c>
      <c r="P59" s="144">
        <f t="shared" si="182"/>
        <v>328.15432742440044</v>
      </c>
      <c r="Q59" s="118">
        <f>((P59/G59)^(1/($H$2-$H$1) ))-1</f>
        <v>0.2723939119451193</v>
      </c>
      <c r="R59" s="128"/>
      <c r="S59" s="157">
        <f t="shared" ref="S59:AB59" si="183">(S7-S10)/S42</f>
        <v>36.1905</v>
      </c>
      <c r="T59" s="157">
        <f t="shared" si="183"/>
        <v>41.20700495049504</v>
      </c>
      <c r="U59" s="157">
        <f t="shared" si="183"/>
        <v>46.918867022840885</v>
      </c>
      <c r="V59" s="157">
        <f t="shared" si="183"/>
        <v>53.422472352739611</v>
      </c>
      <c r="W59" s="157">
        <f t="shared" si="183"/>
        <v>60.827567530347089</v>
      </c>
      <c r="X59" s="157">
        <f t="shared" si="183"/>
        <v>69.259111544454598</v>
      </c>
      <c r="Y59" s="157">
        <f t="shared" si="183"/>
        <v>78.859384431804727</v>
      </c>
      <c r="Z59" s="157">
        <f t="shared" si="183"/>
        <v>89.790388214431132</v>
      </c>
      <c r="AA59" s="157">
        <f t="shared" si="183"/>
        <v>102.23658064019385</v>
      </c>
      <c r="AB59" s="157">
        <f t="shared" si="183"/>
        <v>116.40798785764645</v>
      </c>
      <c r="AC59" s="138">
        <f t="shared" si="170"/>
        <v>6.1373799260670658E-2</v>
      </c>
      <c r="AD59" s="31">
        <f t="shared" si="17"/>
        <v>0.05</v>
      </c>
      <c r="AE59" s="146">
        <f t="shared" si="171"/>
        <v>718.99051323840456</v>
      </c>
    </row>
    <row r="60" spans="2:31" x14ac:dyDescent="0.2">
      <c r="B60" s="20" t="s">
        <v>271</v>
      </c>
      <c r="C60" s="127">
        <f t="shared" ref="C60:P60" si="184">(C7-C10-C9)/C42</f>
        <v>0</v>
      </c>
      <c r="D60" s="127">
        <f t="shared" si="184"/>
        <v>0</v>
      </c>
      <c r="E60" s="127">
        <f t="shared" si="184"/>
        <v>0</v>
      </c>
      <c r="F60" s="144">
        <f t="shared" si="184"/>
        <v>0</v>
      </c>
      <c r="G60" s="144">
        <f t="shared" si="184"/>
        <v>-17.518248175182482</v>
      </c>
      <c r="H60" s="144">
        <f t="shared" si="184"/>
        <v>-21.584984358706986</v>
      </c>
      <c r="I60" s="144">
        <f t="shared" si="184"/>
        <v>-24.504692387904068</v>
      </c>
      <c r="J60" s="144">
        <f t="shared" si="184"/>
        <v>-38.060479666319083</v>
      </c>
      <c r="K60" s="144">
        <f t="shared" si="184"/>
        <v>-35.974973931178312</v>
      </c>
      <c r="L60" s="144">
        <f t="shared" si="184"/>
        <v>-20.959332638164756</v>
      </c>
      <c r="M60" s="144">
        <f t="shared" si="184"/>
        <v>1.4598540145985401</v>
      </c>
      <c r="N60" s="144">
        <f t="shared" si="184"/>
        <v>20.333680917622523</v>
      </c>
      <c r="O60" s="144">
        <f t="shared" si="184"/>
        <v>15.745568300312826</v>
      </c>
      <c r="P60" s="144">
        <f t="shared" si="184"/>
        <v>71.011470281543282</v>
      </c>
      <c r="Q60" s="118">
        <f>((P60/G60)^(1/($H$2-$H$1) ))-1</f>
        <v>-2.1682546994067962</v>
      </c>
      <c r="R60" s="128"/>
      <c r="S60" s="157">
        <f t="shared" ref="S60:AB60" si="185">(S7-S10-S9)/S42</f>
        <v>7.8315000000000055</v>
      </c>
      <c r="T60" s="157">
        <f t="shared" si="185"/>
        <v>8.9170544554455446</v>
      </c>
      <c r="U60" s="157">
        <f t="shared" si="185"/>
        <v>10.153081805705321</v>
      </c>
      <c r="V60" s="157">
        <f t="shared" si="185"/>
        <v>11.560439679763475</v>
      </c>
      <c r="W60" s="157">
        <f t="shared" si="185"/>
        <v>13.162876863097031</v>
      </c>
      <c r="X60" s="157">
        <f t="shared" si="185"/>
        <v>14.987434052041172</v>
      </c>
      <c r="Y60" s="157">
        <f t="shared" si="185"/>
        <v>17.064900158264692</v>
      </c>
      <c r="Z60" s="157">
        <f t="shared" si="185"/>
        <v>19.430331863370693</v>
      </c>
      <c r="AA60" s="157">
        <f t="shared" si="185"/>
        <v>22.123645190966634</v>
      </c>
      <c r="AB60" s="157">
        <f t="shared" si="185"/>
        <v>25.190289078823394</v>
      </c>
      <c r="AC60" s="138">
        <f t="shared" si="170"/>
        <v>-2.0193004961886123</v>
      </c>
      <c r="AD60" s="31">
        <f t="shared" si="17"/>
        <v>0.05</v>
      </c>
      <c r="AE60" s="146">
        <f t="shared" si="171"/>
        <v>155.58707960449746</v>
      </c>
    </row>
    <row r="61" spans="2:31" x14ac:dyDescent="0.2">
      <c r="B61" s="20" t="s">
        <v>276</v>
      </c>
      <c r="C61" s="127">
        <f t="shared" ref="C61:P61" si="186">(C7+C15-C10-C9)/C42</f>
        <v>0</v>
      </c>
      <c r="D61" s="127">
        <f t="shared" si="186"/>
        <v>0</v>
      </c>
      <c r="E61" s="127">
        <f t="shared" si="186"/>
        <v>0</v>
      </c>
      <c r="F61" s="144">
        <f t="shared" si="186"/>
        <v>0</v>
      </c>
      <c r="G61" s="144">
        <f t="shared" si="186"/>
        <v>50.573514077163715</v>
      </c>
      <c r="H61" s="144">
        <f t="shared" si="186"/>
        <v>61.730969760166843</v>
      </c>
      <c r="I61" s="144">
        <f t="shared" si="186"/>
        <v>68.717413972888423</v>
      </c>
      <c r="J61" s="144">
        <f t="shared" si="186"/>
        <v>78.936392075078203</v>
      </c>
      <c r="K61" s="144">
        <f t="shared" si="186"/>
        <v>97.601668404588111</v>
      </c>
      <c r="L61" s="144">
        <f t="shared" si="186"/>
        <v>140.35453597497394</v>
      </c>
      <c r="M61" s="144">
        <f t="shared" si="186"/>
        <v>167.36183524504693</v>
      </c>
      <c r="N61" s="144">
        <f t="shared" si="186"/>
        <v>228.25860271115747</v>
      </c>
      <c r="O61" s="144">
        <f t="shared" si="186"/>
        <v>322.00208550573512</v>
      </c>
      <c r="P61" s="144">
        <f t="shared" si="186"/>
        <v>442.54431699687177</v>
      </c>
      <c r="Q61" s="118">
        <f>((P61/G61)^(1/($H$2-$H$1) ))-1</f>
        <v>0.27253695730363403</v>
      </c>
      <c r="R61" s="128"/>
      <c r="S61" s="157">
        <f t="shared" ref="S61:AB61" si="187">(S7+S15-S10-S9)/S42</f>
        <v>48.805999999999997</v>
      </c>
      <c r="T61" s="157">
        <f t="shared" si="187"/>
        <v>55.571188118811847</v>
      </c>
      <c r="U61" s="157">
        <f t="shared" si="187"/>
        <v>63.274125085775886</v>
      </c>
      <c r="V61" s="157">
        <f t="shared" si="187"/>
        <v>72.044795889744805</v>
      </c>
      <c r="W61" s="157">
        <f t="shared" si="187"/>
        <v>82.031203240798533</v>
      </c>
      <c r="X61" s="157">
        <f t="shared" si="187"/>
        <v>93.401865076156724</v>
      </c>
      <c r="Y61" s="157">
        <f t="shared" si="187"/>
        <v>106.34865825502992</v>
      </c>
      <c r="Z61" s="157">
        <f t="shared" si="187"/>
        <v>121.09005642899449</v>
      </c>
      <c r="AA61" s="157">
        <f t="shared" si="187"/>
        <v>137.8748167260828</v>
      </c>
      <c r="AB61" s="157">
        <f t="shared" si="187"/>
        <v>156.9861774603913</v>
      </c>
      <c r="AC61" s="138">
        <f t="shared" si="170"/>
        <v>6.1430318539425821E-2</v>
      </c>
      <c r="AD61" s="31">
        <f t="shared" si="17"/>
        <v>0.05</v>
      </c>
      <c r="AE61" s="146">
        <f t="shared" si="171"/>
        <v>969.62050784359349</v>
      </c>
    </row>
    <row r="62" spans="2:31" x14ac:dyDescent="0.2">
      <c r="B62" s="20"/>
      <c r="C62" s="127"/>
      <c r="D62" s="127"/>
      <c r="E62" s="127"/>
      <c r="F62" s="144"/>
      <c r="G62" s="144"/>
      <c r="H62" s="144"/>
      <c r="I62" s="144"/>
      <c r="J62" s="144"/>
      <c r="K62" s="144"/>
      <c r="L62" s="144"/>
      <c r="M62" s="144"/>
      <c r="N62" s="144"/>
      <c r="O62" s="144"/>
      <c r="P62" s="144"/>
      <c r="Q62" s="128"/>
      <c r="R62" s="128"/>
      <c r="S62" s="154"/>
      <c r="T62" s="154"/>
      <c r="U62" s="154"/>
      <c r="V62" s="154"/>
      <c r="W62" s="154"/>
      <c r="X62" s="154"/>
      <c r="Y62" s="154"/>
      <c r="Z62" s="154"/>
      <c r="AA62" s="154"/>
      <c r="AB62" s="154"/>
      <c r="AC62" s="139"/>
      <c r="AD62" s="137"/>
      <c r="AE62" s="154"/>
    </row>
    <row r="63" spans="2:31" x14ac:dyDescent="0.2">
      <c r="B63" s="20" t="s">
        <v>248</v>
      </c>
      <c r="C63" s="127">
        <f t="shared" ref="C63:P63" si="188">C12/C42</f>
        <v>0</v>
      </c>
      <c r="D63" s="127">
        <f t="shared" si="188"/>
        <v>0</v>
      </c>
      <c r="E63" s="127">
        <f t="shared" si="188"/>
        <v>0</v>
      </c>
      <c r="F63" s="144">
        <f t="shared" si="188"/>
        <v>0</v>
      </c>
      <c r="G63" s="144">
        <f t="shared" si="188"/>
        <v>7.2992700729927007</v>
      </c>
      <c r="H63" s="144">
        <f t="shared" si="188"/>
        <v>6.3607924921793533</v>
      </c>
      <c r="I63" s="144">
        <f t="shared" si="188"/>
        <v>7.6120959332638165</v>
      </c>
      <c r="J63" s="144">
        <f t="shared" si="188"/>
        <v>10.948905109489051</v>
      </c>
      <c r="K63" s="144">
        <f t="shared" si="188"/>
        <v>11.517205422314913</v>
      </c>
      <c r="L63" s="144">
        <f t="shared" si="188"/>
        <v>21.897810218978101</v>
      </c>
      <c r="M63" s="144">
        <f t="shared" si="188"/>
        <v>11.05318039624609</v>
      </c>
      <c r="N63" s="144">
        <f t="shared" si="188"/>
        <v>13.764337851929094</v>
      </c>
      <c r="O63" s="144">
        <f t="shared" si="188"/>
        <v>65.067778936392074</v>
      </c>
      <c r="P63" s="144">
        <f t="shared" si="188"/>
        <v>78.41501564129301</v>
      </c>
      <c r="Q63" s="118">
        <f>((P63/G63)^(1/($H$2-$H$1) ))-1</f>
        <v>0.30187373929416506</v>
      </c>
      <c r="R63" s="128"/>
      <c r="S63" s="157">
        <f t="shared" ref="S63:AB63" si="189">S12/S42</f>
        <v>8.6479999999999997</v>
      </c>
      <c r="T63" s="157">
        <f t="shared" si="189"/>
        <v>9.8467326732673257</v>
      </c>
      <c r="U63" s="157">
        <f t="shared" si="189"/>
        <v>11.211626311145965</v>
      </c>
      <c r="V63" s="157">
        <f t="shared" si="189"/>
        <v>12.765713126552335</v>
      </c>
      <c r="W63" s="157">
        <f t="shared" si="189"/>
        <v>14.535217916371471</v>
      </c>
      <c r="X63" s="157">
        <f t="shared" si="189"/>
        <v>16.550000597848705</v>
      </c>
      <c r="Y63" s="157">
        <f t="shared" si="189"/>
        <v>18.844060086659415</v>
      </c>
      <c r="Z63" s="157">
        <f t="shared" si="189"/>
        <v>21.456108019463688</v>
      </c>
      <c r="AA63" s="157">
        <f t="shared" si="189"/>
        <v>24.430222002359645</v>
      </c>
      <c r="AB63" s="157">
        <f t="shared" si="189"/>
        <v>27.816589408627316</v>
      </c>
      <c r="AC63" s="138">
        <f t="shared" si="170"/>
        <v>7.295185283456096E-2</v>
      </c>
      <c r="AD63" s="31">
        <f t="shared" si="17"/>
        <v>0.05</v>
      </c>
      <c r="AE63" s="146">
        <f t="shared" si="171"/>
        <v>171.80834634740404</v>
      </c>
    </row>
    <row r="64" spans="2:31" x14ac:dyDescent="0.2">
      <c r="B64" s="20" t="s">
        <v>255</v>
      </c>
      <c r="C64" s="127">
        <f t="shared" ref="C64:P64" si="190">C13/C42</f>
        <v>0</v>
      </c>
      <c r="D64" s="127">
        <f t="shared" si="190"/>
        <v>0</v>
      </c>
      <c r="E64" s="127">
        <f t="shared" si="190"/>
        <v>0</v>
      </c>
      <c r="F64" s="144">
        <f t="shared" si="190"/>
        <v>0</v>
      </c>
      <c r="G64" s="144">
        <f t="shared" si="190"/>
        <v>10.636079249217936</v>
      </c>
      <c r="H64" s="144">
        <f t="shared" si="190"/>
        <v>11.887382690302399</v>
      </c>
      <c r="I64" s="144">
        <f t="shared" si="190"/>
        <v>17.101147028154326</v>
      </c>
      <c r="J64" s="144">
        <f t="shared" si="190"/>
        <v>20.125130344108445</v>
      </c>
      <c r="K64" s="144">
        <f t="shared" si="190"/>
        <v>28.884254431699688</v>
      </c>
      <c r="L64" s="144">
        <f t="shared" si="190"/>
        <v>8.1751824817518255</v>
      </c>
      <c r="M64" s="144">
        <f t="shared" si="190"/>
        <v>65.067778936392074</v>
      </c>
      <c r="N64" s="144">
        <f t="shared" si="190"/>
        <v>96.141814389989577</v>
      </c>
      <c r="O64" s="144">
        <f t="shared" si="190"/>
        <v>37.017726798748697</v>
      </c>
      <c r="P64" s="144">
        <f t="shared" si="190"/>
        <v>29.301355578727843</v>
      </c>
      <c r="Q64" s="118">
        <f>((P64/G64)^(1/($H$2-$H$1) ))-1</f>
        <v>0.11918191346716012</v>
      </c>
      <c r="R64" s="128"/>
      <c r="S64" s="157">
        <f t="shared" ref="S64:AB64" si="191">S13/S42</f>
        <v>3.2314999999999996</v>
      </c>
      <c r="T64" s="157">
        <f t="shared" si="191"/>
        <v>3.6794306930693064</v>
      </c>
      <c r="U64" s="157">
        <f t="shared" si="191"/>
        <v>4.189450789138319</v>
      </c>
      <c r="V64" s="157">
        <f t="shared" si="191"/>
        <v>4.7701667401079861</v>
      </c>
      <c r="W64" s="157">
        <f t="shared" si="191"/>
        <v>5.4313779714100834</v>
      </c>
      <c r="X64" s="157">
        <f t="shared" si="191"/>
        <v>6.1842422446748468</v>
      </c>
      <c r="Y64" s="157">
        <f t="shared" si="191"/>
        <v>7.0414639419565077</v>
      </c>
      <c r="Z64" s="157">
        <f t="shared" si="191"/>
        <v>8.01750844876236</v>
      </c>
      <c r="AA64" s="157">
        <f t="shared" si="191"/>
        <v>9.1288462535412993</v>
      </c>
      <c r="AB64" s="157">
        <f t="shared" si="191"/>
        <v>10.394230882745042</v>
      </c>
      <c r="AC64" s="138">
        <f t="shared" si="170"/>
        <v>-1.2098462278630207E-3</v>
      </c>
      <c r="AD64" s="31">
        <f t="shared" si="17"/>
        <v>0.05</v>
      </c>
      <c r="AE64" s="146">
        <f t="shared" si="171"/>
        <v>64.199661334601728</v>
      </c>
    </row>
    <row r="65" spans="2:31" x14ac:dyDescent="0.2">
      <c r="B65" s="20" t="s">
        <v>256</v>
      </c>
      <c r="C65" s="127">
        <f>(C63+C64)</f>
        <v>0</v>
      </c>
      <c r="D65" s="127">
        <f t="shared" ref="D65:P65" si="192">(D63+D64)</f>
        <v>0</v>
      </c>
      <c r="E65" s="127">
        <f t="shared" si="192"/>
        <v>0</v>
      </c>
      <c r="F65" s="144">
        <f t="shared" si="192"/>
        <v>0</v>
      </c>
      <c r="G65" s="144">
        <f t="shared" si="192"/>
        <v>17.935349322210637</v>
      </c>
      <c r="H65" s="144">
        <f t="shared" si="192"/>
        <v>18.248175182481752</v>
      </c>
      <c r="I65" s="144">
        <f t="shared" si="192"/>
        <v>24.713242961418143</v>
      </c>
      <c r="J65" s="144">
        <f t="shared" si="192"/>
        <v>31.074035453597496</v>
      </c>
      <c r="K65" s="144">
        <f t="shared" si="192"/>
        <v>40.401459854014604</v>
      </c>
      <c r="L65" s="144">
        <f t="shared" si="192"/>
        <v>30.072992700729927</v>
      </c>
      <c r="M65" s="144">
        <f t="shared" si="192"/>
        <v>76.120959332638165</v>
      </c>
      <c r="N65" s="144">
        <f t="shared" si="192"/>
        <v>109.90615224191868</v>
      </c>
      <c r="O65" s="144">
        <f t="shared" ref="O65" si="193">(O63+O64)</f>
        <v>102.08550573514077</v>
      </c>
      <c r="P65" s="144">
        <f t="shared" si="192"/>
        <v>107.71637122002085</v>
      </c>
      <c r="Q65" s="118">
        <f>((P65/G65)^(1/($H$2-$H$1) ))-1</f>
        <v>0.22041626228586364</v>
      </c>
      <c r="R65" s="128"/>
      <c r="S65" s="157">
        <f t="shared" ref="S65:AB65" si="194">(S63+S64)</f>
        <v>11.8795</v>
      </c>
      <c r="T65" s="157">
        <f t="shared" si="194"/>
        <v>13.526163366336633</v>
      </c>
      <c r="U65" s="157">
        <f t="shared" si="194"/>
        <v>15.401077100284283</v>
      </c>
      <c r="V65" s="157">
        <f t="shared" si="194"/>
        <v>17.53587986666032</v>
      </c>
      <c r="W65" s="157">
        <f t="shared" si="194"/>
        <v>19.966595887781555</v>
      </c>
      <c r="X65" s="157">
        <f t="shared" si="194"/>
        <v>22.73424284252355</v>
      </c>
      <c r="Y65" s="157">
        <f t="shared" si="194"/>
        <v>25.885524028615922</v>
      </c>
      <c r="Z65" s="157">
        <f t="shared" si="194"/>
        <v>29.473616468226048</v>
      </c>
      <c r="AA65" s="157">
        <f t="shared" si="194"/>
        <v>33.559068255900947</v>
      </c>
      <c r="AB65" s="157">
        <f t="shared" si="194"/>
        <v>38.210820291372357</v>
      </c>
      <c r="AC65" s="138">
        <f t="shared" si="170"/>
        <v>4.0610582061944012E-2</v>
      </c>
      <c r="AD65" s="31">
        <f t="shared" si="17"/>
        <v>0.05</v>
      </c>
      <c r="AE65" s="146">
        <f t="shared" si="171"/>
        <v>236.0080076820058</v>
      </c>
    </row>
    <row r="66" spans="2:31" x14ac:dyDescent="0.2">
      <c r="B66" s="20" t="s">
        <v>249</v>
      </c>
      <c r="C66" s="127">
        <f t="shared" ref="C66:P66" si="195">C15/C42</f>
        <v>0</v>
      </c>
      <c r="D66" s="127">
        <f t="shared" si="195"/>
        <v>0</v>
      </c>
      <c r="E66" s="127">
        <f t="shared" si="195"/>
        <v>0</v>
      </c>
      <c r="F66" s="144">
        <f t="shared" si="195"/>
        <v>0</v>
      </c>
      <c r="G66" s="144">
        <f t="shared" si="195"/>
        <v>68.0917622523462</v>
      </c>
      <c r="H66" s="144">
        <f t="shared" si="195"/>
        <v>83.315954118873833</v>
      </c>
      <c r="I66" s="144">
        <f t="shared" si="195"/>
        <v>93.222106360792495</v>
      </c>
      <c r="J66" s="144">
        <f t="shared" si="195"/>
        <v>116.99687174139729</v>
      </c>
      <c r="K66" s="144">
        <f t="shared" si="195"/>
        <v>133.57664233576642</v>
      </c>
      <c r="L66" s="144">
        <f t="shared" si="195"/>
        <v>161.31386861313868</v>
      </c>
      <c r="M66" s="144">
        <f t="shared" si="195"/>
        <v>165.9019812304484</v>
      </c>
      <c r="N66" s="144">
        <f t="shared" si="195"/>
        <v>207.92492179353493</v>
      </c>
      <c r="O66" s="144">
        <f t="shared" si="195"/>
        <v>306.25651720542231</v>
      </c>
      <c r="P66" s="144">
        <f t="shared" si="195"/>
        <v>371.53284671532845</v>
      </c>
      <c r="Q66" s="118">
        <f>((P66/G66)^(1/($H$2-$H$1) ))-1</f>
        <v>0.20747478731816016</v>
      </c>
      <c r="R66" s="128"/>
      <c r="S66" s="157">
        <f t="shared" ref="S66:AB66" si="196">S15/S42</f>
        <v>40.974499999999999</v>
      </c>
      <c r="T66" s="157">
        <f t="shared" si="196"/>
        <v>46.654133663366331</v>
      </c>
      <c r="U66" s="157">
        <f t="shared" si="196"/>
        <v>53.121043280070559</v>
      </c>
      <c r="V66" s="157">
        <f t="shared" si="196"/>
        <v>60.484356209981321</v>
      </c>
      <c r="W66" s="157">
        <f t="shared" si="196"/>
        <v>68.868326377701507</v>
      </c>
      <c r="X66" s="157">
        <f t="shared" si="196"/>
        <v>78.414431024115572</v>
      </c>
      <c r="Y66" s="157">
        <f t="shared" si="196"/>
        <v>89.28375809676524</v>
      </c>
      <c r="Z66" s="157">
        <f t="shared" si="196"/>
        <v>101.65972456562379</v>
      </c>
      <c r="AA66" s="157">
        <f t="shared" si="196"/>
        <v>115.75117153511619</v>
      </c>
      <c r="AB66" s="157">
        <f t="shared" si="196"/>
        <v>131.79588838156792</v>
      </c>
      <c r="AC66" s="138">
        <f t="shared" si="170"/>
        <v>3.536891127834263E-2</v>
      </c>
      <c r="AD66" s="31">
        <f t="shared" si="17"/>
        <v>0.05</v>
      </c>
      <c r="AE66" s="146">
        <f t="shared" si="171"/>
        <v>814.03342823909611</v>
      </c>
    </row>
    <row r="67" spans="2:31" x14ac:dyDescent="0.2">
      <c r="B67" s="20" t="s">
        <v>250</v>
      </c>
      <c r="C67" s="127">
        <f t="shared" ref="C67:P67" si="197">C16/C42</f>
        <v>0</v>
      </c>
      <c r="D67" s="127">
        <f t="shared" si="197"/>
        <v>0</v>
      </c>
      <c r="E67" s="127">
        <f t="shared" si="197"/>
        <v>0</v>
      </c>
      <c r="F67" s="144">
        <f t="shared" si="197"/>
        <v>0</v>
      </c>
      <c r="G67" s="144">
        <f t="shared" si="197"/>
        <v>13.97288842544317</v>
      </c>
      <c r="H67" s="144">
        <f t="shared" si="197"/>
        <v>25.651720542231491</v>
      </c>
      <c r="I67" s="144">
        <f t="shared" si="197"/>
        <v>28.571428571428573</v>
      </c>
      <c r="J67" s="144">
        <f t="shared" si="197"/>
        <v>39.520333680917624</v>
      </c>
      <c r="K67" s="144">
        <f t="shared" si="197"/>
        <v>26.694473409801876</v>
      </c>
      <c r="L67" s="144">
        <f t="shared" si="197"/>
        <v>48.592283628779981</v>
      </c>
      <c r="M67" s="144">
        <f t="shared" si="197"/>
        <v>8.1334723670490092</v>
      </c>
      <c r="N67" s="144">
        <f t="shared" si="197"/>
        <v>23.670490093847757</v>
      </c>
      <c r="O67" s="144">
        <f t="shared" si="197"/>
        <v>75.07820646506778</v>
      </c>
      <c r="P67" s="144">
        <f t="shared" si="197"/>
        <v>104.48383733055266</v>
      </c>
      <c r="Q67" s="118">
        <f>((P67/G67)^(1/($H$2-$H$1) ))-1</f>
        <v>0.25050309008297589</v>
      </c>
      <c r="R67" s="128"/>
      <c r="S67" s="157">
        <f t="shared" ref="S67:AB67" si="198">S16/S42</f>
        <v>11.523</v>
      </c>
      <c r="T67" s="157">
        <f t="shared" si="198"/>
        <v>13.120247524752473</v>
      </c>
      <c r="U67" s="157">
        <f t="shared" si="198"/>
        <v>14.938895696500339</v>
      </c>
      <c r="V67" s="157">
        <f t="shared" si="198"/>
        <v>17.009633713837019</v>
      </c>
      <c r="W67" s="157">
        <f t="shared" si="198"/>
        <v>19.367404723675811</v>
      </c>
      <c r="X67" s="157">
        <f t="shared" si="198"/>
        <v>22.051995477452657</v>
      </c>
      <c r="Y67" s="157">
        <f t="shared" si="198"/>
        <v>25.108707721852031</v>
      </c>
      <c r="Z67" s="157">
        <f t="shared" si="198"/>
        <v>28.589122653593893</v>
      </c>
      <c r="AA67" s="157">
        <f t="shared" si="198"/>
        <v>32.551971338250468</v>
      </c>
      <c r="AB67" s="157">
        <f t="shared" si="198"/>
        <v>37.064125781176273</v>
      </c>
      <c r="AC67" s="138">
        <f t="shared" si="170"/>
        <v>5.2684657144860925E-2</v>
      </c>
      <c r="AD67" s="137"/>
      <c r="AE67" s="146">
        <f t="shared" si="171"/>
        <v>168.47329900534669</v>
      </c>
    </row>
    <row r="68" spans="2:31" x14ac:dyDescent="0.2">
      <c r="B68" s="20"/>
      <c r="C68" s="127"/>
      <c r="D68" s="127"/>
      <c r="E68" s="127"/>
      <c r="F68" s="144"/>
      <c r="G68" s="144"/>
      <c r="H68" s="144"/>
      <c r="I68" s="144"/>
      <c r="J68" s="144"/>
      <c r="K68" s="144"/>
      <c r="L68" s="144"/>
      <c r="M68" s="144"/>
      <c r="N68" s="144"/>
      <c r="O68" s="144"/>
      <c r="P68" s="144"/>
      <c r="Q68" s="128"/>
      <c r="R68" s="128"/>
      <c r="S68" s="154"/>
      <c r="T68" s="154"/>
      <c r="U68" s="154"/>
      <c r="V68" s="154"/>
      <c r="W68" s="154"/>
      <c r="X68" s="154"/>
      <c r="Y68" s="154"/>
      <c r="Z68" s="154"/>
      <c r="AA68" s="154"/>
      <c r="AB68" s="154"/>
      <c r="AC68" s="139"/>
      <c r="AD68" s="31">
        <f t="shared" si="17"/>
        <v>0.05</v>
      </c>
      <c r="AE68" s="146">
        <f t="shared" si="171"/>
        <v>0</v>
      </c>
    </row>
    <row r="69" spans="2:31" x14ac:dyDescent="0.2">
      <c r="B69" s="20" t="s">
        <v>282</v>
      </c>
      <c r="C69" s="159">
        <f>C44</f>
        <v>0</v>
      </c>
      <c r="D69" s="159">
        <f t="shared" ref="D69:P69" si="199">D44</f>
        <v>0</v>
      </c>
      <c r="E69" s="159">
        <f t="shared" si="199"/>
        <v>0</v>
      </c>
      <c r="F69" s="159">
        <f t="shared" si="199"/>
        <v>0</v>
      </c>
      <c r="G69" s="159">
        <f t="shared" si="199"/>
        <v>8.5</v>
      </c>
      <c r="H69" s="159">
        <f t="shared" si="199"/>
        <v>9.5</v>
      </c>
      <c r="I69" s="159">
        <f t="shared" si="199"/>
        <v>12.5</v>
      </c>
      <c r="J69" s="159">
        <f t="shared" si="199"/>
        <v>13</v>
      </c>
      <c r="K69" s="159">
        <f t="shared" si="199"/>
        <v>17</v>
      </c>
      <c r="L69" s="159">
        <f t="shared" si="199"/>
        <v>17.5</v>
      </c>
      <c r="M69" s="159">
        <f t="shared" si="199"/>
        <v>27</v>
      </c>
      <c r="N69" s="159">
        <f t="shared" si="199"/>
        <v>32</v>
      </c>
      <c r="O69" s="159">
        <f t="shared" si="199"/>
        <v>40</v>
      </c>
      <c r="P69" s="159">
        <f t="shared" si="199"/>
        <v>46</v>
      </c>
      <c r="Q69" s="118">
        <f>((P69/G69)^(1/($H$2-$H$1) ))-1</f>
        <v>0.20637436675869569</v>
      </c>
      <c r="R69" s="128"/>
      <c r="S69" s="159">
        <f t="shared" ref="S69:AB69" si="200">S44</f>
        <v>48.300000000000004</v>
      </c>
      <c r="T69" s="159">
        <f t="shared" si="200"/>
        <v>50.715000000000003</v>
      </c>
      <c r="U69" s="159">
        <f t="shared" si="200"/>
        <v>53.250750000000004</v>
      </c>
      <c r="V69" s="159">
        <f t="shared" si="200"/>
        <v>55.913287500000003</v>
      </c>
      <c r="W69" s="159">
        <f t="shared" si="200"/>
        <v>58.708951875000004</v>
      </c>
      <c r="X69" s="159">
        <f t="shared" si="200"/>
        <v>61.644399468750009</v>
      </c>
      <c r="Y69" s="159">
        <f t="shared" si="200"/>
        <v>64.726619442187513</v>
      </c>
      <c r="Z69" s="159">
        <f t="shared" si="200"/>
        <v>67.962950414296898</v>
      </c>
      <c r="AA69" s="159">
        <f t="shared" si="200"/>
        <v>71.361097935011742</v>
      </c>
      <c r="AB69" s="159">
        <f t="shared" si="200"/>
        <v>74.929152831762337</v>
      </c>
      <c r="AC69" s="138">
        <f t="shared" ref="AC69" si="201">((AB69/G69)^(1/($AB$3-$H$1) ))-1</f>
        <v>0.12137029422686507</v>
      </c>
      <c r="AD69" s="31">
        <f t="shared" si="17"/>
        <v>0.05</v>
      </c>
      <c r="AE69" s="146">
        <f t="shared" si="171"/>
        <v>462.79770866676745</v>
      </c>
    </row>
    <row r="70" spans="2:31" x14ac:dyDescent="0.2">
      <c r="B70" s="20"/>
      <c r="C70" s="127"/>
      <c r="D70" s="127"/>
      <c r="E70" s="127"/>
      <c r="F70" s="144"/>
      <c r="G70" s="144"/>
      <c r="H70" s="144"/>
      <c r="I70" s="144"/>
      <c r="J70" s="144"/>
      <c r="K70" s="144"/>
      <c r="L70" s="144"/>
      <c r="M70" s="144"/>
      <c r="N70" s="144"/>
      <c r="O70" s="144"/>
      <c r="P70" s="144"/>
      <c r="Q70" s="128"/>
      <c r="R70" s="128"/>
      <c r="S70" s="154"/>
      <c r="T70" s="154"/>
      <c r="U70" s="154"/>
      <c r="V70" s="154"/>
      <c r="W70" s="154"/>
      <c r="X70" s="154"/>
      <c r="Y70" s="154"/>
      <c r="Z70" s="154"/>
      <c r="AA70" s="154"/>
      <c r="AB70" s="154"/>
      <c r="AC70" s="139"/>
      <c r="AD70" s="137"/>
      <c r="AE70" s="154"/>
    </row>
    <row r="71" spans="2:31" x14ac:dyDescent="0.2">
      <c r="B71" s="20" t="s">
        <v>317</v>
      </c>
      <c r="C71" s="127">
        <f t="shared" ref="C71:P71" si="202">C20+C21</f>
        <v>0</v>
      </c>
      <c r="D71" s="127">
        <f t="shared" si="202"/>
        <v>0</v>
      </c>
      <c r="E71" s="127">
        <f t="shared" si="202"/>
        <v>0</v>
      </c>
      <c r="F71" s="144">
        <f t="shared" si="202"/>
        <v>0</v>
      </c>
      <c r="G71" s="144">
        <f t="shared" si="202"/>
        <v>120</v>
      </c>
      <c r="H71" s="144">
        <f t="shared" si="202"/>
        <v>84</v>
      </c>
      <c r="I71" s="144">
        <f t="shared" si="202"/>
        <v>113</v>
      </c>
      <c r="J71" s="144">
        <f t="shared" si="202"/>
        <v>201</v>
      </c>
      <c r="K71" s="144">
        <f t="shared" si="202"/>
        <v>125</v>
      </c>
      <c r="L71" s="144">
        <f t="shared" si="202"/>
        <v>308</v>
      </c>
      <c r="M71" s="144">
        <f t="shared" si="202"/>
        <v>605</v>
      </c>
      <c r="N71" s="144">
        <f t="shared" si="202"/>
        <v>333</v>
      </c>
      <c r="O71" s="144">
        <f t="shared" si="202"/>
        <v>289</v>
      </c>
      <c r="P71" s="144">
        <f t="shared" si="202"/>
        <v>656</v>
      </c>
      <c r="Q71" s="118">
        <f>((P71/G71)^(1/($H$2-$H$1) ))-1</f>
        <v>0.20772811658558599</v>
      </c>
      <c r="R71" s="128"/>
      <c r="S71" s="144">
        <f t="shared" ref="S71:AB71" si="203">S20+S21</f>
        <v>754.39999999999986</v>
      </c>
      <c r="T71" s="144">
        <f t="shared" si="203"/>
        <v>867.55999999999983</v>
      </c>
      <c r="U71" s="144">
        <f t="shared" si="203"/>
        <v>997.69399999999973</v>
      </c>
      <c r="V71" s="144">
        <f t="shared" si="203"/>
        <v>1147.3480999999997</v>
      </c>
      <c r="W71" s="144">
        <f t="shared" si="203"/>
        <v>1319.4503149999996</v>
      </c>
      <c r="X71" s="144">
        <f t="shared" si="203"/>
        <v>1517.3678622499992</v>
      </c>
      <c r="Y71" s="144">
        <f t="shared" si="203"/>
        <v>1744.973041587499</v>
      </c>
      <c r="Z71" s="144">
        <f t="shared" si="203"/>
        <v>2006.7189978256235</v>
      </c>
      <c r="AA71" s="144">
        <f t="shared" si="203"/>
        <v>2307.7268474994671</v>
      </c>
      <c r="AB71" s="144">
        <f t="shared" si="203"/>
        <v>2653.8858746243868</v>
      </c>
      <c r="AC71" s="138">
        <f t="shared" ref="AC71:AC76" si="204">((AB71/G71)^(1/($AB$3-$H$1) ))-1</f>
        <v>0.17699261172341552</v>
      </c>
      <c r="AD71" s="31">
        <f t="shared" si="17"/>
        <v>0.05</v>
      </c>
      <c r="AE71" s="146">
        <f t="shared" si="171"/>
        <v>16391.648049150626</v>
      </c>
    </row>
    <row r="72" spans="2:31" x14ac:dyDescent="0.2">
      <c r="B72" s="20"/>
      <c r="C72" s="127"/>
      <c r="D72" s="127"/>
      <c r="E72" s="127"/>
      <c r="F72" s="144"/>
      <c r="G72" s="144"/>
      <c r="H72" s="144"/>
      <c r="I72" s="144"/>
      <c r="J72" s="144"/>
      <c r="K72" s="144"/>
      <c r="L72" s="144"/>
      <c r="M72" s="144"/>
      <c r="N72" s="144"/>
      <c r="O72" s="144"/>
      <c r="P72" s="144"/>
      <c r="Q72" s="128"/>
      <c r="R72" s="128"/>
      <c r="S72" s="146"/>
      <c r="T72" s="146"/>
      <c r="U72" s="146"/>
      <c r="V72" s="146"/>
      <c r="W72" s="146"/>
      <c r="X72" s="146"/>
      <c r="Y72" s="146"/>
      <c r="Z72" s="146"/>
      <c r="AA72" s="146"/>
      <c r="AB72" s="146"/>
      <c r="AC72" s="139"/>
      <c r="AD72" s="137"/>
      <c r="AE72" s="146"/>
    </row>
    <row r="73" spans="2:31" x14ac:dyDescent="0.2">
      <c r="B73" s="20" t="s">
        <v>318</v>
      </c>
      <c r="C73" s="127">
        <f t="shared" ref="C73:P73" si="205">C71/C42</f>
        <v>0</v>
      </c>
      <c r="D73" s="127">
        <f t="shared" si="205"/>
        <v>0</v>
      </c>
      <c r="E73" s="127">
        <f t="shared" si="205"/>
        <v>0</v>
      </c>
      <c r="F73" s="144">
        <f t="shared" si="205"/>
        <v>0</v>
      </c>
      <c r="G73" s="144">
        <f t="shared" si="205"/>
        <v>12.513034410844631</v>
      </c>
      <c r="H73" s="144">
        <f t="shared" si="205"/>
        <v>8.7591240875912408</v>
      </c>
      <c r="I73" s="144">
        <f t="shared" si="205"/>
        <v>11.78310740354536</v>
      </c>
      <c r="J73" s="144">
        <f t="shared" si="205"/>
        <v>20.959332638164756</v>
      </c>
      <c r="K73" s="144">
        <f t="shared" si="205"/>
        <v>13.034410844629823</v>
      </c>
      <c r="L73" s="144">
        <f t="shared" si="205"/>
        <v>32.116788321167881</v>
      </c>
      <c r="M73" s="144">
        <f t="shared" si="205"/>
        <v>63.08654848800834</v>
      </c>
      <c r="N73" s="144">
        <f t="shared" si="205"/>
        <v>34.723670490093845</v>
      </c>
      <c r="O73" s="144">
        <f t="shared" si="205"/>
        <v>30.135557872784151</v>
      </c>
      <c r="P73" s="144">
        <f t="shared" si="205"/>
        <v>68.404588112617304</v>
      </c>
      <c r="Q73" s="118">
        <f>((P73/G73)^(1/($H$2-$H$1) ))-1</f>
        <v>0.20772811658558599</v>
      </c>
      <c r="R73" s="128"/>
      <c r="S73" s="146">
        <f t="shared" ref="S73:AB73" si="206">S71/S42</f>
        <v>7.5439999999999987</v>
      </c>
      <c r="T73" s="146">
        <f t="shared" si="206"/>
        <v>8.5897029702970276</v>
      </c>
      <c r="U73" s="146">
        <f t="shared" si="206"/>
        <v>9.7803548671698817</v>
      </c>
      <c r="V73" s="146">
        <f t="shared" si="206"/>
        <v>11.136047621035015</v>
      </c>
      <c r="W73" s="146">
        <f t="shared" si="206"/>
        <v>12.6796581823666</v>
      </c>
      <c r="X73" s="146">
        <f t="shared" si="206"/>
        <v>14.43723456408078</v>
      </c>
      <c r="Y73" s="146">
        <f t="shared" si="206"/>
        <v>16.43843539474544</v>
      </c>
      <c r="Z73" s="146">
        <f t="shared" si="206"/>
        <v>18.717030399957679</v>
      </c>
      <c r="AA73" s="146">
        <f t="shared" si="206"/>
        <v>21.311470257377554</v>
      </c>
      <c r="AB73" s="146">
        <f t="shared" si="206"/>
        <v>24.265535441568503</v>
      </c>
      <c r="AC73" s="138">
        <f t="shared" si="204"/>
        <v>3.5471799899956302E-2</v>
      </c>
      <c r="AD73" s="31">
        <f t="shared" si="17"/>
        <v>0.05</v>
      </c>
      <c r="AE73" s="146">
        <f t="shared" si="171"/>
        <v>149.87536596262902</v>
      </c>
    </row>
    <row r="74" spans="2:31" x14ac:dyDescent="0.2">
      <c r="B74" s="20" t="s">
        <v>287</v>
      </c>
      <c r="C74" s="127">
        <f t="shared" ref="C74:P74" si="207">C20/C42</f>
        <v>0</v>
      </c>
      <c r="D74" s="127">
        <f t="shared" si="207"/>
        <v>0</v>
      </c>
      <c r="E74" s="127">
        <f t="shared" si="207"/>
        <v>0</v>
      </c>
      <c r="F74" s="144">
        <f t="shared" si="207"/>
        <v>0</v>
      </c>
      <c r="G74" s="144">
        <f t="shared" si="207"/>
        <v>25.338894681960376</v>
      </c>
      <c r="H74" s="144">
        <f t="shared" si="207"/>
        <v>16.371220020855059</v>
      </c>
      <c r="I74" s="144">
        <f t="shared" si="207"/>
        <v>22.83628779979145</v>
      </c>
      <c r="J74" s="144">
        <f t="shared" si="207"/>
        <v>32.533889468196037</v>
      </c>
      <c r="K74" s="144">
        <f t="shared" si="207"/>
        <v>47.653806047966633</v>
      </c>
      <c r="L74" s="144">
        <f t="shared" si="207"/>
        <v>33.889468196037541</v>
      </c>
      <c r="M74" s="144">
        <f t="shared" si="207"/>
        <v>88.321167883211686</v>
      </c>
      <c r="N74" s="144">
        <f t="shared" si="207"/>
        <v>77.476538060479669</v>
      </c>
      <c r="O74" s="144">
        <f t="shared" si="207"/>
        <v>78.519290928050054</v>
      </c>
      <c r="P74" s="144">
        <f t="shared" si="207"/>
        <v>112.72158498435871</v>
      </c>
      <c r="Q74" s="118">
        <f>((P74/G74)^(1/($H$2-$H$1) ))-1</f>
        <v>0.18038689730730328</v>
      </c>
      <c r="R74" s="128"/>
      <c r="S74" s="146">
        <f t="shared" ref="S74:AB74" si="208">S20/S42</f>
        <v>12.431499999999998</v>
      </c>
      <c r="T74" s="146">
        <f t="shared" si="208"/>
        <v>14.154678217821779</v>
      </c>
      <c r="U74" s="146">
        <f t="shared" si="208"/>
        <v>16.116712822272319</v>
      </c>
      <c r="V74" s="146">
        <f t="shared" si="208"/>
        <v>18.350712619418978</v>
      </c>
      <c r="W74" s="146">
        <f t="shared" si="208"/>
        <v>20.894375754783987</v>
      </c>
      <c r="X74" s="146">
        <f t="shared" si="208"/>
        <v>23.790625859407506</v>
      </c>
      <c r="Y74" s="146">
        <f t="shared" si="208"/>
        <v>27.088336374572901</v>
      </c>
      <c r="Z74" s="146">
        <f t="shared" si="208"/>
        <v>30.843155277979044</v>
      </c>
      <c r="AA74" s="146">
        <f t="shared" si="208"/>
        <v>35.118444128391978</v>
      </c>
      <c r="AB74" s="146">
        <f t="shared" si="208"/>
        <v>39.98634727490176</v>
      </c>
      <c r="AC74" s="138">
        <f t="shared" si="204"/>
        <v>2.4300966429247506E-2</v>
      </c>
      <c r="AD74" s="31">
        <f t="shared" si="17"/>
        <v>0.05</v>
      </c>
      <c r="AE74" s="146">
        <f t="shared" si="171"/>
        <v>246.97449787439328</v>
      </c>
    </row>
    <row r="75" spans="2:31" x14ac:dyDescent="0.2">
      <c r="B75" s="20" t="s">
        <v>288</v>
      </c>
      <c r="C75" s="127">
        <f t="shared" ref="C75:P75" si="209">C21/C42</f>
        <v>0</v>
      </c>
      <c r="D75" s="127">
        <f t="shared" si="209"/>
        <v>0</v>
      </c>
      <c r="E75" s="127">
        <f t="shared" si="209"/>
        <v>0</v>
      </c>
      <c r="F75" s="144">
        <f t="shared" si="209"/>
        <v>0</v>
      </c>
      <c r="G75" s="144">
        <f t="shared" si="209"/>
        <v>-12.825860271115745</v>
      </c>
      <c r="H75" s="144">
        <f t="shared" si="209"/>
        <v>-7.6120959332638165</v>
      </c>
      <c r="I75" s="144">
        <f t="shared" si="209"/>
        <v>-11.05318039624609</v>
      </c>
      <c r="J75" s="144">
        <f t="shared" si="209"/>
        <v>-11.574556830031282</v>
      </c>
      <c r="K75" s="144">
        <f t="shared" si="209"/>
        <v>-34.619395203336808</v>
      </c>
      <c r="L75" s="144">
        <f t="shared" si="209"/>
        <v>-1.7726798748696559</v>
      </c>
      <c r="M75" s="144">
        <f t="shared" si="209"/>
        <v>-25.234619395203339</v>
      </c>
      <c r="N75" s="144">
        <f t="shared" si="209"/>
        <v>-42.752867570385817</v>
      </c>
      <c r="O75" s="144">
        <f t="shared" si="209"/>
        <v>-48.3837330552659</v>
      </c>
      <c r="P75" s="144">
        <f t="shared" si="209"/>
        <v>-44.316996871741395</v>
      </c>
      <c r="Q75" s="118">
        <f>((P75/G75)^(1/($H$2-$H$1) ))-1</f>
        <v>0.14770833439960418</v>
      </c>
      <c r="R75" s="128"/>
      <c r="S75" s="146">
        <f t="shared" ref="S75:AB75" si="210">S21/S42</f>
        <v>-4.8874999999999993</v>
      </c>
      <c r="T75" s="146">
        <f t="shared" si="210"/>
        <v>-5.5649752475247514</v>
      </c>
      <c r="U75" s="146">
        <f t="shared" si="210"/>
        <v>-6.3363579551024385</v>
      </c>
      <c r="V75" s="146">
        <f t="shared" si="210"/>
        <v>-7.2146649983839639</v>
      </c>
      <c r="W75" s="146">
        <f t="shared" si="210"/>
        <v>-8.2147175724173849</v>
      </c>
      <c r="X75" s="146">
        <f t="shared" si="210"/>
        <v>-9.3533912953267251</v>
      </c>
      <c r="Y75" s="146">
        <f t="shared" si="210"/>
        <v>-10.649900979827459</v>
      </c>
      <c r="Z75" s="146">
        <f t="shared" si="210"/>
        <v>-12.126124878021363</v>
      </c>
      <c r="AA75" s="146">
        <f t="shared" si="210"/>
        <v>-13.806973871014424</v>
      </c>
      <c r="AB75" s="146">
        <f t="shared" si="210"/>
        <v>-15.720811833333254</v>
      </c>
      <c r="AC75" s="138">
        <f t="shared" si="204"/>
        <v>1.0769257699778212E-2</v>
      </c>
      <c r="AD75" s="31">
        <f t="shared" si="17"/>
        <v>0.05</v>
      </c>
      <c r="AE75" s="146">
        <f t="shared" si="171"/>
        <v>-97.099131911764218</v>
      </c>
    </row>
    <row r="76" spans="2:31" x14ac:dyDescent="0.2">
      <c r="B76" s="20" t="s">
        <v>289</v>
      </c>
      <c r="C76" s="127">
        <f t="shared" ref="C76:P76" si="211">C22/C42</f>
        <v>0</v>
      </c>
      <c r="D76" s="127">
        <f t="shared" si="211"/>
        <v>0</v>
      </c>
      <c r="E76" s="127">
        <f t="shared" si="211"/>
        <v>0</v>
      </c>
      <c r="F76" s="144">
        <f t="shared" si="211"/>
        <v>0</v>
      </c>
      <c r="G76" s="144">
        <f t="shared" si="211"/>
        <v>-12.825860271115745</v>
      </c>
      <c r="H76" s="144">
        <f t="shared" si="211"/>
        <v>-8.550573514077163</v>
      </c>
      <c r="I76" s="144">
        <f t="shared" si="211"/>
        <v>-11.470281543274243</v>
      </c>
      <c r="J76" s="144">
        <f t="shared" si="211"/>
        <v>-19.499478623566215</v>
      </c>
      <c r="K76" s="144">
        <f t="shared" si="211"/>
        <v>-13.138686131386862</v>
      </c>
      <c r="L76" s="144">
        <f t="shared" si="211"/>
        <v>-23.149113660062564</v>
      </c>
      <c r="M76" s="144">
        <f t="shared" si="211"/>
        <v>-24.817518248175183</v>
      </c>
      <c r="N76" s="144">
        <f t="shared" si="211"/>
        <v>-33.472367049009385</v>
      </c>
      <c r="O76" s="144">
        <f t="shared" si="211"/>
        <v>-30.969760166840459</v>
      </c>
      <c r="P76" s="144">
        <f t="shared" si="211"/>
        <v>-61.522419186652762</v>
      </c>
      <c r="Q76" s="118">
        <f>((P76/G76)^(1/($H$2-$H$1) ))-1</f>
        <v>0.19031187605293542</v>
      </c>
      <c r="R76" s="128"/>
      <c r="S76" s="146">
        <f t="shared" ref="S76:AB76" si="212">S22/S42</f>
        <v>-6.7850000000000001</v>
      </c>
      <c r="T76" s="146">
        <f t="shared" si="212"/>
        <v>-7.7254950495049499</v>
      </c>
      <c r="U76" s="146">
        <f t="shared" si="212"/>
        <v>-8.7963557494363283</v>
      </c>
      <c r="V76" s="146">
        <f t="shared" si="212"/>
        <v>-10.015652585991857</v>
      </c>
      <c r="W76" s="146">
        <f t="shared" si="212"/>
        <v>-11.403960865238252</v>
      </c>
      <c r="X76" s="146">
        <f t="shared" si="212"/>
        <v>-12.984707915865336</v>
      </c>
      <c r="Y76" s="146">
        <f t="shared" si="212"/>
        <v>-14.784568419054589</v>
      </c>
      <c r="Z76" s="146">
        <f t="shared" si="212"/>
        <v>-16.833914536547301</v>
      </c>
      <c r="AA76" s="146">
        <f t="shared" si="212"/>
        <v>-19.167328432702369</v>
      </c>
      <c r="AB76" s="146">
        <f t="shared" si="212"/>
        <v>-21.82418583921557</v>
      </c>
      <c r="AC76" s="138">
        <f t="shared" si="204"/>
        <v>2.8371616482701922E-2</v>
      </c>
      <c r="AD76" s="31">
        <f t="shared" si="17"/>
        <v>0.05</v>
      </c>
      <c r="AE76" s="146">
        <f t="shared" si="171"/>
        <v>-134.7964419480962</v>
      </c>
    </row>
    <row r="77" spans="2:31" x14ac:dyDescent="0.2">
      <c r="B77" s="20" t="s">
        <v>296</v>
      </c>
      <c r="C77" s="127">
        <f t="shared" ref="C77:P77" si="213">C23/C42</f>
        <v>0</v>
      </c>
      <c r="D77" s="127">
        <f t="shared" si="213"/>
        <v>0</v>
      </c>
      <c r="E77" s="127">
        <f t="shared" si="213"/>
        <v>0</v>
      </c>
      <c r="F77" s="144">
        <f t="shared" si="213"/>
        <v>0</v>
      </c>
      <c r="G77" s="144">
        <f t="shared" si="213"/>
        <v>2.5547445255474455</v>
      </c>
      <c r="H77" s="144">
        <f t="shared" si="213"/>
        <v>2.6068821689259645</v>
      </c>
      <c r="I77" s="144">
        <f t="shared" si="213"/>
        <v>2.9197080291970803</v>
      </c>
      <c r="J77" s="144">
        <f t="shared" si="213"/>
        <v>4.3795620437956204</v>
      </c>
      <c r="K77" s="144">
        <f t="shared" si="213"/>
        <v>4.2752867570385815</v>
      </c>
      <c r="L77" s="144">
        <f t="shared" si="213"/>
        <v>13.347236704900938</v>
      </c>
      <c r="M77" s="144">
        <f t="shared" si="213"/>
        <v>51.6162669447341</v>
      </c>
      <c r="N77" s="144">
        <f t="shared" si="213"/>
        <v>52.86757038581856</v>
      </c>
      <c r="O77" s="144">
        <f t="shared" si="213"/>
        <v>52.24191866527633</v>
      </c>
      <c r="P77" s="144">
        <f t="shared" si="213"/>
        <v>59.12408759124088</v>
      </c>
      <c r="Q77" s="118">
        <f>((P77/G77)^(1/($H$2-$H$1) ))-1</f>
        <v>0.41775728016006908</v>
      </c>
      <c r="R77" s="128"/>
      <c r="S77" s="146">
        <f t="shared" ref="S77:AB77" si="214">S23/S42</f>
        <v>6.5204999999999993</v>
      </c>
      <c r="T77" s="146">
        <f t="shared" si="214"/>
        <v>7.4243316831683153</v>
      </c>
      <c r="U77" s="146">
        <f t="shared" si="214"/>
        <v>8.4534469659837246</v>
      </c>
      <c r="V77" s="146">
        <f t="shared" si="214"/>
        <v>9.6252118919616656</v>
      </c>
      <c r="W77" s="146">
        <f t="shared" si="214"/>
        <v>10.959399678966253</v>
      </c>
      <c r="X77" s="146">
        <f t="shared" si="214"/>
        <v>12.478524386941775</v>
      </c>
      <c r="Y77" s="146">
        <f t="shared" si="214"/>
        <v>14.208220836616871</v>
      </c>
      <c r="Z77" s="146">
        <f t="shared" si="214"/>
        <v>16.177677190207326</v>
      </c>
      <c r="AA77" s="146">
        <f t="shared" si="214"/>
        <v>18.420127493800422</v>
      </c>
      <c r="AB77" s="146">
        <f t="shared" si="214"/>
        <v>20.973412492941073</v>
      </c>
      <c r="AC77" s="138">
        <f t="shared" ref="AC77" si="215">((AB77/G77)^(1/($AB$3-$H$1) ))-1</f>
        <v>0.11717752618799993</v>
      </c>
      <c r="AD77" s="31">
        <f t="shared" si="17"/>
        <v>0.05</v>
      </c>
      <c r="AE77" s="146">
        <f t="shared" si="171"/>
        <v>129.54166539757725</v>
      </c>
    </row>
    <row r="78" spans="2:31" x14ac:dyDescent="0.2">
      <c r="B78" s="20"/>
      <c r="C78" s="127"/>
      <c r="D78" s="127"/>
      <c r="E78" s="127"/>
      <c r="F78" s="144"/>
      <c r="G78" s="144"/>
      <c r="H78" s="144"/>
      <c r="I78" s="144"/>
      <c r="J78" s="144"/>
      <c r="K78" s="144"/>
      <c r="L78" s="144"/>
      <c r="M78" s="144"/>
      <c r="N78" s="144"/>
      <c r="O78" s="144"/>
      <c r="P78" s="144"/>
      <c r="Q78" s="128"/>
      <c r="R78" s="128"/>
      <c r="S78" s="119"/>
      <c r="T78" s="119"/>
      <c r="U78" s="119"/>
      <c r="V78" s="119"/>
      <c r="W78" s="119"/>
      <c r="X78" s="119"/>
      <c r="Y78" s="119"/>
      <c r="Z78" s="119"/>
      <c r="AA78" s="119"/>
      <c r="AB78" s="119"/>
      <c r="AC78" s="139"/>
      <c r="AD78" s="137"/>
      <c r="AE78" s="154"/>
    </row>
    <row r="79" spans="2:31" x14ac:dyDescent="0.2">
      <c r="B79" s="20" t="s">
        <v>311</v>
      </c>
      <c r="C79" s="144">
        <f t="shared" ref="C79:P79" si="216">C36/C42</f>
        <v>0</v>
      </c>
      <c r="D79" s="144">
        <f t="shared" si="216"/>
        <v>0</v>
      </c>
      <c r="E79" s="144">
        <f t="shared" si="216"/>
        <v>0</v>
      </c>
      <c r="F79" s="144">
        <f t="shared" si="216"/>
        <v>0</v>
      </c>
      <c r="G79" s="144">
        <f t="shared" si="216"/>
        <v>31.803962460896766</v>
      </c>
      <c r="H79" s="144">
        <f t="shared" si="216"/>
        <v>36.079249217935349</v>
      </c>
      <c r="I79" s="144">
        <f t="shared" si="216"/>
        <v>42.02294056308655</v>
      </c>
      <c r="J79" s="144">
        <f t="shared" si="216"/>
        <v>50.677789363920752</v>
      </c>
      <c r="K79" s="144">
        <f t="shared" si="216"/>
        <v>69.44734098018769</v>
      </c>
      <c r="L79" s="144">
        <f t="shared" si="216"/>
        <v>72.992700729927009</v>
      </c>
      <c r="M79" s="144">
        <f t="shared" si="216"/>
        <v>129.09280500521376</v>
      </c>
      <c r="N79" s="144">
        <f t="shared" si="216"/>
        <v>137.43482794577685</v>
      </c>
      <c r="O79" s="144">
        <f t="shared" si="216"/>
        <v>161.00104275286756</v>
      </c>
      <c r="P79" s="144">
        <f t="shared" si="216"/>
        <v>180.60479666319083</v>
      </c>
      <c r="Q79" s="118">
        <f>((P79/G79)^(1/($H$2-$H$1) ))-1</f>
        <v>0.21284510208942842</v>
      </c>
      <c r="R79" s="128"/>
      <c r="S79" s="144">
        <f t="shared" ref="S79:AB79" si="217">S36/S42</f>
        <v>19.917999999999999</v>
      </c>
      <c r="T79" s="144">
        <f t="shared" si="217"/>
        <v>22.678910891089107</v>
      </c>
      <c r="U79" s="144">
        <f t="shared" si="217"/>
        <v>25.822522301735116</v>
      </c>
      <c r="V79" s="144">
        <f t="shared" si="217"/>
        <v>29.401881828708298</v>
      </c>
      <c r="W79" s="144">
        <f t="shared" si="217"/>
        <v>33.477390201004496</v>
      </c>
      <c r="X79" s="144">
        <f t="shared" si="217"/>
        <v>38.117820525896214</v>
      </c>
      <c r="Y79" s="144">
        <f t="shared" si="217"/>
        <v>43.401478816614492</v>
      </c>
      <c r="Z79" s="144">
        <f t="shared" si="217"/>
        <v>49.417525385254123</v>
      </c>
      <c r="AA79" s="144">
        <f t="shared" si="217"/>
        <v>56.267479399051716</v>
      </c>
      <c r="AB79" s="144">
        <f t="shared" si="217"/>
        <v>64.066931989019281</v>
      </c>
      <c r="AC79" s="138">
        <f t="shared" ref="AC79:AC81" si="218">((AB79/G79)^(1/($AB$3-$H$1) ))-1</f>
        <v>3.7547615362068631E-2</v>
      </c>
      <c r="AD79" s="31">
        <f t="shared" si="17"/>
        <v>0.05</v>
      </c>
      <c r="AE79" s="146">
        <f t="shared" si="171"/>
        <v>395.70752110864856</v>
      </c>
    </row>
    <row r="80" spans="2:31" x14ac:dyDescent="0.2">
      <c r="B80" s="20" t="s">
        <v>312</v>
      </c>
      <c r="C80" s="144">
        <f t="shared" ref="C80:P80" si="219">C40/C42</f>
        <v>0</v>
      </c>
      <c r="D80" s="144">
        <f t="shared" si="219"/>
        <v>0</v>
      </c>
      <c r="E80" s="144">
        <f t="shared" si="219"/>
        <v>0</v>
      </c>
      <c r="F80" s="144">
        <f t="shared" si="219"/>
        <v>0</v>
      </c>
      <c r="G80" s="144">
        <f t="shared" si="219"/>
        <v>15.015641293013555</v>
      </c>
      <c r="H80" s="144">
        <f t="shared" si="219"/>
        <v>18.873826903023982</v>
      </c>
      <c r="I80" s="144">
        <f t="shared" si="219"/>
        <v>21.897810218978101</v>
      </c>
      <c r="J80" s="144">
        <f t="shared" si="219"/>
        <v>29.509906152241918</v>
      </c>
      <c r="K80" s="144">
        <f t="shared" si="219"/>
        <v>44.629822732012514</v>
      </c>
      <c r="L80" s="144">
        <f t="shared" si="219"/>
        <v>43.691345151199165</v>
      </c>
      <c r="M80" s="144">
        <f t="shared" si="219"/>
        <v>92.179353493222109</v>
      </c>
      <c r="N80" s="144">
        <f t="shared" si="219"/>
        <v>91.866527632950991</v>
      </c>
      <c r="O80" s="144">
        <f t="shared" si="219"/>
        <v>106.36079249217936</v>
      </c>
      <c r="P80" s="144">
        <f t="shared" si="219"/>
        <v>120.85505735140772</v>
      </c>
      <c r="Q80" s="118">
        <f>((P80/G80)^(1/($H$2-$H$1) ))-1</f>
        <v>0.26076940253026981</v>
      </c>
      <c r="R80" s="128"/>
      <c r="S80" s="144">
        <f t="shared" ref="S80:AB80" si="220">S40/S42</f>
        <v>13.328499999999998</v>
      </c>
      <c r="T80" s="144">
        <f t="shared" si="220"/>
        <v>15.176014851485146</v>
      </c>
      <c r="U80" s="144">
        <f t="shared" si="220"/>
        <v>17.279620870502885</v>
      </c>
      <c r="V80" s="144">
        <f t="shared" si="220"/>
        <v>19.6748158426518</v>
      </c>
      <c r="W80" s="144">
        <f t="shared" si="220"/>
        <v>22.402018038662938</v>
      </c>
      <c r="X80" s="144">
        <f t="shared" si="220"/>
        <v>25.507248261843941</v>
      </c>
      <c r="Y80" s="144">
        <f t="shared" si="220"/>
        <v>29.042906436752997</v>
      </c>
      <c r="Z80" s="144">
        <f t="shared" si="220"/>
        <v>33.068655843827671</v>
      </c>
      <c r="AA80" s="144">
        <f t="shared" si="220"/>
        <v>37.652429921189913</v>
      </c>
      <c r="AB80" s="144">
        <f t="shared" si="220"/>
        <v>42.871578623137033</v>
      </c>
      <c r="AC80" s="138">
        <f t="shared" si="218"/>
        <v>5.6769558060232539E-2</v>
      </c>
      <c r="AD80" s="31">
        <f t="shared" si="17"/>
        <v>0.05</v>
      </c>
      <c r="AE80" s="146">
        <f t="shared" si="171"/>
        <v>264.79504443702291</v>
      </c>
    </row>
    <row r="81" spans="2:31" x14ac:dyDescent="0.2">
      <c r="B81" s="20" t="s">
        <v>313</v>
      </c>
      <c r="C81" s="144">
        <f t="shared" ref="C81:P81" si="221">C6/C42</f>
        <v>0</v>
      </c>
      <c r="D81" s="144">
        <f t="shared" si="221"/>
        <v>0</v>
      </c>
      <c r="E81" s="144">
        <f t="shared" si="221"/>
        <v>0</v>
      </c>
      <c r="F81" s="144">
        <f t="shared" si="221"/>
        <v>0</v>
      </c>
      <c r="G81" s="144">
        <f t="shared" si="221"/>
        <v>45.151199165797706</v>
      </c>
      <c r="H81" s="144">
        <f t="shared" si="221"/>
        <v>49.113660062565174</v>
      </c>
      <c r="I81" s="144">
        <f t="shared" si="221"/>
        <v>57.35140771637122</v>
      </c>
      <c r="J81" s="144">
        <f t="shared" si="221"/>
        <v>71.115745568300312</v>
      </c>
      <c r="K81" s="144">
        <f t="shared" si="221"/>
        <v>92.387904066736183</v>
      </c>
      <c r="L81" s="144">
        <f t="shared" si="221"/>
        <v>115.43274244004171</v>
      </c>
      <c r="M81" s="144">
        <f t="shared" si="221"/>
        <v>168.30031282586026</v>
      </c>
      <c r="N81" s="144">
        <f t="shared" si="221"/>
        <v>218.03962460896767</v>
      </c>
      <c r="O81" s="144">
        <f t="shared" si="221"/>
        <v>276.53806047966634</v>
      </c>
      <c r="P81" s="144">
        <f t="shared" si="221"/>
        <v>342.85714285714289</v>
      </c>
      <c r="Q81" s="118">
        <f>((P81/G81)^(1/($H$2-$H$1) ))-1</f>
        <v>0.2526423814903076</v>
      </c>
      <c r="R81" s="128"/>
      <c r="S81" s="144">
        <f t="shared" ref="S81:AB81" si="222">S6/S42</f>
        <v>37.811999999999998</v>
      </c>
      <c r="T81" s="144">
        <f t="shared" si="222"/>
        <v>43.053267326732666</v>
      </c>
      <c r="U81" s="144">
        <f t="shared" si="222"/>
        <v>49.021046956180754</v>
      </c>
      <c r="V81" s="144">
        <f t="shared" si="222"/>
        <v>55.816043563968179</v>
      </c>
      <c r="W81" s="144">
        <f t="shared" si="222"/>
        <v>63.55292088966673</v>
      </c>
      <c r="X81" s="144">
        <f t="shared" si="222"/>
        <v>72.362236656551232</v>
      </c>
      <c r="Y81" s="144">
        <f t="shared" si="222"/>
        <v>82.392645698053371</v>
      </c>
      <c r="Z81" s="144">
        <f t="shared" si="222"/>
        <v>93.813408468080581</v>
      </c>
      <c r="AA81" s="144">
        <f t="shared" si="222"/>
        <v>106.81724726563628</v>
      </c>
      <c r="AB81" s="144">
        <f t="shared" si="222"/>
        <v>121.62359837176407</v>
      </c>
      <c r="AC81" s="138">
        <f t="shared" si="218"/>
        <v>5.3537319300153596E-2</v>
      </c>
      <c r="AD81" s="31">
        <f t="shared" ref="AD81" si="223">$L$1</f>
        <v>0.05</v>
      </c>
      <c r="AE81" s="146">
        <f t="shared" si="171"/>
        <v>751.20457817854287</v>
      </c>
    </row>
    <row r="82" spans="2:31" x14ac:dyDescent="0.2">
      <c r="B82" s="20"/>
      <c r="C82" s="127"/>
      <c r="D82" s="127"/>
      <c r="E82" s="127"/>
      <c r="F82" s="144"/>
      <c r="G82" s="144"/>
      <c r="H82" s="144"/>
      <c r="I82" s="144"/>
      <c r="J82" s="144"/>
      <c r="K82" s="144"/>
      <c r="L82" s="144"/>
      <c r="M82" s="144"/>
      <c r="N82" s="144"/>
      <c r="O82" s="144"/>
      <c r="P82" s="144"/>
      <c r="Q82" s="128"/>
      <c r="R82" s="128"/>
      <c r="S82" s="119"/>
      <c r="T82" s="119"/>
      <c r="U82" s="119"/>
      <c r="V82" s="119"/>
      <c r="W82" s="119"/>
      <c r="X82" s="119"/>
      <c r="Y82" s="119"/>
      <c r="Z82" s="119"/>
      <c r="AA82" s="119"/>
      <c r="AB82" s="119"/>
      <c r="AC82" s="139"/>
      <c r="AD82" s="20"/>
      <c r="AE82" s="154"/>
    </row>
    <row r="83" spans="2:31" x14ac:dyDescent="0.2">
      <c r="B83" s="20"/>
      <c r="C83" s="127"/>
      <c r="D83" s="127"/>
      <c r="E83" s="127"/>
      <c r="F83" s="144"/>
      <c r="G83" s="144"/>
      <c r="H83" s="144"/>
      <c r="I83" s="144"/>
      <c r="J83" s="144"/>
      <c r="K83" s="144"/>
      <c r="L83" s="144"/>
      <c r="M83" s="144"/>
      <c r="N83" s="144"/>
      <c r="O83" s="144"/>
      <c r="P83" s="144"/>
      <c r="Q83" s="128"/>
      <c r="R83" s="128"/>
      <c r="S83" s="119"/>
      <c r="T83" s="119"/>
      <c r="U83" s="119"/>
      <c r="V83" s="119"/>
      <c r="W83" s="119"/>
      <c r="X83" s="119"/>
      <c r="Y83" s="119"/>
      <c r="Z83" s="119"/>
      <c r="AA83" s="119"/>
      <c r="AB83" s="119"/>
      <c r="AC83" s="139"/>
      <c r="AD83" s="20"/>
      <c r="AE83" s="154"/>
    </row>
    <row r="84" spans="2:31" x14ac:dyDescent="0.2">
      <c r="B84" s="108" t="s">
        <v>310</v>
      </c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</row>
    <row r="85" spans="2:31" x14ac:dyDescent="0.2">
      <c r="B85" s="20" t="s">
        <v>309</v>
      </c>
      <c r="C85" s="152"/>
      <c r="D85" s="152"/>
      <c r="E85" s="152" t="e">
        <f t="shared" ref="E85:P85" si="224">E36/E25</f>
        <v>#DIV/0!</v>
      </c>
      <c r="F85" s="152" t="e">
        <f t="shared" si="224"/>
        <v>#DIV/0!</v>
      </c>
      <c r="G85" s="152">
        <f t="shared" si="224"/>
        <v>0.13652641002685764</v>
      </c>
      <c r="H85" s="152">
        <f t="shared" si="224"/>
        <v>0.13032015065913372</v>
      </c>
      <c r="I85" s="152">
        <f t="shared" si="224"/>
        <v>0.13208784005244181</v>
      </c>
      <c r="J85" s="152">
        <f t="shared" si="224"/>
        <v>0.12310030395136778</v>
      </c>
      <c r="K85" s="152">
        <f t="shared" si="224"/>
        <v>0.14233810643299849</v>
      </c>
      <c r="L85" s="152">
        <f t="shared" si="224"/>
        <v>0.1217603061401983</v>
      </c>
      <c r="M85" s="152">
        <f t="shared" si="224"/>
        <v>0.17180127671384957</v>
      </c>
      <c r="N85" s="152">
        <f t="shared" si="224"/>
        <v>0.15983507154984236</v>
      </c>
      <c r="O85" s="152">
        <f t="shared" si="224"/>
        <v>0.15023839641918849</v>
      </c>
      <c r="P85" s="152">
        <f t="shared" si="224"/>
        <v>0.14758009543285616</v>
      </c>
      <c r="Q85" s="118">
        <f t="shared" ref="Q85:Q135" si="225">((P85/G85)^(1/($H$2-$H$1) ))-1</f>
        <v>8.6878524798743584E-3</v>
      </c>
      <c r="R85" s="152"/>
      <c r="S85" s="152">
        <f t="shared" ref="S85:AB85" si="226">S36/S25</f>
        <v>0.14758009543285616</v>
      </c>
      <c r="T85" s="152">
        <f t="shared" si="226"/>
        <v>0.14758009543285616</v>
      </c>
      <c r="U85" s="152">
        <f t="shared" si="226"/>
        <v>0.14758009543285616</v>
      </c>
      <c r="V85" s="152">
        <f t="shared" si="226"/>
        <v>0.14758009543285616</v>
      </c>
      <c r="W85" s="152">
        <f t="shared" si="226"/>
        <v>0.14758009543285616</v>
      </c>
      <c r="X85" s="152">
        <f t="shared" si="226"/>
        <v>0.14758009543285616</v>
      </c>
      <c r="Y85" s="152">
        <f t="shared" si="226"/>
        <v>0.14758009543285616</v>
      </c>
      <c r="Z85" s="152">
        <f t="shared" si="226"/>
        <v>0.14758009543285616</v>
      </c>
      <c r="AA85" s="152">
        <f t="shared" si="226"/>
        <v>0.14758009543285616</v>
      </c>
      <c r="AB85" s="152">
        <f t="shared" si="226"/>
        <v>0.14758009543285616</v>
      </c>
      <c r="AC85" s="138">
        <f t="shared" ref="AC85:AC122" si="227">((AB85/G85)^(1/($AB$3-$H$1) ))-1</f>
        <v>4.1059311917983621E-3</v>
      </c>
      <c r="AD85" s="146"/>
      <c r="AE85" s="146"/>
    </row>
    <row r="86" spans="2:31" x14ac:dyDescent="0.2">
      <c r="B86" s="20" t="s">
        <v>266</v>
      </c>
      <c r="C86" s="152"/>
      <c r="D86" s="152"/>
      <c r="E86" s="152" t="e">
        <f t="shared" ref="E86:P86" si="228">E40/E25</f>
        <v>#DIV/0!</v>
      </c>
      <c r="F86" s="152" t="e">
        <f t="shared" si="228"/>
        <v>#DIV/0!</v>
      </c>
      <c r="G86" s="152">
        <f t="shared" si="228"/>
        <v>6.445837063563116E-2</v>
      </c>
      <c r="H86" s="152">
        <f t="shared" si="228"/>
        <v>6.8173258003766474E-2</v>
      </c>
      <c r="I86" s="152">
        <f t="shared" si="228"/>
        <v>6.88298918387414E-2</v>
      </c>
      <c r="J86" s="152">
        <f t="shared" si="228"/>
        <v>7.1681864235055723E-2</v>
      </c>
      <c r="K86" s="152">
        <f t="shared" si="228"/>
        <v>9.1472536866851889E-2</v>
      </c>
      <c r="L86" s="152">
        <f t="shared" si="228"/>
        <v>7.288224038963298E-2</v>
      </c>
      <c r="M86" s="152">
        <f t="shared" si="228"/>
        <v>0.12267554815431585</v>
      </c>
      <c r="N86" s="152">
        <f t="shared" si="228"/>
        <v>0.10683967984477322</v>
      </c>
      <c r="O86" s="152">
        <f t="shared" si="228"/>
        <v>9.9250754111121928E-2</v>
      </c>
      <c r="P86" s="152">
        <f t="shared" si="228"/>
        <v>9.8755964553510572E-2</v>
      </c>
      <c r="Q86" s="118">
        <f t="shared" si="225"/>
        <v>4.8545093614783985E-2</v>
      </c>
      <c r="R86" s="152"/>
      <c r="S86" s="152">
        <f t="shared" ref="S86:AB86" si="229">S40/S25</f>
        <v>9.8755964553510558E-2</v>
      </c>
      <c r="T86" s="152">
        <f t="shared" si="229"/>
        <v>9.8755964553510558E-2</v>
      </c>
      <c r="U86" s="152">
        <f t="shared" si="229"/>
        <v>9.8755964553510558E-2</v>
      </c>
      <c r="V86" s="152">
        <f t="shared" si="229"/>
        <v>9.8755964553510558E-2</v>
      </c>
      <c r="W86" s="152">
        <f t="shared" si="229"/>
        <v>9.8755964553510545E-2</v>
      </c>
      <c r="X86" s="152">
        <f t="shared" si="229"/>
        <v>9.8755964553510558E-2</v>
      </c>
      <c r="Y86" s="152">
        <f t="shared" si="229"/>
        <v>9.8755964553510558E-2</v>
      </c>
      <c r="Z86" s="152">
        <f t="shared" si="229"/>
        <v>9.8755964553510558E-2</v>
      </c>
      <c r="AA86" s="152">
        <f t="shared" si="229"/>
        <v>9.8755964553510558E-2</v>
      </c>
      <c r="AB86" s="152">
        <f t="shared" si="229"/>
        <v>9.8755964553510558E-2</v>
      </c>
      <c r="AC86" s="138">
        <f t="shared" si="227"/>
        <v>2.2708322432917427E-2</v>
      </c>
      <c r="AD86" s="146"/>
      <c r="AE86" s="146"/>
    </row>
    <row r="87" spans="2:31" x14ac:dyDescent="0.2">
      <c r="B87" s="20" t="s">
        <v>359</v>
      </c>
      <c r="C87" s="152"/>
      <c r="D87" s="152"/>
      <c r="E87" s="152" t="e">
        <f t="shared" ref="E87:O87" si="230">E40/E7</f>
        <v>#DIV/0!</v>
      </c>
      <c r="F87" s="152" t="e">
        <f t="shared" si="230"/>
        <v>#DIV/0!</v>
      </c>
      <c r="G87" s="152">
        <f>G40/G7</f>
        <v>0.27221172022684309</v>
      </c>
      <c r="H87" s="152">
        <f t="shared" si="230"/>
        <v>0.31922398589065254</v>
      </c>
      <c r="I87" s="152">
        <f t="shared" si="230"/>
        <v>0.32507739938080493</v>
      </c>
      <c r="J87" s="152">
        <f t="shared" si="230"/>
        <v>0.3642213642213642</v>
      </c>
      <c r="K87" s="152">
        <f t="shared" si="230"/>
        <v>0.43584521384928715</v>
      </c>
      <c r="L87" s="152">
        <f t="shared" si="230"/>
        <v>0.3482959268495428</v>
      </c>
      <c r="M87" s="152">
        <f t="shared" si="230"/>
        <v>0.51726155646576943</v>
      </c>
      <c r="N87" s="152">
        <f t="shared" si="230"/>
        <v>0.4028349336991312</v>
      </c>
      <c r="O87" s="152">
        <f t="shared" si="230"/>
        <v>0.37117903930131002</v>
      </c>
      <c r="P87" s="152">
        <f t="shared" ref="P87" si="231">P40/P7</f>
        <v>0.34249408983451535</v>
      </c>
      <c r="Q87" s="118">
        <f t="shared" si="225"/>
        <v>2.5847768188840936E-2</v>
      </c>
      <c r="R87" s="20"/>
      <c r="S87" s="152">
        <f t="shared" ref="S87" si="232">S40/S7</f>
        <v>0.34249408983451535</v>
      </c>
      <c r="T87" s="152">
        <f t="shared" ref="T87:AB87" si="233">T40/T7</f>
        <v>0.34249408983451535</v>
      </c>
      <c r="U87" s="152">
        <f t="shared" si="233"/>
        <v>0.34249408983451535</v>
      </c>
      <c r="V87" s="152">
        <f t="shared" si="233"/>
        <v>0.34249408983451535</v>
      </c>
      <c r="W87" s="152">
        <f t="shared" si="233"/>
        <v>0.34249408983451535</v>
      </c>
      <c r="X87" s="152">
        <f t="shared" si="233"/>
        <v>0.34249408983451535</v>
      </c>
      <c r="Y87" s="152">
        <f t="shared" si="233"/>
        <v>0.34249408983451535</v>
      </c>
      <c r="Z87" s="152">
        <f t="shared" si="233"/>
        <v>0.34249408983451535</v>
      </c>
      <c r="AA87" s="152">
        <f t="shared" si="233"/>
        <v>0.3424940898345154</v>
      </c>
      <c r="AB87" s="152">
        <f t="shared" si="233"/>
        <v>0.3424940898345154</v>
      </c>
      <c r="AC87" s="138">
        <f t="shared" si="227"/>
        <v>1.2161475268391619E-2</v>
      </c>
      <c r="AD87" s="146"/>
      <c r="AE87" s="146"/>
    </row>
    <row r="88" spans="2:31" x14ac:dyDescent="0.2">
      <c r="B88" s="20" t="s">
        <v>360</v>
      </c>
      <c r="C88" s="152"/>
      <c r="D88" s="152"/>
      <c r="E88" s="152" t="e">
        <f t="shared" ref="E88:F88" si="234">(E40)/(E7+E10)</f>
        <v>#DIV/0!</v>
      </c>
      <c r="F88" s="152" t="e">
        <f t="shared" si="234"/>
        <v>#DIV/0!</v>
      </c>
      <c r="G88" s="152">
        <f>(G40)/(G7+G10)</f>
        <v>0.20630372492836677</v>
      </c>
      <c r="H88" s="152">
        <f t="shared" ref="H88:O88" si="235">(H40)/(H7+H10)</f>
        <v>0.22998729351969505</v>
      </c>
      <c r="I88" s="152">
        <f t="shared" si="235"/>
        <v>0.23648648648648649</v>
      </c>
      <c r="J88" s="152">
        <f t="shared" si="235"/>
        <v>0.26572769953051645</v>
      </c>
      <c r="K88" s="152">
        <f t="shared" si="235"/>
        <v>0.34543987086359967</v>
      </c>
      <c r="L88" s="152">
        <f t="shared" si="235"/>
        <v>0.27896138482023969</v>
      </c>
      <c r="M88" s="152">
        <f t="shared" si="235"/>
        <v>0.45684754521963822</v>
      </c>
      <c r="N88" s="152">
        <f t="shared" si="235"/>
        <v>0.3640495867768595</v>
      </c>
      <c r="O88" s="152">
        <f t="shared" si="235"/>
        <v>0.33084657800843337</v>
      </c>
      <c r="P88" s="152">
        <f t="shared" ref="P88" si="236">(P40)/(P7+P10)</f>
        <v>0.32007732670533001</v>
      </c>
      <c r="Q88" s="118">
        <f t="shared" si="225"/>
        <v>5.0011860311136358E-2</v>
      </c>
      <c r="R88" s="20"/>
      <c r="S88" s="152">
        <f t="shared" ref="S88:AB88" si="237">(S40)/(S7+S10)</f>
        <v>0.32007732670533001</v>
      </c>
      <c r="T88" s="152">
        <f t="shared" si="237"/>
        <v>0.32007732670533001</v>
      </c>
      <c r="U88" s="152">
        <f t="shared" si="237"/>
        <v>0.32007732670533001</v>
      </c>
      <c r="V88" s="152">
        <f t="shared" si="237"/>
        <v>0.32007732670533001</v>
      </c>
      <c r="W88" s="152">
        <f t="shared" si="237"/>
        <v>0.32007732670533001</v>
      </c>
      <c r="X88" s="152">
        <f t="shared" si="237"/>
        <v>0.32007732670533001</v>
      </c>
      <c r="Y88" s="152">
        <f t="shared" si="237"/>
        <v>0.32007732670533001</v>
      </c>
      <c r="Z88" s="152">
        <f t="shared" si="237"/>
        <v>0.32007732670533001</v>
      </c>
      <c r="AA88" s="152">
        <f t="shared" si="237"/>
        <v>0.32007732670533001</v>
      </c>
      <c r="AB88" s="152">
        <f t="shared" si="237"/>
        <v>0.32007732670533001</v>
      </c>
      <c r="AC88" s="138">
        <f t="shared" si="227"/>
        <v>2.3385737478404112E-2</v>
      </c>
      <c r="AD88" s="146"/>
      <c r="AE88" s="146"/>
    </row>
    <row r="89" spans="2:31" x14ac:dyDescent="0.2">
      <c r="B89" s="20" t="s">
        <v>376</v>
      </c>
      <c r="C89" s="152"/>
      <c r="D89" s="152"/>
      <c r="E89" s="152"/>
      <c r="F89" s="152"/>
      <c r="G89" s="152">
        <f>G20/G25</f>
        <v>0.10877350044762757</v>
      </c>
      <c r="H89" s="152">
        <f t="shared" ref="H89:P89" si="238">H20/H25</f>
        <v>5.9133709981167605E-2</v>
      </c>
      <c r="I89" s="152">
        <f t="shared" si="238"/>
        <v>7.1779744346116031E-2</v>
      </c>
      <c r="J89" s="152">
        <f t="shared" si="238"/>
        <v>7.9027355623100301E-2</v>
      </c>
      <c r="K89" s="152">
        <f t="shared" si="238"/>
        <v>9.7670442402222696E-2</v>
      </c>
      <c r="L89" s="152">
        <f t="shared" si="238"/>
        <v>5.6531570707949209E-2</v>
      </c>
      <c r="M89" s="152">
        <f t="shared" si="238"/>
        <v>0.11754093810713294</v>
      </c>
      <c r="N89" s="152">
        <f t="shared" si="238"/>
        <v>9.0104292990540874E-2</v>
      </c>
      <c r="O89" s="152">
        <f t="shared" si="238"/>
        <v>7.3270409652622367E-2</v>
      </c>
      <c r="P89" s="152">
        <f t="shared" si="238"/>
        <v>9.2109747784594409E-2</v>
      </c>
      <c r="Q89" s="118">
        <f t="shared" si="225"/>
        <v>-1.8306688554781236E-2</v>
      </c>
      <c r="R89" s="20"/>
      <c r="S89" s="152">
        <f t="shared" ref="S89:AB89" si="239">S20/S25</f>
        <v>9.2109747784594409E-2</v>
      </c>
      <c r="T89" s="152">
        <f t="shared" si="239"/>
        <v>9.2109747784594395E-2</v>
      </c>
      <c r="U89" s="152">
        <f t="shared" si="239"/>
        <v>9.2109747784594395E-2</v>
      </c>
      <c r="V89" s="152">
        <f t="shared" si="239"/>
        <v>9.2109747784594395E-2</v>
      </c>
      <c r="W89" s="152">
        <f t="shared" si="239"/>
        <v>9.2109747784594409E-2</v>
      </c>
      <c r="X89" s="152">
        <f t="shared" si="239"/>
        <v>9.2109747784594409E-2</v>
      </c>
      <c r="Y89" s="152">
        <f t="shared" si="239"/>
        <v>9.2109747784594409E-2</v>
      </c>
      <c r="Z89" s="152">
        <f t="shared" si="239"/>
        <v>9.2109747784594409E-2</v>
      </c>
      <c r="AA89" s="152">
        <f t="shared" si="239"/>
        <v>9.2109747784594409E-2</v>
      </c>
      <c r="AB89" s="152">
        <f t="shared" si="239"/>
        <v>9.2109747784594409E-2</v>
      </c>
      <c r="AC89" s="138">
        <f t="shared" si="227"/>
        <v>-8.7137587818706397E-3</v>
      </c>
      <c r="AD89" s="146"/>
      <c r="AE89" s="146"/>
    </row>
    <row r="90" spans="2:31" x14ac:dyDescent="0.2">
      <c r="B90" s="20"/>
      <c r="C90" s="152"/>
      <c r="D90" s="152"/>
      <c r="E90" s="152"/>
      <c r="F90" s="152"/>
      <c r="G90" s="152"/>
      <c r="H90" s="152"/>
      <c r="I90" s="152"/>
      <c r="J90" s="152"/>
      <c r="K90" s="152"/>
      <c r="L90" s="152"/>
      <c r="M90" s="152"/>
      <c r="N90" s="152"/>
      <c r="O90" s="152"/>
      <c r="P90" s="152"/>
      <c r="Q90" s="152"/>
      <c r="R90" s="20"/>
      <c r="S90" s="152"/>
      <c r="T90" s="152"/>
      <c r="U90" s="152"/>
      <c r="V90" s="152"/>
      <c r="W90" s="152"/>
      <c r="X90" s="152"/>
      <c r="Y90" s="152"/>
      <c r="Z90" s="152"/>
      <c r="AA90" s="152"/>
      <c r="AB90" s="152"/>
      <c r="AC90" s="3"/>
      <c r="AD90" s="146"/>
      <c r="AE90" s="146"/>
    </row>
    <row r="91" spans="2:31" x14ac:dyDescent="0.2">
      <c r="B91" s="20" t="s">
        <v>323</v>
      </c>
      <c r="C91" s="152"/>
      <c r="D91" s="152"/>
      <c r="E91" s="152"/>
      <c r="F91" s="152"/>
      <c r="G91" s="152">
        <f>G29/G25</f>
        <v>6.7144136078782449E-3</v>
      </c>
      <c r="H91" s="152">
        <f t="shared" ref="H91:P91" si="240">H29/H25</f>
        <v>4.1431261770244823E-3</v>
      </c>
      <c r="I91" s="152">
        <f t="shared" si="240"/>
        <v>3.6053752867912158E-3</v>
      </c>
      <c r="J91" s="152">
        <f t="shared" si="240"/>
        <v>6.0790273556231003E-3</v>
      </c>
      <c r="K91" s="152">
        <f t="shared" si="240"/>
        <v>5.5567428937807221E-3</v>
      </c>
      <c r="L91" s="152">
        <f t="shared" si="240"/>
        <v>5.5661854235519222E-3</v>
      </c>
      <c r="M91" s="152">
        <f t="shared" si="240"/>
        <v>4.9958368026644462E-3</v>
      </c>
      <c r="N91" s="152">
        <f t="shared" si="240"/>
        <v>3.0317729808391949E-3</v>
      </c>
      <c r="O91" s="152">
        <f t="shared" si="240"/>
        <v>3.6975771139437577E-3</v>
      </c>
      <c r="P91" s="152">
        <f t="shared" si="240"/>
        <v>3.1186094069529653E-3</v>
      </c>
      <c r="Q91" s="118">
        <f t="shared" si="225"/>
        <v>-8.1678470880065412E-2</v>
      </c>
      <c r="R91" s="20"/>
      <c r="S91" s="152">
        <f t="shared" ref="S91:AB91" si="241">S29/S25</f>
        <v>3.1186094069529649E-3</v>
      </c>
      <c r="T91" s="152">
        <f t="shared" si="241"/>
        <v>3.1186094069529653E-3</v>
      </c>
      <c r="U91" s="152">
        <f t="shared" si="241"/>
        <v>3.1186094069529649E-3</v>
      </c>
      <c r="V91" s="152">
        <f t="shared" si="241"/>
        <v>3.1186094069529653E-3</v>
      </c>
      <c r="W91" s="152">
        <f t="shared" si="241"/>
        <v>3.1186094069529653E-3</v>
      </c>
      <c r="X91" s="152">
        <f t="shared" si="241"/>
        <v>3.1186094069529653E-3</v>
      </c>
      <c r="Y91" s="152">
        <f t="shared" si="241"/>
        <v>3.1186094069529653E-3</v>
      </c>
      <c r="Z91" s="152">
        <f t="shared" si="241"/>
        <v>3.1186094069529653E-3</v>
      </c>
      <c r="AA91" s="152">
        <f t="shared" si="241"/>
        <v>3.1186094069529653E-3</v>
      </c>
      <c r="AB91" s="152">
        <f t="shared" si="241"/>
        <v>3.1186094069529653E-3</v>
      </c>
      <c r="AC91" s="138">
        <f t="shared" si="227"/>
        <v>-3.9557863943017857E-2</v>
      </c>
      <c r="AD91" s="146"/>
      <c r="AE91" s="146"/>
    </row>
    <row r="92" spans="2:31" x14ac:dyDescent="0.2">
      <c r="B92" s="20" t="s">
        <v>369</v>
      </c>
      <c r="C92" s="152"/>
      <c r="D92" s="152"/>
      <c r="E92" s="152"/>
      <c r="F92" s="152"/>
      <c r="G92" s="152">
        <f>G29/G36</f>
        <v>4.9180327868852458E-2</v>
      </c>
      <c r="H92" s="152">
        <f t="shared" ref="H92:P92" si="242">H29/H36</f>
        <v>3.1791907514450865E-2</v>
      </c>
      <c r="I92" s="152">
        <f t="shared" si="242"/>
        <v>2.729528535980149E-2</v>
      </c>
      <c r="J92" s="152">
        <f t="shared" si="242"/>
        <v>4.9382716049382713E-2</v>
      </c>
      <c r="K92" s="152">
        <f t="shared" si="242"/>
        <v>3.903903903903904E-2</v>
      </c>
      <c r="L92" s="152">
        <f t="shared" si="242"/>
        <v>4.5714285714285714E-2</v>
      </c>
      <c r="M92" s="152">
        <f t="shared" si="242"/>
        <v>2.9079159935379646E-2</v>
      </c>
      <c r="N92" s="152">
        <f t="shared" si="242"/>
        <v>1.8968133535660091E-2</v>
      </c>
      <c r="O92" s="152">
        <f t="shared" si="242"/>
        <v>2.4611398963730571E-2</v>
      </c>
      <c r="P92" s="152">
        <f t="shared" si="242"/>
        <v>2.1131639722863742E-2</v>
      </c>
      <c r="Q92" s="118">
        <f t="shared" ref="Q92" si="243">((P92/G92)^(1/($H$2-$H$1) ))-1</f>
        <v>-8.9587996066149422E-2</v>
      </c>
      <c r="R92" s="20"/>
      <c r="S92" s="152">
        <f t="shared" ref="S92:AB92" si="244">S29/S36</f>
        <v>2.1131639722863738E-2</v>
      </c>
      <c r="T92" s="152">
        <f t="shared" si="244"/>
        <v>2.1131639722863742E-2</v>
      </c>
      <c r="U92" s="152">
        <f t="shared" si="244"/>
        <v>2.1131639722863742E-2</v>
      </c>
      <c r="V92" s="152">
        <f t="shared" si="244"/>
        <v>2.1131639722863742E-2</v>
      </c>
      <c r="W92" s="152">
        <f t="shared" si="244"/>
        <v>2.1131639722863742E-2</v>
      </c>
      <c r="X92" s="152">
        <f t="shared" si="244"/>
        <v>2.1131639722863742E-2</v>
      </c>
      <c r="Y92" s="152">
        <f t="shared" si="244"/>
        <v>2.1131639722863742E-2</v>
      </c>
      <c r="Z92" s="152">
        <f t="shared" si="244"/>
        <v>2.1131639722863742E-2</v>
      </c>
      <c r="AA92" s="152">
        <f t="shared" si="244"/>
        <v>2.1131639722863745E-2</v>
      </c>
      <c r="AB92" s="152">
        <f t="shared" si="244"/>
        <v>2.1131639722863742E-2</v>
      </c>
      <c r="AC92" s="138">
        <f t="shared" ref="AC92" si="245">((AB92/G92)^(1/($AB$3-$H$1) ))-1</f>
        <v>-4.348524769990203E-2</v>
      </c>
      <c r="AD92" s="146"/>
      <c r="AE92" s="146"/>
    </row>
    <row r="93" spans="2:31" ht="12" customHeight="1" x14ac:dyDescent="0.2">
      <c r="B93" s="20" t="s">
        <v>368</v>
      </c>
      <c r="C93" s="152"/>
      <c r="D93" s="152"/>
      <c r="E93" s="152"/>
      <c r="F93" s="152"/>
      <c r="G93" s="171">
        <f t="shared" ref="G93:P93" si="246">G29/G40</f>
        <v>0.10416666666666667</v>
      </c>
      <c r="H93" s="171">
        <f t="shared" si="246"/>
        <v>6.0773480662983423E-2</v>
      </c>
      <c r="I93" s="171">
        <f t="shared" si="246"/>
        <v>5.2380952380952382E-2</v>
      </c>
      <c r="J93" s="171">
        <f t="shared" si="246"/>
        <v>8.4805653710247356E-2</v>
      </c>
      <c r="K93" s="171">
        <f t="shared" si="246"/>
        <v>6.0747663551401869E-2</v>
      </c>
      <c r="L93" s="171">
        <f t="shared" si="246"/>
        <v>7.6372315035799526E-2</v>
      </c>
      <c r="M93" s="171">
        <f t="shared" si="246"/>
        <v>4.072398190045249E-2</v>
      </c>
      <c r="N93" s="171">
        <f t="shared" si="246"/>
        <v>2.8376844494892167E-2</v>
      </c>
      <c r="O93" s="171">
        <f t="shared" si="246"/>
        <v>3.7254901960784313E-2</v>
      </c>
      <c r="P93" s="171">
        <f t="shared" si="246"/>
        <v>3.1578947368421054E-2</v>
      </c>
      <c r="Q93" s="118">
        <f t="shared" ref="Q93" si="247">((P93/G93)^(1/($H$2-$H$1) ))-1</f>
        <v>-0.12419452943689147</v>
      </c>
      <c r="R93" s="20"/>
      <c r="S93" s="171">
        <f t="shared" ref="S93:AB93" si="248">S29/S40</f>
        <v>3.1578947368421054E-2</v>
      </c>
      <c r="T93" s="171">
        <f t="shared" si="248"/>
        <v>3.1578947368421054E-2</v>
      </c>
      <c r="U93" s="171">
        <f t="shared" si="248"/>
        <v>3.1578947368421054E-2</v>
      </c>
      <c r="V93" s="171">
        <f t="shared" si="248"/>
        <v>3.1578947368421054E-2</v>
      </c>
      <c r="W93" s="171">
        <f t="shared" si="248"/>
        <v>3.1578947368421061E-2</v>
      </c>
      <c r="X93" s="171">
        <f t="shared" si="248"/>
        <v>3.1578947368421054E-2</v>
      </c>
      <c r="Y93" s="171">
        <f t="shared" si="248"/>
        <v>3.1578947368421054E-2</v>
      </c>
      <c r="Z93" s="171">
        <f t="shared" si="248"/>
        <v>3.1578947368421054E-2</v>
      </c>
      <c r="AA93" s="171">
        <f t="shared" si="248"/>
        <v>3.1578947368421061E-2</v>
      </c>
      <c r="AB93" s="171">
        <f t="shared" si="248"/>
        <v>3.1578947368421054E-2</v>
      </c>
      <c r="AC93" s="138">
        <f t="shared" ref="AC93" si="249">((AB93/G93)^(1/($AB$3-$H$1) ))-1</f>
        <v>-6.0883621468739491E-2</v>
      </c>
      <c r="AD93" s="146"/>
      <c r="AE93" s="146"/>
    </row>
    <row r="94" spans="2:31" ht="12" customHeight="1" x14ac:dyDescent="0.2">
      <c r="B94" s="20" t="s">
        <v>325</v>
      </c>
      <c r="C94" s="152"/>
      <c r="D94" s="152"/>
      <c r="E94" s="152"/>
      <c r="F94" s="152"/>
      <c r="G94" s="171">
        <f t="shared" ref="G94:P94" si="250">G29/G12</f>
        <v>0.21428571428571427</v>
      </c>
      <c r="H94" s="171">
        <f t="shared" si="250"/>
        <v>0.18032786885245902</v>
      </c>
      <c r="I94" s="171">
        <f t="shared" si="250"/>
        <v>0.15068493150684931</v>
      </c>
      <c r="J94" s="171">
        <f t="shared" si="250"/>
        <v>0.22857142857142856</v>
      </c>
      <c r="K94" s="171">
        <f t="shared" si="250"/>
        <v>0.23540063377093706</v>
      </c>
      <c r="L94" s="171">
        <f t="shared" si="250"/>
        <v>0.15238095238095239</v>
      </c>
      <c r="M94" s="171">
        <f t="shared" si="250"/>
        <v>0.33962264150943394</v>
      </c>
      <c r="N94" s="171">
        <f t="shared" si="250"/>
        <v>0.18939393939393939</v>
      </c>
      <c r="O94" s="171">
        <f t="shared" si="250"/>
        <v>6.0897435897435896E-2</v>
      </c>
      <c r="P94" s="171">
        <f t="shared" si="250"/>
        <v>4.8670212765957448E-2</v>
      </c>
      <c r="Q94" s="118">
        <f t="shared" si="225"/>
        <v>-0.15184652203427307</v>
      </c>
      <c r="R94" s="20"/>
      <c r="S94" s="152">
        <f t="shared" ref="S94:AB94" si="251">S29/S12</f>
        <v>4.8670212765957448E-2</v>
      </c>
      <c r="T94" s="152">
        <f t="shared" si="251"/>
        <v>4.8670212765957448E-2</v>
      </c>
      <c r="U94" s="152">
        <f t="shared" si="251"/>
        <v>4.8670212765957441E-2</v>
      </c>
      <c r="V94" s="152">
        <f t="shared" si="251"/>
        <v>4.8670212765957441E-2</v>
      </c>
      <c r="W94" s="152">
        <f t="shared" si="251"/>
        <v>4.8670212765957441E-2</v>
      </c>
      <c r="X94" s="152">
        <f t="shared" si="251"/>
        <v>4.8670212765957441E-2</v>
      </c>
      <c r="Y94" s="152">
        <f t="shared" si="251"/>
        <v>4.8670212765957434E-2</v>
      </c>
      <c r="Z94" s="152">
        <f t="shared" si="251"/>
        <v>4.8670212765957434E-2</v>
      </c>
      <c r="AA94" s="152">
        <f t="shared" si="251"/>
        <v>4.8670212765957434E-2</v>
      </c>
      <c r="AB94" s="152">
        <f t="shared" si="251"/>
        <v>4.8670212765957434E-2</v>
      </c>
      <c r="AC94" s="138">
        <f t="shared" si="227"/>
        <v>-7.5047405262620326E-2</v>
      </c>
      <c r="AD94" s="146"/>
      <c r="AE94" s="146"/>
    </row>
    <row r="95" spans="2:31" ht="12" customHeight="1" x14ac:dyDescent="0.2">
      <c r="B95" s="20" t="s">
        <v>370</v>
      </c>
      <c r="C95" s="152"/>
      <c r="D95" s="152"/>
      <c r="E95" s="152"/>
      <c r="F95" s="152"/>
      <c r="G95" s="171">
        <f>G29/G23</f>
        <v>0.61224489795918369</v>
      </c>
      <c r="H95" s="171">
        <f t="shared" ref="H95:P95" si="252">H29/H23</f>
        <v>0.44</v>
      </c>
      <c r="I95" s="171">
        <f t="shared" si="252"/>
        <v>0.39285714285714285</v>
      </c>
      <c r="J95" s="171">
        <f t="shared" si="252"/>
        <v>0.5714285714285714</v>
      </c>
      <c r="K95" s="171">
        <f t="shared" si="252"/>
        <v>0.63414634146341464</v>
      </c>
      <c r="L95" s="171">
        <f t="shared" si="252"/>
        <v>0.25</v>
      </c>
      <c r="M95" s="171">
        <f t="shared" si="252"/>
        <v>7.2727272727272724E-2</v>
      </c>
      <c r="N95" s="171">
        <f t="shared" si="252"/>
        <v>4.9309664694280081E-2</v>
      </c>
      <c r="O95" s="171">
        <f t="shared" si="252"/>
        <v>7.5848303393213579E-2</v>
      </c>
      <c r="P95" s="171">
        <f t="shared" si="252"/>
        <v>6.4550264550264552E-2</v>
      </c>
      <c r="Q95" s="118">
        <f t="shared" ref="Q95" si="253">((P95/G95)^(1/($H$2-$H$1) ))-1</f>
        <v>-0.2211722307432441</v>
      </c>
      <c r="R95" s="20"/>
      <c r="S95" s="171">
        <f t="shared" ref="S95:AB95" si="254">S29/S23</f>
        <v>6.4550264550264552E-2</v>
      </c>
      <c r="T95" s="171">
        <f t="shared" si="254"/>
        <v>6.4550264550264552E-2</v>
      </c>
      <c r="U95" s="171">
        <f t="shared" si="254"/>
        <v>6.4550264550264552E-2</v>
      </c>
      <c r="V95" s="171">
        <f t="shared" si="254"/>
        <v>6.4550264550264552E-2</v>
      </c>
      <c r="W95" s="171">
        <f t="shared" si="254"/>
        <v>6.4550264550264552E-2</v>
      </c>
      <c r="X95" s="171">
        <f t="shared" si="254"/>
        <v>6.4550264550264538E-2</v>
      </c>
      <c r="Y95" s="171">
        <f t="shared" si="254"/>
        <v>6.4550264550264538E-2</v>
      </c>
      <c r="Z95" s="171">
        <f t="shared" si="254"/>
        <v>6.4550264550264538E-2</v>
      </c>
      <c r="AA95" s="171">
        <f t="shared" si="254"/>
        <v>6.4550264550264538E-2</v>
      </c>
      <c r="AB95" s="171">
        <f t="shared" si="254"/>
        <v>6.4550264550264538E-2</v>
      </c>
      <c r="AC95" s="138">
        <f t="shared" ref="AC95" si="255">((AB95/G95)^(1/($AB$3-$H$1) ))-1</f>
        <v>-0.11166347599745841</v>
      </c>
      <c r="AD95" s="146"/>
      <c r="AE95" s="146"/>
    </row>
    <row r="96" spans="2:31" ht="12" customHeight="1" x14ac:dyDescent="0.2">
      <c r="B96" s="20"/>
      <c r="C96" s="152"/>
      <c r="D96" s="152"/>
      <c r="E96" s="152"/>
      <c r="F96" s="152"/>
      <c r="G96" s="171"/>
      <c r="H96" s="171"/>
      <c r="I96" s="171"/>
      <c r="J96" s="171"/>
      <c r="K96" s="171"/>
      <c r="L96" s="171"/>
      <c r="M96" s="171"/>
      <c r="N96" s="171"/>
      <c r="O96" s="171"/>
      <c r="P96" s="171"/>
      <c r="Q96" s="171"/>
      <c r="R96" s="20"/>
      <c r="S96" s="152"/>
      <c r="T96" s="152"/>
      <c r="U96" s="152"/>
      <c r="V96" s="152"/>
      <c r="W96" s="152"/>
      <c r="X96" s="152"/>
      <c r="Y96" s="152"/>
      <c r="Z96" s="152"/>
      <c r="AA96" s="152"/>
      <c r="AB96" s="152"/>
      <c r="AC96" s="152"/>
      <c r="AD96" s="146"/>
      <c r="AE96" s="146"/>
    </row>
    <row r="97" spans="2:31" ht="12" customHeight="1" x14ac:dyDescent="0.2">
      <c r="B97" s="20" t="s">
        <v>402</v>
      </c>
      <c r="C97" s="152"/>
      <c r="D97" s="152"/>
      <c r="E97" s="152"/>
      <c r="F97" s="152"/>
      <c r="G97" s="127">
        <f>1/G91</f>
        <v>148.93333333333334</v>
      </c>
      <c r="H97" s="127">
        <f t="shared" ref="H97:P97" si="256">1/H91</f>
        <v>241.36363636363635</v>
      </c>
      <c r="I97" s="127">
        <f t="shared" si="256"/>
        <v>277.36363636363637</v>
      </c>
      <c r="J97" s="127">
        <f t="shared" si="256"/>
        <v>164.5</v>
      </c>
      <c r="K97" s="127">
        <f t="shared" si="256"/>
        <v>179.96153846153848</v>
      </c>
      <c r="L97" s="127">
        <f t="shared" si="256"/>
        <v>179.65625</v>
      </c>
      <c r="M97" s="127">
        <f t="shared" si="256"/>
        <v>200.16666666666666</v>
      </c>
      <c r="N97" s="127">
        <f t="shared" si="256"/>
        <v>329.84</v>
      </c>
      <c r="O97" s="127">
        <f t="shared" si="256"/>
        <v>270.44736842105266</v>
      </c>
      <c r="P97" s="127">
        <f t="shared" si="256"/>
        <v>320.65573770491801</v>
      </c>
      <c r="Q97" s="118">
        <f t="shared" si="225"/>
        <v>8.8943216825528859E-2</v>
      </c>
      <c r="R97" s="20"/>
      <c r="S97" s="127">
        <f t="shared" ref="S97:AB97" si="257">1/S91</f>
        <v>320.65573770491807</v>
      </c>
      <c r="T97" s="127">
        <f t="shared" si="257"/>
        <v>320.65573770491801</v>
      </c>
      <c r="U97" s="127">
        <f t="shared" si="257"/>
        <v>320.65573770491807</v>
      </c>
      <c r="V97" s="127">
        <f t="shared" si="257"/>
        <v>320.65573770491801</v>
      </c>
      <c r="W97" s="127">
        <f t="shared" si="257"/>
        <v>320.65573770491801</v>
      </c>
      <c r="X97" s="127">
        <f t="shared" si="257"/>
        <v>320.65573770491801</v>
      </c>
      <c r="Y97" s="127">
        <f t="shared" si="257"/>
        <v>320.65573770491801</v>
      </c>
      <c r="Z97" s="127">
        <f t="shared" si="257"/>
        <v>320.65573770491801</v>
      </c>
      <c r="AA97" s="127">
        <f t="shared" si="257"/>
        <v>320.65573770491801</v>
      </c>
      <c r="AB97" s="127">
        <f t="shared" si="257"/>
        <v>320.65573770491801</v>
      </c>
      <c r="AC97" s="138">
        <f t="shared" si="227"/>
        <v>4.1187139191351418E-2</v>
      </c>
      <c r="AD97" s="146"/>
      <c r="AE97" s="146"/>
    </row>
    <row r="98" spans="2:31" ht="12" customHeight="1" x14ac:dyDescent="0.2">
      <c r="B98" s="20" t="s">
        <v>403</v>
      </c>
      <c r="C98" s="152"/>
      <c r="D98" s="152"/>
      <c r="E98" s="152"/>
      <c r="F98" s="152"/>
      <c r="G98" s="127">
        <f t="shared" ref="G98:P101" si="258">1/G92</f>
        <v>20.333333333333332</v>
      </c>
      <c r="H98" s="127">
        <f t="shared" si="258"/>
        <v>31.454545454545457</v>
      </c>
      <c r="I98" s="127">
        <f t="shared" si="258"/>
        <v>36.636363636363633</v>
      </c>
      <c r="J98" s="127">
        <f t="shared" si="258"/>
        <v>20.25</v>
      </c>
      <c r="K98" s="127">
        <f t="shared" si="258"/>
        <v>25.615384615384613</v>
      </c>
      <c r="L98" s="127">
        <f t="shared" si="258"/>
        <v>21.875</v>
      </c>
      <c r="M98" s="127">
        <f t="shared" si="258"/>
        <v>34.388888888888886</v>
      </c>
      <c r="N98" s="127">
        <f t="shared" si="258"/>
        <v>52.72</v>
      </c>
      <c r="O98" s="127">
        <f t="shared" si="258"/>
        <v>40.631578947368418</v>
      </c>
      <c r="P98" s="127">
        <f t="shared" si="258"/>
        <v>47.322404371584696</v>
      </c>
      <c r="Q98" s="118">
        <f t="shared" si="225"/>
        <v>9.8403794852268689E-2</v>
      </c>
      <c r="R98" s="20"/>
      <c r="S98" s="127">
        <f t="shared" ref="S98:AB98" si="259">1/S92</f>
        <v>47.322404371584703</v>
      </c>
      <c r="T98" s="127">
        <f t="shared" si="259"/>
        <v>47.322404371584696</v>
      </c>
      <c r="U98" s="127">
        <f t="shared" si="259"/>
        <v>47.322404371584696</v>
      </c>
      <c r="V98" s="127">
        <f t="shared" si="259"/>
        <v>47.322404371584696</v>
      </c>
      <c r="W98" s="127">
        <f t="shared" si="259"/>
        <v>47.322404371584696</v>
      </c>
      <c r="X98" s="127">
        <f t="shared" si="259"/>
        <v>47.322404371584696</v>
      </c>
      <c r="Y98" s="127">
        <f t="shared" si="259"/>
        <v>47.322404371584696</v>
      </c>
      <c r="Z98" s="127">
        <f t="shared" si="259"/>
        <v>47.322404371584696</v>
      </c>
      <c r="AA98" s="127">
        <f t="shared" si="259"/>
        <v>47.322404371584689</v>
      </c>
      <c r="AB98" s="127">
        <f t="shared" si="259"/>
        <v>47.322404371584696</v>
      </c>
      <c r="AC98" s="138">
        <f t="shared" si="227"/>
        <v>4.546218194265661E-2</v>
      </c>
      <c r="AD98" s="146"/>
      <c r="AE98" s="146"/>
    </row>
    <row r="99" spans="2:31" ht="12" customHeight="1" x14ac:dyDescent="0.2">
      <c r="B99" s="20" t="s">
        <v>404</v>
      </c>
      <c r="C99" s="152"/>
      <c r="D99" s="152"/>
      <c r="E99" s="152"/>
      <c r="F99" s="152"/>
      <c r="G99" s="127">
        <f t="shared" si="258"/>
        <v>9.6</v>
      </c>
      <c r="H99" s="127">
        <f t="shared" si="258"/>
        <v>16.454545454545457</v>
      </c>
      <c r="I99" s="127">
        <f t="shared" si="258"/>
        <v>19.09090909090909</v>
      </c>
      <c r="J99" s="127">
        <f t="shared" si="258"/>
        <v>11.791666666666666</v>
      </c>
      <c r="K99" s="127">
        <f t="shared" si="258"/>
        <v>16.46153846153846</v>
      </c>
      <c r="L99" s="127">
        <f t="shared" si="258"/>
        <v>13.09375</v>
      </c>
      <c r="M99" s="127">
        <f t="shared" si="258"/>
        <v>24.555555555555554</v>
      </c>
      <c r="N99" s="127">
        <f t="shared" si="258"/>
        <v>35.24</v>
      </c>
      <c r="O99" s="127">
        <f t="shared" si="258"/>
        <v>26.842105263157894</v>
      </c>
      <c r="P99" s="127">
        <f t="shared" si="258"/>
        <v>31.666666666666664</v>
      </c>
      <c r="Q99" s="118">
        <f t="shared" si="225"/>
        <v>0.1418060672275081</v>
      </c>
      <c r="R99" s="20"/>
      <c r="S99" s="127">
        <f t="shared" ref="S99:AB99" si="260">1/S93</f>
        <v>31.666666666666664</v>
      </c>
      <c r="T99" s="127">
        <f t="shared" si="260"/>
        <v>31.666666666666664</v>
      </c>
      <c r="U99" s="127">
        <f t="shared" si="260"/>
        <v>31.666666666666664</v>
      </c>
      <c r="V99" s="127">
        <f t="shared" si="260"/>
        <v>31.666666666666664</v>
      </c>
      <c r="W99" s="127">
        <f t="shared" si="260"/>
        <v>31.666666666666657</v>
      </c>
      <c r="X99" s="127">
        <f t="shared" si="260"/>
        <v>31.666666666666664</v>
      </c>
      <c r="Y99" s="127">
        <f t="shared" si="260"/>
        <v>31.666666666666664</v>
      </c>
      <c r="Z99" s="127">
        <f t="shared" si="260"/>
        <v>31.666666666666664</v>
      </c>
      <c r="AA99" s="127">
        <f t="shared" si="260"/>
        <v>31.666666666666657</v>
      </c>
      <c r="AB99" s="127">
        <f t="shared" si="260"/>
        <v>31.666666666666664</v>
      </c>
      <c r="AC99" s="138">
        <f t="shared" si="227"/>
        <v>6.4830752461115582E-2</v>
      </c>
      <c r="AD99" s="146"/>
      <c r="AE99" s="146"/>
    </row>
    <row r="100" spans="2:31" ht="12" customHeight="1" x14ac:dyDescent="0.2">
      <c r="B100" s="20" t="s">
        <v>405</v>
      </c>
      <c r="C100" s="152"/>
      <c r="D100" s="152"/>
      <c r="E100" s="152"/>
      <c r="F100" s="152"/>
      <c r="G100" s="127">
        <f t="shared" si="258"/>
        <v>4.666666666666667</v>
      </c>
      <c r="H100" s="127">
        <f t="shared" si="258"/>
        <v>5.545454545454545</v>
      </c>
      <c r="I100" s="127">
        <f t="shared" si="258"/>
        <v>6.6363636363636367</v>
      </c>
      <c r="J100" s="127">
        <f t="shared" si="258"/>
        <v>4.375</v>
      </c>
      <c r="K100" s="127">
        <f t="shared" si="258"/>
        <v>4.2480769230769235</v>
      </c>
      <c r="L100" s="127">
        <f t="shared" si="258"/>
        <v>6.5624999999999991</v>
      </c>
      <c r="M100" s="127">
        <f t="shared" si="258"/>
        <v>2.9444444444444446</v>
      </c>
      <c r="N100" s="127">
        <f t="shared" si="258"/>
        <v>5.28</v>
      </c>
      <c r="O100" s="127">
        <f t="shared" si="258"/>
        <v>16.421052631578949</v>
      </c>
      <c r="P100" s="127">
        <f t="shared" si="258"/>
        <v>20.546448087431692</v>
      </c>
      <c r="Q100" s="118">
        <f t="shared" si="225"/>
        <v>0.17903189219771032</v>
      </c>
      <c r="R100" s="20"/>
      <c r="S100" s="127">
        <f t="shared" ref="S100:AB100" si="261">1/S94</f>
        <v>20.546448087431692</v>
      </c>
      <c r="T100" s="127">
        <f t="shared" si="261"/>
        <v>20.546448087431692</v>
      </c>
      <c r="U100" s="127">
        <f t="shared" si="261"/>
        <v>20.546448087431695</v>
      </c>
      <c r="V100" s="127">
        <f t="shared" si="261"/>
        <v>20.546448087431695</v>
      </c>
      <c r="W100" s="127">
        <f t="shared" si="261"/>
        <v>20.546448087431695</v>
      </c>
      <c r="X100" s="127">
        <f t="shared" si="261"/>
        <v>20.546448087431695</v>
      </c>
      <c r="Y100" s="127">
        <f t="shared" si="261"/>
        <v>20.546448087431699</v>
      </c>
      <c r="Z100" s="127">
        <f t="shared" si="261"/>
        <v>20.546448087431699</v>
      </c>
      <c r="AA100" s="127">
        <f t="shared" si="261"/>
        <v>20.546448087431699</v>
      </c>
      <c r="AB100" s="127">
        <f t="shared" si="261"/>
        <v>20.546448087431699</v>
      </c>
      <c r="AC100" s="138">
        <f t="shared" si="227"/>
        <v>8.1136488172054211E-2</v>
      </c>
      <c r="AD100" s="146"/>
      <c r="AE100" s="146"/>
    </row>
    <row r="101" spans="2:31" ht="12" customHeight="1" x14ac:dyDescent="0.2">
      <c r="B101" s="20" t="s">
        <v>406</v>
      </c>
      <c r="C101" s="152"/>
      <c r="D101" s="152"/>
      <c r="E101" s="152"/>
      <c r="F101" s="152"/>
      <c r="G101" s="127">
        <f t="shared" si="258"/>
        <v>1.6333333333333333</v>
      </c>
      <c r="H101" s="127">
        <f t="shared" si="258"/>
        <v>2.2727272727272729</v>
      </c>
      <c r="I101" s="127">
        <f t="shared" si="258"/>
        <v>2.5454545454545454</v>
      </c>
      <c r="J101" s="127">
        <f t="shared" si="258"/>
        <v>1.75</v>
      </c>
      <c r="K101" s="127">
        <f t="shared" si="258"/>
        <v>1.5769230769230769</v>
      </c>
      <c r="L101" s="127">
        <f t="shared" si="258"/>
        <v>4</v>
      </c>
      <c r="M101" s="127">
        <f t="shared" si="258"/>
        <v>13.75</v>
      </c>
      <c r="N101" s="127">
        <f t="shared" si="258"/>
        <v>20.279999999999998</v>
      </c>
      <c r="O101" s="127">
        <f t="shared" si="258"/>
        <v>13.184210526315788</v>
      </c>
      <c r="P101" s="127">
        <f t="shared" si="258"/>
        <v>15.491803278688524</v>
      </c>
      <c r="Q101" s="118">
        <f t="shared" si="225"/>
        <v>0.28398092553159882</v>
      </c>
      <c r="R101" s="20"/>
      <c r="S101" s="127">
        <f t="shared" ref="S101:AB101" si="262">1/S95</f>
        <v>15.491803278688524</v>
      </c>
      <c r="T101" s="127">
        <f t="shared" si="262"/>
        <v>15.491803278688524</v>
      </c>
      <c r="U101" s="127">
        <f t="shared" si="262"/>
        <v>15.491803278688524</v>
      </c>
      <c r="V101" s="127">
        <f t="shared" si="262"/>
        <v>15.491803278688524</v>
      </c>
      <c r="W101" s="127">
        <f t="shared" si="262"/>
        <v>15.491803278688524</v>
      </c>
      <c r="X101" s="127">
        <f t="shared" si="262"/>
        <v>15.491803278688527</v>
      </c>
      <c r="Y101" s="127">
        <f t="shared" si="262"/>
        <v>15.491803278688527</v>
      </c>
      <c r="Z101" s="127">
        <f t="shared" si="262"/>
        <v>15.491803278688527</v>
      </c>
      <c r="AA101" s="127">
        <f t="shared" si="262"/>
        <v>15.491803278688527</v>
      </c>
      <c r="AB101" s="127">
        <f t="shared" si="262"/>
        <v>15.491803278688527</v>
      </c>
      <c r="AC101" s="138">
        <f t="shared" si="227"/>
        <v>0.12569952149928598</v>
      </c>
      <c r="AD101" s="146"/>
      <c r="AE101" s="146"/>
    </row>
    <row r="102" spans="2:31" ht="12" customHeight="1" x14ac:dyDescent="0.2">
      <c r="B102" s="20"/>
      <c r="C102" s="152"/>
      <c r="D102" s="152"/>
      <c r="E102" s="152"/>
      <c r="F102" s="152"/>
      <c r="G102" s="171"/>
      <c r="H102" s="171"/>
      <c r="I102" s="171"/>
      <c r="J102" s="171"/>
      <c r="K102" s="171"/>
      <c r="L102" s="171"/>
      <c r="M102" s="171"/>
      <c r="N102" s="171"/>
      <c r="O102" s="171"/>
      <c r="P102" s="171"/>
      <c r="Q102" s="171"/>
      <c r="R102" s="20"/>
      <c r="S102" s="152"/>
      <c r="T102" s="152"/>
      <c r="U102" s="152"/>
      <c r="V102" s="152"/>
      <c r="W102" s="152"/>
      <c r="X102" s="152"/>
      <c r="Y102" s="152"/>
      <c r="Z102" s="152"/>
      <c r="AA102" s="152"/>
      <c r="AB102" s="152"/>
      <c r="AC102" s="152"/>
      <c r="AD102" s="146"/>
      <c r="AE102" s="146"/>
    </row>
    <row r="103" spans="2:31" ht="12" customHeight="1" x14ac:dyDescent="0.2">
      <c r="B103" s="20"/>
      <c r="C103" s="152"/>
      <c r="D103" s="152"/>
      <c r="E103" s="152"/>
      <c r="F103" s="152"/>
      <c r="G103" s="171"/>
      <c r="H103" s="171"/>
      <c r="I103" s="171"/>
      <c r="J103" s="171"/>
      <c r="K103" s="171"/>
      <c r="L103" s="171"/>
      <c r="M103" s="171"/>
      <c r="N103" s="171"/>
      <c r="O103" s="171"/>
      <c r="P103" s="171"/>
      <c r="Q103" s="171"/>
      <c r="R103" s="20"/>
      <c r="S103" s="152"/>
      <c r="T103" s="152"/>
      <c r="U103" s="152"/>
      <c r="V103" s="152"/>
      <c r="W103" s="152"/>
      <c r="X103" s="152"/>
      <c r="Y103" s="152"/>
      <c r="Z103" s="152"/>
      <c r="AA103" s="152"/>
      <c r="AB103" s="152"/>
      <c r="AC103" s="152"/>
      <c r="AD103" s="146"/>
      <c r="AE103" s="146"/>
    </row>
    <row r="104" spans="2:31" x14ac:dyDescent="0.2">
      <c r="B104" s="20" t="s">
        <v>326</v>
      </c>
      <c r="C104" s="152"/>
      <c r="D104" s="152"/>
      <c r="E104" s="152"/>
      <c r="F104" s="163">
        <f t="shared" ref="F104:O104" si="263">F10-(F12+F13)</f>
        <v>0</v>
      </c>
      <c r="G104" s="163">
        <f t="shared" si="263"/>
        <v>-3</v>
      </c>
      <c r="H104" s="163">
        <f t="shared" si="263"/>
        <v>45</v>
      </c>
      <c r="I104" s="163">
        <f t="shared" si="263"/>
        <v>5</v>
      </c>
      <c r="J104" s="163">
        <f t="shared" si="263"/>
        <v>-10</v>
      </c>
      <c r="K104" s="163">
        <f t="shared" si="263"/>
        <v>-130.44999999999999</v>
      </c>
      <c r="L104" s="163">
        <f t="shared" si="263"/>
        <v>10.600000000000023</v>
      </c>
      <c r="M104" s="163">
        <f t="shared" si="263"/>
        <v>-504</v>
      </c>
      <c r="N104" s="163">
        <f t="shared" si="263"/>
        <v>-821</v>
      </c>
      <c r="O104" s="163">
        <f t="shared" si="263"/>
        <v>-644</v>
      </c>
      <c r="P104" s="163">
        <f>P10-(P12+P13)</f>
        <v>-796</v>
      </c>
      <c r="Q104" s="118">
        <f t="shared" si="225"/>
        <v>0.85913189422681135</v>
      </c>
      <c r="R104" s="20"/>
      <c r="S104" s="163">
        <f>S10-(S12+S13)</f>
        <v>-915.39999999999986</v>
      </c>
      <c r="T104" s="163">
        <f t="shared" ref="T104:AB104" si="264">T10-(T12+T13)</f>
        <v>-1052.71</v>
      </c>
      <c r="U104" s="163">
        <f t="shared" si="264"/>
        <v>-1210.6164999999999</v>
      </c>
      <c r="V104" s="163">
        <f t="shared" si="264"/>
        <v>-1392.2089749999998</v>
      </c>
      <c r="W104" s="163">
        <f t="shared" si="264"/>
        <v>-1601.0403212499998</v>
      </c>
      <c r="X104" s="163">
        <f t="shared" si="264"/>
        <v>-1841.1963694374995</v>
      </c>
      <c r="Y104" s="163">
        <f t="shared" si="264"/>
        <v>-2117.3758248531244</v>
      </c>
      <c r="Z104" s="163">
        <f t="shared" si="264"/>
        <v>-2434.9821985810931</v>
      </c>
      <c r="AA104" s="163">
        <f t="shared" si="264"/>
        <v>-2800.2295283682565</v>
      </c>
      <c r="AB104" s="163">
        <f t="shared" si="264"/>
        <v>-3220.2639576234947</v>
      </c>
      <c r="AC104" s="138">
        <f t="shared" si="227"/>
        <v>0.44382388469161493</v>
      </c>
      <c r="AD104" s="146"/>
      <c r="AE104" s="146"/>
    </row>
    <row r="105" spans="2:31" ht="12" customHeight="1" x14ac:dyDescent="0.2">
      <c r="B105" s="20" t="s">
        <v>321</v>
      </c>
      <c r="C105" s="20"/>
      <c r="D105" s="20"/>
      <c r="E105" s="20"/>
      <c r="F105" s="20"/>
      <c r="G105" s="152">
        <f t="shared" ref="G105:P105" si="265">G40/G18</f>
        <v>0.27324478178368122</v>
      </c>
      <c r="H105" s="152">
        <f t="shared" si="265"/>
        <v>0.37945492662473795</v>
      </c>
      <c r="I105" s="152">
        <f t="shared" si="265"/>
        <v>0.45356371490280778</v>
      </c>
      <c r="J105" s="152">
        <f t="shared" si="265"/>
        <v>0.53802281368821292</v>
      </c>
      <c r="K105" s="152">
        <f t="shared" si="265"/>
        <v>0.68810289389067525</v>
      </c>
      <c r="L105" s="152">
        <f t="shared" si="265"/>
        <v>0.48551564310544609</v>
      </c>
      <c r="M105" s="152">
        <f t="shared" si="265"/>
        <v>0.97249724972497253</v>
      </c>
      <c r="N105" s="152">
        <f t="shared" si="265"/>
        <v>0.67303284950343778</v>
      </c>
      <c r="O105" s="152">
        <f t="shared" si="265"/>
        <v>0.7846153846153846</v>
      </c>
      <c r="P105" s="152">
        <f t="shared" si="265"/>
        <v>0.47499999999999998</v>
      </c>
      <c r="Q105" s="118">
        <f t="shared" si="225"/>
        <v>6.3365129939972897E-2</v>
      </c>
      <c r="R105" s="20"/>
      <c r="S105" s="152">
        <f t="shared" ref="S105:AB105" si="266">S40/S18</f>
        <v>0.47499999999999998</v>
      </c>
      <c r="T105" s="152">
        <f t="shared" si="266"/>
        <v>0.47499999999999998</v>
      </c>
      <c r="U105" s="152">
        <f t="shared" si="266"/>
        <v>0.47499999999999992</v>
      </c>
      <c r="V105" s="152">
        <f t="shared" si="266"/>
        <v>0.47499999999999992</v>
      </c>
      <c r="W105" s="152">
        <f t="shared" si="266"/>
        <v>0.47499999999999992</v>
      </c>
      <c r="X105" s="152">
        <f t="shared" si="266"/>
        <v>0.47499999999999998</v>
      </c>
      <c r="Y105" s="152">
        <f t="shared" si="266"/>
        <v>0.47499999999999992</v>
      </c>
      <c r="Z105" s="152">
        <f t="shared" si="266"/>
        <v>0.47499999999999998</v>
      </c>
      <c r="AA105" s="152">
        <f t="shared" si="266"/>
        <v>0.47499999999999998</v>
      </c>
      <c r="AB105" s="152">
        <f t="shared" si="266"/>
        <v>0.47499999999999992</v>
      </c>
      <c r="AC105" s="138">
        <f t="shared" si="227"/>
        <v>2.9530076566026686E-2</v>
      </c>
      <c r="AD105" s="20"/>
      <c r="AE105" s="20"/>
    </row>
    <row r="106" spans="2:31" x14ac:dyDescent="0.2">
      <c r="B106" s="20" t="s">
        <v>322</v>
      </c>
      <c r="C106" s="20"/>
      <c r="D106" s="20"/>
      <c r="E106" s="20"/>
      <c r="F106" s="20"/>
      <c r="G106" s="152">
        <f t="shared" ref="G106:P106" si="267">G40/G25</f>
        <v>6.445837063563116E-2</v>
      </c>
      <c r="H106" s="152">
        <f t="shared" si="267"/>
        <v>6.8173258003766474E-2</v>
      </c>
      <c r="I106" s="152">
        <f t="shared" si="267"/>
        <v>6.88298918387414E-2</v>
      </c>
      <c r="J106" s="152">
        <f t="shared" si="267"/>
        <v>7.1681864235055723E-2</v>
      </c>
      <c r="K106" s="152">
        <f t="shared" si="267"/>
        <v>9.1472536866851889E-2</v>
      </c>
      <c r="L106" s="152">
        <f t="shared" si="267"/>
        <v>7.288224038963298E-2</v>
      </c>
      <c r="M106" s="152">
        <f t="shared" si="267"/>
        <v>0.12267554815431585</v>
      </c>
      <c r="N106" s="152">
        <f t="shared" si="267"/>
        <v>0.10683967984477322</v>
      </c>
      <c r="O106" s="152">
        <f t="shared" si="267"/>
        <v>9.9250754111121928E-2</v>
      </c>
      <c r="P106" s="152">
        <f t="shared" si="267"/>
        <v>9.8755964553510572E-2</v>
      </c>
      <c r="Q106" s="118">
        <f t="shared" si="225"/>
        <v>4.8545093614783985E-2</v>
      </c>
      <c r="R106" s="20"/>
      <c r="S106" s="152">
        <f t="shared" ref="S106:AB106" si="268">S40/S25</f>
        <v>9.8755964553510558E-2</v>
      </c>
      <c r="T106" s="152">
        <f t="shared" si="268"/>
        <v>9.8755964553510558E-2</v>
      </c>
      <c r="U106" s="152">
        <f t="shared" si="268"/>
        <v>9.8755964553510558E-2</v>
      </c>
      <c r="V106" s="152">
        <f t="shared" si="268"/>
        <v>9.8755964553510558E-2</v>
      </c>
      <c r="W106" s="152">
        <f t="shared" si="268"/>
        <v>9.8755964553510545E-2</v>
      </c>
      <c r="X106" s="152">
        <f t="shared" si="268"/>
        <v>9.8755964553510558E-2</v>
      </c>
      <c r="Y106" s="152">
        <f t="shared" si="268"/>
        <v>9.8755964553510558E-2</v>
      </c>
      <c r="Z106" s="152">
        <f t="shared" si="268"/>
        <v>9.8755964553510558E-2</v>
      </c>
      <c r="AA106" s="152">
        <f t="shared" si="268"/>
        <v>9.8755964553510558E-2</v>
      </c>
      <c r="AB106" s="152">
        <f t="shared" si="268"/>
        <v>9.8755964553510558E-2</v>
      </c>
      <c r="AC106" s="138">
        <f t="shared" si="227"/>
        <v>2.2708322432917427E-2</v>
      </c>
      <c r="AD106" s="20"/>
      <c r="AE106" s="20"/>
    </row>
    <row r="107" spans="2:31" x14ac:dyDescent="0.2">
      <c r="B107" s="20" t="s">
        <v>348</v>
      </c>
      <c r="C107" s="20"/>
      <c r="D107" s="20"/>
      <c r="E107" s="152"/>
      <c r="F107" s="152"/>
      <c r="G107" s="152">
        <f t="shared" ref="G107:O107" si="269">G25/G18</f>
        <v>4.2390891840607212</v>
      </c>
      <c r="H107" s="152">
        <f t="shared" si="269"/>
        <v>5.5660377358490569</v>
      </c>
      <c r="I107" s="152">
        <f t="shared" si="269"/>
        <v>6.5896328293736497</v>
      </c>
      <c r="J107" s="152">
        <f t="shared" si="269"/>
        <v>7.5057034220532319</v>
      </c>
      <c r="K107" s="152">
        <f t="shared" si="269"/>
        <v>7.522508038585209</v>
      </c>
      <c r="L107" s="152">
        <f t="shared" si="269"/>
        <v>6.6616454229432209</v>
      </c>
      <c r="M107" s="152">
        <f t="shared" si="269"/>
        <v>7.9273927392739276</v>
      </c>
      <c r="N107" s="152">
        <f t="shared" si="269"/>
        <v>6.2994652406417115</v>
      </c>
      <c r="O107" s="152">
        <f t="shared" si="269"/>
        <v>7.905384615384615</v>
      </c>
      <c r="P107" s="152">
        <f>P25/P18</f>
        <v>4.8098360655737702</v>
      </c>
      <c r="Q107" s="118">
        <f t="shared" si="225"/>
        <v>1.4133904603089498E-2</v>
      </c>
      <c r="R107" s="20"/>
      <c r="S107" s="152">
        <f>S25/S18</f>
        <v>4.8098360655737702</v>
      </c>
      <c r="T107" s="152">
        <f t="shared" ref="T107:AB107" si="270">T25/T18</f>
        <v>4.8098360655737711</v>
      </c>
      <c r="U107" s="152">
        <f t="shared" si="270"/>
        <v>4.8098360655737702</v>
      </c>
      <c r="V107" s="152">
        <f t="shared" si="270"/>
        <v>4.8098360655737702</v>
      </c>
      <c r="W107" s="152">
        <f t="shared" si="270"/>
        <v>4.8098360655737702</v>
      </c>
      <c r="X107" s="152">
        <f t="shared" si="270"/>
        <v>4.8098360655737702</v>
      </c>
      <c r="Y107" s="152">
        <f t="shared" si="270"/>
        <v>4.8098360655737702</v>
      </c>
      <c r="Z107" s="152">
        <f t="shared" si="270"/>
        <v>4.8098360655737702</v>
      </c>
      <c r="AA107" s="152">
        <f t="shared" si="270"/>
        <v>4.8098360655737702</v>
      </c>
      <c r="AB107" s="152">
        <f t="shared" si="270"/>
        <v>4.8098360655737702</v>
      </c>
      <c r="AC107" s="138">
        <f t="shared" si="227"/>
        <v>6.6702831916736205E-3</v>
      </c>
      <c r="AD107" s="20"/>
      <c r="AE107" s="20"/>
    </row>
    <row r="108" spans="2:31" x14ac:dyDescent="0.2">
      <c r="B108" s="20"/>
      <c r="C108" s="20"/>
      <c r="D108" s="20"/>
      <c r="E108" s="20"/>
      <c r="F108" s="20"/>
      <c r="G108" s="152"/>
      <c r="H108" s="152"/>
      <c r="I108" s="152"/>
      <c r="J108" s="152"/>
      <c r="K108" s="152"/>
      <c r="L108" s="152"/>
      <c r="M108" s="152"/>
      <c r="N108" s="152"/>
      <c r="O108" s="152"/>
      <c r="P108" s="152"/>
      <c r="Q108" s="128"/>
      <c r="R108" s="20"/>
      <c r="S108" s="152"/>
      <c r="T108" s="152"/>
      <c r="U108" s="152"/>
      <c r="V108" s="152"/>
      <c r="W108" s="152"/>
      <c r="X108" s="152"/>
      <c r="Y108" s="152"/>
      <c r="Z108" s="152"/>
      <c r="AA108" s="152"/>
      <c r="AB108" s="152"/>
      <c r="AC108" s="128"/>
      <c r="AD108" s="20"/>
      <c r="AE108" s="20"/>
    </row>
    <row r="109" spans="2:31" x14ac:dyDescent="0.2">
      <c r="B109" s="20" t="s">
        <v>334</v>
      </c>
      <c r="C109" s="20"/>
      <c r="D109" s="20"/>
      <c r="E109" s="165">
        <f t="shared" ref="E109:F109" si="271">E69*E42</f>
        <v>0</v>
      </c>
      <c r="F109" s="165">
        <f t="shared" si="271"/>
        <v>0</v>
      </c>
      <c r="G109" s="165">
        <f>G69*G42</f>
        <v>81.515000000000001</v>
      </c>
      <c r="H109" s="165">
        <f t="shared" ref="H109:P109" si="272">H69*H42</f>
        <v>91.105000000000004</v>
      </c>
      <c r="I109" s="165">
        <f t="shared" si="272"/>
        <v>119.875</v>
      </c>
      <c r="J109" s="165">
        <f t="shared" si="272"/>
        <v>124.67</v>
      </c>
      <c r="K109" s="165">
        <f t="shared" si="272"/>
        <v>163.03</v>
      </c>
      <c r="L109" s="165">
        <f t="shared" si="272"/>
        <v>167.82499999999999</v>
      </c>
      <c r="M109" s="165">
        <f t="shared" si="272"/>
        <v>258.93</v>
      </c>
      <c r="N109" s="165">
        <f t="shared" si="272"/>
        <v>306.88</v>
      </c>
      <c r="O109" s="165">
        <f t="shared" si="272"/>
        <v>383.6</v>
      </c>
      <c r="P109" s="165">
        <f t="shared" si="272"/>
        <v>441.14</v>
      </c>
      <c r="Q109" s="118">
        <f t="shared" si="225"/>
        <v>0.20637436675869569</v>
      </c>
      <c r="R109" s="20"/>
      <c r="S109" s="165">
        <f t="shared" ref="S109:AB109" si="273">S69*S42</f>
        <v>4830</v>
      </c>
      <c r="T109" s="165">
        <f t="shared" si="273"/>
        <v>5122.2150000000001</v>
      </c>
      <c r="U109" s="165">
        <f t="shared" si="273"/>
        <v>5432.1090075000002</v>
      </c>
      <c r="V109" s="165">
        <f t="shared" si="273"/>
        <v>5760.7516024537508</v>
      </c>
      <c r="W109" s="165">
        <f t="shared" si="273"/>
        <v>6109.2770744022018</v>
      </c>
      <c r="X109" s="165">
        <f t="shared" si="273"/>
        <v>6478.8883374035358</v>
      </c>
      <c r="Y109" s="165">
        <f t="shared" si="273"/>
        <v>6870.8610818164498</v>
      </c>
      <c r="Z109" s="165">
        <f t="shared" si="273"/>
        <v>7286.5481772663461</v>
      </c>
      <c r="AA109" s="165">
        <f t="shared" si="273"/>
        <v>7727.3843419909599</v>
      </c>
      <c r="AB109" s="165">
        <f t="shared" si="273"/>
        <v>8194.891094681414</v>
      </c>
      <c r="AC109" s="138">
        <f t="shared" si="227"/>
        <v>0.27463109226021576</v>
      </c>
      <c r="AD109" s="20"/>
      <c r="AE109" s="20"/>
    </row>
    <row r="110" spans="2:31" x14ac:dyDescent="0.2">
      <c r="B110" s="20" t="s">
        <v>335</v>
      </c>
      <c r="C110" s="20"/>
      <c r="D110" s="20"/>
      <c r="E110" s="165">
        <f>(E109*0.17)+E109</f>
        <v>0</v>
      </c>
      <c r="F110" s="165">
        <f>(F109*0.17)+F109</f>
        <v>0</v>
      </c>
      <c r="G110" s="165">
        <f t="shared" ref="G110:P110" si="274">(G109*0.17)+G109</f>
        <v>95.372550000000004</v>
      </c>
      <c r="H110" s="165">
        <f t="shared" si="274"/>
        <v>106.59285</v>
      </c>
      <c r="I110" s="165">
        <f t="shared" si="274"/>
        <v>140.25375</v>
      </c>
      <c r="J110" s="165">
        <f t="shared" si="274"/>
        <v>145.8639</v>
      </c>
      <c r="K110" s="165">
        <f t="shared" si="274"/>
        <v>190.74510000000001</v>
      </c>
      <c r="L110" s="165">
        <f t="shared" si="274"/>
        <v>196.35524999999998</v>
      </c>
      <c r="M110" s="165">
        <f t="shared" si="274"/>
        <v>302.94810000000001</v>
      </c>
      <c r="N110" s="165">
        <f t="shared" si="274"/>
        <v>359.0496</v>
      </c>
      <c r="O110" s="165">
        <f t="shared" si="274"/>
        <v>448.81200000000001</v>
      </c>
      <c r="P110" s="165">
        <f t="shared" si="274"/>
        <v>516.13379999999995</v>
      </c>
      <c r="Q110" s="118">
        <f t="shared" si="225"/>
        <v>0.20637436675869569</v>
      </c>
      <c r="R110" s="20"/>
      <c r="S110" s="165">
        <f t="shared" ref="S110:AB110" si="275">(S109*0.17)+S109</f>
        <v>5651.1</v>
      </c>
      <c r="T110" s="165">
        <f t="shared" si="275"/>
        <v>5992.9915500000006</v>
      </c>
      <c r="U110" s="165">
        <f t="shared" si="275"/>
        <v>6355.5675387750007</v>
      </c>
      <c r="V110" s="165">
        <f t="shared" si="275"/>
        <v>6740.0793748708884</v>
      </c>
      <c r="W110" s="165">
        <f t="shared" si="275"/>
        <v>7147.8541770505763</v>
      </c>
      <c r="X110" s="165">
        <f t="shared" si="275"/>
        <v>7580.2993547621372</v>
      </c>
      <c r="Y110" s="165">
        <f t="shared" si="275"/>
        <v>8038.9074657252459</v>
      </c>
      <c r="Z110" s="165">
        <f t="shared" si="275"/>
        <v>8525.2613674016247</v>
      </c>
      <c r="AA110" s="165">
        <f t="shared" si="275"/>
        <v>9041.0396801294228</v>
      </c>
      <c r="AB110" s="165">
        <f t="shared" si="275"/>
        <v>9588.0225807772549</v>
      </c>
      <c r="AC110" s="138">
        <f t="shared" si="227"/>
        <v>0.27463109226021576</v>
      </c>
      <c r="AD110" s="20"/>
      <c r="AE110" s="20"/>
    </row>
    <row r="111" spans="2:31" x14ac:dyDescent="0.2">
      <c r="B111" s="20" t="s">
        <v>336</v>
      </c>
      <c r="C111" s="20"/>
      <c r="D111" s="20"/>
      <c r="E111" s="20"/>
      <c r="F111" s="152" t="e">
        <f t="shared" ref="F111:P111" si="276">F110/F40</f>
        <v>#DIV/0!</v>
      </c>
      <c r="G111" s="152">
        <f t="shared" si="276"/>
        <v>0.66230937499999998</v>
      </c>
      <c r="H111" s="152">
        <f t="shared" si="276"/>
        <v>0.58891077348066301</v>
      </c>
      <c r="I111" s="152">
        <f t="shared" si="276"/>
        <v>0.667875</v>
      </c>
      <c r="J111" s="152">
        <f t="shared" si="276"/>
        <v>0.51542014134275616</v>
      </c>
      <c r="K111" s="152">
        <f t="shared" si="276"/>
        <v>0.44566612149532714</v>
      </c>
      <c r="L111" s="152">
        <f t="shared" si="276"/>
        <v>0.46862828162291165</v>
      </c>
      <c r="M111" s="152">
        <f t="shared" si="276"/>
        <v>0.3427014705882353</v>
      </c>
      <c r="N111" s="152">
        <f t="shared" si="276"/>
        <v>0.40754778660612939</v>
      </c>
      <c r="O111" s="152">
        <f t="shared" si="276"/>
        <v>0.44001176470588238</v>
      </c>
      <c r="P111" s="152">
        <f t="shared" si="276"/>
        <v>0.44532683347713542</v>
      </c>
      <c r="Q111" s="118">
        <f t="shared" si="225"/>
        <v>-4.3144317797058962E-2</v>
      </c>
      <c r="R111" s="20"/>
      <c r="S111" s="152">
        <f t="shared" ref="S111:AB111" si="277">S110/S40</f>
        <v>4.2398619499568602</v>
      </c>
      <c r="T111" s="152">
        <f t="shared" si="277"/>
        <v>3.9098900851558702</v>
      </c>
      <c r="U111" s="152">
        <f t="shared" si="277"/>
        <v>3.6055986393980874</v>
      </c>
      <c r="V111" s="152">
        <f t="shared" si="277"/>
        <v>3.3249890061579759</v>
      </c>
      <c r="W111" s="152">
        <f t="shared" si="277"/>
        <v>3.0662181226352465</v>
      </c>
      <c r="X111" s="152">
        <f t="shared" si="277"/>
        <v>2.8275863643953736</v>
      </c>
      <c r="Y111" s="152">
        <f t="shared" si="277"/>
        <v>2.607526382122864</v>
      </c>
      <c r="Z111" s="152">
        <f t="shared" si="277"/>
        <v>2.4045928071663458</v>
      </c>
      <c r="AA111" s="152">
        <f t="shared" si="277"/>
        <v>2.2174527582607912</v>
      </c>
      <c r="AB111" s="152">
        <f t="shared" si="277"/>
        <v>2.0448770870744086</v>
      </c>
      <c r="AC111" s="138">
        <f t="shared" si="227"/>
        <v>6.1130390891663389E-2</v>
      </c>
      <c r="AD111" s="20"/>
      <c r="AE111" s="20"/>
    </row>
    <row r="112" spans="2:31" x14ac:dyDescent="0.2">
      <c r="B112" s="20" t="s">
        <v>329</v>
      </c>
      <c r="C112" s="20"/>
      <c r="D112" s="20"/>
      <c r="E112" s="20"/>
      <c r="F112" s="152" t="e">
        <f>1-F111</f>
        <v>#DIV/0!</v>
      </c>
      <c r="G112" s="152">
        <f>1-G111</f>
        <v>0.33769062500000002</v>
      </c>
      <c r="H112" s="152">
        <f t="shared" ref="H112:P112" si="278">1-H111</f>
        <v>0.41108922651933699</v>
      </c>
      <c r="I112" s="152">
        <f t="shared" si="278"/>
        <v>0.332125</v>
      </c>
      <c r="J112" s="152">
        <f t="shared" si="278"/>
        <v>0.48457985865724384</v>
      </c>
      <c r="K112" s="152">
        <f t="shared" si="278"/>
        <v>0.55433387850467286</v>
      </c>
      <c r="L112" s="152">
        <f t="shared" si="278"/>
        <v>0.5313717183770883</v>
      </c>
      <c r="M112" s="152">
        <f t="shared" si="278"/>
        <v>0.6572985294117647</v>
      </c>
      <c r="N112" s="152">
        <f t="shared" si="278"/>
        <v>0.59245221339387055</v>
      </c>
      <c r="O112" s="152">
        <f t="shared" si="278"/>
        <v>0.55998823529411768</v>
      </c>
      <c r="P112" s="152">
        <f t="shared" si="278"/>
        <v>0.55467316652286458</v>
      </c>
      <c r="Q112" s="118">
        <f t="shared" si="225"/>
        <v>5.668723576007717E-2</v>
      </c>
      <c r="R112" s="20"/>
      <c r="S112" s="152">
        <f t="shared" ref="S112:AB112" si="279">1-S111</f>
        <v>-3.2398619499568602</v>
      </c>
      <c r="T112" s="152">
        <f t="shared" si="279"/>
        <v>-2.9098900851558702</v>
      </c>
      <c r="U112" s="152">
        <f t="shared" si="279"/>
        <v>-2.6055986393980874</v>
      </c>
      <c r="V112" s="152">
        <f t="shared" si="279"/>
        <v>-2.3249890061579759</v>
      </c>
      <c r="W112" s="152">
        <f t="shared" si="279"/>
        <v>-2.0662181226352465</v>
      </c>
      <c r="X112" s="152">
        <f t="shared" si="279"/>
        <v>-1.8275863643953736</v>
      </c>
      <c r="Y112" s="152">
        <f t="shared" si="279"/>
        <v>-1.607526382122864</v>
      </c>
      <c r="Z112" s="152">
        <f t="shared" si="279"/>
        <v>-1.4045928071663458</v>
      </c>
      <c r="AA112" s="152">
        <f t="shared" si="279"/>
        <v>-1.2174527582607912</v>
      </c>
      <c r="AB112" s="152">
        <f t="shared" si="279"/>
        <v>-1.0448770870744086</v>
      </c>
      <c r="AC112" s="138">
        <f t="shared" si="227"/>
        <v>-2.0612512655442905</v>
      </c>
      <c r="AD112" s="20"/>
      <c r="AE112" s="20"/>
    </row>
    <row r="113" spans="2:31" x14ac:dyDescent="0.2">
      <c r="B113" s="20"/>
      <c r="C113" s="20"/>
      <c r="D113" s="20"/>
      <c r="E113" s="20"/>
      <c r="F113" s="20"/>
      <c r="G113" s="152"/>
      <c r="H113" s="152"/>
      <c r="I113" s="152"/>
      <c r="J113" s="152"/>
      <c r="K113" s="152"/>
      <c r="L113" s="152"/>
      <c r="M113" s="152"/>
      <c r="N113" s="152"/>
      <c r="O113" s="152"/>
      <c r="P113" s="152"/>
      <c r="Q113" s="128"/>
      <c r="R113" s="20"/>
      <c r="S113" s="152"/>
      <c r="T113" s="152"/>
      <c r="U113" s="152"/>
      <c r="V113" s="152"/>
      <c r="W113" s="152"/>
      <c r="X113" s="152"/>
      <c r="Y113" s="152"/>
      <c r="Z113" s="152"/>
      <c r="AA113" s="152"/>
      <c r="AB113" s="152"/>
      <c r="AC113" s="128"/>
      <c r="AD113" s="20"/>
      <c r="AE113" s="20"/>
    </row>
    <row r="114" spans="2:31" x14ac:dyDescent="0.2">
      <c r="B114" s="20" t="s">
        <v>333</v>
      </c>
      <c r="C114" s="152"/>
      <c r="D114" s="152"/>
      <c r="E114" s="152"/>
      <c r="F114" s="152" t="e">
        <f>F31/F25</f>
        <v>#DIV/0!</v>
      </c>
      <c r="G114" s="152">
        <f>G31/G25</f>
        <v>0</v>
      </c>
      <c r="H114" s="152">
        <f t="shared" ref="H114:P114" si="280">H31/H25</f>
        <v>0</v>
      </c>
      <c r="I114" s="152">
        <f t="shared" si="280"/>
        <v>0</v>
      </c>
      <c r="J114" s="152">
        <f t="shared" si="280"/>
        <v>0</v>
      </c>
      <c r="K114" s="152">
        <f t="shared" si="280"/>
        <v>0</v>
      </c>
      <c r="L114" s="152">
        <f t="shared" si="280"/>
        <v>0</v>
      </c>
      <c r="M114" s="152">
        <f t="shared" si="280"/>
        <v>0</v>
      </c>
      <c r="N114" s="152">
        <f t="shared" si="280"/>
        <v>0</v>
      </c>
      <c r="O114" s="152">
        <f t="shared" si="280"/>
        <v>0</v>
      </c>
      <c r="P114" s="152">
        <f t="shared" si="280"/>
        <v>0</v>
      </c>
      <c r="Q114" s="118" t="e">
        <f t="shared" si="225"/>
        <v>#DIV/0!</v>
      </c>
      <c r="R114" s="20"/>
      <c r="S114" s="152">
        <f t="shared" ref="S114:AB114" si="281">S31/S25</f>
        <v>0</v>
      </c>
      <c r="T114" s="152">
        <f t="shared" si="281"/>
        <v>0</v>
      </c>
      <c r="U114" s="152">
        <f t="shared" si="281"/>
        <v>0</v>
      </c>
      <c r="V114" s="152">
        <f t="shared" si="281"/>
        <v>0</v>
      </c>
      <c r="W114" s="152">
        <f t="shared" si="281"/>
        <v>0</v>
      </c>
      <c r="X114" s="152">
        <f t="shared" si="281"/>
        <v>0</v>
      </c>
      <c r="Y114" s="152">
        <f t="shared" si="281"/>
        <v>0</v>
      </c>
      <c r="Z114" s="152">
        <f t="shared" si="281"/>
        <v>0</v>
      </c>
      <c r="AA114" s="152">
        <f t="shared" si="281"/>
        <v>0</v>
      </c>
      <c r="AB114" s="152">
        <f t="shared" si="281"/>
        <v>0</v>
      </c>
      <c r="AC114" s="138" t="e">
        <f t="shared" si="227"/>
        <v>#DIV/0!</v>
      </c>
      <c r="AD114" s="20"/>
      <c r="AE114" s="20"/>
    </row>
    <row r="115" spans="2:31" x14ac:dyDescent="0.2">
      <c r="B115" s="20" t="s">
        <v>330</v>
      </c>
      <c r="C115" s="152"/>
      <c r="D115" s="152"/>
      <c r="E115" s="152"/>
      <c r="F115" s="152" t="e">
        <f>F32/F25</f>
        <v>#DIV/0!</v>
      </c>
      <c r="G115" s="152">
        <f>G32/G25</f>
        <v>0</v>
      </c>
      <c r="H115" s="152">
        <f t="shared" ref="H115:P115" si="282">H32/H25</f>
        <v>0</v>
      </c>
      <c r="I115" s="152">
        <f t="shared" si="282"/>
        <v>0</v>
      </c>
      <c r="J115" s="152">
        <f t="shared" si="282"/>
        <v>0</v>
      </c>
      <c r="K115" s="152">
        <f t="shared" si="282"/>
        <v>0</v>
      </c>
      <c r="L115" s="152">
        <f t="shared" si="282"/>
        <v>0</v>
      </c>
      <c r="M115" s="152">
        <f t="shared" si="282"/>
        <v>0</v>
      </c>
      <c r="N115" s="152">
        <f t="shared" si="282"/>
        <v>0</v>
      </c>
      <c r="O115" s="152">
        <f t="shared" si="282"/>
        <v>0</v>
      </c>
      <c r="P115" s="152">
        <f t="shared" si="282"/>
        <v>0</v>
      </c>
      <c r="Q115" s="118" t="e">
        <f t="shared" si="225"/>
        <v>#DIV/0!</v>
      </c>
      <c r="R115" s="20"/>
      <c r="S115" s="152">
        <f t="shared" ref="S115:AB115" si="283">S32/S25</f>
        <v>0</v>
      </c>
      <c r="T115" s="152">
        <f t="shared" si="283"/>
        <v>0</v>
      </c>
      <c r="U115" s="152">
        <f t="shared" si="283"/>
        <v>0</v>
      </c>
      <c r="V115" s="152">
        <f t="shared" si="283"/>
        <v>0</v>
      </c>
      <c r="W115" s="152">
        <f t="shared" si="283"/>
        <v>0</v>
      </c>
      <c r="X115" s="152">
        <f t="shared" si="283"/>
        <v>0</v>
      </c>
      <c r="Y115" s="152">
        <f t="shared" si="283"/>
        <v>0</v>
      </c>
      <c r="Z115" s="152">
        <f t="shared" si="283"/>
        <v>0</v>
      </c>
      <c r="AA115" s="152">
        <f t="shared" si="283"/>
        <v>0</v>
      </c>
      <c r="AB115" s="152">
        <f t="shared" si="283"/>
        <v>0</v>
      </c>
      <c r="AC115" s="138" t="e">
        <f t="shared" si="227"/>
        <v>#DIV/0!</v>
      </c>
      <c r="AD115" s="20"/>
      <c r="AE115" s="20"/>
    </row>
    <row r="116" spans="2:31" x14ac:dyDescent="0.2">
      <c r="B116" s="20"/>
      <c r="C116" s="20"/>
      <c r="D116" s="20"/>
      <c r="E116" s="20"/>
      <c r="F116" s="20"/>
      <c r="G116" s="152"/>
      <c r="H116" s="152"/>
      <c r="I116" s="152"/>
      <c r="J116" s="152"/>
      <c r="K116" s="152"/>
      <c r="L116" s="152"/>
      <c r="M116" s="152"/>
      <c r="N116" s="152"/>
      <c r="O116" s="152"/>
      <c r="P116" s="152"/>
      <c r="Q116" s="128"/>
      <c r="R116" s="20"/>
      <c r="S116" s="152"/>
      <c r="T116" s="152"/>
      <c r="U116" s="152"/>
      <c r="V116" s="152"/>
      <c r="W116" s="152"/>
      <c r="X116" s="152"/>
      <c r="Y116" s="152"/>
      <c r="Z116" s="152"/>
      <c r="AA116" s="152"/>
      <c r="AB116" s="152"/>
      <c r="AC116" s="128"/>
      <c r="AD116" s="20"/>
      <c r="AE116" s="20"/>
    </row>
    <row r="117" spans="2:31" x14ac:dyDescent="0.2">
      <c r="B117" s="20" t="s">
        <v>354</v>
      </c>
      <c r="C117" s="20"/>
      <c r="D117" s="20"/>
      <c r="E117" s="20"/>
      <c r="F117" s="20"/>
      <c r="G117" s="152">
        <f>G27/G25</f>
        <v>0.85496866606982991</v>
      </c>
      <c r="H117" s="152">
        <f t="shared" ref="H117:P117" si="284">H27/H25</f>
        <v>0.86252354048964219</v>
      </c>
      <c r="I117" s="152">
        <f t="shared" si="284"/>
        <v>0.86201245493280887</v>
      </c>
      <c r="J117" s="152">
        <f t="shared" si="284"/>
        <v>0.87056737588652477</v>
      </c>
      <c r="K117" s="152">
        <f t="shared" si="284"/>
        <v>0.84654840777944007</v>
      </c>
      <c r="L117" s="152">
        <f t="shared" si="284"/>
        <v>0.87423899808662375</v>
      </c>
      <c r="M117" s="152">
        <f t="shared" si="284"/>
        <v>0.80904801554260342</v>
      </c>
      <c r="N117" s="152">
        <f t="shared" si="284"/>
        <v>0.83058452583070574</v>
      </c>
      <c r="O117" s="152">
        <f t="shared" si="284"/>
        <v>0.84295027731828354</v>
      </c>
      <c r="P117" s="152">
        <f t="shared" si="284"/>
        <v>0.84270620313565103</v>
      </c>
      <c r="Q117" s="118">
        <f t="shared" si="225"/>
        <v>-1.603872044482868E-3</v>
      </c>
      <c r="R117" s="20"/>
      <c r="S117" s="152">
        <f t="shared" ref="S117:AB117" si="285">S27/S25</f>
        <v>0.84270620313565103</v>
      </c>
      <c r="T117" s="152">
        <f t="shared" si="285"/>
        <v>0.84270620313565103</v>
      </c>
      <c r="U117" s="152">
        <f t="shared" si="285"/>
        <v>0.84270620313565103</v>
      </c>
      <c r="V117" s="152">
        <f t="shared" si="285"/>
        <v>0.84270620313565103</v>
      </c>
      <c r="W117" s="152">
        <f t="shared" si="285"/>
        <v>0.84270620313565103</v>
      </c>
      <c r="X117" s="152">
        <f t="shared" si="285"/>
        <v>0.84270620313565092</v>
      </c>
      <c r="Y117" s="152">
        <f t="shared" si="285"/>
        <v>0.84270620313565092</v>
      </c>
      <c r="Z117" s="152">
        <f t="shared" si="285"/>
        <v>0.84270620313565092</v>
      </c>
      <c r="AA117" s="152">
        <f t="shared" si="285"/>
        <v>0.84270620313565092</v>
      </c>
      <c r="AB117" s="152">
        <f t="shared" si="285"/>
        <v>0.84270620313565081</v>
      </c>
      <c r="AC117" s="138">
        <f t="shared" si="227"/>
        <v>-7.6004978507138166E-4</v>
      </c>
      <c r="AD117" s="20"/>
      <c r="AE117" s="20"/>
    </row>
    <row r="118" spans="2:31" x14ac:dyDescent="0.2">
      <c r="B118" s="20" t="str">
        <f>B33</f>
        <v>Top Expenses ( Raw material )</v>
      </c>
      <c r="C118" s="20"/>
      <c r="D118" s="20"/>
      <c r="E118" s="20"/>
      <c r="F118" s="20"/>
      <c r="G118" s="152">
        <f>G33/G25</f>
        <v>0.56401074306177257</v>
      </c>
      <c r="H118" s="152">
        <f t="shared" ref="H118:P118" si="286">H33/H25</f>
        <v>0.59472693032015067</v>
      </c>
      <c r="I118" s="152">
        <f t="shared" si="286"/>
        <v>0.59750901343821694</v>
      </c>
      <c r="J118" s="152">
        <f t="shared" si="286"/>
        <v>0.58080040526849042</v>
      </c>
      <c r="K118" s="152">
        <f t="shared" si="286"/>
        <v>0.56379568283821324</v>
      </c>
      <c r="L118" s="152">
        <f t="shared" si="286"/>
        <v>0.59192903113584971</v>
      </c>
      <c r="M118" s="152">
        <f t="shared" si="286"/>
        <v>0.53871773522064947</v>
      </c>
      <c r="N118" s="152">
        <f t="shared" si="286"/>
        <v>0.56427358719379095</v>
      </c>
      <c r="O118" s="152">
        <f t="shared" si="286"/>
        <v>0.58158995815899583</v>
      </c>
      <c r="P118" s="152">
        <f t="shared" si="286"/>
        <v>0.56467280163599187</v>
      </c>
      <c r="Q118" s="118">
        <f t="shared" si="225"/>
        <v>1.3035871251765307E-4</v>
      </c>
      <c r="R118" s="20"/>
      <c r="S118" s="152">
        <f t="shared" ref="S118:AB118" si="287">S33/S25</f>
        <v>0.56467280163599176</v>
      </c>
      <c r="T118" s="152">
        <f t="shared" si="287"/>
        <v>0.56467280163599176</v>
      </c>
      <c r="U118" s="152">
        <f t="shared" si="287"/>
        <v>0.56467280163599176</v>
      </c>
      <c r="V118" s="152">
        <f t="shared" si="287"/>
        <v>0.56467280163599187</v>
      </c>
      <c r="W118" s="152">
        <f t="shared" si="287"/>
        <v>0.56467280163599176</v>
      </c>
      <c r="X118" s="152">
        <f t="shared" si="287"/>
        <v>0.56467280163599176</v>
      </c>
      <c r="Y118" s="152">
        <f t="shared" si="287"/>
        <v>0.56467280163599176</v>
      </c>
      <c r="Z118" s="152">
        <f t="shared" si="287"/>
        <v>0.56467280163599176</v>
      </c>
      <c r="AA118" s="152">
        <f t="shared" si="287"/>
        <v>0.56467280163599176</v>
      </c>
      <c r="AB118" s="152">
        <f t="shared" si="287"/>
        <v>0.56467280163599176</v>
      </c>
      <c r="AC118" s="138">
        <f t="shared" si="227"/>
        <v>6.1746745674495784E-5</v>
      </c>
      <c r="AD118" s="20"/>
      <c r="AE118" s="20"/>
    </row>
    <row r="119" spans="2:31" x14ac:dyDescent="0.2">
      <c r="B119" s="20" t="str">
        <f>B34</f>
        <v>2nd highest Expenses Comp. ( Empl )</v>
      </c>
      <c r="C119" s="20"/>
      <c r="D119" s="20"/>
      <c r="E119" s="20"/>
      <c r="F119" s="20"/>
      <c r="G119" s="152">
        <f>G34/G25</f>
        <v>8.2811101163831696E-2</v>
      </c>
      <c r="H119" s="152">
        <f t="shared" ref="H119:P119" si="288">H34/H25</f>
        <v>7.608286252354049E-2</v>
      </c>
      <c r="I119" s="152">
        <f t="shared" si="288"/>
        <v>7.3418551294657491E-2</v>
      </c>
      <c r="J119" s="152">
        <f t="shared" si="288"/>
        <v>6.6616008105369814E-2</v>
      </c>
      <c r="K119" s="152">
        <f t="shared" si="288"/>
        <v>6.5612310322718526E-2</v>
      </c>
      <c r="L119" s="152">
        <f t="shared" si="288"/>
        <v>6.4706905548791091E-2</v>
      </c>
      <c r="M119" s="152">
        <f t="shared" si="288"/>
        <v>6.0782681099084093E-2</v>
      </c>
      <c r="N119" s="152">
        <f t="shared" si="288"/>
        <v>5.5178268251273345E-2</v>
      </c>
      <c r="O119" s="152">
        <f t="shared" si="288"/>
        <v>5.1376860951639583E-2</v>
      </c>
      <c r="P119" s="152">
        <f t="shared" si="288"/>
        <v>5.3084526244035445E-2</v>
      </c>
      <c r="Q119" s="118">
        <f t="shared" si="225"/>
        <v>-4.8207772348917932E-2</v>
      </c>
      <c r="R119" s="20"/>
      <c r="S119" s="152">
        <f t="shared" ref="S119:AB119" si="289">S34/S25</f>
        <v>5.3084526244035445E-2</v>
      </c>
      <c r="T119" s="152">
        <f t="shared" si="289"/>
        <v>5.3084526244035445E-2</v>
      </c>
      <c r="U119" s="152">
        <f t="shared" si="289"/>
        <v>5.3084526244035445E-2</v>
      </c>
      <c r="V119" s="152">
        <f t="shared" si="289"/>
        <v>5.3084526244035438E-2</v>
      </c>
      <c r="W119" s="152">
        <f t="shared" si="289"/>
        <v>5.3084526244035438E-2</v>
      </c>
      <c r="X119" s="152">
        <f t="shared" si="289"/>
        <v>5.3084526244035431E-2</v>
      </c>
      <c r="Y119" s="152">
        <f t="shared" si="289"/>
        <v>5.3084526244035431E-2</v>
      </c>
      <c r="Z119" s="152">
        <f t="shared" si="289"/>
        <v>5.3084526244035431E-2</v>
      </c>
      <c r="AA119" s="152">
        <f t="shared" si="289"/>
        <v>5.3084526244035431E-2</v>
      </c>
      <c r="AB119" s="152">
        <f t="shared" si="289"/>
        <v>5.3084526244035438E-2</v>
      </c>
      <c r="AC119" s="138">
        <f t="shared" si="227"/>
        <v>-2.3132283766884698E-2</v>
      </c>
      <c r="AD119" s="20"/>
      <c r="AE119" s="20"/>
    </row>
    <row r="120" spans="2:31" x14ac:dyDescent="0.2"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128"/>
      <c r="R120" s="128"/>
      <c r="S120" s="119"/>
      <c r="T120" s="119"/>
      <c r="U120" s="119"/>
      <c r="V120" s="119"/>
      <c r="W120" s="119"/>
      <c r="X120" s="119"/>
      <c r="Y120" s="119"/>
      <c r="Z120" s="119"/>
      <c r="AA120" s="119"/>
      <c r="AB120" s="119"/>
      <c r="AC120" s="139"/>
      <c r="AD120" s="20"/>
      <c r="AE120" s="20"/>
    </row>
    <row r="121" spans="2:31" x14ac:dyDescent="0.2">
      <c r="B121" s="108" t="s">
        <v>362</v>
      </c>
      <c r="C121" s="20"/>
      <c r="D121" s="20"/>
      <c r="E121" s="20"/>
      <c r="F121" s="20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118"/>
      <c r="R121" s="128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138"/>
      <c r="AD121" s="20"/>
      <c r="AE121" s="20"/>
    </row>
    <row r="122" spans="2:31" x14ac:dyDescent="0.2">
      <c r="B122" s="20" t="s">
        <v>365</v>
      </c>
      <c r="C122" s="20"/>
      <c r="D122" s="20"/>
      <c r="E122" s="20"/>
      <c r="F122" s="20"/>
      <c r="G122" s="25">
        <f>G15/G9</f>
        <v>1.2367424242424243</v>
      </c>
      <c r="H122" s="25">
        <f t="shared" ref="H122:AB122" si="290">H15/H9</f>
        <v>1.4422382671480145</v>
      </c>
      <c r="I122" s="25">
        <f t="shared" si="290"/>
        <v>1.3990610328638498</v>
      </c>
      <c r="J122" s="25">
        <f t="shared" si="290"/>
        <v>1.3138173302107727</v>
      </c>
      <c r="K122" s="25">
        <f t="shared" si="290"/>
        <v>1.1971962616822429</v>
      </c>
      <c r="L122" s="25">
        <f t="shared" si="290"/>
        <v>1.4</v>
      </c>
      <c r="M122" s="25">
        <f t="shared" si="290"/>
        <v>1.0830496936691627</v>
      </c>
      <c r="N122" s="25">
        <f t="shared" si="290"/>
        <v>1.1335986355884025</v>
      </c>
      <c r="O122" s="25">
        <f t="shared" si="290"/>
        <v>1.2984084880636604</v>
      </c>
      <c r="P122" s="25">
        <f t="shared" si="290"/>
        <v>1.4448499594484996</v>
      </c>
      <c r="Q122" s="118">
        <f t="shared" si="225"/>
        <v>1.7430687016227298E-2</v>
      </c>
      <c r="R122" s="20"/>
      <c r="S122" s="25">
        <f t="shared" si="290"/>
        <v>1.4448499594484998</v>
      </c>
      <c r="T122" s="25">
        <f t="shared" si="290"/>
        <v>1.4448499594484996</v>
      </c>
      <c r="U122" s="25">
        <f t="shared" si="290"/>
        <v>1.4448499594484994</v>
      </c>
      <c r="V122" s="25">
        <f t="shared" si="290"/>
        <v>1.4448499594484994</v>
      </c>
      <c r="W122" s="25">
        <f t="shared" si="290"/>
        <v>1.4448499594484994</v>
      </c>
      <c r="X122" s="25">
        <f t="shared" si="290"/>
        <v>1.4448499594484991</v>
      </c>
      <c r="Y122" s="25">
        <f t="shared" si="290"/>
        <v>1.4448499594484991</v>
      </c>
      <c r="Z122" s="25">
        <f t="shared" si="290"/>
        <v>1.4448499594484991</v>
      </c>
      <c r="AA122" s="25">
        <f t="shared" si="290"/>
        <v>1.4448499594484994</v>
      </c>
      <c r="AB122" s="25">
        <f t="shared" si="290"/>
        <v>1.4448499594484994</v>
      </c>
      <c r="AC122" s="138">
        <f t="shared" si="227"/>
        <v>8.2191000337741293E-3</v>
      </c>
      <c r="AD122" s="20"/>
      <c r="AE122" s="20"/>
    </row>
    <row r="123" spans="2:31" x14ac:dyDescent="0.2">
      <c r="B123" s="20" t="s">
        <v>355</v>
      </c>
      <c r="C123" s="20"/>
      <c r="D123" s="20"/>
      <c r="E123" s="20"/>
      <c r="F123" s="20"/>
      <c r="G123" s="25">
        <f>G12/G9</f>
        <v>0.13257575757575757</v>
      </c>
      <c r="H123" s="25">
        <f t="shared" ref="H123:P123" si="291">H12/H9</f>
        <v>0.11010830324909747</v>
      </c>
      <c r="I123" s="25">
        <f t="shared" si="291"/>
        <v>0.11424100156494522</v>
      </c>
      <c r="J123" s="25">
        <f t="shared" si="291"/>
        <v>0.12295081967213115</v>
      </c>
      <c r="K123" s="25">
        <f t="shared" si="291"/>
        <v>0.10322429906542056</v>
      </c>
      <c r="L123" s="25">
        <f t="shared" si="291"/>
        <v>0.19004524886877827</v>
      </c>
      <c r="M123" s="25">
        <f t="shared" si="291"/>
        <v>7.2157930565010214E-2</v>
      </c>
      <c r="N123" s="25">
        <f t="shared" si="291"/>
        <v>7.5042637862421824E-2</v>
      </c>
      <c r="O123" s="25">
        <f t="shared" si="291"/>
        <v>0.27586206896551724</v>
      </c>
      <c r="P123" s="25">
        <f t="shared" si="291"/>
        <v>0.30494728304947283</v>
      </c>
      <c r="Q123" s="118">
        <f t="shared" si="225"/>
        <v>9.697221580945059E-2</v>
      </c>
      <c r="R123" s="128"/>
      <c r="S123" s="25">
        <f t="shared" ref="S123:AB123" si="292">S12/S9</f>
        <v>0.30494728304947283</v>
      </c>
      <c r="T123" s="25">
        <f t="shared" si="292"/>
        <v>0.30494728304947283</v>
      </c>
      <c r="U123" s="25">
        <f t="shared" si="292"/>
        <v>0.30494728304947288</v>
      </c>
      <c r="V123" s="25">
        <f t="shared" si="292"/>
        <v>0.30494728304947288</v>
      </c>
      <c r="W123" s="25">
        <f t="shared" si="292"/>
        <v>0.30494728304947288</v>
      </c>
      <c r="X123" s="25">
        <f t="shared" si="292"/>
        <v>0.30494728304947288</v>
      </c>
      <c r="Y123" s="25">
        <f t="shared" si="292"/>
        <v>0.30494728304947288</v>
      </c>
      <c r="Z123" s="25">
        <f t="shared" si="292"/>
        <v>0.30494728304947288</v>
      </c>
      <c r="AA123" s="25">
        <f t="shared" si="292"/>
        <v>0.30494728304947294</v>
      </c>
      <c r="AB123" s="25">
        <f t="shared" si="292"/>
        <v>0.30494728304947294</v>
      </c>
      <c r="AC123" s="118">
        <f t="shared" ref="AC123" si="293">((AB123/S123)^(1/($H$2-$H$1) ))-1</f>
        <v>0</v>
      </c>
      <c r="AD123" s="20"/>
      <c r="AE123" s="20"/>
    </row>
    <row r="124" spans="2:31" x14ac:dyDescent="0.2">
      <c r="B124" s="20" t="s">
        <v>357</v>
      </c>
      <c r="C124" s="20"/>
      <c r="D124" s="20"/>
      <c r="E124" s="20"/>
      <c r="F124" s="20"/>
      <c r="G124" s="25">
        <f>G25/360</f>
        <v>6.2055555555555557</v>
      </c>
      <c r="H124" s="25">
        <f t="shared" ref="H124:P124" si="294">H25/360</f>
        <v>7.375</v>
      </c>
      <c r="I124" s="25">
        <f t="shared" si="294"/>
        <v>8.4749999999999996</v>
      </c>
      <c r="J124" s="25">
        <f t="shared" si="294"/>
        <v>10.966666666666667</v>
      </c>
      <c r="K124" s="25">
        <f t="shared" si="294"/>
        <v>12.997222222222222</v>
      </c>
      <c r="L124" s="25">
        <f t="shared" si="294"/>
        <v>15.969444444444445</v>
      </c>
      <c r="M124" s="25">
        <f t="shared" si="294"/>
        <v>20.016666666666666</v>
      </c>
      <c r="N124" s="25">
        <f t="shared" si="294"/>
        <v>22.905555555555555</v>
      </c>
      <c r="O124" s="25">
        <f t="shared" si="294"/>
        <v>28.547222222222221</v>
      </c>
      <c r="P124" s="25">
        <f t="shared" si="294"/>
        <v>32.6</v>
      </c>
      <c r="Q124" s="118">
        <f t="shared" si="225"/>
        <v>0.20239883835978656</v>
      </c>
      <c r="R124" s="128"/>
      <c r="S124" s="25">
        <f t="shared" ref="S124:AB124" si="295">S25/360</f>
        <v>37.49</v>
      </c>
      <c r="T124" s="25">
        <f t="shared" si="295"/>
        <v>43.113499999999995</v>
      </c>
      <c r="U124" s="25">
        <f t="shared" si="295"/>
        <v>49.580524999999994</v>
      </c>
      <c r="V124" s="25">
        <f t="shared" si="295"/>
        <v>57.017603749999985</v>
      </c>
      <c r="W124" s="25">
        <f t="shared" si="295"/>
        <v>65.57024431249998</v>
      </c>
      <c r="X124" s="25">
        <f t="shared" si="295"/>
        <v>75.405780959374965</v>
      </c>
      <c r="Y124" s="25">
        <f t="shared" si="295"/>
        <v>86.716648103281202</v>
      </c>
      <c r="Z124" s="25">
        <f t="shared" si="295"/>
        <v>99.724145318773381</v>
      </c>
      <c r="AA124" s="25">
        <f t="shared" si="295"/>
        <v>114.68276711658937</v>
      </c>
      <c r="AB124" s="25">
        <f t="shared" si="295"/>
        <v>131.88518218407776</v>
      </c>
      <c r="AC124" s="118">
        <f t="shared" ref="AC124:AC135" si="296">((AB124/S124)^(1/($H$2-$H$1) ))-1</f>
        <v>0.14999999999999991</v>
      </c>
      <c r="AD124" s="20"/>
      <c r="AE124" s="20"/>
    </row>
    <row r="125" spans="2:31" x14ac:dyDescent="0.2">
      <c r="B125" s="20" t="s">
        <v>356</v>
      </c>
      <c r="C125" s="20"/>
      <c r="D125" s="20"/>
      <c r="E125" s="20"/>
      <c r="F125" s="20"/>
      <c r="G125" s="25">
        <f>G27/360</f>
        <v>5.3055555555555554</v>
      </c>
      <c r="H125" s="25">
        <f t="shared" ref="H125:P125" si="297">H27/360</f>
        <v>6.3611111111111107</v>
      </c>
      <c r="I125" s="25">
        <f t="shared" si="297"/>
        <v>7.3055555555555554</v>
      </c>
      <c r="J125" s="25">
        <f t="shared" si="297"/>
        <v>9.5472222222222225</v>
      </c>
      <c r="K125" s="25">
        <f t="shared" si="297"/>
        <v>11.002777777777778</v>
      </c>
      <c r="L125" s="25">
        <f t="shared" si="297"/>
        <v>13.96111111111111</v>
      </c>
      <c r="M125" s="25">
        <f t="shared" si="297"/>
        <v>16.194444444444443</v>
      </c>
      <c r="N125" s="25">
        <f t="shared" si="297"/>
        <v>19.024999999999999</v>
      </c>
      <c r="O125" s="25">
        <f t="shared" si="297"/>
        <v>24.06388888888889</v>
      </c>
      <c r="P125" s="25">
        <f t="shared" si="297"/>
        <v>27.472222222222221</v>
      </c>
      <c r="Q125" s="118">
        <f t="shared" si="225"/>
        <v>0.20047034447662249</v>
      </c>
      <c r="R125" s="128"/>
      <c r="S125" s="25">
        <f t="shared" ref="S125:AB125" si="298">S27/360</f>
        <v>31.593055555555555</v>
      </c>
      <c r="T125" s="25">
        <f t="shared" si="298"/>
        <v>36.332013888888888</v>
      </c>
      <c r="U125" s="25">
        <f t="shared" si="298"/>
        <v>41.781815972222219</v>
      </c>
      <c r="V125" s="25">
        <f t="shared" si="298"/>
        <v>48.04908836805555</v>
      </c>
      <c r="W125" s="25">
        <f t="shared" si="298"/>
        <v>55.256451623263871</v>
      </c>
      <c r="X125" s="25">
        <f t="shared" si="298"/>
        <v>63.54491936675344</v>
      </c>
      <c r="Y125" s="25">
        <f t="shared" si="298"/>
        <v>73.07665727176645</v>
      </c>
      <c r="Z125" s="25">
        <f t="shared" si="298"/>
        <v>84.038155862531411</v>
      </c>
      <c r="AA125" s="25">
        <f t="shared" si="298"/>
        <v>96.643879241911108</v>
      </c>
      <c r="AB125" s="25">
        <f t="shared" si="298"/>
        <v>111.14046112819777</v>
      </c>
      <c r="AC125" s="118">
        <f t="shared" si="296"/>
        <v>0.14999999999999991</v>
      </c>
      <c r="AD125" s="20"/>
      <c r="AE125" s="20"/>
    </row>
    <row r="126" spans="2:31" x14ac:dyDescent="0.2">
      <c r="B126" s="20"/>
      <c r="C126" s="20"/>
      <c r="D126" s="20"/>
      <c r="E126" s="20"/>
      <c r="F126" s="20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128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128"/>
      <c r="AD126" s="20"/>
      <c r="AE126" s="20"/>
    </row>
    <row r="127" spans="2:31" x14ac:dyDescent="0.2">
      <c r="B127" s="20" t="s">
        <v>366</v>
      </c>
      <c r="C127" s="20"/>
      <c r="D127" s="20"/>
      <c r="E127" s="20"/>
      <c r="F127" s="20"/>
      <c r="G127" s="25">
        <f>G10/G7</f>
        <v>0.31947069943289225</v>
      </c>
      <c r="H127" s="25">
        <f t="shared" ref="H127:P127" si="299">H10/H7</f>
        <v>0.38800705467372132</v>
      </c>
      <c r="I127" s="25">
        <f t="shared" si="299"/>
        <v>0.37461300309597523</v>
      </c>
      <c r="J127" s="25">
        <f t="shared" si="299"/>
        <v>0.37065637065637064</v>
      </c>
      <c r="K127" s="25">
        <f t="shared" si="299"/>
        <v>0.26171079429735233</v>
      </c>
      <c r="L127" s="25">
        <f t="shared" si="299"/>
        <v>0.24854530340814629</v>
      </c>
      <c r="M127" s="25">
        <f t="shared" si="299"/>
        <v>0.13224107665301346</v>
      </c>
      <c r="N127" s="25">
        <f t="shared" si="299"/>
        <v>0.10653863740283494</v>
      </c>
      <c r="O127" s="25">
        <f t="shared" si="299"/>
        <v>0.12190684133915575</v>
      </c>
      <c r="P127" s="25">
        <f t="shared" si="299"/>
        <v>7.0035460992907805E-2</v>
      </c>
      <c r="Q127" s="118">
        <f t="shared" si="225"/>
        <v>-0.15517799439909219</v>
      </c>
      <c r="R127" s="128"/>
      <c r="S127" s="25">
        <f t="shared" ref="S127:AB127" si="300">S10/S7</f>
        <v>7.0035460992907791E-2</v>
      </c>
      <c r="T127" s="25">
        <f t="shared" si="300"/>
        <v>7.0035460992907805E-2</v>
      </c>
      <c r="U127" s="25">
        <f t="shared" si="300"/>
        <v>7.0035460992907805E-2</v>
      </c>
      <c r="V127" s="25">
        <f t="shared" si="300"/>
        <v>7.0035460992907805E-2</v>
      </c>
      <c r="W127" s="25">
        <f t="shared" si="300"/>
        <v>7.0035460992907805E-2</v>
      </c>
      <c r="X127" s="25">
        <f t="shared" si="300"/>
        <v>7.0035460992907805E-2</v>
      </c>
      <c r="Y127" s="25">
        <f t="shared" si="300"/>
        <v>7.0035460992907805E-2</v>
      </c>
      <c r="Z127" s="25">
        <f t="shared" si="300"/>
        <v>7.0035460992907805E-2</v>
      </c>
      <c r="AA127" s="25">
        <f t="shared" si="300"/>
        <v>7.0035460992907819E-2</v>
      </c>
      <c r="AB127" s="25">
        <f t="shared" si="300"/>
        <v>7.0035460992907805E-2</v>
      </c>
      <c r="AC127" s="118">
        <f t="shared" si="296"/>
        <v>0</v>
      </c>
      <c r="AD127" s="20"/>
      <c r="AE127" s="20"/>
    </row>
    <row r="128" spans="2:31" x14ac:dyDescent="0.2">
      <c r="B128" s="20" t="s">
        <v>358</v>
      </c>
      <c r="C128" s="20"/>
      <c r="D128" s="20"/>
      <c r="E128" s="20"/>
      <c r="F128" s="20"/>
      <c r="G128" s="25">
        <f>G10/(G10+G7)</f>
        <v>0.24212034383954154</v>
      </c>
      <c r="H128" s="25">
        <f t="shared" ref="H128:P128" si="301">H10/(H10+H7)</f>
        <v>0.27954256670902161</v>
      </c>
      <c r="I128" s="25">
        <f t="shared" si="301"/>
        <v>0.27252252252252251</v>
      </c>
      <c r="J128" s="25">
        <f t="shared" si="301"/>
        <v>0.27042253521126758</v>
      </c>
      <c r="K128" s="25">
        <f t="shared" si="301"/>
        <v>0.20742534301856336</v>
      </c>
      <c r="L128" s="25">
        <f t="shared" si="301"/>
        <v>0.19906790945406125</v>
      </c>
      <c r="M128" s="25">
        <f t="shared" si="301"/>
        <v>0.11679586563307494</v>
      </c>
      <c r="N128" s="25">
        <f t="shared" si="301"/>
        <v>9.6280991735537197E-2</v>
      </c>
      <c r="O128" s="25">
        <f t="shared" si="301"/>
        <v>0.10866039571845605</v>
      </c>
      <c r="P128" s="25">
        <f t="shared" si="301"/>
        <v>6.5451532725766357E-2</v>
      </c>
      <c r="Q128" s="118">
        <f t="shared" si="225"/>
        <v>-0.13527800786763566</v>
      </c>
      <c r="R128" s="128"/>
      <c r="S128" s="25">
        <f t="shared" ref="S128:AB128" si="302">S10/(S10+S7)</f>
        <v>6.5451532725766357E-2</v>
      </c>
      <c r="T128" s="25">
        <f t="shared" si="302"/>
        <v>6.545153272576637E-2</v>
      </c>
      <c r="U128" s="25">
        <f t="shared" si="302"/>
        <v>6.545153272576637E-2</v>
      </c>
      <c r="V128" s="25">
        <f t="shared" si="302"/>
        <v>6.5451532725766357E-2</v>
      </c>
      <c r="W128" s="25">
        <f t="shared" si="302"/>
        <v>6.545153272576637E-2</v>
      </c>
      <c r="X128" s="25">
        <f t="shared" si="302"/>
        <v>6.545153272576637E-2</v>
      </c>
      <c r="Y128" s="25">
        <f t="shared" si="302"/>
        <v>6.5451532725766357E-2</v>
      </c>
      <c r="Z128" s="25">
        <f t="shared" si="302"/>
        <v>6.545153272576637E-2</v>
      </c>
      <c r="AA128" s="25">
        <f t="shared" si="302"/>
        <v>6.545153272576637E-2</v>
      </c>
      <c r="AB128" s="25">
        <f t="shared" si="302"/>
        <v>6.545153272576637E-2</v>
      </c>
      <c r="AC128" s="118">
        <f t="shared" si="296"/>
        <v>0</v>
      </c>
      <c r="AD128" s="20"/>
      <c r="AE128" s="20"/>
    </row>
    <row r="129" spans="2:31" x14ac:dyDescent="0.2">
      <c r="B129" s="20"/>
      <c r="C129" s="20"/>
      <c r="D129" s="20"/>
      <c r="E129" s="20"/>
      <c r="F129" s="20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128"/>
      <c r="R129" s="128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137"/>
      <c r="AD129" s="20"/>
      <c r="AE129" s="20"/>
    </row>
    <row r="130" spans="2:31" x14ac:dyDescent="0.2">
      <c r="B130" s="20" t="s">
        <v>363</v>
      </c>
      <c r="C130" s="20"/>
      <c r="D130" s="20"/>
      <c r="E130" s="20"/>
      <c r="F130" s="20"/>
      <c r="G130" s="25">
        <f>G16</f>
        <v>134</v>
      </c>
      <c r="H130" s="25">
        <f t="shared" ref="H130:P130" si="303">H16</f>
        <v>246</v>
      </c>
      <c r="I130" s="25">
        <f t="shared" si="303"/>
        <v>274</v>
      </c>
      <c r="J130" s="25">
        <f t="shared" si="303"/>
        <v>379</v>
      </c>
      <c r="K130" s="25">
        <f t="shared" si="303"/>
        <v>256</v>
      </c>
      <c r="L130" s="25">
        <f t="shared" si="303"/>
        <v>466</v>
      </c>
      <c r="M130" s="25">
        <f t="shared" si="303"/>
        <v>78</v>
      </c>
      <c r="N130" s="25">
        <f t="shared" si="303"/>
        <v>227</v>
      </c>
      <c r="O130" s="25">
        <f t="shared" si="303"/>
        <v>720</v>
      </c>
      <c r="P130" s="25">
        <f t="shared" si="303"/>
        <v>1002</v>
      </c>
      <c r="Q130" s="118">
        <f t="shared" si="225"/>
        <v>0.25050309008297589</v>
      </c>
      <c r="R130" s="128"/>
      <c r="S130" s="25">
        <f t="shared" ref="S130:AB130" si="304">S16</f>
        <v>1152.3</v>
      </c>
      <c r="T130" s="25">
        <f t="shared" si="304"/>
        <v>1325.1449999999998</v>
      </c>
      <c r="U130" s="25">
        <f t="shared" si="304"/>
        <v>1523.9167499999996</v>
      </c>
      <c r="V130" s="25">
        <f t="shared" si="304"/>
        <v>1752.5042624999994</v>
      </c>
      <c r="W130" s="25">
        <f t="shared" si="304"/>
        <v>2015.3799018749992</v>
      </c>
      <c r="X130" s="25">
        <f t="shared" si="304"/>
        <v>2317.6868871562488</v>
      </c>
      <c r="Y130" s="25">
        <f t="shared" si="304"/>
        <v>2665.339920229686</v>
      </c>
      <c r="Z130" s="25">
        <f t="shared" si="304"/>
        <v>3065.1409082641385</v>
      </c>
      <c r="AA130" s="25">
        <f t="shared" si="304"/>
        <v>3524.9120445037588</v>
      </c>
      <c r="AB130" s="25">
        <f t="shared" si="304"/>
        <v>4053.6488511793223</v>
      </c>
      <c r="AC130" s="118">
        <f t="shared" si="296"/>
        <v>0.14999999999999991</v>
      </c>
      <c r="AD130" s="20"/>
      <c r="AE130" s="20"/>
    </row>
    <row r="131" spans="2:31" x14ac:dyDescent="0.2">
      <c r="B131" s="20" t="s">
        <v>364</v>
      </c>
      <c r="C131" s="20"/>
      <c r="D131" s="20"/>
      <c r="E131" s="20"/>
      <c r="F131" s="20"/>
      <c r="G131" s="119">
        <f t="shared" ref="G131:P131" si="305">G130*365/G25</f>
        <v>21.893464637421665</v>
      </c>
      <c r="H131" s="119">
        <f t="shared" si="305"/>
        <v>33.819209039548021</v>
      </c>
      <c r="I131" s="119">
        <f t="shared" si="305"/>
        <v>32.77941658472632</v>
      </c>
      <c r="J131" s="119">
        <f t="shared" si="305"/>
        <v>35.039260385005065</v>
      </c>
      <c r="K131" s="119">
        <f t="shared" si="305"/>
        <v>19.970079076725796</v>
      </c>
      <c r="L131" s="119">
        <f t="shared" si="305"/>
        <v>29.586014959123325</v>
      </c>
      <c r="M131" s="119">
        <f t="shared" si="305"/>
        <v>3.9508742714404663</v>
      </c>
      <c r="N131" s="119">
        <f t="shared" si="305"/>
        <v>10.047902013097259</v>
      </c>
      <c r="O131" s="119">
        <f t="shared" si="305"/>
        <v>25.571664882747882</v>
      </c>
      <c r="P131" s="119">
        <f t="shared" si="305"/>
        <v>31.163087934560327</v>
      </c>
      <c r="Q131" s="118">
        <f t="shared" si="225"/>
        <v>4.0006901361289815E-2</v>
      </c>
      <c r="R131" s="128"/>
      <c r="S131" s="119">
        <f t="shared" ref="S131:AB131" si="306">S130*365/S25</f>
        <v>31.163087934560327</v>
      </c>
      <c r="T131" s="119">
        <f t="shared" si="306"/>
        <v>31.163087934560327</v>
      </c>
      <c r="U131" s="119">
        <f t="shared" si="306"/>
        <v>31.163087934560327</v>
      </c>
      <c r="V131" s="119">
        <f t="shared" si="306"/>
        <v>31.163087934560327</v>
      </c>
      <c r="W131" s="119">
        <f t="shared" si="306"/>
        <v>31.163087934560327</v>
      </c>
      <c r="X131" s="119">
        <f t="shared" si="306"/>
        <v>31.163087934560327</v>
      </c>
      <c r="Y131" s="119">
        <f t="shared" si="306"/>
        <v>31.163087934560327</v>
      </c>
      <c r="Z131" s="119">
        <f t="shared" si="306"/>
        <v>31.163087934560323</v>
      </c>
      <c r="AA131" s="119">
        <f t="shared" si="306"/>
        <v>31.16308793456032</v>
      </c>
      <c r="AB131" s="119">
        <f t="shared" si="306"/>
        <v>31.16308793456032</v>
      </c>
      <c r="AC131" s="118">
        <f t="shared" si="296"/>
        <v>0</v>
      </c>
      <c r="AD131" s="20"/>
      <c r="AE131" s="20"/>
    </row>
    <row r="132" spans="2:31" x14ac:dyDescent="0.2">
      <c r="B132" s="20" t="s">
        <v>367</v>
      </c>
      <c r="C132" s="20"/>
      <c r="D132" s="20"/>
      <c r="E132" s="20"/>
      <c r="F132" s="20"/>
      <c r="G132" s="133">
        <f>G79/G29</f>
        <v>2.1202641640597846</v>
      </c>
      <c r="H132" s="133">
        <f t="shared" ref="H132:P132" si="307">H79/H29</f>
        <v>3.2799317470850315</v>
      </c>
      <c r="I132" s="133">
        <f t="shared" si="307"/>
        <v>3.8202673239169589</v>
      </c>
      <c r="J132" s="133">
        <f t="shared" si="307"/>
        <v>2.1115745568300315</v>
      </c>
      <c r="K132" s="133">
        <f t="shared" si="307"/>
        <v>2.6710515761610649</v>
      </c>
      <c r="L132" s="133">
        <f t="shared" si="307"/>
        <v>2.281021897810219</v>
      </c>
      <c r="M132" s="133">
        <f t="shared" si="307"/>
        <v>3.5859112501448269</v>
      </c>
      <c r="N132" s="133">
        <f t="shared" si="307"/>
        <v>5.4973931178310735</v>
      </c>
      <c r="O132" s="133">
        <f t="shared" si="307"/>
        <v>4.2368695461280934</v>
      </c>
      <c r="P132" s="133">
        <f t="shared" si="307"/>
        <v>4.9345572858795306</v>
      </c>
      <c r="Q132" s="118">
        <f t="shared" si="225"/>
        <v>9.8403794852268689E-2</v>
      </c>
      <c r="R132" s="128"/>
      <c r="S132" s="133">
        <f t="shared" ref="S132:AB132" si="308">S79/S29</f>
        <v>0.47322404371584703</v>
      </c>
      <c r="T132" s="133">
        <f t="shared" si="308"/>
        <v>0.46853865714440296</v>
      </c>
      <c r="U132" s="133">
        <f t="shared" si="308"/>
        <v>0.46389966053901277</v>
      </c>
      <c r="V132" s="133">
        <f t="shared" si="308"/>
        <v>0.45930659459308198</v>
      </c>
      <c r="W132" s="133">
        <f t="shared" si="308"/>
        <v>0.45475900454760587</v>
      </c>
      <c r="X132" s="133">
        <f t="shared" si="308"/>
        <v>0.45025644014614458</v>
      </c>
      <c r="Y132" s="133">
        <f t="shared" si="308"/>
        <v>0.44579845559024212</v>
      </c>
      <c r="Z132" s="133">
        <f t="shared" si="308"/>
        <v>0.44138460949528924</v>
      </c>
      <c r="AA132" s="133">
        <f t="shared" si="308"/>
        <v>0.43701446484682094</v>
      </c>
      <c r="AB132" s="133">
        <f t="shared" si="308"/>
        <v>0.43268758895724851</v>
      </c>
      <c r="AC132" s="118">
        <f t="shared" si="296"/>
        <v>-9.9009900990099098E-3</v>
      </c>
      <c r="AD132" s="20"/>
      <c r="AE132" s="20"/>
    </row>
    <row r="133" spans="2:31" x14ac:dyDescent="0.2"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128"/>
      <c r="R133" s="128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137"/>
      <c r="AD133" s="20"/>
      <c r="AE133" s="20"/>
    </row>
    <row r="134" spans="2:31" x14ac:dyDescent="0.2">
      <c r="B134" s="20" t="s">
        <v>374</v>
      </c>
      <c r="C134" s="20"/>
      <c r="D134" s="20"/>
      <c r="E134" s="20"/>
      <c r="F134" s="20"/>
      <c r="G134" s="180">
        <f>G25/G14</f>
        <v>7.0251572327044025</v>
      </c>
      <c r="H134" s="180">
        <f t="shared" ref="H134:P134" si="309">H25/H14</f>
        <v>5.8480176211453747</v>
      </c>
      <c r="I134" s="180">
        <f t="shared" si="309"/>
        <v>6.2392638036809815</v>
      </c>
      <c r="J134" s="180">
        <f t="shared" si="309"/>
        <v>6.6020066889632103</v>
      </c>
      <c r="K134" s="180">
        <f t="shared" si="309"/>
        <v>6.553221288515406</v>
      </c>
      <c r="L134" s="180">
        <f t="shared" si="309"/>
        <v>7.4759427828348501</v>
      </c>
      <c r="M134" s="180">
        <f t="shared" si="309"/>
        <v>7.5386031719462698</v>
      </c>
      <c r="N134" s="180">
        <f t="shared" si="309"/>
        <v>6.3187739463601531</v>
      </c>
      <c r="O134" s="180">
        <f t="shared" si="309"/>
        <v>6.4311639549436794</v>
      </c>
      <c r="P134" s="180">
        <f t="shared" si="309"/>
        <v>6.4131147540983608</v>
      </c>
      <c r="Q134" s="118">
        <f t="shared" si="225"/>
        <v>-1.0076942029719316E-2</v>
      </c>
      <c r="R134" s="128"/>
      <c r="S134" s="25">
        <f t="shared" ref="S134" si="310">S25/S14</f>
        <v>6.4131147540983608</v>
      </c>
      <c r="T134" s="25">
        <f t="shared" ref="T134:AB134" si="311">T25/T14</f>
        <v>6.4131147540983608</v>
      </c>
      <c r="U134" s="25">
        <f t="shared" si="311"/>
        <v>6.4131147540983608</v>
      </c>
      <c r="V134" s="25">
        <f t="shared" si="311"/>
        <v>6.41311475409836</v>
      </c>
      <c r="W134" s="25">
        <f t="shared" si="311"/>
        <v>6.41311475409836</v>
      </c>
      <c r="X134" s="25">
        <f t="shared" si="311"/>
        <v>6.41311475409836</v>
      </c>
      <c r="Y134" s="25">
        <f t="shared" si="311"/>
        <v>6.4131147540983591</v>
      </c>
      <c r="Z134" s="25">
        <f t="shared" si="311"/>
        <v>6.4131147540983591</v>
      </c>
      <c r="AA134" s="25">
        <f t="shared" si="311"/>
        <v>6.4131147540983591</v>
      </c>
      <c r="AB134" s="25">
        <f t="shared" si="311"/>
        <v>6.4131147540983591</v>
      </c>
      <c r="AC134" s="118">
        <f t="shared" si="296"/>
        <v>0</v>
      </c>
      <c r="AD134" s="20"/>
      <c r="AE134" s="20"/>
    </row>
    <row r="135" spans="2:31" x14ac:dyDescent="0.2">
      <c r="B135" s="20" t="s">
        <v>375</v>
      </c>
      <c r="C135" s="20"/>
      <c r="D135" s="20"/>
      <c r="E135" s="20"/>
      <c r="F135" s="20"/>
      <c r="G135" s="180">
        <f>G27/G14</f>
        <v>6.0062893081761004</v>
      </c>
      <c r="H135" s="180">
        <f t="shared" ref="H135:P135" si="312">H27/H14</f>
        <v>5.0440528634361232</v>
      </c>
      <c r="I135" s="180">
        <f t="shared" si="312"/>
        <v>5.3783231083844578</v>
      </c>
      <c r="J135" s="180">
        <f t="shared" si="312"/>
        <v>5.7474916387959869</v>
      </c>
      <c r="K135" s="180">
        <f t="shared" si="312"/>
        <v>5.5476190476190474</v>
      </c>
      <c r="L135" s="180">
        <f t="shared" si="312"/>
        <v>6.5357607282184658</v>
      </c>
      <c r="M135" s="180">
        <f t="shared" si="312"/>
        <v>6.099091936226305</v>
      </c>
      <c r="N135" s="180">
        <f t="shared" si="312"/>
        <v>5.2482758620689651</v>
      </c>
      <c r="O135" s="180">
        <f t="shared" si="312"/>
        <v>5.4211514392991242</v>
      </c>
      <c r="P135" s="180">
        <f t="shared" si="312"/>
        <v>5.4043715846994536</v>
      </c>
      <c r="Q135" s="118">
        <f t="shared" si="225"/>
        <v>-1.1664651948586791E-2</v>
      </c>
      <c r="R135" s="128"/>
      <c r="S135" s="25">
        <f t="shared" ref="S135:AB135" si="313">S27/S14</f>
        <v>5.4043715846994536</v>
      </c>
      <c r="T135" s="25">
        <f t="shared" si="313"/>
        <v>5.4043715846994544</v>
      </c>
      <c r="U135" s="25">
        <f t="shared" si="313"/>
        <v>5.4043715846994536</v>
      </c>
      <c r="V135" s="25">
        <f t="shared" si="313"/>
        <v>5.4043715846994536</v>
      </c>
      <c r="W135" s="25">
        <f t="shared" si="313"/>
        <v>5.4043715846994527</v>
      </c>
      <c r="X135" s="25">
        <f t="shared" si="313"/>
        <v>5.4043715846994527</v>
      </c>
      <c r="Y135" s="25">
        <f t="shared" si="313"/>
        <v>5.4043715846994527</v>
      </c>
      <c r="Z135" s="25">
        <f t="shared" si="313"/>
        <v>5.4043715846994518</v>
      </c>
      <c r="AA135" s="25">
        <f t="shared" si="313"/>
        <v>5.4043715846994518</v>
      </c>
      <c r="AB135" s="25">
        <f t="shared" si="313"/>
        <v>5.4043715846994518</v>
      </c>
      <c r="AC135" s="118">
        <f t="shared" si="296"/>
        <v>0</v>
      </c>
      <c r="AD135" s="20"/>
      <c r="AE135" s="20"/>
    </row>
    <row r="136" spans="2:31" x14ac:dyDescent="0.2"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128"/>
      <c r="R136" s="128"/>
      <c r="S136" s="119"/>
      <c r="T136" s="119"/>
      <c r="U136" s="119"/>
      <c r="V136" s="119"/>
      <c r="W136" s="119"/>
      <c r="X136" s="119"/>
      <c r="Y136" s="119"/>
      <c r="Z136" s="119"/>
      <c r="AA136" s="119"/>
      <c r="AB136" s="119"/>
      <c r="AC136" s="137"/>
      <c r="AD136" s="20"/>
      <c r="AE136" s="20"/>
    </row>
    <row r="137" spans="2:31" x14ac:dyDescent="0.2">
      <c r="B137" s="108" t="s">
        <v>244</v>
      </c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3"/>
      <c r="R137" s="23"/>
      <c r="S137" s="122" t="s">
        <v>66</v>
      </c>
      <c r="T137" s="20"/>
      <c r="U137" s="20"/>
      <c r="V137" s="20"/>
      <c r="W137" s="20"/>
      <c r="X137" s="20"/>
      <c r="Y137" s="20"/>
      <c r="Z137" s="20"/>
      <c r="AA137" s="20"/>
      <c r="AB137" s="20"/>
      <c r="AC137" s="137"/>
      <c r="AD137" s="20"/>
      <c r="AE137" s="20"/>
    </row>
    <row r="138" spans="2:31" x14ac:dyDescent="0.2">
      <c r="B138" s="23" t="s">
        <v>280</v>
      </c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5"/>
      <c r="Q138" s="160">
        <f>AVERAGE(G53:P53)</f>
        <v>58.488008342022944</v>
      </c>
      <c r="R138" s="23"/>
      <c r="S138" s="134"/>
      <c r="T138" s="20"/>
      <c r="U138" s="20"/>
      <c r="V138" s="20"/>
      <c r="W138" s="20"/>
      <c r="X138" s="20"/>
      <c r="Y138" s="20"/>
      <c r="Z138" s="20"/>
      <c r="AA138" s="20"/>
      <c r="AB138" s="20"/>
      <c r="AC138" s="137"/>
      <c r="AD138" s="20"/>
      <c r="AE138" s="20"/>
    </row>
    <row r="139" spans="2:31" x14ac:dyDescent="0.2">
      <c r="B139" s="20" t="s">
        <v>25</v>
      </c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140">
        <f>S139+T139</f>
        <v>51.385656412535965</v>
      </c>
      <c r="S139" s="133">
        <f>PV($C$1, ($AB$3-$S$3), 0, -AB53)</f>
        <v>7.1602963853533712</v>
      </c>
      <c r="T139" s="133">
        <f>PV($C$1, ($AB$3-$S$3), 0, -AE53)</f>
        <v>44.225360027182596</v>
      </c>
      <c r="U139" s="20"/>
      <c r="V139" s="20"/>
      <c r="W139" s="20"/>
      <c r="X139" s="20"/>
      <c r="Y139" s="20"/>
      <c r="Z139" s="20"/>
      <c r="AA139" s="20"/>
      <c r="AB139" s="20"/>
      <c r="AC139" s="137"/>
      <c r="AD139" s="20"/>
      <c r="AE139" s="20"/>
    </row>
    <row r="140" spans="2:31" x14ac:dyDescent="0.2">
      <c r="B140" s="20" t="s">
        <v>272</v>
      </c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140">
        <f t="shared" ref="R140:R158" si="314">S140+T140</f>
        <v>150.03370258845703</v>
      </c>
      <c r="S140" s="133">
        <f>PV($C$1, ($AB$3-$S$3), 0, -AB55)</f>
        <v>20.906335606588272</v>
      </c>
      <c r="T140" s="133">
        <f>PV($C$1, ($AB$3-$S$3), 0, -AE55)</f>
        <v>129.12736698186876</v>
      </c>
      <c r="U140" s="20"/>
      <c r="V140" s="20"/>
      <c r="W140" s="20"/>
      <c r="X140" s="20"/>
      <c r="Y140" s="20"/>
      <c r="Z140" s="20"/>
      <c r="AA140" s="20"/>
      <c r="AB140" s="20"/>
      <c r="AC140" s="137"/>
      <c r="AD140" s="20"/>
      <c r="AE140" s="20"/>
    </row>
    <row r="141" spans="2:31" x14ac:dyDescent="0.2">
      <c r="B141" s="20" t="s">
        <v>273</v>
      </c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140">
        <f t="shared" si="314"/>
        <v>145.77742733772067</v>
      </c>
      <c r="S141" s="133">
        <f>PV($C$1, ($AB$3-$S$3), 0, -AB56)</f>
        <v>20.313248071649596</v>
      </c>
      <c r="T141" s="133">
        <f>PV($C$1, ($AB$3-$S$3), 0, -AE56)</f>
        <v>125.46417926607106</v>
      </c>
      <c r="U141" s="20"/>
      <c r="V141" s="20"/>
      <c r="W141" s="20"/>
      <c r="X141" s="20"/>
      <c r="Y141" s="20"/>
      <c r="Z141" s="20"/>
      <c r="AA141" s="20"/>
      <c r="AB141" s="20"/>
      <c r="AC141" s="137"/>
      <c r="AD141" s="20"/>
      <c r="AE141" s="20"/>
    </row>
    <row r="142" spans="2:31" x14ac:dyDescent="0.2">
      <c r="B142" s="20" t="s">
        <v>274</v>
      </c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140">
        <f t="shared" si="314"/>
        <v>10.507679525255412</v>
      </c>
      <c r="S142" s="133">
        <f>PV($C$1, ($AB$3-$S$3), 0, -AB57)</f>
        <v>1.4641848518798524</v>
      </c>
      <c r="T142" s="133">
        <f>PV($C$1, ($AB$3-$S$3), 0, -AE57)</f>
        <v>9.0434946733755606</v>
      </c>
      <c r="U142" s="20"/>
      <c r="V142" s="20"/>
      <c r="W142" s="20"/>
      <c r="X142" s="20"/>
      <c r="Y142" s="20"/>
      <c r="Z142" s="20"/>
      <c r="AA142" s="20"/>
      <c r="AB142" s="20"/>
      <c r="AC142" s="137"/>
      <c r="AD142" s="20"/>
      <c r="AE142" s="20"/>
    </row>
    <row r="143" spans="2:31" x14ac:dyDescent="0.2">
      <c r="B143" s="20" t="s">
        <v>275</v>
      </c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140">
        <f t="shared" si="314"/>
        <v>33.34082279743491</v>
      </c>
      <c r="S143" s="133">
        <f>PV($C$1, ($AB$3-$S$3), 0, -AB63)</f>
        <v>4.6458523570196171</v>
      </c>
      <c r="T143" s="133">
        <f>PV($C$1, ($AB$3-$S$3), 0, -AE63)</f>
        <v>28.69497044041529</v>
      </c>
      <c r="U143" s="20"/>
      <c r="V143" s="20"/>
      <c r="W143" s="20"/>
      <c r="X143" s="20"/>
      <c r="Y143" s="20"/>
      <c r="Z143" s="20"/>
      <c r="AA143" s="20"/>
      <c r="AB143" s="20"/>
      <c r="AC143" s="137"/>
      <c r="AD143" s="20"/>
      <c r="AE143" s="20"/>
    </row>
    <row r="144" spans="2:31" x14ac:dyDescent="0.2"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140"/>
      <c r="S144" s="133"/>
      <c r="T144" s="20"/>
      <c r="U144" s="20"/>
      <c r="V144" s="20"/>
      <c r="W144" s="20"/>
      <c r="X144" s="20"/>
      <c r="Y144" s="20"/>
      <c r="Z144" s="20"/>
      <c r="AA144" s="20"/>
      <c r="AB144" s="20"/>
      <c r="AC144" s="137"/>
      <c r="AD144" s="20"/>
      <c r="AE144" s="20"/>
    </row>
    <row r="145" spans="2:31" x14ac:dyDescent="0.2">
      <c r="B145" s="20" t="s">
        <v>270</v>
      </c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140">
        <f t="shared" si="314"/>
        <v>139.52602306320159</v>
      </c>
      <c r="S145" s="133">
        <f>PV($C$1, ($AB$3-$S$3), 0, -AB59)</f>
        <v>19.442150754708418</v>
      </c>
      <c r="T145" s="133">
        <f>PV($C$1, ($AB$3-$S$3), 0, -$AE$59)</f>
        <v>120.08387230849318</v>
      </c>
      <c r="U145" s="20"/>
      <c r="V145" s="20"/>
      <c r="W145" s="20"/>
      <c r="X145" s="20"/>
      <c r="Y145" s="20"/>
      <c r="Z145" s="20"/>
      <c r="AA145" s="20"/>
      <c r="AB145" s="20"/>
      <c r="AC145" s="137"/>
      <c r="AD145" s="20"/>
      <c r="AE145" s="20"/>
    </row>
    <row r="146" spans="2:31" x14ac:dyDescent="0.2">
      <c r="B146" s="20" t="s">
        <v>271</v>
      </c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140">
        <f t="shared" si="314"/>
        <v>30.192952559911117</v>
      </c>
      <c r="S146" s="133">
        <f>PV($C$1, ($AB$3-$S$3), 0, -AB60)</f>
        <v>4.2072147009712202</v>
      </c>
      <c r="T146" s="133">
        <f>PV($C$1, ($AB$3-$S$3), 0, -$AE$60)</f>
        <v>25.985737858939896</v>
      </c>
      <c r="U146" s="20"/>
      <c r="V146" s="20"/>
      <c r="W146" s="20"/>
      <c r="X146" s="20"/>
      <c r="Y146" s="20"/>
      <c r="Z146" s="20"/>
      <c r="AA146" s="20"/>
      <c r="AB146" s="20"/>
      <c r="AC146" s="137"/>
      <c r="AD146" s="20"/>
      <c r="AE146" s="20"/>
    </row>
    <row r="147" spans="2:31" x14ac:dyDescent="0.2">
      <c r="B147" s="20" t="s">
        <v>276</v>
      </c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140">
        <f t="shared" si="314"/>
        <v>188.1628350429703</v>
      </c>
      <c r="S147" s="133">
        <f>PV($C$1, ($AB$3-$S$3), 0, -AB61)</f>
        <v>26.219411440413889</v>
      </c>
      <c r="T147" s="133">
        <f>PV($C$1, ($AB$3-$S$3), 0, -$AE$61)</f>
        <v>161.94342360255641</v>
      </c>
      <c r="U147" s="20"/>
      <c r="V147" s="20"/>
      <c r="W147" s="20"/>
      <c r="X147" s="20"/>
      <c r="Y147" s="20"/>
      <c r="Z147" s="20"/>
      <c r="AA147" s="20"/>
      <c r="AB147" s="20"/>
      <c r="AC147" s="137"/>
      <c r="AD147" s="20"/>
      <c r="AE147" s="20"/>
    </row>
    <row r="148" spans="2:31" x14ac:dyDescent="0.2"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140"/>
      <c r="S148" s="133"/>
      <c r="T148" s="20"/>
      <c r="U148" s="20"/>
      <c r="V148" s="20"/>
      <c r="W148" s="20"/>
      <c r="X148" s="20"/>
      <c r="Y148" s="20"/>
      <c r="Z148" s="20"/>
      <c r="AA148" s="20"/>
      <c r="AB148" s="20"/>
      <c r="AC148" s="137"/>
      <c r="AD148" s="20"/>
      <c r="AE148" s="20"/>
    </row>
    <row r="149" spans="2:31" x14ac:dyDescent="0.2">
      <c r="B149" s="20" t="s">
        <v>249</v>
      </c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140">
        <f t="shared" si="314"/>
        <v>157.96988248305917</v>
      </c>
      <c r="S149" s="133">
        <f>PV($C$1, ($AB$3-$S$3), 0, -AB66)</f>
        <v>22.012196739442672</v>
      </c>
      <c r="T149" s="133">
        <f>PV($C$1, ($AB$3-$S$3), 0, -AE66)</f>
        <v>135.95768574361651</v>
      </c>
      <c r="U149" s="20"/>
      <c r="V149" s="20"/>
      <c r="W149" s="20"/>
      <c r="X149" s="20"/>
      <c r="Y149" s="20"/>
      <c r="Z149" s="20"/>
      <c r="AA149" s="20"/>
      <c r="AB149" s="20"/>
      <c r="AC149" s="137"/>
      <c r="AD149" s="20"/>
      <c r="AE149" s="20"/>
    </row>
    <row r="150" spans="2:31" x14ac:dyDescent="0.2">
      <c r="B150" s="20" t="s">
        <v>250</v>
      </c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140">
        <f t="shared" si="314"/>
        <v>34.328310900115198</v>
      </c>
      <c r="S150" s="133">
        <f>PV($C$1, ($AB$3-$S$3), 0, -AB67)</f>
        <v>6.1903511459224125</v>
      </c>
      <c r="T150" s="133">
        <f>PV($C$1, ($AB$3-$S$3), 0, -AE67)</f>
        <v>28.137959754192785</v>
      </c>
      <c r="U150" s="20"/>
      <c r="V150" s="20"/>
      <c r="W150" s="20"/>
      <c r="X150" s="20"/>
      <c r="Y150" s="20"/>
      <c r="Z150" s="20"/>
      <c r="AA150" s="20"/>
      <c r="AB150" s="20"/>
      <c r="AC150" s="137"/>
      <c r="AD150" s="20"/>
      <c r="AE150" s="20"/>
    </row>
    <row r="151" spans="2:31" x14ac:dyDescent="0.2"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140"/>
      <c r="S151" s="133"/>
      <c r="T151" s="133"/>
      <c r="U151" s="20"/>
      <c r="V151" s="20"/>
      <c r="W151" s="20"/>
      <c r="X151" s="20"/>
      <c r="Y151" s="20"/>
      <c r="Z151" s="20"/>
      <c r="AA151" s="20"/>
      <c r="AB151" s="20"/>
      <c r="AC151" s="137"/>
      <c r="AD151" s="20"/>
      <c r="AE151" s="20"/>
    </row>
    <row r="152" spans="2:31" x14ac:dyDescent="0.2">
      <c r="B152" s="20" t="s">
        <v>293</v>
      </c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140">
        <f t="shared" ref="R152" si="315">S152+T152</f>
        <v>3646.4366872733549</v>
      </c>
      <c r="S152" s="133">
        <f>PV($C$1, ($AB$3-$S$3), 0, -AB12)</f>
        <v>508.11003019382804</v>
      </c>
      <c r="T152" s="133">
        <f>PV($C$1, ($AB$3-$S$3), 0, -AE12)</f>
        <v>3138.3266570795267</v>
      </c>
      <c r="U152" s="20"/>
      <c r="V152" s="20"/>
      <c r="W152" s="20"/>
      <c r="X152" s="20"/>
      <c r="Y152" s="20"/>
      <c r="Z152" s="20"/>
      <c r="AA152" s="20"/>
      <c r="AB152" s="20"/>
      <c r="AC152" s="137"/>
      <c r="AD152" s="20"/>
      <c r="AE152" s="20"/>
    </row>
    <row r="153" spans="2:31" x14ac:dyDescent="0.2">
      <c r="B153" s="20" t="s">
        <v>294</v>
      </c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140">
        <f>S153+T153</f>
        <v>380.23323120681488</v>
      </c>
      <c r="S153" s="140">
        <f>S152/P42</f>
        <v>52.98331910258895</v>
      </c>
      <c r="T153" s="140">
        <f>T152/P42</f>
        <v>327.24991210422593</v>
      </c>
      <c r="U153" s="20"/>
      <c r="V153" s="20"/>
      <c r="W153" s="20"/>
      <c r="X153" s="20"/>
      <c r="Y153" s="20"/>
      <c r="Z153" s="20"/>
      <c r="AA153" s="20"/>
      <c r="AB153" s="20"/>
      <c r="AC153" s="137"/>
      <c r="AD153" s="20"/>
      <c r="AE153" s="20"/>
    </row>
    <row r="154" spans="2:31" x14ac:dyDescent="0.2"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140"/>
      <c r="S154" s="140"/>
      <c r="T154" s="140"/>
      <c r="U154" s="20"/>
      <c r="V154" s="20"/>
      <c r="W154" s="20"/>
      <c r="X154" s="20"/>
      <c r="Y154" s="20"/>
      <c r="Z154" s="20"/>
      <c r="AA154" s="20"/>
      <c r="AB154" s="20"/>
      <c r="AC154" s="137"/>
      <c r="AD154" s="20"/>
      <c r="AE154" s="20"/>
    </row>
    <row r="155" spans="2:31" x14ac:dyDescent="0.2">
      <c r="B155" s="108" t="s">
        <v>297</v>
      </c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140"/>
      <c r="S155" s="133"/>
      <c r="T155" s="133"/>
      <c r="U155" s="20"/>
      <c r="V155" s="20"/>
      <c r="W155" s="20"/>
      <c r="X155" s="20"/>
      <c r="Y155" s="20"/>
      <c r="Z155" s="20"/>
      <c r="AA155" s="20"/>
      <c r="AB155" s="20"/>
      <c r="AC155" s="137"/>
      <c r="AD155" s="20"/>
      <c r="AE155" s="20"/>
    </row>
    <row r="156" spans="2:31" x14ac:dyDescent="0.2">
      <c r="B156" s="20" t="s">
        <v>282</v>
      </c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140">
        <f t="shared" ref="R156" si="316">S156+T156</f>
        <v>435.92750707914229</v>
      </c>
      <c r="S156" s="133">
        <f>PV($C$1, ($AB$3-$S$3), 0, -AB69)+PV($C$1, ($AA$3-$S$3), 0, -AB69)+PV($C$1, ($Z$3-$S$3), 0, -AB69)+PV($C$1, ($Y$3-$S$3), 0, -AB69)+PV($C$1, ($X$3-$S$3), 0, -AB69)+PV($C$1, ($W$3-$S$3), 0, -AB69)+PV($C$1, ($V$3-$S$3), 0, -AB69)+PV($C$1, ($U$3-$S$3), 0, -AB69)+PV($C$1, ($T$3-$S$3), 0, -AB69)+PV($C$1, ($S$3-$S$3), 0, -AB69)</f>
        <v>358.63227170546526</v>
      </c>
      <c r="T156" s="133">
        <f>PV($C$1, ($AB$3-$S$3), 0, -AE69)</f>
        <v>77.295235373677031</v>
      </c>
      <c r="U156" s="20"/>
      <c r="V156" s="20"/>
      <c r="W156" s="20"/>
      <c r="X156" s="20"/>
      <c r="Y156" s="20"/>
      <c r="Z156" s="20"/>
      <c r="AA156" s="20"/>
      <c r="AB156" s="20"/>
      <c r="AC156" s="137"/>
      <c r="AD156" s="20"/>
      <c r="AE156" s="20"/>
    </row>
    <row r="157" spans="2:31" x14ac:dyDescent="0.2">
      <c r="B157" s="23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140"/>
      <c r="S157" s="133"/>
      <c r="T157" s="133"/>
      <c r="U157" s="20"/>
      <c r="V157" s="20"/>
      <c r="W157" s="20"/>
      <c r="X157" s="20"/>
      <c r="Y157" s="20"/>
      <c r="Z157" s="20"/>
      <c r="AA157" s="20"/>
      <c r="AB157" s="20"/>
      <c r="AC157" s="137"/>
      <c r="AD157" s="20"/>
      <c r="AE157" s="20"/>
    </row>
    <row r="158" spans="2:31" x14ac:dyDescent="0.2">
      <c r="B158" s="20" t="s">
        <v>290</v>
      </c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140">
        <f t="shared" si="314"/>
        <v>15439.943061883243</v>
      </c>
      <c r="S158" s="133">
        <f>PV($C$1, ($AB$3-$S$3), 0, -AB71)+PV($C$1, ($AA$3-$S$3), 0, -AB71)+PV($C$1, ($Z$3-$S$3), 0, -AB71)+PV($C$1, ($Y$3-$S$3), 0, -AB71)+PV($C$1, ($X$3-$S$3), 0, -AB71)+PV($C$1, ($W$3-$S$3), 0, -AB71)+PV($C$1, ($V$3-$S$3), 0, -AB71)+PV($C$1, ($U$3-$S$3), 0, -AB71)+PV($C$1, ($T$3-$S$3), 0, -AB71)+PV($C$1, ($S$3-$S$3), 0, -AB71)</f>
        <v>12702.253850388337</v>
      </c>
      <c r="T158" s="133">
        <f>PV($C$1, ($AB$3-$S$3), 0, -AE71)</f>
        <v>2737.6892114949055</v>
      </c>
      <c r="U158" s="20"/>
      <c r="V158" s="20"/>
      <c r="W158" s="20"/>
      <c r="X158" s="20"/>
      <c r="Y158" s="20"/>
      <c r="Z158" s="20"/>
      <c r="AA158" s="20"/>
      <c r="AB158" s="20"/>
      <c r="AC158" s="137"/>
      <c r="AD158" s="20"/>
      <c r="AE158" s="20"/>
    </row>
    <row r="159" spans="2:31" x14ac:dyDescent="0.2"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140"/>
      <c r="S159" s="133"/>
      <c r="T159" s="133"/>
      <c r="U159" s="20"/>
      <c r="V159" s="20"/>
      <c r="W159" s="20"/>
      <c r="X159" s="20"/>
      <c r="Y159" s="20"/>
      <c r="Z159" s="20"/>
      <c r="AA159" s="20"/>
      <c r="AB159" s="20"/>
      <c r="AC159" s="137"/>
      <c r="AD159" s="20"/>
      <c r="AE159" s="20"/>
    </row>
    <row r="160" spans="2:31" x14ac:dyDescent="0.2">
      <c r="B160" s="20" t="s">
        <v>286</v>
      </c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140">
        <f t="shared" ref="R160:R163" si="317">S160+T160</f>
        <v>141.17354825476593</v>
      </c>
      <c r="S160" s="133">
        <f>PV($C$1, ($AB$3-$S$3), 0, -AB73)+PV($C$1, ($AA$3-$S$3), 0, -AB73)+PV($C$1, ($Z$3-$S$3), 0, -AB73)+PV($C$1, ($Y$3-$S$3), 0, -AB73)+PV($C$1, ($X$3-$S$3), 0, -AB73)+PV($C$1, ($W$3-$S$3), 0, -AB73)+PV($C$1, ($V$3-$S$3), 0, -AB73)+PV($C$1, ($U$3-$S$3), 0, -AB73)+PV($C$1, ($T$3-$S$3), 0, -AB73)+PV($C$1, ($S$3-$S$3), 0, -AB73)</f>
        <v>116.14176553014835</v>
      </c>
      <c r="T160" s="133">
        <f>PV($C$1, ($AB$3-$S$3), 0, -AE73)</f>
        <v>25.031782724617585</v>
      </c>
      <c r="U160" s="20"/>
      <c r="V160" s="20"/>
      <c r="W160" s="20"/>
      <c r="X160" s="20"/>
      <c r="Y160" s="20"/>
      <c r="Z160" s="20"/>
      <c r="AA160" s="20"/>
      <c r="AB160" s="20"/>
      <c r="AC160" s="137"/>
      <c r="AD160" s="20"/>
      <c r="AE160" s="20"/>
    </row>
    <row r="161" spans="2:31" x14ac:dyDescent="0.2">
      <c r="B161" s="20" t="s">
        <v>287</v>
      </c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140">
        <f t="shared" si="317"/>
        <v>232.6350696088445</v>
      </c>
      <c r="S161" s="133">
        <f>PV($C$1, ($AB$3-$S$3), 0, -AB74)+PV($C$1, ($AA$3-$S$3), 0, -AB74)+PV($C$1, ($Z$3-$S$3), 0, -AB74)+PV($C$1, ($Y$3-$S$3), 0, -AB74)+PV($C$1, ($X$3-$S$3), 0, -AB74)+PV($C$1, ($W$3-$S$3), 0, -AB74)+PV($C$1, ($V$3-$S$3), 0, -AB74)+PV($C$1, ($U$3-$S$3), 0, -AB74)+PV($C$1, ($T$3-$S$3), 0, -AB74)+PV($C$1, ($S$3-$S$3), 0, -AB74)</f>
        <v>191.38604960074753</v>
      </c>
      <c r="T161" s="133">
        <f>PV($C$1, ($AB$3-$S$3), 0, -AE74)</f>
        <v>41.249020008096977</v>
      </c>
      <c r="U161" s="20"/>
      <c r="V161" s="20"/>
      <c r="W161" s="20"/>
      <c r="X161" s="20"/>
      <c r="Y161" s="20"/>
      <c r="Z161" s="20"/>
      <c r="AA161" s="20"/>
      <c r="AB161" s="20"/>
      <c r="AC161" s="137"/>
      <c r="AD161" s="20"/>
      <c r="AE161" s="20"/>
    </row>
    <row r="162" spans="2:31" x14ac:dyDescent="0.2">
      <c r="B162" s="20" t="s">
        <v>288</v>
      </c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140">
        <f t="shared" si="317"/>
        <v>-91.461521354078542</v>
      </c>
      <c r="S162" s="133">
        <f>PV($C$1, ($AB$3-$S$3), 0, -AB75)+PV($C$1, ($AA$3-$S$3), 0, -AB75)+PV($C$1, ($Z$3-$S$3), 0, -AB75)+PV($C$1, ($Y$3-$S$3), 0, -AB75)+PV($C$1, ($X$3-$S$3), 0, -AB75)+PV($C$1, ($W$3-$S$3), 0, -AB75)+PV($C$1, ($V$3-$S$3), 0, -AB75)+PV($C$1, ($U$3-$S$3), 0, -AB75)+PV($C$1, ($T$3-$S$3), 0, -AB75)+PV($C$1, ($S$3-$S$3), 0, -AB75)</f>
        <v>-75.244284070599164</v>
      </c>
      <c r="T162" s="133">
        <f>PV($C$1, ($AB$3-$S$3), 0, -AE75)</f>
        <v>-16.217237283479381</v>
      </c>
      <c r="U162" s="20"/>
      <c r="V162" s="20"/>
      <c r="W162" s="20"/>
      <c r="X162" s="20"/>
      <c r="Y162" s="20"/>
      <c r="Z162" s="20"/>
      <c r="AA162" s="20"/>
      <c r="AB162" s="20"/>
      <c r="AC162" s="137"/>
      <c r="AD162" s="20"/>
      <c r="AE162" s="20"/>
    </row>
    <row r="163" spans="2:31" x14ac:dyDescent="0.2">
      <c r="B163" s="20" t="s">
        <v>289</v>
      </c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140">
        <f t="shared" si="317"/>
        <v>-126.97011199742666</v>
      </c>
      <c r="S163" s="133">
        <f>PV($C$1, ($AB$3-$S$3), 0, -AB76)+PV($C$1, ($AA$3-$S$3), 0, -AB76)+PV($C$1, ($Z$3-$S$3), 0, -AB76)+PV($C$1, ($Y$3-$S$3), 0, -AB76)+PV($C$1, ($X$3-$S$3), 0, -AB76)+PV($C$1, ($W$3-$S$3), 0, -AB76)+PV($C$1, ($V$3-$S$3), 0, -AB76)+PV($C$1, ($U$3-$S$3), 0, -AB76)+PV($C$1, ($T$3-$S$3), 0, -AB76)+PV($C$1, ($S$3-$S$3), 0, -AB76)</f>
        <v>-104.45677082741999</v>
      </c>
      <c r="T163" s="133">
        <f>PV($C$1, ($AB$3-$S$3), 0, -AE76)</f>
        <v>-22.513341170006669</v>
      </c>
      <c r="U163" s="20"/>
      <c r="V163" s="20"/>
      <c r="W163" s="20"/>
      <c r="X163" s="20"/>
      <c r="Y163" s="20"/>
      <c r="Z163" s="20"/>
      <c r="AA163" s="20"/>
      <c r="AB163" s="20"/>
      <c r="AC163" s="137"/>
      <c r="AD163" s="20"/>
      <c r="AE163" s="20"/>
    </row>
    <row r="164" spans="2:31" x14ac:dyDescent="0.2"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140"/>
      <c r="S164" s="133"/>
      <c r="T164" s="133"/>
      <c r="U164" s="20"/>
      <c r="V164" s="20"/>
      <c r="W164" s="20"/>
      <c r="X164" s="20"/>
      <c r="Y164" s="20"/>
      <c r="Z164" s="20"/>
      <c r="AA164" s="20"/>
      <c r="AB164" s="20"/>
      <c r="AC164" s="137"/>
      <c r="AD164" s="20"/>
      <c r="AE164" s="20"/>
    </row>
    <row r="165" spans="2:31" x14ac:dyDescent="0.2">
      <c r="B165" s="20" t="s">
        <v>298</v>
      </c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140">
        <f>S165+T165</f>
        <v>122.0204296653236</v>
      </c>
      <c r="S165" s="133">
        <f>PV($C$1, ($AB$3-$S$3), 0, -AB77)+PV($C$1, ($AA$3-$S$3), 0, -AB77)+PV($C$1, ($Z$3-$S$3), 0, -AB77)+PV($C$1, ($Y$3-$S$3), 0, -AB77)+PV($C$1, ($X$3-$S$3), 0, -AB77)+PV($C$1, ($W$3-$S$3), 0, -AB77)+PV($C$1, ($V$3-$S$3), 0, -AB77)+PV($C$1, ($U$3-$S$3), 0, -AB77)+PV($C$1, ($T$3-$S$3), 0, -AB77)+PV($C$1, ($S$3-$S$3), 0, -AB77)</f>
        <v>100.38472721889346</v>
      </c>
      <c r="T165" s="133">
        <f>PV($C$1, ($AB$3-$S$3), 0, -AE77)</f>
        <v>21.635702446430145</v>
      </c>
      <c r="U165" s="20"/>
      <c r="V165" s="20"/>
      <c r="W165" s="20"/>
      <c r="X165" s="20"/>
      <c r="Y165" s="20"/>
      <c r="Z165" s="20"/>
      <c r="AA165" s="20"/>
      <c r="AB165" s="20"/>
      <c r="AC165" s="137"/>
      <c r="AD165" s="20"/>
      <c r="AE165" s="20"/>
    </row>
    <row r="166" spans="2:31" x14ac:dyDescent="0.2"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183">
        <v>41729</v>
      </c>
      <c r="P166" s="20">
        <v>4450</v>
      </c>
      <c r="Q166" s="20"/>
      <c r="R166" s="20"/>
      <c r="S166" s="121"/>
      <c r="T166" s="20"/>
      <c r="U166" s="20"/>
      <c r="V166" s="20"/>
      <c r="W166" s="20"/>
      <c r="X166" s="20"/>
      <c r="Y166" s="20"/>
      <c r="Z166" s="20"/>
      <c r="AA166" s="20"/>
      <c r="AB166" s="20"/>
      <c r="AC166" s="137"/>
      <c r="AD166" s="20"/>
      <c r="AE166" s="20"/>
    </row>
    <row r="167" spans="2:31" x14ac:dyDescent="0.2">
      <c r="B167" s="108" t="s">
        <v>251</v>
      </c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3" t="s">
        <v>390</v>
      </c>
      <c r="P167" s="20">
        <v>530</v>
      </c>
      <c r="Q167" s="20">
        <v>400</v>
      </c>
      <c r="R167" s="23" t="s">
        <v>391</v>
      </c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137"/>
      <c r="AD167" s="20"/>
      <c r="AE167" s="20"/>
    </row>
    <row r="168" spans="2:31" x14ac:dyDescent="0.2">
      <c r="B168" s="20" t="s">
        <v>204</v>
      </c>
      <c r="C168" s="22">
        <v>0</v>
      </c>
      <c r="D168" s="22">
        <v>0</v>
      </c>
      <c r="E168" s="22">
        <v>0</v>
      </c>
      <c r="F168" s="22">
        <v>320</v>
      </c>
      <c r="G168" s="22">
        <v>300</v>
      </c>
      <c r="H168" s="22">
        <v>350</v>
      </c>
      <c r="I168" s="22">
        <v>610</v>
      </c>
      <c r="J168" s="22">
        <v>670</v>
      </c>
      <c r="K168" s="22">
        <v>1000</v>
      </c>
      <c r="L168" s="22">
        <v>700</v>
      </c>
      <c r="M168" s="22">
        <v>1853</v>
      </c>
      <c r="N168" s="22">
        <v>2485</v>
      </c>
      <c r="O168" s="22">
        <v>3000</v>
      </c>
      <c r="P168" s="22">
        <v>4450</v>
      </c>
      <c r="Q168" s="118">
        <f t="shared" ref="Q168:Q173" si="318">((P168/G168)^(1/($H$2-$H$1) ))-1</f>
        <v>0.34939047291030056</v>
      </c>
      <c r="R168" s="31">
        <v>0.15</v>
      </c>
      <c r="S168" s="190">
        <v>300</v>
      </c>
      <c r="T168" s="119">
        <f t="shared" ref="T168:AA168" si="319">S168*(1+$R168)</f>
        <v>345</v>
      </c>
      <c r="U168" s="119">
        <f t="shared" si="319"/>
        <v>396.74999999999994</v>
      </c>
      <c r="V168" s="119">
        <f t="shared" si="319"/>
        <v>456.26249999999987</v>
      </c>
      <c r="W168" s="119">
        <f t="shared" si="319"/>
        <v>524.70187499999986</v>
      </c>
      <c r="X168" s="119">
        <f t="shared" si="319"/>
        <v>603.40715624999984</v>
      </c>
      <c r="Y168" s="119">
        <f t="shared" si="319"/>
        <v>693.91822968749977</v>
      </c>
      <c r="Z168" s="119">
        <f t="shared" si="319"/>
        <v>798.00596414062466</v>
      </c>
      <c r="AA168" s="119">
        <f t="shared" si="319"/>
        <v>917.70685876171831</v>
      </c>
      <c r="AB168" s="190">
        <v>1600</v>
      </c>
      <c r="AC168" s="138">
        <f t="shared" ref="AC168:AC173" si="320">((AB168/G168)^(1/($AB$3-$H$1) ))-1</f>
        <v>9.2101719619847033E-2</v>
      </c>
      <c r="AD168" s="31">
        <v>0.08</v>
      </c>
      <c r="AE168" s="127">
        <f t="shared" ref="AE168:AE176" si="321">(AB168*(1+AC168))/($C$1-AD168)</f>
        <v>12481.162509941107</v>
      </c>
    </row>
    <row r="169" spans="2:31" x14ac:dyDescent="0.2">
      <c r="B169" s="20" t="s">
        <v>361</v>
      </c>
      <c r="C169" s="25" t="e">
        <f t="shared" ref="C169:P169" si="322">C168/C50</f>
        <v>#DIV/0!</v>
      </c>
      <c r="D169" s="25" t="e">
        <f t="shared" si="322"/>
        <v>#DIV/0!</v>
      </c>
      <c r="E169" s="25" t="e">
        <f t="shared" si="322"/>
        <v>#DIV/0!</v>
      </c>
      <c r="F169" s="25" t="e">
        <f t="shared" si="322"/>
        <v>#DIV/0!</v>
      </c>
      <c r="G169" s="25">
        <f t="shared" si="322"/>
        <v>1.2878245299910476</v>
      </c>
      <c r="H169" s="25">
        <f t="shared" si="322"/>
        <v>1.2642184557438794</v>
      </c>
      <c r="I169" s="25">
        <f t="shared" si="322"/>
        <v>1.9173713536545396</v>
      </c>
      <c r="J169" s="25">
        <f t="shared" si="322"/>
        <v>1.627482269503546</v>
      </c>
      <c r="K169" s="25">
        <f t="shared" si="322"/>
        <v>2.0495832442829665</v>
      </c>
      <c r="L169" s="25">
        <f t="shared" si="322"/>
        <v>1.1676813358845017</v>
      </c>
      <c r="M169" s="25">
        <f t="shared" si="322"/>
        <v>2.4660380238689981</v>
      </c>
      <c r="N169" s="25">
        <f t="shared" si="322"/>
        <v>2.890025466893039</v>
      </c>
      <c r="O169" s="25">
        <f t="shared" si="322"/>
        <v>2.7994550938989975</v>
      </c>
      <c r="P169" s="25">
        <f t="shared" si="322"/>
        <v>3.6362900477164279</v>
      </c>
      <c r="Q169" s="118">
        <f t="shared" ref="Q169" si="323">((P169/G169)^(1/($H$2-$H$1) ))-1</f>
        <v>0.12224864983321848</v>
      </c>
      <c r="R169" s="128"/>
      <c r="S169" s="25">
        <f t="shared" ref="S169:AB169" si="324">S168/S50</f>
        <v>2.2228149728816575</v>
      </c>
      <c r="T169" s="25">
        <f t="shared" si="324"/>
        <v>2.2450431226104741</v>
      </c>
      <c r="U169" s="25">
        <f t="shared" si="324"/>
        <v>2.2674935538365788</v>
      </c>
      <c r="V169" s="25">
        <f t="shared" si="324"/>
        <v>2.2901684893749445</v>
      </c>
      <c r="W169" s="25">
        <f t="shared" si="324"/>
        <v>2.3130701742686939</v>
      </c>
      <c r="X169" s="25">
        <f t="shared" si="324"/>
        <v>2.336200876011381</v>
      </c>
      <c r="Y169" s="25">
        <f t="shared" si="324"/>
        <v>2.3595628847714951</v>
      </c>
      <c r="Z169" s="25">
        <f t="shared" si="324"/>
        <v>2.3831585136192097</v>
      </c>
      <c r="AA169" s="25">
        <f t="shared" si="324"/>
        <v>2.406990098755402</v>
      </c>
      <c r="AB169" s="25">
        <f t="shared" si="324"/>
        <v>3.6856478898199923</v>
      </c>
      <c r="AC169" s="138">
        <f t="shared" ref="AC169" si="325">((AB169/G169)^(1/($AB$3-$H$1) ))-1</f>
        <v>5.690167650993061E-2</v>
      </c>
      <c r="AD169" s="31">
        <v>0.08</v>
      </c>
      <c r="AE169" s="127">
        <f t="shared" ref="AE169" si="326">(AB169*(1+AC169))/($C$1-AD169)</f>
        <v>27.82405309840027</v>
      </c>
    </row>
    <row r="170" spans="2:31" x14ac:dyDescent="0.2">
      <c r="B170" s="20" t="s">
        <v>389</v>
      </c>
      <c r="C170" s="25" t="e">
        <f t="shared" ref="C170:P170" si="327">C168/C53</f>
        <v>#DIV/0!</v>
      </c>
      <c r="D170" s="25" t="e">
        <f t="shared" si="327"/>
        <v>#DIV/0!</v>
      </c>
      <c r="E170" s="25" t="e">
        <f t="shared" si="327"/>
        <v>#DIV/0!</v>
      </c>
      <c r="F170" s="25" t="e">
        <f t="shared" si="327"/>
        <v>#DIV/0!</v>
      </c>
      <c r="G170" s="25">
        <f t="shared" si="327"/>
        <v>19.979166666666668</v>
      </c>
      <c r="H170" s="25">
        <f t="shared" si="327"/>
        <v>18.544198895027627</v>
      </c>
      <c r="I170" s="25">
        <f t="shared" si="327"/>
        <v>27.856666666666669</v>
      </c>
      <c r="J170" s="25">
        <f t="shared" si="327"/>
        <v>22.704240282685515</v>
      </c>
      <c r="K170" s="25">
        <f t="shared" si="327"/>
        <v>22.406542056074766</v>
      </c>
      <c r="L170" s="25">
        <f t="shared" si="327"/>
        <v>16.021479713603817</v>
      </c>
      <c r="M170" s="25">
        <f t="shared" si="327"/>
        <v>20.102115384615384</v>
      </c>
      <c r="N170" s="25">
        <f t="shared" si="327"/>
        <v>27.050113507377979</v>
      </c>
      <c r="O170" s="25">
        <f t="shared" si="327"/>
        <v>28.205882352941174</v>
      </c>
      <c r="P170" s="25">
        <f t="shared" si="327"/>
        <v>36.82096635030198</v>
      </c>
      <c r="Q170" s="118">
        <f t="shared" si="318"/>
        <v>7.0291260401921907E-2</v>
      </c>
      <c r="R170" s="128"/>
      <c r="S170" s="25">
        <f t="shared" ref="S170:AB170" si="328">S168/S53</f>
        <v>22.508159207712797</v>
      </c>
      <c r="T170" s="25">
        <f t="shared" si="328"/>
        <v>22.733240799789929</v>
      </c>
      <c r="U170" s="25">
        <f t="shared" si="328"/>
        <v>22.960573207787828</v>
      </c>
      <c r="V170" s="25">
        <f t="shared" si="328"/>
        <v>23.190178939865703</v>
      </c>
      <c r="W170" s="25">
        <f t="shared" si="328"/>
        <v>23.422080729264366</v>
      </c>
      <c r="X170" s="25">
        <f t="shared" si="328"/>
        <v>23.656301536557006</v>
      </c>
      <c r="Y170" s="25">
        <f t="shared" si="328"/>
        <v>23.892864551922578</v>
      </c>
      <c r="Z170" s="25">
        <f t="shared" si="328"/>
        <v>24.131793197441802</v>
      </c>
      <c r="AA170" s="25">
        <f t="shared" si="328"/>
        <v>24.373111129416223</v>
      </c>
      <c r="AB170" s="25">
        <f t="shared" si="328"/>
        <v>37.320762411499075</v>
      </c>
      <c r="AC170" s="138">
        <f t="shared" si="320"/>
        <v>3.3434121270931483E-2</v>
      </c>
      <c r="AD170" s="31">
        <v>0.08</v>
      </c>
      <c r="AE170" s="127">
        <f t="shared" si="321"/>
        <v>275.48963791349109</v>
      </c>
    </row>
    <row r="171" spans="2:31" x14ac:dyDescent="0.2">
      <c r="B171" s="20" t="s">
        <v>258</v>
      </c>
      <c r="C171" s="25" t="e">
        <f t="shared" ref="C171:P171" si="329">C168/C56</f>
        <v>#DIV/0!</v>
      </c>
      <c r="D171" s="25" t="e">
        <f t="shared" si="329"/>
        <v>#DIV/0!</v>
      </c>
      <c r="E171" s="25" t="e">
        <f t="shared" si="329"/>
        <v>#DIV/0!</v>
      </c>
      <c r="F171" s="25" t="e">
        <f t="shared" si="329"/>
        <v>#DIV/0!</v>
      </c>
      <c r="G171" s="25">
        <f t="shared" si="329"/>
        <v>6.6443418013856812</v>
      </c>
      <c r="H171" s="25">
        <f t="shared" si="329"/>
        <v>7.1263269639065818</v>
      </c>
      <c r="I171" s="25">
        <f t="shared" si="329"/>
        <v>10.636181818181818</v>
      </c>
      <c r="J171" s="25">
        <f t="shared" si="329"/>
        <v>9.4212609970674492</v>
      </c>
      <c r="K171" s="25">
        <f t="shared" si="329"/>
        <v>10.82392776523702</v>
      </c>
      <c r="L171" s="25">
        <f t="shared" si="329"/>
        <v>6.0641373080397472</v>
      </c>
      <c r="M171" s="25">
        <f t="shared" si="329"/>
        <v>11.010080545229245</v>
      </c>
      <c r="N171" s="25">
        <f t="shared" si="329"/>
        <v>11.397010999521759</v>
      </c>
      <c r="O171" s="25">
        <f t="shared" si="329"/>
        <v>10.848416289592759</v>
      </c>
      <c r="P171" s="25">
        <f t="shared" si="329"/>
        <v>12.979166666666666</v>
      </c>
      <c r="Q171" s="118">
        <f t="shared" si="318"/>
        <v>7.7235205234624793E-2</v>
      </c>
      <c r="R171" s="128"/>
      <c r="S171" s="25">
        <f t="shared" ref="S171:AB171" si="330">S168/S56</f>
        <v>7.9339892097746754</v>
      </c>
      <c r="T171" s="25">
        <f t="shared" si="330"/>
        <v>8.0133291018724222</v>
      </c>
      <c r="U171" s="25">
        <f t="shared" si="330"/>
        <v>8.093462392891146</v>
      </c>
      <c r="V171" s="25">
        <f t="shared" si="330"/>
        <v>8.1743970168200573</v>
      </c>
      <c r="W171" s="25">
        <f t="shared" si="330"/>
        <v>8.2561409869882603</v>
      </c>
      <c r="X171" s="25">
        <f t="shared" si="330"/>
        <v>8.3387023968581424</v>
      </c>
      <c r="Y171" s="25">
        <f t="shared" si="330"/>
        <v>8.4220894208267243</v>
      </c>
      <c r="Z171" s="25">
        <f t="shared" si="330"/>
        <v>8.5063103150349892</v>
      </c>
      <c r="AA171" s="25">
        <f t="shared" si="330"/>
        <v>8.5913734181853414</v>
      </c>
      <c r="AB171" s="25">
        <f t="shared" si="330"/>
        <v>13.155341738116615</v>
      </c>
      <c r="AC171" s="138">
        <f t="shared" si="320"/>
        <v>3.6604683681553229E-2</v>
      </c>
      <c r="AD171" s="31">
        <v>0.08</v>
      </c>
      <c r="AE171" s="127">
        <f t="shared" si="321"/>
        <v>97.406349008307899</v>
      </c>
    </row>
    <row r="172" spans="2:31" x14ac:dyDescent="0.2">
      <c r="B172" s="20" t="s">
        <v>259</v>
      </c>
      <c r="C172" s="25" t="e">
        <f t="shared" ref="C172:P172" si="331">C168/C65</f>
        <v>#DIV/0!</v>
      </c>
      <c r="D172" s="25" t="e">
        <f t="shared" si="331"/>
        <v>#DIV/0!</v>
      </c>
      <c r="E172" s="25" t="e">
        <f t="shared" si="331"/>
        <v>#DIV/0!</v>
      </c>
      <c r="F172" s="25" t="e">
        <f t="shared" si="331"/>
        <v>#DIV/0!</v>
      </c>
      <c r="G172" s="25">
        <f t="shared" si="331"/>
        <v>16.72674418604651</v>
      </c>
      <c r="H172" s="25">
        <f t="shared" si="331"/>
        <v>19.18</v>
      </c>
      <c r="I172" s="25">
        <f t="shared" si="331"/>
        <v>24.683122362869199</v>
      </c>
      <c r="J172" s="25">
        <f t="shared" si="331"/>
        <v>21.561409395973154</v>
      </c>
      <c r="K172" s="25">
        <f t="shared" si="331"/>
        <v>24.751580849141821</v>
      </c>
      <c r="L172" s="25">
        <f t="shared" si="331"/>
        <v>23.276699029126213</v>
      </c>
      <c r="M172" s="25">
        <f t="shared" si="331"/>
        <v>24.342835616438357</v>
      </c>
      <c r="N172" s="25">
        <f t="shared" si="331"/>
        <v>22.610199240986717</v>
      </c>
      <c r="O172" s="25">
        <f t="shared" si="331"/>
        <v>29.387129724208375</v>
      </c>
      <c r="P172" s="25">
        <f t="shared" si="331"/>
        <v>41.312197483059052</v>
      </c>
      <c r="Q172" s="118">
        <f t="shared" si="318"/>
        <v>0.1056805080447436</v>
      </c>
      <c r="R172" s="128"/>
      <c r="S172" s="25">
        <f t="shared" ref="S172:AB172" si="332">S168/S65</f>
        <v>25.253588113977862</v>
      </c>
      <c r="T172" s="25">
        <f t="shared" si="332"/>
        <v>25.50612399511764</v>
      </c>
      <c r="U172" s="25">
        <f t="shared" si="332"/>
        <v>25.761185235068819</v>
      </c>
      <c r="V172" s="25">
        <f t="shared" si="332"/>
        <v>26.018797087419504</v>
      </c>
      <c r="W172" s="25">
        <f t="shared" si="332"/>
        <v>26.278985058293696</v>
      </c>
      <c r="X172" s="25">
        <f t="shared" si="332"/>
        <v>26.541774908876636</v>
      </c>
      <c r="Y172" s="25">
        <f t="shared" si="332"/>
        <v>26.807192657965402</v>
      </c>
      <c r="Z172" s="25">
        <f t="shared" si="332"/>
        <v>27.075264584545057</v>
      </c>
      <c r="AA172" s="25">
        <f t="shared" si="332"/>
        <v>27.346017230390505</v>
      </c>
      <c r="AB172" s="25">
        <f t="shared" si="332"/>
        <v>41.872956084150459</v>
      </c>
      <c r="AC172" s="138">
        <f t="shared" si="320"/>
        <v>4.9481658600736944E-2</v>
      </c>
      <c r="AD172" s="31">
        <v>0.08</v>
      </c>
      <c r="AE172" s="127">
        <f t="shared" si="321"/>
        <v>313.89213858364315</v>
      </c>
    </row>
    <row r="173" spans="2:31" x14ac:dyDescent="0.2">
      <c r="B173" s="20" t="s">
        <v>260</v>
      </c>
      <c r="C173" s="25" t="e">
        <f t="shared" ref="C173:P173" si="333">C168/C67</f>
        <v>#DIV/0!</v>
      </c>
      <c r="D173" s="25" t="e">
        <f t="shared" si="333"/>
        <v>#DIV/0!</v>
      </c>
      <c r="E173" s="25" t="e">
        <f t="shared" si="333"/>
        <v>#DIV/0!</v>
      </c>
      <c r="F173" s="25" t="e">
        <f t="shared" si="333"/>
        <v>#DIV/0!</v>
      </c>
      <c r="G173" s="25">
        <f t="shared" si="333"/>
        <v>21.470149253731343</v>
      </c>
      <c r="H173" s="25">
        <f t="shared" si="333"/>
        <v>13.644308943089431</v>
      </c>
      <c r="I173" s="25">
        <f t="shared" si="333"/>
        <v>21.349999999999998</v>
      </c>
      <c r="J173" s="25">
        <f t="shared" si="333"/>
        <v>16.9532981530343</v>
      </c>
      <c r="K173" s="25">
        <f t="shared" si="333"/>
        <v>37.4609375</v>
      </c>
      <c r="L173" s="25">
        <f t="shared" si="333"/>
        <v>14.405579399141629</v>
      </c>
      <c r="M173" s="25">
        <f t="shared" si="333"/>
        <v>227.82397435897437</v>
      </c>
      <c r="N173" s="25">
        <f t="shared" si="333"/>
        <v>104.9830396475771</v>
      </c>
      <c r="O173" s="25">
        <f t="shared" si="333"/>
        <v>39.958333333333336</v>
      </c>
      <c r="P173" s="25">
        <f t="shared" si="333"/>
        <v>42.590319361277444</v>
      </c>
      <c r="Q173" s="118">
        <f t="shared" si="318"/>
        <v>7.9078079543780433E-2</v>
      </c>
      <c r="R173" s="128"/>
      <c r="S173" s="25">
        <f t="shared" ref="S173:AB173" si="334">S168/S67</f>
        <v>26.034886748242645</v>
      </c>
      <c r="T173" s="25">
        <f t="shared" si="334"/>
        <v>26.295235615725076</v>
      </c>
      <c r="U173" s="25">
        <f t="shared" si="334"/>
        <v>26.558187971882326</v>
      </c>
      <c r="V173" s="25">
        <f t="shared" si="334"/>
        <v>26.823769851601146</v>
      </c>
      <c r="W173" s="25">
        <f t="shared" si="334"/>
        <v>27.092007550117163</v>
      </c>
      <c r="X173" s="25">
        <f t="shared" si="334"/>
        <v>27.362927625618333</v>
      </c>
      <c r="Y173" s="25">
        <f t="shared" si="334"/>
        <v>27.636556901874517</v>
      </c>
      <c r="Z173" s="25">
        <f t="shared" si="334"/>
        <v>27.912922470893264</v>
      </c>
      <c r="AA173" s="25">
        <f t="shared" si="334"/>
        <v>28.192051695602199</v>
      </c>
      <c r="AB173" s="25">
        <f t="shared" si="334"/>
        <v>43.168426781364708</v>
      </c>
      <c r="AC173" s="138">
        <f t="shared" si="320"/>
        <v>3.7444321248012669E-2</v>
      </c>
      <c r="AD173" s="31">
        <v>0.08</v>
      </c>
      <c r="AE173" s="127">
        <f t="shared" si="321"/>
        <v>319.89170872526739</v>
      </c>
    </row>
    <row r="174" spans="2:31" x14ac:dyDescent="0.2">
      <c r="B174" s="20" t="s">
        <v>281</v>
      </c>
      <c r="C174" s="25" t="e">
        <f>C170/C120</f>
        <v>#DIV/0!</v>
      </c>
      <c r="D174" s="25" t="e">
        <f>D170/D120</f>
        <v>#DIV/0!</v>
      </c>
      <c r="E174" s="25" t="e">
        <f>E170/E120</f>
        <v>#DIV/0!</v>
      </c>
      <c r="F174" s="25" t="e">
        <f>F170/F120</f>
        <v>#DIV/0!</v>
      </c>
      <c r="G174" s="182">
        <f t="shared" ref="G174:P174" si="335">G168/G61</f>
        <v>5.9319587628865973</v>
      </c>
      <c r="H174" s="182">
        <f t="shared" si="335"/>
        <v>5.6697635135135132</v>
      </c>
      <c r="I174" s="182">
        <f t="shared" si="335"/>
        <v>8.8769347496206379</v>
      </c>
      <c r="J174" s="182">
        <f t="shared" si="335"/>
        <v>8.4878467635402917</v>
      </c>
      <c r="K174" s="182">
        <f t="shared" si="335"/>
        <v>10.245726495726496</v>
      </c>
      <c r="L174" s="182">
        <f t="shared" si="335"/>
        <v>4.987369985141159</v>
      </c>
      <c r="M174" s="182">
        <f t="shared" si="335"/>
        <v>11.071819314641743</v>
      </c>
      <c r="N174" s="182">
        <f t="shared" si="335"/>
        <v>10.886774783005938</v>
      </c>
      <c r="O174" s="182">
        <f t="shared" si="335"/>
        <v>9.3167098445595862</v>
      </c>
      <c r="P174" s="182">
        <f t="shared" si="335"/>
        <v>10.055490103675776</v>
      </c>
      <c r="Q174" s="118">
        <f t="shared" ref="Q174:Q176" si="336">((P174/G174)^(1/($H$2-$H$1) ))-1</f>
        <v>6.039393603900578E-2</v>
      </c>
      <c r="R174" s="128"/>
      <c r="S174" s="135">
        <f t="shared" ref="S174:AB174" si="337">S168/S61</f>
        <v>6.1467852313240181</v>
      </c>
      <c r="T174" s="135">
        <f t="shared" si="337"/>
        <v>6.2082530836372616</v>
      </c>
      <c r="U174" s="135">
        <f t="shared" si="337"/>
        <v>6.2703356144736313</v>
      </c>
      <c r="V174" s="135">
        <f t="shared" si="337"/>
        <v>6.3330389706183681</v>
      </c>
      <c r="W174" s="135">
        <f t="shared" si="337"/>
        <v>6.3963693603245524</v>
      </c>
      <c r="X174" s="135">
        <f t="shared" si="337"/>
        <v>6.4603330539277994</v>
      </c>
      <c r="Y174" s="135">
        <f t="shared" si="337"/>
        <v>6.524936384467078</v>
      </c>
      <c r="Z174" s="135">
        <f t="shared" si="337"/>
        <v>6.5901857483117467</v>
      </c>
      <c r="AA174" s="135">
        <f t="shared" si="337"/>
        <v>6.6560876057948652</v>
      </c>
      <c r="AB174" s="135">
        <f t="shared" si="337"/>
        <v>10.191980121330689</v>
      </c>
      <c r="AC174" s="138">
        <f t="shared" ref="AC174" si="338">((AB174/G174)^(1/($AB$3-$H$1) ))-1</f>
        <v>2.8896292620156583E-2</v>
      </c>
      <c r="AD174" s="31">
        <v>0.08</v>
      </c>
      <c r="AE174" s="127">
        <f t="shared" si="321"/>
        <v>74.90350400925341</v>
      </c>
    </row>
    <row r="175" spans="2:31" x14ac:dyDescent="0.2">
      <c r="B175" s="20" t="s">
        <v>371</v>
      </c>
      <c r="C175" s="161" t="e">
        <f t="shared" ref="C175:P175" si="339">C53/C168</f>
        <v>#DIV/0!</v>
      </c>
      <c r="D175" s="161" t="e">
        <f t="shared" si="339"/>
        <v>#DIV/0!</v>
      </c>
      <c r="E175" s="161" t="e">
        <f t="shared" si="339"/>
        <v>#DIV/0!</v>
      </c>
      <c r="F175" s="161">
        <f t="shared" si="339"/>
        <v>0</v>
      </c>
      <c r="G175" s="161">
        <f t="shared" si="339"/>
        <v>5.0052137643378521E-2</v>
      </c>
      <c r="H175" s="161">
        <f t="shared" si="339"/>
        <v>5.392521972292566E-2</v>
      </c>
      <c r="I175" s="161">
        <f t="shared" si="339"/>
        <v>3.5898049539308363E-2</v>
      </c>
      <c r="J175" s="161">
        <f t="shared" si="339"/>
        <v>4.4044636048122268E-2</v>
      </c>
      <c r="K175" s="161">
        <f t="shared" si="339"/>
        <v>4.4629822732012513E-2</v>
      </c>
      <c r="L175" s="161">
        <f t="shared" si="339"/>
        <v>6.2416207358855953E-2</v>
      </c>
      <c r="M175" s="161">
        <f t="shared" si="339"/>
        <v>4.9746008361156023E-2</v>
      </c>
      <c r="N175" s="161">
        <f t="shared" si="339"/>
        <v>3.6968421582676457E-2</v>
      </c>
      <c r="O175" s="161">
        <f t="shared" si="339"/>
        <v>3.5453597497393116E-2</v>
      </c>
      <c r="P175" s="161">
        <f t="shared" si="339"/>
        <v>2.7158439854248928E-2</v>
      </c>
      <c r="Q175" s="118">
        <f t="shared" si="336"/>
        <v>-6.5674889632870381E-2</v>
      </c>
      <c r="R175" s="128"/>
      <c r="S175" s="161">
        <f t="shared" ref="S175:AB175" si="340">S53/S168</f>
        <v>4.4428333333333327E-2</v>
      </c>
      <c r="T175" s="161">
        <f t="shared" si="340"/>
        <v>4.3988448844884481E-2</v>
      </c>
      <c r="U175" s="161">
        <f t="shared" si="340"/>
        <v>4.3552919648400475E-2</v>
      </c>
      <c r="V175" s="161">
        <f t="shared" si="340"/>
        <v>4.3121702622178688E-2</v>
      </c>
      <c r="W175" s="161">
        <f t="shared" si="340"/>
        <v>4.2694755071464044E-2</v>
      </c>
      <c r="X175" s="161">
        <f t="shared" si="340"/>
        <v>4.2272034724221828E-2</v>
      </c>
      <c r="Y175" s="161">
        <f t="shared" si="340"/>
        <v>4.1853499726952299E-2</v>
      </c>
      <c r="Z175" s="161">
        <f t="shared" si="340"/>
        <v>4.143910864054684E-2</v>
      </c>
      <c r="AA175" s="161">
        <f t="shared" si="340"/>
        <v>4.1028820436184985E-2</v>
      </c>
      <c r="AB175" s="161">
        <f t="shared" si="340"/>
        <v>2.6794736639460647E-2</v>
      </c>
      <c r="AC175" s="138">
        <f t="shared" ref="AC175:AC176" si="341">((AB175/G175)^(1/($AB$3-$H$1) ))-1</f>
        <v>-3.235244567869866E-2</v>
      </c>
      <c r="AD175" s="31">
        <v>0.08</v>
      </c>
      <c r="AE175" s="127">
        <f t="shared" si="321"/>
        <v>0.18519900984183899</v>
      </c>
    </row>
    <row r="176" spans="2:31" x14ac:dyDescent="0.2">
      <c r="B176" s="20" t="s">
        <v>320</v>
      </c>
      <c r="C176" s="152" t="e">
        <f t="shared" ref="C176:P176" si="342">C44/C168</f>
        <v>#DIV/0!</v>
      </c>
      <c r="D176" s="152" t="e">
        <f t="shared" si="342"/>
        <v>#DIV/0!</v>
      </c>
      <c r="E176" s="152" t="e">
        <f t="shared" si="342"/>
        <v>#DIV/0!</v>
      </c>
      <c r="F176" s="152">
        <f t="shared" si="342"/>
        <v>0</v>
      </c>
      <c r="G176" s="152">
        <f t="shared" si="342"/>
        <v>2.8333333333333332E-2</v>
      </c>
      <c r="H176" s="152">
        <f t="shared" si="342"/>
        <v>2.7142857142857142E-2</v>
      </c>
      <c r="I176" s="152">
        <f t="shared" si="342"/>
        <v>2.0491803278688523E-2</v>
      </c>
      <c r="J176" s="152">
        <f t="shared" si="342"/>
        <v>1.9402985074626865E-2</v>
      </c>
      <c r="K176" s="152">
        <f t="shared" si="342"/>
        <v>1.7000000000000001E-2</v>
      </c>
      <c r="L176" s="152">
        <f t="shared" si="342"/>
        <v>2.5000000000000001E-2</v>
      </c>
      <c r="M176" s="152">
        <f t="shared" si="342"/>
        <v>1.4570966001079331E-2</v>
      </c>
      <c r="N176" s="152">
        <f t="shared" si="342"/>
        <v>1.2877263581488933E-2</v>
      </c>
      <c r="O176" s="152">
        <f t="shared" si="342"/>
        <v>1.3333333333333334E-2</v>
      </c>
      <c r="P176" s="152">
        <f t="shared" si="342"/>
        <v>1.0337078651685393E-2</v>
      </c>
      <c r="Q176" s="118">
        <f t="shared" si="336"/>
        <v>-0.10598570912032201</v>
      </c>
      <c r="R176" s="128"/>
      <c r="S176" s="152">
        <f t="shared" ref="S176:AB176" si="343">S44/S168</f>
        <v>0.161</v>
      </c>
      <c r="T176" s="152">
        <f t="shared" si="343"/>
        <v>0.14700000000000002</v>
      </c>
      <c r="U176" s="152">
        <f t="shared" si="343"/>
        <v>0.13421739130434784</v>
      </c>
      <c r="V176" s="152">
        <f t="shared" si="343"/>
        <v>0.12254631379962197</v>
      </c>
      <c r="W176" s="152">
        <f t="shared" si="343"/>
        <v>0.11189011259965484</v>
      </c>
      <c r="X176" s="152">
        <f t="shared" si="343"/>
        <v>0.10216053759098921</v>
      </c>
      <c r="Y176" s="152">
        <f t="shared" si="343"/>
        <v>9.3277012583077121E-2</v>
      </c>
      <c r="Z176" s="152">
        <f t="shared" si="343"/>
        <v>8.5165968010635654E-2</v>
      </c>
      <c r="AA176" s="152">
        <f t="shared" si="343"/>
        <v>7.7760231661884727E-2</v>
      </c>
      <c r="AB176" s="152">
        <f t="shared" si="343"/>
        <v>4.683072051985146E-2</v>
      </c>
      <c r="AC176" s="138">
        <f t="shared" si="341"/>
        <v>2.6800227562324697E-2</v>
      </c>
      <c r="AD176" s="31">
        <v>0.08</v>
      </c>
      <c r="AE176" s="127">
        <f t="shared" si="321"/>
        <v>0.34346996061922214</v>
      </c>
    </row>
    <row r="177" spans="2:45" x14ac:dyDescent="0.2">
      <c r="B177" s="20"/>
      <c r="C177" s="152"/>
      <c r="D177" s="152"/>
      <c r="E177" s="152"/>
      <c r="F177" s="152"/>
      <c r="G177" s="152"/>
      <c r="H177" s="152"/>
      <c r="I177" s="152"/>
      <c r="J177" s="152"/>
      <c r="K177" s="152"/>
      <c r="L177" s="152"/>
      <c r="M177" s="152"/>
      <c r="N177" s="152"/>
      <c r="O177" s="152"/>
      <c r="P177" s="152"/>
      <c r="Q177" s="128"/>
      <c r="R177" s="128"/>
      <c r="S177" s="135"/>
      <c r="T177" s="135"/>
      <c r="U177" s="135"/>
      <c r="V177" s="135"/>
      <c r="W177" s="135"/>
      <c r="X177" s="135"/>
      <c r="Y177" s="135"/>
      <c r="Z177" s="135"/>
      <c r="AA177" s="135"/>
      <c r="AB177" s="135"/>
      <c r="AC177" s="137"/>
      <c r="AD177" s="20"/>
      <c r="AE177" s="127"/>
    </row>
    <row r="178" spans="2:45" x14ac:dyDescent="0.2">
      <c r="B178" s="20"/>
      <c r="C178" s="129"/>
      <c r="D178" s="129"/>
      <c r="E178" s="129"/>
      <c r="F178" s="129"/>
      <c r="G178" s="135"/>
      <c r="H178" s="135"/>
      <c r="I178" s="135"/>
      <c r="J178" s="135"/>
      <c r="K178" s="135"/>
      <c r="L178" s="135"/>
      <c r="M178" s="135"/>
      <c r="N178" s="135"/>
      <c r="O178" s="135"/>
      <c r="P178" s="135"/>
      <c r="Q178" s="128"/>
      <c r="R178" s="128"/>
      <c r="S178" s="135"/>
      <c r="T178" s="135"/>
      <c r="U178" s="135"/>
      <c r="V178" s="135"/>
      <c r="W178" s="135"/>
      <c r="X178" s="135"/>
      <c r="Y178" s="135"/>
      <c r="Z178" s="135"/>
      <c r="AA178" s="135"/>
      <c r="AB178" s="135"/>
      <c r="AC178" s="137"/>
      <c r="AD178" s="20"/>
      <c r="AE178" s="20"/>
    </row>
    <row r="179" spans="2:45" x14ac:dyDescent="0.2">
      <c r="B179" s="108" t="s">
        <v>301</v>
      </c>
      <c r="C179" s="20"/>
      <c r="D179" s="20"/>
      <c r="E179" s="20"/>
      <c r="F179" s="20"/>
      <c r="G179" s="20"/>
      <c r="H179" s="20"/>
      <c r="I179" s="20"/>
      <c r="J179" s="20"/>
      <c r="K179" s="202" t="s">
        <v>351</v>
      </c>
      <c r="L179" s="203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137"/>
      <c r="AD179" s="20"/>
      <c r="AE179" s="20"/>
    </row>
    <row r="180" spans="2:45" x14ac:dyDescent="0.2">
      <c r="B180" s="20" t="s">
        <v>299</v>
      </c>
      <c r="C180" s="20" t="s">
        <v>314</v>
      </c>
      <c r="D180" s="20"/>
      <c r="E180" s="20"/>
      <c r="F180" s="20"/>
      <c r="G180" s="20"/>
      <c r="H180" s="20"/>
      <c r="I180" s="20"/>
      <c r="J180" s="20"/>
      <c r="K180" s="20" t="s">
        <v>352</v>
      </c>
      <c r="L180" s="22">
        <v>1</v>
      </c>
      <c r="M180" s="20"/>
      <c r="N180" s="20"/>
      <c r="O180" s="20"/>
      <c r="P180" s="128">
        <f>(P168-R156)/P168</f>
        <v>0.90203876245412529</v>
      </c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137"/>
      <c r="AD180" s="20"/>
      <c r="AE180" s="20"/>
    </row>
    <row r="181" spans="2:45" x14ac:dyDescent="0.2">
      <c r="B181" s="20" t="s">
        <v>349</v>
      </c>
      <c r="C181" s="20" t="s">
        <v>314</v>
      </c>
      <c r="D181" s="20"/>
      <c r="E181" s="20"/>
      <c r="F181" s="20"/>
      <c r="G181" s="20"/>
      <c r="H181" s="20"/>
      <c r="I181" s="20"/>
      <c r="J181" s="20"/>
      <c r="K181" s="172">
        <f>$L$180</f>
        <v>1</v>
      </c>
      <c r="L181" s="20"/>
      <c r="M181" s="128">
        <f>(P168-(K181*R147))/P168</f>
        <v>0.95771621684427644</v>
      </c>
      <c r="N181" s="20"/>
      <c r="O181" s="20"/>
      <c r="P181" s="128">
        <f>(P168-R147)/P168</f>
        <v>0.95771621684427644</v>
      </c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137"/>
      <c r="AD181" s="20"/>
      <c r="AE181" s="20"/>
    </row>
    <row r="182" spans="2:45" x14ac:dyDescent="0.2">
      <c r="B182" s="20" t="s">
        <v>350</v>
      </c>
      <c r="C182" s="20" t="s">
        <v>314</v>
      </c>
      <c r="D182" s="20"/>
      <c r="E182" s="20"/>
      <c r="F182" s="20"/>
      <c r="G182" s="20"/>
      <c r="H182" s="20"/>
      <c r="I182" s="20"/>
      <c r="J182" s="20"/>
      <c r="K182" s="172">
        <f>$L$180</f>
        <v>1</v>
      </c>
      <c r="L182" s="20"/>
      <c r="M182" s="128">
        <f>(P168-(K182*R140))/P168</f>
        <v>0.96628456121607698</v>
      </c>
      <c r="N182" s="20"/>
      <c r="O182" s="20"/>
      <c r="P182" s="128">
        <f>(P168-R140)/P168</f>
        <v>0.96628456121607698</v>
      </c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137"/>
      <c r="AD182" s="20"/>
      <c r="AE182" s="20"/>
    </row>
    <row r="183" spans="2:45" x14ac:dyDescent="0.2">
      <c r="B183" s="20" t="s">
        <v>353</v>
      </c>
      <c r="C183" s="20" t="s">
        <v>314</v>
      </c>
      <c r="D183" s="20"/>
      <c r="E183" s="20"/>
      <c r="F183" s="20"/>
      <c r="G183" s="20"/>
      <c r="H183" s="20"/>
      <c r="I183" s="20"/>
      <c r="J183" s="20"/>
      <c r="K183" s="172">
        <f>$L$180</f>
        <v>1</v>
      </c>
      <c r="L183" s="20"/>
      <c r="M183" s="128">
        <f>(P168-(K183*R153))/P168</f>
        <v>0.91455433006588438</v>
      </c>
      <c r="N183" s="20"/>
      <c r="O183" s="20"/>
      <c r="P183" s="128">
        <f>(P168-R153)/P168</f>
        <v>0.91455433006588438</v>
      </c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137"/>
      <c r="AD183" s="20"/>
      <c r="AE183" s="20"/>
    </row>
    <row r="184" spans="2:45" x14ac:dyDescent="0.2">
      <c r="B184" s="20" t="s">
        <v>399</v>
      </c>
      <c r="C184" s="20" t="s">
        <v>314</v>
      </c>
      <c r="D184" s="20"/>
      <c r="E184" s="20"/>
      <c r="F184" s="20"/>
      <c r="G184" s="20"/>
      <c r="H184" s="20"/>
      <c r="I184" s="20"/>
      <c r="J184" s="20"/>
      <c r="K184" s="172">
        <f>$L$180</f>
        <v>1</v>
      </c>
      <c r="L184" s="20"/>
      <c r="M184" s="128">
        <f>(P168-(K184*R165))/P168</f>
        <v>0.97257967872689355</v>
      </c>
      <c r="N184" s="20"/>
      <c r="O184" s="20"/>
      <c r="P184" s="128">
        <f>(P168-R165)/P168</f>
        <v>0.97257967872689355</v>
      </c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137"/>
      <c r="AD184" s="20"/>
      <c r="AE184" s="20"/>
    </row>
    <row r="185" spans="2:45" x14ac:dyDescent="0.2">
      <c r="B185" s="20" t="s">
        <v>300</v>
      </c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5">
        <f>P168/R139</f>
        <v>86.600041931436436</v>
      </c>
      <c r="Q185" s="20"/>
      <c r="R185" s="20"/>
      <c r="S185" s="115" t="s">
        <v>11</v>
      </c>
      <c r="T185" s="115" t="s">
        <v>12</v>
      </c>
      <c r="U185" s="115" t="s">
        <v>13</v>
      </c>
      <c r="V185" s="115" t="s">
        <v>14</v>
      </c>
      <c r="W185" s="115" t="s">
        <v>15</v>
      </c>
      <c r="X185" s="115" t="s">
        <v>234</v>
      </c>
      <c r="Y185" s="115" t="s">
        <v>235</v>
      </c>
      <c r="Z185" s="115" t="s">
        <v>236</v>
      </c>
      <c r="AA185" s="115" t="s">
        <v>237</v>
      </c>
      <c r="AB185" s="115" t="s">
        <v>238</v>
      </c>
      <c r="AC185" s="115" t="s">
        <v>407</v>
      </c>
      <c r="AD185" s="115" t="s">
        <v>408</v>
      </c>
      <c r="AE185" s="115" t="s">
        <v>409</v>
      </c>
      <c r="AF185" s="115" t="s">
        <v>410</v>
      </c>
      <c r="AG185" s="115" t="s">
        <v>411</v>
      </c>
      <c r="AH185" s="115" t="s">
        <v>412</v>
      </c>
      <c r="AI185" s="115" t="s">
        <v>413</v>
      </c>
      <c r="AJ185" s="115" t="s">
        <v>414</v>
      </c>
      <c r="AK185" s="115" t="s">
        <v>415</v>
      </c>
      <c r="AL185" s="115" t="s">
        <v>416</v>
      </c>
      <c r="AM185" s="115" t="s">
        <v>417</v>
      </c>
      <c r="AN185" s="115" t="s">
        <v>418</v>
      </c>
      <c r="AO185" s="115" t="s">
        <v>419</v>
      </c>
      <c r="AP185" s="115" t="s">
        <v>420</v>
      </c>
      <c r="AQ185" s="115" t="s">
        <v>421</v>
      </c>
      <c r="AR185" s="115" t="s">
        <v>422</v>
      </c>
      <c r="AS185" s="115" t="s">
        <v>423</v>
      </c>
    </row>
    <row r="186" spans="2:45" x14ac:dyDescent="0.2">
      <c r="B186" s="20" t="s">
        <v>371</v>
      </c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152">
        <f>1/P185</f>
        <v>1.1547338519671003E-2</v>
      </c>
      <c r="Q186" s="20"/>
      <c r="R186" s="20"/>
      <c r="S186" s="185">
        <f>P168-S187</f>
        <v>4388.5875912408756</v>
      </c>
      <c r="T186" s="185">
        <f>S186-T187</f>
        <v>4324.1045620437953</v>
      </c>
      <c r="U186" s="185">
        <f t="shared" ref="U186:W186" si="344">T186-U187</f>
        <v>4256.3973813868606</v>
      </c>
      <c r="V186" s="185">
        <f t="shared" si="344"/>
        <v>4185.3048416970796</v>
      </c>
      <c r="W186" s="185">
        <f t="shared" si="344"/>
        <v>4110.6576750228096</v>
      </c>
      <c r="X186" s="185">
        <f>W186-X187</f>
        <v>4032.2781500148258</v>
      </c>
      <c r="Y186" s="185">
        <f t="shared" ref="Y186:AB186" si="345">X186-Y187</f>
        <v>3949.9796487564431</v>
      </c>
      <c r="Z186" s="185">
        <f t="shared" si="345"/>
        <v>3863.5662224351413</v>
      </c>
      <c r="AA186" s="185">
        <f t="shared" si="345"/>
        <v>3772.8321247977742</v>
      </c>
      <c r="AB186" s="185">
        <f t="shared" si="345"/>
        <v>3677.5613222785387</v>
      </c>
      <c r="AC186" s="185">
        <f t="shared" ref="AC186" si="346">AB186-AC187</f>
        <v>3577.5269796333414</v>
      </c>
      <c r="AD186" s="185">
        <f t="shared" ref="AD186" si="347">AC186-AD187</f>
        <v>3472.4909198558844</v>
      </c>
      <c r="AE186" s="185">
        <f t="shared" ref="AE186" si="348">AD186-AE187</f>
        <v>3362.2030570895545</v>
      </c>
      <c r="AF186" s="185">
        <f t="shared" ref="AF186" si="349">AE186-AF187</f>
        <v>3246.4008011849082</v>
      </c>
      <c r="AG186" s="185">
        <f t="shared" ref="AG186" si="350">AF186-AG187</f>
        <v>3124.8084324850297</v>
      </c>
      <c r="AH186" s="185">
        <f t="shared" ref="AH186" si="351">AG186-AH187</f>
        <v>2997.1364453501569</v>
      </c>
      <c r="AI186" s="185">
        <f t="shared" ref="AI186" si="352">AH186-AI187</f>
        <v>2863.0808588585405</v>
      </c>
      <c r="AJ186" s="185">
        <f t="shared" ref="AJ186" si="353">AI186-AJ187</f>
        <v>2722.3224930423435</v>
      </c>
      <c r="AK186" s="185">
        <f t="shared" ref="AK186" si="354">AJ186-AK187</f>
        <v>2574.5262089353364</v>
      </c>
      <c r="AL186" s="185">
        <f t="shared" ref="AL186" si="355">AK186-AL187</f>
        <v>2419.340110622979</v>
      </c>
      <c r="AM186" s="185">
        <f t="shared" ref="AM186" si="356">AL186-AM187</f>
        <v>2256.3947073950039</v>
      </c>
      <c r="AN186" s="185">
        <f t="shared" ref="AN186" si="357">AM186-AN187</f>
        <v>2085.30203400563</v>
      </c>
      <c r="AO186" s="185">
        <f t="shared" ref="AO186" si="358">AN186-AO187</f>
        <v>1905.6547269467874</v>
      </c>
      <c r="AP186" s="185">
        <f t="shared" ref="AP186" si="359">AO186-AP187</f>
        <v>1717.0250545350027</v>
      </c>
      <c r="AQ186" s="185">
        <f t="shared" ref="AQ186" si="360">AP186-AQ187</f>
        <v>1518.9638985026286</v>
      </c>
      <c r="AR186" s="185">
        <f t="shared" ref="AR186" si="361">AQ186-AR187</f>
        <v>1310.9996846686358</v>
      </c>
      <c r="AS186" s="185">
        <f t="shared" ref="AS186" si="362">AR186-AS187</f>
        <v>1092.6372601429434</v>
      </c>
    </row>
    <row r="187" spans="2:45" x14ac:dyDescent="0.2">
      <c r="B187" s="20" t="s">
        <v>396</v>
      </c>
      <c r="C187" s="20"/>
      <c r="D187" s="20"/>
      <c r="E187" s="20"/>
      <c r="F187" s="20"/>
      <c r="G187" s="20"/>
      <c r="H187" s="20"/>
      <c r="I187" s="20"/>
      <c r="J187" s="20"/>
      <c r="K187" s="184">
        <f>P1</f>
        <v>0.05</v>
      </c>
      <c r="L187" s="20"/>
      <c r="M187" s="191"/>
      <c r="N187" s="20"/>
      <c r="O187" s="20"/>
      <c r="P187" s="181">
        <f>P168/Q138</f>
        <v>76.083972187555716</v>
      </c>
      <c r="Q187" s="20"/>
      <c r="R187" s="20"/>
      <c r="S187" s="186">
        <f>Q138*(1+$K$187)</f>
        <v>61.412408759124091</v>
      </c>
      <c r="T187" s="186">
        <f>S187*(1+$K$187)</f>
        <v>64.483029197080299</v>
      </c>
      <c r="U187" s="186">
        <f t="shared" ref="U187:AB187" si="363">T187*(1+$K$187)</f>
        <v>67.707180656934312</v>
      </c>
      <c r="V187" s="186">
        <f t="shared" si="363"/>
        <v>71.092539689781034</v>
      </c>
      <c r="W187" s="186">
        <f t="shared" si="363"/>
        <v>74.647166674270096</v>
      </c>
      <c r="X187" s="186">
        <f t="shared" si="363"/>
        <v>78.379525007983602</v>
      </c>
      <c r="Y187" s="186">
        <f t="shared" si="363"/>
        <v>82.298501258382785</v>
      </c>
      <c r="Z187" s="186">
        <f t="shared" si="363"/>
        <v>86.413426321301927</v>
      </c>
      <c r="AA187" s="186">
        <f t="shared" si="363"/>
        <v>90.734097637367029</v>
      </c>
      <c r="AB187" s="186">
        <f t="shared" si="363"/>
        <v>95.270802519235389</v>
      </c>
      <c r="AC187" s="186">
        <f t="shared" ref="AC187" si="364">AB187*(1+$K$187)</f>
        <v>100.03434264519716</v>
      </c>
      <c r="AD187" s="186">
        <f t="shared" ref="AD187" si="365">AC187*(1+$K$187)</f>
        <v>105.03605977745701</v>
      </c>
      <c r="AE187" s="186">
        <f t="shared" ref="AE187" si="366">AD187*(1+$K$187)</f>
        <v>110.28786276632987</v>
      </c>
      <c r="AF187" s="186">
        <f t="shared" ref="AF187" si="367">AE187*(1+$K$187)</f>
        <v>115.80225590464636</v>
      </c>
      <c r="AG187" s="186">
        <f t="shared" ref="AG187" si="368">AF187*(1+$K$187)</f>
        <v>121.59236869987868</v>
      </c>
      <c r="AH187" s="186">
        <f t="shared" ref="AH187" si="369">AG187*(1+$K$187)</f>
        <v>127.67198713487261</v>
      </c>
      <c r="AI187" s="186">
        <f t="shared" ref="AI187" si="370">AH187*(1+$K$187)</f>
        <v>134.05558649161625</v>
      </c>
      <c r="AJ187" s="186">
        <f t="shared" ref="AJ187" si="371">AI187*(1+$K$187)</f>
        <v>140.75836581619708</v>
      </c>
      <c r="AK187" s="186">
        <f t="shared" ref="AK187" si="372">AJ187*(1+$K$187)</f>
        <v>147.79628410700695</v>
      </c>
      <c r="AL187" s="186">
        <f t="shared" ref="AL187" si="373">AK187*(1+$K$187)</f>
        <v>155.1860983123573</v>
      </c>
      <c r="AM187" s="186">
        <f t="shared" ref="AM187" si="374">AL187*(1+$K$187)</f>
        <v>162.94540322797516</v>
      </c>
      <c r="AN187" s="186">
        <f t="shared" ref="AN187" si="375">AM187*(1+$K$187)</f>
        <v>171.09267338937394</v>
      </c>
      <c r="AO187" s="186">
        <f t="shared" ref="AO187" si="376">AN187*(1+$K$187)</f>
        <v>179.64730705884264</v>
      </c>
      <c r="AP187" s="186">
        <f t="shared" ref="AP187" si="377">AO187*(1+$K$187)</f>
        <v>188.62967241178478</v>
      </c>
      <c r="AQ187" s="186">
        <f t="shared" ref="AQ187" si="378">AP187*(1+$K$187)</f>
        <v>198.06115603237402</v>
      </c>
      <c r="AR187" s="186">
        <f t="shared" ref="AR187" si="379">AQ187*(1+$K$187)</f>
        <v>207.96421383399272</v>
      </c>
      <c r="AS187" s="186">
        <f t="shared" ref="AS187" si="380">AR187*(1+$K$187)</f>
        <v>218.36242452569235</v>
      </c>
    </row>
    <row r="188" spans="2:45" x14ac:dyDescent="0.2">
      <c r="B188" s="20" t="s">
        <v>395</v>
      </c>
      <c r="C188" s="20"/>
      <c r="D188" s="20"/>
      <c r="E188" s="20"/>
      <c r="F188" s="20"/>
      <c r="G188" s="20"/>
      <c r="H188" s="20"/>
      <c r="I188" s="20"/>
      <c r="J188" s="20"/>
      <c r="K188" s="184">
        <v>0.08</v>
      </c>
      <c r="L188" s="20"/>
      <c r="M188" s="191"/>
      <c r="N188" s="20"/>
      <c r="O188" s="20"/>
      <c r="P188" s="181">
        <f>P168/P53</f>
        <v>36.82096635030198</v>
      </c>
      <c r="Q188" s="20"/>
      <c r="R188" s="20"/>
      <c r="S188" s="189">
        <f>S53*(1+$K$188)</f>
        <v>14.394779999999999</v>
      </c>
      <c r="T188" s="186">
        <f>S188*(1+$K$188)</f>
        <v>15.5463624</v>
      </c>
      <c r="U188" s="186">
        <f t="shared" ref="U188:AB188" si="381">T188*(1+$K$188)</f>
        <v>16.790071392000002</v>
      </c>
      <c r="V188" s="186">
        <f t="shared" si="381"/>
        <v>18.133277103360001</v>
      </c>
      <c r="W188" s="186">
        <f t="shared" si="381"/>
        <v>19.583939271628804</v>
      </c>
      <c r="X188" s="186">
        <f t="shared" si="381"/>
        <v>21.15065441335911</v>
      </c>
      <c r="Y188" s="186">
        <f t="shared" si="381"/>
        <v>22.842706766427842</v>
      </c>
      <c r="Z188" s="186">
        <f t="shared" si="381"/>
        <v>24.67012330774207</v>
      </c>
      <c r="AA188" s="186">
        <f t="shared" si="381"/>
        <v>26.643733172361436</v>
      </c>
      <c r="AB188" s="186">
        <f t="shared" si="381"/>
        <v>28.775231826150353</v>
      </c>
      <c r="AC188" s="186">
        <f t="shared" ref="AC188" si="382">AB188*(1+$K$188)</f>
        <v>31.077250372242382</v>
      </c>
      <c r="AD188" s="186">
        <f t="shared" ref="AD188" si="383">AC188*(1+$K$188)</f>
        <v>33.563430402021773</v>
      </c>
      <c r="AE188" s="186">
        <f t="shared" ref="AE188" si="384">AD188*(1+$K$188)</f>
        <v>36.248504834183514</v>
      </c>
      <c r="AF188" s="186">
        <f t="shared" ref="AF188" si="385">AE188*(1+$K$188)</f>
        <v>39.1483852209182</v>
      </c>
      <c r="AG188" s="186">
        <f t="shared" ref="AG188" si="386">AF188*(1+$K$188)</f>
        <v>42.280256038591659</v>
      </c>
      <c r="AH188" s="186">
        <f t="shared" ref="AH188" si="387">AG188*(1+$K$188)</f>
        <v>45.662676521678996</v>
      </c>
      <c r="AI188" s="186">
        <f t="shared" ref="AI188" si="388">AH188*(1+$K$188)</f>
        <v>49.315690643413319</v>
      </c>
      <c r="AJ188" s="186">
        <f t="shared" ref="AJ188" si="389">AI188*(1+$K$188)</f>
        <v>53.26094589488639</v>
      </c>
      <c r="AK188" s="186">
        <f t="shared" ref="AK188" si="390">AJ188*(1+$K$188)</f>
        <v>57.521821566477307</v>
      </c>
      <c r="AL188" s="186">
        <f t="shared" ref="AL188" si="391">AK188*(1+$K$188)</f>
        <v>62.123567291795496</v>
      </c>
      <c r="AM188" s="186">
        <f t="shared" ref="AM188" si="392">AL188*(1+$K$188)</f>
        <v>67.093452675139133</v>
      </c>
      <c r="AN188" s="186">
        <f t="shared" ref="AN188" si="393">AM188*(1+$K$188)</f>
        <v>72.460928889150267</v>
      </c>
      <c r="AO188" s="186">
        <f t="shared" ref="AO188" si="394">AN188*(1+$K$188)</f>
        <v>78.257803200282297</v>
      </c>
      <c r="AP188" s="186">
        <f t="shared" ref="AP188" si="395">AO188*(1+$K$188)</f>
        <v>84.518427456304892</v>
      </c>
      <c r="AQ188" s="186">
        <f t="shared" ref="AQ188" si="396">AP188*(1+$K$188)</f>
        <v>91.279901652809286</v>
      </c>
      <c r="AR188" s="186">
        <f t="shared" ref="AR188" si="397">AQ188*(1+$K$188)</f>
        <v>98.58229378503404</v>
      </c>
      <c r="AS188" s="186">
        <f t="shared" ref="AS188" si="398">AR188*(1+$K$188)</f>
        <v>106.46887728783678</v>
      </c>
    </row>
    <row r="189" spans="2:45" x14ac:dyDescent="0.2"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185">
        <f>P168-S188</f>
        <v>4435.6052200000004</v>
      </c>
      <c r="T189" s="185">
        <f>S189-T188</f>
        <v>4420.0588576</v>
      </c>
      <c r="U189" s="185">
        <f t="shared" ref="U189:Z189" si="399">T189-U188</f>
        <v>4403.2687862080002</v>
      </c>
      <c r="V189" s="185">
        <f t="shared" si="399"/>
        <v>4385.1355091046398</v>
      </c>
      <c r="W189" s="185">
        <f t="shared" si="399"/>
        <v>4365.5515698330109</v>
      </c>
      <c r="X189" s="185">
        <f t="shared" si="399"/>
        <v>4344.4009154196519</v>
      </c>
      <c r="Y189" s="185">
        <f t="shared" si="399"/>
        <v>4321.558208653224</v>
      </c>
      <c r="Z189" s="185">
        <f t="shared" si="399"/>
        <v>4296.8880853454821</v>
      </c>
      <c r="AA189" s="185">
        <f>Z189-AA188</f>
        <v>4270.2443521731202</v>
      </c>
      <c r="AB189" s="185">
        <f t="shared" ref="AB189" si="400">AA189-AB188</f>
        <v>4241.4691203469702</v>
      </c>
      <c r="AC189" s="185">
        <f t="shared" ref="AC189" si="401">AB189-AC188</f>
        <v>4210.3918699747273</v>
      </c>
      <c r="AD189" s="185">
        <f t="shared" ref="AD189" si="402">AC189-AD188</f>
        <v>4176.828439572706</v>
      </c>
      <c r="AE189" s="185">
        <f t="shared" ref="AE189" si="403">AD189-AE188</f>
        <v>4140.5799347385228</v>
      </c>
      <c r="AF189" s="185">
        <f t="shared" ref="AF189" si="404">AE189-AF188</f>
        <v>4101.4315495176043</v>
      </c>
      <c r="AG189" s="185">
        <f t="shared" ref="AG189" si="405">AF189-AG188</f>
        <v>4059.1512934790126</v>
      </c>
      <c r="AH189" s="185">
        <f t="shared" ref="AH189" si="406">AG189-AH188</f>
        <v>4013.4886169573338</v>
      </c>
      <c r="AI189" s="185">
        <f t="shared" ref="AI189" si="407">AH189-AI188</f>
        <v>3964.1729263139205</v>
      </c>
      <c r="AJ189" s="185">
        <f t="shared" ref="AJ189" si="408">AI189-AJ188</f>
        <v>3910.9119804190341</v>
      </c>
      <c r="AK189" s="185">
        <f t="shared" ref="AK189" si="409">AJ189-AK188</f>
        <v>3853.3901588525569</v>
      </c>
      <c r="AL189" s="185">
        <f t="shared" ref="AL189" si="410">AK189-AL188</f>
        <v>3791.2665915607613</v>
      </c>
      <c r="AM189" s="185">
        <f t="shared" ref="AM189" si="411">AL189-AM188</f>
        <v>3724.1731388856224</v>
      </c>
      <c r="AN189" s="185">
        <f t="shared" ref="AN189" si="412">AM189-AN188</f>
        <v>3651.7122099964722</v>
      </c>
      <c r="AO189" s="185">
        <f t="shared" ref="AO189" si="413">AN189-AO188</f>
        <v>3573.4544067961897</v>
      </c>
      <c r="AP189" s="185">
        <f t="shared" ref="AP189" si="414">AO189-AP188</f>
        <v>3488.9359793398849</v>
      </c>
      <c r="AQ189" s="185">
        <f t="shared" ref="AQ189" si="415">AP189-AQ188</f>
        <v>3397.6560776870756</v>
      </c>
      <c r="AR189" s="185">
        <f t="shared" ref="AR189" si="416">AQ189-AR188</f>
        <v>3299.0737839020417</v>
      </c>
      <c r="AS189" s="185">
        <f t="shared" ref="AS189" si="417">AR189-AS188</f>
        <v>3192.604906614205</v>
      </c>
    </row>
    <row r="190" spans="2:45" x14ac:dyDescent="0.2">
      <c r="B190" s="108" t="s">
        <v>302</v>
      </c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</row>
    <row r="191" spans="2:45" x14ac:dyDescent="0.2">
      <c r="B191" s="20" t="s">
        <v>305</v>
      </c>
      <c r="C191" s="25" t="e">
        <f t="shared" ref="C191:P191" si="418">C10/C7</f>
        <v>#DIV/0!</v>
      </c>
      <c r="D191" s="25" t="e">
        <f t="shared" si="418"/>
        <v>#DIV/0!</v>
      </c>
      <c r="E191" s="25" t="e">
        <f t="shared" si="418"/>
        <v>#DIV/0!</v>
      </c>
      <c r="F191" s="25" t="e">
        <f t="shared" si="418"/>
        <v>#DIV/0!</v>
      </c>
      <c r="G191" s="25">
        <f t="shared" si="418"/>
        <v>0.31947069943289225</v>
      </c>
      <c r="H191" s="25">
        <f t="shared" si="418"/>
        <v>0.38800705467372132</v>
      </c>
      <c r="I191" s="25">
        <f t="shared" si="418"/>
        <v>0.37461300309597523</v>
      </c>
      <c r="J191" s="25">
        <f t="shared" si="418"/>
        <v>0.37065637065637064</v>
      </c>
      <c r="K191" s="25">
        <f t="shared" si="418"/>
        <v>0.26171079429735233</v>
      </c>
      <c r="L191" s="25">
        <f t="shared" si="418"/>
        <v>0.24854530340814629</v>
      </c>
      <c r="M191" s="25">
        <f t="shared" si="418"/>
        <v>0.13224107665301346</v>
      </c>
      <c r="N191" s="25">
        <f t="shared" si="418"/>
        <v>0.10653863740283494</v>
      </c>
      <c r="O191" s="25">
        <f t="shared" si="418"/>
        <v>0.12190684133915575</v>
      </c>
      <c r="P191" s="25">
        <f t="shared" si="418"/>
        <v>7.0035460992907805E-2</v>
      </c>
      <c r="Q191" s="118">
        <f t="shared" ref="Q191:Q193" si="419">((P191/G191)^(1/($H$2-$H$1) ))-1</f>
        <v>-0.15517799439909219</v>
      </c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</row>
    <row r="192" spans="2:45" x14ac:dyDescent="0.2">
      <c r="B192" s="20" t="s">
        <v>306</v>
      </c>
      <c r="C192" s="112" t="e">
        <f>C10/C12</f>
        <v>#DIV/0!</v>
      </c>
      <c r="D192" s="112" t="e">
        <f>D10/D12</f>
        <v>#DIV/0!</v>
      </c>
      <c r="E192" s="112" t="e">
        <f>E10/E12</f>
        <v>#DIV/0!</v>
      </c>
      <c r="F192" s="112" t="e">
        <f>F10/F12</f>
        <v>#DIV/0!</v>
      </c>
      <c r="G192" s="112">
        <f>G10/G12</f>
        <v>2.4142857142857141</v>
      </c>
      <c r="H192" s="112">
        <f t="shared" ref="H192:P192" si="420">H10/H12</f>
        <v>3.6065573770491803</v>
      </c>
      <c r="I192" s="112">
        <f t="shared" si="420"/>
        <v>3.3150684931506849</v>
      </c>
      <c r="J192" s="112">
        <f t="shared" si="420"/>
        <v>2.7428571428571429</v>
      </c>
      <c r="K192" s="112">
        <f t="shared" si="420"/>
        <v>2.3268447261204166</v>
      </c>
      <c r="L192" s="112">
        <f t="shared" si="420"/>
        <v>1.4238095238095239</v>
      </c>
      <c r="M192" s="112">
        <f t="shared" si="420"/>
        <v>2.1320754716981134</v>
      </c>
      <c r="N192" s="112">
        <f t="shared" si="420"/>
        <v>1.7651515151515151</v>
      </c>
      <c r="O192" s="112">
        <f t="shared" si="420"/>
        <v>0.53685897435897434</v>
      </c>
      <c r="P192" s="112">
        <f t="shared" si="420"/>
        <v>0.31515957446808512</v>
      </c>
      <c r="Q192" s="118">
        <f t="shared" si="419"/>
        <v>-0.20246620803767512</v>
      </c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</row>
    <row r="193" spans="2:31" x14ac:dyDescent="0.2">
      <c r="B193" s="20" t="s">
        <v>307</v>
      </c>
      <c r="C193" s="25" t="e">
        <f>C10/(C12+C13)</f>
        <v>#DIV/0!</v>
      </c>
      <c r="D193" s="25" t="e">
        <f>D10/(D12+D13)</f>
        <v>#DIV/0!</v>
      </c>
      <c r="E193" s="25" t="e">
        <f>E10/(E12+E13)</f>
        <v>#DIV/0!</v>
      </c>
      <c r="F193" s="25" t="e">
        <f>F10/(F12+F13)</f>
        <v>#DIV/0!</v>
      </c>
      <c r="G193" s="25">
        <f>G10/(G12+G13)</f>
        <v>0.98255813953488369</v>
      </c>
      <c r="H193" s="25">
        <f t="shared" ref="H193:P193" si="421">H10/(H12+H13)</f>
        <v>1.2571428571428571</v>
      </c>
      <c r="I193" s="25">
        <f t="shared" si="421"/>
        <v>1.0210970464135021</v>
      </c>
      <c r="J193" s="25">
        <f t="shared" si="421"/>
        <v>0.96644295302013428</v>
      </c>
      <c r="K193" s="25">
        <f t="shared" si="421"/>
        <v>0.66331139501871206</v>
      </c>
      <c r="L193" s="25">
        <f t="shared" si="421"/>
        <v>1.036754507628294</v>
      </c>
      <c r="M193" s="25">
        <f t="shared" si="421"/>
        <v>0.30958904109589042</v>
      </c>
      <c r="N193" s="25">
        <f t="shared" si="421"/>
        <v>0.22106261859582543</v>
      </c>
      <c r="O193" s="25">
        <f t="shared" si="421"/>
        <v>0.34218590398365678</v>
      </c>
      <c r="P193" s="25">
        <f t="shared" si="421"/>
        <v>0.22942884801548888</v>
      </c>
      <c r="Q193" s="118">
        <f t="shared" si="419"/>
        <v>-0.1492342964926473</v>
      </c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</row>
    <row r="194" spans="2:31" x14ac:dyDescent="0.2"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</row>
    <row r="195" spans="2:31" x14ac:dyDescent="0.2"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</row>
    <row r="196" spans="2:31" x14ac:dyDescent="0.2">
      <c r="B196" s="20"/>
      <c r="C196" s="174" t="s">
        <v>377</v>
      </c>
      <c r="D196" s="175"/>
      <c r="E196" s="175"/>
      <c r="F196" s="175"/>
      <c r="G196" s="175"/>
      <c r="H196" s="175"/>
      <c r="I196" s="175"/>
      <c r="J196" s="175"/>
      <c r="K196" s="20"/>
      <c r="L196" s="199" t="s">
        <v>337</v>
      </c>
      <c r="M196" s="200"/>
      <c r="N196" s="201"/>
      <c r="O196" s="23" t="s">
        <v>340</v>
      </c>
      <c r="P196" s="20"/>
      <c r="Q196" s="199" t="s">
        <v>338</v>
      </c>
      <c r="R196" s="200"/>
      <c r="S196" s="201"/>
      <c r="T196" s="23" t="s">
        <v>340</v>
      </c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</row>
    <row r="197" spans="2:31" x14ac:dyDescent="0.2">
      <c r="B197" s="20"/>
      <c r="C197" s="166" t="s">
        <v>339</v>
      </c>
      <c r="D197" s="166" t="s">
        <v>0</v>
      </c>
      <c r="E197" s="166" t="s">
        <v>378</v>
      </c>
      <c r="F197" s="166" t="s">
        <v>379</v>
      </c>
      <c r="G197" s="166" t="s">
        <v>380</v>
      </c>
      <c r="H197" s="166" t="s">
        <v>381</v>
      </c>
      <c r="I197" s="166" t="s">
        <v>382</v>
      </c>
      <c r="J197" s="166" t="s">
        <v>383</v>
      </c>
      <c r="K197" s="20"/>
      <c r="L197" s="166" t="s">
        <v>339</v>
      </c>
      <c r="M197" s="166"/>
      <c r="N197" s="166" t="s">
        <v>0</v>
      </c>
      <c r="O197" s="166" t="s">
        <v>372</v>
      </c>
      <c r="P197" s="20"/>
      <c r="Q197" s="166" t="s">
        <v>339</v>
      </c>
      <c r="R197" s="166"/>
      <c r="S197" s="166" t="s">
        <v>0</v>
      </c>
      <c r="T197" s="166" t="s">
        <v>372</v>
      </c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</row>
    <row r="198" spans="2:31" x14ac:dyDescent="0.2">
      <c r="B198" s="20"/>
      <c r="C198" s="167" t="s">
        <v>341</v>
      </c>
      <c r="D198" s="21">
        <v>300</v>
      </c>
      <c r="E198" s="176" t="s">
        <v>384</v>
      </c>
      <c r="F198" s="22">
        <v>0</v>
      </c>
      <c r="G198" s="22">
        <v>1</v>
      </c>
      <c r="H198" s="167">
        <f>F198/G198</f>
        <v>0</v>
      </c>
      <c r="I198" s="167">
        <f>H198*D199</f>
        <v>0</v>
      </c>
      <c r="J198" s="177">
        <f>I198+D199</f>
        <v>1</v>
      </c>
      <c r="K198" s="20"/>
      <c r="L198" s="167" t="s">
        <v>341</v>
      </c>
      <c r="M198" s="167"/>
      <c r="N198" s="21">
        <v>22</v>
      </c>
      <c r="O198" s="173">
        <f>N198</f>
        <v>22</v>
      </c>
      <c r="P198" s="20"/>
      <c r="Q198" s="167" t="s">
        <v>341</v>
      </c>
      <c r="R198" s="167"/>
      <c r="S198" s="21">
        <v>300</v>
      </c>
      <c r="T198" s="173">
        <f>S198</f>
        <v>300</v>
      </c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</row>
    <row r="199" spans="2:31" x14ac:dyDescent="0.2">
      <c r="B199" s="20"/>
      <c r="C199" s="167" t="s">
        <v>342</v>
      </c>
      <c r="D199" s="21">
        <v>1</v>
      </c>
      <c r="E199" s="176" t="s">
        <v>385</v>
      </c>
      <c r="F199" s="22">
        <v>0</v>
      </c>
      <c r="G199" s="22">
        <v>1</v>
      </c>
      <c r="H199" s="167">
        <f>F199/G199</f>
        <v>0</v>
      </c>
      <c r="I199" s="167">
        <f>H199*J198</f>
        <v>0</v>
      </c>
      <c r="J199" s="167">
        <f>I199+J198</f>
        <v>1</v>
      </c>
      <c r="K199" s="20"/>
      <c r="L199" s="167" t="s">
        <v>342</v>
      </c>
      <c r="M199" s="167"/>
      <c r="N199" s="21">
        <v>1</v>
      </c>
      <c r="O199" s="173">
        <f>N199</f>
        <v>1</v>
      </c>
      <c r="P199" s="20"/>
      <c r="Q199" s="167" t="s">
        <v>342</v>
      </c>
      <c r="R199" s="167"/>
      <c r="S199" s="21">
        <v>1</v>
      </c>
      <c r="T199" s="173">
        <f>S199</f>
        <v>1</v>
      </c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</row>
    <row r="200" spans="2:31" x14ac:dyDescent="0.2">
      <c r="B200" s="20"/>
      <c r="C200" s="167" t="s">
        <v>344</v>
      </c>
      <c r="D200" s="168">
        <f>D198*D199</f>
        <v>300</v>
      </c>
      <c r="E200" s="176" t="s">
        <v>397</v>
      </c>
      <c r="F200" s="22">
        <v>0</v>
      </c>
      <c r="G200" s="22">
        <v>2</v>
      </c>
      <c r="H200" s="167">
        <f>F200/G200</f>
        <v>0</v>
      </c>
      <c r="I200" s="167">
        <f>H200*J199</f>
        <v>0</v>
      </c>
      <c r="J200" s="167">
        <f>I200+J199</f>
        <v>1</v>
      </c>
      <c r="K200" s="20"/>
      <c r="L200" s="167" t="s">
        <v>343</v>
      </c>
      <c r="M200" s="167"/>
      <c r="N200" s="168">
        <f>N198*N199</f>
        <v>22</v>
      </c>
      <c r="O200" s="173">
        <f>N200</f>
        <v>22</v>
      </c>
      <c r="P200" s="20"/>
      <c r="Q200" s="167" t="s">
        <v>344</v>
      </c>
      <c r="R200" s="167"/>
      <c r="S200" s="168">
        <f>S198*S199</f>
        <v>300</v>
      </c>
      <c r="T200" s="173">
        <f>S200</f>
        <v>300</v>
      </c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</row>
    <row r="201" spans="2:31" x14ac:dyDescent="0.2">
      <c r="B201" s="20"/>
      <c r="C201" s="167"/>
      <c r="D201" s="168"/>
      <c r="E201" s="176" t="s">
        <v>386</v>
      </c>
      <c r="F201" s="22">
        <v>10</v>
      </c>
      <c r="G201" s="22">
        <v>1</v>
      </c>
      <c r="H201" s="167">
        <f>F201/G201</f>
        <v>10</v>
      </c>
      <c r="I201" s="167">
        <f>H201*J200</f>
        <v>10</v>
      </c>
      <c r="J201" s="167">
        <f>I201</f>
        <v>10</v>
      </c>
      <c r="K201" s="20"/>
      <c r="L201" s="167" t="s">
        <v>345</v>
      </c>
      <c r="M201" s="167"/>
      <c r="N201" s="21">
        <v>536</v>
      </c>
      <c r="O201" s="21">
        <v>560</v>
      </c>
      <c r="P201" s="20"/>
      <c r="Q201" s="167" t="s">
        <v>345</v>
      </c>
      <c r="R201" s="167"/>
      <c r="S201" s="21">
        <v>4450</v>
      </c>
      <c r="T201" s="21">
        <v>4500</v>
      </c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</row>
    <row r="202" spans="2:31" x14ac:dyDescent="0.2">
      <c r="B202" s="20"/>
      <c r="C202" s="167" t="s">
        <v>345</v>
      </c>
      <c r="D202" s="21">
        <v>530</v>
      </c>
      <c r="E202" s="176"/>
      <c r="F202" s="167"/>
      <c r="G202" s="167"/>
      <c r="H202" s="169" t="s">
        <v>387</v>
      </c>
      <c r="I202" s="167"/>
      <c r="J202" s="167">
        <f>J201</f>
        <v>10</v>
      </c>
      <c r="K202" s="20"/>
      <c r="L202" s="167" t="s">
        <v>346</v>
      </c>
      <c r="M202" s="167"/>
      <c r="N202" s="168">
        <f>N201*N199</f>
        <v>536</v>
      </c>
      <c r="O202" s="168">
        <f>O201*O199</f>
        <v>560</v>
      </c>
      <c r="P202" s="20"/>
      <c r="Q202" s="167" t="s">
        <v>342</v>
      </c>
      <c r="R202" s="167"/>
      <c r="S202" s="21">
        <v>1</v>
      </c>
      <c r="T202" s="127">
        <f>S202</f>
        <v>1</v>
      </c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</row>
    <row r="203" spans="2:31" x14ac:dyDescent="0.2">
      <c r="B203" s="20"/>
      <c r="C203" s="167" t="s">
        <v>342</v>
      </c>
      <c r="D203" s="21">
        <v>10</v>
      </c>
      <c r="E203" s="176" t="s">
        <v>386</v>
      </c>
      <c r="F203" s="22">
        <v>10</v>
      </c>
      <c r="G203" s="22">
        <v>2</v>
      </c>
      <c r="H203" s="167">
        <f>F203/G203</f>
        <v>5</v>
      </c>
      <c r="I203" s="177">
        <f>H203*D199</f>
        <v>5</v>
      </c>
      <c r="J203" s="177">
        <f>I203</f>
        <v>5</v>
      </c>
      <c r="K203" s="20"/>
      <c r="L203" s="167"/>
      <c r="M203" s="167"/>
      <c r="N203" s="168"/>
      <c r="O203" s="168"/>
      <c r="P203" s="20"/>
      <c r="Q203" s="167" t="s">
        <v>344</v>
      </c>
      <c r="R203" s="167"/>
      <c r="S203" s="168">
        <f>S202*S201</f>
        <v>4450</v>
      </c>
      <c r="T203" s="168">
        <f>T202*T201</f>
        <v>4500</v>
      </c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</row>
    <row r="204" spans="2:31" x14ac:dyDescent="0.2">
      <c r="B204" s="20"/>
      <c r="C204" s="167" t="s">
        <v>344</v>
      </c>
      <c r="D204" s="168">
        <f>D203*D202</f>
        <v>5300</v>
      </c>
      <c r="E204" s="167"/>
      <c r="F204" s="167"/>
      <c r="G204" s="167"/>
      <c r="H204" s="169" t="s">
        <v>387</v>
      </c>
      <c r="I204" s="167"/>
      <c r="J204" s="167">
        <f>J203</f>
        <v>5</v>
      </c>
      <c r="K204" s="20"/>
      <c r="L204" s="167"/>
      <c r="M204" s="167"/>
      <c r="N204" s="168"/>
      <c r="O204" s="168"/>
      <c r="P204" s="20"/>
      <c r="Q204" s="167"/>
      <c r="R204" s="167"/>
      <c r="S204" s="168"/>
      <c r="T204" s="168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</row>
    <row r="205" spans="2:31" x14ac:dyDescent="0.2">
      <c r="B205" s="20"/>
      <c r="C205" s="167"/>
      <c r="D205" s="168"/>
      <c r="E205" s="176" t="s">
        <v>386</v>
      </c>
      <c r="F205" s="22">
        <v>10</v>
      </c>
      <c r="G205" s="22">
        <v>2</v>
      </c>
      <c r="H205" s="167">
        <f>F205/G205</f>
        <v>5</v>
      </c>
      <c r="I205" s="167">
        <f>H205*J204</f>
        <v>25</v>
      </c>
      <c r="J205" s="167">
        <f>I205</f>
        <v>25</v>
      </c>
      <c r="K205" s="20"/>
      <c r="L205" s="169" t="s">
        <v>347</v>
      </c>
      <c r="M205" s="169"/>
      <c r="N205" s="170">
        <f>N202/N200</f>
        <v>24.363636363636363</v>
      </c>
      <c r="O205" s="170">
        <f>O202/O200</f>
        <v>25.454545454545453</v>
      </c>
      <c r="P205" s="20"/>
      <c r="Q205" s="169" t="s">
        <v>347</v>
      </c>
      <c r="R205" s="169"/>
      <c r="S205" s="170">
        <f>S203/S200</f>
        <v>14.833333333333334</v>
      </c>
      <c r="T205" s="170">
        <f>T203/T200</f>
        <v>15</v>
      </c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</row>
    <row r="206" spans="2:31" x14ac:dyDescent="0.2">
      <c r="B206" s="20"/>
      <c r="C206" s="169" t="s">
        <v>347</v>
      </c>
      <c r="D206" s="170">
        <f>D204/D200</f>
        <v>17.666666666666668</v>
      </c>
      <c r="E206" s="176"/>
      <c r="F206" s="167"/>
      <c r="G206" s="167"/>
      <c r="H206" s="169" t="s">
        <v>387</v>
      </c>
      <c r="I206" s="167"/>
      <c r="J206" s="167">
        <f>J205</f>
        <v>25</v>
      </c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</row>
    <row r="207" spans="2:31" x14ac:dyDescent="0.2"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</row>
    <row r="208" spans="2:31" x14ac:dyDescent="0.2">
      <c r="B208" s="20"/>
      <c r="C208" s="20"/>
      <c r="D208" s="137"/>
      <c r="E208" s="178"/>
      <c r="F208" s="178"/>
      <c r="G208" s="179"/>
      <c r="H208" s="20"/>
      <c r="I208" s="137"/>
      <c r="J208" s="178"/>
      <c r="K208" s="179"/>
      <c r="L208" s="20"/>
      <c r="M208" s="20">
        <v>8</v>
      </c>
      <c r="N208" s="20">
        <v>12</v>
      </c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</row>
    <row r="209" spans="2:31" ht="14.25" x14ac:dyDescent="0.2">
      <c r="B209" s="20"/>
      <c r="C209" s="20"/>
      <c r="D209" s="192" t="s">
        <v>27</v>
      </c>
      <c r="E209" s="193"/>
      <c r="F209" s="193"/>
      <c r="G209" s="194"/>
      <c r="H209" s="20"/>
      <c r="I209" s="192" t="s">
        <v>392</v>
      </c>
      <c r="J209" s="193"/>
      <c r="K209" s="194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</row>
    <row r="210" spans="2:31" x14ac:dyDescent="0.2">
      <c r="B210" s="20"/>
      <c r="C210" s="20"/>
      <c r="D210" s="20" t="s">
        <v>28</v>
      </c>
      <c r="E210" s="127"/>
      <c r="F210" s="127"/>
      <c r="G210" s="21">
        <f>D200</f>
        <v>300</v>
      </c>
      <c r="H210" s="20"/>
      <c r="I210" s="20" t="s">
        <v>28</v>
      </c>
      <c r="J210" s="127"/>
      <c r="K210" s="21">
        <f>G210</f>
        <v>300</v>
      </c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</row>
    <row r="211" spans="2:31" x14ac:dyDescent="0.2">
      <c r="B211" s="20"/>
      <c r="C211" s="20"/>
      <c r="D211" s="20" t="s">
        <v>29</v>
      </c>
      <c r="E211" s="127"/>
      <c r="F211" s="127"/>
      <c r="G211" s="21">
        <f>D204</f>
        <v>5300</v>
      </c>
      <c r="H211" s="20"/>
      <c r="I211" s="20" t="s">
        <v>29</v>
      </c>
      <c r="J211" s="20"/>
      <c r="K211" s="21">
        <f>G211</f>
        <v>5300</v>
      </c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</row>
    <row r="212" spans="2:31" x14ac:dyDescent="0.2">
      <c r="B212" s="20"/>
      <c r="C212" s="20"/>
      <c r="D212" s="20" t="s">
        <v>30</v>
      </c>
      <c r="E212" s="20"/>
      <c r="F212" s="20"/>
      <c r="G212" s="22">
        <v>10</v>
      </c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</row>
    <row r="213" spans="2:31" x14ac:dyDescent="0.2">
      <c r="B213" s="20"/>
      <c r="C213" s="20"/>
      <c r="D213" s="23" t="s">
        <v>31</v>
      </c>
      <c r="E213" s="3"/>
      <c r="F213" s="3"/>
      <c r="G213" s="3">
        <f>((G211/G210)^(1/G212))-1</f>
        <v>0.3326480295580041</v>
      </c>
      <c r="H213" s="20"/>
      <c r="I213" s="23" t="s">
        <v>393</v>
      </c>
      <c r="J213" s="23"/>
      <c r="K213" s="188">
        <f>(K211-K210)/K210</f>
        <v>16.666666666666668</v>
      </c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</row>
    <row r="214" spans="2:31" x14ac:dyDescent="0.2">
      <c r="B214" s="20"/>
      <c r="C214" s="20"/>
      <c r="D214" s="23" t="s">
        <v>32</v>
      </c>
      <c r="E214" s="165"/>
      <c r="F214" s="165"/>
      <c r="G214" s="24">
        <f>G212*12</f>
        <v>120</v>
      </c>
      <c r="H214" s="20"/>
      <c r="I214" s="23" t="s">
        <v>394</v>
      </c>
      <c r="J214" s="23"/>
      <c r="K214" s="188">
        <f>K211/K210</f>
        <v>17.666666666666668</v>
      </c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</row>
    <row r="215" spans="2:31" x14ac:dyDescent="0.2">
      <c r="B215" s="20"/>
      <c r="C215" s="20"/>
      <c r="D215" s="20" t="s">
        <v>30</v>
      </c>
      <c r="E215" s="25"/>
      <c r="F215" s="25"/>
      <c r="G215" s="25">
        <f>G214/12</f>
        <v>10</v>
      </c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</row>
    <row r="216" spans="2:31" x14ac:dyDescent="0.2">
      <c r="B216" s="20"/>
      <c r="C216" s="20"/>
      <c r="D216" s="23" t="s">
        <v>33</v>
      </c>
      <c r="E216" s="3"/>
      <c r="F216" s="3"/>
      <c r="G216" s="3">
        <f>((G211/G210)^(1/G215))-1</f>
        <v>0.3326480295580041</v>
      </c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</row>
    <row r="217" spans="2:31" x14ac:dyDescent="0.2"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</row>
    <row r="218" spans="2:31" x14ac:dyDescent="0.2">
      <c r="C218" s="20"/>
      <c r="D218" s="20"/>
      <c r="E218" s="20"/>
      <c r="F218" s="20"/>
      <c r="G218" s="20"/>
      <c r="H218" s="20"/>
      <c r="I218" s="20"/>
      <c r="J218" s="20"/>
      <c r="K218" s="20"/>
    </row>
  </sheetData>
  <mergeCells count="7">
    <mergeCell ref="D209:G209"/>
    <mergeCell ref="I209:K209"/>
    <mergeCell ref="AD2:AE2"/>
    <mergeCell ref="AD3:AE3"/>
    <mergeCell ref="L196:N196"/>
    <mergeCell ref="Q196:S196"/>
    <mergeCell ref="K179:L179"/>
  </mergeCells>
  <pageMargins left="0.7" right="0.7" top="0.75" bottom="0.75" header="0.3" footer="0.3"/>
  <pageSetup orientation="portrait" r:id="rId1"/>
  <ignoredErrors>
    <ignoredError sqref="C170" evalError="1"/>
    <ignoredError sqref="T31" 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J36"/>
  <sheetViews>
    <sheetView topLeftCell="A5" zoomScale="80" zoomScaleNormal="80" workbookViewId="0">
      <selection activeCell="F26" sqref="F26"/>
    </sheetView>
  </sheetViews>
  <sheetFormatPr defaultRowHeight="15" x14ac:dyDescent="0.3"/>
  <cols>
    <col min="1" max="2" width="9.140625" style="6"/>
    <col min="3" max="3" width="37.7109375" style="6" bestFit="1" customWidth="1"/>
    <col min="4" max="9" width="16" style="6" bestFit="1" customWidth="1"/>
    <col min="10" max="16384" width="9.140625" style="6"/>
  </cols>
  <sheetData>
    <row r="3" spans="3:9" x14ac:dyDescent="0.3">
      <c r="D3" s="6" t="s">
        <v>6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</row>
    <row r="4" spans="3:9" x14ac:dyDescent="0.3">
      <c r="D4" s="6" t="s">
        <v>5</v>
      </c>
      <c r="E4" s="7">
        <v>0.05</v>
      </c>
      <c r="F4" s="7">
        <v>0.05</v>
      </c>
      <c r="G4" s="7">
        <v>0.05</v>
      </c>
      <c r="H4" s="7">
        <v>0.05</v>
      </c>
      <c r="I4" s="7">
        <v>0.05</v>
      </c>
    </row>
    <row r="5" spans="3:9" x14ac:dyDescent="0.3">
      <c r="C5" s="6" t="s">
        <v>16</v>
      </c>
      <c r="D5" s="8">
        <v>8916.5400000000009</v>
      </c>
      <c r="E5" s="10">
        <f>D5*(1+E4)</f>
        <v>9362.367000000002</v>
      </c>
      <c r="F5" s="10">
        <f t="shared" ref="F5:I5" si="0">E5*(1+F4)</f>
        <v>9830.4853500000027</v>
      </c>
      <c r="G5" s="10">
        <f t="shared" si="0"/>
        <v>10322.009617500004</v>
      </c>
      <c r="H5" s="10">
        <f t="shared" si="0"/>
        <v>10838.110098375004</v>
      </c>
      <c r="I5" s="10">
        <f t="shared" si="0"/>
        <v>11380.015603293754</v>
      </c>
    </row>
    <row r="6" spans="3:9" x14ac:dyDescent="0.3">
      <c r="C6" s="6" t="s">
        <v>17</v>
      </c>
      <c r="D6" s="8">
        <v>10910.34</v>
      </c>
      <c r="E6" s="9"/>
      <c r="F6" s="9"/>
      <c r="G6" s="9"/>
      <c r="H6" s="9"/>
      <c r="I6" s="9"/>
    </row>
    <row r="7" spans="3:9" x14ac:dyDescent="0.3">
      <c r="C7" s="6" t="s">
        <v>4</v>
      </c>
      <c r="D7" s="8">
        <v>141489.62</v>
      </c>
      <c r="E7" s="9"/>
      <c r="F7" s="9"/>
      <c r="G7" s="9"/>
      <c r="H7" s="9"/>
      <c r="I7" s="9"/>
    </row>
    <row r="8" spans="3:9" x14ac:dyDescent="0.3">
      <c r="C8" s="6" t="s">
        <v>2</v>
      </c>
      <c r="D8" s="8">
        <v>0</v>
      </c>
      <c r="E8" s="9"/>
      <c r="F8" s="9"/>
      <c r="G8" s="9"/>
      <c r="H8" s="9"/>
      <c r="I8" s="9"/>
    </row>
    <row r="9" spans="3:9" x14ac:dyDescent="0.3">
      <c r="C9" s="6" t="s">
        <v>19</v>
      </c>
      <c r="D9" s="8">
        <v>0</v>
      </c>
      <c r="E9" s="9"/>
      <c r="F9" s="9"/>
      <c r="G9" s="9"/>
      <c r="H9" s="9"/>
      <c r="I9" s="9"/>
    </row>
    <row r="10" spans="3:9" x14ac:dyDescent="0.3">
      <c r="C10" s="6" t="s">
        <v>23</v>
      </c>
      <c r="D10" s="15">
        <v>0</v>
      </c>
      <c r="E10" s="9"/>
      <c r="F10" s="9"/>
      <c r="G10" s="9"/>
      <c r="H10" s="9"/>
      <c r="I10" s="9"/>
    </row>
    <row r="11" spans="3:9" x14ac:dyDescent="0.3">
      <c r="C11" s="6" t="s">
        <v>78</v>
      </c>
      <c r="D11" s="15">
        <v>125588.57</v>
      </c>
      <c r="E11" s="9"/>
      <c r="F11" s="9"/>
      <c r="G11" s="9"/>
      <c r="H11" s="9"/>
      <c r="I11" s="9"/>
    </row>
    <row r="12" spans="3:9" x14ac:dyDescent="0.3">
      <c r="C12" s="6" t="s">
        <v>79</v>
      </c>
      <c r="D12" s="15">
        <v>90330.39</v>
      </c>
      <c r="E12" s="9"/>
      <c r="F12" s="9"/>
      <c r="G12" s="9"/>
      <c r="H12" s="9"/>
      <c r="I12" s="9"/>
    </row>
    <row r="13" spans="3:9" x14ac:dyDescent="0.3">
      <c r="C13" s="6" t="s">
        <v>80</v>
      </c>
      <c r="D13" s="102">
        <f>D12-D11</f>
        <v>-35258.180000000008</v>
      </c>
      <c r="E13" s="9"/>
      <c r="F13" s="9"/>
      <c r="G13" s="9"/>
      <c r="H13" s="9"/>
      <c r="I13" s="9"/>
    </row>
    <row r="14" spans="3:9" x14ac:dyDescent="0.3">
      <c r="C14" s="6" t="s">
        <v>3</v>
      </c>
      <c r="D14" s="8">
        <v>429770000</v>
      </c>
      <c r="E14" s="8">
        <f>D14</f>
        <v>429770000</v>
      </c>
      <c r="F14" s="8">
        <f t="shared" ref="F14:I14" si="1">E14</f>
        <v>429770000</v>
      </c>
      <c r="G14" s="8">
        <f t="shared" si="1"/>
        <v>429770000</v>
      </c>
      <c r="H14" s="8">
        <f t="shared" si="1"/>
        <v>429770000</v>
      </c>
      <c r="I14" s="8">
        <f t="shared" si="1"/>
        <v>429770000</v>
      </c>
    </row>
    <row r="15" spans="3:9" x14ac:dyDescent="0.3">
      <c r="D15" s="9"/>
      <c r="E15" s="9"/>
      <c r="F15" s="9"/>
      <c r="G15" s="9"/>
      <c r="H15" s="9"/>
      <c r="I15" s="9"/>
    </row>
    <row r="16" spans="3:9" x14ac:dyDescent="0.3">
      <c r="C16" s="6" t="s">
        <v>7</v>
      </c>
      <c r="D16" s="9">
        <v>10000000</v>
      </c>
      <c r="E16" s="9">
        <v>10000000</v>
      </c>
      <c r="F16" s="9">
        <v>10000000</v>
      </c>
      <c r="G16" s="9">
        <v>10000000</v>
      </c>
      <c r="H16" s="9">
        <v>10000000</v>
      </c>
      <c r="I16" s="9">
        <v>10000000</v>
      </c>
    </row>
    <row r="17" spans="3:10" x14ac:dyDescent="0.3">
      <c r="D17" s="9"/>
      <c r="E17" s="9"/>
      <c r="F17" s="9"/>
      <c r="G17" s="9"/>
      <c r="H17" s="9"/>
      <c r="I17" s="9"/>
    </row>
    <row r="18" spans="3:10" x14ac:dyDescent="0.3">
      <c r="C18" s="6" t="s">
        <v>18</v>
      </c>
      <c r="D18" s="9">
        <f t="shared" ref="D18:I18" si="2">(D5*D16)/D14</f>
        <v>207.4723689415269</v>
      </c>
      <c r="E18" s="14">
        <f t="shared" si="2"/>
        <v>217.84598738860325</v>
      </c>
      <c r="F18" s="14">
        <f t="shared" si="2"/>
        <v>228.73828675803344</v>
      </c>
      <c r="G18" s="14">
        <f t="shared" si="2"/>
        <v>240.17520109593511</v>
      </c>
      <c r="H18" s="14">
        <f t="shared" si="2"/>
        <v>252.1839611507319</v>
      </c>
      <c r="I18" s="14">
        <f t="shared" si="2"/>
        <v>264.79315920826849</v>
      </c>
    </row>
    <row r="19" spans="3:10" x14ac:dyDescent="0.3">
      <c r="C19" s="6" t="s">
        <v>8</v>
      </c>
      <c r="D19" s="9">
        <f>(D6*D16)/D14</f>
        <v>253.86462526467645</v>
      </c>
      <c r="E19" s="9"/>
      <c r="F19" s="9"/>
      <c r="G19" s="9"/>
      <c r="H19" s="9"/>
      <c r="I19" s="9"/>
    </row>
    <row r="20" spans="3:10" x14ac:dyDescent="0.3">
      <c r="C20" s="6" t="s">
        <v>9</v>
      </c>
      <c r="D20" s="9">
        <f>(D7*D16)/D14</f>
        <v>3292.2172324731832</v>
      </c>
      <c r="E20" s="9"/>
      <c r="F20" s="9"/>
      <c r="G20" s="9"/>
      <c r="H20" s="9"/>
      <c r="I20" s="9"/>
    </row>
    <row r="21" spans="3:10" x14ac:dyDescent="0.3">
      <c r="C21" s="6" t="s">
        <v>10</v>
      </c>
      <c r="D21" s="9">
        <f>(D8*D16)/D14</f>
        <v>0</v>
      </c>
      <c r="E21" s="9"/>
      <c r="F21" s="9"/>
      <c r="G21" s="9"/>
      <c r="H21" s="9"/>
      <c r="I21" s="9"/>
    </row>
    <row r="23" spans="3:10" x14ac:dyDescent="0.3">
      <c r="C23" s="6" t="s">
        <v>22</v>
      </c>
      <c r="D23" s="13">
        <f>(D9*D16)/D14</f>
        <v>0</v>
      </c>
    </row>
    <row r="25" spans="3:10" x14ac:dyDescent="0.3">
      <c r="C25" s="6" t="s">
        <v>24</v>
      </c>
      <c r="D25" s="16">
        <f>(D10*D16)/D14</f>
        <v>0</v>
      </c>
    </row>
    <row r="27" spans="3:10" x14ac:dyDescent="0.3">
      <c r="C27" s="99" t="s">
        <v>83</v>
      </c>
    </row>
    <row r="28" spans="3:10" x14ac:dyDescent="0.3">
      <c r="C28" s="6" t="s">
        <v>82</v>
      </c>
      <c r="D28" s="100">
        <f>(D11*D16)/D14</f>
        <v>2922.2274705074806</v>
      </c>
    </row>
    <row r="29" spans="3:10" x14ac:dyDescent="0.3">
      <c r="C29" s="6" t="s">
        <v>84</v>
      </c>
      <c r="D29" s="100">
        <f>(D12*D16)/D14</f>
        <v>2101.8309793610538</v>
      </c>
    </row>
    <row r="30" spans="3:10" x14ac:dyDescent="0.3">
      <c r="C30" s="6" t="s">
        <v>85</v>
      </c>
      <c r="D30" s="13">
        <f>(D13*D16)/D14</f>
        <v>-820.39649114642725</v>
      </c>
      <c r="I30" s="6" t="s">
        <v>86</v>
      </c>
      <c r="J30" s="101">
        <v>0.71</v>
      </c>
    </row>
    <row r="31" spans="3:10" x14ac:dyDescent="0.3">
      <c r="C31" s="6" t="s">
        <v>81</v>
      </c>
      <c r="D31" s="98">
        <f>D12/D11</f>
        <v>0.71925645781299996</v>
      </c>
    </row>
    <row r="34" spans="3:4" x14ac:dyDescent="0.3">
      <c r="C34" s="1" t="s">
        <v>20</v>
      </c>
      <c r="D34" s="1" t="s">
        <v>21</v>
      </c>
    </row>
    <row r="35" spans="3:4" x14ac:dyDescent="0.3">
      <c r="C35" s="11">
        <v>1</v>
      </c>
      <c r="D35" s="12">
        <f>C35/10</f>
        <v>0.1</v>
      </c>
    </row>
    <row r="36" spans="3:4" x14ac:dyDescent="0.3">
      <c r="C36" s="1"/>
      <c r="D36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45"/>
  <sheetViews>
    <sheetView topLeftCell="A25" zoomScale="80" zoomScaleNormal="80" workbookViewId="0">
      <selection activeCell="M5" sqref="M5:N10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 x14ac:dyDescent="0.3">
      <c r="D2" s="6" t="s">
        <v>64</v>
      </c>
    </row>
    <row r="3" spans="2:14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14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 x14ac:dyDescent="0.3">
      <c r="B5" s="18">
        <v>1</v>
      </c>
      <c r="C5" s="1">
        <v>2001</v>
      </c>
      <c r="D5" s="1">
        <v>2.61</v>
      </c>
      <c r="E5" s="1"/>
      <c r="F5" s="1"/>
      <c r="G5" s="1">
        <v>115.93</v>
      </c>
      <c r="J5" s="204" t="s">
        <v>27</v>
      </c>
      <c r="K5" s="204"/>
      <c r="M5" s="204" t="s">
        <v>65</v>
      </c>
      <c r="N5" s="204"/>
    </row>
    <row r="6" spans="2:14" x14ac:dyDescent="0.3">
      <c r="B6" s="18">
        <v>2</v>
      </c>
      <c r="C6" s="1">
        <v>2002</v>
      </c>
      <c r="D6" s="1">
        <v>5.18</v>
      </c>
      <c r="E6" s="1"/>
      <c r="F6" s="1"/>
      <c r="G6" s="1">
        <v>230.21</v>
      </c>
      <c r="J6" s="20" t="s">
        <v>28</v>
      </c>
      <c r="K6" s="21">
        <v>2.61</v>
      </c>
      <c r="M6" s="29" t="s">
        <v>41</v>
      </c>
      <c r="N6" s="54">
        <v>38911</v>
      </c>
    </row>
    <row r="7" spans="2:14" x14ac:dyDescent="0.3">
      <c r="B7" s="18">
        <v>3</v>
      </c>
      <c r="C7" s="1">
        <v>2003</v>
      </c>
      <c r="D7" s="1">
        <v>9.35</v>
      </c>
      <c r="E7" s="1"/>
      <c r="F7" s="1"/>
      <c r="G7" s="1">
        <v>416.1</v>
      </c>
      <c r="J7" s="20" t="s">
        <v>29</v>
      </c>
      <c r="K7" s="21">
        <v>203.28</v>
      </c>
      <c r="M7" s="29" t="s">
        <v>38</v>
      </c>
      <c r="N7" s="31">
        <v>0.15</v>
      </c>
    </row>
    <row r="8" spans="2:14" x14ac:dyDescent="0.3">
      <c r="B8" s="18">
        <v>4</v>
      </c>
      <c r="C8" s="1">
        <v>2004</v>
      </c>
      <c r="D8" s="1">
        <v>9.41</v>
      </c>
      <c r="E8" s="1"/>
      <c r="F8" s="1"/>
      <c r="G8" s="1">
        <v>512.76</v>
      </c>
      <c r="J8" s="20" t="s">
        <v>30</v>
      </c>
      <c r="K8" s="22">
        <v>20</v>
      </c>
      <c r="M8" s="29" t="s">
        <v>39</v>
      </c>
      <c r="N8" s="32">
        <v>14</v>
      </c>
    </row>
    <row r="9" spans="2:14" x14ac:dyDescent="0.3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J9" s="23" t="s">
        <v>31</v>
      </c>
      <c r="K9" s="3">
        <f>((K7/K6)^(1/K8))-1</f>
        <v>0.24329076344312006</v>
      </c>
      <c r="M9" s="29" t="s">
        <v>40</v>
      </c>
      <c r="N9" s="30">
        <v>0</v>
      </c>
    </row>
    <row r="10" spans="2:14" x14ac:dyDescent="0.3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J10" s="23" t="s">
        <v>32</v>
      </c>
      <c r="K10" s="24">
        <v>140</v>
      </c>
      <c r="M10" s="34" t="s">
        <v>66</v>
      </c>
      <c r="N10" s="55">
        <f>PV(N7,N8,N9,-N6)</f>
        <v>5499.2394108985745</v>
      </c>
    </row>
    <row r="11" spans="2:14" x14ac:dyDescent="0.3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20" t="s">
        <v>30</v>
      </c>
      <c r="K11" s="25">
        <f>K10/12</f>
        <v>11.666666666666666</v>
      </c>
    </row>
    <row r="12" spans="2:14" x14ac:dyDescent="0.3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23" t="s">
        <v>33</v>
      </c>
      <c r="K12" s="3">
        <f>((K7/K6)^(1/K11))-1</f>
        <v>0.45252842827596251</v>
      </c>
    </row>
    <row r="13" spans="2:14" x14ac:dyDescent="0.3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 x14ac:dyDescent="0.3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J14" s="204" t="s">
        <v>36</v>
      </c>
      <c r="K14" s="204"/>
      <c r="L14" s="204"/>
    </row>
    <row r="15" spans="2:14" x14ac:dyDescent="0.3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29" t="s">
        <v>37</v>
      </c>
      <c r="K15" s="29"/>
      <c r="L15" s="30">
        <v>100000</v>
      </c>
    </row>
    <row r="16" spans="2:14" x14ac:dyDescent="0.3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29" t="s">
        <v>38</v>
      </c>
      <c r="K16" s="29"/>
      <c r="L16" s="31">
        <v>0.15</v>
      </c>
    </row>
    <row r="17" spans="1:17" x14ac:dyDescent="0.3">
      <c r="B17" s="18"/>
      <c r="C17" s="1"/>
      <c r="D17" s="1"/>
      <c r="E17" s="1"/>
      <c r="F17" s="1"/>
      <c r="G17" s="1"/>
      <c r="J17" s="29" t="s">
        <v>39</v>
      </c>
      <c r="K17" s="29"/>
      <c r="L17" s="32">
        <v>10</v>
      </c>
    </row>
    <row r="18" spans="1:17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J18" s="29" t="s">
        <v>40</v>
      </c>
      <c r="K18" s="29"/>
      <c r="L18" s="33">
        <v>0</v>
      </c>
    </row>
    <row r="19" spans="1:17" x14ac:dyDescent="0.3">
      <c r="B19" s="18"/>
      <c r="C19" s="1" t="s">
        <v>43</v>
      </c>
      <c r="D19" s="1"/>
      <c r="E19" s="1"/>
      <c r="F19" s="1">
        <v>4</v>
      </c>
      <c r="G19" s="1"/>
      <c r="J19" s="34" t="s">
        <v>41</v>
      </c>
      <c r="K19" s="34"/>
      <c r="L19" s="29">
        <f>FV(L16,L17,L18,-L15)</f>
        <v>404555.77357079065</v>
      </c>
    </row>
    <row r="20" spans="1:17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17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17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17" x14ac:dyDescent="0.3">
      <c r="B23" s="18" t="s">
        <v>46</v>
      </c>
      <c r="C23" s="1"/>
      <c r="D23" s="4">
        <v>0.1125</v>
      </c>
      <c r="E23" s="4"/>
      <c r="F23" s="1"/>
      <c r="G23" s="1"/>
    </row>
    <row r="27" spans="1:17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17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67</v>
      </c>
      <c r="P28" s="28" t="s">
        <v>59</v>
      </c>
      <c r="Q28" s="28" t="s">
        <v>60</v>
      </c>
    </row>
    <row r="29" spans="1:17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27"/>
      <c r="P29" s="1"/>
      <c r="Q29" s="1"/>
    </row>
    <row r="30" spans="1:17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>H30/G30</f>
        <v>0.12446159783867232</v>
      </c>
      <c r="L30" s="27"/>
      <c r="M30" s="47"/>
      <c r="N30" s="27"/>
      <c r="O30" s="27"/>
      <c r="P30" s="1"/>
      <c r="Q30" s="1"/>
    </row>
    <row r="31" spans="1:17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0">E31/10000000</f>
        <v>44.48</v>
      </c>
      <c r="G31" s="44">
        <f t="shared" ref="G31:G41" si="1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v>0.09</v>
      </c>
      <c r="L31" s="48">
        <f>K31*J31</f>
        <v>6.9074999999999998E-2</v>
      </c>
      <c r="M31" s="49">
        <v>25.46</v>
      </c>
      <c r="N31" s="45">
        <f>H31</f>
        <v>5.18</v>
      </c>
      <c r="O31" s="45"/>
      <c r="P31" s="50">
        <f>N31*I31</f>
        <v>1.20435</v>
      </c>
      <c r="Q31" s="50">
        <f>N31*J31</f>
        <v>3.9756499999999995</v>
      </c>
    </row>
    <row r="32" spans="1:17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0"/>
        <v>44.48</v>
      </c>
      <c r="G32" s="40">
        <f t="shared" si="1"/>
        <v>32.814523381294961</v>
      </c>
      <c r="H32" s="27">
        <v>9.35</v>
      </c>
      <c r="I32" s="46">
        <f t="shared" ref="I32:I41" si="2">100%-J32</f>
        <v>0.19359999999999999</v>
      </c>
      <c r="J32" s="43">
        <v>0.80640000000000001</v>
      </c>
      <c r="K32" s="43">
        <f t="shared" ref="K32:K41" si="3">H32/G32</f>
        <v>0.28493481046047181</v>
      </c>
      <c r="L32" s="27"/>
      <c r="M32" s="47">
        <f>G31*(1+$L$31)</f>
        <v>27.222716215152882</v>
      </c>
      <c r="N32" s="39">
        <f>N31*(1+$K$31)</f>
        <v>5.6462000000000003</v>
      </c>
      <c r="O32" s="4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0"/>
        <v>44.48</v>
      </c>
      <c r="G33" s="40">
        <f t="shared" si="1"/>
        <v>46.787095323741013</v>
      </c>
      <c r="H33" s="27">
        <v>9.41</v>
      </c>
      <c r="I33" s="46">
        <f t="shared" si="2"/>
        <v>0.24050000000000005</v>
      </c>
      <c r="J33" s="43">
        <v>0.75949999999999995</v>
      </c>
      <c r="K33" s="43">
        <f t="shared" si="3"/>
        <v>0.20112383414460688</v>
      </c>
      <c r="L33" s="27"/>
      <c r="M33" s="47">
        <f>M32*(1+$L$31)</f>
        <v>29.103125337714566</v>
      </c>
      <c r="N33" s="39">
        <f t="shared" ref="N33:N41" si="4">N32*(1+$K$31)</f>
        <v>6.1543580000000011</v>
      </c>
      <c r="O33" s="42">
        <f t="shared" ref="O33:O41" si="5">(N33-H33)/H33</f>
        <v>-0.34597683315621669</v>
      </c>
      <c r="P33" s="1"/>
      <c r="Q33" s="1"/>
    </row>
    <row r="34" spans="2:17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0"/>
        <v>54.48</v>
      </c>
      <c r="G34" s="40">
        <f t="shared" si="1"/>
        <v>47.268538913362704</v>
      </c>
      <c r="H34" s="27">
        <v>11.96</v>
      </c>
      <c r="I34" s="46">
        <f t="shared" si="2"/>
        <v>0.22970000000000002</v>
      </c>
      <c r="J34" s="43">
        <v>0.77029999999999998</v>
      </c>
      <c r="K34" s="43">
        <f t="shared" si="3"/>
        <v>0.25302241776334949</v>
      </c>
      <c r="L34" s="27"/>
      <c r="M34" s="47">
        <f t="shared" ref="M34:M41" si="6">M33*(1+$L$31)</f>
        <v>31.113423720417199</v>
      </c>
      <c r="N34" s="39">
        <f t="shared" si="4"/>
        <v>6.7082502200000018</v>
      </c>
      <c r="O34" s="42">
        <f t="shared" si="5"/>
        <v>-0.43910951337792631</v>
      </c>
      <c r="P34" s="1"/>
      <c r="Q34" s="1"/>
    </row>
    <row r="35" spans="2:17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0"/>
        <v>54.48</v>
      </c>
      <c r="G35" s="40">
        <f t="shared" si="1"/>
        <v>583.17621145374449</v>
      </c>
      <c r="H35" s="27">
        <v>14.38</v>
      </c>
      <c r="I35" s="46">
        <f t="shared" si="2"/>
        <v>0.21830000000000005</v>
      </c>
      <c r="J35" s="43">
        <v>0.78169999999999995</v>
      </c>
      <c r="K35" s="43">
        <f t="shared" si="3"/>
        <v>2.4658070266881202E-2</v>
      </c>
      <c r="L35" s="27"/>
      <c r="M35" s="47">
        <f t="shared" si="6"/>
        <v>33.262583463905017</v>
      </c>
      <c r="N35" s="39">
        <f t="shared" si="4"/>
        <v>7.3119927398000026</v>
      </c>
      <c r="O35" s="42">
        <f t="shared" si="5"/>
        <v>-0.49151649931849778</v>
      </c>
      <c r="P35" s="1"/>
      <c r="Q35" s="1"/>
    </row>
    <row r="36" spans="2:17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0"/>
        <v>54.48</v>
      </c>
      <c r="G36" s="40">
        <f t="shared" si="1"/>
        <v>73.244493392070495</v>
      </c>
      <c r="H36" s="27">
        <v>18.510000000000002</v>
      </c>
      <c r="I36" s="46">
        <f t="shared" si="2"/>
        <v>0.18999999999999995</v>
      </c>
      <c r="J36" s="43">
        <v>0.81</v>
      </c>
      <c r="K36" s="43">
        <f t="shared" si="3"/>
        <v>0.25271524373740711</v>
      </c>
      <c r="L36" s="27"/>
      <c r="M36" s="47">
        <f t="shared" si="6"/>
        <v>35.560196416674259</v>
      </c>
      <c r="N36" s="39">
        <f t="shared" si="4"/>
        <v>7.9700720863820038</v>
      </c>
      <c r="O36" s="42">
        <f t="shared" si="5"/>
        <v>-0.56941803963360327</v>
      </c>
      <c r="P36" s="1"/>
      <c r="Q36" s="1"/>
    </row>
    <row r="37" spans="2:17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0"/>
        <v>54.48</v>
      </c>
      <c r="G37" s="40">
        <f t="shared" si="1"/>
        <v>89.145925110132168</v>
      </c>
      <c r="H37" s="27">
        <v>22.07</v>
      </c>
      <c r="I37" s="46">
        <f t="shared" si="2"/>
        <v>0.16979999999999995</v>
      </c>
      <c r="J37" s="43">
        <v>0.83020000000000005</v>
      </c>
      <c r="K37" s="43">
        <f t="shared" si="3"/>
        <v>0.24757160770651493</v>
      </c>
      <c r="L37" s="27"/>
      <c r="M37" s="47">
        <f t="shared" si="6"/>
        <v>38.016516984156034</v>
      </c>
      <c r="N37" s="39">
        <f t="shared" si="4"/>
        <v>8.6873785741563854</v>
      </c>
      <c r="O37" s="42">
        <f t="shared" si="5"/>
        <v>-0.60637160968933457</v>
      </c>
      <c r="P37" s="1"/>
      <c r="Q37" s="1"/>
    </row>
    <row r="38" spans="2:17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0"/>
        <v>54.48</v>
      </c>
      <c r="G38" s="40">
        <f t="shared" si="1"/>
        <v>131.25844346549192</v>
      </c>
      <c r="H38" s="27">
        <v>24.34</v>
      </c>
      <c r="I38" s="46">
        <f t="shared" si="2"/>
        <v>0.22809999999999997</v>
      </c>
      <c r="J38" s="43">
        <v>0.77190000000000003</v>
      </c>
      <c r="K38" s="43">
        <f t="shared" si="3"/>
        <v>0.18543568975354358</v>
      </c>
      <c r="L38" s="27"/>
      <c r="M38" s="47">
        <f t="shared" si="6"/>
        <v>40.642507894836612</v>
      </c>
      <c r="N38" s="39">
        <f t="shared" si="4"/>
        <v>9.4692426458304606</v>
      </c>
      <c r="O38" s="42">
        <f t="shared" si="5"/>
        <v>-0.61095962835536322</v>
      </c>
      <c r="P38" s="1"/>
      <c r="Q38" s="1"/>
    </row>
    <row r="39" spans="2:17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0"/>
        <v>54.48</v>
      </c>
      <c r="G39" s="40">
        <f t="shared" si="1"/>
        <v>138.11637298091043</v>
      </c>
      <c r="H39" s="27">
        <v>12.98</v>
      </c>
      <c r="I39" s="46">
        <f t="shared" si="2"/>
        <v>0.31620000000000004</v>
      </c>
      <c r="J39" s="43">
        <v>0.68379999999999996</v>
      </c>
      <c r="K39" s="43">
        <f t="shared" si="3"/>
        <v>9.3978720406986169E-2</v>
      </c>
      <c r="L39" s="27"/>
      <c r="M39" s="47">
        <f t="shared" si="6"/>
        <v>43.449889127672449</v>
      </c>
      <c r="N39" s="39">
        <f t="shared" si="4"/>
        <v>10.321474483955203</v>
      </c>
      <c r="O39" s="42">
        <f t="shared" si="5"/>
        <v>-0.20481706595106294</v>
      </c>
      <c r="P39" s="1"/>
      <c r="Q39" s="1"/>
    </row>
    <row r="40" spans="2:17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0"/>
        <v>61.8749343</v>
      </c>
      <c r="G40" s="40">
        <f t="shared" si="1"/>
        <v>150.70609941641587</v>
      </c>
      <c r="H40" s="27">
        <v>17.329999999999998</v>
      </c>
      <c r="I40" s="46">
        <f t="shared" si="2"/>
        <v>0.33550000000000002</v>
      </c>
      <c r="J40" s="43">
        <v>0.66449999999999998</v>
      </c>
      <c r="K40" s="43">
        <f t="shared" si="3"/>
        <v>0.11499202797436547</v>
      </c>
      <c r="L40" s="27"/>
      <c r="M40" s="47">
        <f t="shared" si="6"/>
        <v>46.451190219166421</v>
      </c>
      <c r="N40" s="39">
        <f t="shared" si="4"/>
        <v>11.250407187511172</v>
      </c>
      <c r="O40" s="42">
        <f t="shared" si="5"/>
        <v>-0.35081320325959764</v>
      </c>
      <c r="P40" s="1"/>
      <c r="Q40" s="1"/>
    </row>
    <row r="41" spans="2:17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0"/>
        <v>79.6998198</v>
      </c>
      <c r="G41" s="40">
        <f t="shared" si="1"/>
        <v>149.65730198551842</v>
      </c>
      <c r="H41" s="27">
        <v>13.18</v>
      </c>
      <c r="I41" s="46">
        <f t="shared" si="2"/>
        <v>0.39780000000000004</v>
      </c>
      <c r="J41" s="43">
        <v>0.60219999999999996</v>
      </c>
      <c r="K41" s="43">
        <f t="shared" si="3"/>
        <v>8.806787123073595E-2</v>
      </c>
      <c r="L41" s="27"/>
      <c r="M41" s="47">
        <f t="shared" si="6"/>
        <v>49.659806183555339</v>
      </c>
      <c r="N41" s="39">
        <f t="shared" si="4"/>
        <v>12.262943834387178</v>
      </c>
      <c r="O41" s="42">
        <f t="shared" si="5"/>
        <v>-6.9579375236177674E-2</v>
      </c>
      <c r="P41" s="1"/>
      <c r="Q41" s="1"/>
    </row>
    <row r="42" spans="2:17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61.314719171935891</v>
      </c>
      <c r="O42" s="27"/>
      <c r="P42" s="1"/>
      <c r="Q42" s="1"/>
    </row>
    <row r="43" spans="2:17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P43" s="1"/>
      <c r="Q43" s="1"/>
    </row>
    <row r="44" spans="2:17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27"/>
      <c r="P44" s="1"/>
      <c r="Q44" s="1"/>
    </row>
    <row r="45" spans="2:17" x14ac:dyDescent="0.3">
      <c r="L45" s="47">
        <v>103</v>
      </c>
      <c r="M45" s="2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45"/>
  <sheetViews>
    <sheetView zoomScale="80" zoomScaleNormal="80" workbookViewId="0">
      <selection activeCell="B17" sqref="B17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 x14ac:dyDescent="0.3">
      <c r="D2" s="6" t="s">
        <v>47</v>
      </c>
    </row>
    <row r="3" spans="2:20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20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 x14ac:dyDescent="0.3">
      <c r="B5" s="18">
        <v>1</v>
      </c>
      <c r="C5" s="1">
        <v>2001</v>
      </c>
      <c r="D5" s="1"/>
      <c r="E5" s="1"/>
      <c r="F5" s="1"/>
      <c r="G5" s="1">
        <v>115.93</v>
      </c>
      <c r="R5" s="204" t="s">
        <v>27</v>
      </c>
      <c r="S5" s="204"/>
    </row>
    <row r="6" spans="2:20" x14ac:dyDescent="0.3">
      <c r="B6" s="18">
        <v>2</v>
      </c>
      <c r="C6" s="1">
        <v>2002</v>
      </c>
      <c r="D6" s="1">
        <v>26.5</v>
      </c>
      <c r="E6" s="1"/>
      <c r="F6" s="1"/>
      <c r="G6" s="1">
        <v>230.21</v>
      </c>
      <c r="R6" s="20" t="s">
        <v>28</v>
      </c>
      <c r="S6" s="21">
        <v>2.61</v>
      </c>
    </row>
    <row r="7" spans="2:20" x14ac:dyDescent="0.3">
      <c r="B7" s="18">
        <v>3</v>
      </c>
      <c r="C7" s="1">
        <v>2003</v>
      </c>
      <c r="D7" s="1">
        <v>31.74</v>
      </c>
      <c r="E7" s="1"/>
      <c r="F7" s="1"/>
      <c r="G7" s="1">
        <v>416.1</v>
      </c>
      <c r="R7" s="20" t="s">
        <v>29</v>
      </c>
      <c r="S7" s="21">
        <v>203.28</v>
      </c>
    </row>
    <row r="8" spans="2:20" x14ac:dyDescent="0.3">
      <c r="B8" s="18">
        <v>4</v>
      </c>
      <c r="C8" s="1">
        <v>2004</v>
      </c>
      <c r="D8" s="1">
        <v>45.28</v>
      </c>
      <c r="E8" s="1"/>
      <c r="F8" s="1"/>
      <c r="G8" s="1">
        <v>512.76</v>
      </c>
      <c r="R8" s="20" t="s">
        <v>30</v>
      </c>
      <c r="S8" s="22">
        <v>20</v>
      </c>
    </row>
    <row r="9" spans="2:20" x14ac:dyDescent="0.3">
      <c r="B9" s="18">
        <v>5</v>
      </c>
      <c r="C9" s="1">
        <v>2005</v>
      </c>
      <c r="D9" s="1">
        <v>42.52</v>
      </c>
      <c r="E9" s="1"/>
      <c r="F9" s="1"/>
      <c r="G9" s="1">
        <v>651.36</v>
      </c>
      <c r="R9" s="23" t="s">
        <v>31</v>
      </c>
      <c r="S9" s="3">
        <f>((S7/S6)^(1/S8))-1</f>
        <v>0.24329076344312006</v>
      </c>
    </row>
    <row r="10" spans="2:20" x14ac:dyDescent="0.3">
      <c r="B10" s="18">
        <v>6</v>
      </c>
      <c r="C10" s="1">
        <v>2006</v>
      </c>
      <c r="D10" s="1">
        <v>46.71</v>
      </c>
      <c r="E10" s="1"/>
      <c r="F10" s="1"/>
      <c r="G10" s="1">
        <v>783.34</v>
      </c>
      <c r="R10" s="23" t="s">
        <v>32</v>
      </c>
      <c r="S10" s="24">
        <v>140</v>
      </c>
    </row>
    <row r="11" spans="2:20" x14ac:dyDescent="0.3">
      <c r="B11" s="18">
        <v>7</v>
      </c>
      <c r="C11" s="1">
        <v>2007</v>
      </c>
      <c r="D11" s="1">
        <v>49.38</v>
      </c>
      <c r="E11" s="1"/>
      <c r="F11" s="1"/>
      <c r="G11" s="1">
        <v>1008.43</v>
      </c>
      <c r="R11" s="20" t="s">
        <v>30</v>
      </c>
      <c r="S11" s="25">
        <f>S10/12</f>
        <v>11.666666666666666</v>
      </c>
    </row>
    <row r="12" spans="2:20" x14ac:dyDescent="0.3">
      <c r="B12" s="1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23" t="s">
        <v>33</v>
      </c>
      <c r="S12" s="3">
        <f>((S7/S6)^(1/S11))-1</f>
        <v>0.45252842827596251</v>
      </c>
    </row>
    <row r="13" spans="2:20" x14ac:dyDescent="0.3">
      <c r="B13" s="1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 x14ac:dyDescent="0.3">
      <c r="B14" s="18">
        <v>10</v>
      </c>
      <c r="C14" s="1">
        <v>2010</v>
      </c>
      <c r="D14" s="1">
        <v>123.39</v>
      </c>
      <c r="E14" s="1"/>
      <c r="F14" s="1"/>
      <c r="G14" s="1">
        <v>706.96</v>
      </c>
      <c r="R14" s="204" t="s">
        <v>36</v>
      </c>
      <c r="S14" s="204"/>
      <c r="T14" s="204"/>
    </row>
    <row r="15" spans="2:20" x14ac:dyDescent="0.3">
      <c r="B15" s="1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29" t="s">
        <v>37</v>
      </c>
      <c r="S15" s="29"/>
      <c r="T15" s="30">
        <v>100000</v>
      </c>
    </row>
    <row r="16" spans="2:20" x14ac:dyDescent="0.3">
      <c r="B16" s="1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29" t="s">
        <v>38</v>
      </c>
      <c r="S16" s="29"/>
      <c r="T16" s="31">
        <v>0.15</v>
      </c>
    </row>
    <row r="17" spans="1:20" x14ac:dyDescent="0.3">
      <c r="B17" s="18"/>
      <c r="C17" s="1"/>
      <c r="D17" s="1"/>
      <c r="E17" s="1"/>
      <c r="F17" s="1"/>
      <c r="G17" s="1"/>
      <c r="R17" s="29" t="s">
        <v>39</v>
      </c>
      <c r="S17" s="29"/>
      <c r="T17" s="32">
        <v>10</v>
      </c>
    </row>
    <row r="18" spans="1:20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R18" s="29" t="s">
        <v>40</v>
      </c>
      <c r="S18" s="29"/>
      <c r="T18" s="33">
        <v>0</v>
      </c>
    </row>
    <row r="19" spans="1:20" x14ac:dyDescent="0.3">
      <c r="B19" s="18"/>
      <c r="C19" s="1" t="s">
        <v>43</v>
      </c>
      <c r="D19" s="1"/>
      <c r="E19" s="1"/>
      <c r="F19" s="1">
        <v>4</v>
      </c>
      <c r="G19" s="1"/>
      <c r="R19" s="34" t="s">
        <v>41</v>
      </c>
      <c r="S19" s="34"/>
      <c r="T19" s="29">
        <f>FV(T16,T17,T18,-T15)</f>
        <v>404555.77357079065</v>
      </c>
    </row>
    <row r="20" spans="1:20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20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20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20" x14ac:dyDescent="0.3">
      <c r="B23" s="18" t="s">
        <v>46</v>
      </c>
      <c r="C23" s="1"/>
      <c r="D23" s="4">
        <v>0.1125</v>
      </c>
      <c r="E23" s="4"/>
      <c r="F23" s="1"/>
      <c r="G23" s="1"/>
    </row>
    <row r="27" spans="1:20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20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59</v>
      </c>
      <c r="P28" s="28" t="s">
        <v>60</v>
      </c>
    </row>
    <row r="29" spans="1:20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1"/>
      <c r="P29" s="1"/>
    </row>
    <row r="30" spans="1:20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 t="shared" ref="K30:K41" si="0">H30/G30</f>
        <v>0.12446159783867232</v>
      </c>
      <c r="L30" s="27"/>
      <c r="M30" s="47"/>
      <c r="N30" s="27"/>
      <c r="O30" s="1"/>
      <c r="P30" s="1"/>
    </row>
    <row r="31" spans="1:20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1">E31/10000000</f>
        <v>44.48</v>
      </c>
      <c r="G31" s="44">
        <f t="shared" ref="G31:G41" si="2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f t="shared" si="0"/>
        <v>0.20342600849350623</v>
      </c>
      <c r="L31" s="48">
        <f>K31*J31</f>
        <v>0.15612946151876603</v>
      </c>
      <c r="M31" s="49">
        <v>25.46</v>
      </c>
      <c r="N31" s="45">
        <f>H31</f>
        <v>5.18</v>
      </c>
      <c r="O31" s="50">
        <f>N31*I31</f>
        <v>1.20435</v>
      </c>
      <c r="P31" s="50">
        <f>N31*J31</f>
        <v>3.9756499999999995</v>
      </c>
    </row>
    <row r="32" spans="1:20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1"/>
        <v>44.48</v>
      </c>
      <c r="G32" s="40">
        <f t="shared" si="2"/>
        <v>32.814523381294961</v>
      </c>
      <c r="H32" s="27">
        <v>9.35</v>
      </c>
      <c r="I32" s="46">
        <f t="shared" ref="I32:I41" si="3">100%-J32</f>
        <v>0.19359999999999999</v>
      </c>
      <c r="J32" s="43">
        <v>0.80640000000000001</v>
      </c>
      <c r="K32" s="43">
        <f t="shared" si="0"/>
        <v>0.28493481046047181</v>
      </c>
      <c r="L32" s="27"/>
      <c r="M32" s="47">
        <f>G31*(1+$L$31)</f>
        <v>29.439453956834537</v>
      </c>
      <c r="N32" s="3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1"/>
        <v>44.48</v>
      </c>
      <c r="G33" s="40">
        <f t="shared" si="2"/>
        <v>46.787095323741013</v>
      </c>
      <c r="H33" s="27">
        <v>9.41</v>
      </c>
      <c r="I33" s="46">
        <f t="shared" si="3"/>
        <v>0.24050000000000005</v>
      </c>
      <c r="J33" s="43">
        <v>0.75949999999999995</v>
      </c>
      <c r="K33" s="43">
        <f t="shared" si="0"/>
        <v>0.20112383414460688</v>
      </c>
      <c r="L33" s="27"/>
      <c r="M33" s="47">
        <f>M32*(1+$L$31)</f>
        <v>34.035820050521622</v>
      </c>
      <c r="N33" s="39">
        <f t="shared" ref="N33:N41" si="4">N32*(1+$K$31)</f>
        <v>7.5018529380184118</v>
      </c>
      <c r="O33" s="1"/>
      <c r="P33" s="1"/>
    </row>
    <row r="34" spans="2:16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1"/>
        <v>54.48</v>
      </c>
      <c r="G34" s="40">
        <f t="shared" si="2"/>
        <v>47.268538913362704</v>
      </c>
      <c r="H34" s="27">
        <v>11.96</v>
      </c>
      <c r="I34" s="46">
        <f t="shared" si="3"/>
        <v>0.22970000000000002</v>
      </c>
      <c r="J34" s="43">
        <v>0.77029999999999998</v>
      </c>
      <c r="K34" s="43">
        <f t="shared" si="0"/>
        <v>0.25302241776334949</v>
      </c>
      <c r="L34" s="27"/>
      <c r="M34" s="47">
        <f t="shared" ref="M34:M41" si="5">M33*(1+$L$31)</f>
        <v>39.349814307359182</v>
      </c>
      <c r="N34" s="39">
        <f t="shared" si="4"/>
        <v>9.0279249375047801</v>
      </c>
      <c r="O34" s="1"/>
      <c r="P34" s="1"/>
    </row>
    <row r="35" spans="2:16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1"/>
        <v>54.48</v>
      </c>
      <c r="G35" s="40">
        <f t="shared" si="2"/>
        <v>583.17621145374449</v>
      </c>
      <c r="H35" s="27">
        <v>14.38</v>
      </c>
      <c r="I35" s="46">
        <f t="shared" si="3"/>
        <v>0.21830000000000005</v>
      </c>
      <c r="J35" s="43">
        <v>0.78169999999999995</v>
      </c>
      <c r="K35" s="43">
        <f t="shared" si="0"/>
        <v>2.4658070266881202E-2</v>
      </c>
      <c r="L35" s="27"/>
      <c r="M35" s="47">
        <f t="shared" si="5"/>
        <v>45.493479626030606</v>
      </c>
      <c r="N35" s="39">
        <f t="shared" si="4"/>
        <v>10.864439672520364</v>
      </c>
      <c r="O35" s="1"/>
      <c r="P35" s="1"/>
    </row>
    <row r="36" spans="2:16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1"/>
        <v>54.48</v>
      </c>
      <c r="G36" s="40">
        <f t="shared" si="2"/>
        <v>73.244493392070495</v>
      </c>
      <c r="H36" s="27">
        <v>18.510000000000002</v>
      </c>
      <c r="I36" s="46">
        <f t="shared" si="3"/>
        <v>0.18999999999999995</v>
      </c>
      <c r="J36" s="43">
        <v>0.81</v>
      </c>
      <c r="K36" s="43">
        <f t="shared" si="0"/>
        <v>0.25271524373740711</v>
      </c>
      <c r="L36" s="27"/>
      <c r="M36" s="47">
        <f t="shared" si="5"/>
        <v>52.596352102657718</v>
      </c>
      <c r="N36" s="39">
        <f t="shared" si="4"/>
        <v>13.074549269619677</v>
      </c>
      <c r="O36" s="1"/>
      <c r="P36" s="1"/>
    </row>
    <row r="37" spans="2:16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1"/>
        <v>54.48</v>
      </c>
      <c r="G37" s="40">
        <f t="shared" si="2"/>
        <v>89.145925110132168</v>
      </c>
      <c r="H37" s="27">
        <v>22.07</v>
      </c>
      <c r="I37" s="46">
        <f t="shared" si="3"/>
        <v>0.16979999999999995</v>
      </c>
      <c r="J37" s="43">
        <v>0.83020000000000005</v>
      </c>
      <c r="K37" s="43">
        <f t="shared" si="0"/>
        <v>0.24757160770651493</v>
      </c>
      <c r="L37" s="27"/>
      <c r="M37" s="47">
        <f t="shared" si="5"/>
        <v>60.808192234297088</v>
      </c>
      <c r="N37" s="39">
        <f t="shared" si="4"/>
        <v>15.734252640390094</v>
      </c>
      <c r="O37" s="1"/>
      <c r="P37" s="1"/>
    </row>
    <row r="38" spans="2:16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1"/>
        <v>54.48</v>
      </c>
      <c r="G38" s="40">
        <f t="shared" si="2"/>
        <v>131.25844346549192</v>
      </c>
      <c r="H38" s="27">
        <v>24.34</v>
      </c>
      <c r="I38" s="46">
        <f t="shared" si="3"/>
        <v>0.22809999999999997</v>
      </c>
      <c r="J38" s="43">
        <v>0.77190000000000003</v>
      </c>
      <c r="K38" s="43">
        <f t="shared" si="0"/>
        <v>0.18543568975354358</v>
      </c>
      <c r="L38" s="27"/>
      <c r="M38" s="47">
        <f t="shared" si="5"/>
        <v>70.302142543767502</v>
      </c>
      <c r="N38" s="39">
        <f t="shared" si="4"/>
        <v>18.935008851653063</v>
      </c>
      <c r="O38" s="1"/>
      <c r="P38" s="1"/>
    </row>
    <row r="39" spans="2:16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1"/>
        <v>54.48</v>
      </c>
      <c r="G39" s="40">
        <f t="shared" si="2"/>
        <v>138.11637298091043</v>
      </c>
      <c r="H39" s="27">
        <v>12.98</v>
      </c>
      <c r="I39" s="46">
        <f t="shared" si="3"/>
        <v>0.31620000000000004</v>
      </c>
      <c r="J39" s="43">
        <v>0.68379999999999996</v>
      </c>
      <c r="K39" s="43">
        <f t="shared" si="0"/>
        <v>9.3978720406986169E-2</v>
      </c>
      <c r="L39" s="27"/>
      <c r="M39" s="47">
        <f t="shared" si="5"/>
        <v>81.27837820274145</v>
      </c>
      <c r="N39" s="39">
        <f t="shared" si="4"/>
        <v>22.786882123134053</v>
      </c>
      <c r="O39" s="1"/>
      <c r="P39" s="1"/>
    </row>
    <row r="40" spans="2:16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1"/>
        <v>61.8749343</v>
      </c>
      <c r="G40" s="40">
        <f t="shared" si="2"/>
        <v>150.70609941641587</v>
      </c>
      <c r="H40" s="27">
        <v>17.329999999999998</v>
      </c>
      <c r="I40" s="46">
        <f t="shared" si="3"/>
        <v>0.33550000000000002</v>
      </c>
      <c r="J40" s="43">
        <v>0.66449999999999998</v>
      </c>
      <c r="K40" s="43">
        <f t="shared" si="0"/>
        <v>0.11499202797436547</v>
      </c>
      <c r="L40" s="27"/>
      <c r="M40" s="47">
        <f t="shared" si="5"/>
        <v>93.96832762465408</v>
      </c>
      <c r="N40" s="39">
        <f t="shared" si="4"/>
        <v>27.422326599455246</v>
      </c>
      <c r="O40" s="1"/>
      <c r="P40" s="1"/>
    </row>
    <row r="41" spans="2:16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1"/>
        <v>79.6998198</v>
      </c>
      <c r="G41" s="40">
        <f t="shared" si="2"/>
        <v>149.65730198551842</v>
      </c>
      <c r="H41" s="27">
        <v>13.18</v>
      </c>
      <c r="I41" s="46">
        <f t="shared" si="3"/>
        <v>0.39780000000000004</v>
      </c>
      <c r="J41" s="43">
        <v>0.60219999999999996</v>
      </c>
      <c r="K41" s="43">
        <f t="shared" si="0"/>
        <v>8.806787123073595E-2</v>
      </c>
      <c r="L41" s="27"/>
      <c r="M41" s="47">
        <f t="shared" si="5"/>
        <v>108.63955201651031</v>
      </c>
      <c r="N41" s="39">
        <f t="shared" si="4"/>
        <v>33.00074104318773</v>
      </c>
      <c r="O41" s="1"/>
      <c r="P41" s="1"/>
    </row>
    <row r="42" spans="2:16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165.00370521593865</v>
      </c>
      <c r="O42" s="1"/>
      <c r="P42" s="1"/>
    </row>
    <row r="43" spans="2:16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O43" s="1"/>
      <c r="P43" s="1"/>
    </row>
    <row r="44" spans="2:16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1"/>
      <c r="P44" s="1"/>
    </row>
    <row r="45" spans="2:16" x14ac:dyDescent="0.3">
      <c r="L45" s="47">
        <v>103</v>
      </c>
      <c r="M45" s="2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8"/>
  <sheetViews>
    <sheetView topLeftCell="A25" zoomScale="90" zoomScaleNormal="90" workbookViewId="0">
      <selection activeCell="G25" sqref="G25"/>
    </sheetView>
  </sheetViews>
  <sheetFormatPr defaultRowHeight="15" x14ac:dyDescent="0.25"/>
  <cols>
    <col min="1" max="1" width="9.140625" style="56"/>
    <col min="2" max="2" width="16.7109375" style="56" bestFit="1" customWidth="1"/>
    <col min="3" max="3" width="11.5703125" style="56" customWidth="1"/>
    <col min="4" max="4" width="12.85546875" style="56" customWidth="1"/>
    <col min="5" max="5" width="12.85546875" style="56" bestFit="1" customWidth="1"/>
    <col min="6" max="6" width="13" style="56" customWidth="1"/>
    <col min="7" max="7" width="11.7109375" style="56" customWidth="1"/>
    <col min="8" max="8" width="12.28515625" style="56" customWidth="1"/>
    <col min="9" max="9" width="12.140625" style="56" bestFit="1" customWidth="1"/>
    <col min="10" max="10" width="11.5703125" style="56" bestFit="1" customWidth="1"/>
    <col min="11" max="11" width="11.28515625" style="56" customWidth="1"/>
    <col min="12" max="16384" width="9.140625" style="56"/>
  </cols>
  <sheetData>
    <row r="2" spans="2:12" x14ac:dyDescent="0.25">
      <c r="B2" s="204" t="s">
        <v>27</v>
      </c>
      <c r="C2" s="204"/>
      <c r="E2" s="204" t="s">
        <v>65</v>
      </c>
      <c r="F2" s="204"/>
      <c r="H2" s="208" t="s">
        <v>36</v>
      </c>
      <c r="I2" s="209"/>
    </row>
    <row r="3" spans="2:12" x14ac:dyDescent="0.25">
      <c r="B3" s="20" t="s">
        <v>28</v>
      </c>
      <c r="C3" s="21">
        <v>2.61</v>
      </c>
      <c r="E3" s="29" t="s">
        <v>41</v>
      </c>
      <c r="F3" s="54">
        <v>399</v>
      </c>
      <c r="H3" s="29" t="s">
        <v>37</v>
      </c>
      <c r="I3" s="30">
        <v>100000</v>
      </c>
    </row>
    <row r="4" spans="2:12" x14ac:dyDescent="0.25">
      <c r="B4" s="20" t="s">
        <v>29</v>
      </c>
      <c r="C4" s="21">
        <v>17</v>
      </c>
      <c r="E4" s="29" t="s">
        <v>38</v>
      </c>
      <c r="F4" s="31">
        <v>0.2</v>
      </c>
      <c r="H4" s="29" t="s">
        <v>38</v>
      </c>
      <c r="I4" s="31">
        <v>0.15</v>
      </c>
    </row>
    <row r="5" spans="2:12" x14ac:dyDescent="0.25">
      <c r="B5" s="20" t="s">
        <v>30</v>
      </c>
      <c r="C5" s="22">
        <v>9</v>
      </c>
      <c r="E5" s="29" t="s">
        <v>39</v>
      </c>
      <c r="F5" s="32">
        <v>10</v>
      </c>
      <c r="H5" s="29" t="s">
        <v>39</v>
      </c>
      <c r="I5" s="32">
        <v>10</v>
      </c>
    </row>
    <row r="6" spans="2:12" x14ac:dyDescent="0.25">
      <c r="B6" s="23" t="s">
        <v>31</v>
      </c>
      <c r="C6" s="3">
        <f>((C4/C3)^(1/C5))-1</f>
        <v>0.23146807384688306</v>
      </c>
      <c r="E6" s="29" t="s">
        <v>40</v>
      </c>
      <c r="F6" s="30">
        <v>0</v>
      </c>
      <c r="H6" s="29" t="s">
        <v>40</v>
      </c>
      <c r="I6" s="33">
        <v>0</v>
      </c>
    </row>
    <row r="7" spans="2:12" x14ac:dyDescent="0.25">
      <c r="E7" s="34" t="s">
        <v>66</v>
      </c>
      <c r="F7" s="55">
        <f>PV(F4,F5,F6,-F3)</f>
        <v>64.440727573048449</v>
      </c>
      <c r="H7" s="34" t="s">
        <v>41</v>
      </c>
      <c r="I7" s="29">
        <f>FV(I4,I5,I6,-I3)</f>
        <v>404555.77357079065</v>
      </c>
    </row>
    <row r="9" spans="2:12" ht="15.75" thickBot="1" x14ac:dyDescent="0.3"/>
    <row r="10" spans="2:12" ht="16.5" thickBot="1" x14ac:dyDescent="0.35">
      <c r="B10" s="86"/>
      <c r="C10" s="87"/>
      <c r="D10" s="205" t="s">
        <v>68</v>
      </c>
      <c r="E10" s="206"/>
      <c r="F10" s="206"/>
      <c r="G10" s="206"/>
      <c r="H10" s="207"/>
      <c r="I10" s="205" t="s">
        <v>72</v>
      </c>
      <c r="J10" s="206"/>
      <c r="K10" s="206"/>
      <c r="L10" s="207"/>
    </row>
    <row r="11" spans="2:12" ht="45" x14ac:dyDescent="0.25">
      <c r="B11" s="88" t="s">
        <v>0</v>
      </c>
      <c r="C11" s="89" t="s">
        <v>71</v>
      </c>
      <c r="D11" s="81" t="s">
        <v>50</v>
      </c>
      <c r="E11" s="82" t="s">
        <v>51</v>
      </c>
      <c r="F11" s="83" t="s">
        <v>52</v>
      </c>
      <c r="G11" s="83" t="s">
        <v>70</v>
      </c>
      <c r="H11" s="84" t="s">
        <v>25</v>
      </c>
      <c r="I11" s="81" t="s">
        <v>50</v>
      </c>
      <c r="J11" s="83" t="s">
        <v>52</v>
      </c>
      <c r="K11" s="83" t="s">
        <v>70</v>
      </c>
      <c r="L11" s="84" t="s">
        <v>25</v>
      </c>
    </row>
    <row r="12" spans="2:12" ht="15.75" x14ac:dyDescent="0.3">
      <c r="B12" s="90">
        <v>0</v>
      </c>
      <c r="C12" s="91">
        <v>2000</v>
      </c>
      <c r="D12" s="66">
        <v>749.84</v>
      </c>
      <c r="E12" s="59"/>
      <c r="F12" s="59"/>
      <c r="G12" s="59"/>
      <c r="H12" s="67"/>
      <c r="I12" s="77"/>
      <c r="J12" s="60"/>
      <c r="K12" s="60"/>
      <c r="L12" s="78"/>
    </row>
    <row r="13" spans="2:12" ht="15.75" x14ac:dyDescent="0.3">
      <c r="B13" s="90">
        <v>1</v>
      </c>
      <c r="C13" s="91">
        <v>2001</v>
      </c>
      <c r="D13" s="66">
        <v>932.76</v>
      </c>
      <c r="E13" s="59">
        <v>444800000</v>
      </c>
      <c r="F13" s="59">
        <f>E13/10000000</f>
        <v>44.48</v>
      </c>
      <c r="G13" s="62">
        <f>D13/F13</f>
        <v>20.970323741007196</v>
      </c>
      <c r="H13" s="68">
        <v>2.61</v>
      </c>
      <c r="I13" s="77"/>
      <c r="J13" s="60"/>
      <c r="K13" s="60"/>
      <c r="L13" s="78"/>
    </row>
    <row r="14" spans="2:12" ht="15.75" x14ac:dyDescent="0.3">
      <c r="B14" s="90">
        <v>2</v>
      </c>
      <c r="C14" s="91">
        <v>2002</v>
      </c>
      <c r="D14" s="66">
        <v>1132.6300000000001</v>
      </c>
      <c r="E14" s="59">
        <v>444800000</v>
      </c>
      <c r="F14" s="59">
        <f t="shared" ref="F14:F24" si="0">E14/10000000</f>
        <v>44.48</v>
      </c>
      <c r="G14" s="62">
        <f t="shared" ref="G14:G24" si="1">D14/F14</f>
        <v>25.463803956834536</v>
      </c>
      <c r="H14" s="68">
        <v>5.18</v>
      </c>
      <c r="I14" s="77"/>
      <c r="J14" s="60"/>
      <c r="K14" s="60"/>
      <c r="L14" s="78"/>
    </row>
    <row r="15" spans="2:12" ht="15.75" x14ac:dyDescent="0.3">
      <c r="B15" s="90">
        <v>3</v>
      </c>
      <c r="C15" s="91">
        <v>2003</v>
      </c>
      <c r="D15" s="66">
        <v>1459.59</v>
      </c>
      <c r="E15" s="59">
        <v>444800000</v>
      </c>
      <c r="F15" s="59">
        <f t="shared" si="0"/>
        <v>44.48</v>
      </c>
      <c r="G15" s="62">
        <f t="shared" si="1"/>
        <v>32.814523381294961</v>
      </c>
      <c r="H15" s="68">
        <v>9.35</v>
      </c>
      <c r="I15" s="77"/>
      <c r="J15" s="60"/>
      <c r="K15" s="60"/>
      <c r="L15" s="78"/>
    </row>
    <row r="16" spans="2:12" ht="15.75" x14ac:dyDescent="0.3">
      <c r="B16" s="90">
        <v>4</v>
      </c>
      <c r="C16" s="91">
        <v>2004</v>
      </c>
      <c r="D16" s="66">
        <v>2081.09</v>
      </c>
      <c r="E16" s="59">
        <v>444800000</v>
      </c>
      <c r="F16" s="59">
        <f t="shared" si="0"/>
        <v>44.48</v>
      </c>
      <c r="G16" s="62">
        <f t="shared" si="1"/>
        <v>46.787095323741013</v>
      </c>
      <c r="H16" s="68">
        <v>9.41</v>
      </c>
      <c r="I16" s="77"/>
      <c r="J16" s="60"/>
      <c r="K16" s="60"/>
      <c r="L16" s="78"/>
    </row>
    <row r="17" spans="2:12" ht="15.75" x14ac:dyDescent="0.3">
      <c r="B17" s="90">
        <v>5</v>
      </c>
      <c r="C17" s="91">
        <v>2005</v>
      </c>
      <c r="D17" s="66">
        <v>2575.19</v>
      </c>
      <c r="E17" s="59">
        <v>544800000</v>
      </c>
      <c r="F17" s="59">
        <f t="shared" si="0"/>
        <v>54.48</v>
      </c>
      <c r="G17" s="62">
        <f t="shared" si="1"/>
        <v>47.268538913362704</v>
      </c>
      <c r="H17" s="68">
        <v>11.96</v>
      </c>
      <c r="I17" s="77"/>
      <c r="J17" s="60"/>
      <c r="K17" s="60"/>
      <c r="L17" s="78"/>
    </row>
    <row r="18" spans="2:12" ht="15.75" x14ac:dyDescent="0.3">
      <c r="B18" s="90">
        <v>6</v>
      </c>
      <c r="C18" s="91">
        <v>2006</v>
      </c>
      <c r="D18" s="66">
        <v>31771.439999999999</v>
      </c>
      <c r="E18" s="59">
        <v>544800000</v>
      </c>
      <c r="F18" s="59">
        <f t="shared" si="0"/>
        <v>54.48</v>
      </c>
      <c r="G18" s="62">
        <f t="shared" si="1"/>
        <v>583.17621145374449</v>
      </c>
      <c r="H18" s="68">
        <v>14.38</v>
      </c>
      <c r="I18" s="77"/>
      <c r="J18" s="60"/>
      <c r="K18" s="60"/>
      <c r="L18" s="78"/>
    </row>
    <row r="19" spans="2:12" ht="15.75" x14ac:dyDescent="0.3">
      <c r="B19" s="90">
        <v>7</v>
      </c>
      <c r="C19" s="91">
        <v>2007</v>
      </c>
      <c r="D19" s="66">
        <v>3990.36</v>
      </c>
      <c r="E19" s="59">
        <v>544800000</v>
      </c>
      <c r="F19" s="59">
        <f t="shared" si="0"/>
        <v>54.48</v>
      </c>
      <c r="G19" s="62">
        <f t="shared" si="1"/>
        <v>73.244493392070495</v>
      </c>
      <c r="H19" s="68">
        <v>18.510000000000002</v>
      </c>
      <c r="I19" s="77"/>
      <c r="J19" s="60"/>
      <c r="K19" s="60"/>
      <c r="L19" s="78"/>
    </row>
    <row r="20" spans="2:12" ht="15.75" x14ac:dyDescent="0.3">
      <c r="B20" s="90">
        <v>8</v>
      </c>
      <c r="C20" s="91">
        <v>2008</v>
      </c>
      <c r="D20" s="66">
        <v>4856.67</v>
      </c>
      <c r="E20" s="59">
        <v>544800000</v>
      </c>
      <c r="F20" s="59">
        <f t="shared" si="0"/>
        <v>54.48</v>
      </c>
      <c r="G20" s="62">
        <f t="shared" si="1"/>
        <v>89.145925110132168</v>
      </c>
      <c r="H20" s="68">
        <v>22.07</v>
      </c>
      <c r="I20" s="77"/>
      <c r="J20" s="60"/>
      <c r="K20" s="60"/>
      <c r="L20" s="78"/>
    </row>
    <row r="21" spans="2:12" ht="15.75" x14ac:dyDescent="0.3">
      <c r="B21" s="90">
        <v>9</v>
      </c>
      <c r="C21" s="91">
        <v>2009</v>
      </c>
      <c r="D21" s="66">
        <v>7150.96</v>
      </c>
      <c r="E21" s="59">
        <v>544800000</v>
      </c>
      <c r="F21" s="59">
        <f t="shared" si="0"/>
        <v>54.48</v>
      </c>
      <c r="G21" s="62">
        <f t="shared" si="1"/>
        <v>131.25844346549192</v>
      </c>
      <c r="H21" s="68">
        <v>24.34</v>
      </c>
      <c r="I21" s="77"/>
      <c r="J21" s="60"/>
      <c r="K21" s="60"/>
      <c r="L21" s="78"/>
    </row>
    <row r="22" spans="2:12" ht="15.75" x14ac:dyDescent="0.3">
      <c r="B22" s="90">
        <v>10</v>
      </c>
      <c r="C22" s="91">
        <v>2010</v>
      </c>
      <c r="D22" s="66">
        <v>7524.58</v>
      </c>
      <c r="E22" s="59">
        <v>544800000</v>
      </c>
      <c r="F22" s="59">
        <f t="shared" si="0"/>
        <v>54.48</v>
      </c>
      <c r="G22" s="62">
        <f t="shared" si="1"/>
        <v>138.11637298091043</v>
      </c>
      <c r="H22" s="68">
        <v>12.98</v>
      </c>
      <c r="I22" s="77"/>
      <c r="J22" s="60"/>
      <c r="K22" s="60"/>
      <c r="L22" s="78"/>
    </row>
    <row r="23" spans="2:12" ht="15.75" x14ac:dyDescent="0.3">
      <c r="B23" s="90">
        <v>11</v>
      </c>
      <c r="C23" s="91">
        <v>2011</v>
      </c>
      <c r="D23" s="66">
        <v>9324.93</v>
      </c>
      <c r="E23" s="59">
        <v>618749343</v>
      </c>
      <c r="F23" s="59">
        <f t="shared" si="0"/>
        <v>61.8749343</v>
      </c>
      <c r="G23" s="62">
        <f t="shared" si="1"/>
        <v>150.70609941641587</v>
      </c>
      <c r="H23" s="68">
        <v>17.329999999999998</v>
      </c>
      <c r="I23" s="77"/>
      <c r="J23" s="60"/>
      <c r="K23" s="60"/>
      <c r="L23" s="78"/>
    </row>
    <row r="24" spans="2:12" ht="15.75" x14ac:dyDescent="0.3">
      <c r="B24" s="90">
        <v>12</v>
      </c>
      <c r="C24" s="91">
        <v>2012</v>
      </c>
      <c r="D24" s="66">
        <v>11927.66</v>
      </c>
      <c r="E24" s="59">
        <v>796998198</v>
      </c>
      <c r="F24" s="59">
        <f t="shared" si="0"/>
        <v>79.6998198</v>
      </c>
      <c r="G24" s="62">
        <f t="shared" si="1"/>
        <v>149.65730198551842</v>
      </c>
      <c r="H24" s="68">
        <v>13.18</v>
      </c>
      <c r="I24" s="77"/>
      <c r="J24" s="60"/>
      <c r="K24" s="60"/>
      <c r="L24" s="78"/>
    </row>
    <row r="25" spans="2:12" ht="15.75" x14ac:dyDescent="0.3">
      <c r="B25" s="90">
        <v>13</v>
      </c>
      <c r="C25" s="91">
        <v>2013</v>
      </c>
      <c r="D25" s="66"/>
      <c r="E25" s="59"/>
      <c r="F25" s="59"/>
      <c r="G25" s="62"/>
      <c r="H25" s="68"/>
      <c r="I25" s="77">
        <f>D24*(1+$D$36)</f>
        <v>15390.259698</v>
      </c>
      <c r="J25" s="60">
        <f>F24*(1+$F$36)</f>
        <v>84.481808987999997</v>
      </c>
      <c r="K25" s="63">
        <f>G24*(1+$G$36)</f>
        <v>182.16286797677301</v>
      </c>
      <c r="L25" s="79">
        <f>H24*(1+$H$36)</f>
        <v>15.497043999999999</v>
      </c>
    </row>
    <row r="26" spans="2:12" ht="15.75" x14ac:dyDescent="0.3">
      <c r="B26" s="90">
        <v>14</v>
      </c>
      <c r="C26" s="91">
        <v>2014</v>
      </c>
      <c r="D26" s="66"/>
      <c r="E26" s="59"/>
      <c r="F26" s="59"/>
      <c r="G26" s="62"/>
      <c r="H26" s="68"/>
      <c r="I26" s="77">
        <f>I25*(1+$D$36)</f>
        <v>19858.052088329401</v>
      </c>
      <c r="J26" s="60">
        <f>J25*(1+$F$36)</f>
        <v>89.55071752728</v>
      </c>
      <c r="K26" s="63">
        <f>K25*(1+$G$36)</f>
        <v>221.72864290132813</v>
      </c>
      <c r="L26" s="79">
        <f>L25*(1+$H$36)</f>
        <v>18.221424335199998</v>
      </c>
    </row>
    <row r="27" spans="2:12" ht="15.75" x14ac:dyDescent="0.3">
      <c r="B27" s="90">
        <v>15</v>
      </c>
      <c r="C27" s="91">
        <v>2015</v>
      </c>
      <c r="D27" s="66"/>
      <c r="E27" s="59"/>
      <c r="F27" s="59"/>
      <c r="G27" s="62"/>
      <c r="H27" s="68"/>
      <c r="I27" s="77">
        <f t="shared" ref="I27:I34" si="2">I26*(1+$D$36)</f>
        <v>25622.844609571428</v>
      </c>
      <c r="J27" s="60">
        <f t="shared" ref="J27:J34" si="3">J26*(1+$F$36)</f>
        <v>94.923760578916799</v>
      </c>
      <c r="K27" s="63">
        <f t="shared" ref="K27:K34" si="4">K26*(1+$G$36)</f>
        <v>269.88810413949659</v>
      </c>
      <c r="L27" s="79">
        <f t="shared" ref="L27:L34" si="5">L26*(1+$H$36)</f>
        <v>21.424750733328157</v>
      </c>
    </row>
    <row r="28" spans="2:12" ht="15.75" x14ac:dyDescent="0.3">
      <c r="B28" s="90">
        <v>16</v>
      </c>
      <c r="C28" s="91">
        <v>2016</v>
      </c>
      <c r="D28" s="66"/>
      <c r="E28" s="59"/>
      <c r="F28" s="59"/>
      <c r="G28" s="62"/>
      <c r="H28" s="68"/>
      <c r="I28" s="77">
        <f t="shared" si="2"/>
        <v>33061.156399730011</v>
      </c>
      <c r="J28" s="60">
        <f t="shared" si="3"/>
        <v>100.61918621365182</v>
      </c>
      <c r="K28" s="63">
        <f t="shared" si="4"/>
        <v>328.50780035859526</v>
      </c>
      <c r="L28" s="79">
        <f t="shared" si="5"/>
        <v>25.191221912247247</v>
      </c>
    </row>
    <row r="29" spans="2:12" ht="15.75" x14ac:dyDescent="0.3">
      <c r="B29" s="90">
        <v>17</v>
      </c>
      <c r="C29" s="91">
        <v>2017</v>
      </c>
      <c r="D29" s="66"/>
      <c r="E29" s="59"/>
      <c r="F29" s="59"/>
      <c r="G29" s="62"/>
      <c r="H29" s="68"/>
      <c r="I29" s="77">
        <f t="shared" si="2"/>
        <v>42658.810102571631</v>
      </c>
      <c r="J29" s="60">
        <f t="shared" si="3"/>
        <v>106.65633738647092</v>
      </c>
      <c r="K29" s="63">
        <f t="shared" si="4"/>
        <v>399.8596945964822</v>
      </c>
      <c r="L29" s="79">
        <f t="shared" si="5"/>
        <v>29.619838724420312</v>
      </c>
    </row>
    <row r="30" spans="2:12" ht="15.75" x14ac:dyDescent="0.3">
      <c r="B30" s="90">
        <v>18</v>
      </c>
      <c r="C30" s="91">
        <v>2018</v>
      </c>
      <c r="D30" s="66"/>
      <c r="E30" s="59"/>
      <c r="F30" s="59"/>
      <c r="G30" s="62"/>
      <c r="H30" s="68"/>
      <c r="I30" s="77">
        <f t="shared" si="2"/>
        <v>55042.662675348176</v>
      </c>
      <c r="J30" s="60">
        <f t="shared" si="3"/>
        <v>113.05571762965918</v>
      </c>
      <c r="K30" s="63">
        <f t="shared" si="4"/>
        <v>486.70922026283813</v>
      </c>
      <c r="L30" s="79">
        <f t="shared" si="5"/>
        <v>34.8270063721734</v>
      </c>
    </row>
    <row r="31" spans="2:12" ht="15.75" x14ac:dyDescent="0.3">
      <c r="B31" s="90">
        <v>19</v>
      </c>
      <c r="C31" s="91">
        <v>2019</v>
      </c>
      <c r="D31" s="66"/>
      <c r="E31" s="59"/>
      <c r="F31" s="59"/>
      <c r="G31" s="62"/>
      <c r="H31" s="68"/>
      <c r="I31" s="77">
        <f t="shared" si="2"/>
        <v>71021.547650001754</v>
      </c>
      <c r="J31" s="60">
        <f t="shared" si="3"/>
        <v>119.83906068743875</v>
      </c>
      <c r="K31" s="63">
        <f t="shared" si="4"/>
        <v>592.42246290392666</v>
      </c>
      <c r="L31" s="79">
        <f t="shared" si="5"/>
        <v>40.949594092401483</v>
      </c>
    </row>
    <row r="32" spans="2:12" ht="15.75" x14ac:dyDescent="0.3">
      <c r="B32" s="90">
        <v>20</v>
      </c>
      <c r="C32" s="91">
        <v>2020</v>
      </c>
      <c r="D32" s="66"/>
      <c r="E32" s="59"/>
      <c r="F32" s="59"/>
      <c r="G32" s="62"/>
      <c r="H32" s="68"/>
      <c r="I32" s="77">
        <f t="shared" si="2"/>
        <v>91639.102932797265</v>
      </c>
      <c r="J32" s="60">
        <f t="shared" si="3"/>
        <v>127.02940432868508</v>
      </c>
      <c r="K32" s="63">
        <f t="shared" si="4"/>
        <v>721.09662184665956</v>
      </c>
      <c r="L32" s="79">
        <f t="shared" si="5"/>
        <v>48.148532733845663</v>
      </c>
    </row>
    <row r="33" spans="2:12" ht="15.75" x14ac:dyDescent="0.3">
      <c r="B33" s="90">
        <v>21</v>
      </c>
      <c r="C33" s="91">
        <v>2021</v>
      </c>
      <c r="D33" s="66"/>
      <c r="E33" s="59"/>
      <c r="F33" s="59"/>
      <c r="G33" s="62"/>
      <c r="H33" s="68"/>
      <c r="I33" s="77">
        <f t="shared" si="2"/>
        <v>118241.93451418831</v>
      </c>
      <c r="J33" s="60">
        <f t="shared" si="3"/>
        <v>134.65116858840619</v>
      </c>
      <c r="K33" s="63">
        <f t="shared" si="4"/>
        <v>877.71880811175402</v>
      </c>
      <c r="L33" s="79">
        <f t="shared" si="5"/>
        <v>56.613044788455731</v>
      </c>
    </row>
    <row r="34" spans="2:12" ht="15.75" x14ac:dyDescent="0.3">
      <c r="B34" s="90">
        <v>22</v>
      </c>
      <c r="C34" s="91">
        <v>2022</v>
      </c>
      <c r="D34" s="66"/>
      <c r="E34" s="59"/>
      <c r="F34" s="59"/>
      <c r="G34" s="62"/>
      <c r="H34" s="68"/>
      <c r="I34" s="77">
        <f t="shared" si="2"/>
        <v>152567.56810365716</v>
      </c>
      <c r="J34" s="60">
        <f t="shared" si="3"/>
        <v>142.73023870371057</v>
      </c>
      <c r="K34" s="63">
        <f t="shared" si="4"/>
        <v>1068.359333233627</v>
      </c>
      <c r="L34" s="79">
        <f t="shared" si="5"/>
        <v>66.565618062266253</v>
      </c>
    </row>
    <row r="35" spans="2:12" ht="15.75" x14ac:dyDescent="0.3">
      <c r="B35" s="90"/>
      <c r="C35" s="91"/>
      <c r="D35" s="66"/>
      <c r="E35" s="59"/>
      <c r="F35" s="59"/>
      <c r="G35" s="62"/>
      <c r="H35" s="68"/>
      <c r="I35" s="77"/>
      <c r="J35" s="60"/>
      <c r="K35" s="63"/>
      <c r="L35" s="79"/>
    </row>
    <row r="36" spans="2:12" ht="15.75" x14ac:dyDescent="0.3">
      <c r="B36" s="90"/>
      <c r="C36" s="92" t="s">
        <v>1</v>
      </c>
      <c r="D36" s="93">
        <v>0.2903</v>
      </c>
      <c r="E36" s="61" t="s">
        <v>69</v>
      </c>
      <c r="F36" s="94">
        <v>0.06</v>
      </c>
      <c r="G36" s="5">
        <v>0.2172</v>
      </c>
      <c r="H36" s="95">
        <v>0.17580000000000001</v>
      </c>
      <c r="I36" s="96"/>
      <c r="J36" s="57"/>
      <c r="K36" s="4"/>
      <c r="L36" s="97"/>
    </row>
    <row r="37" spans="2:12" ht="15.75" x14ac:dyDescent="0.3">
      <c r="B37" s="90"/>
      <c r="C37" s="92" t="s">
        <v>76</v>
      </c>
      <c r="D37" s="96"/>
      <c r="E37" s="18"/>
      <c r="F37" s="57"/>
      <c r="G37" s="4"/>
      <c r="H37" s="97"/>
      <c r="I37" s="96"/>
      <c r="J37" s="57"/>
      <c r="K37" s="63">
        <f>I34/J34</f>
        <v>1068.9225316883803</v>
      </c>
      <c r="L37" s="97"/>
    </row>
    <row r="38" spans="2:12" ht="15.75" x14ac:dyDescent="0.3">
      <c r="B38" s="90"/>
      <c r="C38" s="92"/>
      <c r="D38" s="96"/>
      <c r="E38" s="18"/>
      <c r="F38" s="57"/>
      <c r="G38" s="4"/>
      <c r="H38" s="97"/>
      <c r="I38" s="96"/>
      <c r="J38" s="57"/>
      <c r="K38" s="4"/>
      <c r="L38" s="97"/>
    </row>
    <row r="39" spans="2:12" ht="15.75" x14ac:dyDescent="0.3">
      <c r="B39" s="90"/>
      <c r="C39" s="91" t="s">
        <v>74</v>
      </c>
      <c r="D39" s="69">
        <v>6</v>
      </c>
      <c r="E39" s="1"/>
      <c r="F39" s="1"/>
      <c r="G39" s="65"/>
      <c r="H39" s="70">
        <f>H24*D39</f>
        <v>79.08</v>
      </c>
      <c r="I39" s="72"/>
      <c r="J39" s="58"/>
      <c r="K39" s="64"/>
      <c r="L39" s="80">
        <f>L34*D39</f>
        <v>399.39370837359752</v>
      </c>
    </row>
    <row r="40" spans="2:12" x14ac:dyDescent="0.25">
      <c r="B40" s="72"/>
      <c r="C40" s="73" t="s">
        <v>73</v>
      </c>
      <c r="D40" s="71">
        <v>1</v>
      </c>
      <c r="E40" s="58"/>
      <c r="F40" s="58"/>
      <c r="G40" s="65">
        <f>G24*D40</f>
        <v>149.65730198551842</v>
      </c>
      <c r="H40" s="70"/>
      <c r="I40" s="72"/>
      <c r="J40" s="58"/>
      <c r="K40" s="64">
        <f>K34*D40</f>
        <v>1068.359333233627</v>
      </c>
      <c r="L40" s="80"/>
    </row>
    <row r="41" spans="2:12" x14ac:dyDescent="0.25">
      <c r="B41" s="72"/>
      <c r="C41" s="73"/>
      <c r="D41" s="72"/>
      <c r="E41" s="58"/>
      <c r="F41" s="58"/>
      <c r="G41" s="58"/>
      <c r="H41" s="73"/>
      <c r="I41" s="72"/>
      <c r="J41" s="58"/>
      <c r="K41" s="64"/>
      <c r="L41" s="80"/>
    </row>
    <row r="42" spans="2:12" x14ac:dyDescent="0.25">
      <c r="B42" s="72"/>
      <c r="C42" s="73" t="s">
        <v>75</v>
      </c>
      <c r="D42" s="85">
        <v>0.2</v>
      </c>
      <c r="E42" s="58"/>
      <c r="F42" s="58"/>
      <c r="G42" s="58"/>
      <c r="H42" s="73"/>
      <c r="I42" s="72"/>
      <c r="J42" s="58"/>
      <c r="K42" s="64"/>
      <c r="L42" s="80"/>
    </row>
    <row r="43" spans="2:12" x14ac:dyDescent="0.25">
      <c r="B43" s="72"/>
      <c r="C43" s="73" t="s">
        <v>66</v>
      </c>
      <c r="D43" s="72"/>
      <c r="E43" s="58"/>
      <c r="F43" s="58"/>
      <c r="G43" s="58"/>
      <c r="H43" s="73"/>
      <c r="I43" s="72"/>
      <c r="J43" s="58"/>
      <c r="K43" s="58">
        <v>172</v>
      </c>
      <c r="L43" s="73">
        <v>64</v>
      </c>
    </row>
    <row r="44" spans="2:12" x14ac:dyDescent="0.25">
      <c r="B44" s="72"/>
      <c r="C44" s="73"/>
      <c r="D44" s="72"/>
      <c r="E44" s="58"/>
      <c r="F44" s="58"/>
      <c r="G44" s="58"/>
      <c r="H44" s="73"/>
      <c r="I44" s="72"/>
      <c r="J44" s="58"/>
      <c r="K44" s="58"/>
      <c r="L44" s="73"/>
    </row>
    <row r="45" spans="2:12" x14ac:dyDescent="0.25">
      <c r="B45" s="72"/>
      <c r="C45" s="73"/>
      <c r="D45" s="72"/>
      <c r="E45" s="58"/>
      <c r="F45" s="58"/>
      <c r="G45" s="58"/>
      <c r="H45" s="73"/>
      <c r="I45" s="72"/>
      <c r="J45" s="58"/>
      <c r="K45" s="58"/>
      <c r="L45" s="73"/>
    </row>
    <row r="46" spans="2:12" x14ac:dyDescent="0.25">
      <c r="B46" s="72"/>
      <c r="C46" s="73"/>
      <c r="D46" s="72"/>
      <c r="E46" s="58"/>
      <c r="F46" s="58"/>
      <c r="G46" s="58"/>
      <c r="H46" s="73"/>
      <c r="I46" s="72"/>
      <c r="J46" s="58"/>
      <c r="K46" s="58"/>
      <c r="L46" s="73"/>
    </row>
    <row r="47" spans="2:12" x14ac:dyDescent="0.25">
      <c r="B47" s="72"/>
      <c r="C47" s="73"/>
      <c r="D47" s="72"/>
      <c r="E47" s="58"/>
      <c r="F47" s="58"/>
      <c r="G47" s="58"/>
      <c r="H47" s="73"/>
      <c r="I47" s="72"/>
      <c r="J47" s="58"/>
      <c r="K47" s="58"/>
      <c r="L47" s="73"/>
    </row>
    <row r="48" spans="2:12" ht="15.75" thickBot="1" x14ac:dyDescent="0.3">
      <c r="B48" s="74"/>
      <c r="C48" s="76"/>
      <c r="D48" s="74"/>
      <c r="E48" s="75"/>
      <c r="F48" s="75"/>
      <c r="G48" s="75"/>
      <c r="H48" s="76"/>
      <c r="I48" s="74"/>
      <c r="J48" s="75"/>
      <c r="K48" s="75"/>
      <c r="L48" s="7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1 - Eval Steps</vt:lpstr>
      <vt:lpstr>2 - Analysis</vt:lpstr>
      <vt:lpstr>3 - Forecast</vt:lpstr>
      <vt:lpstr>BV calc</vt:lpstr>
      <vt:lpstr>Sheet1</vt:lpstr>
      <vt:lpstr>IOB</vt:lpstr>
      <vt:lpstr>Template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2014-07-29T09:10:46Z</dcterms:modified>
</cp:coreProperties>
</file>
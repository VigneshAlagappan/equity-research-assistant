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43" i="18" l="1"/>
  <c r="Q41" i="18"/>
  <c r="Q39" i="18"/>
  <c r="Q37" i="18"/>
  <c r="Q30" i="18"/>
  <c r="Q28" i="18"/>
  <c r="Q26" i="18"/>
  <c r="Q11" i="18"/>
  <c r="Q8" i="18"/>
  <c r="P41" i="18" l="1"/>
  <c r="O41" i="18"/>
  <c r="N41" i="18"/>
  <c r="M41" i="18"/>
  <c r="L41" i="18"/>
  <c r="K41" i="18"/>
  <c r="J41" i="18"/>
  <c r="I41" i="18"/>
  <c r="H41" i="18"/>
  <c r="G41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2" i="18"/>
  <c r="O12" i="18"/>
  <c r="N12" i="18"/>
  <c r="K12" i="18"/>
  <c r="J12" i="18"/>
  <c r="I12" i="18"/>
  <c r="H12" i="18"/>
  <c r="G12" i="18"/>
  <c r="F12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E179" i="18" l="1"/>
  <c r="D179" i="18"/>
  <c r="C179" i="18"/>
  <c r="Q190" i="18" l="1"/>
  <c r="Q196" i="18"/>
  <c r="Q195" i="18"/>
  <c r="Q194" i="18"/>
  <c r="Q178" i="18"/>
  <c r="Q50" i="18"/>
  <c r="Q171" i="18" s="1"/>
  <c r="Q51" i="18"/>
  <c r="Q52" i="18"/>
  <c r="Q91" i="18" s="1"/>
  <c r="Q54" i="18"/>
  <c r="Q191" i="18" s="1"/>
  <c r="Q55" i="18"/>
  <c r="Q56" i="18"/>
  <c r="Q57" i="18"/>
  <c r="Q173" i="18" s="1"/>
  <c r="Q58" i="18"/>
  <c r="Q60" i="18"/>
  <c r="Q61" i="18"/>
  <c r="Q62" i="18"/>
  <c r="Q176" i="18" s="1"/>
  <c r="Q64" i="18"/>
  <c r="Q65" i="18"/>
  <c r="Q66" i="18" s="1"/>
  <c r="Q174" i="18" s="1"/>
  <c r="Q67" i="18"/>
  <c r="Q68" i="18"/>
  <c r="Q175" i="18" s="1"/>
  <c r="Q70" i="18"/>
  <c r="Q111" i="18" s="1"/>
  <c r="Q112" i="18" s="1"/>
  <c r="Q113" i="18" s="1"/>
  <c r="Q114" i="18" s="1"/>
  <c r="Q72" i="18"/>
  <c r="Q74" i="18" s="1"/>
  <c r="Q75" i="18"/>
  <c r="Q76" i="18"/>
  <c r="Q77" i="18"/>
  <c r="Q78" i="18"/>
  <c r="Q80" i="18"/>
  <c r="Q134" i="18" s="1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6" i="18"/>
  <c r="Q117" i="18"/>
  <c r="Q119" i="18"/>
  <c r="Q120" i="18"/>
  <c r="Q121" i="18"/>
  <c r="Q124" i="18"/>
  <c r="Q125" i="18"/>
  <c r="Q126" i="18"/>
  <c r="Q127" i="18"/>
  <c r="Q129" i="18"/>
  <c r="Q130" i="18"/>
  <c r="Q132" i="18"/>
  <c r="Q133" i="18" s="1"/>
  <c r="Q136" i="18"/>
  <c r="Q137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172" i="18" l="1"/>
  <c r="Q179" i="18" s="1"/>
  <c r="Q180" i="18" s="1"/>
  <c r="T191" i="18"/>
  <c r="T192" i="18" s="1"/>
  <c r="Q177" i="18"/>
  <c r="L91" i="18"/>
  <c r="AE52" i="18"/>
  <c r="H52" i="18"/>
  <c r="H91" i="18" s="1"/>
  <c r="I52" i="18"/>
  <c r="I91" i="18" s="1"/>
  <c r="J52" i="18"/>
  <c r="J91" i="18" s="1"/>
  <c r="K52" i="18"/>
  <c r="K91" i="18" s="1"/>
  <c r="L52" i="18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52" i="18" l="1"/>
  <c r="P91" i="18"/>
  <c r="R91" i="18" s="1"/>
  <c r="S44" i="18"/>
  <c r="K187" i="18" l="1"/>
  <c r="K186" i="18"/>
  <c r="K185" i="18"/>
  <c r="K184" i="18"/>
  <c r="AE38" i="18" l="1"/>
  <c r="S38" i="18"/>
  <c r="T38" i="18" l="1"/>
  <c r="U38" i="18" l="1"/>
  <c r="V38" i="18" s="1"/>
  <c r="W38" i="18" s="1"/>
  <c r="K191" i="18"/>
  <c r="K190" i="18"/>
  <c r="X38" i="18" l="1"/>
  <c r="U205" i="18"/>
  <c r="U206" i="18" s="1"/>
  <c r="D203" i="18"/>
  <c r="G213" i="18" s="1"/>
  <c r="H203" i="18"/>
  <c r="L106" i="18"/>
  <c r="J106" i="18"/>
  <c r="H106" i="18"/>
  <c r="F106" i="18"/>
  <c r="G106" i="18"/>
  <c r="I106" i="18"/>
  <c r="K106" i="18"/>
  <c r="M106" i="18"/>
  <c r="N106" i="18"/>
  <c r="O106" i="18"/>
  <c r="P106" i="18"/>
  <c r="H137" i="18"/>
  <c r="I137" i="18"/>
  <c r="J137" i="18"/>
  <c r="K137" i="18"/>
  <c r="L137" i="18"/>
  <c r="M137" i="18"/>
  <c r="N137" i="18"/>
  <c r="O137" i="18"/>
  <c r="P137" i="18"/>
  <c r="H136" i="18"/>
  <c r="I136" i="18"/>
  <c r="J136" i="18"/>
  <c r="K136" i="18"/>
  <c r="L136" i="18"/>
  <c r="M136" i="18"/>
  <c r="N136" i="18"/>
  <c r="O136" i="18"/>
  <c r="P136" i="18"/>
  <c r="G217" i="18"/>
  <c r="G218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8" i="18"/>
  <c r="D207" i="18"/>
  <c r="G214" i="18" s="1"/>
  <c r="K214" i="18" s="1"/>
  <c r="H206" i="18"/>
  <c r="I206" i="18" s="1"/>
  <c r="J206" i="18" s="1"/>
  <c r="J207" i="18" s="1"/>
  <c r="H204" i="18"/>
  <c r="H202" i="18"/>
  <c r="H201" i="18"/>
  <c r="I201" i="18" s="1"/>
  <c r="J201" i="18" s="1"/>
  <c r="G216" i="18" l="1"/>
  <c r="K213" i="18"/>
  <c r="G219" i="18"/>
  <c r="Y38" i="18"/>
  <c r="D209" i="18"/>
  <c r="K217" i="18"/>
  <c r="R55" i="18"/>
  <c r="K216" i="18"/>
  <c r="I202" i="18"/>
  <c r="J202" i="18" s="1"/>
  <c r="I208" i="18"/>
  <c r="J208" i="18" s="1"/>
  <c r="J209" i="18" s="1"/>
  <c r="H90" i="18"/>
  <c r="I90" i="18"/>
  <c r="J90" i="18"/>
  <c r="K90" i="18"/>
  <c r="L90" i="18"/>
  <c r="M90" i="18"/>
  <c r="N90" i="18"/>
  <c r="O90" i="18"/>
  <c r="P90" i="18"/>
  <c r="G90" i="18"/>
  <c r="G137" i="18"/>
  <c r="G136" i="18"/>
  <c r="AE14" i="18"/>
  <c r="S14" i="18"/>
  <c r="U202" i="18"/>
  <c r="U201" i="18"/>
  <c r="O202" i="18"/>
  <c r="O205" i="18" s="1"/>
  <c r="O201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R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R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2" i="18"/>
  <c r="H133" i="18" s="1"/>
  <c r="I132" i="18"/>
  <c r="I133" i="18" s="1"/>
  <c r="J132" i="18"/>
  <c r="J133" i="18" s="1"/>
  <c r="K132" i="18"/>
  <c r="K133" i="18" s="1"/>
  <c r="L132" i="18"/>
  <c r="L133" i="18" s="1"/>
  <c r="M132" i="18"/>
  <c r="M133" i="18" s="1"/>
  <c r="N132" i="18"/>
  <c r="N133" i="18" s="1"/>
  <c r="O132" i="18"/>
  <c r="O133" i="18" s="1"/>
  <c r="P132" i="18"/>
  <c r="P133" i="18" s="1"/>
  <c r="G132" i="18"/>
  <c r="G133" i="18" s="1"/>
  <c r="T14" i="18" l="1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3" i="18"/>
  <c r="J203" i="18" s="1"/>
  <c r="I204" i="18" s="1"/>
  <c r="J204" i="18" s="1"/>
  <c r="J205" i="18" s="1"/>
  <c r="R136" i="18"/>
  <c r="R137" i="18"/>
  <c r="R90" i="18"/>
  <c r="R97" i="18"/>
  <c r="R94" i="18"/>
  <c r="R133" i="18"/>
  <c r="R132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H126" i="18"/>
  <c r="I126" i="18"/>
  <c r="J126" i="18"/>
  <c r="K126" i="18"/>
  <c r="L126" i="18"/>
  <c r="M126" i="18"/>
  <c r="N126" i="18"/>
  <c r="O126" i="18"/>
  <c r="P126" i="18"/>
  <c r="G126" i="18"/>
  <c r="H127" i="18"/>
  <c r="I127" i="18"/>
  <c r="J127" i="18"/>
  <c r="K127" i="18"/>
  <c r="L127" i="18"/>
  <c r="M127" i="18"/>
  <c r="N127" i="18"/>
  <c r="O127" i="18"/>
  <c r="P127" i="18"/>
  <c r="G127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S170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H119" i="18"/>
  <c r="I119" i="18"/>
  <c r="J119" i="18"/>
  <c r="K119" i="18"/>
  <c r="L119" i="18"/>
  <c r="M119" i="18"/>
  <c r="N119" i="18"/>
  <c r="O119" i="18"/>
  <c r="P119" i="18"/>
  <c r="G119" i="18"/>
  <c r="B121" i="18"/>
  <c r="B120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6" i="18"/>
  <c r="N205" i="18"/>
  <c r="T203" i="18"/>
  <c r="U203" i="18" s="1"/>
  <c r="U208" i="18" s="1"/>
  <c r="N203" i="18"/>
  <c r="O203" i="18" s="1"/>
  <c r="O208" i="18" s="1"/>
  <c r="F117" i="18"/>
  <c r="H117" i="18"/>
  <c r="I117" i="18"/>
  <c r="J117" i="18"/>
  <c r="K117" i="18"/>
  <c r="L117" i="18"/>
  <c r="M117" i="18"/>
  <c r="N117" i="18"/>
  <c r="O117" i="18"/>
  <c r="P117" i="18"/>
  <c r="G117" i="18"/>
  <c r="F116" i="18"/>
  <c r="H116" i="18"/>
  <c r="I116" i="18"/>
  <c r="J116" i="18"/>
  <c r="K116" i="18"/>
  <c r="L116" i="18"/>
  <c r="M116" i="18"/>
  <c r="N116" i="18"/>
  <c r="O116" i="18"/>
  <c r="P116" i="18"/>
  <c r="G116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7" i="18"/>
  <c r="R89" i="18"/>
  <c r="R124" i="18"/>
  <c r="R130" i="18"/>
  <c r="R129" i="18"/>
  <c r="R125" i="18"/>
  <c r="R126" i="18"/>
  <c r="R119" i="18"/>
  <c r="R120" i="18"/>
  <c r="R121" i="18"/>
  <c r="R109" i="18"/>
  <c r="N208" i="18"/>
  <c r="T208" i="18"/>
  <c r="R117" i="18"/>
  <c r="R116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R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AC38" i="18" l="1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8" i="18"/>
  <c r="D178" i="18"/>
  <c r="E178" i="18"/>
  <c r="F178" i="18"/>
  <c r="G178" i="18"/>
  <c r="H178" i="18"/>
  <c r="I178" i="18"/>
  <c r="J178" i="18"/>
  <c r="K178" i="18"/>
  <c r="L178" i="18"/>
  <c r="M178" i="18"/>
  <c r="N178" i="18"/>
  <c r="O178" i="18"/>
  <c r="P178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H70" i="18"/>
  <c r="H111" i="18" s="1"/>
  <c r="H112" i="18" s="1"/>
  <c r="I70" i="18"/>
  <c r="I111" i="18" s="1"/>
  <c r="I112" i="18" s="1"/>
  <c r="J70" i="18"/>
  <c r="J111" i="18" s="1"/>
  <c r="J112" i="18" s="1"/>
  <c r="K70" i="18"/>
  <c r="K111" i="18" s="1"/>
  <c r="K112" i="18" s="1"/>
  <c r="L70" i="18"/>
  <c r="L111" i="18" s="1"/>
  <c r="L112" i="18" s="1"/>
  <c r="M70" i="18"/>
  <c r="M111" i="18" s="1"/>
  <c r="M112" i="18" s="1"/>
  <c r="N70" i="18"/>
  <c r="N111" i="18" s="1"/>
  <c r="N112" i="18" s="1"/>
  <c r="O70" i="18"/>
  <c r="O111" i="18" s="1"/>
  <c r="O112" i="18" s="1"/>
  <c r="P70" i="18"/>
  <c r="P111" i="18" s="1"/>
  <c r="C70" i="18"/>
  <c r="T70" i="18" l="1"/>
  <c r="T111" i="18" s="1"/>
  <c r="T112" i="18" s="1"/>
  <c r="X29" i="18"/>
  <c r="R178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4" i="18" s="1"/>
  <c r="H80" i="18"/>
  <c r="H134" i="18" s="1"/>
  <c r="I80" i="18"/>
  <c r="I134" i="18" s="1"/>
  <c r="J80" i="18"/>
  <c r="J134" i="18" s="1"/>
  <c r="K80" i="18"/>
  <c r="K134" i="18" s="1"/>
  <c r="L80" i="18"/>
  <c r="L134" i="18" s="1"/>
  <c r="M80" i="18"/>
  <c r="M134" i="18" s="1"/>
  <c r="N80" i="18"/>
  <c r="N134" i="18" s="1"/>
  <c r="O80" i="18"/>
  <c r="O134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4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W44" i="18" l="1"/>
  <c r="V70" i="18"/>
  <c r="R134" i="18"/>
  <c r="Z29" i="18"/>
  <c r="R82" i="18"/>
  <c r="R80" i="18"/>
  <c r="R81" i="18"/>
  <c r="R87" i="18"/>
  <c r="R88" i="18"/>
  <c r="P86" i="18"/>
  <c r="R86" i="18" s="1"/>
  <c r="C194" i="18"/>
  <c r="D194" i="18"/>
  <c r="E194" i="18"/>
  <c r="F194" i="18"/>
  <c r="C195" i="18"/>
  <c r="D195" i="18"/>
  <c r="E195" i="18"/>
  <c r="F195" i="18"/>
  <c r="C196" i="18"/>
  <c r="D196" i="18"/>
  <c r="E196" i="18"/>
  <c r="F196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194" i="18"/>
  <c r="I194" i="18"/>
  <c r="J194" i="18"/>
  <c r="K194" i="18"/>
  <c r="L194" i="18"/>
  <c r="M194" i="18"/>
  <c r="N194" i="18"/>
  <c r="O194" i="18"/>
  <c r="P194" i="18"/>
  <c r="G194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1" i="18" s="1"/>
  <c r="I50" i="18"/>
  <c r="I171" i="18" s="1"/>
  <c r="J50" i="18"/>
  <c r="J171" i="18" s="1"/>
  <c r="K50" i="18"/>
  <c r="K171" i="18" s="1"/>
  <c r="L50" i="18"/>
  <c r="L171" i="18" s="1"/>
  <c r="M50" i="18"/>
  <c r="M171" i="18" s="1"/>
  <c r="N50" i="18"/>
  <c r="N171" i="18" s="1"/>
  <c r="O50" i="18"/>
  <c r="O171" i="18" s="1"/>
  <c r="P50" i="18"/>
  <c r="P171" i="18" s="1"/>
  <c r="C50" i="18"/>
  <c r="C171" i="18" s="1"/>
  <c r="D50" i="18"/>
  <c r="D171" i="18" s="1"/>
  <c r="E50" i="18"/>
  <c r="E171" i="18" s="1"/>
  <c r="F50" i="18"/>
  <c r="F171" i="18" s="1"/>
  <c r="G50" i="18"/>
  <c r="G171" i="18" s="1"/>
  <c r="T94" i="18"/>
  <c r="T100" i="18" s="1"/>
  <c r="G177" i="18" l="1"/>
  <c r="X44" i="18"/>
  <c r="W70" i="18"/>
  <c r="R171" i="18"/>
  <c r="AA29" i="18"/>
  <c r="U36" i="18"/>
  <c r="U94" i="18" s="1"/>
  <c r="U100" i="18" s="1"/>
  <c r="R196" i="18"/>
  <c r="R51" i="18"/>
  <c r="R50" i="18"/>
  <c r="R195" i="18"/>
  <c r="R194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0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5" i="18" s="1"/>
  <c r="O67" i="18"/>
  <c r="O65" i="18"/>
  <c r="O64" i="18"/>
  <c r="O62" i="18"/>
  <c r="O176" i="18" s="1"/>
  <c r="O61" i="18"/>
  <c r="O60" i="18"/>
  <c r="O58" i="18"/>
  <c r="O57" i="18"/>
  <c r="O173" i="18" s="1"/>
  <c r="O56" i="18"/>
  <c r="O54" i="18"/>
  <c r="AA70" i="18" l="1"/>
  <c r="AB44" i="18"/>
  <c r="U72" i="18"/>
  <c r="T126" i="18"/>
  <c r="T136" i="18"/>
  <c r="T127" i="18"/>
  <c r="T137" i="18"/>
  <c r="W23" i="18"/>
  <c r="V97" i="18"/>
  <c r="V103" i="18" s="1"/>
  <c r="T120" i="18"/>
  <c r="T121" i="18"/>
  <c r="T119" i="18"/>
  <c r="T109" i="18"/>
  <c r="P114" i="18"/>
  <c r="R114" i="18" s="1"/>
  <c r="R113" i="18"/>
  <c r="T93" i="18"/>
  <c r="T99" i="18" s="1"/>
  <c r="T117" i="18"/>
  <c r="T116" i="18"/>
  <c r="U18" i="18"/>
  <c r="O172" i="18"/>
  <c r="O179" i="18" s="1"/>
  <c r="O180" i="18" s="1"/>
  <c r="O177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4" i="18" s="1"/>
  <c r="D62" i="18"/>
  <c r="E62" i="18"/>
  <c r="F62" i="18"/>
  <c r="G62" i="18"/>
  <c r="G176" i="18" s="1"/>
  <c r="H62" i="18"/>
  <c r="H176" i="18" s="1"/>
  <c r="I62" i="18"/>
  <c r="I176" i="18" s="1"/>
  <c r="J62" i="18"/>
  <c r="J176" i="18" s="1"/>
  <c r="K62" i="18"/>
  <c r="K176" i="18" s="1"/>
  <c r="L62" i="18"/>
  <c r="L176" i="18" s="1"/>
  <c r="M62" i="18"/>
  <c r="M176" i="18" s="1"/>
  <c r="N62" i="18"/>
  <c r="N176" i="18" s="1"/>
  <c r="P62" i="18"/>
  <c r="C62" i="18"/>
  <c r="C61" i="18"/>
  <c r="AC44" i="18" l="1"/>
  <c r="AB70" i="18"/>
  <c r="U127" i="18"/>
  <c r="U137" i="18"/>
  <c r="U126" i="18"/>
  <c r="U136" i="18"/>
  <c r="X23" i="18"/>
  <c r="W97" i="18"/>
  <c r="W103" i="18" s="1"/>
  <c r="U119" i="18"/>
  <c r="U121" i="18"/>
  <c r="U120" i="18"/>
  <c r="U109" i="18"/>
  <c r="U93" i="18"/>
  <c r="U99" i="18" s="1"/>
  <c r="U117" i="18"/>
  <c r="U116" i="18"/>
  <c r="V18" i="18"/>
  <c r="W20" i="18"/>
  <c r="V72" i="18"/>
  <c r="V27" i="18"/>
  <c r="V25" i="18"/>
  <c r="U86" i="18"/>
  <c r="Z36" i="18"/>
  <c r="Z94" i="18" s="1"/>
  <c r="Z100" i="18" s="1"/>
  <c r="X21" i="18"/>
  <c r="P176" i="18"/>
  <c r="R176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6" i="18"/>
  <c r="V136" i="18"/>
  <c r="V127" i="18"/>
  <c r="V137" i="18"/>
  <c r="V90" i="18"/>
  <c r="Y23" i="18"/>
  <c r="X97" i="18"/>
  <c r="X103" i="18" s="1"/>
  <c r="V121" i="18"/>
  <c r="V120" i="18"/>
  <c r="V119" i="18"/>
  <c r="V109" i="18"/>
  <c r="V93" i="18"/>
  <c r="V99" i="18" s="1"/>
  <c r="V117" i="18"/>
  <c r="V116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8" i="18" l="1"/>
  <c r="Q183" i="18" s="1"/>
  <c r="AF70" i="18"/>
  <c r="U158" i="18" s="1"/>
  <c r="AD70" i="18"/>
  <c r="W127" i="18"/>
  <c r="W137" i="18"/>
  <c r="W126" i="18"/>
  <c r="W136" i="18"/>
  <c r="Z23" i="18"/>
  <c r="Y97" i="18"/>
  <c r="Y103" i="18" s="1"/>
  <c r="W109" i="18"/>
  <c r="W121" i="18"/>
  <c r="W120" i="18"/>
  <c r="W119" i="18"/>
  <c r="W93" i="18"/>
  <c r="W99" i="18" s="1"/>
  <c r="W117" i="18"/>
  <c r="W116" i="18"/>
  <c r="X18" i="18"/>
  <c r="Y20" i="18"/>
  <c r="X72" i="18"/>
  <c r="X27" i="18"/>
  <c r="X25" i="18"/>
  <c r="W86" i="18"/>
  <c r="AB36" i="18"/>
  <c r="AB94" i="18" s="1"/>
  <c r="AB100" i="18" s="1"/>
  <c r="Z21" i="18"/>
  <c r="T170" i="18"/>
  <c r="T178" i="18" s="1"/>
  <c r="C54" i="18"/>
  <c r="D54" i="18"/>
  <c r="E54" i="18"/>
  <c r="F54" i="18"/>
  <c r="H54" i="18"/>
  <c r="I54" i="18"/>
  <c r="J54" i="18"/>
  <c r="K54" i="18"/>
  <c r="L54" i="18"/>
  <c r="L177" i="18" s="1"/>
  <c r="M54" i="18"/>
  <c r="N54" i="18"/>
  <c r="N177" i="18" s="1"/>
  <c r="P54" i="18"/>
  <c r="P191" i="18" s="1"/>
  <c r="D68" i="18"/>
  <c r="D175" i="18" s="1"/>
  <c r="E68" i="18"/>
  <c r="E175" i="18" s="1"/>
  <c r="F68" i="18"/>
  <c r="F175" i="18" s="1"/>
  <c r="G68" i="18"/>
  <c r="H68" i="18"/>
  <c r="H175" i="18" s="1"/>
  <c r="I68" i="18"/>
  <c r="I175" i="18" s="1"/>
  <c r="J68" i="18"/>
  <c r="J175" i="18" s="1"/>
  <c r="K68" i="18"/>
  <c r="K175" i="18" s="1"/>
  <c r="L68" i="18"/>
  <c r="L175" i="18" s="1"/>
  <c r="M68" i="18"/>
  <c r="M175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4" i="18" s="1"/>
  <c r="E64" i="18"/>
  <c r="E66" i="18" s="1"/>
  <c r="E174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3" i="18" s="1"/>
  <c r="E57" i="18"/>
  <c r="E173" i="18" s="1"/>
  <c r="F57" i="18"/>
  <c r="F173" i="18" s="1"/>
  <c r="G57" i="18"/>
  <c r="H57" i="18"/>
  <c r="H173" i="18" s="1"/>
  <c r="I57" i="18"/>
  <c r="I173" i="18" s="1"/>
  <c r="J57" i="18"/>
  <c r="J173" i="18" s="1"/>
  <c r="K57" i="18"/>
  <c r="K173" i="18" s="1"/>
  <c r="L57" i="18"/>
  <c r="L173" i="18" s="1"/>
  <c r="M57" i="18"/>
  <c r="M173" i="18" s="1"/>
  <c r="N57" i="18"/>
  <c r="P57" i="18"/>
  <c r="C68" i="18"/>
  <c r="C175" i="18" s="1"/>
  <c r="C67" i="18"/>
  <c r="C65" i="18"/>
  <c r="C64" i="18"/>
  <c r="C58" i="18"/>
  <c r="C57" i="18"/>
  <c r="C173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4" i="18"/>
  <c r="T132" i="18"/>
  <c r="T133" i="18" s="1"/>
  <c r="T95" i="18"/>
  <c r="T101" i="18" s="1"/>
  <c r="R140" i="18" l="1"/>
  <c r="T106" i="18"/>
  <c r="S158" i="18"/>
  <c r="P183" i="18" s="1"/>
  <c r="X126" i="18"/>
  <c r="X136" i="18"/>
  <c r="X90" i="18"/>
  <c r="X127" i="18"/>
  <c r="X137" i="18"/>
  <c r="AA23" i="18"/>
  <c r="Z97" i="18"/>
  <c r="Z103" i="18" s="1"/>
  <c r="T88" i="18"/>
  <c r="T89" i="18"/>
  <c r="T130" i="18"/>
  <c r="T129" i="18"/>
  <c r="T96" i="18"/>
  <c r="T102" i="18" s="1"/>
  <c r="T125" i="18"/>
  <c r="H177" i="18"/>
  <c r="H172" i="18"/>
  <c r="H179" i="18" s="1"/>
  <c r="H180" i="18" s="1"/>
  <c r="X109" i="18"/>
  <c r="X120" i="18"/>
  <c r="X119" i="18"/>
  <c r="X121" i="18"/>
  <c r="T108" i="18"/>
  <c r="T113" i="18"/>
  <c r="T114" i="18" s="1"/>
  <c r="X93" i="18"/>
  <c r="X99" i="18" s="1"/>
  <c r="X117" i="18"/>
  <c r="X116" i="18"/>
  <c r="T107" i="18"/>
  <c r="Y18" i="18"/>
  <c r="D172" i="18"/>
  <c r="D176" i="18" s="1"/>
  <c r="D177" i="18"/>
  <c r="E172" i="18"/>
  <c r="E176" i="18" s="1"/>
  <c r="E177" i="18"/>
  <c r="C172" i="18"/>
  <c r="C176" i="18" s="1"/>
  <c r="C177" i="18"/>
  <c r="P172" i="18"/>
  <c r="P179" i="18" s="1"/>
  <c r="P180" i="18" s="1"/>
  <c r="P177" i="18"/>
  <c r="R177" i="18" s="1"/>
  <c r="K172" i="18"/>
  <c r="K179" i="18" s="1"/>
  <c r="K180" i="18" s="1"/>
  <c r="K177" i="18"/>
  <c r="F172" i="18"/>
  <c r="F177" i="18"/>
  <c r="J172" i="18"/>
  <c r="J179" i="18" s="1"/>
  <c r="J180" i="18" s="1"/>
  <c r="J177" i="18"/>
  <c r="M172" i="18"/>
  <c r="M179" i="18" s="1"/>
  <c r="M180" i="18" s="1"/>
  <c r="M177" i="18"/>
  <c r="I172" i="18"/>
  <c r="I179" i="18" s="1"/>
  <c r="I180" i="18" s="1"/>
  <c r="I177" i="18"/>
  <c r="Z20" i="18"/>
  <c r="Y72" i="18"/>
  <c r="H66" i="18"/>
  <c r="H174" i="18" s="1"/>
  <c r="Y27" i="18"/>
  <c r="U12" i="18"/>
  <c r="U15" i="18"/>
  <c r="U124" i="18" s="1"/>
  <c r="U13" i="18"/>
  <c r="U10" i="18"/>
  <c r="U16" i="18"/>
  <c r="U132" i="18" s="1"/>
  <c r="U133" i="18" s="1"/>
  <c r="U6" i="18"/>
  <c r="U7" i="18"/>
  <c r="Y25" i="18"/>
  <c r="Y90" i="18" s="1"/>
  <c r="X86" i="18"/>
  <c r="U40" i="18"/>
  <c r="T87" i="18"/>
  <c r="AC36" i="18"/>
  <c r="F66" i="18"/>
  <c r="F174" i="18" s="1"/>
  <c r="L66" i="18"/>
  <c r="L174" i="18" s="1"/>
  <c r="K66" i="18"/>
  <c r="K174" i="18" s="1"/>
  <c r="J66" i="18"/>
  <c r="J174" i="18" s="1"/>
  <c r="AA21" i="18"/>
  <c r="C66" i="18"/>
  <c r="C174" i="18" s="1"/>
  <c r="U170" i="18"/>
  <c r="U178" i="18" s="1"/>
  <c r="I66" i="18"/>
  <c r="I174" i="18" s="1"/>
  <c r="R56" i="18"/>
  <c r="G173" i="18"/>
  <c r="R57" i="18"/>
  <c r="R58" i="18"/>
  <c r="R65" i="18"/>
  <c r="R67" i="18"/>
  <c r="G172" i="18"/>
  <c r="G179" i="18" s="1"/>
  <c r="G180" i="18" s="1"/>
  <c r="R54" i="18"/>
  <c r="G175" i="18"/>
  <c r="R68" i="18"/>
  <c r="G66" i="18"/>
  <c r="R64" i="18"/>
  <c r="N173" i="18"/>
  <c r="N172" i="18"/>
  <c r="N179" i="18" s="1"/>
  <c r="N180" i="18" s="1"/>
  <c r="N175" i="18"/>
  <c r="P173" i="18"/>
  <c r="L172" i="18"/>
  <c r="L179" i="18" s="1"/>
  <c r="L180" i="18" s="1"/>
  <c r="N66" i="18"/>
  <c r="M66" i="18"/>
  <c r="M174" i="18" s="1"/>
  <c r="P175" i="18"/>
  <c r="P66" i="18"/>
  <c r="T65" i="18"/>
  <c r="C6" i="12"/>
  <c r="C26" i="15"/>
  <c r="C58" i="15"/>
  <c r="C57" i="15"/>
  <c r="C54" i="15"/>
  <c r="C53" i="15"/>
  <c r="C50" i="15"/>
  <c r="C49" i="15"/>
  <c r="C45" i="15"/>
  <c r="F176" i="18" l="1"/>
  <c r="F179" i="18"/>
  <c r="R179" i="18"/>
  <c r="T190" i="18"/>
  <c r="T189" i="18" s="1"/>
  <c r="P190" i="18"/>
  <c r="U95" i="18"/>
  <c r="U101" i="18" s="1"/>
  <c r="U52" i="18"/>
  <c r="U91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U106" i="18"/>
  <c r="Y126" i="18"/>
  <c r="Y136" i="18"/>
  <c r="Y127" i="18"/>
  <c r="Y137" i="18"/>
  <c r="AF36" i="18"/>
  <c r="AC94" i="18"/>
  <c r="AB23" i="18"/>
  <c r="AA97" i="18"/>
  <c r="AA103" i="18" s="1"/>
  <c r="U130" i="18"/>
  <c r="U129" i="18"/>
  <c r="U96" i="18"/>
  <c r="U102" i="18" s="1"/>
  <c r="U125" i="18"/>
  <c r="U89" i="18"/>
  <c r="Y119" i="18"/>
  <c r="Y120" i="18"/>
  <c r="Y121" i="18"/>
  <c r="Y109" i="18"/>
  <c r="Y93" i="18"/>
  <c r="Y99" i="18" s="1"/>
  <c r="Y117" i="18"/>
  <c r="Y116" i="18"/>
  <c r="U107" i="18"/>
  <c r="U108" i="18"/>
  <c r="Z18" i="18"/>
  <c r="AA20" i="18"/>
  <c r="Z72" i="18"/>
  <c r="T64" i="18"/>
  <c r="T66" i="18" s="1"/>
  <c r="T81" i="18"/>
  <c r="T60" i="18"/>
  <c r="T62" i="18"/>
  <c r="T176" i="18" s="1"/>
  <c r="T68" i="18"/>
  <c r="T175" i="18" s="1"/>
  <c r="T78" i="18"/>
  <c r="T80" i="18"/>
  <c r="T134" i="18" s="1"/>
  <c r="T51" i="18"/>
  <c r="T50" i="18"/>
  <c r="T171" i="18" s="1"/>
  <c r="T61" i="18"/>
  <c r="T57" i="18"/>
  <c r="T58" i="18"/>
  <c r="T67" i="18"/>
  <c r="T56" i="18"/>
  <c r="T82" i="18"/>
  <c r="T54" i="18"/>
  <c r="T177" i="18" s="1"/>
  <c r="Z27" i="18"/>
  <c r="V15" i="18"/>
  <c r="V124" i="18" s="1"/>
  <c r="V13" i="18"/>
  <c r="V12" i="18"/>
  <c r="V16" i="18"/>
  <c r="V132" i="18" s="1"/>
  <c r="V133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0" i="18"/>
  <c r="V178" i="18" s="1"/>
  <c r="R173" i="18"/>
  <c r="R172" i="18"/>
  <c r="R175" i="18"/>
  <c r="G174" i="18"/>
  <c r="R66" i="18"/>
  <c r="N174" i="18"/>
  <c r="P174" i="18"/>
  <c r="C16" i="15"/>
  <c r="C21" i="15"/>
  <c r="C10" i="15"/>
  <c r="V95" i="18" l="1"/>
  <c r="V101" i="18" s="1"/>
  <c r="V52" i="18"/>
  <c r="V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AD94" i="18"/>
  <c r="AC100" i="18"/>
  <c r="AD100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V106" i="18"/>
  <c r="U111" i="18"/>
  <c r="U112" i="18" s="1"/>
  <c r="U113" i="18" s="1"/>
  <c r="U114" i="18" s="1"/>
  <c r="U55" i="18"/>
  <c r="Z126" i="18"/>
  <c r="Z136" i="18"/>
  <c r="Z127" i="18"/>
  <c r="Z137" i="18"/>
  <c r="AC23" i="18"/>
  <c r="AB97" i="18"/>
  <c r="AB103" i="18" s="1"/>
  <c r="V96" i="18"/>
  <c r="V102" i="18" s="1"/>
  <c r="V125" i="18"/>
  <c r="V130" i="18"/>
  <c r="V129" i="18"/>
  <c r="V89" i="18"/>
  <c r="Z121" i="18"/>
  <c r="Z120" i="18"/>
  <c r="Z119" i="18"/>
  <c r="Z109" i="18"/>
  <c r="U64" i="18"/>
  <c r="Z93" i="18"/>
  <c r="Z99" i="18" s="1"/>
  <c r="Z117" i="18"/>
  <c r="Z116" i="18"/>
  <c r="V107" i="18"/>
  <c r="V108" i="18"/>
  <c r="U60" i="18"/>
  <c r="AA18" i="18"/>
  <c r="AB20" i="18"/>
  <c r="AA72" i="18"/>
  <c r="U62" i="18"/>
  <c r="U176" i="18" s="1"/>
  <c r="U68" i="18"/>
  <c r="U175" i="18" s="1"/>
  <c r="U78" i="18"/>
  <c r="U80" i="18"/>
  <c r="U134" i="18" s="1"/>
  <c r="U50" i="18"/>
  <c r="U171" i="18" s="1"/>
  <c r="U51" i="18"/>
  <c r="U57" i="18"/>
  <c r="U56" i="18"/>
  <c r="U67" i="18"/>
  <c r="U82" i="18"/>
  <c r="U61" i="18"/>
  <c r="U58" i="18"/>
  <c r="U54" i="18"/>
  <c r="U177" i="18" s="1"/>
  <c r="U65" i="18"/>
  <c r="U81" i="18"/>
  <c r="AA27" i="18"/>
  <c r="W13" i="18"/>
  <c r="W12" i="18"/>
  <c r="W15" i="18"/>
  <c r="W124" i="18" s="1"/>
  <c r="W10" i="18"/>
  <c r="W16" i="18"/>
  <c r="W132" i="18" s="1"/>
  <c r="W133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4" i="18"/>
  <c r="W170" i="18"/>
  <c r="W178" i="18" s="1"/>
  <c r="T172" i="18"/>
  <c r="T179" i="18" s="1"/>
  <c r="T173" i="18"/>
  <c r="R174" i="18"/>
  <c r="D31" i="8"/>
  <c r="D29" i="8"/>
  <c r="D28" i="8"/>
  <c r="D13" i="8"/>
  <c r="D30" i="8" s="1"/>
  <c r="E14" i="8"/>
  <c r="F14" i="8" s="1"/>
  <c r="G14" i="8" s="1"/>
  <c r="H14" i="8" s="1"/>
  <c r="I14" i="8" s="1"/>
  <c r="W95" i="18" l="1"/>
  <c r="W101" i="18" s="1"/>
  <c r="W52" i="18"/>
  <c r="W91" i="18" s="1"/>
  <c r="U189" i="18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W106" i="18"/>
  <c r="V111" i="18"/>
  <c r="V112" i="18" s="1"/>
  <c r="V113" i="18" s="1"/>
  <c r="V114" i="18" s="1"/>
  <c r="V55" i="18"/>
  <c r="AA126" i="18"/>
  <c r="AA136" i="18"/>
  <c r="AA127" i="18"/>
  <c r="AA137" i="18"/>
  <c r="AF23" i="18"/>
  <c r="AC97" i="18"/>
  <c r="AD23" i="18"/>
  <c r="W89" i="18"/>
  <c r="W129" i="18"/>
  <c r="W130" i="18"/>
  <c r="W96" i="18"/>
  <c r="W102" i="18" s="1"/>
  <c r="W125" i="18"/>
  <c r="AA121" i="18"/>
  <c r="AA120" i="18"/>
  <c r="AA119" i="18"/>
  <c r="AA109" i="18"/>
  <c r="V64" i="18"/>
  <c r="U66" i="18"/>
  <c r="U174" i="18" s="1"/>
  <c r="AA93" i="18"/>
  <c r="AA99" i="18" s="1"/>
  <c r="AA117" i="18"/>
  <c r="AA116" i="18"/>
  <c r="W108" i="18"/>
  <c r="W107" i="18"/>
  <c r="AB18" i="18"/>
  <c r="AC20" i="18"/>
  <c r="AB72" i="18"/>
  <c r="V82" i="18"/>
  <c r="V81" i="18"/>
  <c r="V60" i="18"/>
  <c r="V68" i="18"/>
  <c r="V175" i="18" s="1"/>
  <c r="V67" i="18"/>
  <c r="V62" i="18"/>
  <c r="V176" i="18" s="1"/>
  <c r="V65" i="18"/>
  <c r="V56" i="18"/>
  <c r="V78" i="18"/>
  <c r="V80" i="18"/>
  <c r="V134" i="18" s="1"/>
  <c r="V51" i="18"/>
  <c r="V50" i="18"/>
  <c r="V171" i="18" s="1"/>
  <c r="V61" i="18"/>
  <c r="V57" i="18"/>
  <c r="V58" i="18"/>
  <c r="V54" i="18"/>
  <c r="V177" i="18" s="1"/>
  <c r="AB27" i="18"/>
  <c r="X12" i="18"/>
  <c r="X15" i="18"/>
  <c r="X124" i="18" s="1"/>
  <c r="X13" i="18"/>
  <c r="X16" i="18"/>
  <c r="X132" i="18" s="1"/>
  <c r="X133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0" i="18"/>
  <c r="X178" i="18" s="1"/>
  <c r="U172" i="18"/>
  <c r="U179" i="18" s="1"/>
  <c r="U17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X95" i="18" l="1"/>
  <c r="X101" i="18" s="1"/>
  <c r="X52" i="18"/>
  <c r="X91" i="18" s="1"/>
  <c r="AE189" i="18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AT189" i="18" s="1"/>
  <c r="AD97" i="18"/>
  <c r="AC103" i="18"/>
  <c r="AD103" i="18" s="1"/>
  <c r="X106" i="18"/>
  <c r="W111" i="18"/>
  <c r="W112" i="18" s="1"/>
  <c r="W113" i="18" s="1"/>
  <c r="W114" i="18" s="1"/>
  <c r="W55" i="18"/>
  <c r="AB126" i="18"/>
  <c r="AB136" i="18"/>
  <c r="AB127" i="18"/>
  <c r="AB137" i="18"/>
  <c r="AF20" i="18"/>
  <c r="AB90" i="18"/>
  <c r="X130" i="18"/>
  <c r="X129" i="18"/>
  <c r="X96" i="18"/>
  <c r="X102" i="18" s="1"/>
  <c r="X125" i="18"/>
  <c r="X89" i="18"/>
  <c r="AB120" i="18"/>
  <c r="AB119" i="18"/>
  <c r="AB121" i="18"/>
  <c r="AB109" i="18"/>
  <c r="V66" i="18"/>
  <c r="V174" i="18" s="1"/>
  <c r="AB93" i="18"/>
  <c r="AB99" i="18" s="1"/>
  <c r="AB117" i="18"/>
  <c r="AB116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6" i="18" s="1"/>
  <c r="W78" i="18"/>
  <c r="W80" i="18"/>
  <c r="W134" i="18" s="1"/>
  <c r="W50" i="18"/>
  <c r="W171" i="18" s="1"/>
  <c r="W51" i="18"/>
  <c r="W60" i="18"/>
  <c r="W68" i="18"/>
  <c r="W175" i="18" s="1"/>
  <c r="W54" i="18"/>
  <c r="W177" i="18" s="1"/>
  <c r="AC27" i="18"/>
  <c r="AC137" i="18" s="1"/>
  <c r="AD137" i="18" s="1"/>
  <c r="Y15" i="18"/>
  <c r="Y124" i="18" s="1"/>
  <c r="Y13" i="18"/>
  <c r="Y12" i="18"/>
  <c r="Y10" i="18"/>
  <c r="Y16" i="18"/>
  <c r="Y132" i="18" s="1"/>
  <c r="Y133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0" i="18"/>
  <c r="Y178" i="18" s="1"/>
  <c r="V172" i="18"/>
  <c r="V179" i="18" s="1"/>
  <c r="V17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Y95" i="18" l="1"/>
  <c r="Y101" i="18" s="1"/>
  <c r="Y52" i="18"/>
  <c r="Y91" i="18" s="1"/>
  <c r="Y106" i="18"/>
  <c r="X111" i="18"/>
  <c r="X112" i="18" s="1"/>
  <c r="X113" i="18" s="1"/>
  <c r="X114" i="18" s="1"/>
  <c r="X55" i="18"/>
  <c r="AC126" i="18"/>
  <c r="AD126" i="18" s="1"/>
  <c r="AC136" i="18"/>
  <c r="AD136" i="18" s="1"/>
  <c r="Y96" i="18"/>
  <c r="Y102" i="18" s="1"/>
  <c r="Y125" i="18"/>
  <c r="Y130" i="18"/>
  <c r="Y129" i="18"/>
  <c r="AF27" i="18"/>
  <c r="AC127" i="18"/>
  <c r="AD127" i="18" s="1"/>
  <c r="Y89" i="18"/>
  <c r="AC119" i="18"/>
  <c r="AD119" i="18" s="1"/>
  <c r="AC121" i="18"/>
  <c r="AD121" i="18" s="1"/>
  <c r="AC120" i="18"/>
  <c r="AD12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4" i="18" s="1"/>
  <c r="X65" i="18"/>
  <c r="AC93" i="18"/>
  <c r="AC117" i="18"/>
  <c r="AD117" i="18" s="1"/>
  <c r="AC116" i="18"/>
  <c r="AD116" i="18" s="1"/>
  <c r="Y108" i="18"/>
  <c r="Y107" i="18"/>
  <c r="AF25" i="18"/>
  <c r="AF18" i="18"/>
  <c r="AD18" i="18"/>
  <c r="T160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5" i="18" s="1"/>
  <c r="X67" i="18"/>
  <c r="X62" i="18"/>
  <c r="X176" i="18" s="1"/>
  <c r="X64" i="18"/>
  <c r="X61" i="18"/>
  <c r="X81" i="18"/>
  <c r="X60" i="18"/>
  <c r="X82" i="18"/>
  <c r="X78" i="18"/>
  <c r="X80" i="18"/>
  <c r="X134" i="18" s="1"/>
  <c r="X51" i="18"/>
  <c r="X50" i="18"/>
  <c r="X171" i="18" s="1"/>
  <c r="X56" i="18"/>
  <c r="X57" i="18"/>
  <c r="X58" i="18"/>
  <c r="X54" i="18"/>
  <c r="X177" i="18" s="1"/>
  <c r="AD27" i="18"/>
  <c r="Z12" i="18"/>
  <c r="Z15" i="18"/>
  <c r="Z124" i="18" s="1"/>
  <c r="Z13" i="18"/>
  <c r="Z10" i="18"/>
  <c r="Z16" i="18"/>
  <c r="Z132" i="18" s="1"/>
  <c r="Z133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0" i="18"/>
  <c r="Z178" i="18" s="1"/>
  <c r="W172" i="18"/>
  <c r="W179" i="18" s="1"/>
  <c r="W173" i="18"/>
  <c r="P31" i="11"/>
  <c r="N32" i="11"/>
  <c r="T19" i="9"/>
  <c r="D22" i="9"/>
  <c r="Z95" i="18" l="1"/>
  <c r="Z101" i="18" s="1"/>
  <c r="Z52" i="18"/>
  <c r="Z91" i="18" s="1"/>
  <c r="AD93" i="18"/>
  <c r="AC99" i="18"/>
  <c r="AD99" i="18" s="1"/>
  <c r="Z106" i="18"/>
  <c r="Y111" i="18"/>
  <c r="Y112" i="18" s="1"/>
  <c r="Y113" i="18" s="1"/>
  <c r="Y114" i="18" s="1"/>
  <c r="Y55" i="18"/>
  <c r="Z130" i="18"/>
  <c r="Z129" i="18"/>
  <c r="Z96" i="18"/>
  <c r="Z102" i="18" s="1"/>
  <c r="Z125" i="18"/>
  <c r="Z89" i="18"/>
  <c r="X66" i="18"/>
  <c r="X174" i="18" s="1"/>
  <c r="Y58" i="18"/>
  <c r="Z107" i="18"/>
  <c r="Z108" i="18"/>
  <c r="U160" i="18"/>
  <c r="S160" i="18" s="1"/>
  <c r="Y60" i="18"/>
  <c r="Y67" i="18"/>
  <c r="Y54" i="18"/>
  <c r="Y177" i="18" s="1"/>
  <c r="Y62" i="18"/>
  <c r="Y176" i="18" s="1"/>
  <c r="Y57" i="18"/>
  <c r="Y56" i="18"/>
  <c r="Y78" i="18"/>
  <c r="Y80" i="18"/>
  <c r="Y134" i="18" s="1"/>
  <c r="Y51" i="18"/>
  <c r="Y50" i="18"/>
  <c r="Y171" i="18" s="1"/>
  <c r="Y82" i="18"/>
  <c r="Y61" i="18"/>
  <c r="Y68" i="18"/>
  <c r="Y175" i="18" s="1"/>
  <c r="Y65" i="18"/>
  <c r="Y64" i="18"/>
  <c r="Y81" i="18"/>
  <c r="AA13" i="18"/>
  <c r="AA12" i="18"/>
  <c r="AA15" i="18"/>
  <c r="AA124" i="18" s="1"/>
  <c r="AA10" i="18"/>
  <c r="AA16" i="18"/>
  <c r="AA132" i="18" s="1"/>
  <c r="AA133" i="18" s="1"/>
  <c r="AA6" i="18"/>
  <c r="AA7" i="18"/>
  <c r="AA40" i="18"/>
  <c r="Z88" i="18"/>
  <c r="Z87" i="18"/>
  <c r="Z42" i="18"/>
  <c r="Y77" i="18"/>
  <c r="Y75" i="18"/>
  <c r="Y76" i="18"/>
  <c r="Y74" i="18"/>
  <c r="AA170" i="18"/>
  <c r="AA178" i="18" s="1"/>
  <c r="X172" i="18"/>
  <c r="X179" i="18" s="1"/>
  <c r="X17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A95" i="18" l="1"/>
  <c r="AA101" i="18" s="1"/>
  <c r="AA52" i="18"/>
  <c r="AA91" i="18" s="1"/>
  <c r="AA106" i="18"/>
  <c r="Z111" i="18"/>
  <c r="Z112" i="18" s="1"/>
  <c r="Z113" i="18" s="1"/>
  <c r="Z114" i="18" s="1"/>
  <c r="Z55" i="18"/>
  <c r="AA96" i="18"/>
  <c r="AA102" i="18" s="1"/>
  <c r="AA125" i="18"/>
  <c r="AA129" i="18"/>
  <c r="AA130" i="18"/>
  <c r="AA89" i="18"/>
  <c r="AA107" i="18"/>
  <c r="AA108" i="18"/>
  <c r="Y66" i="18"/>
  <c r="Y174" i="18" s="1"/>
  <c r="Z78" i="18"/>
  <c r="Z80" i="18"/>
  <c r="Z134" i="18" s="1"/>
  <c r="Z50" i="18"/>
  <c r="Z171" i="18" s="1"/>
  <c r="Z51" i="18"/>
  <c r="Z62" i="18"/>
  <c r="Z176" i="18" s="1"/>
  <c r="Z68" i="18"/>
  <c r="Z175" i="18" s="1"/>
  <c r="Z67" i="18"/>
  <c r="Z65" i="18"/>
  <c r="Z56" i="18"/>
  <c r="Z54" i="18"/>
  <c r="Z177" i="18" s="1"/>
  <c r="Z61" i="18"/>
  <c r="Z57" i="18"/>
  <c r="Z58" i="18"/>
  <c r="Z64" i="18"/>
  <c r="Z81" i="18"/>
  <c r="Z60" i="18"/>
  <c r="Z82" i="18"/>
  <c r="AB12" i="18"/>
  <c r="AB15" i="18"/>
  <c r="AB124" i="18" s="1"/>
  <c r="AB13" i="18"/>
  <c r="AB10" i="18"/>
  <c r="AB16" i="18"/>
  <c r="AB132" i="18" s="1"/>
  <c r="AB133" i="18" s="1"/>
  <c r="AB7" i="18"/>
  <c r="AB6" i="18"/>
  <c r="AB40" i="18"/>
  <c r="AA87" i="18"/>
  <c r="AA88" i="18"/>
  <c r="AA42" i="18"/>
  <c r="Z77" i="18"/>
  <c r="Z75" i="18"/>
  <c r="Z76" i="18"/>
  <c r="Z74" i="18"/>
  <c r="AB170" i="18"/>
  <c r="AB178" i="18" s="1"/>
  <c r="Y172" i="18"/>
  <c r="Y179" i="18" s="1"/>
  <c r="Y173" i="18"/>
  <c r="N34" i="11"/>
  <c r="O33" i="11"/>
  <c r="D25" i="8"/>
  <c r="D23" i="8"/>
  <c r="AB95" i="18" l="1"/>
  <c r="AB101" i="18" s="1"/>
  <c r="AB52" i="18"/>
  <c r="AB91" i="18" s="1"/>
  <c r="AB106" i="18"/>
  <c r="AA111" i="18"/>
  <c r="AA112" i="18" s="1"/>
  <c r="AA113" i="18" s="1"/>
  <c r="AA114" i="18" s="1"/>
  <c r="AA55" i="18"/>
  <c r="AB89" i="18"/>
  <c r="AB129" i="18"/>
  <c r="AB130" i="18"/>
  <c r="AB96" i="18"/>
  <c r="AB102" i="18" s="1"/>
  <c r="AB125" i="18"/>
  <c r="AB107" i="18"/>
  <c r="AB108" i="18"/>
  <c r="Z66" i="18"/>
  <c r="Z174" i="18" s="1"/>
  <c r="AA78" i="18"/>
  <c r="AA80" i="18"/>
  <c r="AA134" i="18" s="1"/>
  <c r="AA51" i="18"/>
  <c r="AA50" i="18"/>
  <c r="AA171" i="18" s="1"/>
  <c r="AA56" i="18"/>
  <c r="AA67" i="18"/>
  <c r="AA57" i="18"/>
  <c r="AA62" i="18"/>
  <c r="AA176" i="18" s="1"/>
  <c r="AA65" i="18"/>
  <c r="AA64" i="18"/>
  <c r="AA82" i="18"/>
  <c r="AA68" i="18"/>
  <c r="AA175" i="18" s="1"/>
  <c r="AA54" i="18"/>
  <c r="AA177" i="18" s="1"/>
  <c r="AA61" i="18"/>
  <c r="AA81" i="18"/>
  <c r="AA60" i="18"/>
  <c r="AA58" i="18"/>
  <c r="AC15" i="18"/>
  <c r="AC13" i="18"/>
  <c r="AF13" i="18" s="1"/>
  <c r="AC12" i="18"/>
  <c r="AC125" i="18" s="1"/>
  <c r="AD125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0" i="18"/>
  <c r="AC178" i="18" s="1"/>
  <c r="Z172" i="18"/>
  <c r="Z179" i="18" s="1"/>
  <c r="Z173" i="18"/>
  <c r="N35" i="11"/>
  <c r="O34" i="11"/>
  <c r="D35" i="8"/>
  <c r="E5" i="8"/>
  <c r="E18" i="8" s="1"/>
  <c r="D18" i="8"/>
  <c r="D19" i="8"/>
  <c r="D21" i="8"/>
  <c r="D20" i="8"/>
  <c r="AC95" i="18" l="1"/>
  <c r="AC101" i="18" s="1"/>
  <c r="AD101" i="18" s="1"/>
  <c r="AC52" i="18"/>
  <c r="AC106" i="18"/>
  <c r="AD178" i="18"/>
  <c r="AF178" i="18" s="1"/>
  <c r="AB111" i="18"/>
  <c r="AB112" i="18" s="1"/>
  <c r="AB113" i="18" s="1"/>
  <c r="AB114" i="18" s="1"/>
  <c r="AB55" i="18"/>
  <c r="AF16" i="18"/>
  <c r="AC132" i="18"/>
  <c r="AC130" i="18"/>
  <c r="AD130" i="18" s="1"/>
  <c r="AC129" i="18"/>
  <c r="AD129" i="18" s="1"/>
  <c r="AF15" i="18"/>
  <c r="AC124" i="18"/>
  <c r="AD124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4" i="18" s="1"/>
  <c r="AB78" i="18"/>
  <c r="AB80" i="18"/>
  <c r="AB134" i="18" s="1"/>
  <c r="AB50" i="18"/>
  <c r="AB171" i="18" s="1"/>
  <c r="AB51" i="18"/>
  <c r="AB60" i="18"/>
  <c r="AB68" i="18"/>
  <c r="AB175" i="18" s="1"/>
  <c r="AB54" i="18"/>
  <c r="AB177" i="18" s="1"/>
  <c r="AB62" i="18"/>
  <c r="AB176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4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0" i="18"/>
  <c r="AF170" i="18" s="1"/>
  <c r="AA172" i="18"/>
  <c r="AA179" i="18" s="1"/>
  <c r="AA173" i="18"/>
  <c r="N36" i="11"/>
  <c r="O35" i="11"/>
  <c r="F5" i="8"/>
  <c r="G5" i="8" s="1"/>
  <c r="H5" i="8" s="1"/>
  <c r="I5" i="8" s="1"/>
  <c r="AD95" i="18" l="1"/>
  <c r="AC91" i="18"/>
  <c r="AD91" i="18" s="1"/>
  <c r="AD52" i="18"/>
  <c r="AF52" i="18"/>
  <c r="AD96" i="18"/>
  <c r="AC102" i="18"/>
  <c r="AD102" i="18" s="1"/>
  <c r="AC111" i="18"/>
  <c r="AC112" i="18" s="1"/>
  <c r="AC113" i="18" s="1"/>
  <c r="AC114" i="18" s="1"/>
  <c r="AC55" i="18"/>
  <c r="AD132" i="18"/>
  <c r="AC133" i="18"/>
  <c r="AD133" i="18" s="1"/>
  <c r="AF42" i="18"/>
  <c r="U154" i="18"/>
  <c r="U155" i="18" s="1"/>
  <c r="AB66" i="18"/>
  <c r="AB174" i="18" s="1"/>
  <c r="AC78" i="18"/>
  <c r="AC80" i="18"/>
  <c r="AC50" i="18"/>
  <c r="AC171" i="18" s="1"/>
  <c r="AD171" i="18" s="1"/>
  <c r="AF171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5" i="18"/>
  <c r="Q186" i="18" s="1"/>
  <c r="AC77" i="18"/>
  <c r="AC75" i="18"/>
  <c r="AD42" i="18"/>
  <c r="AC76" i="18"/>
  <c r="AC74" i="18"/>
  <c r="AB172" i="18"/>
  <c r="AB179" i="18" s="1"/>
  <c r="AB173" i="18"/>
  <c r="N37" i="11"/>
  <c r="O36" i="11"/>
  <c r="F18" i="8"/>
  <c r="G18" i="8"/>
  <c r="AF54" i="18" l="1"/>
  <c r="AC177" i="18"/>
  <c r="AF55" i="18"/>
  <c r="AD55" i="18"/>
  <c r="AF80" i="18"/>
  <c r="AC134" i="18"/>
  <c r="AD134" i="18" s="1"/>
  <c r="AD111" i="18"/>
  <c r="S154" i="18"/>
  <c r="S155" i="18"/>
  <c r="AD81" i="18"/>
  <c r="AF81" i="18"/>
  <c r="AD51" i="18"/>
  <c r="AF51" i="18"/>
  <c r="T151" i="18"/>
  <c r="AF67" i="18"/>
  <c r="AC175" i="18"/>
  <c r="AD175" i="18" s="1"/>
  <c r="AF175" i="18" s="1"/>
  <c r="AF68" i="18"/>
  <c r="AD50" i="18"/>
  <c r="AF50" i="18"/>
  <c r="AD65" i="18"/>
  <c r="AF65" i="18"/>
  <c r="T145" i="18"/>
  <c r="AF64" i="18"/>
  <c r="T144" i="18"/>
  <c r="AF58" i="18"/>
  <c r="AC176" i="18"/>
  <c r="AD176" i="18" s="1"/>
  <c r="AF176" i="18" s="1"/>
  <c r="AF62" i="18"/>
  <c r="AD61" i="18"/>
  <c r="AF61" i="18"/>
  <c r="T142" i="18"/>
  <c r="Q185" i="18" s="1"/>
  <c r="AF56" i="18"/>
  <c r="T147" i="18"/>
  <c r="AF60" i="18"/>
  <c r="AD82" i="18"/>
  <c r="AF82" i="18"/>
  <c r="T167" i="18"/>
  <c r="Q187" i="18" s="1"/>
  <c r="AF78" i="18"/>
  <c r="T165" i="18"/>
  <c r="AF77" i="18"/>
  <c r="T164" i="18"/>
  <c r="AF76" i="18"/>
  <c r="T162" i="18"/>
  <c r="AF74" i="18"/>
  <c r="T163" i="18"/>
  <c r="AF75" i="18"/>
  <c r="AD67" i="18"/>
  <c r="T148" i="18"/>
  <c r="AD56" i="18"/>
  <c r="AD58" i="18"/>
  <c r="U144" i="18" s="1"/>
  <c r="AD60" i="18"/>
  <c r="T149" i="18"/>
  <c r="Q184" i="18" s="1"/>
  <c r="AD78" i="18"/>
  <c r="AD64" i="18"/>
  <c r="T152" i="18"/>
  <c r="AC66" i="18"/>
  <c r="AD62" i="18"/>
  <c r="AD68" i="18"/>
  <c r="AD80" i="18"/>
  <c r="AD76" i="18"/>
  <c r="AD75" i="18"/>
  <c r="AD74" i="18"/>
  <c r="AD77" i="18"/>
  <c r="T141" i="18"/>
  <c r="Q188" i="18" s="1"/>
  <c r="Q189" i="18" s="1"/>
  <c r="AD54" i="18"/>
  <c r="AC172" i="18"/>
  <c r="AC179" i="18" s="1"/>
  <c r="AD179" i="18" s="1"/>
  <c r="AD57" i="18"/>
  <c r="U143" i="18" s="1"/>
  <c r="AC173" i="18"/>
  <c r="T143" i="18"/>
  <c r="N38" i="11"/>
  <c r="O37" i="11"/>
  <c r="H18" i="8"/>
  <c r="M186" i="18" l="1"/>
  <c r="P186" i="18"/>
  <c r="AD177" i="18"/>
  <c r="AF177" i="18" s="1"/>
  <c r="U141" i="18"/>
  <c r="S141" i="18" s="1"/>
  <c r="AD112" i="18"/>
  <c r="U152" i="18"/>
  <c r="S152" i="18" s="1"/>
  <c r="U142" i="18"/>
  <c r="S142" i="18" s="1"/>
  <c r="U151" i="18"/>
  <c r="S151" i="18" s="1"/>
  <c r="U147" i="18"/>
  <c r="S147" i="18" s="1"/>
  <c r="U149" i="18"/>
  <c r="S149" i="18" s="1"/>
  <c r="P184" i="18" s="1"/>
  <c r="U167" i="18"/>
  <c r="S167" i="18" s="1"/>
  <c r="P187" i="18" s="1"/>
  <c r="U164" i="18"/>
  <c r="S164" i="18" s="1"/>
  <c r="AD66" i="18"/>
  <c r="AF66" i="18"/>
  <c r="U145" i="18"/>
  <c r="S145" i="18" s="1"/>
  <c r="S144" i="18"/>
  <c r="U148" i="18"/>
  <c r="S148" i="18" s="1"/>
  <c r="U162" i="18"/>
  <c r="S162" i="18" s="1"/>
  <c r="AC174" i="18"/>
  <c r="AD174" i="18" s="1"/>
  <c r="AF174" i="18" s="1"/>
  <c r="U165" i="18"/>
  <c r="S165" i="18" s="1"/>
  <c r="U163" i="18"/>
  <c r="S163" i="18" s="1"/>
  <c r="AD173" i="18"/>
  <c r="AF173" i="18" s="1"/>
  <c r="AD172" i="18"/>
  <c r="AF172" i="18" s="1"/>
  <c r="AF179" i="18" s="1"/>
  <c r="S143" i="18"/>
  <c r="N39" i="11"/>
  <c r="O38" i="11"/>
  <c r="I18" i="8"/>
  <c r="M185" i="18" l="1"/>
  <c r="P185" i="18"/>
  <c r="P188" i="18"/>
  <c r="P189" i="18" s="1"/>
  <c r="M187" i="18"/>
  <c r="M184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79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<sst xmlns="http://schemas.openxmlformats.org/spreadsheetml/2006/main" count="640" uniqueCount="449">
  <si>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</si>
  <si>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</si>
  <si>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</si>
  <si>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</si>
  <si>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</si>
  <si>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</si>
  <si>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</si>
  <si>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</si>
  <si>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</si>
  <si>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</si>
  <si>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</si>
  <si>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</si>
  <si>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</si>
  <si>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</si>
  <si>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</si>
  <si>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</si>
  <si>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</si>
  <si>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</si>
  <si>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</si>
  <si>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</si>
  <si>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</si>
  <si>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</si>
  <si>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</si>
  <si>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</si>
  <si>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</si>
  <si>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</si>
  <si>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</si>
  <si>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</si>
  <si>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</si>
  <si>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</si>
  <si>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</si>
  <si>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</si>
  <si>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</si>
  <si>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</si>
  <si>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</si>
  <si>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</si>
  <si>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</si>
  <si>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</si>
  <si>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</si>
  <si>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</si>
  <si>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</si>
  <si>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</si>
  <si>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</si>
  <si>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</si>
  <si>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</si>
  <si>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</si>
  <si>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</si>
  <si>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</si>
  <si>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</si>
  <si>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</si>
  <si>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</si>
  <si>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</si>
  <si>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</si>
  <si>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</si>
  <si>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</si>
  <si>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</si>
  <si>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</si>
  <si>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</si>
  <si>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</si>
  <si>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</si>
  <si>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</si>
  <si>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</si>
  <si>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</si>
  <si>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</si>
  <si>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</si>
  <si>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</si>
  <si>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</si>
  <si>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</si>
  <si>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</si>
  <si>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</si>
  <si>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</si>
  <si>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</si>
  <si>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</si>
  <si>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</si>
  <si>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</si>
  <si>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</si>
  <si>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</si>
  <si>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</si>
  <si>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</si>
  <si>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</si>
  <si>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</si>
  <si>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</si>
  <si>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</si>
  <si>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</si>
  <si>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</si>
  <si>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</si>
  <si>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</si>
  <si>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</si>
  <si>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</si>
  <si>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</si>
  <si>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</si>
  <si>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</si>
  <si>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</si>
  <si>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</si>
  <si>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</si>
  <si>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</si>
  <si>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</si>
  <si>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</si>
  <si>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</si>
  <si>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</si>
  <si>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</si>
  <si>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</si>
  <si>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</si>
  <si>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</si>
  <si>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</si>
  <si>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</si>
  <si>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</si>
  <si>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</si>
  <si>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</si>
  <si>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</si>
  <si>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</si>
  <si>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</si>
  <si>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</si>
  <si>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</si>
  <si>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</si>
  <si>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</si>
  <si>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</si>
  <si>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</si>
  <si>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</si>
  <si>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</si>
  <si>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</si>
  <si>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</si>
  <si>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</si>
  <si>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</si>
  <si>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</si>
  <si>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</si>
  <si>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</si>
  <si>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</si>
  <si>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</si>
  <si>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</si>
  <si>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</si>
  <si>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</si>
  <si>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</si>
  <si>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</si>
  <si>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</si>
  <si>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</si>
  <si>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</si>
  <si>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</si>
  <si>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</si>
  <si>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</si>
  <si>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</si>
  <si>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</si>
  <si>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</si>
  <si>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</si>
  <si>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</si>
  <si>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</si>
  <si>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</si>
  <si>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</si>
  <si>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</si>
  <si>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</si>
  <si>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</si>
  <si>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</si>
  <si>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</si>
  <si>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</si>
  <si>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</si>
  <si>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</si>
  <si>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</si>
  <si>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</si>
  <si>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</si>
  <si>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</si>
  <si>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</si>
  <si>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</si>
  <si>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</si>
  <si>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</si>
  <si>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</si>
  <si>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</si>
  <si>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</si>
  <si>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</si>
  <si>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</si>
  <si>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</si>
  <si>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</si>
  <si>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</si>
  <si>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</si>
  <si>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</si>
  <si>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</si>
  <si>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</si>
  <si>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</si>
  <si>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</si>
  <si>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</si>
  <si>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</si>
  <si>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</si>
  <si>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</si>
  <si>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</si>
  <si>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</si>
  <si>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</si>
  <si>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</si>
  <si>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</si>
  <si>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</si>
  <si>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</si>
  <si>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</si>
  <si>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</si>
  <si>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</si>
  <si>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</si>
  <si>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</si>
  <si>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</si>
  <si>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</si>
  <si>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</si>
  <si>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</si>
  <si>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</si>
  <si>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</si>
  <si>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</si>
  <si>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</si>
  <si>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</si>
  <si>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</si>
  <si>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</si>
  <si>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</si>
  <si>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</si>
  <si>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</si>
  <si>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</si>
  <si>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</si>
  <si>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</si>
  <si>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</si>
  <si>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</si>
  <si>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</si>
  <si>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</si>
  <si>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</si>
  <si>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</si>
  <si>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</si>
  <si>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</si>
  <si>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</si>
  <si>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</si>
  <si>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</si>
  <si>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</si>
  <si>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</si>
  <si>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</si>
  <si>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</si>
  <si>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</si>
  <si>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</si>
  <si>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</si>
  <si>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</si>
  <si>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</si>
  <si>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</si>
  <si>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</si>
  <si>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</si>
  <si>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</si>
  <si>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</si>
  <si>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</si>
  <si>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</si>
  <si>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</si>
  <si>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</si>
  <si>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</si>
  <si>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</si>
  <si>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</si>
  <si>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</si>
  <si>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</si>
  <si>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</si>
  <si>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</si>
  <si>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</si>
  <si>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</si>
  <si>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</si>
  <si>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</si>
  <si>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</si>
  <si>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</si>
  <si>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</si>
  <si>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</si>
  <si>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</si>
  <si>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</si>
  <si>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</si>
  <si>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</si>
  <si>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</si>
  <si>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</si>
  <si>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</si>
  <si>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</si>
  <si>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</si>
  <si>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</si>
  <si>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</si>
  <si>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</si>
  <si>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</si>
  <si>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</si>
  <si>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</si>
  <si>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</si>
  <si>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</si>
  <si>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</si>
  <si>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</si>
  <si>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</si>
  <si>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</si>
  <si>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</si>
  <si>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</si>
  <si>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</si>
  <si>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</si>
  <si>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</si>
  <si>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</si>
  <si>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</si>
  <si>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</si>
  <si>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</si>
  <si>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</si>
  <si>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</si>
  <si>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</si>
  <si>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</si>
  <si>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</si>
  <si>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</si>
  <si>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</si>
  <si>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</si>
  <si>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</si>
  <si>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</si>
  <si>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</si>
  <si>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</si>
  <si>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</si>
  <si>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</si>
  <si>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</si>
  <si>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</si>
  <si>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</si>
  <si>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</si>
  <si>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</si>
  <si>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</si>
  <si>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</si>
  <si>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</si>
  <si>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</si>
  <si>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</si>
  <si>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</si>
  <si>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</si>
  <si>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</si>
  <si>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</si>
  <si>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</si>
  <si>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</si>
  <si>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</si>
  <si>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</si>
  <si>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</si>
  <si>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</si>
  <si>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</si>
  <si>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</si>
  <si>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</si>
  <si>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</si>
  <si>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</si>
  <si>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</si>
  <si>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</si>
  <si>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</si>
  <si>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</si>
  <si>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</si>
  <si>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</si>
  <si>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</si>
  <si>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</si>
  <si>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</si>
  <si>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</si>
  <si>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</si>
  <si>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</si>
  <si>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</si>
  <si>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</si>
  <si>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</si>
  <si>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</si>
  <si>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</si>
  <si>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</si>
  <si>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</si>
  <si>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</si>
  <si>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</si>
  <si>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</si>
  <si>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</si>
  <si>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</si>
  <si>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</si>
  <si>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</si>
  <si>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</si>
  <si>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</si>
  <si>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</si>
  <si>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</si>
  <si>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</si>
  <si>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</si>
  <si>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</si>
  <si>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</si>
  <si>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</si>
  <si>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</si>
  <si>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</si>
  <si>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</si>
  <si>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</si>
  <si>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</si>
  <si>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</si>
  <si>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</si>
  <si>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</si>
  <si>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</si>
  <si>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</si>
  <si>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</si>
  <si>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</si>
  <si>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</si>
  <si>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</si>
  <si>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</si>
  <si>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</si>
  <si>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</si>
  <si>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</si>
  <si>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</si>
  <si>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</si>
  <si>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</si>
  <si>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</si>
  <si>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</si>
  <si>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</si>
  <si>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</si>
  <si>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</si>
  <si>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</si>
  <si>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</si>
  <si>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</si>
  <si>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</si>
  <si>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</si>
  <si>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</si>
  <si>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</si>
  <si>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</si>
  <si>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</si>
  <si>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</si>
  <si>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</si>
  <si>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</si>
  <si>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</si>
  <si>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</si>
  <si>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</si>
  <si>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</si>
  <si>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</si>
  <si>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</si>
  <si>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</si>
  <si>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</si>
  <si>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</si>
  <si>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</si>
  <si>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</si>
  <si>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</si>
  <si>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</si>
  <si>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</si>
  <si>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</si>
  <si>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</si>
  <si>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</si>
  <si>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</si>
  <si>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</si>
  <si>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</si>
  <si>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</si>
  <si>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</si>
  <si>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</si>
  <si>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</si>
  <si>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</si>
  <si>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</si>
  <si>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</si>
  <si>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</si>
  <si>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</si>
  <si>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</si>
  <si>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</si>
  <si>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</si>
  <si>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</si>
  <si>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</si>
  <si>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</si>
  <si>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</si>
  <si>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</si>
  <si>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</si>
  <si>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</si>
  <si>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</si>
  <si>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</si>
  <si>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</si>
  <si>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</si>
  <si>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</si>
  <si>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</si>
  <si>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</si>
  <si>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</si>
  <si>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</si>
  <si>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</si>
  <si>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</si>
  <si>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10x2</t>
  </si>
  <si>
    <t>Discount/Prem to 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</si>
</sst>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8" fillId="5" borderId="1" xfId="2" applyNumberFormat="1" applyFont="1" applyFill="1" applyBorder="1"/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174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80064"/>
        <c:axId val="172507136"/>
      </c:lineChart>
      <c:catAx>
        <c:axId val="172280064"/>
        <c:scaling>
          <c:orientation val="minMax"/>
        </c:scaling>
        <c:delete val="0"/>
        <c:axPos val="b"/>
        <c:majorTickMark val="out"/>
        <c:minorTickMark val="none"/>
        <c:tickLblPos val="nextTo"/>
        <c:crossAx val="172507136"/>
        <c:crosses val="autoZero"/>
        <c:auto val="1"/>
        <c:lblAlgn val="ctr"/>
        <c:lblOffset val="100"/>
        <c:noMultiLvlLbl val="0"/>
      </c:catAx>
      <c:valAx>
        <c:axId val="172507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28006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1"/>
  <sheetViews>
    <sheetView tabSelected="1" zoomScale="80" zoomScaleNormal="80" workbookViewId="0">
      <pane xSplit="2" ySplit="3" topLeftCell="C197" activePane="bottomRight" state="frozen"/>
      <selection pane="topRight" activeCell="C1" sqref="C1"/>
      <selection pane="bottomLeft" activeCell="A5" sqref="A5"/>
      <selection pane="bottomRight" activeCell="N204" sqref="N204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7.0000000000000007E-2</v>
      </c>
      <c r="N1" s="104" t="s">
        <v>398</v>
      </c>
      <c r="P1" s="164">
        <v>0.05</v>
      </c>
      <c r="Q1" s="164"/>
    </row>
    <row r="2" spans="2:32" x14ac:dyDescent="0.2">
      <c r="B2" s="153" t="s">
        <v>315</v>
      </c>
      <c r="C2" s="120"/>
      <c r="F2" s="104" t="s">
        <v>253</v>
      </c>
      <c r="H2" s="126">
        <v>2014</v>
      </c>
      <c r="J2" s="104" t="s">
        <v>328</v>
      </c>
      <c r="L2" s="164">
        <v>0.18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7" t="s">
        <v>291</v>
      </c>
      <c r="AF2" s="198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9" t="s">
        <v>292</v>
      </c>
      <c r="AF3" s="200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>
        <v>786</v>
      </c>
      <c r="G6" s="147">
        <v>886</v>
      </c>
      <c r="H6" s="147">
        <v>1125</v>
      </c>
      <c r="I6" s="147">
        <v>1276</v>
      </c>
      <c r="J6" s="147">
        <v>1477</v>
      </c>
      <c r="K6" s="147">
        <v>1769</v>
      </c>
      <c r="L6" s="147">
        <v>2177</v>
      </c>
      <c r="M6" s="147">
        <v>3347</v>
      </c>
      <c r="N6" s="147">
        <v>4096</v>
      </c>
      <c r="O6" s="147">
        <v>5609</v>
      </c>
      <c r="P6" s="147">
        <v>6432</v>
      </c>
      <c r="Q6" s="147">
        <v>7484</v>
      </c>
      <c r="R6" s="118">
        <f>((Q6/G6)^(1/($H$2-$H$1) ))-1</f>
        <v>0.23785565689301791</v>
      </c>
      <c r="S6" s="31">
        <f>$L$2</f>
        <v>0.18</v>
      </c>
      <c r="T6" s="154">
        <f>Q6*(1+$S6)</f>
        <v>8831.119999999999</v>
      </c>
      <c r="U6" s="154">
        <f>T6*(1+$S6)</f>
        <v>10420.721599999999</v>
      </c>
      <c r="V6" s="154">
        <f t="shared" ref="V6:AC6" si="0">U6*(1+$S6)</f>
        <v>12296.451487999999</v>
      </c>
      <c r="W6" s="154">
        <f t="shared" si="0"/>
        <v>14509.812755839997</v>
      </c>
      <c r="X6" s="154">
        <f t="shared" si="0"/>
        <v>17121.579051891196</v>
      </c>
      <c r="Y6" s="154">
        <f t="shared" si="0"/>
        <v>20203.463281231612</v>
      </c>
      <c r="Z6" s="154">
        <f t="shared" si="0"/>
        <v>23840.0866718533</v>
      </c>
      <c r="AA6" s="154">
        <f t="shared" si="0"/>
        <v>28131.302272786892</v>
      </c>
      <c r="AB6" s="154">
        <f t="shared" si="0"/>
        <v>33194.936681888532</v>
      </c>
      <c r="AC6" s="154">
        <f t="shared" si="0"/>
        <v>39170.025284628464</v>
      </c>
      <c r="AD6" s="138">
        <f>((AC6/G6)^(1/($AC$3-$H$1) ))-1</f>
        <v>0.2085816791320978</v>
      </c>
      <c r="AE6" s="31">
        <f>$L$1</f>
        <v>7.0000000000000007E-2</v>
      </c>
      <c r="AF6" s="146">
        <f t="shared" ref="AF6:AF44" si="1">(AC6*(1+AE6))/($C$1-AE6)</f>
        <v>279412.84703034972</v>
      </c>
    </row>
    <row r="7" spans="2:32" x14ac:dyDescent="0.2">
      <c r="B7" s="20" t="s">
        <v>240</v>
      </c>
      <c r="C7" s="141"/>
      <c r="D7" s="141"/>
      <c r="E7" s="147"/>
      <c r="F7" s="147">
        <v>861</v>
      </c>
      <c r="G7" s="147">
        <v>961</v>
      </c>
      <c r="H7" s="147">
        <v>1210</v>
      </c>
      <c r="I7" s="147">
        <v>1362</v>
      </c>
      <c r="J7" s="147">
        <v>1562</v>
      </c>
      <c r="K7" s="147">
        <v>1854</v>
      </c>
      <c r="L7" s="147">
        <v>2262</v>
      </c>
      <c r="M7" s="147">
        <v>3442</v>
      </c>
      <c r="N7" s="147">
        <v>4191</v>
      </c>
      <c r="O7" s="147">
        <v>5710</v>
      </c>
      <c r="P7" s="147">
        <v>6533</v>
      </c>
      <c r="Q7" s="147">
        <v>7585</v>
      </c>
      <c r="R7" s="118">
        <f>((Q7/G7)^(1/($H$2-$H$1) ))-1</f>
        <v>0.22948495790597434</v>
      </c>
      <c r="S7" s="31">
        <f>$L$2</f>
        <v>0.18</v>
      </c>
      <c r="T7" s="154">
        <f t="shared" ref="T7:T44" si="2">Q7*(1+$S7)</f>
        <v>8950.2999999999993</v>
      </c>
      <c r="U7" s="154">
        <f t="shared" ref="U7:AC7" si="3">T7*(1+$S7)</f>
        <v>10561.353999999999</v>
      </c>
      <c r="V7" s="154">
        <f t="shared" si="3"/>
        <v>12462.397719999999</v>
      </c>
      <c r="W7" s="154">
        <f t="shared" si="3"/>
        <v>14705.629309599997</v>
      </c>
      <c r="X7" s="154">
        <f t="shared" si="3"/>
        <v>17352.642585327994</v>
      </c>
      <c r="Y7" s="154">
        <f t="shared" si="3"/>
        <v>20476.118250687032</v>
      </c>
      <c r="Z7" s="154">
        <f t="shared" si="3"/>
        <v>24161.819535810697</v>
      </c>
      <c r="AA7" s="154">
        <f t="shared" si="3"/>
        <v>28510.947052256623</v>
      </c>
      <c r="AB7" s="154">
        <f t="shared" si="3"/>
        <v>33642.917521662814</v>
      </c>
      <c r="AC7" s="154">
        <f t="shared" si="3"/>
        <v>39698.642675562121</v>
      </c>
      <c r="AD7" s="138">
        <f>((AC7/G7)^(1/($AC$3-$H$1) ))-1</f>
        <v>0.20448837700039668</v>
      </c>
      <c r="AE7" s="31">
        <f>$L$1</f>
        <v>7.0000000000000007E-2</v>
      </c>
      <c r="AF7" s="146">
        <f t="shared" si="1"/>
        <v>283183.65108567651</v>
      </c>
    </row>
    <row r="8" spans="2:32" x14ac:dyDescent="0.2">
      <c r="B8" s="20"/>
      <c r="C8" s="141"/>
      <c r="D8" s="141"/>
      <c r="E8" s="147"/>
      <c r="F8" s="147"/>
      <c r="G8" s="148">
        <f>(G7-F7)/G7</f>
        <v>0.1040582726326743</v>
      </c>
      <c r="H8" s="151">
        <f>(H7-G7)/H7</f>
        <v>0.20578512396694215</v>
      </c>
      <c r="I8" s="151">
        <f t="shared" ref="I8:Q8" si="4">(I7-H7)/I7</f>
        <v>0.11160058737151249</v>
      </c>
      <c r="J8" s="151">
        <f t="shared" si="4"/>
        <v>0.12804097311139565</v>
      </c>
      <c r="K8" s="151">
        <f t="shared" si="4"/>
        <v>0.1574973031283711</v>
      </c>
      <c r="L8" s="151">
        <f t="shared" si="4"/>
        <v>0.18037135278514588</v>
      </c>
      <c r="M8" s="151">
        <f t="shared" si="4"/>
        <v>0.34282393957001744</v>
      </c>
      <c r="N8" s="151">
        <f t="shared" si="4"/>
        <v>0.17871629682653303</v>
      </c>
      <c r="O8" s="151">
        <f t="shared" si="4"/>
        <v>0.2660245183887916</v>
      </c>
      <c r="P8" s="151">
        <f t="shared" si="4"/>
        <v>0.12597581509260677</v>
      </c>
      <c r="Q8" s="151">
        <f t="shared" si="4"/>
        <v>0.13869479235332893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>
        <v>270</v>
      </c>
      <c r="G9" s="190">
        <v>278</v>
      </c>
      <c r="H9" s="147">
        <v>416</v>
      </c>
      <c r="I9" s="190">
        <v>466</v>
      </c>
      <c r="J9" s="190">
        <v>635</v>
      </c>
      <c r="K9" s="190">
        <v>829</v>
      </c>
      <c r="L9" s="190">
        <v>1346</v>
      </c>
      <c r="M9" s="190">
        <v>1699</v>
      </c>
      <c r="N9" s="190">
        <v>3608</v>
      </c>
      <c r="O9" s="190">
        <v>10037</v>
      </c>
      <c r="P9" s="190">
        <v>14417</v>
      </c>
      <c r="Q9" s="147">
        <v>15744</v>
      </c>
      <c r="R9" s="118">
        <f>((Q9/G9)^(1/($H$2-$H$1) ))-1</f>
        <v>0.49729380777683341</v>
      </c>
      <c r="S9" s="31">
        <f t="shared" ref="S9:S40" si="5">$L$2</f>
        <v>0.18</v>
      </c>
      <c r="T9" s="154">
        <f t="shared" si="2"/>
        <v>18577.919999999998</v>
      </c>
      <c r="U9" s="154">
        <f t="shared" ref="U9" si="6">T9*(1+$S9)</f>
        <v>21921.945599999995</v>
      </c>
      <c r="V9" s="154">
        <f t="shared" ref="V9" si="7">U9*(1+$S9)</f>
        <v>25867.895807999994</v>
      </c>
      <c r="W9" s="154">
        <f t="shared" ref="W9" si="8">V9*(1+$S9)</f>
        <v>30524.11705343999</v>
      </c>
      <c r="X9" s="154">
        <f t="shared" ref="X9" si="9">W9*(1+$S9)</f>
        <v>36018.458123059187</v>
      </c>
      <c r="Y9" s="154">
        <f t="shared" ref="Y9" si="10">X9*(1+$S9)</f>
        <v>42501.780585209839</v>
      </c>
      <c r="Z9" s="154">
        <f t="shared" ref="Z9" si="11">Y9*(1+$S9)</f>
        <v>50152.101090547607</v>
      </c>
      <c r="AA9" s="154">
        <f t="shared" ref="AA9" si="12">Z9*(1+$S9)</f>
        <v>59179.479286846174</v>
      </c>
      <c r="AB9" s="154">
        <f t="shared" ref="AB9" si="13">AA9*(1+$S9)</f>
        <v>69831.785558478485</v>
      </c>
      <c r="AC9" s="154">
        <f t="shared" ref="AC9" si="14">AB9*(1+$S9)</f>
        <v>82401.506959004604</v>
      </c>
      <c r="AD9" s="138">
        <f>((AC9/G9)^(1/($AC$3-$H$1) ))-1</f>
        <v>0.32921280958944399</v>
      </c>
      <c r="AE9" s="31">
        <f t="shared" ref="AE9:AE81" si="15">$L$1</f>
        <v>7.0000000000000007E-2</v>
      </c>
      <c r="AF9" s="146">
        <f t="shared" si="1"/>
        <v>587797.41630756622</v>
      </c>
    </row>
    <row r="10" spans="2:32" x14ac:dyDescent="0.2">
      <c r="B10" s="20" t="s">
        <v>4</v>
      </c>
      <c r="C10" s="141"/>
      <c r="D10" s="141"/>
      <c r="E10" s="147"/>
      <c r="F10" s="147">
        <v>7404</v>
      </c>
      <c r="G10" s="190">
        <v>9177</v>
      </c>
      <c r="H10" s="190">
        <v>11047</v>
      </c>
      <c r="I10" s="190">
        <v>13780</v>
      </c>
      <c r="J10" s="190">
        <v>16332</v>
      </c>
      <c r="K10" s="190">
        <v>20344</v>
      </c>
      <c r="L10" s="190">
        <v>25421</v>
      </c>
      <c r="M10" s="190">
        <v>34758</v>
      </c>
      <c r="N10" s="190">
        <v>45162</v>
      </c>
      <c r="O10" s="190">
        <v>47869</v>
      </c>
      <c r="P10" s="190">
        <v>58705</v>
      </c>
      <c r="Q10" s="147">
        <v>71450</v>
      </c>
      <c r="R10" s="118">
        <f>((Q10/G10)^(1/($H$2-$H$1) ))-1</f>
        <v>0.22780712745204235</v>
      </c>
      <c r="S10" s="31">
        <f t="shared" si="5"/>
        <v>0.18</v>
      </c>
      <c r="T10" s="154">
        <f t="shared" si="2"/>
        <v>84311</v>
      </c>
      <c r="U10" s="154">
        <f t="shared" ref="U10:AC10" si="16">T10*(1+$S10)</f>
        <v>99486.98</v>
      </c>
      <c r="V10" s="154">
        <f t="shared" si="16"/>
        <v>117394.63639999999</v>
      </c>
      <c r="W10" s="154">
        <f t="shared" si="16"/>
        <v>138525.67095199999</v>
      </c>
      <c r="X10" s="154">
        <f t="shared" si="16"/>
        <v>163460.29172335999</v>
      </c>
      <c r="Y10" s="154">
        <f t="shared" si="16"/>
        <v>192883.14423356479</v>
      </c>
      <c r="Z10" s="154">
        <f t="shared" si="16"/>
        <v>227602.11019560645</v>
      </c>
      <c r="AA10" s="154">
        <f t="shared" si="16"/>
        <v>268570.49003081559</v>
      </c>
      <c r="AB10" s="154">
        <f t="shared" si="16"/>
        <v>316913.17823636241</v>
      </c>
      <c r="AC10" s="154">
        <f t="shared" si="16"/>
        <v>373957.5503189076</v>
      </c>
      <c r="AD10" s="138">
        <f t="shared" ref="AD10:AD42" si="17">((AC10/G10)^(1/($AC$3-$H$1) ))-1</f>
        <v>0.20366623712448217</v>
      </c>
      <c r="AE10" s="31">
        <f t="shared" si="15"/>
        <v>7.0000000000000007E-2</v>
      </c>
      <c r="AF10" s="146">
        <f t="shared" si="1"/>
        <v>2667563.8589415411</v>
      </c>
    </row>
    <row r="11" spans="2:32" x14ac:dyDescent="0.2">
      <c r="B11" s="20"/>
      <c r="C11" s="141"/>
      <c r="D11" s="141"/>
      <c r="E11" s="147"/>
      <c r="F11" s="147"/>
      <c r="G11" s="148">
        <f>(G10-F10)/G10</f>
        <v>0.19320039228506047</v>
      </c>
      <c r="H11" s="148">
        <f t="shared" ref="H11:Q11" si="18">(H10-G10)/H10</f>
        <v>0.16927672671313479</v>
      </c>
      <c r="I11" s="148">
        <f t="shared" si="18"/>
        <v>0.19833091436865022</v>
      </c>
      <c r="J11" s="148">
        <f t="shared" si="18"/>
        <v>0.15625765368601519</v>
      </c>
      <c r="K11" s="148">
        <f t="shared" si="18"/>
        <v>0.19720802202123477</v>
      </c>
      <c r="L11" s="148">
        <f t="shared" si="18"/>
        <v>0.19971676959993706</v>
      </c>
      <c r="M11" s="148">
        <f t="shared" si="18"/>
        <v>0.26862880487945223</v>
      </c>
      <c r="N11" s="148">
        <f t="shared" si="18"/>
        <v>0.23037066560382621</v>
      </c>
      <c r="O11" s="148">
        <f t="shared" si="18"/>
        <v>5.6550168167289895E-2</v>
      </c>
      <c r="P11" s="148">
        <f t="shared" si="18"/>
        <v>0.18458393663231412</v>
      </c>
      <c r="Q11" s="148">
        <f t="shared" si="18"/>
        <v>0.17837648705388384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7.0000000000000007E-2</v>
      </c>
      <c r="AF11" s="154"/>
    </row>
    <row r="12" spans="2:32" x14ac:dyDescent="0.2">
      <c r="B12" s="20" t="s">
        <v>2</v>
      </c>
      <c r="C12" s="141"/>
      <c r="D12" s="141"/>
      <c r="E12" s="147"/>
      <c r="F12" s="147">
        <f>84+358</f>
        <v>442</v>
      </c>
      <c r="G12" s="190">
        <f>287+114</f>
        <v>401</v>
      </c>
      <c r="H12" s="190">
        <f>155+74</f>
        <v>229</v>
      </c>
      <c r="I12" s="190">
        <f>165+316</f>
        <v>481</v>
      </c>
      <c r="J12" s="190">
        <f>176+604</f>
        <v>780</v>
      </c>
      <c r="K12" s="190">
        <f>149+214</f>
        <v>363</v>
      </c>
      <c r="L12" s="190">
        <v>131</v>
      </c>
      <c r="M12" s="190">
        <v>270</v>
      </c>
      <c r="N12" s="190">
        <f>416+22</f>
        <v>438</v>
      </c>
      <c r="O12" s="190">
        <f>239+88</f>
        <v>327</v>
      </c>
      <c r="P12" s="190">
        <f>1523</f>
        <v>1523</v>
      </c>
      <c r="Q12" s="147">
        <v>3074</v>
      </c>
      <c r="R12" s="118">
        <f>((Q12/G12)^(1/($H$2-$H$1) ))-1</f>
        <v>0.2259025517875326</v>
      </c>
      <c r="S12" s="31">
        <f t="shared" si="5"/>
        <v>0.18</v>
      </c>
      <c r="T12" s="154">
        <f t="shared" si="2"/>
        <v>3627.3199999999997</v>
      </c>
      <c r="U12" s="154">
        <f t="shared" ref="U12:AC12" si="19">T12*(1+$S12)</f>
        <v>4280.2375999999995</v>
      </c>
      <c r="V12" s="154">
        <f t="shared" si="19"/>
        <v>5050.6803679999994</v>
      </c>
      <c r="W12" s="154">
        <f t="shared" si="19"/>
        <v>5959.8028342399994</v>
      </c>
      <c r="X12" s="154">
        <f t="shared" si="19"/>
        <v>7032.5673444031991</v>
      </c>
      <c r="Y12" s="154">
        <f t="shared" si="19"/>
        <v>8298.4294663957753</v>
      </c>
      <c r="Z12" s="154">
        <f t="shared" si="19"/>
        <v>9792.1467703470134</v>
      </c>
      <c r="AA12" s="154">
        <f t="shared" si="19"/>
        <v>11554.733189009476</v>
      </c>
      <c r="AB12" s="154">
        <f t="shared" si="19"/>
        <v>13634.585163031181</v>
      </c>
      <c r="AC12" s="154">
        <f t="shared" si="19"/>
        <v>16088.810492376793</v>
      </c>
      <c r="AD12" s="138">
        <f t="shared" si="17"/>
        <v>0.20273231066155728</v>
      </c>
      <c r="AE12" s="31">
        <f t="shared" si="15"/>
        <v>7.0000000000000007E-2</v>
      </c>
      <c r="AF12" s="146">
        <f t="shared" si="1"/>
        <v>114766.84817895446</v>
      </c>
    </row>
    <row r="13" spans="2:32" x14ac:dyDescent="0.2">
      <c r="B13" s="20" t="s">
        <v>218</v>
      </c>
      <c r="C13" s="141"/>
      <c r="D13" s="141"/>
      <c r="E13" s="147"/>
      <c r="F13" s="147">
        <v>291</v>
      </c>
      <c r="G13" s="190">
        <v>134</v>
      </c>
      <c r="H13" s="190">
        <v>89.83</v>
      </c>
      <c r="I13" s="190">
        <v>328</v>
      </c>
      <c r="J13" s="190">
        <v>221</v>
      </c>
      <c r="K13" s="190">
        <v>793</v>
      </c>
      <c r="L13" s="147">
        <v>1148</v>
      </c>
      <c r="M13" s="147">
        <v>1433</v>
      </c>
      <c r="N13" s="147">
        <v>1415</v>
      </c>
      <c r="O13" s="147">
        <v>172</v>
      </c>
      <c r="P13" s="147">
        <v>195</v>
      </c>
      <c r="Q13" s="147">
        <v>194</v>
      </c>
      <c r="R13" s="118">
        <f>((Q13/G13)^(1/($H$2-$H$1) ))-1</f>
        <v>3.7694925952188152E-2</v>
      </c>
      <c r="S13" s="31">
        <f t="shared" si="5"/>
        <v>0.18</v>
      </c>
      <c r="T13" s="154">
        <f t="shared" si="2"/>
        <v>228.92</v>
      </c>
      <c r="U13" s="154">
        <f t="shared" ref="U13:AC13" si="20">T13*(1+$S13)</f>
        <v>270.12559999999996</v>
      </c>
      <c r="V13" s="154">
        <f t="shared" si="20"/>
        <v>318.74820799999992</v>
      </c>
      <c r="W13" s="154">
        <f t="shared" si="20"/>
        <v>376.12288543999989</v>
      </c>
      <c r="X13" s="154">
        <f t="shared" si="20"/>
        <v>443.82500481919988</v>
      </c>
      <c r="Y13" s="154">
        <f t="shared" si="20"/>
        <v>523.71350568665582</v>
      </c>
      <c r="Z13" s="154">
        <f t="shared" si="20"/>
        <v>617.98193671025388</v>
      </c>
      <c r="AA13" s="154">
        <f t="shared" si="20"/>
        <v>729.21868531809957</v>
      </c>
      <c r="AB13" s="154">
        <f t="shared" si="20"/>
        <v>860.4780486753574</v>
      </c>
      <c r="AC13" s="154">
        <f t="shared" si="20"/>
        <v>1015.3640974369217</v>
      </c>
      <c r="AD13" s="138">
        <f t="shared" si="17"/>
        <v>0.10656224977340623</v>
      </c>
      <c r="AE13" s="31">
        <f t="shared" si="15"/>
        <v>7.0000000000000007E-2</v>
      </c>
      <c r="AF13" s="146">
        <f t="shared" si="1"/>
        <v>7242.9305617167092</v>
      </c>
    </row>
    <row r="14" spans="2:32" x14ac:dyDescent="0.2">
      <c r="B14" s="20" t="s">
        <v>373</v>
      </c>
      <c r="C14" s="141"/>
      <c r="D14" s="141"/>
      <c r="E14" s="147"/>
      <c r="F14" s="147">
        <v>0</v>
      </c>
      <c r="G14" s="190">
        <v>0</v>
      </c>
      <c r="H14" s="190">
        <v>0</v>
      </c>
      <c r="I14" s="190">
        <v>0</v>
      </c>
      <c r="J14" s="190">
        <v>0</v>
      </c>
      <c r="K14" s="190">
        <v>0</v>
      </c>
      <c r="L14" s="190">
        <v>0</v>
      </c>
      <c r="M14" s="190">
        <v>0</v>
      </c>
      <c r="N14" s="190">
        <v>0</v>
      </c>
      <c r="O14" s="190">
        <v>0</v>
      </c>
      <c r="P14" s="190">
        <v>0.02</v>
      </c>
      <c r="Q14" s="147">
        <v>0</v>
      </c>
      <c r="R14" s="118" t="e">
        <f>((Q14/G14)^(1/($H$2-$H$1) ))-1</f>
        <v>#DIV/0!</v>
      </c>
      <c r="S14" s="31">
        <f t="shared" si="5"/>
        <v>0.18</v>
      </c>
      <c r="T14" s="154">
        <f t="shared" si="2"/>
        <v>0</v>
      </c>
      <c r="U14" s="154">
        <f t="shared" ref="U14" si="21">T14*(1+$S14)</f>
        <v>0</v>
      </c>
      <c r="V14" s="154">
        <f t="shared" ref="V14" si="22">U14*(1+$S14)</f>
        <v>0</v>
      </c>
      <c r="W14" s="154">
        <f t="shared" ref="W14" si="23">V14*(1+$S14)</f>
        <v>0</v>
      </c>
      <c r="X14" s="154">
        <f t="shared" ref="X14" si="24">W14*(1+$S14)</f>
        <v>0</v>
      </c>
      <c r="Y14" s="154">
        <f t="shared" ref="Y14" si="25">X14*(1+$S14)</f>
        <v>0</v>
      </c>
      <c r="Z14" s="154">
        <f t="shared" ref="Z14" si="26">Y14*(1+$S14)</f>
        <v>0</v>
      </c>
      <c r="AA14" s="154">
        <f t="shared" ref="AA14" si="27">Z14*(1+$S14)</f>
        <v>0</v>
      </c>
      <c r="AB14" s="154">
        <f t="shared" ref="AB14" si="28">AA14*(1+$S14)</f>
        <v>0</v>
      </c>
      <c r="AC14" s="154">
        <f t="shared" ref="AC14" si="29">AB14*(1+$S14)</f>
        <v>0</v>
      </c>
      <c r="AD14" s="138" t="e">
        <f t="shared" ref="AD14" si="30">((AC14/G14)^(1/($AC$3-$H$1) ))-1</f>
        <v>#DIV/0!</v>
      </c>
      <c r="AE14" s="31">
        <f t="shared" si="15"/>
        <v>7.0000000000000007E-2</v>
      </c>
      <c r="AF14" s="146">
        <f t="shared" ref="AF14" si="31">(AC14*(1+AE14))/($C$1-AE14)</f>
        <v>0</v>
      </c>
    </row>
    <row r="15" spans="2:32" x14ac:dyDescent="0.2">
      <c r="B15" s="20" t="s">
        <v>19</v>
      </c>
      <c r="C15" s="141"/>
      <c r="D15" s="141"/>
      <c r="E15" s="147"/>
      <c r="F15" s="147">
        <v>84</v>
      </c>
      <c r="G15" s="190">
        <v>114</v>
      </c>
      <c r="H15" s="190">
        <v>155</v>
      </c>
      <c r="I15" s="190">
        <v>166</v>
      </c>
      <c r="J15" s="190">
        <v>176</v>
      </c>
      <c r="K15" s="190">
        <v>149</v>
      </c>
      <c r="L15" s="190">
        <v>132</v>
      </c>
      <c r="M15" s="190">
        <v>264</v>
      </c>
      <c r="N15" s="190">
        <v>417</v>
      </c>
      <c r="O15" s="190">
        <v>312</v>
      </c>
      <c r="P15" s="190">
        <v>1588</v>
      </c>
      <c r="Q15" s="147">
        <v>3146</v>
      </c>
      <c r="R15" s="118">
        <f>((Q15/G15)^(1/($H$2-$H$1) ))-1</f>
        <v>0.39343073861553601</v>
      </c>
      <c r="S15" s="31">
        <f t="shared" si="5"/>
        <v>0.18</v>
      </c>
      <c r="T15" s="154">
        <f t="shared" si="2"/>
        <v>3712.2799999999997</v>
      </c>
      <c r="U15" s="154">
        <f t="shared" ref="U15:AC15" si="32">T15*(1+$S15)</f>
        <v>4380.4903999999997</v>
      </c>
      <c r="V15" s="154">
        <f t="shared" si="32"/>
        <v>5168.9786719999993</v>
      </c>
      <c r="W15" s="154">
        <f t="shared" si="32"/>
        <v>6099.3948329599989</v>
      </c>
      <c r="X15" s="154">
        <f t="shared" si="32"/>
        <v>7197.2859028927987</v>
      </c>
      <c r="Y15" s="154">
        <f t="shared" si="32"/>
        <v>8492.7973654135021</v>
      </c>
      <c r="Z15" s="154">
        <f t="shared" si="32"/>
        <v>10021.500891187932</v>
      </c>
      <c r="AA15" s="154">
        <f t="shared" si="32"/>
        <v>11825.37105160176</v>
      </c>
      <c r="AB15" s="154">
        <f t="shared" si="32"/>
        <v>13953.937840890076</v>
      </c>
      <c r="AC15" s="154">
        <f t="shared" si="32"/>
        <v>16465.646652250289</v>
      </c>
      <c r="AD15" s="138">
        <f t="shared" si="17"/>
        <v>0.28228244609615261</v>
      </c>
      <c r="AE15" s="31">
        <f t="shared" si="15"/>
        <v>7.0000000000000007E-2</v>
      </c>
      <c r="AF15" s="146">
        <f t="shared" si="1"/>
        <v>117454.94611938541</v>
      </c>
    </row>
    <row r="16" spans="2:32" x14ac:dyDescent="0.2">
      <c r="B16" s="20" t="s">
        <v>23</v>
      </c>
      <c r="C16" s="141"/>
      <c r="D16" s="141"/>
      <c r="E16" s="147"/>
      <c r="F16" s="147">
        <v>7953</v>
      </c>
      <c r="G16" s="190">
        <v>9980</v>
      </c>
      <c r="H16" s="190">
        <v>12140</v>
      </c>
      <c r="I16" s="190">
        <v>14783</v>
      </c>
      <c r="J16" s="190">
        <v>17641</v>
      </c>
      <c r="K16" s="190">
        <v>21366</v>
      </c>
      <c r="L16" s="190">
        <v>26487</v>
      </c>
      <c r="M16" s="190">
        <v>36718</v>
      </c>
      <c r="N16" s="190">
        <v>47876</v>
      </c>
      <c r="O16" s="190">
        <v>53319</v>
      </c>
      <c r="P16" s="190">
        <v>64970</v>
      </c>
      <c r="Q16" s="147">
        <v>78756</v>
      </c>
      <c r="R16" s="118">
        <f>((Q16/G16)^(1/($H$2-$H$1) ))-1</f>
        <v>0.22946256822285949</v>
      </c>
      <c r="S16" s="31">
        <f t="shared" si="5"/>
        <v>0.18</v>
      </c>
      <c r="T16" s="154">
        <f t="shared" si="2"/>
        <v>92932.08</v>
      </c>
      <c r="U16" s="154">
        <f t="shared" ref="U16:AC16" si="33">T16*(1+$S16)</f>
        <v>109659.8544</v>
      </c>
      <c r="V16" s="154">
        <f t="shared" si="33"/>
        <v>129398.62819199999</v>
      </c>
      <c r="W16" s="154">
        <f t="shared" si="33"/>
        <v>152690.38126655997</v>
      </c>
      <c r="X16" s="154">
        <f t="shared" si="33"/>
        <v>180174.64989454075</v>
      </c>
      <c r="Y16" s="154">
        <f t="shared" si="33"/>
        <v>212606.08687555807</v>
      </c>
      <c r="Z16" s="154">
        <f t="shared" si="33"/>
        <v>250875.18251315851</v>
      </c>
      <c r="AA16" s="154">
        <f t="shared" si="33"/>
        <v>296032.71536552702</v>
      </c>
      <c r="AB16" s="154">
        <f t="shared" si="33"/>
        <v>349318.60413132189</v>
      </c>
      <c r="AC16" s="154">
        <f t="shared" si="33"/>
        <v>412195.9528749598</v>
      </c>
      <c r="AD16" s="138">
        <f t="shared" si="17"/>
        <v>0.20447740971052419</v>
      </c>
      <c r="AE16" s="31">
        <f t="shared" si="15"/>
        <v>7.0000000000000007E-2</v>
      </c>
      <c r="AF16" s="146">
        <f t="shared" si="1"/>
        <v>2940331.1305080466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>
        <v>18.309999999999999</v>
      </c>
      <c r="G18" s="190">
        <v>23.69</v>
      </c>
      <c r="H18" s="190">
        <v>24.74</v>
      </c>
      <c r="I18" s="190">
        <v>24.24</v>
      </c>
      <c r="J18" s="190">
        <v>30</v>
      </c>
      <c r="K18" s="190">
        <v>30</v>
      </c>
      <c r="L18" s="190">
        <v>44</v>
      </c>
      <c r="M18" s="190">
        <v>45</v>
      </c>
      <c r="N18" s="190">
        <v>45</v>
      </c>
      <c r="O18" s="190">
        <v>73</v>
      </c>
      <c r="P18" s="190">
        <v>73</v>
      </c>
      <c r="Q18" s="147">
        <v>86</v>
      </c>
      <c r="R18" s="118">
        <f>((Q18/G18)^(1/($H$2-$H$1) ))-1</f>
        <v>0.13760983771320134</v>
      </c>
      <c r="S18" s="31">
        <f t="shared" si="5"/>
        <v>0.18</v>
      </c>
      <c r="T18" s="154">
        <f t="shared" si="2"/>
        <v>101.47999999999999</v>
      </c>
      <c r="U18" s="154">
        <f t="shared" ref="U18:U34" si="34">T18*(1+$S18)</f>
        <v>119.74639999999998</v>
      </c>
      <c r="V18" s="154">
        <f t="shared" ref="V18:V34" si="35">U18*(1+$S18)</f>
        <v>141.30075199999996</v>
      </c>
      <c r="W18" s="154">
        <f t="shared" ref="W18:W34" si="36">V18*(1+$S18)</f>
        <v>166.73488735999993</v>
      </c>
      <c r="X18" s="154">
        <f t="shared" ref="X18:X36" si="37">W18*(1+$S18)</f>
        <v>196.74716708479991</v>
      </c>
      <c r="Y18" s="154">
        <f t="shared" ref="Y18:Y36" si="38">X18*(1+$S18)</f>
        <v>232.1616571600639</v>
      </c>
      <c r="Z18" s="154">
        <f t="shared" ref="Z18:Z36" si="39">Y18*(1+$S18)</f>
        <v>273.95075544887538</v>
      </c>
      <c r="AA18" s="154">
        <f t="shared" ref="AA18:AA36" si="40">Z18*(1+$S18)</f>
        <v>323.26189142967291</v>
      </c>
      <c r="AB18" s="154">
        <f t="shared" ref="AB18:AB36" si="41">AA18*(1+$S18)</f>
        <v>381.44903188701403</v>
      </c>
      <c r="AC18" s="154">
        <f t="shared" ref="AC18:AC36" si="42">AB18*(1+$S18)</f>
        <v>450.10985762667656</v>
      </c>
      <c r="AD18" s="138">
        <f t="shared" si="17"/>
        <v>0.15861106869457164</v>
      </c>
      <c r="AE18" s="31">
        <f t="shared" si="15"/>
        <v>7.0000000000000007E-2</v>
      </c>
      <c r="AF18" s="146">
        <f t="shared" si="1"/>
        <v>3210.7836510702932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>
        <v>-767</v>
      </c>
      <c r="G20" s="147">
        <v>-1302</v>
      </c>
      <c r="H20" s="147">
        <v>-1557</v>
      </c>
      <c r="I20" s="147">
        <v>-2202</v>
      </c>
      <c r="J20" s="147">
        <v>-2273</v>
      </c>
      <c r="K20" s="147">
        <v>-3878</v>
      </c>
      <c r="L20" s="147">
        <v>-4909</v>
      </c>
      <c r="M20" s="147">
        <v>-9502</v>
      </c>
      <c r="N20" s="147">
        <v>-10267</v>
      </c>
      <c r="O20" s="147">
        <v>-11818</v>
      </c>
      <c r="P20" s="147">
        <v>-12585</v>
      </c>
      <c r="Q20" s="147">
        <v>-11502</v>
      </c>
      <c r="R20" s="118">
        <f>((Q20/G20)^(1/($H$2-$H$1) ))-1</f>
        <v>0.24341538853475475</v>
      </c>
      <c r="S20" s="31">
        <f t="shared" si="5"/>
        <v>0.18</v>
      </c>
      <c r="T20" s="154">
        <f t="shared" si="2"/>
        <v>-13572.359999999999</v>
      </c>
      <c r="U20" s="154">
        <f t="shared" ref="U20:U22" si="43">T20*(1+$S20)</f>
        <v>-16015.384799999998</v>
      </c>
      <c r="V20" s="154">
        <f t="shared" ref="V20:V22" si="44">U20*(1+$S20)</f>
        <v>-18898.154063999995</v>
      </c>
      <c r="W20" s="154">
        <f t="shared" ref="W20:W22" si="45">V20*(1+$S20)</f>
        <v>-22299.821795519994</v>
      </c>
      <c r="X20" s="154">
        <f t="shared" ref="X20:X22" si="46">W20*(1+$S20)</f>
        <v>-26313.789718713593</v>
      </c>
      <c r="Y20" s="154">
        <f t="shared" ref="Y20:Y22" si="47">X20*(1+$S20)</f>
        <v>-31050.27186808204</v>
      </c>
      <c r="Z20" s="154">
        <f t="shared" ref="Z20:Z22" si="48">Y20*(1+$S20)</f>
        <v>-36639.320804336807</v>
      </c>
      <c r="AA20" s="154">
        <f t="shared" ref="AA20:AA22" si="49">Z20*(1+$S20)</f>
        <v>-43234.398549117432</v>
      </c>
      <c r="AB20" s="154">
        <f t="shared" ref="AB20:AB22" si="50">AA20*(1+$S20)</f>
        <v>-51016.59028795857</v>
      </c>
      <c r="AC20" s="154">
        <f t="shared" ref="AC20:AC22" si="51">AB20*(1+$S20)</f>
        <v>-60199.576539791109</v>
      </c>
      <c r="AD20" s="138">
        <f t="shared" ref="AD20:AD22" si="52">((AC20/G20)^(1/($AC$3-$H$1) ))-1</f>
        <v>0.21129276331983871</v>
      </c>
      <c r="AE20" s="31">
        <f t="shared" si="15"/>
        <v>7.0000000000000007E-2</v>
      </c>
      <c r="AF20" s="146">
        <f t="shared" si="1"/>
        <v>-429423.64598384325</v>
      </c>
    </row>
    <row r="21" spans="2:32" x14ac:dyDescent="0.2">
      <c r="B21" s="20" t="s">
        <v>284</v>
      </c>
      <c r="C21" s="141"/>
      <c r="D21" s="141"/>
      <c r="E21" s="147"/>
      <c r="F21" s="147">
        <v>61</v>
      </c>
      <c r="G21" s="147">
        <v>160</v>
      </c>
      <c r="H21" s="147">
        <v>84</v>
      </c>
      <c r="I21" s="147">
        <v>-230</v>
      </c>
      <c r="J21" s="147">
        <v>127</v>
      </c>
      <c r="K21" s="147">
        <v>-521</v>
      </c>
      <c r="L21" s="147">
        <v>-297</v>
      </c>
      <c r="M21" s="147">
        <v>-222</v>
      </c>
      <c r="N21" s="147">
        <v>197</v>
      </c>
      <c r="O21" s="147">
        <v>-35</v>
      </c>
      <c r="P21" s="147">
        <v>-27</v>
      </c>
      <c r="Q21" s="147">
        <v>-20</v>
      </c>
      <c r="R21" s="118" t="e">
        <f>((Q21/G21)^(1/($H$2-$H$1) ))-1</f>
        <v>#NUM!</v>
      </c>
      <c r="S21" s="31">
        <f t="shared" si="5"/>
        <v>0.18</v>
      </c>
      <c r="T21" s="154">
        <f t="shared" si="2"/>
        <v>-23.599999999999998</v>
      </c>
      <c r="U21" s="154">
        <f t="shared" si="43"/>
        <v>-27.847999999999995</v>
      </c>
      <c r="V21" s="154">
        <f t="shared" si="44"/>
        <v>-32.860639999999989</v>
      </c>
      <c r="W21" s="154">
        <f t="shared" si="45"/>
        <v>-38.775555199999985</v>
      </c>
      <c r="X21" s="154">
        <f t="shared" si="46"/>
        <v>-45.755155135999978</v>
      </c>
      <c r="Y21" s="154">
        <f t="shared" si="47"/>
        <v>-53.991083060479973</v>
      </c>
      <c r="Z21" s="154">
        <f t="shared" si="48"/>
        <v>-63.709478011366365</v>
      </c>
      <c r="AA21" s="154">
        <f t="shared" si="49"/>
        <v>-75.177184053412304</v>
      </c>
      <c r="AB21" s="154">
        <f t="shared" si="50"/>
        <v>-88.709077183026508</v>
      </c>
      <c r="AC21" s="154">
        <f t="shared" si="51"/>
        <v>-104.67671107597127</v>
      </c>
      <c r="AD21" s="138" t="e">
        <f t="shared" si="52"/>
        <v>#NUM!</v>
      </c>
      <c r="AE21" s="31">
        <f t="shared" si="15"/>
        <v>7.0000000000000007E-2</v>
      </c>
      <c r="AF21" s="146">
        <f t="shared" si="1"/>
        <v>-746.69387234192845</v>
      </c>
    </row>
    <row r="22" spans="2:32" x14ac:dyDescent="0.2">
      <c r="B22" s="20" t="s">
        <v>285</v>
      </c>
      <c r="C22" s="141"/>
      <c r="D22" s="141"/>
      <c r="E22" s="147"/>
      <c r="F22" s="147">
        <v>498</v>
      </c>
      <c r="G22" s="147">
        <v>1101</v>
      </c>
      <c r="H22" s="147">
        <v>1300</v>
      </c>
      <c r="I22" s="147">
        <v>2685</v>
      </c>
      <c r="J22" s="147">
        <v>2445</v>
      </c>
      <c r="K22" s="147">
        <v>3982</v>
      </c>
      <c r="L22" s="147">
        <v>4978</v>
      </c>
      <c r="M22" s="147">
        <v>9856</v>
      </c>
      <c r="N22" s="147">
        <v>10238</v>
      </c>
      <c r="O22" s="147">
        <v>11541</v>
      </c>
      <c r="P22" s="147">
        <v>12466</v>
      </c>
      <c r="Q22" s="147">
        <v>13048</v>
      </c>
      <c r="R22" s="118">
        <f>((Q22/G22)^(1/($H$2-$H$1) ))-1</f>
        <v>0.28048844238768811</v>
      </c>
      <c r="S22" s="31">
        <f t="shared" si="5"/>
        <v>0.18</v>
      </c>
      <c r="T22" s="154">
        <f t="shared" si="2"/>
        <v>15396.64</v>
      </c>
      <c r="U22" s="154">
        <f t="shared" si="43"/>
        <v>18168.035199999998</v>
      </c>
      <c r="V22" s="154">
        <f t="shared" si="44"/>
        <v>21438.281535999999</v>
      </c>
      <c r="W22" s="154">
        <f t="shared" si="45"/>
        <v>25297.172212479996</v>
      </c>
      <c r="X22" s="154">
        <f t="shared" si="46"/>
        <v>29850.663210726394</v>
      </c>
      <c r="Y22" s="154">
        <f t="shared" si="47"/>
        <v>35223.782588657145</v>
      </c>
      <c r="Z22" s="154">
        <f t="shared" si="48"/>
        <v>41564.063454615425</v>
      </c>
      <c r="AA22" s="154">
        <f t="shared" si="49"/>
        <v>49045.594876446201</v>
      </c>
      <c r="AB22" s="154">
        <f t="shared" si="50"/>
        <v>57873.801954206516</v>
      </c>
      <c r="AC22" s="154">
        <f t="shared" si="51"/>
        <v>68291.08630596369</v>
      </c>
      <c r="AD22" s="138">
        <f t="shared" si="52"/>
        <v>0.22921778461649001</v>
      </c>
      <c r="AE22" s="31">
        <f t="shared" si="15"/>
        <v>7.0000000000000007E-2</v>
      </c>
      <c r="AF22" s="146">
        <f t="shared" si="1"/>
        <v>487143.08231587434</v>
      </c>
    </row>
    <row r="23" spans="2:32" x14ac:dyDescent="0.2">
      <c r="B23" s="20" t="s">
        <v>295</v>
      </c>
      <c r="C23" s="141"/>
      <c r="D23" s="141"/>
      <c r="E23" s="147"/>
      <c r="F23" s="147">
        <v>442</v>
      </c>
      <c r="G23" s="147">
        <v>401</v>
      </c>
      <c r="H23" s="147">
        <v>228</v>
      </c>
      <c r="I23" s="147">
        <v>480</v>
      </c>
      <c r="J23" s="147">
        <v>780</v>
      </c>
      <c r="K23" s="147">
        <v>362</v>
      </c>
      <c r="L23" s="147">
        <v>135</v>
      </c>
      <c r="M23" s="147">
        <v>267</v>
      </c>
      <c r="N23" s="147">
        <v>435</v>
      </c>
      <c r="O23" s="147">
        <v>248</v>
      </c>
      <c r="P23" s="147">
        <v>1406</v>
      </c>
      <c r="Q23" s="147">
        <v>2931</v>
      </c>
      <c r="R23" s="118">
        <f>((Q23/G23)^(1/($H$2-$H$1) ))-1</f>
        <v>0.22007673137911832</v>
      </c>
      <c r="S23" s="31">
        <f t="shared" si="5"/>
        <v>0.18</v>
      </c>
      <c r="T23" s="154">
        <f t="shared" si="2"/>
        <v>3458.58</v>
      </c>
      <c r="U23" s="154">
        <f t="shared" ref="U23" si="53">T23*(1+$S23)</f>
        <v>4081.1243999999997</v>
      </c>
      <c r="V23" s="154">
        <f t="shared" ref="V23" si="54">U23*(1+$S23)</f>
        <v>4815.7267919999995</v>
      </c>
      <c r="W23" s="154">
        <f t="shared" ref="W23" si="55">V23*(1+$S23)</f>
        <v>5682.5576145599989</v>
      </c>
      <c r="X23" s="154">
        <f t="shared" ref="X23" si="56">W23*(1+$S23)</f>
        <v>6705.4179851807985</v>
      </c>
      <c r="Y23" s="154">
        <f t="shared" ref="Y23" si="57">X23*(1+$S23)</f>
        <v>7912.3932225133422</v>
      </c>
      <c r="Z23" s="154">
        <f t="shared" ref="Z23" si="58">Y23*(1+$S23)</f>
        <v>9336.6240025657426</v>
      </c>
      <c r="AA23" s="154">
        <f t="shared" ref="AA23" si="59">Z23*(1+$S23)</f>
        <v>11017.216323027576</v>
      </c>
      <c r="AB23" s="154">
        <f t="shared" ref="AB23" si="60">AA23*(1+$S23)</f>
        <v>13000.31526117254</v>
      </c>
      <c r="AC23" s="154">
        <f t="shared" ref="AC23" si="61">AB23*(1+$S23)</f>
        <v>15340.372008183596</v>
      </c>
      <c r="AD23" s="138">
        <f t="shared" ref="AD23" si="62">((AC23/G23)^(1/($AC$3-$H$1) ))-1</f>
        <v>0.19987105266664362</v>
      </c>
      <c r="AE23" s="31">
        <f t="shared" si="15"/>
        <v>7.0000000000000007E-2</v>
      </c>
      <c r="AF23" s="146">
        <f t="shared" si="1"/>
        <v>109427.98699170968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>
        <v>1019</v>
      </c>
      <c r="G25" s="191">
        <v>978</v>
      </c>
      <c r="H25" s="191">
        <v>1047</v>
      </c>
      <c r="I25" s="191">
        <v>1273</v>
      </c>
      <c r="J25" s="143">
        <v>1589</v>
      </c>
      <c r="K25" s="143">
        <v>2184</v>
      </c>
      <c r="L25" s="192">
        <v>2903</v>
      </c>
      <c r="M25" s="192">
        <v>3480</v>
      </c>
      <c r="N25" s="192">
        <v>5029</v>
      </c>
      <c r="O25" s="192">
        <v>6244</v>
      </c>
      <c r="P25" s="192">
        <v>7746</v>
      </c>
      <c r="Q25" s="147">
        <v>9214</v>
      </c>
      <c r="R25" s="118">
        <f>((Q25/G25)^(1/($H$2-$H$1) ))-1</f>
        <v>0.25144260209026914</v>
      </c>
      <c r="S25" s="31">
        <f t="shared" si="5"/>
        <v>0.18</v>
      </c>
      <c r="T25" s="154">
        <f t="shared" si="2"/>
        <v>10872.519999999999</v>
      </c>
      <c r="U25" s="154">
        <f t="shared" si="34"/>
        <v>12829.573599999998</v>
      </c>
      <c r="V25" s="154">
        <f t="shared" si="35"/>
        <v>15138.896847999997</v>
      </c>
      <c r="W25" s="154">
        <f t="shared" si="36"/>
        <v>17863.898280639994</v>
      </c>
      <c r="X25" s="154">
        <f t="shared" si="37"/>
        <v>21079.399971155191</v>
      </c>
      <c r="Y25" s="154">
        <f t="shared" si="38"/>
        <v>24873.691965963124</v>
      </c>
      <c r="Z25" s="154">
        <f t="shared" si="39"/>
        <v>29350.956519836483</v>
      </c>
      <c r="AA25" s="154">
        <f t="shared" si="40"/>
        <v>34634.128693407052</v>
      </c>
      <c r="AB25" s="154">
        <f t="shared" si="41"/>
        <v>40868.271858220316</v>
      </c>
      <c r="AC25" s="154">
        <f t="shared" si="42"/>
        <v>48224.560792699973</v>
      </c>
      <c r="AD25" s="138">
        <f t="shared" si="17"/>
        <v>0.21519639172708116</v>
      </c>
      <c r="AE25" s="31">
        <f t="shared" si="15"/>
        <v>7.0000000000000007E-2</v>
      </c>
      <c r="AF25" s="146">
        <f t="shared" si="1"/>
        <v>344001.86698792648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-4.1922290388548056E-2</v>
      </c>
      <c r="H26" s="148">
        <f>(H25-G25)/H25</f>
        <v>6.5902578796561598E-2</v>
      </c>
      <c r="I26" s="148">
        <f t="shared" ref="I26:Q26" si="63">(I25-H25)/I25</f>
        <v>0.17753338570306362</v>
      </c>
      <c r="J26" s="148">
        <f t="shared" si="63"/>
        <v>0.19886721208307112</v>
      </c>
      <c r="K26" s="148">
        <f t="shared" si="63"/>
        <v>0.27243589743589741</v>
      </c>
      <c r="L26" s="148">
        <f t="shared" si="63"/>
        <v>0.24767481915260076</v>
      </c>
      <c r="M26" s="148">
        <f t="shared" si="63"/>
        <v>0.16580459770114941</v>
      </c>
      <c r="N26" s="148">
        <f t="shared" si="63"/>
        <v>0.30801352157486578</v>
      </c>
      <c r="O26" s="148">
        <f t="shared" si="63"/>
        <v>0.19458680333119796</v>
      </c>
      <c r="P26" s="148">
        <f t="shared" si="63"/>
        <v>0.19390653240382133</v>
      </c>
      <c r="Q26" s="148">
        <f t="shared" si="63"/>
        <v>0.15932276969828521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>
        <v>64</v>
      </c>
      <c r="G27" s="191">
        <v>96</v>
      </c>
      <c r="H27" s="191">
        <v>159</v>
      </c>
      <c r="I27" s="191">
        <v>146</v>
      </c>
      <c r="J27" s="143">
        <v>124</v>
      </c>
      <c r="K27" s="143">
        <v>154</v>
      </c>
      <c r="L27" s="192">
        <v>155</v>
      </c>
      <c r="M27" s="192">
        <v>193</v>
      </c>
      <c r="N27" s="192">
        <v>480</v>
      </c>
      <c r="O27" s="192">
        <v>410</v>
      </c>
      <c r="P27" s="192">
        <v>396</v>
      </c>
      <c r="Q27" s="147">
        <v>7539</v>
      </c>
      <c r="R27" s="118">
        <f>((Q27/G27)^(1/($H$2-$H$1) ))-1</f>
        <v>0.54704964694033653</v>
      </c>
      <c r="S27" s="31">
        <f t="shared" si="5"/>
        <v>0.18</v>
      </c>
      <c r="T27" s="154">
        <f t="shared" si="2"/>
        <v>8896.02</v>
      </c>
      <c r="U27" s="154">
        <f t="shared" si="34"/>
        <v>10497.303599999999</v>
      </c>
      <c r="V27" s="154">
        <f t="shared" si="35"/>
        <v>12386.818247999998</v>
      </c>
      <c r="W27" s="154">
        <f t="shared" si="36"/>
        <v>14616.445532639997</v>
      </c>
      <c r="X27" s="154">
        <f t="shared" si="37"/>
        <v>17247.405728515194</v>
      </c>
      <c r="Y27" s="154">
        <f t="shared" si="38"/>
        <v>20351.938759647928</v>
      </c>
      <c r="Z27" s="154">
        <f t="shared" si="39"/>
        <v>24015.287736384555</v>
      </c>
      <c r="AA27" s="154">
        <f t="shared" si="40"/>
        <v>28338.039528933772</v>
      </c>
      <c r="AB27" s="154">
        <f t="shared" si="41"/>
        <v>33438.88664414185</v>
      </c>
      <c r="AC27" s="154">
        <f t="shared" si="42"/>
        <v>39457.886240087384</v>
      </c>
      <c r="AD27" s="138">
        <f t="shared" si="17"/>
        <v>0.35111753130125467</v>
      </c>
      <c r="AE27" s="31">
        <f t="shared" si="15"/>
        <v>7.0000000000000007E-2</v>
      </c>
      <c r="AF27" s="146">
        <f t="shared" si="1"/>
        <v>281466.25517929002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Q28" si="64">(G27-F27)/G27</f>
        <v>0.33333333333333331</v>
      </c>
      <c r="H28" s="148">
        <f t="shared" si="64"/>
        <v>0.39622641509433965</v>
      </c>
      <c r="I28" s="148">
        <f t="shared" si="64"/>
        <v>-8.9041095890410954E-2</v>
      </c>
      <c r="J28" s="148">
        <f t="shared" si="64"/>
        <v>-0.17741935483870969</v>
      </c>
      <c r="K28" s="148">
        <f t="shared" si="64"/>
        <v>0.19480519480519481</v>
      </c>
      <c r="L28" s="148">
        <f t="shared" si="64"/>
        <v>6.4516129032258064E-3</v>
      </c>
      <c r="M28" s="148">
        <f t="shared" si="64"/>
        <v>0.19689119170984457</v>
      </c>
      <c r="N28" s="148">
        <f t="shared" si="64"/>
        <v>0.59791666666666665</v>
      </c>
      <c r="O28" s="148">
        <f t="shared" si="64"/>
        <v>-0.17073170731707318</v>
      </c>
      <c r="P28" s="148">
        <f t="shared" si="64"/>
        <v>-3.5353535353535352E-2</v>
      </c>
      <c r="Q28" s="148">
        <f t="shared" si="64"/>
        <v>0.94747313967369673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>
        <v>713</v>
      </c>
      <c r="G29" s="147">
        <v>655</v>
      </c>
      <c r="H29" s="147">
        <v>682</v>
      </c>
      <c r="I29" s="147">
        <v>859</v>
      </c>
      <c r="J29" s="147">
        <v>1107</v>
      </c>
      <c r="K29" s="147">
        <v>1494</v>
      </c>
      <c r="L29" s="147">
        <v>2017</v>
      </c>
      <c r="M29" s="147">
        <v>2401</v>
      </c>
      <c r="N29" s="147">
        <v>3253</v>
      </c>
      <c r="O29" s="147">
        <v>4591</v>
      </c>
      <c r="P29" s="147">
        <v>5924</v>
      </c>
      <c r="Q29" s="147">
        <v>7174</v>
      </c>
      <c r="R29" s="118">
        <f>((Q29/G29)^(1/($H$2-$H$1) ))-1</f>
        <v>0.27043370509280606</v>
      </c>
      <c r="S29" s="31">
        <f t="shared" si="5"/>
        <v>0.18</v>
      </c>
      <c r="T29" s="154">
        <f t="shared" si="2"/>
        <v>8465.32</v>
      </c>
      <c r="U29" s="154">
        <f t="shared" ref="U29" si="65">T29*(1+$S29)</f>
        <v>9989.0775999999987</v>
      </c>
      <c r="V29" s="154">
        <f t="shared" ref="V29" si="66">U29*(1+$S29)</f>
        <v>11787.111567999998</v>
      </c>
      <c r="W29" s="154">
        <f t="shared" ref="W29" si="67">V29*(1+$S29)</f>
        <v>13908.791650239997</v>
      </c>
      <c r="X29" s="154">
        <f t="shared" ref="X29" si="68">W29*(1+$S29)</f>
        <v>16412.374147283193</v>
      </c>
      <c r="Y29" s="154">
        <f t="shared" ref="Y29" si="69">X29*(1+$S29)</f>
        <v>19366.601493794165</v>
      </c>
      <c r="Z29" s="154">
        <f t="shared" ref="Z29" si="70">Y29*(1+$S29)</f>
        <v>22852.589762677115</v>
      </c>
      <c r="AA29" s="154">
        <f t="shared" ref="AA29" si="71">Z29*(1+$S29)</f>
        <v>26966.055919958995</v>
      </c>
      <c r="AB29" s="154">
        <f t="shared" ref="AB29" si="72">AA29*(1+$S29)</f>
        <v>31819.945985551614</v>
      </c>
      <c r="AC29" s="154">
        <f t="shared" ref="AC29" si="73">AB29*(1+$S29)</f>
        <v>37547.536262950904</v>
      </c>
      <c r="AD29" s="138">
        <f t="shared" ref="AD29" si="74">((AC29/G29)^(1/($AC$3-$H$1) ))-1</f>
        <v>0.22438220013585264</v>
      </c>
      <c r="AE29" s="31">
        <f t="shared" si="15"/>
        <v>7.0000000000000007E-2</v>
      </c>
      <c r="AF29" s="146">
        <f t="shared" ref="AF29" si="75">(AC29*(1+AE29))/($C$1-AE29)</f>
        <v>267839.09200904978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Q30" si="76">(G29-F29)/G29</f>
        <v>-8.8549618320610687E-2</v>
      </c>
      <c r="H30" s="148">
        <f t="shared" si="76"/>
        <v>3.9589442815249266E-2</v>
      </c>
      <c r="I30" s="148">
        <f t="shared" si="76"/>
        <v>0.20605355064027939</v>
      </c>
      <c r="J30" s="148">
        <f t="shared" si="76"/>
        <v>0.22402890695573621</v>
      </c>
      <c r="K30" s="148">
        <f t="shared" si="76"/>
        <v>0.25903614457831325</v>
      </c>
      <c r="L30" s="148">
        <f t="shared" si="76"/>
        <v>0.25929598413485372</v>
      </c>
      <c r="M30" s="148">
        <f t="shared" si="76"/>
        <v>0.15993336109954187</v>
      </c>
      <c r="N30" s="148">
        <f t="shared" si="76"/>
        <v>0.26191208115585612</v>
      </c>
      <c r="O30" s="148">
        <f t="shared" si="76"/>
        <v>0.2914397734698323</v>
      </c>
      <c r="P30" s="148">
        <f t="shared" si="76"/>
        <v>0.22501688048615801</v>
      </c>
      <c r="Q30" s="148">
        <f t="shared" si="76"/>
        <v>0.17424031223863953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5"/>
        <v>0.18</v>
      </c>
      <c r="T31" s="154">
        <f t="shared" si="2"/>
        <v>0</v>
      </c>
      <c r="U31" s="154">
        <f>T31*(1+$S31)</f>
        <v>0</v>
      </c>
      <c r="V31" s="154">
        <f t="shared" ref="V31:AC32" si="77">U31*(1+$S31)</f>
        <v>0</v>
      </c>
      <c r="W31" s="154">
        <f t="shared" si="77"/>
        <v>0</v>
      </c>
      <c r="X31" s="154">
        <f t="shared" si="77"/>
        <v>0</v>
      </c>
      <c r="Y31" s="154">
        <f t="shared" si="77"/>
        <v>0</v>
      </c>
      <c r="Z31" s="154">
        <f t="shared" si="77"/>
        <v>0</v>
      </c>
      <c r="AA31" s="154">
        <f t="shared" si="77"/>
        <v>0</v>
      </c>
      <c r="AB31" s="154">
        <f t="shared" si="77"/>
        <v>0</v>
      </c>
      <c r="AC31" s="154">
        <f t="shared" si="77"/>
        <v>0</v>
      </c>
      <c r="AD31" s="138" t="e">
        <f t="shared" ref="AD31" si="78">((AC31/G31)^(1/($AC$3-$H$1) ))-1</f>
        <v>#DIV/0!</v>
      </c>
      <c r="AE31" s="31">
        <f t="shared" si="15"/>
        <v>7.0000000000000007E-2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5"/>
        <v>0.18</v>
      </c>
      <c r="T32" s="154">
        <f t="shared" si="2"/>
        <v>0</v>
      </c>
      <c r="U32" s="154">
        <f>T32*(1+$S32)</f>
        <v>0</v>
      </c>
      <c r="V32" s="154">
        <f t="shared" si="77"/>
        <v>0</v>
      </c>
      <c r="W32" s="154">
        <f t="shared" si="77"/>
        <v>0</v>
      </c>
      <c r="X32" s="154">
        <f t="shared" si="77"/>
        <v>0</v>
      </c>
      <c r="Y32" s="154">
        <f t="shared" si="77"/>
        <v>0</v>
      </c>
      <c r="Z32" s="154">
        <f t="shared" si="77"/>
        <v>0</v>
      </c>
      <c r="AA32" s="154">
        <f t="shared" si="77"/>
        <v>0</v>
      </c>
      <c r="AB32" s="154">
        <f t="shared" si="77"/>
        <v>0</v>
      </c>
      <c r="AC32" s="154">
        <f t="shared" si="77"/>
        <v>0</v>
      </c>
      <c r="AD32" s="138" t="e">
        <f t="shared" ref="AD32" si="79">((AC32/G32)^(1/($AC$3-$H$1) ))-1</f>
        <v>#DIV/0!</v>
      </c>
      <c r="AE32" s="31">
        <f t="shared" si="15"/>
        <v>7.0000000000000007E-2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>
        <v>4.71</v>
      </c>
      <c r="G33" s="191">
        <v>9.41</v>
      </c>
      <c r="H33" s="191">
        <v>18.600000000000001</v>
      </c>
      <c r="I33" s="191">
        <v>14</v>
      </c>
      <c r="J33" s="143">
        <v>17.5</v>
      </c>
      <c r="K33" s="143">
        <v>18.5</v>
      </c>
      <c r="L33" s="192">
        <v>19</v>
      </c>
      <c r="M33" s="192">
        <v>32</v>
      </c>
      <c r="N33" s="192">
        <v>23</v>
      </c>
      <c r="O33" s="192">
        <v>36.5</v>
      </c>
      <c r="P33" s="192">
        <v>298</v>
      </c>
      <c r="Q33" s="147">
        <v>244</v>
      </c>
      <c r="R33" s="118">
        <f>((Q33/G33)^(1/($H$2-$H$1) ))-1</f>
        <v>0.38477756959247778</v>
      </c>
      <c r="S33" s="31">
        <f t="shared" si="5"/>
        <v>0.18</v>
      </c>
      <c r="T33" s="154">
        <f t="shared" si="2"/>
        <v>287.91999999999996</v>
      </c>
      <c r="U33" s="154">
        <f t="shared" si="34"/>
        <v>339.74559999999991</v>
      </c>
      <c r="V33" s="154">
        <f t="shared" si="35"/>
        <v>400.89980799999989</v>
      </c>
      <c r="W33" s="154">
        <f t="shared" si="36"/>
        <v>473.06177343999985</v>
      </c>
      <c r="X33" s="154">
        <f t="shared" si="37"/>
        <v>558.21289265919984</v>
      </c>
      <c r="Y33" s="154">
        <f t="shared" si="38"/>
        <v>658.69121333785574</v>
      </c>
      <c r="Z33" s="154">
        <f t="shared" si="39"/>
        <v>777.25563173866976</v>
      </c>
      <c r="AA33" s="154">
        <f t="shared" si="40"/>
        <v>917.16164545163031</v>
      </c>
      <c r="AB33" s="154">
        <f t="shared" si="41"/>
        <v>1082.2507416329238</v>
      </c>
      <c r="AC33" s="154">
        <f t="shared" si="42"/>
        <v>1277.05587512685</v>
      </c>
      <c r="AD33" s="138">
        <f t="shared" si="17"/>
        <v>0.27829477512783551</v>
      </c>
      <c r="AE33" s="31">
        <f t="shared" si="15"/>
        <v>7.0000000000000007E-2</v>
      </c>
      <c r="AF33" s="146">
        <f t="shared" si="1"/>
        <v>9109.6652425715311</v>
      </c>
    </row>
    <row r="34" spans="2:32" x14ac:dyDescent="0.2">
      <c r="B34" s="20" t="s">
        <v>308</v>
      </c>
      <c r="C34" s="141"/>
      <c r="D34" s="141"/>
      <c r="E34" s="147"/>
      <c r="F34" s="147">
        <v>13.26</v>
      </c>
      <c r="G34" s="191">
        <v>16.600000000000001</v>
      </c>
      <c r="H34" s="191">
        <v>17.5</v>
      </c>
      <c r="I34" s="191">
        <v>25.2</v>
      </c>
      <c r="J34" s="143">
        <v>27</v>
      </c>
      <c r="K34" s="143">
        <v>35</v>
      </c>
      <c r="L34" s="192">
        <v>45</v>
      </c>
      <c r="M34" s="192">
        <v>52</v>
      </c>
      <c r="N34" s="192">
        <v>75</v>
      </c>
      <c r="O34" s="192">
        <v>81</v>
      </c>
      <c r="P34" s="192">
        <v>98</v>
      </c>
      <c r="Q34" s="147">
        <v>113</v>
      </c>
      <c r="R34" s="118">
        <f>((Q34/G34)^(1/($H$2-$H$1) ))-1</f>
        <v>0.21142640489528031</v>
      </c>
      <c r="S34" s="31">
        <f t="shared" si="5"/>
        <v>0.18</v>
      </c>
      <c r="T34" s="154">
        <f t="shared" si="2"/>
        <v>133.34</v>
      </c>
      <c r="U34" s="154">
        <f t="shared" si="34"/>
        <v>157.34119999999999</v>
      </c>
      <c r="V34" s="154">
        <f t="shared" si="35"/>
        <v>185.66261599999999</v>
      </c>
      <c r="W34" s="154">
        <f t="shared" si="36"/>
        <v>219.08188687999998</v>
      </c>
      <c r="X34" s="154">
        <f t="shared" si="37"/>
        <v>258.51662651839996</v>
      </c>
      <c r="Y34" s="154">
        <f t="shared" si="38"/>
        <v>305.04961929171196</v>
      </c>
      <c r="Z34" s="154">
        <f t="shared" si="39"/>
        <v>359.95855076422009</v>
      </c>
      <c r="AA34" s="154">
        <f t="shared" si="40"/>
        <v>424.75108990177966</v>
      </c>
      <c r="AB34" s="154">
        <f t="shared" si="41"/>
        <v>501.20628608409999</v>
      </c>
      <c r="AC34" s="154">
        <f t="shared" si="42"/>
        <v>591.42341757923793</v>
      </c>
      <c r="AD34" s="138">
        <f t="shared" si="17"/>
        <v>0.19560995219027455</v>
      </c>
      <c r="AE34" s="31">
        <f t="shared" si="15"/>
        <v>7.0000000000000007E-2</v>
      </c>
      <c r="AF34" s="146">
        <f t="shared" si="1"/>
        <v>4218.8203787318971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>
        <v>901.66</v>
      </c>
      <c r="G36" s="191">
        <v>861</v>
      </c>
      <c r="H36" s="191">
        <v>864</v>
      </c>
      <c r="I36" s="191">
        <v>1092</v>
      </c>
      <c r="J36" s="143">
        <v>1423</v>
      </c>
      <c r="K36" s="143">
        <v>1989</v>
      </c>
      <c r="L36" s="192">
        <v>2725</v>
      </c>
      <c r="M36" s="192">
        <v>3270</v>
      </c>
      <c r="N36" s="192">
        <v>4148</v>
      </c>
      <c r="O36" s="192">
        <v>5731</v>
      </c>
      <c r="P36" s="192">
        <v>7263</v>
      </c>
      <c r="Q36" s="147">
        <v>8857</v>
      </c>
      <c r="R36" s="118">
        <f>((Q36/G36)^(1/($H$2-$H$1) ))-1</f>
        <v>0.26249117006902267</v>
      </c>
      <c r="S36" s="31">
        <f t="shared" si="5"/>
        <v>0.18</v>
      </c>
      <c r="T36" s="154">
        <f t="shared" si="2"/>
        <v>10451.26</v>
      </c>
      <c r="U36" s="154">
        <f t="shared" ref="U36" si="80">T36*(1+$S36)</f>
        <v>12332.486799999999</v>
      </c>
      <c r="V36" s="154">
        <f t="shared" ref="V36" si="81">U36*(1+$S36)</f>
        <v>14552.334423999997</v>
      </c>
      <c r="W36" s="154">
        <f t="shared" ref="W36" si="82">V36*(1+$S36)</f>
        <v>17171.754620319996</v>
      </c>
      <c r="X36" s="154">
        <f t="shared" si="37"/>
        <v>20262.670451977596</v>
      </c>
      <c r="Y36" s="154">
        <f t="shared" si="38"/>
        <v>23909.951133333561</v>
      </c>
      <c r="Z36" s="154">
        <f t="shared" si="39"/>
        <v>28213.742337333602</v>
      </c>
      <c r="AA36" s="154">
        <f t="shared" si="40"/>
        <v>33292.215958053646</v>
      </c>
      <c r="AB36" s="154">
        <f t="shared" si="41"/>
        <v>39284.814830503303</v>
      </c>
      <c r="AC36" s="154">
        <f t="shared" si="42"/>
        <v>46356.081499993896</v>
      </c>
      <c r="AD36" s="138">
        <f t="shared" si="17"/>
        <v>0.22054888500274616</v>
      </c>
      <c r="AE36" s="31">
        <f t="shared" si="15"/>
        <v>7.0000000000000007E-2</v>
      </c>
      <c r="AF36" s="146">
        <f t="shared" si="1"/>
        <v>330673.38136662316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:Q37" si="83">(G36-F36)/G36</f>
        <v>-4.7224157955865237E-2</v>
      </c>
      <c r="H37" s="148">
        <f t="shared" si="83"/>
        <v>3.472222222222222E-3</v>
      </c>
      <c r="I37" s="148">
        <f t="shared" si="83"/>
        <v>0.2087912087912088</v>
      </c>
      <c r="J37" s="148">
        <f t="shared" si="83"/>
        <v>0.23260716795502459</v>
      </c>
      <c r="K37" s="148">
        <f t="shared" si="83"/>
        <v>0.28456510809451985</v>
      </c>
      <c r="L37" s="148">
        <f t="shared" si="83"/>
        <v>0.27009174311926604</v>
      </c>
      <c r="M37" s="148">
        <f t="shared" si="83"/>
        <v>0.16666666666666666</v>
      </c>
      <c r="N37" s="148">
        <f t="shared" si="83"/>
        <v>0.21166827386692383</v>
      </c>
      <c r="O37" s="148">
        <f t="shared" si="83"/>
        <v>0.27621706508462746</v>
      </c>
      <c r="P37" s="148">
        <f t="shared" si="83"/>
        <v>0.21093212171279085</v>
      </c>
      <c r="Q37" s="148">
        <f t="shared" si="83"/>
        <v>0.17997064468781754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47">
        <v>241</v>
      </c>
      <c r="G38" s="191">
        <v>223</v>
      </c>
      <c r="H38" s="191">
        <v>203</v>
      </c>
      <c r="I38" s="191">
        <v>263</v>
      </c>
      <c r="J38" s="143">
        <v>353</v>
      </c>
      <c r="K38" s="143">
        <v>531</v>
      </c>
      <c r="L38" s="192">
        <v>721</v>
      </c>
      <c r="M38" s="192">
        <v>909</v>
      </c>
      <c r="N38" s="192">
        <v>1289</v>
      </c>
      <c r="O38" s="192">
        <v>1235</v>
      </c>
      <c r="P38" s="192">
        <v>1418</v>
      </c>
      <c r="Q38" s="147">
        <v>1833</v>
      </c>
      <c r="R38" s="118">
        <f>((Q38/G38)^(1/($H$2-$H$1) ))-1</f>
        <v>0.23448483776024931</v>
      </c>
      <c r="S38" s="31">
        <f t="shared" si="5"/>
        <v>0.18</v>
      </c>
      <c r="T38" s="154">
        <f t="shared" si="2"/>
        <v>2162.94</v>
      </c>
      <c r="U38" s="154">
        <f t="shared" ref="U38" si="84">T38*(1+$S38)</f>
        <v>2552.2691999999997</v>
      </c>
      <c r="V38" s="154">
        <f t="shared" ref="V38" si="85">U38*(1+$S38)</f>
        <v>3011.6776559999994</v>
      </c>
      <c r="W38" s="154">
        <f t="shared" ref="W38" si="86">V38*(1+$S38)</f>
        <v>3553.7796340799991</v>
      </c>
      <c r="X38" s="154">
        <f t="shared" ref="X38" si="87">W38*(1+$S38)</f>
        <v>4193.4599682143989</v>
      </c>
      <c r="Y38" s="154">
        <f t="shared" ref="Y38" si="88">X38*(1+$S38)</f>
        <v>4948.2827624929905</v>
      </c>
      <c r="Z38" s="154">
        <f t="shared" ref="Z38" si="89">Y38*(1+$S38)</f>
        <v>5838.9736597417286</v>
      </c>
      <c r="AA38" s="154">
        <f t="shared" ref="AA38" si="90">Z38*(1+$S38)</f>
        <v>6889.988918495239</v>
      </c>
      <c r="AB38" s="154">
        <f t="shared" ref="AB38" si="91">AA38*(1+$S38)</f>
        <v>8130.1869238243817</v>
      </c>
      <c r="AC38" s="154">
        <f t="shared" ref="AC38" si="92">AB38*(1+$S38)</f>
        <v>9593.6205701127692</v>
      </c>
      <c r="AD38" s="138">
        <f t="shared" ref="AD38" si="93">((AC38/G38)^(1/($AC$3-$H$1) ))-1</f>
        <v>0.20693500593739267</v>
      </c>
      <c r="AE38" s="31">
        <f t="shared" si="15"/>
        <v>7.0000000000000007E-2</v>
      </c>
      <c r="AF38" s="146">
        <f t="shared" ref="AF38" si="94">(AC38*(1+AE38))/($C$1-AE38)</f>
        <v>68434.49340013777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:Q39" si="95">(G38-F38)/G38</f>
        <v>-8.0717488789237665E-2</v>
      </c>
      <c r="H39" s="148">
        <f t="shared" si="95"/>
        <v>-9.8522167487684734E-2</v>
      </c>
      <c r="I39" s="148">
        <f t="shared" si="95"/>
        <v>0.22813688212927757</v>
      </c>
      <c r="J39" s="148">
        <f t="shared" si="95"/>
        <v>0.25495750708215298</v>
      </c>
      <c r="K39" s="148">
        <f t="shared" si="95"/>
        <v>0.3352165725047081</v>
      </c>
      <c r="L39" s="148">
        <f t="shared" si="95"/>
        <v>0.26352288488210818</v>
      </c>
      <c r="M39" s="148">
        <f t="shared" si="95"/>
        <v>0.20682068206820681</v>
      </c>
      <c r="N39" s="148">
        <f t="shared" si="95"/>
        <v>0.29480217222653221</v>
      </c>
      <c r="O39" s="148">
        <f t="shared" si="95"/>
        <v>-4.3724696356275301E-2</v>
      </c>
      <c r="P39" s="148">
        <f t="shared" si="95"/>
        <v>0.12905500705218617</v>
      </c>
      <c r="Q39" s="148">
        <f t="shared" si="95"/>
        <v>0.22640480087288598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>
        <v>179</v>
      </c>
      <c r="G40" s="191">
        <v>167</v>
      </c>
      <c r="H40" s="191">
        <v>142</v>
      </c>
      <c r="I40" s="191">
        <v>208</v>
      </c>
      <c r="J40" s="143">
        <v>278</v>
      </c>
      <c r="K40" s="143">
        <v>386</v>
      </c>
      <c r="L40" s="192">
        <v>529</v>
      </c>
      <c r="M40" s="192">
        <v>660</v>
      </c>
      <c r="N40" s="192">
        <v>969</v>
      </c>
      <c r="O40" s="192">
        <v>916</v>
      </c>
      <c r="P40" s="192">
        <v>1054</v>
      </c>
      <c r="Q40" s="147">
        <v>1321</v>
      </c>
      <c r="R40" s="118">
        <f>((Q40/G40)^(1/($H$2-$H$1) ))-1</f>
        <v>0.22975510656868448</v>
      </c>
      <c r="S40" s="31">
        <f t="shared" si="5"/>
        <v>0.18</v>
      </c>
      <c r="T40" s="154">
        <f t="shared" si="2"/>
        <v>1558.78</v>
      </c>
      <c r="U40" s="154">
        <f t="shared" ref="U40:AC40" si="96">T40*(1+$S40)</f>
        <v>1839.3603999999998</v>
      </c>
      <c r="V40" s="154">
        <f t="shared" si="96"/>
        <v>2170.4452719999995</v>
      </c>
      <c r="W40" s="154">
        <f t="shared" si="96"/>
        <v>2561.1254209599992</v>
      </c>
      <c r="X40" s="154">
        <f t="shared" si="96"/>
        <v>3022.1279967327991</v>
      </c>
      <c r="Y40" s="154">
        <f t="shared" si="96"/>
        <v>3566.1110361447027</v>
      </c>
      <c r="Z40" s="154">
        <f t="shared" si="96"/>
        <v>4208.0110226507486</v>
      </c>
      <c r="AA40" s="154">
        <f t="shared" si="96"/>
        <v>4965.4530067278829</v>
      </c>
      <c r="AB40" s="154">
        <f t="shared" si="96"/>
        <v>5859.2345479389014</v>
      </c>
      <c r="AC40" s="154">
        <f t="shared" si="96"/>
        <v>6913.8967665679029</v>
      </c>
      <c r="AD40" s="138">
        <f t="shared" si="17"/>
        <v>0.20462069787591131</v>
      </c>
      <c r="AE40" s="31">
        <f t="shared" si="15"/>
        <v>7.0000000000000007E-2</v>
      </c>
      <c r="AF40" s="146">
        <f t="shared" si="1"/>
        <v>49319.130268184374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-7.1856287425149698E-2</v>
      </c>
      <c r="H41" s="148">
        <f t="shared" ref="H41:Q41" si="97">(H40-G40)/H40</f>
        <v>-0.176056338028169</v>
      </c>
      <c r="I41" s="148">
        <f t="shared" si="97"/>
        <v>0.31730769230769229</v>
      </c>
      <c r="J41" s="148">
        <f t="shared" si="97"/>
        <v>0.25179856115107913</v>
      </c>
      <c r="K41" s="148">
        <f t="shared" si="97"/>
        <v>0.27979274611398963</v>
      </c>
      <c r="L41" s="148">
        <f t="shared" si="97"/>
        <v>0.27032136105860116</v>
      </c>
      <c r="M41" s="148">
        <f t="shared" si="97"/>
        <v>0.19848484848484849</v>
      </c>
      <c r="N41" s="148">
        <f t="shared" si="97"/>
        <v>0.31888544891640869</v>
      </c>
      <c r="O41" s="148">
        <f t="shared" si="97"/>
        <v>-5.7860262008733628E-2</v>
      </c>
      <c r="P41" s="148">
        <f t="shared" si="97"/>
        <v>0.13092979127134724</v>
      </c>
      <c r="Q41" s="148">
        <f t="shared" si="97"/>
        <v>0.20211960635881907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93">
        <v>7.49</v>
      </c>
      <c r="G42" s="191">
        <v>7.49</v>
      </c>
      <c r="H42" s="191">
        <v>8.49</v>
      </c>
      <c r="I42" s="191">
        <v>8.49</v>
      </c>
      <c r="J42" s="192">
        <v>8.49</v>
      </c>
      <c r="K42" s="192">
        <v>8.49</v>
      </c>
      <c r="L42" s="192">
        <v>8.49</v>
      </c>
      <c r="M42" s="192">
        <v>9.49</v>
      </c>
      <c r="N42" s="192">
        <v>47.46</v>
      </c>
      <c r="O42" s="192">
        <v>50.46</v>
      </c>
      <c r="P42" s="192">
        <v>50.5</v>
      </c>
      <c r="Q42" s="192">
        <v>50.5</v>
      </c>
      <c r="R42" s="118">
        <f>((Q42/G42)^(1/($H$2-$H$1) ))-1</f>
        <v>0.21026634337179773</v>
      </c>
      <c r="S42" s="31">
        <v>0.01</v>
      </c>
      <c r="T42" s="154">
        <f t="shared" si="2"/>
        <v>51.005000000000003</v>
      </c>
      <c r="U42" s="154">
        <f t="shared" ref="U42:AC42" si="98">T42*(1+$S42)</f>
        <v>51.515050000000002</v>
      </c>
      <c r="V42" s="154">
        <f t="shared" si="98"/>
        <v>52.030200499999999</v>
      </c>
      <c r="W42" s="154">
        <f t="shared" si="98"/>
        <v>52.550502504999997</v>
      </c>
      <c r="X42" s="154">
        <f t="shared" si="98"/>
        <v>53.076007530049999</v>
      </c>
      <c r="Y42" s="154">
        <f t="shared" si="98"/>
        <v>53.606767605350498</v>
      </c>
      <c r="Z42" s="154">
        <f t="shared" si="98"/>
        <v>54.142835281404004</v>
      </c>
      <c r="AA42" s="154">
        <f t="shared" si="98"/>
        <v>54.684263634218041</v>
      </c>
      <c r="AB42" s="154">
        <f t="shared" si="98"/>
        <v>55.231106270560225</v>
      </c>
      <c r="AC42" s="154">
        <f t="shared" si="98"/>
        <v>55.783417333265831</v>
      </c>
      <c r="AD42" s="138">
        <f t="shared" si="17"/>
        <v>0.10560798061768528</v>
      </c>
      <c r="AE42" s="31">
        <f t="shared" si="15"/>
        <v>7.0000000000000007E-2</v>
      </c>
      <c r="AF42" s="146">
        <f t="shared" si="1"/>
        <v>397.92171031062963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</v>
      </c>
      <c r="H43" s="148">
        <f t="shared" ref="H43" si="99">(H42-G42)/H42</f>
        <v>0.11778563015312131</v>
      </c>
      <c r="I43" s="148">
        <f t="shared" ref="I43" si="100">(I42-H42)/I42</f>
        <v>0</v>
      </c>
      <c r="J43" s="148">
        <f t="shared" ref="J43" si="101">(J42-I42)/J42</f>
        <v>0</v>
      </c>
      <c r="K43" s="148">
        <f t="shared" ref="K43" si="102">(K42-J42)/K42</f>
        <v>0</v>
      </c>
      <c r="L43" s="148">
        <f t="shared" ref="L43" si="103">(L42-K42)/L42</f>
        <v>0</v>
      </c>
      <c r="M43" s="148">
        <f t="shared" ref="M43" si="104">(M42-L42)/M42</f>
        <v>0.10537407797681771</v>
      </c>
      <c r="N43" s="148">
        <f t="shared" ref="N43" si="105">(N42-M42)/N42</f>
        <v>0.80004214075010527</v>
      </c>
      <c r="O43" s="148">
        <f t="shared" ref="O43" si="106">(O42-N42)/O42</f>
        <v>5.9453032104637336E-2</v>
      </c>
      <c r="P43" s="148">
        <f t="shared" ref="P43:Q43" si="107">(P42-O42)/P42</f>
        <v>7.9207920792077522E-4</v>
      </c>
      <c r="Q43" s="148">
        <f t="shared" si="107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>
        <v>5.5</v>
      </c>
      <c r="G44" s="147">
        <v>5</v>
      </c>
      <c r="H44" s="147">
        <v>5</v>
      </c>
      <c r="I44" s="147">
        <v>6</v>
      </c>
      <c r="J44" s="147">
        <v>8</v>
      </c>
      <c r="K44" s="147">
        <v>10</v>
      </c>
      <c r="L44" s="147">
        <v>13</v>
      </c>
      <c r="M44" s="147">
        <v>15</v>
      </c>
      <c r="N44" s="147">
        <v>3.5</v>
      </c>
      <c r="O44" s="147">
        <v>3.6</v>
      </c>
      <c r="P44" s="147">
        <v>3.8</v>
      </c>
      <c r="Q44" s="147">
        <v>4.5</v>
      </c>
      <c r="R44" s="118">
        <f>((Q44/G44)^(1/($H$2-$H$1) ))-1</f>
        <v>-1.0480741793785553E-2</v>
      </c>
      <c r="S44" s="31">
        <f>P1</f>
        <v>0.05</v>
      </c>
      <c r="T44" s="154">
        <f t="shared" si="2"/>
        <v>4.7250000000000005</v>
      </c>
      <c r="U44" s="154">
        <f t="shared" ref="U44" si="108">T44*(1+$S44)</f>
        <v>4.9612500000000006</v>
      </c>
      <c r="V44" s="154">
        <f t="shared" ref="V44" si="109">U44*(1+$S44)</f>
        <v>5.2093125000000011</v>
      </c>
      <c r="W44" s="154">
        <f t="shared" ref="W44" si="110">V44*(1+$S44)</f>
        <v>5.4697781250000013</v>
      </c>
      <c r="X44" s="154">
        <f t="shared" ref="X44" si="111">W44*(1+$S44)</f>
        <v>5.7432670312500012</v>
      </c>
      <c r="Y44" s="154">
        <f t="shared" ref="Y44" si="112">X44*(1+$S44)</f>
        <v>6.0304303828125017</v>
      </c>
      <c r="Z44" s="154">
        <f t="shared" ref="Z44" si="113">Y44*(1+$S44)</f>
        <v>6.3319519019531274</v>
      </c>
      <c r="AA44" s="154">
        <f t="shared" ref="AA44" si="114">Z44*(1+$S44)</f>
        <v>6.6485494970507837</v>
      </c>
      <c r="AB44" s="154">
        <f t="shared" ref="AB44" si="115">AA44*(1+$S44)</f>
        <v>6.9809769719033232</v>
      </c>
      <c r="AC44" s="154">
        <f t="shared" ref="AC44" si="116">AB44*(1+$S44)</f>
        <v>7.3300258204984896</v>
      </c>
      <c r="AD44" s="138">
        <f t="shared" ref="AD44" si="117">((AC44/G44)^(1/($AC$3-$H$1) ))-1</f>
        <v>1.9311150295396873E-2</v>
      </c>
      <c r="AE44" s="31">
        <f t="shared" si="15"/>
        <v>7.0000000000000007E-2</v>
      </c>
      <c r="AF44" s="146">
        <f t="shared" si="1"/>
        <v>52.287517519555898</v>
      </c>
    </row>
    <row r="45" spans="2:32" x14ac:dyDescent="0.2">
      <c r="B45" s="20" t="s">
        <v>426</v>
      </c>
      <c r="C45" s="20"/>
      <c r="D45" s="20"/>
      <c r="E45" s="127"/>
      <c r="F45" s="147">
        <v>0</v>
      </c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 t="s">
        <v>447</v>
      </c>
      <c r="O45" s="147">
        <v>0</v>
      </c>
      <c r="P45" s="147">
        <v>0</v>
      </c>
      <c r="Q45" s="147"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47">
        <v>0</v>
      </c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47">
        <v>0</v>
      </c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18">C25/C42</f>
        <v>0</v>
      </c>
      <c r="D50" s="133">
        <f t="shared" si="118"/>
        <v>0</v>
      </c>
      <c r="E50" s="133">
        <f t="shared" si="118"/>
        <v>0</v>
      </c>
      <c r="F50" s="133">
        <f t="shared" si="118"/>
        <v>136.04806408544727</v>
      </c>
      <c r="G50" s="133">
        <f t="shared" si="118"/>
        <v>130.57409879839787</v>
      </c>
      <c r="H50" s="133">
        <f t="shared" si="118"/>
        <v>123.32155477031802</v>
      </c>
      <c r="I50" s="133">
        <f t="shared" si="118"/>
        <v>149.94110718492342</v>
      </c>
      <c r="J50" s="133">
        <f t="shared" si="118"/>
        <v>187.16136631330977</v>
      </c>
      <c r="K50" s="133">
        <f t="shared" si="118"/>
        <v>257.24381625441697</v>
      </c>
      <c r="L50" s="133">
        <f t="shared" si="118"/>
        <v>341.9316843345112</v>
      </c>
      <c r="M50" s="133">
        <f t="shared" si="118"/>
        <v>366.70179135932563</v>
      </c>
      <c r="N50" s="133">
        <f t="shared" si="118"/>
        <v>105.96291613990729</v>
      </c>
      <c r="O50" s="133">
        <f t="shared" si="118"/>
        <v>123.74157748711851</v>
      </c>
      <c r="P50" s="133">
        <f t="shared" si="118"/>
        <v>153.38613861386139</v>
      </c>
      <c r="Q50" s="133">
        <f t="shared" ref="Q50" si="119">Q25/Q42</f>
        <v>182.45544554455446</v>
      </c>
      <c r="R50" s="118">
        <f>((P50/G50)^(1/($H$2-$H$1) ))-1</f>
        <v>1.6232097134376122E-2</v>
      </c>
      <c r="S50" s="128"/>
      <c r="T50" s="158">
        <f t="shared" ref="T50:AC50" si="120">T25/T42</f>
        <v>213.16576806195468</v>
      </c>
      <c r="U50" s="158">
        <f t="shared" si="120"/>
        <v>249.045154765452</v>
      </c>
      <c r="V50" s="158">
        <f t="shared" si="120"/>
        <v>290.96364616161719</v>
      </c>
      <c r="W50" s="158">
        <f t="shared" si="120"/>
        <v>339.93772521852304</v>
      </c>
      <c r="X50" s="158">
        <f t="shared" si="120"/>
        <v>397.15496609688824</v>
      </c>
      <c r="Y50" s="158">
        <f t="shared" si="120"/>
        <v>464.00283167755254</v>
      </c>
      <c r="Z50" s="158">
        <f t="shared" si="120"/>
        <v>542.10231819753653</v>
      </c>
      <c r="AA50" s="158">
        <f t="shared" si="120"/>
        <v>633.34726284464671</v>
      </c>
      <c r="AB50" s="158">
        <f t="shared" si="120"/>
        <v>739.95026748186433</v>
      </c>
      <c r="AC50" s="158">
        <f t="shared" si="120"/>
        <v>864.49635210752467</v>
      </c>
      <c r="AD50" s="138">
        <f t="shared" ref="AD50" si="121">((AC50/G50)^(1/($AC$3-$H$1) ))-1</f>
        <v>9.9120495718718171E-2</v>
      </c>
      <c r="AE50" s="31">
        <f t="shared" si="15"/>
        <v>7.0000000000000007E-2</v>
      </c>
      <c r="AF50" s="146">
        <f t="shared" ref="AF50:AF51" si="122">(AC50*(1+AE50))/($C$1-AE50)</f>
        <v>6166.7406450336766</v>
      </c>
    </row>
    <row r="51" spans="2:32" x14ac:dyDescent="0.2">
      <c r="B51" s="20" t="s">
        <v>304</v>
      </c>
      <c r="C51" s="133">
        <f t="shared" ref="C51:P51" si="123">C27/C42</f>
        <v>0</v>
      </c>
      <c r="D51" s="133">
        <f t="shared" si="123"/>
        <v>0</v>
      </c>
      <c r="E51" s="133">
        <f t="shared" si="123"/>
        <v>0</v>
      </c>
      <c r="F51" s="133">
        <f t="shared" si="123"/>
        <v>8.544726301735647</v>
      </c>
      <c r="G51" s="133">
        <f t="shared" si="123"/>
        <v>12.81708945260347</v>
      </c>
      <c r="H51" s="133">
        <f t="shared" si="123"/>
        <v>18.727915194346288</v>
      </c>
      <c r="I51" s="133">
        <f t="shared" si="123"/>
        <v>17.19670200235571</v>
      </c>
      <c r="J51" s="133">
        <f t="shared" si="123"/>
        <v>14.605418138987043</v>
      </c>
      <c r="K51" s="133">
        <f t="shared" si="123"/>
        <v>18.138987043580684</v>
      </c>
      <c r="L51" s="133">
        <f t="shared" si="123"/>
        <v>18.256772673733803</v>
      </c>
      <c r="M51" s="133">
        <f t="shared" si="123"/>
        <v>20.337197049525816</v>
      </c>
      <c r="N51" s="133">
        <f t="shared" si="123"/>
        <v>10.11378002528445</v>
      </c>
      <c r="O51" s="133">
        <f t="shared" si="123"/>
        <v>8.1252477209671028</v>
      </c>
      <c r="P51" s="133">
        <f t="shared" si="123"/>
        <v>7.8415841584158414</v>
      </c>
      <c r="Q51" s="133">
        <f t="shared" ref="Q51" si="124">Q27/Q42</f>
        <v>149.28712871287129</v>
      </c>
      <c r="R51" s="118">
        <f>((P51/G51)^(1/($H$2-$H$1) ))-1</f>
        <v>-4.7946313022153131E-2</v>
      </c>
      <c r="S51" s="128"/>
      <c r="T51" s="158">
        <f t="shared" ref="T51:AC51" si="125">T27/T42</f>
        <v>174.41466522889914</v>
      </c>
      <c r="U51" s="158">
        <f t="shared" si="125"/>
        <v>203.77158907930786</v>
      </c>
      <c r="V51" s="158">
        <f t="shared" si="125"/>
        <v>238.06977734018145</v>
      </c>
      <c r="W51" s="158">
        <f t="shared" si="125"/>
        <v>278.14092798159811</v>
      </c>
      <c r="X51" s="158">
        <f t="shared" si="125"/>
        <v>324.956727740877</v>
      </c>
      <c r="Y51" s="158">
        <f t="shared" si="125"/>
        <v>379.65241458835129</v>
      </c>
      <c r="Z51" s="158">
        <f t="shared" si="125"/>
        <v>443.55430615272724</v>
      </c>
      <c r="AA51" s="158">
        <f t="shared" si="125"/>
        <v>518.21196164378034</v>
      </c>
      <c r="AB51" s="158">
        <f t="shared" si="125"/>
        <v>605.43575716798091</v>
      </c>
      <c r="AC51" s="158">
        <f t="shared" si="125"/>
        <v>707.34078560219552</v>
      </c>
      <c r="AD51" s="138">
        <f t="shared" ref="AD51" si="126">((AC51/G51)^(1/($AC$3-$H$1) ))-1</f>
        <v>0.22205841038376661</v>
      </c>
      <c r="AE51" s="31">
        <f t="shared" si="15"/>
        <v>7.0000000000000007E-2</v>
      </c>
      <c r="AF51" s="146">
        <f t="shared" si="122"/>
        <v>5045.6976039623287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56</v>
      </c>
      <c r="H52" s="133">
        <f t="shared" ref="H52:P52" si="127">H38-H40</f>
        <v>61</v>
      </c>
      <c r="I52" s="133">
        <f t="shared" si="127"/>
        <v>55</v>
      </c>
      <c r="J52" s="133">
        <f t="shared" si="127"/>
        <v>75</v>
      </c>
      <c r="K52" s="133">
        <f t="shared" si="127"/>
        <v>145</v>
      </c>
      <c r="L52" s="133">
        <f t="shared" si="127"/>
        <v>192</v>
      </c>
      <c r="M52" s="133">
        <f t="shared" si="127"/>
        <v>249</v>
      </c>
      <c r="N52" s="133">
        <f t="shared" si="127"/>
        <v>320</v>
      </c>
      <c r="O52" s="133">
        <f t="shared" si="127"/>
        <v>319</v>
      </c>
      <c r="P52" s="133">
        <f t="shared" si="127"/>
        <v>364</v>
      </c>
      <c r="Q52" s="133">
        <f t="shared" ref="Q52" si="128">Q38-Q40</f>
        <v>512</v>
      </c>
      <c r="R52" s="118">
        <f>((P52/G52)^(1/($H$2-$H$1) ))-1</f>
        <v>0.2058445799940376</v>
      </c>
      <c r="S52" s="128"/>
      <c r="T52" s="133">
        <f t="shared" ref="T52:AC52" si="129">T38-T40</f>
        <v>604.16000000000008</v>
      </c>
      <c r="U52" s="133">
        <f t="shared" si="129"/>
        <v>712.90879999999993</v>
      </c>
      <c r="V52" s="133">
        <f t="shared" si="129"/>
        <v>841.23238399999991</v>
      </c>
      <c r="W52" s="133">
        <f t="shared" si="129"/>
        <v>992.65421311999989</v>
      </c>
      <c r="X52" s="133">
        <f t="shared" si="129"/>
        <v>1171.3319714815998</v>
      </c>
      <c r="Y52" s="133">
        <f t="shared" si="129"/>
        <v>1382.1717263482878</v>
      </c>
      <c r="Z52" s="133">
        <f t="shared" si="129"/>
        <v>1630.96263709098</v>
      </c>
      <c r="AA52" s="133">
        <f t="shared" si="129"/>
        <v>1924.5359117673561</v>
      </c>
      <c r="AB52" s="133">
        <f t="shared" si="129"/>
        <v>2270.9523758854803</v>
      </c>
      <c r="AC52" s="133">
        <f t="shared" si="129"/>
        <v>2679.7238035448663</v>
      </c>
      <c r="AD52" s="138">
        <f t="shared" ref="AD52" si="130">((AC52/G52)^(1/($AC$3-$H$1) ))-1</f>
        <v>0.21337516126209999</v>
      </c>
      <c r="AE52" s="31">
        <f t="shared" si="15"/>
        <v>7.0000000000000007E-2</v>
      </c>
      <c r="AF52" s="146">
        <f t="shared" ref="AF52" si="131">(AC52*(1+AE52))/($C$1-AE52)</f>
        <v>19115.363131953382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32">C40/C42</f>
        <v>0</v>
      </c>
      <c r="D54" s="25">
        <f t="shared" si="132"/>
        <v>0</v>
      </c>
      <c r="E54" s="25">
        <f t="shared" si="132"/>
        <v>0</v>
      </c>
      <c r="F54" s="133">
        <f t="shared" si="132"/>
        <v>23.89853137516689</v>
      </c>
      <c r="G54" s="133">
        <f t="shared" si="132"/>
        <v>22.296395193591454</v>
      </c>
      <c r="H54" s="133">
        <f t="shared" si="132"/>
        <v>16.725559481743225</v>
      </c>
      <c r="I54" s="133">
        <f t="shared" si="132"/>
        <v>24.499411071849234</v>
      </c>
      <c r="J54" s="133">
        <f t="shared" si="132"/>
        <v>32.744405182567725</v>
      </c>
      <c r="K54" s="133">
        <f t="shared" si="132"/>
        <v>45.465253239104825</v>
      </c>
      <c r="L54" s="133">
        <f t="shared" si="132"/>
        <v>62.308598351001173</v>
      </c>
      <c r="M54" s="133">
        <f t="shared" si="132"/>
        <v>69.546891464699684</v>
      </c>
      <c r="N54" s="133">
        <f t="shared" si="132"/>
        <v>20.417193426042981</v>
      </c>
      <c r="O54" s="133">
        <f t="shared" si="132"/>
        <v>18.152992469282601</v>
      </c>
      <c r="P54" s="133">
        <f t="shared" si="132"/>
        <v>20.871287128712872</v>
      </c>
      <c r="Q54" s="133">
        <f t="shared" ref="Q54" si="133">Q40/Q42</f>
        <v>26.158415841584159</v>
      </c>
      <c r="R54" s="118">
        <f>((P54/G54)^(1/($H$2-$H$1) ))-1</f>
        <v>-6.5832967305256007E-3</v>
      </c>
      <c r="S54" s="128"/>
      <c r="T54" s="158">
        <f t="shared" ref="T54:AC54" si="134">T40/T42</f>
        <v>30.561317517890402</v>
      </c>
      <c r="U54" s="158">
        <f t="shared" si="134"/>
        <v>35.705301654565019</v>
      </c>
      <c r="V54" s="158">
        <f t="shared" si="134"/>
        <v>41.715104903353186</v>
      </c>
      <c r="W54" s="158">
        <f t="shared" si="134"/>
        <v>48.736459194016597</v>
      </c>
      <c r="X54" s="158">
        <f t="shared" si="134"/>
        <v>56.939625593009488</v>
      </c>
      <c r="Y54" s="158">
        <f t="shared" si="134"/>
        <v>66.523522970050678</v>
      </c>
      <c r="Z54" s="158">
        <f t="shared" si="134"/>
        <v>77.720551588772068</v>
      </c>
      <c r="AA54" s="158">
        <f t="shared" si="134"/>
        <v>90.80222858886242</v>
      </c>
      <c r="AB54" s="158">
        <f t="shared" si="134"/>
        <v>106.08577201471053</v>
      </c>
      <c r="AC54" s="158">
        <f t="shared" si="134"/>
        <v>123.94179304688952</v>
      </c>
      <c r="AD54" s="138">
        <f t="shared" ref="AD54:AD68" si="135">((AC54/G54)^(1/($AC$3-$H$1) ))-1</f>
        <v>8.9554995074211829E-2</v>
      </c>
      <c r="AE54" s="31">
        <f t="shared" si="15"/>
        <v>7.0000000000000007E-2</v>
      </c>
      <c r="AF54" s="146">
        <f t="shared" ref="AF54:AF82" si="136">(AC54*(1+AE54))/($C$1-AE54)</f>
        <v>884.11812373447867</v>
      </c>
    </row>
    <row r="55" spans="2:32" x14ac:dyDescent="0.2">
      <c r="B55" s="20" t="s">
        <v>388</v>
      </c>
      <c r="C55" s="133">
        <f t="shared" ref="C55:F55" si="137">C20/C42</f>
        <v>0</v>
      </c>
      <c r="D55" s="133">
        <f t="shared" si="137"/>
        <v>0</v>
      </c>
      <c r="E55" s="133">
        <f t="shared" si="137"/>
        <v>0</v>
      </c>
      <c r="F55" s="133">
        <f t="shared" si="137"/>
        <v>-102.40320427236315</v>
      </c>
      <c r="G55" s="133">
        <f>G20/G42</f>
        <v>-173.83177570093457</v>
      </c>
      <c r="H55" s="133">
        <f t="shared" ref="H55:P55" si="138">H20/H42</f>
        <v>-183.39222614840989</v>
      </c>
      <c r="I55" s="133">
        <f t="shared" si="138"/>
        <v>-259.36395759717311</v>
      </c>
      <c r="J55" s="133">
        <f t="shared" si="138"/>
        <v>-267.72673733804476</v>
      </c>
      <c r="K55" s="133">
        <f t="shared" si="138"/>
        <v>-456.77267373380448</v>
      </c>
      <c r="L55" s="133">
        <f t="shared" si="138"/>
        <v>-578.20965842167254</v>
      </c>
      <c r="M55" s="133">
        <f t="shared" si="138"/>
        <v>-1001.2644889357218</v>
      </c>
      <c r="N55" s="133">
        <f t="shared" si="138"/>
        <v>-216.32954066582386</v>
      </c>
      <c r="O55" s="133">
        <f t="shared" si="138"/>
        <v>-234.20531113753466</v>
      </c>
      <c r="P55" s="133">
        <f t="shared" si="138"/>
        <v>-249.20792079207922</v>
      </c>
      <c r="Q55" s="133">
        <f t="shared" ref="Q55" si="139">Q20/Q42</f>
        <v>-227.76237623762376</v>
      </c>
      <c r="R55" s="118">
        <f>((P55/G55)^(1/($H$2-$H$1) ))-1</f>
        <v>3.6676532755120617E-2</v>
      </c>
      <c r="S55" s="128"/>
      <c r="T55" s="133">
        <f t="shared" ref="T55:AC55" si="140">T20/T42</f>
        <v>-266.09861778257027</v>
      </c>
      <c r="U55" s="133">
        <f t="shared" si="140"/>
        <v>-310.8874940430029</v>
      </c>
      <c r="V55" s="133">
        <f t="shared" si="140"/>
        <v>-363.21509205024097</v>
      </c>
      <c r="W55" s="133">
        <f t="shared" si="140"/>
        <v>-424.35030556364791</v>
      </c>
      <c r="X55" s="133">
        <f t="shared" si="140"/>
        <v>-495.77560451990547</v>
      </c>
      <c r="Y55" s="133">
        <f t="shared" si="140"/>
        <v>-579.22298349850348</v>
      </c>
      <c r="Z55" s="133">
        <f t="shared" si="140"/>
        <v>-676.7159609190436</v>
      </c>
      <c r="AA55" s="133">
        <f t="shared" si="140"/>
        <v>-790.61864741036777</v>
      </c>
      <c r="AB55" s="133">
        <f t="shared" si="140"/>
        <v>-923.69307321211284</v>
      </c>
      <c r="AC55" s="133">
        <f t="shared" si="140"/>
        <v>-1079.1661647428643</v>
      </c>
      <c r="AD55" s="138">
        <f t="shared" ref="AD55" si="141">((AC55/G55)^(1/($AC$3-$H$1) ))-1</f>
        <v>9.5589742978437142E-2</v>
      </c>
      <c r="AE55" s="31">
        <f t="shared" si="15"/>
        <v>7.0000000000000007E-2</v>
      </c>
      <c r="AF55" s="146">
        <f t="shared" si="136"/>
        <v>-7698.0519751657666</v>
      </c>
    </row>
    <row r="56" spans="2:32" x14ac:dyDescent="0.2">
      <c r="B56" s="20" t="s">
        <v>245</v>
      </c>
      <c r="C56" s="25">
        <f t="shared" ref="C56:P56" si="142">C7/C42</f>
        <v>0</v>
      </c>
      <c r="D56" s="25">
        <f t="shared" si="142"/>
        <v>0</v>
      </c>
      <c r="E56" s="25">
        <f t="shared" si="142"/>
        <v>0</v>
      </c>
      <c r="F56" s="133">
        <f t="shared" si="142"/>
        <v>114.95327102803738</v>
      </c>
      <c r="G56" s="133">
        <f t="shared" si="142"/>
        <v>128.30440587449934</v>
      </c>
      <c r="H56" s="133">
        <f t="shared" si="142"/>
        <v>142.52061248527679</v>
      </c>
      <c r="I56" s="133">
        <f t="shared" si="142"/>
        <v>160.42402826855124</v>
      </c>
      <c r="J56" s="133">
        <f t="shared" si="142"/>
        <v>183.9811542991755</v>
      </c>
      <c r="K56" s="133">
        <f t="shared" si="142"/>
        <v>218.37455830388691</v>
      </c>
      <c r="L56" s="133">
        <f t="shared" si="142"/>
        <v>266.43109540636044</v>
      </c>
      <c r="M56" s="133">
        <f t="shared" si="142"/>
        <v>362.6975763962065</v>
      </c>
      <c r="N56" s="133">
        <f t="shared" si="142"/>
        <v>88.305941845764849</v>
      </c>
      <c r="O56" s="133">
        <f t="shared" si="142"/>
        <v>113.15893777249306</v>
      </c>
      <c r="P56" s="133">
        <f t="shared" si="142"/>
        <v>129.36633663366337</v>
      </c>
      <c r="Q56" s="133">
        <f t="shared" ref="Q56" si="143">Q7/Q42</f>
        <v>150.19801980198019</v>
      </c>
      <c r="R56" s="118">
        <f>((P56/G56)^(1/($H$2-$H$1) ))-1</f>
        <v>8.2459850639238219E-4</v>
      </c>
      <c r="S56" s="128"/>
      <c r="T56" s="158">
        <f t="shared" ref="T56:AC56" si="144">T7/T42</f>
        <v>175.47887462013526</v>
      </c>
      <c r="U56" s="158">
        <f t="shared" si="144"/>
        <v>205.01492282352436</v>
      </c>
      <c r="V56" s="158">
        <f t="shared" si="144"/>
        <v>239.52238508094928</v>
      </c>
      <c r="W56" s="158">
        <f t="shared" si="144"/>
        <v>279.83803405497042</v>
      </c>
      <c r="X56" s="158">
        <f t="shared" si="144"/>
        <v>326.93948533154952</v>
      </c>
      <c r="Y56" s="158">
        <f t="shared" si="144"/>
        <v>381.96890365468164</v>
      </c>
      <c r="Z56" s="158">
        <f t="shared" si="144"/>
        <v>446.26069931933097</v>
      </c>
      <c r="AA56" s="158">
        <f t="shared" si="144"/>
        <v>521.37388633347587</v>
      </c>
      <c r="AB56" s="158">
        <f t="shared" si="144"/>
        <v>609.12988700346671</v>
      </c>
      <c r="AC56" s="158">
        <f t="shared" si="144"/>
        <v>711.65669966741655</v>
      </c>
      <c r="AD56" s="138">
        <f t="shared" si="135"/>
        <v>8.9435313525386029E-2</v>
      </c>
      <c r="AE56" s="31">
        <f t="shared" si="15"/>
        <v>7.0000000000000007E-2</v>
      </c>
      <c r="AF56" s="146">
        <f t="shared" si="136"/>
        <v>5076.4844576275718</v>
      </c>
    </row>
    <row r="57" spans="2:32" x14ac:dyDescent="0.2">
      <c r="B57" s="20" t="s">
        <v>246</v>
      </c>
      <c r="C57" s="127">
        <f t="shared" ref="C57:P57" si="145">C6/C42</f>
        <v>0</v>
      </c>
      <c r="D57" s="127">
        <f t="shared" si="145"/>
        <v>0</v>
      </c>
      <c r="E57" s="127">
        <f t="shared" si="145"/>
        <v>0</v>
      </c>
      <c r="F57" s="144">
        <f t="shared" si="145"/>
        <v>104.93991989319092</v>
      </c>
      <c r="G57" s="144">
        <f t="shared" si="145"/>
        <v>118.29105473965286</v>
      </c>
      <c r="H57" s="144">
        <f t="shared" si="145"/>
        <v>132.50883392226149</v>
      </c>
      <c r="I57" s="144">
        <f t="shared" si="145"/>
        <v>150.29446407538279</v>
      </c>
      <c r="J57" s="144">
        <f t="shared" si="145"/>
        <v>173.96937573616017</v>
      </c>
      <c r="K57" s="144">
        <f t="shared" si="145"/>
        <v>208.36277974087162</v>
      </c>
      <c r="L57" s="144">
        <f t="shared" si="145"/>
        <v>256.41931684334509</v>
      </c>
      <c r="M57" s="144">
        <f t="shared" si="145"/>
        <v>352.68703898840886</v>
      </c>
      <c r="N57" s="144">
        <f t="shared" si="145"/>
        <v>86.304256215760645</v>
      </c>
      <c r="O57" s="144">
        <f t="shared" si="145"/>
        <v>111.1573523583036</v>
      </c>
      <c r="P57" s="144">
        <f t="shared" si="145"/>
        <v>127.36633663366337</v>
      </c>
      <c r="Q57" s="144">
        <f t="shared" ref="Q57" si="146">Q6/Q42</f>
        <v>148.19801980198019</v>
      </c>
      <c r="R57" s="118">
        <f>((P57/G57)^(1/($H$2-$H$1) ))-1</f>
        <v>7.4193199218703931E-3</v>
      </c>
      <c r="S57" s="128"/>
      <c r="T57" s="157">
        <f t="shared" ref="T57:AC57" si="147">T6/T42</f>
        <v>173.14224095676892</v>
      </c>
      <c r="U57" s="157">
        <f t="shared" si="147"/>
        <v>202.28499438513597</v>
      </c>
      <c r="V57" s="157">
        <f t="shared" si="147"/>
        <v>236.33296373708956</v>
      </c>
      <c r="W57" s="157">
        <f t="shared" si="147"/>
        <v>276.11177941560959</v>
      </c>
      <c r="X57" s="157">
        <f t="shared" si="147"/>
        <v>322.58603931724679</v>
      </c>
      <c r="Y57" s="157">
        <f t="shared" si="147"/>
        <v>376.88269940034775</v>
      </c>
      <c r="Z57" s="157">
        <f t="shared" si="147"/>
        <v>440.31840127961419</v>
      </c>
      <c r="AA57" s="157">
        <f t="shared" si="147"/>
        <v>514.43139951479679</v>
      </c>
      <c r="AB57" s="157">
        <f t="shared" si="147"/>
        <v>601.01886279946541</v>
      </c>
      <c r="AC57" s="157">
        <f t="shared" si="147"/>
        <v>702.18045356769221</v>
      </c>
      <c r="AD57" s="138">
        <f t="shared" si="135"/>
        <v>9.3137622303416157E-2</v>
      </c>
      <c r="AE57" s="31">
        <f t="shared" si="15"/>
        <v>7.0000000000000007E-2</v>
      </c>
      <c r="AF57" s="146">
        <f t="shared" si="136"/>
        <v>5008.8872354495379</v>
      </c>
    </row>
    <row r="58" spans="2:32" x14ac:dyDescent="0.2">
      <c r="B58" s="20" t="s">
        <v>247</v>
      </c>
      <c r="C58" s="127">
        <f t="shared" ref="C58:P58" si="148">C10/C42</f>
        <v>0</v>
      </c>
      <c r="D58" s="127">
        <f t="shared" si="148"/>
        <v>0</v>
      </c>
      <c r="E58" s="127">
        <f t="shared" si="148"/>
        <v>0</v>
      </c>
      <c r="F58" s="144">
        <f t="shared" si="148"/>
        <v>988.51802403204272</v>
      </c>
      <c r="G58" s="144">
        <f t="shared" si="148"/>
        <v>1225.233644859813</v>
      </c>
      <c r="H58" s="144">
        <f t="shared" si="148"/>
        <v>1301.1778563015312</v>
      </c>
      <c r="I58" s="144">
        <f t="shared" si="148"/>
        <v>1623.0859835100118</v>
      </c>
      <c r="J58" s="144">
        <f t="shared" si="148"/>
        <v>1923.6749116607773</v>
      </c>
      <c r="K58" s="144">
        <f t="shared" si="148"/>
        <v>2396.2308598351001</v>
      </c>
      <c r="L58" s="144">
        <f t="shared" si="148"/>
        <v>2994.2285041224968</v>
      </c>
      <c r="M58" s="144">
        <f t="shared" si="148"/>
        <v>3662.5922023182297</v>
      </c>
      <c r="N58" s="144">
        <f t="shared" si="148"/>
        <v>951.58027812895068</v>
      </c>
      <c r="O58" s="144">
        <f t="shared" si="148"/>
        <v>948.65239793896149</v>
      </c>
      <c r="P58" s="144">
        <f t="shared" si="148"/>
        <v>1162.4752475247524</v>
      </c>
      <c r="Q58" s="144">
        <f t="shared" ref="Q58" si="149">Q10/Q42</f>
        <v>1414.8514851485149</v>
      </c>
      <c r="R58" s="118">
        <f>((P58/G58)^(1/($H$2-$H$1) ))-1</f>
        <v>-5.244199969458907E-3</v>
      </c>
      <c r="S58" s="128"/>
      <c r="T58" s="157">
        <f t="shared" ref="T58:AC58" si="150">T10/T42</f>
        <v>1652.9948044309381</v>
      </c>
      <c r="U58" s="157">
        <f t="shared" si="150"/>
        <v>1931.2216527014918</v>
      </c>
      <c r="V58" s="157">
        <f t="shared" si="150"/>
        <v>2256.278762562139</v>
      </c>
      <c r="W58" s="157">
        <f t="shared" si="150"/>
        <v>2636.048455270618</v>
      </c>
      <c r="X58" s="157">
        <f t="shared" si="150"/>
        <v>3079.7397794250783</v>
      </c>
      <c r="Y58" s="157">
        <f t="shared" si="150"/>
        <v>3598.1118215065276</v>
      </c>
      <c r="Z58" s="157">
        <f t="shared" si="150"/>
        <v>4203.73460334426</v>
      </c>
      <c r="AA58" s="157">
        <f t="shared" si="150"/>
        <v>4911.2938930160653</v>
      </c>
      <c r="AB58" s="157">
        <f t="shared" si="150"/>
        <v>5737.9473205534232</v>
      </c>
      <c r="AC58" s="157">
        <f t="shared" si="150"/>
        <v>6703.7404339138993</v>
      </c>
      <c r="AD58" s="138">
        <f t="shared" si="135"/>
        <v>8.8691704678192984E-2</v>
      </c>
      <c r="AE58" s="31">
        <f t="shared" si="15"/>
        <v>7.0000000000000007E-2</v>
      </c>
      <c r="AF58" s="146">
        <f t="shared" si="136"/>
        <v>47820.015095252485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51">(C7-C10)/C42</f>
        <v>0</v>
      </c>
      <c r="D60" s="127">
        <f t="shared" si="151"/>
        <v>0</v>
      </c>
      <c r="E60" s="127">
        <f t="shared" si="151"/>
        <v>0</v>
      </c>
      <c r="F60" s="144">
        <f t="shared" si="151"/>
        <v>-873.5647530040053</v>
      </c>
      <c r="G60" s="144">
        <f t="shared" si="151"/>
        <v>-1096.9292389853138</v>
      </c>
      <c r="H60" s="144">
        <f t="shared" si="151"/>
        <v>-1158.6572438162543</v>
      </c>
      <c r="I60" s="144">
        <f t="shared" si="151"/>
        <v>-1462.6619552414604</v>
      </c>
      <c r="J60" s="144">
        <f t="shared" si="151"/>
        <v>-1739.6937573616019</v>
      </c>
      <c r="K60" s="144">
        <f t="shared" si="151"/>
        <v>-2177.8563015312129</v>
      </c>
      <c r="L60" s="144">
        <f t="shared" si="151"/>
        <v>-2727.7974087161365</v>
      </c>
      <c r="M60" s="144">
        <f t="shared" si="151"/>
        <v>-3299.8946259220229</v>
      </c>
      <c r="N60" s="144">
        <f t="shared" si="151"/>
        <v>-863.27433628318579</v>
      </c>
      <c r="O60" s="144">
        <f t="shared" si="151"/>
        <v>-835.49346016646848</v>
      </c>
      <c r="P60" s="144">
        <f t="shared" si="151"/>
        <v>-1033.1089108910892</v>
      </c>
      <c r="Q60" s="144">
        <f t="shared" ref="Q60" si="152">(Q7-Q10)/Q42</f>
        <v>-1264.6534653465346</v>
      </c>
      <c r="R60" s="118">
        <f>((P60/G60)^(1/($H$2-$H$1) ))-1</f>
        <v>-5.9762764770119325E-3</v>
      </c>
      <c r="S60" s="128"/>
      <c r="T60" s="157">
        <f t="shared" ref="T60:AC60" si="153">(T7-T10)/T42</f>
        <v>-1477.5159298108026</v>
      </c>
      <c r="U60" s="157">
        <f t="shared" si="153"/>
        <v>-1726.2067298779675</v>
      </c>
      <c r="V60" s="157">
        <f t="shared" si="153"/>
        <v>-2016.7563774811899</v>
      </c>
      <c r="W60" s="157">
        <f t="shared" si="153"/>
        <v>-2356.2104212156473</v>
      </c>
      <c r="X60" s="157">
        <f t="shared" si="153"/>
        <v>-2752.8002940935289</v>
      </c>
      <c r="Y60" s="157">
        <f t="shared" si="153"/>
        <v>-3216.1429178518461</v>
      </c>
      <c r="Z60" s="157">
        <f t="shared" si="153"/>
        <v>-3757.4739040249287</v>
      </c>
      <c r="AA60" s="157">
        <f t="shared" si="153"/>
        <v>-4389.9200066825897</v>
      </c>
      <c r="AB60" s="157">
        <f t="shared" si="153"/>
        <v>-5128.8174335499561</v>
      </c>
      <c r="AC60" s="157">
        <f t="shared" si="153"/>
        <v>-5992.0837342464829</v>
      </c>
      <c r="AD60" s="138">
        <f t="shared" si="135"/>
        <v>8.8604093415905805E-2</v>
      </c>
      <c r="AE60" s="31">
        <f t="shared" si="15"/>
        <v>7.0000000000000007E-2</v>
      </c>
      <c r="AF60" s="146">
        <f t="shared" si="136"/>
        <v>-42743.530637624914</v>
      </c>
    </row>
    <row r="61" spans="2:32" x14ac:dyDescent="0.2">
      <c r="B61" s="20" t="s">
        <v>271</v>
      </c>
      <c r="C61" s="127">
        <f t="shared" ref="C61:P61" si="154">(C7-C10-C9)/C42</f>
        <v>0</v>
      </c>
      <c r="D61" s="127">
        <f t="shared" si="154"/>
        <v>0</v>
      </c>
      <c r="E61" s="127">
        <f t="shared" si="154"/>
        <v>0</v>
      </c>
      <c r="F61" s="144">
        <f t="shared" si="154"/>
        <v>-909.61281708945262</v>
      </c>
      <c r="G61" s="144">
        <f t="shared" si="154"/>
        <v>-1134.0453938584778</v>
      </c>
      <c r="H61" s="144">
        <f t="shared" si="154"/>
        <v>-1207.6560659599529</v>
      </c>
      <c r="I61" s="144">
        <f t="shared" si="154"/>
        <v>-1517.5500588928151</v>
      </c>
      <c r="J61" s="144">
        <f t="shared" si="154"/>
        <v>-1814.4876325088339</v>
      </c>
      <c r="K61" s="144">
        <f t="shared" si="154"/>
        <v>-2275.5005889281506</v>
      </c>
      <c r="L61" s="144">
        <f t="shared" si="154"/>
        <v>-2886.3368669022379</v>
      </c>
      <c r="M61" s="144">
        <f t="shared" si="154"/>
        <v>-3478.9251844046362</v>
      </c>
      <c r="N61" s="144">
        <f t="shared" si="154"/>
        <v>-939.29624947324055</v>
      </c>
      <c r="O61" s="144">
        <f t="shared" si="154"/>
        <v>-1034.4034879112169</v>
      </c>
      <c r="P61" s="144">
        <f t="shared" si="154"/>
        <v>-1318.5940594059407</v>
      </c>
      <c r="Q61" s="144">
        <f t="shared" ref="Q61" si="155">(Q7-Q10-Q9)/Q42</f>
        <v>-1576.4158415841584</v>
      </c>
      <c r="R61" s="118">
        <f>((P61/G61)^(1/($H$2-$H$1) ))-1</f>
        <v>1.5191721475330544E-2</v>
      </c>
      <c r="S61" s="128"/>
      <c r="T61" s="157">
        <f t="shared" ref="T61:AC61" si="156">(T7-T10-T9)/T42</f>
        <v>-1841.7531614547593</v>
      </c>
      <c r="U61" s="157">
        <f t="shared" si="156"/>
        <v>-2151.7512183332828</v>
      </c>
      <c r="V61" s="157">
        <f t="shared" si="156"/>
        <v>-2513.9271659735386</v>
      </c>
      <c r="W61" s="157">
        <f t="shared" si="156"/>
        <v>-2937.0634216324511</v>
      </c>
      <c r="X61" s="157">
        <f t="shared" si="156"/>
        <v>-3431.4206312141505</v>
      </c>
      <c r="Y61" s="157">
        <f t="shared" si="156"/>
        <v>-4008.9864800323744</v>
      </c>
      <c r="Z61" s="157">
        <f t="shared" si="156"/>
        <v>-4683.7663826120806</v>
      </c>
      <c r="AA61" s="157">
        <f t="shared" si="156"/>
        <v>-5472.1231004774809</v>
      </c>
      <c r="AB61" s="157">
        <f t="shared" si="156"/>
        <v>-6393.1735233301251</v>
      </c>
      <c r="AC61" s="157">
        <f t="shared" si="156"/>
        <v>-7469.2522351777689</v>
      </c>
      <c r="AD61" s="138">
        <f t="shared" si="135"/>
        <v>9.8834621129625155E-2</v>
      </c>
      <c r="AE61" s="31">
        <f t="shared" si="15"/>
        <v>7.0000000000000007E-2</v>
      </c>
      <c r="AF61" s="146">
        <f t="shared" si="136"/>
        <v>-53280.66594426809</v>
      </c>
    </row>
    <row r="62" spans="2:32" x14ac:dyDescent="0.2">
      <c r="B62" s="20" t="s">
        <v>276</v>
      </c>
      <c r="C62" s="127">
        <f t="shared" ref="C62:P62" si="157">(C7+C15-C10-C9)/C42</f>
        <v>0</v>
      </c>
      <c r="D62" s="127">
        <f t="shared" si="157"/>
        <v>0</v>
      </c>
      <c r="E62" s="127">
        <f t="shared" si="157"/>
        <v>0</v>
      </c>
      <c r="F62" s="144">
        <f t="shared" si="157"/>
        <v>-898.39786381842453</v>
      </c>
      <c r="G62" s="144">
        <f t="shared" si="157"/>
        <v>-1118.8251001335113</v>
      </c>
      <c r="H62" s="144">
        <f t="shared" si="157"/>
        <v>-1189.3992932862191</v>
      </c>
      <c r="I62" s="144">
        <f t="shared" si="157"/>
        <v>-1497.997644287397</v>
      </c>
      <c r="J62" s="144">
        <f t="shared" si="157"/>
        <v>-1793.7573616018844</v>
      </c>
      <c r="K62" s="144">
        <f t="shared" si="157"/>
        <v>-2257.9505300353358</v>
      </c>
      <c r="L62" s="144">
        <f t="shared" si="157"/>
        <v>-2870.7891637220259</v>
      </c>
      <c r="M62" s="144">
        <f t="shared" si="157"/>
        <v>-3451.1064278187564</v>
      </c>
      <c r="N62" s="144">
        <f t="shared" si="157"/>
        <v>-930.50990307627478</v>
      </c>
      <c r="O62" s="144">
        <f t="shared" si="157"/>
        <v>-1028.2203725723346</v>
      </c>
      <c r="P62" s="144">
        <f t="shared" si="157"/>
        <v>-1287.1485148514851</v>
      </c>
      <c r="Q62" s="144">
        <f t="shared" ref="Q62" si="158">(Q7+Q15-Q10-Q9)/Q42</f>
        <v>-1514.1188118811881</v>
      </c>
      <c r="R62" s="118">
        <f>((P62/G62)^(1/($H$2-$H$1) ))-1</f>
        <v>1.4113690928005074E-2</v>
      </c>
      <c r="S62" s="128"/>
      <c r="T62" s="157">
        <f t="shared" ref="T62:AC62" si="159">(T7+T15-T10-T9)/T42</f>
        <v>-1768.9704930889127</v>
      </c>
      <c r="U62" s="157">
        <f t="shared" si="159"/>
        <v>-2066.7180018266504</v>
      </c>
      <c r="V62" s="157">
        <f t="shared" si="159"/>
        <v>-2414.5814278766807</v>
      </c>
      <c r="W62" s="157">
        <f t="shared" si="159"/>
        <v>-2820.9961236579043</v>
      </c>
      <c r="X62" s="157">
        <f t="shared" si="159"/>
        <v>-3295.8172533825023</v>
      </c>
      <c r="Y62" s="157">
        <f t="shared" si="159"/>
        <v>-3850.5587712785668</v>
      </c>
      <c r="Z62" s="157">
        <f t="shared" si="159"/>
        <v>-4498.6726238700085</v>
      </c>
      <c r="AA62" s="157">
        <f t="shared" si="159"/>
        <v>-5255.8749466996142</v>
      </c>
      <c r="AB62" s="157">
        <f t="shared" si="159"/>
        <v>-6140.5271654510334</v>
      </c>
      <c r="AC62" s="157">
        <f t="shared" si="159"/>
        <v>-7174.0812428041772</v>
      </c>
      <c r="AD62" s="138">
        <f t="shared" si="135"/>
        <v>9.7362726006831712E-2</v>
      </c>
      <c r="AE62" s="31">
        <f t="shared" si="15"/>
        <v>7.0000000000000007E-2</v>
      </c>
      <c r="AF62" s="146">
        <f t="shared" si="136"/>
        <v>-51175.112865336472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60">C12/C42</f>
        <v>0</v>
      </c>
      <c r="D64" s="127">
        <f t="shared" si="160"/>
        <v>0</v>
      </c>
      <c r="E64" s="127">
        <f t="shared" si="160"/>
        <v>0</v>
      </c>
      <c r="F64" s="144">
        <f t="shared" si="160"/>
        <v>59.012016021361816</v>
      </c>
      <c r="G64" s="144">
        <f t="shared" si="160"/>
        <v>53.538050734312414</v>
      </c>
      <c r="H64" s="144">
        <f t="shared" si="160"/>
        <v>26.972909305064782</v>
      </c>
      <c r="I64" s="144">
        <f t="shared" si="160"/>
        <v>56.654888103651352</v>
      </c>
      <c r="J64" s="144">
        <f t="shared" si="160"/>
        <v>91.872791519434628</v>
      </c>
      <c r="K64" s="144">
        <f t="shared" si="160"/>
        <v>42.756183745583037</v>
      </c>
      <c r="L64" s="144">
        <f t="shared" si="160"/>
        <v>15.429917550058892</v>
      </c>
      <c r="M64" s="144">
        <f t="shared" si="160"/>
        <v>28.451001053740779</v>
      </c>
      <c r="N64" s="144">
        <f t="shared" si="160"/>
        <v>9.2288242730720604</v>
      </c>
      <c r="O64" s="144">
        <f t="shared" si="160"/>
        <v>6.4803804994054692</v>
      </c>
      <c r="P64" s="144">
        <f t="shared" si="160"/>
        <v>30.158415841584159</v>
      </c>
      <c r="Q64" s="144">
        <f t="shared" ref="Q64" si="161">Q12/Q42</f>
        <v>60.871287128712872</v>
      </c>
      <c r="R64" s="118">
        <f>((P64/G64)^(1/($H$2-$H$1) ))-1</f>
        <v>-5.577695221820711E-2</v>
      </c>
      <c r="S64" s="128"/>
      <c r="T64" s="157">
        <f t="shared" ref="T64:AC64" si="162">T12/T42</f>
        <v>71.116949318694239</v>
      </c>
      <c r="U64" s="157">
        <f t="shared" si="162"/>
        <v>83.087128906989307</v>
      </c>
      <c r="V64" s="157">
        <f t="shared" si="162"/>
        <v>97.072091198264729</v>
      </c>
      <c r="W64" s="157">
        <f t="shared" si="162"/>
        <v>113.41095803361623</v>
      </c>
      <c r="X64" s="157">
        <f t="shared" si="162"/>
        <v>132.49993116798728</v>
      </c>
      <c r="Y64" s="157">
        <f t="shared" si="162"/>
        <v>154.8018997804208</v>
      </c>
      <c r="Z64" s="157">
        <f t="shared" si="162"/>
        <v>180.85766508999654</v>
      </c>
      <c r="AA64" s="157">
        <f t="shared" si="162"/>
        <v>211.29905426356032</v>
      </c>
      <c r="AB64" s="157">
        <f t="shared" si="162"/>
        <v>246.8642416148526</v>
      </c>
      <c r="AC64" s="157">
        <f t="shared" si="162"/>
        <v>288.41564861933273</v>
      </c>
      <c r="AD64" s="138">
        <f t="shared" si="135"/>
        <v>8.7846987129751142E-2</v>
      </c>
      <c r="AE64" s="31">
        <f t="shared" si="15"/>
        <v>7.0000000000000007E-2</v>
      </c>
      <c r="AF64" s="146">
        <f t="shared" si="136"/>
        <v>2057.3649601512402</v>
      </c>
    </row>
    <row r="65" spans="2:32" x14ac:dyDescent="0.2">
      <c r="B65" s="20" t="s">
        <v>255</v>
      </c>
      <c r="C65" s="127">
        <f t="shared" ref="C65:P65" si="163">C13/C42</f>
        <v>0</v>
      </c>
      <c r="D65" s="127">
        <f t="shared" si="163"/>
        <v>0</v>
      </c>
      <c r="E65" s="127">
        <f t="shared" si="163"/>
        <v>0</v>
      </c>
      <c r="F65" s="144">
        <f t="shared" si="163"/>
        <v>38.851802403204275</v>
      </c>
      <c r="G65" s="144">
        <f t="shared" si="163"/>
        <v>17.89052069425901</v>
      </c>
      <c r="H65" s="144">
        <f t="shared" si="163"/>
        <v>10.580683156654887</v>
      </c>
      <c r="I65" s="144">
        <f t="shared" si="163"/>
        <v>38.63368669022379</v>
      </c>
      <c r="J65" s="144">
        <f t="shared" si="163"/>
        <v>26.030624263839812</v>
      </c>
      <c r="K65" s="144">
        <f t="shared" si="163"/>
        <v>93.404004711425202</v>
      </c>
      <c r="L65" s="144">
        <f t="shared" si="163"/>
        <v>135.21790341578327</v>
      </c>
      <c r="M65" s="144">
        <f t="shared" si="163"/>
        <v>151.00105374077975</v>
      </c>
      <c r="N65" s="144">
        <f t="shared" si="163"/>
        <v>29.81458069953645</v>
      </c>
      <c r="O65" s="144">
        <f t="shared" si="163"/>
        <v>3.4086405073325405</v>
      </c>
      <c r="P65" s="144">
        <f t="shared" si="163"/>
        <v>3.8613861386138613</v>
      </c>
      <c r="Q65" s="144">
        <f t="shared" ref="Q65" si="164">Q13/Q42</f>
        <v>3.8415841584158414</v>
      </c>
      <c r="R65" s="118">
        <f>((P65/G65)^(1/($H$2-$H$1) ))-1</f>
        <v>-0.1421486772468088</v>
      </c>
      <c r="S65" s="128"/>
      <c r="T65" s="157">
        <f t="shared" ref="T65:AC65" si="165">T13/T42</f>
        <v>4.4881874326046463</v>
      </c>
      <c r="U65" s="157">
        <f t="shared" si="165"/>
        <v>5.2436249212608734</v>
      </c>
      <c r="V65" s="157">
        <f t="shared" si="165"/>
        <v>6.126215254542406</v>
      </c>
      <c r="W65" s="157">
        <f t="shared" si="165"/>
        <v>7.1573603963960784</v>
      </c>
      <c r="X65" s="157">
        <f t="shared" si="165"/>
        <v>8.3620646215320509</v>
      </c>
      <c r="Y65" s="157">
        <f t="shared" si="165"/>
        <v>9.7695408449582377</v>
      </c>
      <c r="Z65" s="157">
        <f t="shared" si="165"/>
        <v>11.413919006980912</v>
      </c>
      <c r="AA65" s="157">
        <f t="shared" si="165"/>
        <v>13.335073691324235</v>
      </c>
      <c r="AB65" s="157">
        <f t="shared" si="165"/>
        <v>15.579591045309499</v>
      </c>
      <c r="AC65" s="157">
        <f t="shared" si="165"/>
        <v>18.201898448975452</v>
      </c>
      <c r="AD65" s="138">
        <f t="shared" si="135"/>
        <v>8.6311710158581967E-4</v>
      </c>
      <c r="AE65" s="31">
        <f t="shared" si="15"/>
        <v>7.0000000000000007E-2</v>
      </c>
      <c r="AF65" s="146">
        <f t="shared" si="136"/>
        <v>129.84020893602491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66">(D64+D65)</f>
        <v>0</v>
      </c>
      <c r="E66" s="127">
        <f t="shared" si="166"/>
        <v>0</v>
      </c>
      <c r="F66" s="144">
        <f t="shared" si="166"/>
        <v>97.863818424566091</v>
      </c>
      <c r="G66" s="144">
        <f t="shared" si="166"/>
        <v>71.428571428571416</v>
      </c>
      <c r="H66" s="144">
        <f t="shared" si="166"/>
        <v>37.553592461719667</v>
      </c>
      <c r="I66" s="144">
        <f t="shared" si="166"/>
        <v>95.288574793875142</v>
      </c>
      <c r="J66" s="144">
        <f t="shared" si="166"/>
        <v>117.90341578327444</v>
      </c>
      <c r="K66" s="144">
        <f t="shared" si="166"/>
        <v>136.16018845700825</v>
      </c>
      <c r="L66" s="144">
        <f t="shared" si="166"/>
        <v>150.64782096584216</v>
      </c>
      <c r="M66" s="144">
        <f t="shared" si="166"/>
        <v>179.45205479452054</v>
      </c>
      <c r="N66" s="144">
        <f t="shared" si="166"/>
        <v>39.043404972608514</v>
      </c>
      <c r="O66" s="144">
        <f t="shared" ref="O66" si="167">(O64+O65)</f>
        <v>9.8890210067380089</v>
      </c>
      <c r="P66" s="144">
        <f t="shared" si="166"/>
        <v>34.019801980198018</v>
      </c>
      <c r="Q66" s="144">
        <f t="shared" ref="Q66" si="168">(Q64+Q65)</f>
        <v>64.712871287128706</v>
      </c>
      <c r="R66" s="118">
        <f>((P66/G66)^(1/($H$2-$H$1) ))-1</f>
        <v>-7.1491290741523716E-2</v>
      </c>
      <c r="S66" s="128"/>
      <c r="T66" s="157">
        <f t="shared" ref="T66:AC66" si="169">(T64+T65)</f>
        <v>75.605136751298886</v>
      </c>
      <c r="U66" s="157">
        <f t="shared" si="169"/>
        <v>88.330753828250181</v>
      </c>
      <c r="V66" s="157">
        <f t="shared" si="169"/>
        <v>103.19830645280713</v>
      </c>
      <c r="W66" s="157">
        <f t="shared" si="169"/>
        <v>120.5683184300123</v>
      </c>
      <c r="X66" s="157">
        <f t="shared" si="169"/>
        <v>140.86199578951934</v>
      </c>
      <c r="Y66" s="157">
        <f t="shared" si="169"/>
        <v>164.57144062537904</v>
      </c>
      <c r="Z66" s="157">
        <f t="shared" si="169"/>
        <v>192.27158409697745</v>
      </c>
      <c r="AA66" s="157">
        <f t="shared" si="169"/>
        <v>224.63412795488455</v>
      </c>
      <c r="AB66" s="157">
        <f t="shared" si="169"/>
        <v>262.44383266016212</v>
      </c>
      <c r="AC66" s="157">
        <f t="shared" si="169"/>
        <v>306.61754706830817</v>
      </c>
      <c r="AD66" s="138">
        <f t="shared" si="135"/>
        <v>7.5563986198010857E-2</v>
      </c>
      <c r="AE66" s="31">
        <f t="shared" si="15"/>
        <v>7.0000000000000007E-2</v>
      </c>
      <c r="AF66" s="146">
        <f t="shared" si="136"/>
        <v>2187.2051690872649</v>
      </c>
    </row>
    <row r="67" spans="2:32" x14ac:dyDescent="0.2">
      <c r="B67" s="20" t="s">
        <v>249</v>
      </c>
      <c r="C67" s="127">
        <f t="shared" ref="C67:P67" si="170">C15/C42</f>
        <v>0</v>
      </c>
      <c r="D67" s="127">
        <f t="shared" si="170"/>
        <v>0</v>
      </c>
      <c r="E67" s="127">
        <f t="shared" si="170"/>
        <v>0</v>
      </c>
      <c r="F67" s="144">
        <f t="shared" si="170"/>
        <v>11.214953271028037</v>
      </c>
      <c r="G67" s="144">
        <f t="shared" si="170"/>
        <v>15.220293724966622</v>
      </c>
      <c r="H67" s="144">
        <f t="shared" si="170"/>
        <v>18.256772673733803</v>
      </c>
      <c r="I67" s="144">
        <f t="shared" si="170"/>
        <v>19.552414605418139</v>
      </c>
      <c r="J67" s="144">
        <f t="shared" si="170"/>
        <v>20.73027090694935</v>
      </c>
      <c r="K67" s="144">
        <f t="shared" si="170"/>
        <v>17.550058892815077</v>
      </c>
      <c r="L67" s="144">
        <f t="shared" si="170"/>
        <v>15.547703180212014</v>
      </c>
      <c r="M67" s="144">
        <f t="shared" si="170"/>
        <v>27.818756585879871</v>
      </c>
      <c r="N67" s="144">
        <f t="shared" si="170"/>
        <v>8.7863463969658664</v>
      </c>
      <c r="O67" s="144">
        <f t="shared" si="170"/>
        <v>6.183115338882283</v>
      </c>
      <c r="P67" s="144">
        <f t="shared" si="170"/>
        <v>31.445544554455445</v>
      </c>
      <c r="Q67" s="144">
        <f t="shared" ref="Q67" si="171">Q15/Q42</f>
        <v>62.297029702970299</v>
      </c>
      <c r="R67" s="118">
        <f>((P67/G67)^(1/($H$2-$H$1) ))-1</f>
        <v>7.5260293185619442E-2</v>
      </c>
      <c r="S67" s="128"/>
      <c r="T67" s="157">
        <f t="shared" ref="T67:AC67" si="172">T15/T42</f>
        <v>72.782668365846476</v>
      </c>
      <c r="U67" s="157">
        <f t="shared" si="172"/>
        <v>85.033216506632513</v>
      </c>
      <c r="V67" s="157">
        <f t="shared" si="172"/>
        <v>99.345738096857787</v>
      </c>
      <c r="W67" s="157">
        <f t="shared" si="172"/>
        <v>116.06729797454673</v>
      </c>
      <c r="X67" s="157">
        <f t="shared" si="172"/>
        <v>135.60337783164866</v>
      </c>
      <c r="Y67" s="157">
        <f t="shared" si="172"/>
        <v>158.42770875380734</v>
      </c>
      <c r="Z67" s="157">
        <f t="shared" si="172"/>
        <v>185.09375874207191</v>
      </c>
      <c r="AA67" s="157">
        <f t="shared" si="172"/>
        <v>216.24815377786621</v>
      </c>
      <c r="AB67" s="157">
        <f t="shared" si="172"/>
        <v>252.64635787909117</v>
      </c>
      <c r="AC67" s="157">
        <f t="shared" si="172"/>
        <v>295.17099237359167</v>
      </c>
      <c r="AD67" s="138">
        <f t="shared" si="135"/>
        <v>0.15979847158824079</v>
      </c>
      <c r="AE67" s="31">
        <f t="shared" si="15"/>
        <v>7.0000000000000007E-2</v>
      </c>
      <c r="AF67" s="146">
        <f t="shared" si="136"/>
        <v>2105.5530789316208</v>
      </c>
    </row>
    <row r="68" spans="2:32" x14ac:dyDescent="0.2">
      <c r="B68" s="20" t="s">
        <v>250</v>
      </c>
      <c r="C68" s="127">
        <f t="shared" ref="C68:P68" si="173">C16/C42</f>
        <v>0</v>
      </c>
      <c r="D68" s="127">
        <f t="shared" si="173"/>
        <v>0</v>
      </c>
      <c r="E68" s="127">
        <f t="shared" si="173"/>
        <v>0</v>
      </c>
      <c r="F68" s="144">
        <f t="shared" si="173"/>
        <v>1061.8157543391187</v>
      </c>
      <c r="G68" s="144">
        <f t="shared" si="173"/>
        <v>1332.4432576769025</v>
      </c>
      <c r="H68" s="144">
        <f t="shared" si="173"/>
        <v>1429.9175500588929</v>
      </c>
      <c r="I68" s="144">
        <f t="shared" si="173"/>
        <v>1741.2249705535924</v>
      </c>
      <c r="J68" s="144">
        <f t="shared" si="173"/>
        <v>2077.8563015312129</v>
      </c>
      <c r="K68" s="144">
        <f t="shared" si="173"/>
        <v>2516.6077738515901</v>
      </c>
      <c r="L68" s="144">
        <f t="shared" si="173"/>
        <v>3119.7879858657243</v>
      </c>
      <c r="M68" s="144">
        <f t="shared" si="173"/>
        <v>3869.1253951527924</v>
      </c>
      <c r="N68" s="144">
        <f t="shared" si="173"/>
        <v>1008.7652760219132</v>
      </c>
      <c r="O68" s="144">
        <f t="shared" si="173"/>
        <v>1056.6587395957195</v>
      </c>
      <c r="P68" s="144">
        <f t="shared" si="173"/>
        <v>1286.5346534653465</v>
      </c>
      <c r="Q68" s="144">
        <f t="shared" ref="Q68" si="174">Q16/Q42</f>
        <v>1559.5247524752476</v>
      </c>
      <c r="R68" s="118">
        <f>((P68/G68)^(1/($H$2-$H$1) ))-1</f>
        <v>-3.5000608752108198E-3</v>
      </c>
      <c r="S68" s="128"/>
      <c r="T68" s="157">
        <f t="shared" ref="T68:AC68" si="175">T16/T42</f>
        <v>1822.0190177433585</v>
      </c>
      <c r="U68" s="157">
        <f t="shared" si="175"/>
        <v>2128.695486076399</v>
      </c>
      <c r="V68" s="157">
        <f t="shared" si="175"/>
        <v>2486.9907659110404</v>
      </c>
      <c r="W68" s="157">
        <f t="shared" si="175"/>
        <v>2905.5931720544827</v>
      </c>
      <c r="X68" s="157">
        <f t="shared" si="175"/>
        <v>3394.6534089349398</v>
      </c>
      <c r="Y68" s="157">
        <f t="shared" si="175"/>
        <v>3966.030715389335</v>
      </c>
      <c r="Z68" s="157">
        <f t="shared" si="175"/>
        <v>4633.5804397617967</v>
      </c>
      <c r="AA68" s="157">
        <f t="shared" si="175"/>
        <v>5413.4900187316043</v>
      </c>
      <c r="AB68" s="157">
        <f t="shared" si="175"/>
        <v>6324.6715070329628</v>
      </c>
      <c r="AC68" s="157">
        <f t="shared" si="175"/>
        <v>7389.2201765335603</v>
      </c>
      <c r="AD68" s="138">
        <f t="shared" si="135"/>
        <v>8.9425393834080547E-2</v>
      </c>
      <c r="AE68" s="137"/>
      <c r="AF68" s="146">
        <f t="shared" si="136"/>
        <v>33587.364438788907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7.0000000000000007E-2</v>
      </c>
      <c r="AF69" s="146">
        <f t="shared" si="136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176">D44</f>
        <v>0</v>
      </c>
      <c r="E70" s="159">
        <f t="shared" si="176"/>
        <v>0</v>
      </c>
      <c r="F70" s="159">
        <f t="shared" si="176"/>
        <v>5.5</v>
      </c>
      <c r="G70" s="159">
        <f t="shared" si="176"/>
        <v>5</v>
      </c>
      <c r="H70" s="159">
        <f t="shared" si="176"/>
        <v>5</v>
      </c>
      <c r="I70" s="159">
        <f t="shared" si="176"/>
        <v>6</v>
      </c>
      <c r="J70" s="159">
        <f t="shared" si="176"/>
        <v>8</v>
      </c>
      <c r="K70" s="159">
        <f t="shared" si="176"/>
        <v>10</v>
      </c>
      <c r="L70" s="159">
        <f t="shared" si="176"/>
        <v>13</v>
      </c>
      <c r="M70" s="159">
        <f t="shared" si="176"/>
        <v>15</v>
      </c>
      <c r="N70" s="159">
        <f t="shared" si="176"/>
        <v>3.5</v>
      </c>
      <c r="O70" s="159">
        <f t="shared" si="176"/>
        <v>3.6</v>
      </c>
      <c r="P70" s="159">
        <f t="shared" si="176"/>
        <v>3.8</v>
      </c>
      <c r="Q70" s="159">
        <f t="shared" ref="Q70" si="177">Q44</f>
        <v>4.5</v>
      </c>
      <c r="R70" s="118">
        <f>((P70/G70)^(1/($H$2-$H$1) ))-1</f>
        <v>-2.7070528047903331E-2</v>
      </c>
      <c r="S70" s="128"/>
      <c r="T70" s="159">
        <f t="shared" ref="T70:AC70" si="178">T44</f>
        <v>4.7250000000000005</v>
      </c>
      <c r="U70" s="159">
        <f t="shared" si="178"/>
        <v>4.9612500000000006</v>
      </c>
      <c r="V70" s="159">
        <f t="shared" si="178"/>
        <v>5.2093125000000011</v>
      </c>
      <c r="W70" s="159">
        <f t="shared" si="178"/>
        <v>5.4697781250000013</v>
      </c>
      <c r="X70" s="159">
        <f t="shared" si="178"/>
        <v>5.7432670312500012</v>
      </c>
      <c r="Y70" s="159">
        <f t="shared" si="178"/>
        <v>6.0304303828125017</v>
      </c>
      <c r="Z70" s="159">
        <f t="shared" si="178"/>
        <v>6.3319519019531274</v>
      </c>
      <c r="AA70" s="159">
        <f t="shared" si="178"/>
        <v>6.6485494970507837</v>
      </c>
      <c r="AB70" s="159">
        <f t="shared" si="178"/>
        <v>6.9809769719033232</v>
      </c>
      <c r="AC70" s="159">
        <f t="shared" si="178"/>
        <v>7.3300258204984896</v>
      </c>
      <c r="AD70" s="138">
        <f t="shared" ref="AD70" si="179">((AC70/G70)^(1/($AC$3-$H$1) ))-1</f>
        <v>1.9311150295396873E-2</v>
      </c>
      <c r="AE70" s="31">
        <f t="shared" si="15"/>
        <v>7.0000000000000007E-2</v>
      </c>
      <c r="AF70" s="146">
        <f t="shared" si="136"/>
        <v>52.287517519555898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180">C20+C21</f>
        <v>0</v>
      </c>
      <c r="D72" s="127">
        <f t="shared" si="180"/>
        <v>0</v>
      </c>
      <c r="E72" s="127">
        <f t="shared" si="180"/>
        <v>0</v>
      </c>
      <c r="F72" s="144">
        <f t="shared" si="180"/>
        <v>-706</v>
      </c>
      <c r="G72" s="144">
        <f t="shared" si="180"/>
        <v>-1142</v>
      </c>
      <c r="H72" s="144">
        <f t="shared" si="180"/>
        <v>-1473</v>
      </c>
      <c r="I72" s="144">
        <f t="shared" si="180"/>
        <v>-2432</v>
      </c>
      <c r="J72" s="144">
        <f t="shared" si="180"/>
        <v>-2146</v>
      </c>
      <c r="K72" s="144">
        <f t="shared" si="180"/>
        <v>-4399</v>
      </c>
      <c r="L72" s="144">
        <f t="shared" si="180"/>
        <v>-5206</v>
      </c>
      <c r="M72" s="144">
        <f t="shared" si="180"/>
        <v>-9724</v>
      </c>
      <c r="N72" s="144">
        <f t="shared" si="180"/>
        <v>-10070</v>
      </c>
      <c r="O72" s="144">
        <f t="shared" si="180"/>
        <v>-11853</v>
      </c>
      <c r="P72" s="144">
        <f t="shared" si="180"/>
        <v>-12612</v>
      </c>
      <c r="Q72" s="144">
        <f t="shared" ref="Q72" si="181">Q20+Q21</f>
        <v>-11522</v>
      </c>
      <c r="R72" s="118">
        <f>((P72/G72)^(1/($H$2-$H$1) ))-1</f>
        <v>0.27148659485578674</v>
      </c>
      <c r="S72" s="128"/>
      <c r="T72" s="144">
        <f t="shared" ref="T72:AC72" si="182">T20+T21</f>
        <v>-13595.96</v>
      </c>
      <c r="U72" s="144">
        <f t="shared" si="182"/>
        <v>-16043.232799999998</v>
      </c>
      <c r="V72" s="144">
        <f t="shared" si="182"/>
        <v>-18931.014703999994</v>
      </c>
      <c r="W72" s="144">
        <f t="shared" si="182"/>
        <v>-22338.597350719996</v>
      </c>
      <c r="X72" s="144">
        <f t="shared" si="182"/>
        <v>-26359.544873849594</v>
      </c>
      <c r="Y72" s="144">
        <f t="shared" si="182"/>
        <v>-31104.262951142518</v>
      </c>
      <c r="Z72" s="144">
        <f t="shared" si="182"/>
        <v>-36703.030282348176</v>
      </c>
      <c r="AA72" s="144">
        <f t="shared" si="182"/>
        <v>-43309.575733170845</v>
      </c>
      <c r="AB72" s="144">
        <f t="shared" si="182"/>
        <v>-51105.299365141596</v>
      </c>
      <c r="AC72" s="144">
        <f t="shared" si="182"/>
        <v>-60304.253250867077</v>
      </c>
      <c r="AD72" s="138">
        <f t="shared" ref="AD72:AD77" si="183">((AC72/G72)^(1/($AC$3-$H$1) ))-1</f>
        <v>0.21936603012437472</v>
      </c>
      <c r="AE72" s="31">
        <f t="shared" si="15"/>
        <v>7.0000000000000007E-2</v>
      </c>
      <c r="AF72" s="146">
        <f t="shared" si="136"/>
        <v>-430170.33985618519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184">C72/C42</f>
        <v>0</v>
      </c>
      <c r="D74" s="127">
        <f t="shared" si="184"/>
        <v>0</v>
      </c>
      <c r="E74" s="127">
        <f t="shared" si="184"/>
        <v>0</v>
      </c>
      <c r="F74" s="144">
        <f t="shared" si="184"/>
        <v>-94.259012016021359</v>
      </c>
      <c r="G74" s="144">
        <f t="shared" si="184"/>
        <v>-152.46995994659545</v>
      </c>
      <c r="H74" s="144">
        <f t="shared" si="184"/>
        <v>-173.49823321554769</v>
      </c>
      <c r="I74" s="144">
        <f t="shared" si="184"/>
        <v>-286.45465253239104</v>
      </c>
      <c r="J74" s="144">
        <f t="shared" si="184"/>
        <v>-252.76796230859836</v>
      </c>
      <c r="K74" s="144">
        <f t="shared" si="184"/>
        <v>-518.13898704358064</v>
      </c>
      <c r="L74" s="144">
        <f t="shared" si="184"/>
        <v>-613.19199057714957</v>
      </c>
      <c r="M74" s="144">
        <f t="shared" si="184"/>
        <v>-1024.6575342465753</v>
      </c>
      <c r="N74" s="144">
        <f t="shared" si="184"/>
        <v>-212.17867678044669</v>
      </c>
      <c r="O74" s="144">
        <f t="shared" si="184"/>
        <v>-234.89892984542212</v>
      </c>
      <c r="P74" s="144">
        <f t="shared" si="184"/>
        <v>-249.74257425742573</v>
      </c>
      <c r="Q74" s="144">
        <f t="shared" ref="Q74" si="185">Q72/Q42</f>
        <v>-228.15841584158414</v>
      </c>
      <c r="R74" s="118">
        <f>((P74/G74)^(1/($H$2-$H$1) ))-1</f>
        <v>5.0584114661430313E-2</v>
      </c>
      <c r="S74" s="128"/>
      <c r="T74" s="146">
        <f t="shared" ref="T74:AC74" si="186">T72/T42</f>
        <v>-266.56131751789036</v>
      </c>
      <c r="U74" s="146">
        <f t="shared" si="186"/>
        <v>-311.42807393179271</v>
      </c>
      <c r="V74" s="146">
        <f t="shared" si="186"/>
        <v>-363.84666063318349</v>
      </c>
      <c r="W74" s="146">
        <f t="shared" si="186"/>
        <v>-425.08817776946199</v>
      </c>
      <c r="X74" s="146">
        <f t="shared" si="186"/>
        <v>-496.6376730375892</v>
      </c>
      <c r="Y74" s="146">
        <f t="shared" si="186"/>
        <v>-580.23015265777747</v>
      </c>
      <c r="Z74" s="146">
        <f t="shared" si="186"/>
        <v>-677.89265360017566</v>
      </c>
      <c r="AA74" s="146">
        <f t="shared" si="186"/>
        <v>-791.99339727545282</v>
      </c>
      <c r="AB74" s="146">
        <f t="shared" si="186"/>
        <v>-925.29921661884578</v>
      </c>
      <c r="AC74" s="146">
        <f t="shared" si="186"/>
        <v>-1081.0426491190474</v>
      </c>
      <c r="AD74" s="138">
        <f t="shared" si="183"/>
        <v>0.10289184910110261</v>
      </c>
      <c r="AE74" s="31">
        <f t="shared" si="15"/>
        <v>7.0000000000000007E-2</v>
      </c>
      <c r="AF74" s="146">
        <f t="shared" si="136"/>
        <v>-7711.4375637158719</v>
      </c>
    </row>
    <row r="75" spans="2:32" x14ac:dyDescent="0.2">
      <c r="B75" s="20" t="s">
        <v>287</v>
      </c>
      <c r="C75" s="127">
        <f t="shared" ref="C75:P75" si="187">C20/C42</f>
        <v>0</v>
      </c>
      <c r="D75" s="127">
        <f t="shared" si="187"/>
        <v>0</v>
      </c>
      <c r="E75" s="127">
        <f t="shared" si="187"/>
        <v>0</v>
      </c>
      <c r="F75" s="144">
        <f t="shared" si="187"/>
        <v>-102.40320427236315</v>
      </c>
      <c r="G75" s="144">
        <f t="shared" si="187"/>
        <v>-173.83177570093457</v>
      </c>
      <c r="H75" s="144">
        <f t="shared" si="187"/>
        <v>-183.39222614840989</v>
      </c>
      <c r="I75" s="144">
        <f t="shared" si="187"/>
        <v>-259.36395759717311</v>
      </c>
      <c r="J75" s="144">
        <f t="shared" si="187"/>
        <v>-267.72673733804476</v>
      </c>
      <c r="K75" s="144">
        <f t="shared" si="187"/>
        <v>-456.77267373380448</v>
      </c>
      <c r="L75" s="144">
        <f t="shared" si="187"/>
        <v>-578.20965842167254</v>
      </c>
      <c r="M75" s="144">
        <f t="shared" si="187"/>
        <v>-1001.2644889357218</v>
      </c>
      <c r="N75" s="144">
        <f t="shared" si="187"/>
        <v>-216.32954066582386</v>
      </c>
      <c r="O75" s="144">
        <f t="shared" si="187"/>
        <v>-234.20531113753466</v>
      </c>
      <c r="P75" s="144">
        <f t="shared" si="187"/>
        <v>-249.20792079207922</v>
      </c>
      <c r="Q75" s="144">
        <f t="shared" ref="Q75" si="188">Q20/Q42</f>
        <v>-227.76237623762376</v>
      </c>
      <c r="R75" s="118">
        <f>((P75/G75)^(1/($H$2-$H$1) ))-1</f>
        <v>3.6676532755120617E-2</v>
      </c>
      <c r="S75" s="128"/>
      <c r="T75" s="146">
        <f t="shared" ref="T75:AC75" si="189">T20/T42</f>
        <v>-266.09861778257027</v>
      </c>
      <c r="U75" s="146">
        <f t="shared" si="189"/>
        <v>-310.8874940430029</v>
      </c>
      <c r="V75" s="146">
        <f t="shared" si="189"/>
        <v>-363.21509205024097</v>
      </c>
      <c r="W75" s="146">
        <f t="shared" si="189"/>
        <v>-424.35030556364791</v>
      </c>
      <c r="X75" s="146">
        <f t="shared" si="189"/>
        <v>-495.77560451990547</v>
      </c>
      <c r="Y75" s="146">
        <f t="shared" si="189"/>
        <v>-579.22298349850348</v>
      </c>
      <c r="Z75" s="146">
        <f t="shared" si="189"/>
        <v>-676.7159609190436</v>
      </c>
      <c r="AA75" s="146">
        <f t="shared" si="189"/>
        <v>-790.61864741036777</v>
      </c>
      <c r="AB75" s="146">
        <f t="shared" si="189"/>
        <v>-923.69307321211284</v>
      </c>
      <c r="AC75" s="146">
        <f t="shared" si="189"/>
        <v>-1079.1661647428643</v>
      </c>
      <c r="AD75" s="138">
        <f t="shared" si="183"/>
        <v>9.5589742978437142E-2</v>
      </c>
      <c r="AE75" s="31">
        <f t="shared" si="15"/>
        <v>7.0000000000000007E-2</v>
      </c>
      <c r="AF75" s="146">
        <f t="shared" si="136"/>
        <v>-7698.0519751657666</v>
      </c>
    </row>
    <row r="76" spans="2:32" x14ac:dyDescent="0.2">
      <c r="B76" s="20" t="s">
        <v>288</v>
      </c>
      <c r="C76" s="127">
        <f t="shared" ref="C76:P76" si="190">C21/C42</f>
        <v>0</v>
      </c>
      <c r="D76" s="127">
        <f t="shared" si="190"/>
        <v>0</v>
      </c>
      <c r="E76" s="127">
        <f t="shared" si="190"/>
        <v>0</v>
      </c>
      <c r="F76" s="144">
        <f t="shared" si="190"/>
        <v>8.144192256341789</v>
      </c>
      <c r="G76" s="144">
        <f t="shared" si="190"/>
        <v>21.361815754339119</v>
      </c>
      <c r="H76" s="144">
        <f t="shared" si="190"/>
        <v>9.8939929328621901</v>
      </c>
      <c r="I76" s="144">
        <f t="shared" si="190"/>
        <v>-27.090694935217904</v>
      </c>
      <c r="J76" s="144">
        <f t="shared" si="190"/>
        <v>14.958775029446407</v>
      </c>
      <c r="K76" s="144">
        <f t="shared" si="190"/>
        <v>-61.366313309776203</v>
      </c>
      <c r="L76" s="144">
        <f t="shared" si="190"/>
        <v>-34.982332155477032</v>
      </c>
      <c r="M76" s="144">
        <f t="shared" si="190"/>
        <v>-23.39304531085353</v>
      </c>
      <c r="N76" s="144">
        <f t="shared" si="190"/>
        <v>4.1508638853771593</v>
      </c>
      <c r="O76" s="144">
        <f t="shared" si="190"/>
        <v>-0.69361870788743563</v>
      </c>
      <c r="P76" s="144">
        <f t="shared" si="190"/>
        <v>-0.53465346534653468</v>
      </c>
      <c r="Q76" s="144">
        <f t="shared" ref="Q76" si="191">Q21/Q42</f>
        <v>-0.39603960396039606</v>
      </c>
      <c r="R76" s="118" t="e">
        <f>((P76/G76)^(1/($H$2-$H$1) ))-1</f>
        <v>#NUM!</v>
      </c>
      <c r="S76" s="128"/>
      <c r="T76" s="146">
        <f t="shared" ref="T76:AC76" si="192">T21/T42</f>
        <v>-0.46269973532006659</v>
      </c>
      <c r="U76" s="146">
        <f t="shared" si="192"/>
        <v>-0.54057988878978069</v>
      </c>
      <c r="V76" s="146">
        <f t="shared" si="192"/>
        <v>-0.63156858294251605</v>
      </c>
      <c r="W76" s="146">
        <f t="shared" si="192"/>
        <v>-0.73787220581402868</v>
      </c>
      <c r="X76" s="146">
        <f t="shared" si="192"/>
        <v>-0.86206851768371651</v>
      </c>
      <c r="Y76" s="146">
        <f t="shared" si="192"/>
        <v>-1.007169159274045</v>
      </c>
      <c r="Z76" s="146">
        <f t="shared" si="192"/>
        <v>-1.1766926811320526</v>
      </c>
      <c r="AA76" s="146">
        <f t="shared" si="192"/>
        <v>-1.3747498650849721</v>
      </c>
      <c r="AB76" s="146">
        <f t="shared" si="192"/>
        <v>-1.6061434067329374</v>
      </c>
      <c r="AC76" s="146">
        <f t="shared" si="192"/>
        <v>-1.8764843761830357</v>
      </c>
      <c r="AD76" s="138" t="e">
        <f t="shared" si="183"/>
        <v>#NUM!</v>
      </c>
      <c r="AE76" s="31">
        <f t="shared" si="15"/>
        <v>7.0000000000000007E-2</v>
      </c>
      <c r="AF76" s="146">
        <f t="shared" si="136"/>
        <v>-13.385588550105654</v>
      </c>
    </row>
    <row r="77" spans="2:32" x14ac:dyDescent="0.2">
      <c r="B77" s="20" t="s">
        <v>289</v>
      </c>
      <c r="C77" s="127">
        <f t="shared" ref="C77:P77" si="193">C22/C42</f>
        <v>0</v>
      </c>
      <c r="D77" s="127">
        <f t="shared" si="193"/>
        <v>0</v>
      </c>
      <c r="E77" s="127">
        <f t="shared" si="193"/>
        <v>0</v>
      </c>
      <c r="F77" s="144">
        <f t="shared" si="193"/>
        <v>66.488651535380512</v>
      </c>
      <c r="G77" s="144">
        <f t="shared" si="193"/>
        <v>146.99599465954606</v>
      </c>
      <c r="H77" s="144">
        <f t="shared" si="193"/>
        <v>153.12131919905772</v>
      </c>
      <c r="I77" s="144">
        <f t="shared" si="193"/>
        <v>316.25441696113074</v>
      </c>
      <c r="J77" s="144">
        <f t="shared" si="193"/>
        <v>287.9858657243816</v>
      </c>
      <c r="K77" s="144">
        <f t="shared" si="193"/>
        <v>469.02237926972907</v>
      </c>
      <c r="L77" s="144">
        <f t="shared" si="193"/>
        <v>586.33686690223794</v>
      </c>
      <c r="M77" s="144">
        <f t="shared" si="193"/>
        <v>1038.5669125395152</v>
      </c>
      <c r="N77" s="144">
        <f t="shared" si="193"/>
        <v>215.71849978929623</v>
      </c>
      <c r="O77" s="144">
        <f t="shared" si="193"/>
        <v>228.71581450653983</v>
      </c>
      <c r="P77" s="144">
        <f t="shared" si="193"/>
        <v>246.85148514851485</v>
      </c>
      <c r="Q77" s="144">
        <f t="shared" ref="Q77" si="194">Q22/Q42</f>
        <v>258.37623762376239</v>
      </c>
      <c r="R77" s="118">
        <f>((P77/G77)^(1/($H$2-$H$1) ))-1</f>
        <v>5.3205271857796665E-2</v>
      </c>
      <c r="S77" s="128"/>
      <c r="T77" s="146">
        <f t="shared" ref="T77:AC77" si="195">T22/T42</f>
        <v>301.86530732281147</v>
      </c>
      <c r="U77" s="146">
        <f t="shared" si="195"/>
        <v>352.67431944645296</v>
      </c>
      <c r="V77" s="146">
        <f t="shared" si="195"/>
        <v>412.03534351169759</v>
      </c>
      <c r="W77" s="146">
        <f t="shared" si="195"/>
        <v>481.3878270730724</v>
      </c>
      <c r="X77" s="146">
        <f t="shared" si="195"/>
        <v>562.41350093685685</v>
      </c>
      <c r="Y77" s="146">
        <f t="shared" si="195"/>
        <v>657.07715951038711</v>
      </c>
      <c r="Z77" s="146">
        <f t="shared" si="195"/>
        <v>767.67430517055118</v>
      </c>
      <c r="AA77" s="146">
        <f t="shared" si="195"/>
        <v>896.88681198143615</v>
      </c>
      <c r="AB77" s="146">
        <f t="shared" si="195"/>
        <v>1047.8479585525688</v>
      </c>
      <c r="AC77" s="146">
        <f t="shared" si="195"/>
        <v>1224.2184070218132</v>
      </c>
      <c r="AD77" s="138">
        <f t="shared" si="183"/>
        <v>0.1118025612746989</v>
      </c>
      <c r="AE77" s="31">
        <f t="shared" si="15"/>
        <v>7.0000000000000007E-2</v>
      </c>
      <c r="AF77" s="146">
        <f t="shared" si="136"/>
        <v>8732.7579700889346</v>
      </c>
    </row>
    <row r="78" spans="2:32" x14ac:dyDescent="0.2">
      <c r="B78" s="20" t="s">
        <v>296</v>
      </c>
      <c r="C78" s="127">
        <f t="shared" ref="C78:P78" si="196">C23/C42</f>
        <v>0</v>
      </c>
      <c r="D78" s="127">
        <f t="shared" si="196"/>
        <v>0</v>
      </c>
      <c r="E78" s="127">
        <f t="shared" si="196"/>
        <v>0</v>
      </c>
      <c r="F78" s="144">
        <f t="shared" si="196"/>
        <v>59.012016021361816</v>
      </c>
      <c r="G78" s="144">
        <f t="shared" si="196"/>
        <v>53.538050734312414</v>
      </c>
      <c r="H78" s="144">
        <f t="shared" si="196"/>
        <v>26.85512367491166</v>
      </c>
      <c r="I78" s="144">
        <f t="shared" si="196"/>
        <v>56.53710247349823</v>
      </c>
      <c r="J78" s="144">
        <f t="shared" si="196"/>
        <v>91.872791519434628</v>
      </c>
      <c r="K78" s="144">
        <f t="shared" si="196"/>
        <v>42.638398115429915</v>
      </c>
      <c r="L78" s="144">
        <f t="shared" si="196"/>
        <v>15.901060070671377</v>
      </c>
      <c r="M78" s="144">
        <f t="shared" si="196"/>
        <v>28.134878819810325</v>
      </c>
      <c r="N78" s="144">
        <f t="shared" si="196"/>
        <v>9.1656131479140335</v>
      </c>
      <c r="O78" s="144">
        <f t="shared" si="196"/>
        <v>4.9147839873166861</v>
      </c>
      <c r="P78" s="144">
        <f t="shared" si="196"/>
        <v>27.841584158415841</v>
      </c>
      <c r="Q78" s="144">
        <f t="shared" ref="Q78" si="197">Q23/Q42</f>
        <v>58.039603960396036</v>
      </c>
      <c r="R78" s="118">
        <f>((P78/G78)^(1/($H$2-$H$1) ))-1</f>
        <v>-6.3294352245644503E-2</v>
      </c>
      <c r="S78" s="128"/>
      <c r="T78" s="146">
        <f t="shared" ref="T78:AC78" si="198">T23/T42</f>
        <v>67.808646211155761</v>
      </c>
      <c r="U78" s="146">
        <f t="shared" si="198"/>
        <v>79.22198270214237</v>
      </c>
      <c r="V78" s="146">
        <f t="shared" si="198"/>
        <v>92.556375830225747</v>
      </c>
      <c r="W78" s="146">
        <f t="shared" si="198"/>
        <v>108.13517176204591</v>
      </c>
      <c r="X78" s="146">
        <f t="shared" si="198"/>
        <v>126.33614126654868</v>
      </c>
      <c r="Y78" s="146">
        <f t="shared" si="198"/>
        <v>147.60064029161134</v>
      </c>
      <c r="Z78" s="146">
        <f t="shared" si="198"/>
        <v>172.44431241990233</v>
      </c>
      <c r="AA78" s="146">
        <f t="shared" si="198"/>
        <v>201.46959272820274</v>
      </c>
      <c r="AB78" s="146">
        <f t="shared" si="198"/>
        <v>235.38031625671209</v>
      </c>
      <c r="AC78" s="146">
        <f t="shared" si="198"/>
        <v>274.99878532962401</v>
      </c>
      <c r="AD78" s="138">
        <f t="shared" ref="AD78" si="199">((AC78/G78)^(1/($AC$3-$H$1) ))-1</f>
        <v>8.5259037291224304E-2</v>
      </c>
      <c r="AE78" s="31">
        <f t="shared" si="15"/>
        <v>7.0000000000000007E-2</v>
      </c>
      <c r="AF78" s="146">
        <f t="shared" si="136"/>
        <v>1961.6580020179849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00">C36/C42</f>
        <v>0</v>
      </c>
      <c r="D80" s="144">
        <f t="shared" si="200"/>
        <v>0</v>
      </c>
      <c r="E80" s="144">
        <f t="shared" si="200"/>
        <v>0</v>
      </c>
      <c r="F80" s="144">
        <f t="shared" si="200"/>
        <v>120.38184245660881</v>
      </c>
      <c r="G80" s="144">
        <f t="shared" si="200"/>
        <v>114.95327102803738</v>
      </c>
      <c r="H80" s="144">
        <f t="shared" si="200"/>
        <v>101.76678445229682</v>
      </c>
      <c r="I80" s="144">
        <f t="shared" si="200"/>
        <v>128.62190812720848</v>
      </c>
      <c r="J80" s="144">
        <f t="shared" si="200"/>
        <v>167.60895170789163</v>
      </c>
      <c r="K80" s="144">
        <f t="shared" si="200"/>
        <v>234.27561837455829</v>
      </c>
      <c r="L80" s="144">
        <f t="shared" si="200"/>
        <v>320.96584216725557</v>
      </c>
      <c r="M80" s="144">
        <f t="shared" si="200"/>
        <v>344.5732349841939</v>
      </c>
      <c r="N80" s="144">
        <f t="shared" si="200"/>
        <v>87.399915718499784</v>
      </c>
      <c r="O80" s="144">
        <f t="shared" si="200"/>
        <v>113.57510899722553</v>
      </c>
      <c r="P80" s="144">
        <f t="shared" si="200"/>
        <v>143.82178217821783</v>
      </c>
      <c r="Q80" s="144">
        <f t="shared" ref="Q80" si="201">Q36/Q42</f>
        <v>175.38613861386139</v>
      </c>
      <c r="R80" s="118">
        <f>((P80/G80)^(1/($H$2-$H$1) ))-1</f>
        <v>2.2657795486731969E-2</v>
      </c>
      <c r="S80" s="128"/>
      <c r="T80" s="144">
        <f t="shared" ref="T80:AC80" si="202">T36/T42</f>
        <v>204.90657778649151</v>
      </c>
      <c r="U80" s="144">
        <f t="shared" si="202"/>
        <v>239.39580375055442</v>
      </c>
      <c r="V80" s="144">
        <f t="shared" si="202"/>
        <v>279.69014695609326</v>
      </c>
      <c r="W80" s="144">
        <f t="shared" si="202"/>
        <v>326.76670634474266</v>
      </c>
      <c r="X80" s="144">
        <f t="shared" si="202"/>
        <v>381.76704305623394</v>
      </c>
      <c r="Y80" s="144">
        <f t="shared" si="202"/>
        <v>446.02486218451094</v>
      </c>
      <c r="Z80" s="144">
        <f t="shared" si="202"/>
        <v>521.09835383932955</v>
      </c>
      <c r="AA80" s="144">
        <f t="shared" si="202"/>
        <v>608.80797775288011</v>
      </c>
      <c r="AB80" s="144">
        <f t="shared" si="202"/>
        <v>711.28060767168165</v>
      </c>
      <c r="AC80" s="144">
        <f t="shared" si="202"/>
        <v>831.0011059926577</v>
      </c>
      <c r="AD80" s="138">
        <f t="shared" ref="AD80:AD82" si="203">((AC80/G80)^(1/($AC$3-$H$1) ))-1</f>
        <v>0.10396171735378146</v>
      </c>
      <c r="AE80" s="31">
        <f t="shared" si="15"/>
        <v>7.0000000000000007E-2</v>
      </c>
      <c r="AF80" s="146">
        <f t="shared" si="136"/>
        <v>5927.8078894142927</v>
      </c>
    </row>
    <row r="81" spans="2:32" x14ac:dyDescent="0.2">
      <c r="B81" s="20" t="s">
        <v>312</v>
      </c>
      <c r="C81" s="144">
        <f t="shared" ref="C81:P81" si="204">C40/C42</f>
        <v>0</v>
      </c>
      <c r="D81" s="144">
        <f t="shared" si="204"/>
        <v>0</v>
      </c>
      <c r="E81" s="144">
        <f t="shared" si="204"/>
        <v>0</v>
      </c>
      <c r="F81" s="144">
        <f t="shared" si="204"/>
        <v>23.89853137516689</v>
      </c>
      <c r="G81" s="144">
        <f t="shared" si="204"/>
        <v>22.296395193591454</v>
      </c>
      <c r="H81" s="144">
        <f t="shared" si="204"/>
        <v>16.725559481743225</v>
      </c>
      <c r="I81" s="144">
        <f t="shared" si="204"/>
        <v>24.499411071849234</v>
      </c>
      <c r="J81" s="144">
        <f t="shared" si="204"/>
        <v>32.744405182567725</v>
      </c>
      <c r="K81" s="144">
        <f t="shared" si="204"/>
        <v>45.465253239104825</v>
      </c>
      <c r="L81" s="144">
        <f t="shared" si="204"/>
        <v>62.308598351001173</v>
      </c>
      <c r="M81" s="144">
        <f t="shared" si="204"/>
        <v>69.546891464699684</v>
      </c>
      <c r="N81" s="144">
        <f t="shared" si="204"/>
        <v>20.417193426042981</v>
      </c>
      <c r="O81" s="144">
        <f t="shared" si="204"/>
        <v>18.152992469282601</v>
      </c>
      <c r="P81" s="144">
        <f t="shared" si="204"/>
        <v>20.871287128712872</v>
      </c>
      <c r="Q81" s="144">
        <f t="shared" ref="Q81" si="205">Q40/Q42</f>
        <v>26.158415841584159</v>
      </c>
      <c r="R81" s="118">
        <f>((P81/G81)^(1/($H$2-$H$1) ))-1</f>
        <v>-6.5832967305256007E-3</v>
      </c>
      <c r="S81" s="128"/>
      <c r="T81" s="144">
        <f t="shared" ref="T81:AC81" si="206">T40/T42</f>
        <v>30.561317517890402</v>
      </c>
      <c r="U81" s="144">
        <f t="shared" si="206"/>
        <v>35.705301654565019</v>
      </c>
      <c r="V81" s="144">
        <f t="shared" si="206"/>
        <v>41.715104903353186</v>
      </c>
      <c r="W81" s="144">
        <f t="shared" si="206"/>
        <v>48.736459194016597</v>
      </c>
      <c r="X81" s="144">
        <f t="shared" si="206"/>
        <v>56.939625593009488</v>
      </c>
      <c r="Y81" s="144">
        <f t="shared" si="206"/>
        <v>66.523522970050678</v>
      </c>
      <c r="Z81" s="144">
        <f t="shared" si="206"/>
        <v>77.720551588772068</v>
      </c>
      <c r="AA81" s="144">
        <f t="shared" si="206"/>
        <v>90.80222858886242</v>
      </c>
      <c r="AB81" s="144">
        <f t="shared" si="206"/>
        <v>106.08577201471053</v>
      </c>
      <c r="AC81" s="144">
        <f t="shared" si="206"/>
        <v>123.94179304688952</v>
      </c>
      <c r="AD81" s="138">
        <f t="shared" si="203"/>
        <v>8.9554995074211829E-2</v>
      </c>
      <c r="AE81" s="31">
        <f t="shared" si="15"/>
        <v>7.0000000000000007E-2</v>
      </c>
      <c r="AF81" s="146">
        <f t="shared" si="136"/>
        <v>884.11812373447867</v>
      </c>
    </row>
    <row r="82" spans="2:32" x14ac:dyDescent="0.2">
      <c r="B82" s="20" t="s">
        <v>313</v>
      </c>
      <c r="C82" s="144">
        <f t="shared" ref="C82:P82" si="207">C6/C42</f>
        <v>0</v>
      </c>
      <c r="D82" s="144">
        <f t="shared" si="207"/>
        <v>0</v>
      </c>
      <c r="E82" s="144">
        <f t="shared" si="207"/>
        <v>0</v>
      </c>
      <c r="F82" s="144">
        <f t="shared" si="207"/>
        <v>104.93991989319092</v>
      </c>
      <c r="G82" s="144">
        <f t="shared" si="207"/>
        <v>118.29105473965286</v>
      </c>
      <c r="H82" s="144">
        <f t="shared" si="207"/>
        <v>132.50883392226149</v>
      </c>
      <c r="I82" s="144">
        <f t="shared" si="207"/>
        <v>150.29446407538279</v>
      </c>
      <c r="J82" s="144">
        <f t="shared" si="207"/>
        <v>173.96937573616017</v>
      </c>
      <c r="K82" s="144">
        <f t="shared" si="207"/>
        <v>208.36277974087162</v>
      </c>
      <c r="L82" s="144">
        <f t="shared" si="207"/>
        <v>256.41931684334509</v>
      </c>
      <c r="M82" s="144">
        <f t="shared" si="207"/>
        <v>352.68703898840886</v>
      </c>
      <c r="N82" s="144">
        <f t="shared" si="207"/>
        <v>86.304256215760645</v>
      </c>
      <c r="O82" s="144">
        <f t="shared" si="207"/>
        <v>111.1573523583036</v>
      </c>
      <c r="P82" s="144">
        <f t="shared" si="207"/>
        <v>127.36633663366337</v>
      </c>
      <c r="Q82" s="144">
        <f t="shared" ref="Q82" si="208">Q6/Q42</f>
        <v>148.19801980198019</v>
      </c>
      <c r="R82" s="118">
        <f>((P82/G82)^(1/($H$2-$H$1) ))-1</f>
        <v>7.4193199218703931E-3</v>
      </c>
      <c r="S82" s="128"/>
      <c r="T82" s="144">
        <f t="shared" ref="T82:AC82" si="209">T6/T42</f>
        <v>173.14224095676892</v>
      </c>
      <c r="U82" s="144">
        <f t="shared" si="209"/>
        <v>202.28499438513597</v>
      </c>
      <c r="V82" s="144">
        <f t="shared" si="209"/>
        <v>236.33296373708956</v>
      </c>
      <c r="W82" s="144">
        <f t="shared" si="209"/>
        <v>276.11177941560959</v>
      </c>
      <c r="X82" s="144">
        <f t="shared" si="209"/>
        <v>322.58603931724679</v>
      </c>
      <c r="Y82" s="144">
        <f t="shared" si="209"/>
        <v>376.88269940034775</v>
      </c>
      <c r="Z82" s="144">
        <f t="shared" si="209"/>
        <v>440.31840127961419</v>
      </c>
      <c r="AA82" s="144">
        <f t="shared" si="209"/>
        <v>514.43139951479679</v>
      </c>
      <c r="AB82" s="144">
        <f t="shared" si="209"/>
        <v>601.01886279946541</v>
      </c>
      <c r="AC82" s="144">
        <f t="shared" si="209"/>
        <v>702.18045356769221</v>
      </c>
      <c r="AD82" s="138">
        <f t="shared" si="203"/>
        <v>9.3137622303416157E-2</v>
      </c>
      <c r="AE82" s="31">
        <f t="shared" ref="AE82" si="210">$L$1</f>
        <v>7.0000000000000007E-2</v>
      </c>
      <c r="AF82" s="146">
        <f t="shared" si="136"/>
        <v>5008.8872354495379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11">E36/E25</f>
        <v>#DIV/0!</v>
      </c>
      <c r="F86" s="152">
        <f t="shared" si="211"/>
        <v>0.88484789008832188</v>
      </c>
      <c r="G86" s="152">
        <f t="shared" si="211"/>
        <v>0.88036809815950923</v>
      </c>
      <c r="H86" s="152">
        <f t="shared" si="211"/>
        <v>0.82521489971346706</v>
      </c>
      <c r="I86" s="152">
        <f t="shared" si="211"/>
        <v>0.85781618224666145</v>
      </c>
      <c r="J86" s="152">
        <f t="shared" si="211"/>
        <v>0.89553178099433606</v>
      </c>
      <c r="K86" s="152">
        <f t="shared" si="211"/>
        <v>0.9107142857142857</v>
      </c>
      <c r="L86" s="152">
        <f t="shared" si="211"/>
        <v>0.93868411987599032</v>
      </c>
      <c r="M86" s="152">
        <f t="shared" si="211"/>
        <v>0.93965517241379315</v>
      </c>
      <c r="N86" s="152">
        <f t="shared" si="211"/>
        <v>0.82481606681248754</v>
      </c>
      <c r="O86" s="152">
        <f t="shared" si="211"/>
        <v>0.91784112748238311</v>
      </c>
      <c r="P86" s="152">
        <f t="shared" si="211"/>
        <v>0.93764523625096829</v>
      </c>
      <c r="Q86" s="152">
        <f t="shared" ref="Q86" si="212">Q36/Q25</f>
        <v>0.96125461254612543</v>
      </c>
      <c r="R86" s="118">
        <f t="shared" ref="R86:R137" si="213">((P86/G86)^(1/($H$2-$H$1) ))-1</f>
        <v>6.3230617990468474E-3</v>
      </c>
      <c r="S86" s="152"/>
      <c r="T86" s="152">
        <f t="shared" ref="T86:AC86" si="214">T36/T25</f>
        <v>0.96125461254612565</v>
      </c>
      <c r="U86" s="152">
        <f t="shared" si="214"/>
        <v>0.96125461254612554</v>
      </c>
      <c r="V86" s="152">
        <f t="shared" si="214"/>
        <v>0.96125461254612543</v>
      </c>
      <c r="W86" s="152">
        <f t="shared" si="214"/>
        <v>0.96125461254612554</v>
      </c>
      <c r="X86" s="152">
        <f t="shared" si="214"/>
        <v>0.96125461254612565</v>
      </c>
      <c r="Y86" s="152">
        <f t="shared" si="214"/>
        <v>0.96125461254612565</v>
      </c>
      <c r="Z86" s="152">
        <f t="shared" si="214"/>
        <v>0.96125461254612576</v>
      </c>
      <c r="AA86" s="152">
        <f t="shared" si="214"/>
        <v>0.96125461254612554</v>
      </c>
      <c r="AB86" s="152">
        <f t="shared" si="214"/>
        <v>0.96125461254612565</v>
      </c>
      <c r="AC86" s="152">
        <f t="shared" si="214"/>
        <v>0.96125461254612565</v>
      </c>
      <c r="AD86" s="138">
        <f t="shared" ref="AD86:AD124" si="215">((AC86/G86)^(1/($AC$3-$H$1) ))-1</f>
        <v>4.4046322982065345E-3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16">E40/E25</f>
        <v>#DIV/0!</v>
      </c>
      <c r="F87" s="152">
        <f t="shared" si="216"/>
        <v>0.17566241413150147</v>
      </c>
      <c r="G87" s="152">
        <f t="shared" si="216"/>
        <v>0.17075664621676892</v>
      </c>
      <c r="H87" s="152">
        <f t="shared" si="216"/>
        <v>0.13562559694364851</v>
      </c>
      <c r="I87" s="152">
        <f t="shared" si="216"/>
        <v>0.16339355852317361</v>
      </c>
      <c r="J87" s="152">
        <f t="shared" si="216"/>
        <v>0.17495280050346129</v>
      </c>
      <c r="K87" s="152">
        <f t="shared" si="216"/>
        <v>0.17673992673992675</v>
      </c>
      <c r="L87" s="152">
        <f t="shared" si="216"/>
        <v>0.18222528418877024</v>
      </c>
      <c r="M87" s="152">
        <f t="shared" si="216"/>
        <v>0.18965517241379309</v>
      </c>
      <c r="N87" s="152">
        <f t="shared" si="216"/>
        <v>0.1926824418373434</v>
      </c>
      <c r="O87" s="152">
        <f t="shared" si="216"/>
        <v>0.14670083279948751</v>
      </c>
      <c r="P87" s="152">
        <f t="shared" si="216"/>
        <v>0.13607022979602376</v>
      </c>
      <c r="Q87" s="152">
        <f t="shared" ref="Q87" si="217">Q40/Q25</f>
        <v>0.14336878662904276</v>
      </c>
      <c r="R87" s="118">
        <f t="shared" si="213"/>
        <v>-2.2450967578408254E-2</v>
      </c>
      <c r="S87" s="152"/>
      <c r="T87" s="152">
        <f t="shared" ref="T87:AC87" si="218">T40/T25</f>
        <v>0.14336878662904279</v>
      </c>
      <c r="U87" s="152">
        <f t="shared" si="218"/>
        <v>0.14336878662904276</v>
      </c>
      <c r="V87" s="152">
        <f t="shared" si="218"/>
        <v>0.14336878662904276</v>
      </c>
      <c r="W87" s="152">
        <f t="shared" si="218"/>
        <v>0.14336878662904276</v>
      </c>
      <c r="X87" s="152">
        <f t="shared" si="218"/>
        <v>0.14336878662904279</v>
      </c>
      <c r="Y87" s="152">
        <f t="shared" si="218"/>
        <v>0.14336878662904279</v>
      </c>
      <c r="Z87" s="152">
        <f t="shared" si="218"/>
        <v>0.14336878662904276</v>
      </c>
      <c r="AA87" s="152">
        <f t="shared" si="218"/>
        <v>0.14336878662904276</v>
      </c>
      <c r="AB87" s="152">
        <f t="shared" si="218"/>
        <v>0.14336878662904276</v>
      </c>
      <c r="AC87" s="152">
        <f t="shared" si="218"/>
        <v>0.14336878662904273</v>
      </c>
      <c r="AD87" s="138">
        <f t="shared" si="215"/>
        <v>-8.7028680492864385E-3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19">E40/E7</f>
        <v>#DIV/0!</v>
      </c>
      <c r="F88" s="152">
        <f t="shared" si="219"/>
        <v>0.20789779326364694</v>
      </c>
      <c r="G88" s="152">
        <f>G40/G7</f>
        <v>0.17377731529656607</v>
      </c>
      <c r="H88" s="152">
        <f t="shared" si="219"/>
        <v>0.11735537190082644</v>
      </c>
      <c r="I88" s="152">
        <f t="shared" si="219"/>
        <v>0.1527165932452276</v>
      </c>
      <c r="J88" s="152">
        <f t="shared" si="219"/>
        <v>0.17797695262483995</v>
      </c>
      <c r="K88" s="152">
        <f t="shared" si="219"/>
        <v>0.20819848975188782</v>
      </c>
      <c r="L88" s="152">
        <f t="shared" si="219"/>
        <v>0.23386383731211319</v>
      </c>
      <c r="M88" s="152">
        <f t="shared" si="219"/>
        <v>0.19174898314933178</v>
      </c>
      <c r="N88" s="152">
        <f t="shared" si="219"/>
        <v>0.23120973514674303</v>
      </c>
      <c r="O88" s="152">
        <f t="shared" si="219"/>
        <v>0.16042031523642733</v>
      </c>
      <c r="P88" s="152">
        <f t="shared" ref="P88:Q88" si="220">P40/P7</f>
        <v>0.16133476197765192</v>
      </c>
      <c r="Q88" s="152">
        <f t="shared" si="220"/>
        <v>0.17415952537903756</v>
      </c>
      <c r="R88" s="118">
        <f t="shared" si="213"/>
        <v>-7.4017917305122527E-3</v>
      </c>
      <c r="S88" s="20"/>
      <c r="T88" s="152">
        <f t="shared" ref="T88" si="221">T40/T7</f>
        <v>0.17415952537903759</v>
      </c>
      <c r="U88" s="152">
        <f t="shared" ref="U88:AC88" si="222">U40/U7</f>
        <v>0.17415952537903756</v>
      </c>
      <c r="V88" s="152">
        <f t="shared" si="222"/>
        <v>0.17415952537903753</v>
      </c>
      <c r="W88" s="152">
        <f t="shared" si="222"/>
        <v>0.17415952537903756</v>
      </c>
      <c r="X88" s="152">
        <f t="shared" si="222"/>
        <v>0.17415952537903759</v>
      </c>
      <c r="Y88" s="152">
        <f t="shared" si="222"/>
        <v>0.17415952537903759</v>
      </c>
      <c r="Z88" s="152">
        <f t="shared" si="222"/>
        <v>0.17415952537903756</v>
      </c>
      <c r="AA88" s="152">
        <f t="shared" si="222"/>
        <v>0.17415952537903753</v>
      </c>
      <c r="AB88" s="152">
        <f t="shared" si="222"/>
        <v>0.17415952537903753</v>
      </c>
      <c r="AC88" s="152">
        <f t="shared" si="222"/>
        <v>0.17415952537903751</v>
      </c>
      <c r="AD88" s="138">
        <f t="shared" si="215"/>
        <v>1.0985649844474921E-4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23">(E40)/(E7+E10)</f>
        <v>#DIV/0!</v>
      </c>
      <c r="F89" s="152">
        <f t="shared" si="223"/>
        <v>2.1657592256503329E-2</v>
      </c>
      <c r="G89" s="152">
        <f>(G40)/(G7+G10)</f>
        <v>1.6472677056618663E-2</v>
      </c>
      <c r="H89" s="152">
        <f t="shared" ref="H89:O89" si="224">(H40)/(H7+H10)</f>
        <v>1.1585216610916211E-2</v>
      </c>
      <c r="I89" s="152">
        <f t="shared" si="224"/>
        <v>1.3736626601505746E-2</v>
      </c>
      <c r="J89" s="152">
        <f t="shared" si="224"/>
        <v>1.5535933832569576E-2</v>
      </c>
      <c r="K89" s="152">
        <f t="shared" si="224"/>
        <v>1.7388953959816201E-2</v>
      </c>
      <c r="L89" s="152">
        <f t="shared" si="224"/>
        <v>1.9109200592421341E-2</v>
      </c>
      <c r="M89" s="152">
        <f t="shared" si="224"/>
        <v>1.7277486910994764E-2</v>
      </c>
      <c r="N89" s="152">
        <f t="shared" si="224"/>
        <v>1.9634064798492494E-2</v>
      </c>
      <c r="O89" s="152">
        <f t="shared" si="224"/>
        <v>1.7096250396610613E-2</v>
      </c>
      <c r="P89" s="152">
        <f t="shared" ref="P89:Q89" si="225">(P40)/(P7+P10)</f>
        <v>1.61562279652963E-2</v>
      </c>
      <c r="Q89" s="152">
        <f t="shared" si="225"/>
        <v>1.6714114000126526E-2</v>
      </c>
      <c r="R89" s="118">
        <f t="shared" si="213"/>
        <v>-1.9378663585793987E-3</v>
      </c>
      <c r="S89" s="20"/>
      <c r="T89" s="152">
        <f t="shared" ref="T89:AC89" si="226">(T40)/(T7+T10)</f>
        <v>1.6714114000126526E-2</v>
      </c>
      <c r="U89" s="152">
        <f t="shared" si="226"/>
        <v>1.6714114000126522E-2</v>
      </c>
      <c r="V89" s="152">
        <f t="shared" si="226"/>
        <v>1.6714114000126526E-2</v>
      </c>
      <c r="W89" s="152">
        <f t="shared" si="226"/>
        <v>1.6714114000126526E-2</v>
      </c>
      <c r="X89" s="152">
        <f t="shared" si="226"/>
        <v>1.6714114000126522E-2</v>
      </c>
      <c r="Y89" s="152">
        <f t="shared" si="226"/>
        <v>1.6714114000126522E-2</v>
      </c>
      <c r="Z89" s="152">
        <f t="shared" si="226"/>
        <v>1.6714114000126519E-2</v>
      </c>
      <c r="AA89" s="152">
        <f t="shared" si="226"/>
        <v>1.6714114000126519E-2</v>
      </c>
      <c r="AB89" s="152">
        <f t="shared" si="226"/>
        <v>1.6714114000126516E-2</v>
      </c>
      <c r="AC89" s="152">
        <f t="shared" si="226"/>
        <v>1.6714114000126516E-2</v>
      </c>
      <c r="AD89" s="138">
        <f t="shared" si="215"/>
        <v>7.2778669963224907E-4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-1.3312883435582823</v>
      </c>
      <c r="H90" s="152">
        <f t="shared" ref="H90:P90" si="227">H20/H25</f>
        <v>-1.487106017191977</v>
      </c>
      <c r="I90" s="152">
        <f t="shared" si="227"/>
        <v>-1.7297721916732129</v>
      </c>
      <c r="J90" s="152">
        <f t="shared" si="227"/>
        <v>-1.4304594084329767</v>
      </c>
      <c r="K90" s="152">
        <f t="shared" si="227"/>
        <v>-1.7756410256410255</v>
      </c>
      <c r="L90" s="152">
        <f t="shared" si="227"/>
        <v>-1.6910093007233895</v>
      </c>
      <c r="M90" s="152">
        <f t="shared" si="227"/>
        <v>-2.7304597701149427</v>
      </c>
      <c r="N90" s="152">
        <f t="shared" si="227"/>
        <v>-2.0415589580433484</v>
      </c>
      <c r="O90" s="152">
        <f t="shared" si="227"/>
        <v>-1.8926969891095451</v>
      </c>
      <c r="P90" s="152">
        <f t="shared" si="227"/>
        <v>-1.6247095274980634</v>
      </c>
      <c r="Q90" s="152">
        <f t="shared" ref="Q90" si="228">Q20/Q25</f>
        <v>-1.2483177772954199</v>
      </c>
      <c r="R90" s="118">
        <f t="shared" si="213"/>
        <v>2.011788023463823E-2</v>
      </c>
      <c r="S90" s="20"/>
      <c r="T90" s="152">
        <f t="shared" ref="T90:AC90" si="229">T20/T25</f>
        <v>-1.2483177772954202</v>
      </c>
      <c r="U90" s="152">
        <f t="shared" si="229"/>
        <v>-1.2483177772954202</v>
      </c>
      <c r="V90" s="152">
        <f t="shared" si="229"/>
        <v>-1.2483177772954199</v>
      </c>
      <c r="W90" s="152">
        <f t="shared" si="229"/>
        <v>-1.2483177772954202</v>
      </c>
      <c r="X90" s="152">
        <f t="shared" si="229"/>
        <v>-1.2483177772954202</v>
      </c>
      <c r="Y90" s="152">
        <f t="shared" si="229"/>
        <v>-1.2483177772954204</v>
      </c>
      <c r="Z90" s="152">
        <f t="shared" si="229"/>
        <v>-1.2483177772954204</v>
      </c>
      <c r="AA90" s="152">
        <f t="shared" si="229"/>
        <v>-1.2483177772954204</v>
      </c>
      <c r="AB90" s="152">
        <f t="shared" si="229"/>
        <v>-1.2483177772954206</v>
      </c>
      <c r="AC90" s="152">
        <f t="shared" si="229"/>
        <v>-1.2483177772954204</v>
      </c>
      <c r="AD90" s="138">
        <f t="shared" si="215"/>
        <v>-3.2123436457003329E-3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5.7259713701431493E-2</v>
      </c>
      <c r="H91" s="152">
        <f t="shared" ref="H91:P91" si="230">H52/H25</f>
        <v>5.8261700095510981E-2</v>
      </c>
      <c r="I91" s="152">
        <f t="shared" si="230"/>
        <v>4.3205027494108407E-2</v>
      </c>
      <c r="J91" s="152">
        <f t="shared" si="230"/>
        <v>4.7199496538703589E-2</v>
      </c>
      <c r="K91" s="152">
        <f t="shared" si="230"/>
        <v>6.6391941391941392E-2</v>
      </c>
      <c r="L91" s="152">
        <f t="shared" si="230"/>
        <v>6.6138477437133997E-2</v>
      </c>
      <c r="M91" s="152">
        <f t="shared" si="230"/>
        <v>7.1551724137931039E-2</v>
      </c>
      <c r="N91" s="152">
        <f t="shared" si="230"/>
        <v>6.3630940544839934E-2</v>
      </c>
      <c r="O91" s="152">
        <f t="shared" si="230"/>
        <v>5.1089045483664317E-2</v>
      </c>
      <c r="P91" s="152">
        <f t="shared" si="230"/>
        <v>4.6991995868835526E-2</v>
      </c>
      <c r="Q91" s="152">
        <f t="shared" ref="Q91" si="231">Q52/Q25</f>
        <v>5.5567614499674407E-2</v>
      </c>
      <c r="R91" s="118">
        <f t="shared" si="213"/>
        <v>-1.9568012933728229E-2</v>
      </c>
      <c r="S91" s="20"/>
      <c r="T91" s="152">
        <f t="shared" ref="T91:AC91" si="232">T52/T25</f>
        <v>5.5567614499674421E-2</v>
      </c>
      <c r="U91" s="152">
        <f t="shared" si="232"/>
        <v>5.5567614499674414E-2</v>
      </c>
      <c r="V91" s="152">
        <f t="shared" si="232"/>
        <v>5.5567614499674414E-2</v>
      </c>
      <c r="W91" s="152">
        <f t="shared" si="232"/>
        <v>5.5567614499674421E-2</v>
      </c>
      <c r="X91" s="152">
        <f t="shared" si="232"/>
        <v>5.5567614499674421E-2</v>
      </c>
      <c r="Y91" s="152">
        <f t="shared" si="232"/>
        <v>5.5567614499674428E-2</v>
      </c>
      <c r="Z91" s="152">
        <f t="shared" si="232"/>
        <v>5.5567614499674449E-2</v>
      </c>
      <c r="AA91" s="152">
        <f t="shared" si="232"/>
        <v>5.5567614499674435E-2</v>
      </c>
      <c r="AB91" s="152">
        <f t="shared" si="232"/>
        <v>5.5567614499674442E-2</v>
      </c>
      <c r="AC91" s="152">
        <f t="shared" si="232"/>
        <v>5.5567614499674435E-2</v>
      </c>
      <c r="AD91" s="138">
        <f t="shared" si="215"/>
        <v>-1.4987128643402237E-3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0.6697341513292433</v>
      </c>
      <c r="H93" s="152">
        <f t="shared" ref="H93:P93" si="233">H29/H25</f>
        <v>0.65138490926456538</v>
      </c>
      <c r="I93" s="152">
        <f t="shared" si="233"/>
        <v>0.6747839748625295</v>
      </c>
      <c r="J93" s="152">
        <f t="shared" si="233"/>
        <v>0.69666456891126494</v>
      </c>
      <c r="K93" s="152">
        <f t="shared" si="233"/>
        <v>0.68406593406593408</v>
      </c>
      <c r="L93" s="152">
        <f t="shared" si="233"/>
        <v>0.69479848432655877</v>
      </c>
      <c r="M93" s="152">
        <f t="shared" si="233"/>
        <v>0.68994252873563222</v>
      </c>
      <c r="N93" s="152">
        <f t="shared" si="233"/>
        <v>0.64684827997613836</v>
      </c>
      <c r="O93" s="152">
        <f t="shared" si="233"/>
        <v>0.73526585522101218</v>
      </c>
      <c r="P93" s="152">
        <f t="shared" si="233"/>
        <v>0.76478182287632324</v>
      </c>
      <c r="Q93" s="152">
        <f t="shared" ref="Q93" si="234">Q29/Q25</f>
        <v>0.77859778597785978</v>
      </c>
      <c r="R93" s="118">
        <f t="shared" si="213"/>
        <v>1.3359425200093034E-2</v>
      </c>
      <c r="S93" s="20"/>
      <c r="T93" s="152">
        <f t="shared" ref="T93:AC93" si="235">T29/T25</f>
        <v>0.77859778597785989</v>
      </c>
      <c r="U93" s="152">
        <f t="shared" si="235"/>
        <v>0.77859778597785978</v>
      </c>
      <c r="V93" s="152">
        <f t="shared" si="235"/>
        <v>0.77859778597785989</v>
      </c>
      <c r="W93" s="152">
        <f t="shared" si="235"/>
        <v>0.77859778597785978</v>
      </c>
      <c r="X93" s="152">
        <f t="shared" si="235"/>
        <v>0.77859778597785978</v>
      </c>
      <c r="Y93" s="152">
        <f t="shared" si="235"/>
        <v>0.77859778597785978</v>
      </c>
      <c r="Z93" s="152">
        <f t="shared" si="235"/>
        <v>0.77859778597785978</v>
      </c>
      <c r="AA93" s="152">
        <f t="shared" si="235"/>
        <v>0.77859778597785978</v>
      </c>
      <c r="AB93" s="152">
        <f t="shared" si="235"/>
        <v>0.77859778597785989</v>
      </c>
      <c r="AC93" s="152">
        <f t="shared" si="235"/>
        <v>0.77859778597785978</v>
      </c>
      <c r="AD93" s="138">
        <f t="shared" si="215"/>
        <v>7.5591142891036078E-3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0.76074332171893144</v>
      </c>
      <c r="H94" s="152">
        <f t="shared" ref="H94:P94" si="236">H29/H36</f>
        <v>0.78935185185185186</v>
      </c>
      <c r="I94" s="152">
        <f t="shared" si="236"/>
        <v>0.78663003663003661</v>
      </c>
      <c r="J94" s="152">
        <f t="shared" si="236"/>
        <v>0.77793394237526348</v>
      </c>
      <c r="K94" s="152">
        <f t="shared" si="236"/>
        <v>0.75113122171945701</v>
      </c>
      <c r="L94" s="152">
        <f t="shared" si="236"/>
        <v>0.74018348623853214</v>
      </c>
      <c r="M94" s="152">
        <f t="shared" si="236"/>
        <v>0.73425076452599392</v>
      </c>
      <c r="N94" s="152">
        <f t="shared" si="236"/>
        <v>0.78423336547733846</v>
      </c>
      <c r="O94" s="152">
        <f t="shared" si="236"/>
        <v>0.80108183563077995</v>
      </c>
      <c r="P94" s="152">
        <f t="shared" si="236"/>
        <v>0.81564091973013908</v>
      </c>
      <c r="Q94" s="152">
        <f t="shared" ref="Q94" si="237">Q29/Q36</f>
        <v>0.8099808061420346</v>
      </c>
      <c r="R94" s="118">
        <f t="shared" ref="R94" si="238">((P94/G94)^(1/($H$2-$H$1) ))-1</f>
        <v>6.9921515944064705E-3</v>
      </c>
      <c r="S94" s="20"/>
      <c r="T94" s="152">
        <f t="shared" ref="T94:AC94" si="239">T29/T36</f>
        <v>0.80998080614203449</v>
      </c>
      <c r="U94" s="152">
        <f t="shared" si="239"/>
        <v>0.80998080614203449</v>
      </c>
      <c r="V94" s="152">
        <f t="shared" si="239"/>
        <v>0.8099808061420346</v>
      </c>
      <c r="W94" s="152">
        <f t="shared" si="239"/>
        <v>0.80998080614203449</v>
      </c>
      <c r="X94" s="152">
        <f t="shared" si="239"/>
        <v>0.80998080614203438</v>
      </c>
      <c r="Y94" s="152">
        <f t="shared" si="239"/>
        <v>0.80998080614203438</v>
      </c>
      <c r="Z94" s="152">
        <f t="shared" si="239"/>
        <v>0.80998080614203427</v>
      </c>
      <c r="AA94" s="152">
        <f t="shared" si="239"/>
        <v>0.80998080614203438</v>
      </c>
      <c r="AB94" s="152">
        <f t="shared" si="239"/>
        <v>0.80998080614203438</v>
      </c>
      <c r="AC94" s="152">
        <f t="shared" si="239"/>
        <v>0.80998080614203438</v>
      </c>
      <c r="AD94" s="138">
        <f t="shared" ref="AD94" si="240">((AC94/G94)^(1/($AC$3-$H$1) ))-1</f>
        <v>3.1406485886862345E-3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41">G29/G40</f>
        <v>3.9221556886227544</v>
      </c>
      <c r="H95" s="171">
        <f t="shared" si="241"/>
        <v>4.802816901408451</v>
      </c>
      <c r="I95" s="171">
        <f t="shared" si="241"/>
        <v>4.1298076923076925</v>
      </c>
      <c r="J95" s="171">
        <f t="shared" si="241"/>
        <v>3.9820143884892087</v>
      </c>
      <c r="K95" s="171">
        <f t="shared" si="241"/>
        <v>3.8704663212435233</v>
      </c>
      <c r="L95" s="171">
        <f t="shared" si="241"/>
        <v>3.8128544423440456</v>
      </c>
      <c r="M95" s="171">
        <f t="shared" si="241"/>
        <v>3.6378787878787877</v>
      </c>
      <c r="N95" s="171">
        <f t="shared" si="241"/>
        <v>3.3570691434468523</v>
      </c>
      <c r="O95" s="171">
        <f t="shared" si="241"/>
        <v>5.0120087336244543</v>
      </c>
      <c r="P95" s="171">
        <f t="shared" si="241"/>
        <v>5.6204933586337757</v>
      </c>
      <c r="Q95" s="171">
        <f t="shared" ref="Q95" si="242">Q29/Q40</f>
        <v>5.4307342922028763</v>
      </c>
      <c r="R95" s="118">
        <f t="shared" ref="R95" si="243">((P95/G95)^(1/($H$2-$H$1) ))-1</f>
        <v>3.6632835377875095E-2</v>
      </c>
      <c r="S95" s="20"/>
      <c r="T95" s="171">
        <f t="shared" ref="T95:AC95" si="244">T29/T40</f>
        <v>5.4307342922028763</v>
      </c>
      <c r="U95" s="171">
        <f t="shared" si="244"/>
        <v>5.4307342922028763</v>
      </c>
      <c r="V95" s="171">
        <f t="shared" si="244"/>
        <v>5.4307342922028772</v>
      </c>
      <c r="W95" s="171">
        <f t="shared" si="244"/>
        <v>5.4307342922028772</v>
      </c>
      <c r="X95" s="171">
        <f t="shared" si="244"/>
        <v>5.4307342922028763</v>
      </c>
      <c r="Y95" s="171">
        <f t="shared" si="244"/>
        <v>5.4307342922028754</v>
      </c>
      <c r="Z95" s="171">
        <f t="shared" si="244"/>
        <v>5.4307342922028763</v>
      </c>
      <c r="AA95" s="171">
        <f t="shared" si="244"/>
        <v>5.4307342922028763</v>
      </c>
      <c r="AB95" s="171">
        <f t="shared" si="244"/>
        <v>5.4307342922028772</v>
      </c>
      <c r="AC95" s="171">
        <f t="shared" si="244"/>
        <v>5.4307342922028772</v>
      </c>
      <c r="AD95" s="138">
        <f t="shared" ref="AD95" si="245">((AC95/G95)^(1/($AC$3-$H$1) ))-1</f>
        <v>1.6404750719281491E-2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46">G29/G12</f>
        <v>1.6334164588528679</v>
      </c>
      <c r="H96" s="171">
        <f t="shared" si="246"/>
        <v>2.9781659388646289</v>
      </c>
      <c r="I96" s="171">
        <f t="shared" si="246"/>
        <v>1.7858627858627858</v>
      </c>
      <c r="J96" s="171">
        <f t="shared" si="246"/>
        <v>1.4192307692307693</v>
      </c>
      <c r="K96" s="171">
        <f t="shared" si="246"/>
        <v>4.115702479338843</v>
      </c>
      <c r="L96" s="171">
        <f t="shared" si="246"/>
        <v>15.396946564885496</v>
      </c>
      <c r="M96" s="171">
        <f t="shared" si="246"/>
        <v>8.8925925925925924</v>
      </c>
      <c r="N96" s="171">
        <f t="shared" si="246"/>
        <v>7.4269406392694064</v>
      </c>
      <c r="O96" s="171">
        <f t="shared" si="246"/>
        <v>14.039755351681958</v>
      </c>
      <c r="P96" s="171">
        <f t="shared" si="246"/>
        <v>3.8896913985554824</v>
      </c>
      <c r="Q96" s="171">
        <f t="shared" ref="Q96" si="247">Q29/Q12</f>
        <v>2.3337670787247884</v>
      </c>
      <c r="R96" s="118">
        <f t="shared" si="213"/>
        <v>9.0641005047741974E-2</v>
      </c>
      <c r="S96" s="20"/>
      <c r="T96" s="152">
        <f t="shared" ref="T96:AC96" si="248">T29/T12</f>
        <v>2.3337670787247888</v>
      </c>
      <c r="U96" s="152">
        <f t="shared" si="248"/>
        <v>2.3337670787247884</v>
      </c>
      <c r="V96" s="152">
        <f t="shared" si="248"/>
        <v>2.3337670787247884</v>
      </c>
      <c r="W96" s="152">
        <f t="shared" si="248"/>
        <v>2.3337670787247884</v>
      </c>
      <c r="X96" s="152">
        <f t="shared" si="248"/>
        <v>2.3337670787247879</v>
      </c>
      <c r="Y96" s="152">
        <f t="shared" si="248"/>
        <v>2.3337670787247875</v>
      </c>
      <c r="Z96" s="152">
        <f t="shared" si="248"/>
        <v>2.3337670787247879</v>
      </c>
      <c r="AA96" s="152">
        <f t="shared" si="248"/>
        <v>2.3337670787247879</v>
      </c>
      <c r="AB96" s="152">
        <f t="shared" si="248"/>
        <v>2.3337670787247879</v>
      </c>
      <c r="AC96" s="152">
        <f t="shared" si="248"/>
        <v>2.3337670787247879</v>
      </c>
      <c r="AD96" s="138">
        <f t="shared" si="215"/>
        <v>1.8000588561877917E-2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1.6334164588528679</v>
      </c>
      <c r="H97" s="171">
        <f t="shared" ref="H97:P97" si="249">H29/H23</f>
        <v>2.9912280701754388</v>
      </c>
      <c r="I97" s="171">
        <f t="shared" si="249"/>
        <v>1.7895833333333333</v>
      </c>
      <c r="J97" s="171">
        <f t="shared" si="249"/>
        <v>1.4192307692307693</v>
      </c>
      <c r="K97" s="171">
        <f t="shared" si="249"/>
        <v>4.1270718232044201</v>
      </c>
      <c r="L97" s="171">
        <f t="shared" si="249"/>
        <v>14.940740740740742</v>
      </c>
      <c r="M97" s="171">
        <f t="shared" si="249"/>
        <v>8.9925093632958806</v>
      </c>
      <c r="N97" s="171">
        <f t="shared" si="249"/>
        <v>7.4781609195402297</v>
      </c>
      <c r="O97" s="171">
        <f t="shared" si="249"/>
        <v>18.512096774193548</v>
      </c>
      <c r="P97" s="171">
        <f t="shared" si="249"/>
        <v>4.2133712660028451</v>
      </c>
      <c r="Q97" s="171">
        <f t="shared" ref="Q97" si="250">Q29/Q23</f>
        <v>2.4476287956328897</v>
      </c>
      <c r="R97" s="118">
        <f t="shared" ref="R97" si="251">((P97/G97)^(1/($H$2-$H$1) ))-1</f>
        <v>9.9393791732572678E-2</v>
      </c>
      <c r="S97" s="20"/>
      <c r="T97" s="171">
        <f t="shared" ref="T97:AC97" si="252">T29/T23</f>
        <v>2.4476287956328897</v>
      </c>
      <c r="U97" s="171">
        <f t="shared" si="252"/>
        <v>2.4476287956328897</v>
      </c>
      <c r="V97" s="171">
        <f t="shared" si="252"/>
        <v>2.4476287956328897</v>
      </c>
      <c r="W97" s="171">
        <f t="shared" si="252"/>
        <v>2.4476287956328897</v>
      </c>
      <c r="X97" s="171">
        <f t="shared" si="252"/>
        <v>2.4476287956328893</v>
      </c>
      <c r="Y97" s="171">
        <f t="shared" si="252"/>
        <v>2.4476287956328888</v>
      </c>
      <c r="Z97" s="171">
        <f t="shared" si="252"/>
        <v>2.4476287956328893</v>
      </c>
      <c r="AA97" s="171">
        <f t="shared" si="252"/>
        <v>2.4476287956328893</v>
      </c>
      <c r="AB97" s="171">
        <f t="shared" si="252"/>
        <v>2.4476287956328893</v>
      </c>
      <c r="AC97" s="171">
        <f t="shared" si="252"/>
        <v>2.4476287956328893</v>
      </c>
      <c r="AD97" s="138">
        <f t="shared" ref="AD97" si="253">((AC97/G97)^(1/($AC$3-$H$1) ))-1</f>
        <v>2.0428151354042745E-2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1.4931297709923665</v>
      </c>
      <c r="H99" s="127">
        <f t="shared" ref="H99:P99" si="254">1/H93</f>
        <v>1.5351906158357773</v>
      </c>
      <c r="I99" s="127">
        <f t="shared" si="254"/>
        <v>1.4819557625145516</v>
      </c>
      <c r="J99" s="127">
        <f t="shared" si="254"/>
        <v>1.4354110207768744</v>
      </c>
      <c r="K99" s="127">
        <f t="shared" si="254"/>
        <v>1.4618473895582329</v>
      </c>
      <c r="L99" s="127">
        <f t="shared" si="254"/>
        <v>1.4392662369856222</v>
      </c>
      <c r="M99" s="127">
        <f t="shared" si="254"/>
        <v>1.4493960849645979</v>
      </c>
      <c r="N99" s="127">
        <f t="shared" si="254"/>
        <v>1.545957577620658</v>
      </c>
      <c r="O99" s="127">
        <f t="shared" si="254"/>
        <v>1.3600522761925506</v>
      </c>
      <c r="P99" s="127">
        <f t="shared" si="254"/>
        <v>1.3075624577987845</v>
      </c>
      <c r="Q99" s="127">
        <f t="shared" ref="Q99" si="255">1/Q93</f>
        <v>1.2843601895734598</v>
      </c>
      <c r="R99" s="118">
        <f t="shared" si="213"/>
        <v>-1.3183303838571581E-2</v>
      </c>
      <c r="S99" s="20"/>
      <c r="T99" s="127">
        <f t="shared" ref="T99:AC99" si="256">1/T93</f>
        <v>1.2843601895734595</v>
      </c>
      <c r="U99" s="127">
        <f t="shared" si="256"/>
        <v>1.2843601895734598</v>
      </c>
      <c r="V99" s="127">
        <f t="shared" si="256"/>
        <v>1.2843601895734595</v>
      </c>
      <c r="W99" s="127">
        <f t="shared" si="256"/>
        <v>1.2843601895734598</v>
      </c>
      <c r="X99" s="127">
        <f t="shared" si="256"/>
        <v>1.2843601895734598</v>
      </c>
      <c r="Y99" s="127">
        <f t="shared" si="256"/>
        <v>1.2843601895734598</v>
      </c>
      <c r="Z99" s="127">
        <f t="shared" si="256"/>
        <v>1.2843601895734598</v>
      </c>
      <c r="AA99" s="127">
        <f t="shared" si="256"/>
        <v>1.2843601895734598</v>
      </c>
      <c r="AB99" s="127">
        <f t="shared" si="256"/>
        <v>1.2843601895734595</v>
      </c>
      <c r="AC99" s="127">
        <f t="shared" si="256"/>
        <v>1.2843601895734598</v>
      </c>
      <c r="AD99" s="138">
        <f t="shared" si="215"/>
        <v>-7.5024027691289463E-3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57">1/G94</f>
        <v>1.3145038167938932</v>
      </c>
      <c r="H100" s="127">
        <f t="shared" si="257"/>
        <v>1.2668621700879765</v>
      </c>
      <c r="I100" s="127">
        <f t="shared" si="257"/>
        <v>1.2712456344586729</v>
      </c>
      <c r="J100" s="127">
        <f t="shared" si="257"/>
        <v>1.2854561878952124</v>
      </c>
      <c r="K100" s="127">
        <f t="shared" si="257"/>
        <v>1.3313253012048192</v>
      </c>
      <c r="L100" s="127">
        <f t="shared" si="257"/>
        <v>1.3510163609320773</v>
      </c>
      <c r="M100" s="127">
        <f t="shared" si="257"/>
        <v>1.3619325281132861</v>
      </c>
      <c r="N100" s="127">
        <f t="shared" si="257"/>
        <v>1.275130648632032</v>
      </c>
      <c r="O100" s="127">
        <f t="shared" si="257"/>
        <v>1.2483119146155521</v>
      </c>
      <c r="P100" s="127">
        <f t="shared" si="257"/>
        <v>1.2260297096556381</v>
      </c>
      <c r="Q100" s="127">
        <f t="shared" ref="Q100" si="258">1/Q94</f>
        <v>1.2345971563981042</v>
      </c>
      <c r="R100" s="118">
        <f t="shared" si="213"/>
        <v>-6.9436008844115937E-3</v>
      </c>
      <c r="S100" s="20"/>
      <c r="T100" s="127">
        <f t="shared" ref="T100:AC100" si="259">1/T94</f>
        <v>1.2345971563981044</v>
      </c>
      <c r="U100" s="127">
        <f t="shared" si="259"/>
        <v>1.2345971563981044</v>
      </c>
      <c r="V100" s="127">
        <f t="shared" si="259"/>
        <v>1.2345971563981042</v>
      </c>
      <c r="W100" s="127">
        <f t="shared" si="259"/>
        <v>1.2345971563981044</v>
      </c>
      <c r="X100" s="127">
        <f t="shared" si="259"/>
        <v>1.2345971563981044</v>
      </c>
      <c r="Y100" s="127">
        <f t="shared" si="259"/>
        <v>1.2345971563981044</v>
      </c>
      <c r="Z100" s="127">
        <f t="shared" si="259"/>
        <v>1.2345971563981046</v>
      </c>
      <c r="AA100" s="127">
        <f t="shared" si="259"/>
        <v>1.2345971563981044</v>
      </c>
      <c r="AB100" s="127">
        <f t="shared" si="259"/>
        <v>1.2345971563981044</v>
      </c>
      <c r="AC100" s="127">
        <f t="shared" si="259"/>
        <v>1.2345971563981044</v>
      </c>
      <c r="AD100" s="138">
        <f t="shared" si="215"/>
        <v>-3.1308157964735628E-3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57"/>
        <v>0.25496183206106871</v>
      </c>
      <c r="H101" s="127">
        <f t="shared" si="257"/>
        <v>0.20821114369501464</v>
      </c>
      <c r="I101" s="127">
        <f t="shared" si="257"/>
        <v>0.24214202561117579</v>
      </c>
      <c r="J101" s="127">
        <f t="shared" si="257"/>
        <v>0.25112917795844625</v>
      </c>
      <c r="K101" s="127">
        <f t="shared" si="257"/>
        <v>0.25836680053547523</v>
      </c>
      <c r="L101" s="127">
        <f t="shared" si="257"/>
        <v>0.26227069905800693</v>
      </c>
      <c r="M101" s="127">
        <f t="shared" si="257"/>
        <v>0.27488546438983757</v>
      </c>
      <c r="N101" s="127">
        <f t="shared" si="257"/>
        <v>0.29787888103289273</v>
      </c>
      <c r="O101" s="127">
        <f t="shared" si="257"/>
        <v>0.19952080156828578</v>
      </c>
      <c r="P101" s="127">
        <f t="shared" si="257"/>
        <v>0.17792032410533423</v>
      </c>
      <c r="Q101" s="127">
        <f t="shared" ref="Q101" si="260">1/Q95</f>
        <v>0.18413716197379426</v>
      </c>
      <c r="R101" s="118">
        <f t="shared" si="213"/>
        <v>-3.5338293489923789E-2</v>
      </c>
      <c r="S101" s="20"/>
      <c r="T101" s="127">
        <f t="shared" ref="T101:AC101" si="261">1/T95</f>
        <v>0.18413716197379426</v>
      </c>
      <c r="U101" s="127">
        <f t="shared" si="261"/>
        <v>0.18413716197379426</v>
      </c>
      <c r="V101" s="127">
        <f t="shared" si="261"/>
        <v>0.18413716197379423</v>
      </c>
      <c r="W101" s="127">
        <f t="shared" si="261"/>
        <v>0.18413716197379423</v>
      </c>
      <c r="X101" s="127">
        <f t="shared" si="261"/>
        <v>0.18413716197379426</v>
      </c>
      <c r="Y101" s="127">
        <f t="shared" si="261"/>
        <v>0.18413716197379429</v>
      </c>
      <c r="Z101" s="127">
        <f t="shared" si="261"/>
        <v>0.18413716197379426</v>
      </c>
      <c r="AA101" s="127">
        <f t="shared" si="261"/>
        <v>0.18413716197379426</v>
      </c>
      <c r="AB101" s="127">
        <f t="shared" si="261"/>
        <v>0.18413716197379423</v>
      </c>
      <c r="AC101" s="127">
        <f t="shared" si="261"/>
        <v>0.18413716197379423</v>
      </c>
      <c r="AD101" s="138">
        <f t="shared" si="215"/>
        <v>-1.6139978397063159E-2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57"/>
        <v>0.61221374045801524</v>
      </c>
      <c r="H102" s="127">
        <f t="shared" si="257"/>
        <v>0.33577712609970672</v>
      </c>
      <c r="I102" s="127">
        <f t="shared" si="257"/>
        <v>0.55995343422584398</v>
      </c>
      <c r="J102" s="127">
        <f t="shared" si="257"/>
        <v>0.70460704607046065</v>
      </c>
      <c r="K102" s="127">
        <f t="shared" si="257"/>
        <v>0.2429718875502008</v>
      </c>
      <c r="L102" s="127">
        <f t="shared" si="257"/>
        <v>6.494794248884482E-2</v>
      </c>
      <c r="M102" s="127">
        <f t="shared" si="257"/>
        <v>0.11245314452311538</v>
      </c>
      <c r="N102" s="127">
        <f t="shared" si="257"/>
        <v>0.13464494312941899</v>
      </c>
      <c r="O102" s="127">
        <f t="shared" si="257"/>
        <v>7.1226312350250481E-2</v>
      </c>
      <c r="P102" s="127">
        <f t="shared" si="257"/>
        <v>0.25708980418636057</v>
      </c>
      <c r="Q102" s="127">
        <f t="shared" ref="Q102" si="262">1/Q96</f>
        <v>0.42849177585726239</v>
      </c>
      <c r="R102" s="118">
        <f t="shared" si="213"/>
        <v>-8.3108011369675383E-2</v>
      </c>
      <c r="S102" s="20"/>
      <c r="T102" s="127">
        <f t="shared" ref="T102:AC102" si="263">1/T96</f>
        <v>0.42849177585726228</v>
      </c>
      <c r="U102" s="127">
        <f t="shared" si="263"/>
        <v>0.42849177585726239</v>
      </c>
      <c r="V102" s="127">
        <f t="shared" si="263"/>
        <v>0.42849177585726239</v>
      </c>
      <c r="W102" s="127">
        <f t="shared" si="263"/>
        <v>0.42849177585726239</v>
      </c>
      <c r="X102" s="127">
        <f t="shared" si="263"/>
        <v>0.42849177585726245</v>
      </c>
      <c r="Y102" s="127">
        <f t="shared" si="263"/>
        <v>0.4284917758572625</v>
      </c>
      <c r="Z102" s="127">
        <f t="shared" si="263"/>
        <v>0.42849177585726245</v>
      </c>
      <c r="AA102" s="127">
        <f t="shared" si="263"/>
        <v>0.42849177585726245</v>
      </c>
      <c r="AB102" s="127">
        <f t="shared" si="263"/>
        <v>0.42849177585726245</v>
      </c>
      <c r="AC102" s="127">
        <f t="shared" si="263"/>
        <v>0.42849177585726245</v>
      </c>
      <c r="AD102" s="138">
        <f t="shared" si="215"/>
        <v>-1.7682296812133624E-2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57"/>
        <v>0.61221374045801524</v>
      </c>
      <c r="H103" s="127">
        <f t="shared" si="257"/>
        <v>0.33431085043988268</v>
      </c>
      <c r="I103" s="127">
        <f t="shared" si="257"/>
        <v>0.55878928987194409</v>
      </c>
      <c r="J103" s="127">
        <f t="shared" si="257"/>
        <v>0.70460704607046065</v>
      </c>
      <c r="K103" s="127">
        <f t="shared" si="257"/>
        <v>0.24230254350736277</v>
      </c>
      <c r="L103" s="127">
        <f t="shared" si="257"/>
        <v>6.6931085770946946E-2</v>
      </c>
      <c r="M103" s="127">
        <f t="shared" si="257"/>
        <v>0.11120366513952519</v>
      </c>
      <c r="N103" s="127">
        <f t="shared" si="257"/>
        <v>0.13372271749154627</v>
      </c>
      <c r="O103" s="127">
        <f t="shared" si="257"/>
        <v>5.4018732302330646E-2</v>
      </c>
      <c r="P103" s="127">
        <f t="shared" si="257"/>
        <v>0.23733963538149899</v>
      </c>
      <c r="Q103" s="127">
        <f t="shared" ref="Q103" si="264">1/Q97</f>
        <v>0.40855868413716201</v>
      </c>
      <c r="R103" s="118">
        <f t="shared" si="213"/>
        <v>-9.0407816089205451E-2</v>
      </c>
      <c r="S103" s="20"/>
      <c r="T103" s="127">
        <f t="shared" ref="T103:AC103" si="265">1/T97</f>
        <v>0.40855868413716201</v>
      </c>
      <c r="U103" s="127">
        <f t="shared" si="265"/>
        <v>0.40855868413716201</v>
      </c>
      <c r="V103" s="127">
        <f t="shared" si="265"/>
        <v>0.40855868413716201</v>
      </c>
      <c r="W103" s="127">
        <f t="shared" si="265"/>
        <v>0.40855868413716201</v>
      </c>
      <c r="X103" s="127">
        <f t="shared" si="265"/>
        <v>0.40855868413716206</v>
      </c>
      <c r="Y103" s="127">
        <f t="shared" si="265"/>
        <v>0.40855868413716212</v>
      </c>
      <c r="Z103" s="127">
        <f t="shared" si="265"/>
        <v>0.40855868413716206</v>
      </c>
      <c r="AA103" s="127">
        <f t="shared" si="265"/>
        <v>0.40855868413716206</v>
      </c>
      <c r="AB103" s="127">
        <f t="shared" si="265"/>
        <v>0.40855868413716206</v>
      </c>
      <c r="AC103" s="127">
        <f t="shared" si="265"/>
        <v>0.40855868413716206</v>
      </c>
      <c r="AD103" s="138">
        <f t="shared" si="215"/>
        <v>-2.0019196184401622E-2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66">F10-(F12+F13)</f>
        <v>6671</v>
      </c>
      <c r="G106" s="163">
        <f t="shared" si="266"/>
        <v>8642</v>
      </c>
      <c r="H106" s="163">
        <f t="shared" si="266"/>
        <v>10728.17</v>
      </c>
      <c r="I106" s="163">
        <f t="shared" si="266"/>
        <v>12971</v>
      </c>
      <c r="J106" s="163">
        <f t="shared" si="266"/>
        <v>15331</v>
      </c>
      <c r="K106" s="163">
        <f t="shared" si="266"/>
        <v>19188</v>
      </c>
      <c r="L106" s="163">
        <f t="shared" si="266"/>
        <v>24142</v>
      </c>
      <c r="M106" s="163">
        <f t="shared" si="266"/>
        <v>33055</v>
      </c>
      <c r="N106" s="163">
        <f t="shared" si="266"/>
        <v>43309</v>
      </c>
      <c r="O106" s="163">
        <f t="shared" si="266"/>
        <v>47370</v>
      </c>
      <c r="P106" s="163">
        <f>P10-(P12+P13)</f>
        <v>56987</v>
      </c>
      <c r="Q106" s="163">
        <f>Q10-(Q12+Q13)</f>
        <v>68182</v>
      </c>
      <c r="R106" s="118">
        <f t="shared" si="213"/>
        <v>0.20758067198919083</v>
      </c>
      <c r="S106" s="20"/>
      <c r="T106" s="163">
        <f>T10-(T12+T13)</f>
        <v>80454.759999999995</v>
      </c>
      <c r="U106" s="163">
        <f t="shared" ref="U106:AC106" si="267">U10-(U12+U13)</f>
        <v>94936.616799999989</v>
      </c>
      <c r="V106" s="163">
        <f t="shared" si="267"/>
        <v>112025.20782399998</v>
      </c>
      <c r="W106" s="163">
        <f t="shared" si="267"/>
        <v>132189.74523231998</v>
      </c>
      <c r="X106" s="163">
        <f t="shared" si="267"/>
        <v>155983.89937413757</v>
      </c>
      <c r="Y106" s="163">
        <f t="shared" si="267"/>
        <v>184061.00126148236</v>
      </c>
      <c r="Z106" s="163">
        <f t="shared" si="267"/>
        <v>217191.98148854918</v>
      </c>
      <c r="AA106" s="163">
        <f t="shared" si="267"/>
        <v>256286.53815648801</v>
      </c>
      <c r="AB106" s="163">
        <f t="shared" si="267"/>
        <v>302418.11502465588</v>
      </c>
      <c r="AC106" s="163">
        <f t="shared" si="267"/>
        <v>356853.37572909391</v>
      </c>
      <c r="AD106" s="138">
        <f t="shared" si="215"/>
        <v>0.20446387073357863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68">G40/G18</f>
        <v>7.0493879273955251</v>
      </c>
      <c r="H107" s="152">
        <f t="shared" si="268"/>
        <v>5.7396928051738083</v>
      </c>
      <c r="I107" s="152">
        <f t="shared" si="268"/>
        <v>8.5808580858085808</v>
      </c>
      <c r="J107" s="152">
        <f t="shared" si="268"/>
        <v>9.2666666666666675</v>
      </c>
      <c r="K107" s="152">
        <f t="shared" si="268"/>
        <v>12.866666666666667</v>
      </c>
      <c r="L107" s="152">
        <f t="shared" si="268"/>
        <v>12.022727272727273</v>
      </c>
      <c r="M107" s="152">
        <f t="shared" si="268"/>
        <v>14.666666666666666</v>
      </c>
      <c r="N107" s="152">
        <f t="shared" si="268"/>
        <v>21.533333333333335</v>
      </c>
      <c r="O107" s="152">
        <f t="shared" si="268"/>
        <v>12.547945205479452</v>
      </c>
      <c r="P107" s="152">
        <f t="shared" si="268"/>
        <v>14.438356164383562</v>
      </c>
      <c r="Q107" s="152">
        <f t="shared" ref="Q107" si="269">Q40/Q18</f>
        <v>15.36046511627907</v>
      </c>
      <c r="R107" s="118">
        <f t="shared" si="213"/>
        <v>7.4327354905737275E-2</v>
      </c>
      <c r="S107" s="20"/>
      <c r="T107" s="152">
        <f t="shared" ref="T107:AC107" si="270">T40/T18</f>
        <v>15.360465116279071</v>
      </c>
      <c r="U107" s="152">
        <f t="shared" si="270"/>
        <v>15.360465116279071</v>
      </c>
      <c r="V107" s="152">
        <f t="shared" si="270"/>
        <v>15.36046511627907</v>
      </c>
      <c r="W107" s="152">
        <f t="shared" si="270"/>
        <v>15.360465116279071</v>
      </c>
      <c r="X107" s="152">
        <f t="shared" si="270"/>
        <v>15.360465116279073</v>
      </c>
      <c r="Y107" s="152">
        <f t="shared" si="270"/>
        <v>15.360465116279071</v>
      </c>
      <c r="Z107" s="152">
        <f t="shared" si="270"/>
        <v>15.36046511627907</v>
      </c>
      <c r="AA107" s="152">
        <f t="shared" si="270"/>
        <v>15.36046511627907</v>
      </c>
      <c r="AB107" s="152">
        <f t="shared" si="270"/>
        <v>15.36046511627907</v>
      </c>
      <c r="AC107" s="152">
        <f t="shared" si="270"/>
        <v>15.360465116279068</v>
      </c>
      <c r="AD107" s="138">
        <f t="shared" si="215"/>
        <v>3.9711021605532748E-2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271">G40/G25</f>
        <v>0.17075664621676892</v>
      </c>
      <c r="H108" s="152">
        <f t="shared" si="271"/>
        <v>0.13562559694364851</v>
      </c>
      <c r="I108" s="152">
        <f t="shared" si="271"/>
        <v>0.16339355852317361</v>
      </c>
      <c r="J108" s="152">
        <f t="shared" si="271"/>
        <v>0.17495280050346129</v>
      </c>
      <c r="K108" s="152">
        <f t="shared" si="271"/>
        <v>0.17673992673992675</v>
      </c>
      <c r="L108" s="152">
        <f t="shared" si="271"/>
        <v>0.18222528418877024</v>
      </c>
      <c r="M108" s="152">
        <f t="shared" si="271"/>
        <v>0.18965517241379309</v>
      </c>
      <c r="N108" s="152">
        <f t="shared" si="271"/>
        <v>0.1926824418373434</v>
      </c>
      <c r="O108" s="152">
        <f t="shared" si="271"/>
        <v>0.14670083279948751</v>
      </c>
      <c r="P108" s="152">
        <f t="shared" si="271"/>
        <v>0.13607022979602376</v>
      </c>
      <c r="Q108" s="152">
        <f t="shared" ref="Q108" si="272">Q40/Q25</f>
        <v>0.14336878662904276</v>
      </c>
      <c r="R108" s="118">
        <f t="shared" si="213"/>
        <v>-2.2450967578408254E-2</v>
      </c>
      <c r="S108" s="20"/>
      <c r="T108" s="152">
        <f t="shared" ref="T108:AC108" si="273">T40/T25</f>
        <v>0.14336878662904279</v>
      </c>
      <c r="U108" s="152">
        <f t="shared" si="273"/>
        <v>0.14336878662904276</v>
      </c>
      <c r="V108" s="152">
        <f t="shared" si="273"/>
        <v>0.14336878662904276</v>
      </c>
      <c r="W108" s="152">
        <f t="shared" si="273"/>
        <v>0.14336878662904276</v>
      </c>
      <c r="X108" s="152">
        <f t="shared" si="273"/>
        <v>0.14336878662904279</v>
      </c>
      <c r="Y108" s="152">
        <f t="shared" si="273"/>
        <v>0.14336878662904279</v>
      </c>
      <c r="Z108" s="152">
        <f t="shared" si="273"/>
        <v>0.14336878662904276</v>
      </c>
      <c r="AA108" s="152">
        <f t="shared" si="273"/>
        <v>0.14336878662904276</v>
      </c>
      <c r="AB108" s="152">
        <f t="shared" si="273"/>
        <v>0.14336878662904276</v>
      </c>
      <c r="AC108" s="152">
        <f t="shared" si="273"/>
        <v>0.14336878662904273</v>
      </c>
      <c r="AD108" s="138">
        <f t="shared" si="215"/>
        <v>-8.7028680492864385E-3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274">G25/G18</f>
        <v>41.283241874208528</v>
      </c>
      <c r="H109" s="152">
        <f t="shared" si="274"/>
        <v>42.320129345189976</v>
      </c>
      <c r="I109" s="152">
        <f t="shared" si="274"/>
        <v>52.516501650165019</v>
      </c>
      <c r="J109" s="152">
        <f t="shared" si="274"/>
        <v>52.966666666666669</v>
      </c>
      <c r="K109" s="152">
        <f t="shared" si="274"/>
        <v>72.8</v>
      </c>
      <c r="L109" s="152">
        <f t="shared" si="274"/>
        <v>65.977272727272734</v>
      </c>
      <c r="M109" s="152">
        <f t="shared" si="274"/>
        <v>77.333333333333329</v>
      </c>
      <c r="N109" s="152">
        <f t="shared" si="274"/>
        <v>111.75555555555556</v>
      </c>
      <c r="O109" s="152">
        <f t="shared" si="274"/>
        <v>85.534246575342465</v>
      </c>
      <c r="P109" s="152">
        <f>P25/P18</f>
        <v>106.10958904109589</v>
      </c>
      <c r="Q109" s="152">
        <f>Q25/Q18</f>
        <v>107.13953488372093</v>
      </c>
      <c r="R109" s="118">
        <f t="shared" si="213"/>
        <v>9.9000990512368992E-2</v>
      </c>
      <c r="S109" s="20"/>
      <c r="T109" s="152">
        <f>T25/T18</f>
        <v>107.13953488372093</v>
      </c>
      <c r="U109" s="152">
        <f t="shared" ref="U109:AC109" si="275">U25/U18</f>
        <v>107.13953488372093</v>
      </c>
      <c r="V109" s="152">
        <f t="shared" si="275"/>
        <v>107.13953488372094</v>
      </c>
      <c r="W109" s="152">
        <f t="shared" si="275"/>
        <v>107.13953488372094</v>
      </c>
      <c r="X109" s="152">
        <f t="shared" si="275"/>
        <v>107.13953488372094</v>
      </c>
      <c r="Y109" s="152">
        <f t="shared" si="275"/>
        <v>107.13953488372093</v>
      </c>
      <c r="Z109" s="152">
        <f t="shared" si="275"/>
        <v>107.13953488372093</v>
      </c>
      <c r="AA109" s="152">
        <f t="shared" si="275"/>
        <v>107.13953488372094</v>
      </c>
      <c r="AB109" s="152">
        <f t="shared" si="275"/>
        <v>107.13953488372093</v>
      </c>
      <c r="AC109" s="152">
        <f t="shared" si="275"/>
        <v>107.13953488372093</v>
      </c>
      <c r="AD109" s="138">
        <f t="shared" si="215"/>
        <v>4.8838928404391302E-2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276">E70*E42</f>
        <v>0</v>
      </c>
      <c r="F111" s="165">
        <f t="shared" si="276"/>
        <v>41.195</v>
      </c>
      <c r="G111" s="165">
        <f>G70*G42</f>
        <v>37.450000000000003</v>
      </c>
      <c r="H111" s="165">
        <f t="shared" ref="H111:P111" si="277">H70*H42</f>
        <v>42.45</v>
      </c>
      <c r="I111" s="165">
        <f t="shared" si="277"/>
        <v>50.94</v>
      </c>
      <c r="J111" s="165">
        <f t="shared" si="277"/>
        <v>67.92</v>
      </c>
      <c r="K111" s="165">
        <f t="shared" si="277"/>
        <v>84.9</v>
      </c>
      <c r="L111" s="165">
        <f t="shared" si="277"/>
        <v>110.37</v>
      </c>
      <c r="M111" s="165">
        <f t="shared" si="277"/>
        <v>142.35</v>
      </c>
      <c r="N111" s="165">
        <f t="shared" si="277"/>
        <v>166.11</v>
      </c>
      <c r="O111" s="165">
        <f t="shared" si="277"/>
        <v>181.65600000000001</v>
      </c>
      <c r="P111" s="165">
        <f t="shared" si="277"/>
        <v>191.89999999999998</v>
      </c>
      <c r="Q111" s="165">
        <f t="shared" ref="Q111" si="278">Q70*Q42</f>
        <v>227.25</v>
      </c>
      <c r="R111" s="118">
        <f t="shared" si="213"/>
        <v>0.17750379437811792</v>
      </c>
      <c r="S111" s="20"/>
      <c r="T111" s="165">
        <f t="shared" ref="T111:AC111" si="279">T70*T42</f>
        <v>240.99862500000003</v>
      </c>
      <c r="U111" s="165">
        <f t="shared" si="279"/>
        <v>255.57904181250004</v>
      </c>
      <c r="V111" s="165">
        <f t="shared" si="279"/>
        <v>271.04157384215631</v>
      </c>
      <c r="W111" s="165">
        <f t="shared" si="279"/>
        <v>287.43958905960676</v>
      </c>
      <c r="X111" s="165">
        <f t="shared" si="279"/>
        <v>304.82968419771299</v>
      </c>
      <c r="Y111" s="165">
        <f t="shared" si="279"/>
        <v>323.27188009167463</v>
      </c>
      <c r="Z111" s="165">
        <f t="shared" si="279"/>
        <v>342.82982883722099</v>
      </c>
      <c r="AA111" s="165">
        <f t="shared" si="279"/>
        <v>363.5710334818728</v>
      </c>
      <c r="AB111" s="165">
        <f t="shared" si="279"/>
        <v>385.56708100752616</v>
      </c>
      <c r="AC111" s="165">
        <f t="shared" si="279"/>
        <v>408.89388940848153</v>
      </c>
      <c r="AD111" s="138">
        <f t="shared" si="215"/>
        <v>0.12695854249918348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48.198149999999998</v>
      </c>
      <c r="G112" s="165">
        <f t="shared" ref="G112:P112" si="280">(G111*0.17)+G111</f>
        <v>43.816500000000005</v>
      </c>
      <c r="H112" s="165">
        <f t="shared" si="280"/>
        <v>49.666500000000006</v>
      </c>
      <c r="I112" s="165">
        <f t="shared" si="280"/>
        <v>59.599800000000002</v>
      </c>
      <c r="J112" s="165">
        <f t="shared" si="280"/>
        <v>79.466400000000007</v>
      </c>
      <c r="K112" s="165">
        <f t="shared" si="280"/>
        <v>99.333000000000013</v>
      </c>
      <c r="L112" s="165">
        <f t="shared" si="280"/>
        <v>129.13290000000001</v>
      </c>
      <c r="M112" s="165">
        <f t="shared" si="280"/>
        <v>166.54949999999999</v>
      </c>
      <c r="N112" s="165">
        <f t="shared" si="280"/>
        <v>194.34870000000001</v>
      </c>
      <c r="O112" s="165">
        <f t="shared" si="280"/>
        <v>212.53752</v>
      </c>
      <c r="P112" s="165">
        <f t="shared" si="280"/>
        <v>224.52299999999997</v>
      </c>
      <c r="Q112" s="165">
        <f t="shared" ref="Q112" si="281">(Q111*0.17)+Q111</f>
        <v>265.88249999999999</v>
      </c>
      <c r="R112" s="118">
        <f t="shared" si="213"/>
        <v>0.17750379437811792</v>
      </c>
      <c r="S112" s="20"/>
      <c r="T112" s="165">
        <f t="shared" ref="T112:AC112" si="282">(T111*0.17)+T111</f>
        <v>281.96839125000002</v>
      </c>
      <c r="U112" s="165">
        <f t="shared" si="282"/>
        <v>299.02747892062507</v>
      </c>
      <c r="V112" s="165">
        <f t="shared" si="282"/>
        <v>317.11864139532287</v>
      </c>
      <c r="W112" s="165">
        <f t="shared" si="282"/>
        <v>336.30431919973989</v>
      </c>
      <c r="X112" s="165">
        <f t="shared" si="282"/>
        <v>356.65073051132418</v>
      </c>
      <c r="Y112" s="165">
        <f t="shared" si="282"/>
        <v>378.22809970725933</v>
      </c>
      <c r="Z112" s="165">
        <f t="shared" si="282"/>
        <v>401.11089973954859</v>
      </c>
      <c r="AA112" s="165">
        <f t="shared" si="282"/>
        <v>425.37810917379119</v>
      </c>
      <c r="AB112" s="165">
        <f t="shared" si="282"/>
        <v>451.11348477880563</v>
      </c>
      <c r="AC112" s="165">
        <f t="shared" si="282"/>
        <v>478.40585060792341</v>
      </c>
      <c r="AD112" s="138">
        <f t="shared" si="215"/>
        <v>0.12695854249918348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>
        <f t="shared" ref="F113:P113" si="283">F112/F40</f>
        <v>0.26926340782122904</v>
      </c>
      <c r="G113" s="152">
        <f t="shared" si="283"/>
        <v>0.26237425149700599</v>
      </c>
      <c r="H113" s="152">
        <f t="shared" si="283"/>
        <v>0.34976408450704227</v>
      </c>
      <c r="I113" s="152">
        <f t="shared" si="283"/>
        <v>0.2865375</v>
      </c>
      <c r="J113" s="152">
        <f t="shared" si="283"/>
        <v>0.28585035971223022</v>
      </c>
      <c r="K113" s="152">
        <f t="shared" si="283"/>
        <v>0.25733937823834202</v>
      </c>
      <c r="L113" s="152">
        <f t="shared" si="283"/>
        <v>0.24410756143667298</v>
      </c>
      <c r="M113" s="152">
        <f t="shared" si="283"/>
        <v>0.25234772727272725</v>
      </c>
      <c r="N113" s="152">
        <f t="shared" si="283"/>
        <v>0.20056625386996904</v>
      </c>
      <c r="O113" s="152">
        <f t="shared" si="283"/>
        <v>0.23202786026200872</v>
      </c>
      <c r="P113" s="152">
        <f t="shared" si="283"/>
        <v>0.21301992409867171</v>
      </c>
      <c r="Q113" s="152">
        <f t="shared" ref="Q113" si="284">Q112/Q40</f>
        <v>0.20127365632096897</v>
      </c>
      <c r="R113" s="118">
        <f t="shared" si="213"/>
        <v>-2.0622998636877554E-2</v>
      </c>
      <c r="S113" s="20"/>
      <c r="T113" s="152">
        <f t="shared" ref="T113:AC113" si="285">T112/T40</f>
        <v>0.1808904343460912</v>
      </c>
      <c r="U113" s="152">
        <f t="shared" si="285"/>
        <v>0.16257144544409302</v>
      </c>
      <c r="V113" s="152">
        <f t="shared" si="285"/>
        <v>0.14610764228259376</v>
      </c>
      <c r="W113" s="152">
        <f t="shared" si="285"/>
        <v>0.13131114800058535</v>
      </c>
      <c r="X113" s="152">
        <f t="shared" si="285"/>
        <v>0.11801311224967861</v>
      </c>
      <c r="Y113" s="152">
        <f t="shared" si="285"/>
        <v>0.10606178435659677</v>
      </c>
      <c r="Z113" s="152">
        <f t="shared" si="285"/>
        <v>9.5320781618788902E-2</v>
      </c>
      <c r="AA113" s="152">
        <f t="shared" si="285"/>
        <v>8.566753297180138E-2</v>
      </c>
      <c r="AB113" s="152">
        <f t="shared" si="285"/>
        <v>7.6991880268301172E-2</v>
      </c>
      <c r="AC113" s="152">
        <f t="shared" si="285"/>
        <v>6.9194821207231708E-2</v>
      </c>
      <c r="AD113" s="138">
        <f t="shared" si="215"/>
        <v>-6.4470214992709551E-2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>
        <f>1-F113</f>
        <v>0.73073659217877096</v>
      </c>
      <c r="G114" s="152">
        <f>1-G113</f>
        <v>0.73762574850299401</v>
      </c>
      <c r="H114" s="152">
        <f t="shared" ref="H114:P114" si="286">1-H113</f>
        <v>0.65023591549295778</v>
      </c>
      <c r="I114" s="152">
        <f t="shared" si="286"/>
        <v>0.7134625</v>
      </c>
      <c r="J114" s="152">
        <f t="shared" si="286"/>
        <v>0.71414964028776984</v>
      </c>
      <c r="K114" s="152">
        <f t="shared" si="286"/>
        <v>0.74266062176165804</v>
      </c>
      <c r="L114" s="152">
        <f t="shared" si="286"/>
        <v>0.755892438563327</v>
      </c>
      <c r="M114" s="152">
        <f t="shared" si="286"/>
        <v>0.74765227272727275</v>
      </c>
      <c r="N114" s="152">
        <f t="shared" si="286"/>
        <v>0.79943374613003093</v>
      </c>
      <c r="O114" s="152">
        <f t="shared" si="286"/>
        <v>0.76797213973799128</v>
      </c>
      <c r="P114" s="152">
        <f t="shared" si="286"/>
        <v>0.78698007590132835</v>
      </c>
      <c r="Q114" s="152">
        <f t="shared" ref="Q114" si="287">1-Q113</f>
        <v>0.79872634367903106</v>
      </c>
      <c r="R114" s="118">
        <f t="shared" si="213"/>
        <v>6.4976538994423461E-3</v>
      </c>
      <c r="S114" s="20"/>
      <c r="T114" s="152">
        <f t="shared" ref="T114:AC114" si="288">1-T113</f>
        <v>0.8191095656539088</v>
      </c>
      <c r="U114" s="152">
        <f t="shared" si="288"/>
        <v>0.83742855455590703</v>
      </c>
      <c r="V114" s="152">
        <f t="shared" si="288"/>
        <v>0.85389235771740624</v>
      </c>
      <c r="W114" s="152">
        <f t="shared" si="288"/>
        <v>0.8686888519994147</v>
      </c>
      <c r="X114" s="152">
        <f t="shared" si="288"/>
        <v>0.88198688775032141</v>
      </c>
      <c r="Y114" s="152">
        <f t="shared" si="288"/>
        <v>0.89393821564340326</v>
      </c>
      <c r="Z114" s="152">
        <f t="shared" si="288"/>
        <v>0.90467921838121113</v>
      </c>
      <c r="AA114" s="152">
        <f t="shared" si="288"/>
        <v>0.91433246702819859</v>
      </c>
      <c r="AB114" s="152">
        <f t="shared" si="288"/>
        <v>0.92300811973169883</v>
      </c>
      <c r="AC114" s="152">
        <f t="shared" si="288"/>
        <v>0.93080517879276825</v>
      </c>
      <c r="AD114" s="138">
        <f t="shared" si="215"/>
        <v>1.1698569988488172E-2</v>
      </c>
      <c r="AE114" s="20"/>
      <c r="AF114" s="20"/>
    </row>
    <row r="115" spans="2:32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28"/>
      <c r="S115" s="20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28"/>
      <c r="AE115" s="20"/>
      <c r="AF115" s="20"/>
    </row>
    <row r="116" spans="2:32" x14ac:dyDescent="0.2">
      <c r="B116" s="20" t="s">
        <v>333</v>
      </c>
      <c r="C116" s="152"/>
      <c r="D116" s="152"/>
      <c r="E116" s="152"/>
      <c r="F116" s="152">
        <f>F31/F25</f>
        <v>0</v>
      </c>
      <c r="G116" s="152">
        <f>G31/G25</f>
        <v>0</v>
      </c>
      <c r="H116" s="152">
        <f t="shared" ref="H116:P116" si="289">H31/H25</f>
        <v>0</v>
      </c>
      <c r="I116" s="152">
        <f t="shared" si="289"/>
        <v>0</v>
      </c>
      <c r="J116" s="152">
        <f t="shared" si="289"/>
        <v>0</v>
      </c>
      <c r="K116" s="152">
        <f t="shared" si="289"/>
        <v>0</v>
      </c>
      <c r="L116" s="152">
        <f t="shared" si="289"/>
        <v>0</v>
      </c>
      <c r="M116" s="152">
        <f t="shared" si="289"/>
        <v>0</v>
      </c>
      <c r="N116" s="152">
        <f t="shared" si="289"/>
        <v>0</v>
      </c>
      <c r="O116" s="152">
        <f t="shared" si="289"/>
        <v>0</v>
      </c>
      <c r="P116" s="152">
        <f t="shared" si="289"/>
        <v>0</v>
      </c>
      <c r="Q116" s="152">
        <f t="shared" ref="Q116" si="290">Q31/Q25</f>
        <v>0</v>
      </c>
      <c r="R116" s="118" t="e">
        <f t="shared" si="213"/>
        <v>#DIV/0!</v>
      </c>
      <c r="S116" s="20"/>
      <c r="T116" s="152">
        <f t="shared" ref="T116:AC116" si="291">T31/T25</f>
        <v>0</v>
      </c>
      <c r="U116" s="152">
        <f t="shared" si="291"/>
        <v>0</v>
      </c>
      <c r="V116" s="152">
        <f t="shared" si="291"/>
        <v>0</v>
      </c>
      <c r="W116" s="152">
        <f t="shared" si="291"/>
        <v>0</v>
      </c>
      <c r="X116" s="152">
        <f t="shared" si="291"/>
        <v>0</v>
      </c>
      <c r="Y116" s="152">
        <f t="shared" si="291"/>
        <v>0</v>
      </c>
      <c r="Z116" s="152">
        <f t="shared" si="291"/>
        <v>0</v>
      </c>
      <c r="AA116" s="152">
        <f t="shared" si="291"/>
        <v>0</v>
      </c>
      <c r="AB116" s="152">
        <f t="shared" si="291"/>
        <v>0</v>
      </c>
      <c r="AC116" s="152">
        <f t="shared" si="291"/>
        <v>0</v>
      </c>
      <c r="AD116" s="138" t="e">
        <f t="shared" si="215"/>
        <v>#DIV/0!</v>
      </c>
      <c r="AE116" s="20"/>
      <c r="AF116" s="20"/>
    </row>
    <row r="117" spans="2:32" x14ac:dyDescent="0.2">
      <c r="B117" s="20" t="s">
        <v>330</v>
      </c>
      <c r="C117" s="152"/>
      <c r="D117" s="152"/>
      <c r="E117" s="152"/>
      <c r="F117" s="152">
        <f>F32/F25</f>
        <v>0</v>
      </c>
      <c r="G117" s="152">
        <f>G32/G25</f>
        <v>0</v>
      </c>
      <c r="H117" s="152">
        <f t="shared" ref="H117:P117" si="292">H32/H25</f>
        <v>0</v>
      </c>
      <c r="I117" s="152">
        <f t="shared" si="292"/>
        <v>0</v>
      </c>
      <c r="J117" s="152">
        <f t="shared" si="292"/>
        <v>0</v>
      </c>
      <c r="K117" s="152">
        <f t="shared" si="292"/>
        <v>0</v>
      </c>
      <c r="L117" s="152">
        <f t="shared" si="292"/>
        <v>0</v>
      </c>
      <c r="M117" s="152">
        <f t="shared" si="292"/>
        <v>0</v>
      </c>
      <c r="N117" s="152">
        <f t="shared" si="292"/>
        <v>0</v>
      </c>
      <c r="O117" s="152">
        <f t="shared" si="292"/>
        <v>0</v>
      </c>
      <c r="P117" s="152">
        <f t="shared" si="292"/>
        <v>0</v>
      </c>
      <c r="Q117" s="152">
        <f t="shared" ref="Q117" si="293">Q32/Q25</f>
        <v>0</v>
      </c>
      <c r="R117" s="118" t="e">
        <f t="shared" si="213"/>
        <v>#DIV/0!</v>
      </c>
      <c r="S117" s="20"/>
      <c r="T117" s="152">
        <f t="shared" ref="T117:AC117" si="294">T32/T25</f>
        <v>0</v>
      </c>
      <c r="U117" s="152">
        <f t="shared" si="294"/>
        <v>0</v>
      </c>
      <c r="V117" s="152">
        <f t="shared" si="294"/>
        <v>0</v>
      </c>
      <c r="W117" s="152">
        <f t="shared" si="294"/>
        <v>0</v>
      </c>
      <c r="X117" s="152">
        <f t="shared" si="294"/>
        <v>0</v>
      </c>
      <c r="Y117" s="152">
        <f t="shared" si="294"/>
        <v>0</v>
      </c>
      <c r="Z117" s="152">
        <f t="shared" si="294"/>
        <v>0</v>
      </c>
      <c r="AA117" s="152">
        <f t="shared" si="294"/>
        <v>0</v>
      </c>
      <c r="AB117" s="152">
        <f t="shared" si="294"/>
        <v>0</v>
      </c>
      <c r="AC117" s="152">
        <f t="shared" si="294"/>
        <v>0</v>
      </c>
      <c r="AD117" s="138" t="e">
        <f t="shared" si="215"/>
        <v>#DIV/0!</v>
      </c>
      <c r="AE117" s="20"/>
      <c r="AF117" s="20"/>
    </row>
    <row r="118" spans="2:32" x14ac:dyDescent="0.2">
      <c r="B118" s="20"/>
      <c r="C118" s="20"/>
      <c r="D118" s="20"/>
      <c r="E118" s="20"/>
      <c r="F118" s="20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28"/>
      <c r="S118" s="20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28"/>
      <c r="AE118" s="20"/>
      <c r="AF118" s="20"/>
    </row>
    <row r="119" spans="2:32" x14ac:dyDescent="0.2">
      <c r="B119" s="20" t="s">
        <v>354</v>
      </c>
      <c r="C119" s="20"/>
      <c r="D119" s="20"/>
      <c r="E119" s="20"/>
      <c r="F119" s="20"/>
      <c r="G119" s="152">
        <f>G27/G25</f>
        <v>9.815950920245399E-2</v>
      </c>
      <c r="H119" s="152">
        <f t="shared" ref="H119:P119" si="295">H27/H25</f>
        <v>0.15186246418338109</v>
      </c>
      <c r="I119" s="152">
        <f t="shared" si="295"/>
        <v>0.11468970934799685</v>
      </c>
      <c r="J119" s="152">
        <f t="shared" si="295"/>
        <v>7.8036500943989937E-2</v>
      </c>
      <c r="K119" s="152">
        <f t="shared" si="295"/>
        <v>7.0512820512820512E-2</v>
      </c>
      <c r="L119" s="152">
        <f t="shared" si="295"/>
        <v>5.3393041681019632E-2</v>
      </c>
      <c r="M119" s="152">
        <f t="shared" si="295"/>
        <v>5.5459770114942526E-2</v>
      </c>
      <c r="N119" s="152">
        <f t="shared" si="295"/>
        <v>9.5446410817259894E-2</v>
      </c>
      <c r="O119" s="152">
        <f t="shared" si="295"/>
        <v>6.5663036515054451E-2</v>
      </c>
      <c r="P119" s="152">
        <f t="shared" si="295"/>
        <v>5.1123160340821067E-2</v>
      </c>
      <c r="Q119" s="152">
        <f t="shared" ref="Q119" si="296">Q27/Q25</f>
        <v>0.81821141740829173</v>
      </c>
      <c r="R119" s="118">
        <f t="shared" si="213"/>
        <v>-6.3153299662058404E-2</v>
      </c>
      <c r="S119" s="20"/>
      <c r="T119" s="152">
        <f t="shared" ref="T119:AC119" si="297">T27/T25</f>
        <v>0.81821141740829184</v>
      </c>
      <c r="U119" s="152">
        <f t="shared" si="297"/>
        <v>0.81821141740829184</v>
      </c>
      <c r="V119" s="152">
        <f t="shared" si="297"/>
        <v>0.81821141740829173</v>
      </c>
      <c r="W119" s="152">
        <f t="shared" si="297"/>
        <v>0.81821141740829184</v>
      </c>
      <c r="X119" s="152">
        <f t="shared" si="297"/>
        <v>0.81821141740829173</v>
      </c>
      <c r="Y119" s="152">
        <f t="shared" si="297"/>
        <v>0.81821141740829184</v>
      </c>
      <c r="Z119" s="152">
        <f t="shared" si="297"/>
        <v>0.81821141740829184</v>
      </c>
      <c r="AA119" s="152">
        <f t="shared" si="297"/>
        <v>0.81821141740829173</v>
      </c>
      <c r="AB119" s="152">
        <f t="shared" si="297"/>
        <v>0.81821141740829184</v>
      </c>
      <c r="AC119" s="152">
        <f t="shared" si="297"/>
        <v>0.81821141740829184</v>
      </c>
      <c r="AD119" s="138">
        <f t="shared" si="215"/>
        <v>0.11185117113538956</v>
      </c>
      <c r="AE119" s="20"/>
      <c r="AF119" s="20"/>
    </row>
    <row r="120" spans="2:32" x14ac:dyDescent="0.2">
      <c r="B120" s="20" t="str">
        <f>B33</f>
        <v>Top Expenses ( Raw material )</v>
      </c>
      <c r="C120" s="20"/>
      <c r="D120" s="20"/>
      <c r="E120" s="20"/>
      <c r="F120" s="20"/>
      <c r="G120" s="152">
        <f>G33/G25</f>
        <v>9.6216768916155427E-3</v>
      </c>
      <c r="H120" s="152">
        <f t="shared" ref="H120:P120" si="298">H33/H25</f>
        <v>1.7765042979942695E-2</v>
      </c>
      <c r="I120" s="152">
        <f t="shared" si="298"/>
        <v>1.0997643362136685E-2</v>
      </c>
      <c r="J120" s="152">
        <f t="shared" si="298"/>
        <v>1.1013215859030838E-2</v>
      </c>
      <c r="K120" s="152">
        <f t="shared" si="298"/>
        <v>8.4706959706959701E-3</v>
      </c>
      <c r="L120" s="152">
        <f t="shared" si="298"/>
        <v>6.5449534963830519E-3</v>
      </c>
      <c r="M120" s="152">
        <f t="shared" si="298"/>
        <v>9.1954022988505746E-3</v>
      </c>
      <c r="N120" s="152">
        <f t="shared" si="298"/>
        <v>4.5734738516603696E-3</v>
      </c>
      <c r="O120" s="152">
        <f t="shared" si="298"/>
        <v>5.8456117873158233E-3</v>
      </c>
      <c r="P120" s="152">
        <f t="shared" si="298"/>
        <v>3.8471469145365353E-2</v>
      </c>
      <c r="Q120" s="152">
        <f t="shared" ref="Q120" si="299">Q33/Q25</f>
        <v>2.6481441285001087E-2</v>
      </c>
      <c r="R120" s="118">
        <f t="shared" si="213"/>
        <v>0.14865286534635502</v>
      </c>
      <c r="S120" s="20"/>
      <c r="T120" s="152">
        <f t="shared" ref="T120:AC120" si="300">T33/T25</f>
        <v>2.6481441285001087E-2</v>
      </c>
      <c r="U120" s="152">
        <f t="shared" si="300"/>
        <v>2.6481441285001083E-2</v>
      </c>
      <c r="V120" s="152">
        <f t="shared" si="300"/>
        <v>2.6481441285001083E-2</v>
      </c>
      <c r="W120" s="152">
        <f t="shared" si="300"/>
        <v>2.6481441285001087E-2</v>
      </c>
      <c r="X120" s="152">
        <f t="shared" si="300"/>
        <v>2.6481441285001087E-2</v>
      </c>
      <c r="Y120" s="152">
        <f t="shared" si="300"/>
        <v>2.6481441285001087E-2</v>
      </c>
      <c r="Z120" s="152">
        <f t="shared" si="300"/>
        <v>2.648144128500109E-2</v>
      </c>
      <c r="AA120" s="152">
        <f t="shared" si="300"/>
        <v>2.6481441285001087E-2</v>
      </c>
      <c r="AB120" s="152">
        <f t="shared" si="300"/>
        <v>2.6481441285001094E-2</v>
      </c>
      <c r="AC120" s="152">
        <f t="shared" si="300"/>
        <v>2.648144128500109E-2</v>
      </c>
      <c r="AD120" s="138">
        <f t="shared" si="215"/>
        <v>5.1924432816227162E-2</v>
      </c>
      <c r="AE120" s="20"/>
      <c r="AF120" s="20"/>
    </row>
    <row r="121" spans="2:32" x14ac:dyDescent="0.2">
      <c r="B121" s="20" t="str">
        <f>B34</f>
        <v>2nd highest Expenses Comp. ( Empl )</v>
      </c>
      <c r="C121" s="20"/>
      <c r="D121" s="20"/>
      <c r="E121" s="20"/>
      <c r="F121" s="20"/>
      <c r="G121" s="152">
        <f>G34/G25</f>
        <v>1.6973415132924337E-2</v>
      </c>
      <c r="H121" s="152">
        <f t="shared" ref="H121:P121" si="301">H34/H25</f>
        <v>1.6714422158548233E-2</v>
      </c>
      <c r="I121" s="152">
        <f t="shared" si="301"/>
        <v>1.9795758051846031E-2</v>
      </c>
      <c r="J121" s="152">
        <f t="shared" si="301"/>
        <v>1.6991818753933293E-2</v>
      </c>
      <c r="K121" s="152">
        <f t="shared" si="301"/>
        <v>1.6025641025641024E-2</v>
      </c>
      <c r="L121" s="152">
        <f t="shared" si="301"/>
        <v>1.5501205649328281E-2</v>
      </c>
      <c r="M121" s="152">
        <f t="shared" si="301"/>
        <v>1.4942528735632184E-2</v>
      </c>
      <c r="N121" s="152">
        <f t="shared" si="301"/>
        <v>1.4913501690196859E-2</v>
      </c>
      <c r="O121" s="152">
        <f t="shared" si="301"/>
        <v>1.2972453555413196E-2</v>
      </c>
      <c r="P121" s="152">
        <f t="shared" si="301"/>
        <v>1.2651691195455719E-2</v>
      </c>
      <c r="Q121" s="152">
        <f t="shared" ref="Q121" si="302">Q34/Q25</f>
        <v>1.2263946168873453E-2</v>
      </c>
      <c r="R121" s="118">
        <f t="shared" si="213"/>
        <v>-2.8958178112251542E-2</v>
      </c>
      <c r="S121" s="20"/>
      <c r="T121" s="152">
        <f t="shared" ref="T121:AC121" si="303">T34/T25</f>
        <v>1.2263946168873455E-2</v>
      </c>
      <c r="U121" s="152">
        <f t="shared" si="303"/>
        <v>1.2263946168873455E-2</v>
      </c>
      <c r="V121" s="152">
        <f t="shared" si="303"/>
        <v>1.2263946168873455E-2</v>
      </c>
      <c r="W121" s="152">
        <f t="shared" si="303"/>
        <v>1.2263946168873456E-2</v>
      </c>
      <c r="X121" s="152">
        <f t="shared" si="303"/>
        <v>1.2263946168873456E-2</v>
      </c>
      <c r="Y121" s="152">
        <f t="shared" si="303"/>
        <v>1.2263946168873458E-2</v>
      </c>
      <c r="Z121" s="152">
        <f t="shared" si="303"/>
        <v>1.2263946168873458E-2</v>
      </c>
      <c r="AA121" s="152">
        <f t="shared" si="303"/>
        <v>1.2263946168873456E-2</v>
      </c>
      <c r="AB121" s="152">
        <f t="shared" si="303"/>
        <v>1.2263946168873458E-2</v>
      </c>
      <c r="AC121" s="152">
        <f t="shared" si="303"/>
        <v>1.2263946168873456E-2</v>
      </c>
      <c r="AD121" s="138">
        <f t="shared" si="215"/>
        <v>-1.6117921078558806E-2</v>
      </c>
      <c r="AE121" s="20"/>
      <c r="AF121" s="20"/>
    </row>
    <row r="122" spans="2:32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28"/>
      <c r="S122" s="128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39"/>
      <c r="AE122" s="20"/>
      <c r="AF122" s="20"/>
    </row>
    <row r="123" spans="2:32" x14ac:dyDescent="0.2">
      <c r="B123" s="108" t="s">
        <v>362</v>
      </c>
      <c r="C123" s="20"/>
      <c r="D123" s="20"/>
      <c r="E123" s="20"/>
      <c r="F123" s="20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118"/>
      <c r="S123" s="128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138"/>
      <c r="AE123" s="20"/>
      <c r="AF123" s="20"/>
    </row>
    <row r="124" spans="2:32" x14ac:dyDescent="0.2">
      <c r="B124" s="20" t="s">
        <v>365</v>
      </c>
      <c r="C124" s="20"/>
      <c r="D124" s="20"/>
      <c r="E124" s="20"/>
      <c r="F124" s="20"/>
      <c r="G124" s="25">
        <f>G15/G9</f>
        <v>0.41007194244604317</v>
      </c>
      <c r="H124" s="25">
        <f t="shared" ref="H124:AC124" si="304">H15/H9</f>
        <v>0.37259615384615385</v>
      </c>
      <c r="I124" s="25">
        <f t="shared" si="304"/>
        <v>0.35622317596566522</v>
      </c>
      <c r="J124" s="25">
        <f t="shared" si="304"/>
        <v>0.27716535433070866</v>
      </c>
      <c r="K124" s="25">
        <f t="shared" si="304"/>
        <v>0.17973462002412546</v>
      </c>
      <c r="L124" s="25">
        <f t="shared" si="304"/>
        <v>9.8068350668647844E-2</v>
      </c>
      <c r="M124" s="25">
        <f t="shared" si="304"/>
        <v>0.15538552089464391</v>
      </c>
      <c r="N124" s="25">
        <f t="shared" si="304"/>
        <v>0.11557649667405764</v>
      </c>
      <c r="O124" s="25">
        <f t="shared" si="304"/>
        <v>3.1084985553452227E-2</v>
      </c>
      <c r="P124" s="25">
        <f t="shared" si="304"/>
        <v>0.11014774224873414</v>
      </c>
      <c r="Q124" s="25">
        <f t="shared" ref="Q124" si="305">Q15/Q9</f>
        <v>0.19982215447154472</v>
      </c>
      <c r="R124" s="118">
        <f t="shared" si="213"/>
        <v>-0.12317776493151178</v>
      </c>
      <c r="S124" s="20"/>
      <c r="T124" s="20">
        <f t="shared" si="304"/>
        <v>0.19982215447154472</v>
      </c>
      <c r="U124" s="20">
        <f t="shared" si="304"/>
        <v>0.19982215447154475</v>
      </c>
      <c r="V124" s="20">
        <f t="shared" si="304"/>
        <v>0.19982215447154472</v>
      </c>
      <c r="W124" s="20">
        <f t="shared" si="304"/>
        <v>0.19982215447154475</v>
      </c>
      <c r="X124" s="20">
        <f t="shared" si="304"/>
        <v>0.19982215447154475</v>
      </c>
      <c r="Y124" s="20">
        <f t="shared" si="304"/>
        <v>0.19982215447154475</v>
      </c>
      <c r="Z124" s="20">
        <f t="shared" si="304"/>
        <v>0.19982215447154475</v>
      </c>
      <c r="AA124" s="20">
        <f t="shared" si="304"/>
        <v>0.19982215447154478</v>
      </c>
      <c r="AB124" s="20">
        <f t="shared" si="304"/>
        <v>0.19982215447154475</v>
      </c>
      <c r="AC124" s="20">
        <f t="shared" si="304"/>
        <v>0.19982215447154475</v>
      </c>
      <c r="AD124" s="138">
        <f t="shared" si="215"/>
        <v>-3.5306884762709156E-2</v>
      </c>
      <c r="AE124" s="20"/>
      <c r="AF124" s="20"/>
    </row>
    <row r="125" spans="2:32" x14ac:dyDescent="0.2">
      <c r="B125" s="20" t="s">
        <v>355</v>
      </c>
      <c r="C125" s="20"/>
      <c r="D125" s="20"/>
      <c r="E125" s="20"/>
      <c r="F125" s="20"/>
      <c r="G125" s="25">
        <f>G12/G9</f>
        <v>1.4424460431654675</v>
      </c>
      <c r="H125" s="25">
        <f t="shared" ref="H125:P125" si="306">H12/H9</f>
        <v>0.55048076923076927</v>
      </c>
      <c r="I125" s="25">
        <f t="shared" si="306"/>
        <v>1.0321888412017168</v>
      </c>
      <c r="J125" s="25">
        <f t="shared" si="306"/>
        <v>1.2283464566929134</v>
      </c>
      <c r="K125" s="25">
        <f t="shared" si="306"/>
        <v>0.43787696019300359</v>
      </c>
      <c r="L125" s="25">
        <f t="shared" si="306"/>
        <v>9.7325408618127787E-2</v>
      </c>
      <c r="M125" s="25">
        <f t="shared" si="306"/>
        <v>0.15891701000588582</v>
      </c>
      <c r="N125" s="25">
        <f t="shared" si="306"/>
        <v>0.12139689578713969</v>
      </c>
      <c r="O125" s="25">
        <f t="shared" si="306"/>
        <v>3.2579456012752812E-2</v>
      </c>
      <c r="P125" s="25">
        <f t="shared" si="306"/>
        <v>0.10563917597280988</v>
      </c>
      <c r="Q125" s="25">
        <f t="shared" ref="Q125" si="307">Q12/Q9</f>
        <v>0.1952489837398374</v>
      </c>
      <c r="R125" s="118">
        <f t="shared" si="213"/>
        <v>-0.23003223646770465</v>
      </c>
      <c r="S125" s="128"/>
      <c r="T125" s="20">
        <f t="shared" ref="T125:AC125" si="308">T12/T9</f>
        <v>0.1952489837398374</v>
      </c>
      <c r="U125" s="20">
        <f t="shared" si="308"/>
        <v>0.19524898373983743</v>
      </c>
      <c r="V125" s="20">
        <f t="shared" si="308"/>
        <v>0.19524898373983743</v>
      </c>
      <c r="W125" s="20">
        <f t="shared" si="308"/>
        <v>0.19524898373983746</v>
      </c>
      <c r="X125" s="20">
        <f t="shared" si="308"/>
        <v>0.19524898373983746</v>
      </c>
      <c r="Y125" s="20">
        <f t="shared" si="308"/>
        <v>0.19524898373983746</v>
      </c>
      <c r="Z125" s="20">
        <f t="shared" si="308"/>
        <v>0.19524898373983746</v>
      </c>
      <c r="AA125" s="20">
        <f t="shared" si="308"/>
        <v>0.19524898373983746</v>
      </c>
      <c r="AB125" s="20">
        <f t="shared" si="308"/>
        <v>0.19524898373983746</v>
      </c>
      <c r="AC125" s="20">
        <f t="shared" si="308"/>
        <v>0.19524898373983746</v>
      </c>
      <c r="AD125" s="118">
        <f t="shared" ref="AD125" si="309">((AC125/T125)^(1/($H$2-$H$1) ))-1</f>
        <v>0</v>
      </c>
      <c r="AE125" s="20"/>
      <c r="AF125" s="20"/>
    </row>
    <row r="126" spans="2:32" x14ac:dyDescent="0.2">
      <c r="B126" s="20" t="s">
        <v>357</v>
      </c>
      <c r="C126" s="20"/>
      <c r="D126" s="20"/>
      <c r="E126" s="20"/>
      <c r="F126" s="20"/>
      <c r="G126" s="25">
        <f>G25/360</f>
        <v>2.7166666666666668</v>
      </c>
      <c r="H126" s="25">
        <f t="shared" ref="H126:P126" si="310">H25/360</f>
        <v>2.9083333333333332</v>
      </c>
      <c r="I126" s="25">
        <f t="shared" si="310"/>
        <v>3.536111111111111</v>
      </c>
      <c r="J126" s="25">
        <f t="shared" si="310"/>
        <v>4.4138888888888888</v>
      </c>
      <c r="K126" s="25">
        <f t="shared" si="310"/>
        <v>6.0666666666666664</v>
      </c>
      <c r="L126" s="25">
        <f t="shared" si="310"/>
        <v>8.0638888888888882</v>
      </c>
      <c r="M126" s="25">
        <f t="shared" si="310"/>
        <v>9.6666666666666661</v>
      </c>
      <c r="N126" s="25">
        <f t="shared" si="310"/>
        <v>13.969444444444445</v>
      </c>
      <c r="O126" s="25">
        <f t="shared" si="310"/>
        <v>17.344444444444445</v>
      </c>
      <c r="P126" s="25">
        <f t="shared" si="310"/>
        <v>21.516666666666666</v>
      </c>
      <c r="Q126" s="25">
        <f t="shared" ref="Q126" si="311">Q25/360</f>
        <v>25.594444444444445</v>
      </c>
      <c r="R126" s="118">
        <f t="shared" si="213"/>
        <v>0.22991150421587503</v>
      </c>
      <c r="S126" s="128"/>
      <c r="T126" s="25">
        <f t="shared" ref="T126:AC126" si="312">T25/360</f>
        <v>30.201444444444441</v>
      </c>
      <c r="U126" s="25">
        <f t="shared" si="312"/>
        <v>35.637704444444438</v>
      </c>
      <c r="V126" s="25">
        <f t="shared" si="312"/>
        <v>42.052491244444433</v>
      </c>
      <c r="W126" s="25">
        <f t="shared" si="312"/>
        <v>49.621939668444426</v>
      </c>
      <c r="X126" s="25">
        <f t="shared" si="312"/>
        <v>58.55388880876442</v>
      </c>
      <c r="Y126" s="25">
        <f t="shared" si="312"/>
        <v>69.093588794342011</v>
      </c>
      <c r="Z126" s="25">
        <f t="shared" si="312"/>
        <v>81.530434777323563</v>
      </c>
      <c r="AA126" s="25">
        <f t="shared" si="312"/>
        <v>96.205913037241814</v>
      </c>
      <c r="AB126" s="25">
        <f t="shared" si="312"/>
        <v>113.52297738394532</v>
      </c>
      <c r="AC126" s="25">
        <f t="shared" si="312"/>
        <v>133.95711331305549</v>
      </c>
      <c r="AD126" s="118">
        <f t="shared" ref="AD126:AD137" si="313">((AC126/T126)^(1/($H$2-$H$1) ))-1</f>
        <v>0.16063003887015892</v>
      </c>
      <c r="AE126" s="20"/>
      <c r="AF126" s="20"/>
    </row>
    <row r="127" spans="2:32" x14ac:dyDescent="0.2">
      <c r="B127" s="20" t="s">
        <v>356</v>
      </c>
      <c r="C127" s="20"/>
      <c r="D127" s="20"/>
      <c r="E127" s="20"/>
      <c r="F127" s="20"/>
      <c r="G127" s="25">
        <f>G27/360</f>
        <v>0.26666666666666666</v>
      </c>
      <c r="H127" s="25">
        <f t="shared" ref="H127:P127" si="314">H27/360</f>
        <v>0.44166666666666665</v>
      </c>
      <c r="I127" s="25">
        <f t="shared" si="314"/>
        <v>0.40555555555555556</v>
      </c>
      <c r="J127" s="25">
        <f t="shared" si="314"/>
        <v>0.34444444444444444</v>
      </c>
      <c r="K127" s="25">
        <f t="shared" si="314"/>
        <v>0.42777777777777776</v>
      </c>
      <c r="L127" s="25">
        <f t="shared" si="314"/>
        <v>0.43055555555555558</v>
      </c>
      <c r="M127" s="25">
        <f t="shared" si="314"/>
        <v>0.53611111111111109</v>
      </c>
      <c r="N127" s="25">
        <f t="shared" si="314"/>
        <v>1.3333333333333333</v>
      </c>
      <c r="O127" s="25">
        <f t="shared" si="314"/>
        <v>1.1388888888888888</v>
      </c>
      <c r="P127" s="25">
        <f t="shared" si="314"/>
        <v>1.1000000000000001</v>
      </c>
      <c r="Q127" s="25">
        <f t="shared" ref="Q127" si="315">Q27/360</f>
        <v>20.941666666666666</v>
      </c>
      <c r="R127" s="118">
        <f t="shared" si="213"/>
        <v>0.15223853443231672</v>
      </c>
      <c r="S127" s="128"/>
      <c r="T127" s="25">
        <f t="shared" ref="T127:AC127" si="316">T27/360</f>
        <v>24.711166666666667</v>
      </c>
      <c r="U127" s="25">
        <f t="shared" si="316"/>
        <v>29.159176666666664</v>
      </c>
      <c r="V127" s="25">
        <f t="shared" si="316"/>
        <v>34.407828466666658</v>
      </c>
      <c r="W127" s="25">
        <f t="shared" si="316"/>
        <v>40.601237590666656</v>
      </c>
      <c r="X127" s="25">
        <f t="shared" si="316"/>
        <v>47.909460356986649</v>
      </c>
      <c r="Y127" s="25">
        <f t="shared" si="316"/>
        <v>56.533163221244244</v>
      </c>
      <c r="Z127" s="25">
        <f t="shared" si="316"/>
        <v>66.709132601068205</v>
      </c>
      <c r="AA127" s="25">
        <f t="shared" si="316"/>
        <v>78.716776469260481</v>
      </c>
      <c r="AB127" s="25">
        <f t="shared" si="316"/>
        <v>92.885796233727362</v>
      </c>
      <c r="AC127" s="25">
        <f t="shared" si="316"/>
        <v>109.60523955579829</v>
      </c>
      <c r="AD127" s="118">
        <f t="shared" si="313"/>
        <v>0.16063003887015892</v>
      </c>
      <c r="AE127" s="20"/>
      <c r="AF127" s="20"/>
    </row>
    <row r="128" spans="2:32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128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28"/>
      <c r="AE128" s="20"/>
      <c r="AF128" s="20"/>
    </row>
    <row r="129" spans="2:32" x14ac:dyDescent="0.2">
      <c r="B129" s="20" t="s">
        <v>366</v>
      </c>
      <c r="C129" s="20"/>
      <c r="D129" s="20"/>
      <c r="E129" s="20"/>
      <c r="F129" s="20"/>
      <c r="G129" s="25">
        <f>G10/G7</f>
        <v>9.5494276795005195</v>
      </c>
      <c r="H129" s="25">
        <f t="shared" ref="H129:P129" si="317">H10/H7</f>
        <v>9.129752066115703</v>
      </c>
      <c r="I129" s="25">
        <f t="shared" si="317"/>
        <v>10.117474302496328</v>
      </c>
      <c r="J129" s="25">
        <f t="shared" si="317"/>
        <v>10.455825864276569</v>
      </c>
      <c r="K129" s="25">
        <f t="shared" si="317"/>
        <v>10.973031283710895</v>
      </c>
      <c r="L129" s="25">
        <f t="shared" si="317"/>
        <v>11.238284703801945</v>
      </c>
      <c r="M129" s="25">
        <f t="shared" si="317"/>
        <v>10.098198721673446</v>
      </c>
      <c r="N129" s="25">
        <f t="shared" si="317"/>
        <v>10.775948460987831</v>
      </c>
      <c r="O129" s="25">
        <f t="shared" si="317"/>
        <v>8.383362521891419</v>
      </c>
      <c r="P129" s="25">
        <f t="shared" si="317"/>
        <v>8.9859176488596351</v>
      </c>
      <c r="Q129" s="25">
        <f t="shared" ref="Q129" si="318">Q10/Q7</f>
        <v>9.4199077125906392</v>
      </c>
      <c r="R129" s="118">
        <f t="shared" si="213"/>
        <v>-6.0637982768491083E-3</v>
      </c>
      <c r="S129" s="128"/>
      <c r="T129" s="25">
        <f t="shared" ref="T129:AC129" si="319">T10/T7</f>
        <v>9.419907712590641</v>
      </c>
      <c r="U129" s="25">
        <f t="shared" si="319"/>
        <v>9.4199077125906392</v>
      </c>
      <c r="V129" s="25">
        <f t="shared" si="319"/>
        <v>9.4199077125906392</v>
      </c>
      <c r="W129" s="25">
        <f t="shared" si="319"/>
        <v>9.419907712590641</v>
      </c>
      <c r="X129" s="25">
        <f t="shared" si="319"/>
        <v>9.419907712590641</v>
      </c>
      <c r="Y129" s="25">
        <f t="shared" si="319"/>
        <v>9.4199077125906427</v>
      </c>
      <c r="Z129" s="25">
        <f t="shared" si="319"/>
        <v>9.4199077125906427</v>
      </c>
      <c r="AA129" s="25">
        <f t="shared" si="319"/>
        <v>9.4199077125906427</v>
      </c>
      <c r="AB129" s="25">
        <f t="shared" si="319"/>
        <v>9.4199077125906427</v>
      </c>
      <c r="AC129" s="25">
        <f t="shared" si="319"/>
        <v>9.419907712590641</v>
      </c>
      <c r="AD129" s="118">
        <f t="shared" si="313"/>
        <v>0</v>
      </c>
      <c r="AE129" s="20"/>
      <c r="AF129" s="20"/>
    </row>
    <row r="130" spans="2:32" x14ac:dyDescent="0.2">
      <c r="B130" s="20" t="s">
        <v>358</v>
      </c>
      <c r="C130" s="20"/>
      <c r="D130" s="20"/>
      <c r="E130" s="20"/>
      <c r="F130" s="20"/>
      <c r="G130" s="25">
        <f>G10/(G10+G7)</f>
        <v>0.90520812783586502</v>
      </c>
      <c r="H130" s="25">
        <f t="shared" ref="H130:P130" si="320">H10/(H10+H7)</f>
        <v>0.90128090070979849</v>
      </c>
      <c r="I130" s="25">
        <f t="shared" si="320"/>
        <v>0.91005151234975568</v>
      </c>
      <c r="J130" s="25">
        <f t="shared" si="320"/>
        <v>0.91270817033642559</v>
      </c>
      <c r="K130" s="25">
        <f t="shared" si="320"/>
        <v>0.91647896206865487</v>
      </c>
      <c r="L130" s="25">
        <f t="shared" si="320"/>
        <v>0.91828920275981651</v>
      </c>
      <c r="M130" s="25">
        <f t="shared" si="320"/>
        <v>0.90989528795811514</v>
      </c>
      <c r="N130" s="25">
        <f t="shared" si="320"/>
        <v>0.91508115008206192</v>
      </c>
      <c r="O130" s="25">
        <f t="shared" si="320"/>
        <v>0.89342839545344255</v>
      </c>
      <c r="P130" s="25">
        <f t="shared" si="320"/>
        <v>0.89985897789631808</v>
      </c>
      <c r="Q130" s="25">
        <f t="shared" ref="Q130" si="321">Q10/(Q10+Q7)</f>
        <v>0.90402986018852405</v>
      </c>
      <c r="R130" s="118">
        <f t="shared" si="213"/>
        <v>-5.9250769277097159E-4</v>
      </c>
      <c r="S130" s="128"/>
      <c r="T130" s="25">
        <f t="shared" ref="T130:AC130" si="322">T10/(T10+T7)</f>
        <v>0.90402986018852405</v>
      </c>
      <c r="U130" s="25">
        <f t="shared" si="322"/>
        <v>0.90402986018852405</v>
      </c>
      <c r="V130" s="25">
        <f t="shared" si="322"/>
        <v>0.90402986018852416</v>
      </c>
      <c r="W130" s="25">
        <f t="shared" si="322"/>
        <v>0.90402986018852416</v>
      </c>
      <c r="X130" s="25">
        <f t="shared" si="322"/>
        <v>0.90402986018852405</v>
      </c>
      <c r="Y130" s="25">
        <f t="shared" si="322"/>
        <v>0.90402986018852416</v>
      </c>
      <c r="Z130" s="25">
        <f t="shared" si="322"/>
        <v>0.90402986018852405</v>
      </c>
      <c r="AA130" s="25">
        <f t="shared" si="322"/>
        <v>0.90402986018852416</v>
      </c>
      <c r="AB130" s="25">
        <f t="shared" si="322"/>
        <v>0.90402986018852405</v>
      </c>
      <c r="AC130" s="25">
        <f t="shared" si="322"/>
        <v>0.90402986018852405</v>
      </c>
      <c r="AD130" s="118">
        <f t="shared" si="313"/>
        <v>0</v>
      </c>
      <c r="AE130" s="20"/>
      <c r="AF130" s="20"/>
    </row>
    <row r="131" spans="2:32" x14ac:dyDescent="0.2">
      <c r="B131" s="20"/>
      <c r="C131" s="20"/>
      <c r="D131" s="20"/>
      <c r="E131" s="20"/>
      <c r="F131" s="20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128"/>
      <c r="S131" s="128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137"/>
      <c r="AE131" s="20"/>
      <c r="AF131" s="20"/>
    </row>
    <row r="132" spans="2:32" x14ac:dyDescent="0.2">
      <c r="B132" s="20" t="s">
        <v>363</v>
      </c>
      <c r="C132" s="20"/>
      <c r="D132" s="20"/>
      <c r="E132" s="20"/>
      <c r="F132" s="20"/>
      <c r="G132" s="25">
        <f>G16</f>
        <v>9980</v>
      </c>
      <c r="H132" s="25">
        <f t="shared" ref="H132:P132" si="323">H16</f>
        <v>12140</v>
      </c>
      <c r="I132" s="25">
        <f t="shared" si="323"/>
        <v>14783</v>
      </c>
      <c r="J132" s="25">
        <f t="shared" si="323"/>
        <v>17641</v>
      </c>
      <c r="K132" s="25">
        <f t="shared" si="323"/>
        <v>21366</v>
      </c>
      <c r="L132" s="25">
        <f t="shared" si="323"/>
        <v>26487</v>
      </c>
      <c r="M132" s="25">
        <f t="shared" si="323"/>
        <v>36718</v>
      </c>
      <c r="N132" s="25">
        <f t="shared" si="323"/>
        <v>47876</v>
      </c>
      <c r="O132" s="25">
        <f t="shared" si="323"/>
        <v>53319</v>
      </c>
      <c r="P132" s="25">
        <f t="shared" si="323"/>
        <v>64970</v>
      </c>
      <c r="Q132" s="25">
        <f t="shared" ref="Q132" si="324">Q16</f>
        <v>78756</v>
      </c>
      <c r="R132" s="118">
        <f t="shared" si="213"/>
        <v>0.20603033749477762</v>
      </c>
      <c r="S132" s="128"/>
      <c r="T132" s="25">
        <f t="shared" ref="T132:AC132" si="325">T16</f>
        <v>92932.08</v>
      </c>
      <c r="U132" s="25">
        <f t="shared" si="325"/>
        <v>109659.8544</v>
      </c>
      <c r="V132" s="25">
        <f t="shared" si="325"/>
        <v>129398.62819199999</v>
      </c>
      <c r="W132" s="25">
        <f t="shared" si="325"/>
        <v>152690.38126655997</v>
      </c>
      <c r="X132" s="25">
        <f t="shared" si="325"/>
        <v>180174.64989454075</v>
      </c>
      <c r="Y132" s="25">
        <f t="shared" si="325"/>
        <v>212606.08687555807</v>
      </c>
      <c r="Z132" s="25">
        <f t="shared" si="325"/>
        <v>250875.18251315851</v>
      </c>
      <c r="AA132" s="25">
        <f t="shared" si="325"/>
        <v>296032.71536552702</v>
      </c>
      <c r="AB132" s="25">
        <f t="shared" si="325"/>
        <v>349318.60413132189</v>
      </c>
      <c r="AC132" s="25">
        <f t="shared" si="325"/>
        <v>412195.9528749598</v>
      </c>
      <c r="AD132" s="118">
        <f t="shared" si="313"/>
        <v>0.1606300388701587</v>
      </c>
      <c r="AE132" s="20"/>
      <c r="AF132" s="20"/>
    </row>
    <row r="133" spans="2:32" x14ac:dyDescent="0.2">
      <c r="B133" s="20" t="s">
        <v>364</v>
      </c>
      <c r="C133" s="20"/>
      <c r="D133" s="20"/>
      <c r="E133" s="20"/>
      <c r="F133" s="20"/>
      <c r="G133" s="119">
        <f t="shared" ref="G133:P133" si="326">G132*365/G25</f>
        <v>3724.6421267893661</v>
      </c>
      <c r="H133" s="119">
        <f t="shared" si="326"/>
        <v>4232.187201528176</v>
      </c>
      <c r="I133" s="119">
        <f t="shared" si="326"/>
        <v>4238.6449332285938</v>
      </c>
      <c r="J133" s="119">
        <f t="shared" si="326"/>
        <v>4052.2120830711137</v>
      </c>
      <c r="K133" s="119">
        <f t="shared" si="326"/>
        <v>3570.782967032967</v>
      </c>
      <c r="L133" s="119">
        <f t="shared" si="326"/>
        <v>3330.2635204960384</v>
      </c>
      <c r="M133" s="119">
        <f t="shared" si="326"/>
        <v>3851.1695402298851</v>
      </c>
      <c r="N133" s="119">
        <f t="shared" si="326"/>
        <v>3474.7941936766751</v>
      </c>
      <c r="O133" s="119">
        <f t="shared" si="326"/>
        <v>3116.8217488789237</v>
      </c>
      <c r="P133" s="119">
        <f t="shared" si="326"/>
        <v>3061.4575264652726</v>
      </c>
      <c r="Q133" s="119">
        <f t="shared" ref="Q133" si="327">Q132*365/Q25</f>
        <v>3119.8111569350986</v>
      </c>
      <c r="R133" s="118">
        <f t="shared" si="213"/>
        <v>-1.9416979708895998E-2</v>
      </c>
      <c r="S133" s="128"/>
      <c r="T133" s="119">
        <f t="shared" ref="T133:AC133" si="328">T132*365/T25</f>
        <v>3119.8111569350995</v>
      </c>
      <c r="U133" s="119">
        <f t="shared" si="328"/>
        <v>3119.811156935099</v>
      </c>
      <c r="V133" s="119">
        <f t="shared" si="328"/>
        <v>3119.811156935099</v>
      </c>
      <c r="W133" s="119">
        <f t="shared" si="328"/>
        <v>3119.811156935099</v>
      </c>
      <c r="X133" s="119">
        <f t="shared" si="328"/>
        <v>3119.811156935099</v>
      </c>
      <c r="Y133" s="119">
        <f t="shared" si="328"/>
        <v>3119.811156935099</v>
      </c>
      <c r="Z133" s="119">
        <f t="shared" si="328"/>
        <v>3119.811156935099</v>
      </c>
      <c r="AA133" s="119">
        <f t="shared" si="328"/>
        <v>3119.811156935099</v>
      </c>
      <c r="AB133" s="119">
        <f t="shared" si="328"/>
        <v>3119.8111569350995</v>
      </c>
      <c r="AC133" s="119">
        <f t="shared" si="328"/>
        <v>3119.8111569350995</v>
      </c>
      <c r="AD133" s="118">
        <f t="shared" si="313"/>
        <v>0</v>
      </c>
      <c r="AE133" s="20"/>
      <c r="AF133" s="20"/>
    </row>
    <row r="134" spans="2:32" x14ac:dyDescent="0.2">
      <c r="B134" s="20" t="s">
        <v>367</v>
      </c>
      <c r="C134" s="20"/>
      <c r="D134" s="20"/>
      <c r="E134" s="20"/>
      <c r="F134" s="20"/>
      <c r="G134" s="133">
        <f>G80/G29</f>
        <v>0.1755011771420418</v>
      </c>
      <c r="H134" s="133">
        <f t="shared" ref="H134:P134" si="329">H80/H29</f>
        <v>0.14921815902096308</v>
      </c>
      <c r="I134" s="133">
        <f t="shared" si="329"/>
        <v>0.14973446813411931</v>
      </c>
      <c r="J134" s="133">
        <f t="shared" si="329"/>
        <v>0.15140826712546671</v>
      </c>
      <c r="K134" s="133">
        <f t="shared" si="329"/>
        <v>0.15681098954120368</v>
      </c>
      <c r="L134" s="133">
        <f t="shared" si="329"/>
        <v>0.15913031341956152</v>
      </c>
      <c r="M134" s="133">
        <f t="shared" si="329"/>
        <v>0.14351238441657388</v>
      </c>
      <c r="N134" s="133">
        <f t="shared" si="329"/>
        <v>2.6867481007838853E-2</v>
      </c>
      <c r="O134" s="133">
        <f t="shared" si="329"/>
        <v>2.4738642778746576E-2</v>
      </c>
      <c r="P134" s="133">
        <f t="shared" si="329"/>
        <v>2.4277816032784914E-2</v>
      </c>
      <c r="Q134" s="133">
        <f t="shared" ref="Q134" si="330">Q80/Q29</f>
        <v>2.4447468443526819E-2</v>
      </c>
      <c r="R134" s="118">
        <f t="shared" si="213"/>
        <v>-0.17947284533341901</v>
      </c>
      <c r="S134" s="128"/>
      <c r="T134" s="133">
        <f t="shared" ref="T134:AC134" si="331">T80/T29</f>
        <v>2.4205414300521602E-2</v>
      </c>
      <c r="U134" s="133">
        <f t="shared" si="331"/>
        <v>2.3965756733189705E-2</v>
      </c>
      <c r="V134" s="133">
        <f t="shared" si="331"/>
        <v>2.372847201305911E-2</v>
      </c>
      <c r="W134" s="133">
        <f t="shared" si="331"/>
        <v>2.3493536646593184E-2</v>
      </c>
      <c r="X134" s="133">
        <f t="shared" si="331"/>
        <v>2.3260927372864539E-2</v>
      </c>
      <c r="Y134" s="133">
        <f t="shared" si="331"/>
        <v>2.3030621161252023E-2</v>
      </c>
      <c r="Z134" s="133">
        <f t="shared" si="331"/>
        <v>2.2802595209160417E-2</v>
      </c>
      <c r="AA134" s="133">
        <f t="shared" si="331"/>
        <v>2.257682693976279E-2</v>
      </c>
      <c r="AB134" s="133">
        <f t="shared" si="331"/>
        <v>2.2353293999765135E-2</v>
      </c>
      <c r="AC134" s="133">
        <f t="shared" si="331"/>
        <v>2.2131974257193203E-2</v>
      </c>
      <c r="AD134" s="118">
        <f t="shared" si="313"/>
        <v>-8.9153185198280749E-3</v>
      </c>
      <c r="AE134" s="20"/>
      <c r="AF134" s="20"/>
    </row>
    <row r="135" spans="2:32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28"/>
      <c r="S135" s="128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37"/>
      <c r="AE135" s="20"/>
      <c r="AF135" s="20"/>
    </row>
    <row r="136" spans="2:32" x14ac:dyDescent="0.2">
      <c r="B136" s="20" t="s">
        <v>374</v>
      </c>
      <c r="C136" s="20"/>
      <c r="D136" s="20"/>
      <c r="E136" s="20"/>
      <c r="F136" s="20"/>
      <c r="G136" s="180" t="e">
        <f>G25/G14</f>
        <v>#DIV/0!</v>
      </c>
      <c r="H136" s="180" t="e">
        <f t="shared" ref="H136:P136" si="332">H25/H14</f>
        <v>#DIV/0!</v>
      </c>
      <c r="I136" s="180" t="e">
        <f t="shared" si="332"/>
        <v>#DIV/0!</v>
      </c>
      <c r="J136" s="180" t="e">
        <f t="shared" si="332"/>
        <v>#DIV/0!</v>
      </c>
      <c r="K136" s="180" t="e">
        <f t="shared" si="332"/>
        <v>#DIV/0!</v>
      </c>
      <c r="L136" s="180" t="e">
        <f t="shared" si="332"/>
        <v>#DIV/0!</v>
      </c>
      <c r="M136" s="180" t="e">
        <f t="shared" si="332"/>
        <v>#DIV/0!</v>
      </c>
      <c r="N136" s="180" t="e">
        <f t="shared" si="332"/>
        <v>#DIV/0!</v>
      </c>
      <c r="O136" s="180" t="e">
        <f t="shared" si="332"/>
        <v>#DIV/0!</v>
      </c>
      <c r="P136" s="180">
        <f t="shared" si="332"/>
        <v>387300</v>
      </c>
      <c r="Q136" s="180" t="e">
        <f t="shared" ref="Q136" si="333">Q25/Q14</f>
        <v>#DIV/0!</v>
      </c>
      <c r="R136" s="118" t="e">
        <f t="shared" si="213"/>
        <v>#DIV/0!</v>
      </c>
      <c r="S136" s="128"/>
      <c r="T136" s="20" t="e">
        <f t="shared" ref="T136" si="334">T25/T14</f>
        <v>#DIV/0!</v>
      </c>
      <c r="U136" s="20" t="e">
        <f t="shared" ref="U136:AC136" si="335">U25/U14</f>
        <v>#DIV/0!</v>
      </c>
      <c r="V136" s="20" t="e">
        <f t="shared" si="335"/>
        <v>#DIV/0!</v>
      </c>
      <c r="W136" s="20" t="e">
        <f t="shared" si="335"/>
        <v>#DIV/0!</v>
      </c>
      <c r="X136" s="20" t="e">
        <f t="shared" si="335"/>
        <v>#DIV/0!</v>
      </c>
      <c r="Y136" s="20" t="e">
        <f t="shared" si="335"/>
        <v>#DIV/0!</v>
      </c>
      <c r="Z136" s="20" t="e">
        <f t="shared" si="335"/>
        <v>#DIV/0!</v>
      </c>
      <c r="AA136" s="20" t="e">
        <f t="shared" si="335"/>
        <v>#DIV/0!</v>
      </c>
      <c r="AB136" s="20" t="e">
        <f t="shared" si="335"/>
        <v>#DIV/0!</v>
      </c>
      <c r="AC136" s="20" t="e">
        <f t="shared" si="335"/>
        <v>#DIV/0!</v>
      </c>
      <c r="AD136" s="118" t="e">
        <f t="shared" si="313"/>
        <v>#DIV/0!</v>
      </c>
      <c r="AE136" s="20"/>
      <c r="AF136" s="20"/>
    </row>
    <row r="137" spans="2:32" x14ac:dyDescent="0.2">
      <c r="B137" s="20" t="s">
        <v>375</v>
      </c>
      <c r="C137" s="20"/>
      <c r="D137" s="20"/>
      <c r="E137" s="20"/>
      <c r="F137" s="20"/>
      <c r="G137" s="180" t="e">
        <f>G27/G14</f>
        <v>#DIV/0!</v>
      </c>
      <c r="H137" s="180" t="e">
        <f t="shared" ref="H137:P137" si="336">H27/H14</f>
        <v>#DIV/0!</v>
      </c>
      <c r="I137" s="180" t="e">
        <f t="shared" si="336"/>
        <v>#DIV/0!</v>
      </c>
      <c r="J137" s="180" t="e">
        <f t="shared" si="336"/>
        <v>#DIV/0!</v>
      </c>
      <c r="K137" s="180" t="e">
        <f t="shared" si="336"/>
        <v>#DIV/0!</v>
      </c>
      <c r="L137" s="180" t="e">
        <f t="shared" si="336"/>
        <v>#DIV/0!</v>
      </c>
      <c r="M137" s="180" t="e">
        <f t="shared" si="336"/>
        <v>#DIV/0!</v>
      </c>
      <c r="N137" s="180" t="e">
        <f t="shared" si="336"/>
        <v>#DIV/0!</v>
      </c>
      <c r="O137" s="180" t="e">
        <f t="shared" si="336"/>
        <v>#DIV/0!</v>
      </c>
      <c r="P137" s="180">
        <f t="shared" si="336"/>
        <v>19800</v>
      </c>
      <c r="Q137" s="180" t="e">
        <f t="shared" ref="Q137" si="337">Q27/Q14</f>
        <v>#DIV/0!</v>
      </c>
      <c r="R137" s="118" t="e">
        <f t="shared" si="213"/>
        <v>#DIV/0!</v>
      </c>
      <c r="S137" s="128"/>
      <c r="T137" s="20" t="e">
        <f t="shared" ref="T137:AC137" si="338">T27/T14</f>
        <v>#DIV/0!</v>
      </c>
      <c r="U137" s="20" t="e">
        <f t="shared" si="338"/>
        <v>#DIV/0!</v>
      </c>
      <c r="V137" s="20" t="e">
        <f t="shared" si="338"/>
        <v>#DIV/0!</v>
      </c>
      <c r="W137" s="20" t="e">
        <f t="shared" si="338"/>
        <v>#DIV/0!</v>
      </c>
      <c r="X137" s="20" t="e">
        <f t="shared" si="338"/>
        <v>#DIV/0!</v>
      </c>
      <c r="Y137" s="20" t="e">
        <f t="shared" si="338"/>
        <v>#DIV/0!</v>
      </c>
      <c r="Z137" s="20" t="e">
        <f t="shared" si="338"/>
        <v>#DIV/0!</v>
      </c>
      <c r="AA137" s="20" t="e">
        <f t="shared" si="338"/>
        <v>#DIV/0!</v>
      </c>
      <c r="AB137" s="20" t="e">
        <f t="shared" si="338"/>
        <v>#DIV/0!</v>
      </c>
      <c r="AC137" s="20" t="e">
        <f t="shared" si="338"/>
        <v>#DIV/0!</v>
      </c>
      <c r="AD137" s="118" t="e">
        <f t="shared" si="313"/>
        <v>#DIV/0!</v>
      </c>
      <c r="AE137" s="20"/>
      <c r="AF137" s="20"/>
    </row>
    <row r="138" spans="2:32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28"/>
      <c r="S138" s="128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37"/>
      <c r="AE138" s="20"/>
      <c r="AF138" s="20"/>
    </row>
    <row r="139" spans="2:32" x14ac:dyDescent="0.2">
      <c r="B139" s="108" t="s">
        <v>244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3"/>
      <c r="S139" s="23"/>
      <c r="T139" s="122" t="s">
        <v>66</v>
      </c>
      <c r="U139" s="20"/>
      <c r="V139" s="20"/>
      <c r="W139" s="20"/>
      <c r="X139" s="20"/>
      <c r="Y139" s="20"/>
      <c r="Z139" s="20"/>
      <c r="AA139" s="20"/>
      <c r="AB139" s="20"/>
      <c r="AC139" s="20"/>
      <c r="AD139" s="137"/>
      <c r="AE139" s="20"/>
      <c r="AF139" s="20"/>
    </row>
    <row r="140" spans="2:32" x14ac:dyDescent="0.2">
      <c r="B140" s="23" t="s">
        <v>280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5"/>
      <c r="Q140" s="25"/>
      <c r="R140" s="160">
        <f>AVERAGE(G54:Q54)</f>
        <v>32.65330935001635</v>
      </c>
      <c r="S140" s="23"/>
      <c r="T140" s="134"/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0" t="s">
        <v>25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140">
        <f>T141+U141</f>
        <v>168.36347086257791</v>
      </c>
      <c r="T141" s="133">
        <f>PV($C$1, ($AC$3-$T$3), 0, -AC54)</f>
        <v>20.700426745398921</v>
      </c>
      <c r="U141" s="133">
        <f>PV($C$1, ($AC$3-$T$3), 0, -AF54)</f>
        <v>147.663044117179</v>
      </c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272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 t="shared" ref="S142:S160" si="339">T142+U142</f>
        <v>966.71985351449962</v>
      </c>
      <c r="T142" s="133">
        <f>PV($C$1, ($AC$3-$T$3), 0, -AC56)</f>
        <v>118.85899838293027</v>
      </c>
      <c r="U142" s="133">
        <f>PV($C$1, ($AC$3-$T$3), 0, -AF56)</f>
        <v>847.86085513156934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si="339"/>
        <v>953.84724900494575</v>
      </c>
      <c r="T143" s="133">
        <f>PV($C$1, ($AC$3-$T$3), 0, -AC57)</f>
        <v>117.27630110716547</v>
      </c>
      <c r="U143" s="133">
        <f>PV($C$1, ($AC$3-$T$3), 0, -AF57)</f>
        <v>836.57094789778034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39"/>
        <v>9106.4118040357298</v>
      </c>
      <c r="T144" s="133">
        <f>PV($C$1, ($AC$3-$T$3), 0, -AC58)</f>
        <v>1119.6407955781635</v>
      </c>
      <c r="U144" s="133">
        <f>PV($C$1, ($AC$3-$T$3), 0, -AF58)</f>
        <v>7986.7710084575665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39"/>
        <v>391.78600259770229</v>
      </c>
      <c r="T145" s="133">
        <f>PV($C$1, ($AC$3-$T$3), 0, -AC64)</f>
        <v>48.170410155455201</v>
      </c>
      <c r="U145" s="133">
        <f>PV($C$1, ($AC$3-$T$3), 0, -AF64)</f>
        <v>343.61559244224708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/>
      <c r="T146" s="133"/>
      <c r="U146" s="20"/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 t="s">
        <v>270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>
        <f t="shared" si="339"/>
        <v>-8139.69195052123</v>
      </c>
      <c r="T147" s="133">
        <f>PV($C$1, ($AC$3-$T$3), 0, -AC60)</f>
        <v>-1000.7817971952331</v>
      </c>
      <c r="U147" s="133">
        <f>PV($C$1, ($AC$3-$T$3), 0, -$AF$60)</f>
        <v>-7138.9101533259973</v>
      </c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271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39"/>
        <v>-10146.288835654028</v>
      </c>
      <c r="T148" s="133">
        <f>PV($C$1, ($AC$3-$T$3), 0, -AC61)</f>
        <v>-1247.4945289738559</v>
      </c>
      <c r="U148" s="133">
        <f>PV($C$1, ($AC$3-$T$3), 0, -$AF$61)</f>
        <v>-8898.7943066801727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276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39"/>
        <v>-9745.3263229109034</v>
      </c>
      <c r="T149" s="133">
        <f>PV($C$1, ($AC$3-$T$3), 0, -AC62)</f>
        <v>-1198.1958593742913</v>
      </c>
      <c r="U149" s="133">
        <f>PV($C$1, ($AC$3-$T$3), 0, -$AF$62)</f>
        <v>-8547.1304635366123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/>
      <c r="T150" s="133"/>
      <c r="U150" s="20"/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 t="s">
        <v>249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>
        <f t="shared" si="339"/>
        <v>400.96251274312669</v>
      </c>
      <c r="T151" s="133">
        <f>PV($C$1, ($AC$3-$T$3), 0, -AC67)</f>
        <v>49.298669599564754</v>
      </c>
      <c r="U151" s="133">
        <f>PV($C$1, ($AC$3-$T$3), 0, -AF67)</f>
        <v>351.66384314356196</v>
      </c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250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39"/>
        <v>6843.7995550477535</v>
      </c>
      <c r="T152" s="133">
        <f>PV($C$1, ($AC$3-$T$3), 0, -AC68)</f>
        <v>1234.1277886151688</v>
      </c>
      <c r="U152" s="133">
        <f>PV($C$1, ($AC$3-$T$3), 0, -AF68)</f>
        <v>5609.6717664325852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/>
      <c r="T153" s="133"/>
      <c r="U153" s="133"/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 t="s">
        <v>293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>
        <f t="shared" ref="S154" si="340">T154+U154</f>
        <v>21855.162088239598</v>
      </c>
      <c r="T154" s="133">
        <f>PV($C$1, ($AC$3-$T$3), 0, -AC12)</f>
        <v>2687.1100928163441</v>
      </c>
      <c r="U154" s="133">
        <f>PV($C$1, ($AC$3-$T$3), 0, -AF12)</f>
        <v>19168.051995423255</v>
      </c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>T155+U155</f>
        <v>432.77548689583369</v>
      </c>
      <c r="T155" s="140">
        <f>T154/P42</f>
        <v>53.210100847848402</v>
      </c>
      <c r="U155" s="140">
        <f>U154/P42</f>
        <v>379.56538604798527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/>
      <c r="T156" s="140"/>
      <c r="U156" s="140"/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108" t="s">
        <v>297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33"/>
      <c r="U157" s="133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20" t="s">
        <v>282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>
        <f t="shared" ref="S158" si="341">T158+U158</f>
        <v>43.81651311061033</v>
      </c>
      <c r="T158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35.083591797273776</v>
      </c>
      <c r="U158" s="133">
        <f>PV($C$1, ($AC$3-$T$3), 0, -AF70)</f>
        <v>8.7329213133365524</v>
      </c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0" t="s">
        <v>290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>
        <f t="shared" si="339"/>
        <v>-360479.2353940832</v>
      </c>
      <c r="T160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-288633.33588488778</v>
      </c>
      <c r="U160" s="133">
        <f>PV($C$1, ($AC$3-$T$3), 0, -AF72)</f>
        <v>-71845.899509195428</v>
      </c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 t="s">
        <v>286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>
        <f t="shared" ref="S162:S165" si="342">T162+U162</f>
        <v>-6462.1217671280128</v>
      </c>
      <c r="T162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-5174.1780923981587</v>
      </c>
      <c r="U162" s="133">
        <f>PV($C$1, ($AC$3-$T$3), 0, -AF74)</f>
        <v>-1287.9436747298539</v>
      </c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287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si="342"/>
        <v>-6450.9047531250135</v>
      </c>
      <c r="T163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-5165.1967035899688</v>
      </c>
      <c r="U163" s="133">
        <f>PV($C$1, ($AC$3-$T$3), 0, -AF75)</f>
        <v>-1285.7080495350444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42"/>
        <v>-11.217014002999495</v>
      </c>
      <c r="T164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-8.9813888081898217</v>
      </c>
      <c r="U164" s="133">
        <f>PV($C$1, ($AC$3-$T$3), 0, -AF76)</f>
        <v>-2.2356251948096739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42"/>
        <v>7317.9799355568757</v>
      </c>
      <c r="T165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5859.4580584630439</v>
      </c>
      <c r="U165" s="133">
        <f>PV($C$1, ($AC$3-$T$3), 0, -AF77)</f>
        <v>1458.5218770938322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/>
      <c r="T166" s="133"/>
      <c r="U166" s="133"/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 t="s">
        <v>298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>
        <f>T167+U167</f>
        <v>1643.8534021395772</v>
      </c>
      <c r="T167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1316.2225298402191</v>
      </c>
      <c r="U167" s="133">
        <f>PV($C$1, ($AC$3-$T$3), 0, -AF78)</f>
        <v>327.63087229935797</v>
      </c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83">
        <v>41729</v>
      </c>
      <c r="P168" s="20">
        <v>250</v>
      </c>
      <c r="Q168" s="20"/>
      <c r="R168" s="20"/>
      <c r="S168" s="20"/>
      <c r="T168" s="121"/>
      <c r="U168" s="20"/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108" t="s">
        <v>251</v>
      </c>
      <c r="C169" s="20"/>
      <c r="D169" s="20"/>
      <c r="E169" s="20"/>
      <c r="F169" s="20">
        <v>65</v>
      </c>
      <c r="G169" s="20">
        <v>150</v>
      </c>
      <c r="H169" s="20"/>
      <c r="I169" s="20"/>
      <c r="J169" s="20"/>
      <c r="K169" s="20"/>
      <c r="L169" s="20"/>
      <c r="M169" s="20"/>
      <c r="N169" s="20"/>
      <c r="O169" s="23" t="s">
        <v>390</v>
      </c>
      <c r="P169" s="20">
        <v>350</v>
      </c>
      <c r="Q169" s="20"/>
      <c r="R169" s="20">
        <v>300</v>
      </c>
      <c r="S169" s="23" t="s">
        <v>391</v>
      </c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20" t="s">
        <v>204</v>
      </c>
      <c r="C170" s="22">
        <v>0</v>
      </c>
      <c r="D170" s="22">
        <v>0</v>
      </c>
      <c r="E170" s="22">
        <v>0</v>
      </c>
      <c r="F170" s="22">
        <v>65</v>
      </c>
      <c r="G170" s="22">
        <v>150</v>
      </c>
      <c r="H170" s="22">
        <v>220</v>
      </c>
      <c r="I170" s="22">
        <v>180</v>
      </c>
      <c r="J170" s="22">
        <v>130</v>
      </c>
      <c r="K170" s="22">
        <v>230</v>
      </c>
      <c r="L170" s="22">
        <v>190</v>
      </c>
      <c r="M170" s="22">
        <v>785</v>
      </c>
      <c r="N170" s="22">
        <v>190</v>
      </c>
      <c r="O170" s="22">
        <v>245</v>
      </c>
      <c r="P170" s="22">
        <v>210</v>
      </c>
      <c r="Q170" s="22">
        <v>300</v>
      </c>
      <c r="R170" s="118">
        <f t="shared" ref="R170:R175" si="343">((P170/G170)^(1/($H$2-$H$1) ))-1</f>
        <v>3.4219694129380196E-2</v>
      </c>
      <c r="S170" s="31">
        <f>L2-3%</f>
        <v>0.15</v>
      </c>
      <c r="T170" s="119">
        <f t="shared" ref="T170" si="344">P170*(1+$S170)</f>
        <v>241.49999999999997</v>
      </c>
      <c r="U170" s="119">
        <f t="shared" ref="U170:AC170" si="345">T170*(1+$S170)</f>
        <v>277.72499999999997</v>
      </c>
      <c r="V170" s="119">
        <f t="shared" si="345"/>
        <v>319.38374999999996</v>
      </c>
      <c r="W170" s="119">
        <f t="shared" si="345"/>
        <v>367.29131249999995</v>
      </c>
      <c r="X170" s="119">
        <f t="shared" si="345"/>
        <v>422.38500937499992</v>
      </c>
      <c r="Y170" s="119">
        <f t="shared" si="345"/>
        <v>485.7427607812499</v>
      </c>
      <c r="Z170" s="119">
        <f t="shared" si="345"/>
        <v>558.60417489843735</v>
      </c>
      <c r="AA170" s="119">
        <f t="shared" si="345"/>
        <v>642.39480113320292</v>
      </c>
      <c r="AB170" s="119">
        <f t="shared" si="345"/>
        <v>738.75402130318332</v>
      </c>
      <c r="AC170" s="119">
        <f t="shared" si="345"/>
        <v>849.56712449866075</v>
      </c>
      <c r="AD170" s="138">
        <f t="shared" ref="AD170:AD175" si="346">((AC170/G170)^(1/($AC$3-$H$1) ))-1</f>
        <v>9.0574457911419826E-2</v>
      </c>
      <c r="AE170" s="31">
        <v>0.08</v>
      </c>
      <c r="AF170" s="127">
        <f t="shared" ref="AF170:AF178" si="347">(AC170*(1+AD170))/($C$1-AE170)</f>
        <v>6617.9729018535045</v>
      </c>
    </row>
    <row r="171" spans="2:32" x14ac:dyDescent="0.2">
      <c r="B171" s="20" t="s">
        <v>361</v>
      </c>
      <c r="C171" s="25" t="e">
        <f t="shared" ref="C171:P171" si="348">C170/C50</f>
        <v>#DIV/0!</v>
      </c>
      <c r="D171" s="25" t="e">
        <f t="shared" si="348"/>
        <v>#DIV/0!</v>
      </c>
      <c r="E171" s="25" t="e">
        <f t="shared" si="348"/>
        <v>#DIV/0!</v>
      </c>
      <c r="F171" s="25">
        <f t="shared" si="348"/>
        <v>0.47777232580961726</v>
      </c>
      <c r="G171" s="25">
        <f t="shared" si="348"/>
        <v>1.1487730061349692</v>
      </c>
      <c r="H171" s="25">
        <f t="shared" si="348"/>
        <v>1.7839541547277937</v>
      </c>
      <c r="I171" s="25">
        <f t="shared" si="348"/>
        <v>1.2004713275726631</v>
      </c>
      <c r="J171" s="25">
        <f t="shared" si="348"/>
        <v>0.69458779106356205</v>
      </c>
      <c r="K171" s="25">
        <f t="shared" si="348"/>
        <v>0.89409340659340653</v>
      </c>
      <c r="L171" s="25">
        <f t="shared" si="348"/>
        <v>0.55566655184292113</v>
      </c>
      <c r="M171" s="25">
        <f t="shared" si="348"/>
        <v>2.1407040229885057</v>
      </c>
      <c r="N171" s="25">
        <f t="shared" si="348"/>
        <v>1.7930801352157486</v>
      </c>
      <c r="O171" s="25">
        <f t="shared" si="348"/>
        <v>1.979932735426009</v>
      </c>
      <c r="P171" s="25">
        <f t="shared" si="348"/>
        <v>1.3690937257939582</v>
      </c>
      <c r="Q171" s="25">
        <f t="shared" ref="Q171" si="349">Q170/Q50</f>
        <v>1.6442370306056</v>
      </c>
      <c r="R171" s="118">
        <f t="shared" ref="R171" si="350">((P171/G171)^(1/($H$2-$H$1) ))-1</f>
        <v>1.7700284261564336E-2</v>
      </c>
      <c r="S171" s="128"/>
      <c r="T171" s="25">
        <f t="shared" ref="T171:AC171" si="351">T170/T50</f>
        <v>1.1329211167236299</v>
      </c>
      <c r="U171" s="25">
        <f t="shared" si="351"/>
        <v>1.1151592178597425</v>
      </c>
      <c r="V171" s="25">
        <f t="shared" si="351"/>
        <v>1.0976757894441449</v>
      </c>
      <c r="W171" s="25">
        <f t="shared" si="351"/>
        <v>1.0804664656265883</v>
      </c>
      <c r="X171" s="25">
        <f t="shared" si="351"/>
        <v>1.0635269490044768</v>
      </c>
      <c r="Y171" s="25">
        <f t="shared" si="351"/>
        <v>1.0468530095497457</v>
      </c>
      <c r="Z171" s="25">
        <f t="shared" si="351"/>
        <v>1.0304404835525676</v>
      </c>
      <c r="AA171" s="25">
        <f t="shared" si="351"/>
        <v>1.014285272581616</v>
      </c>
      <c r="AB171" s="25">
        <f t="shared" si="351"/>
        <v>0.99838334246063321</v>
      </c>
      <c r="AC171" s="25">
        <f t="shared" si="351"/>
        <v>0.98273072226103841</v>
      </c>
      <c r="AD171" s="138">
        <f t="shared" ref="AD171" si="352">((AC171/G171)^(1/($AC$3-$H$1) ))-1</f>
        <v>-7.7753420490171976E-3</v>
      </c>
      <c r="AE171" s="31">
        <v>0.08</v>
      </c>
      <c r="AF171" s="127">
        <f t="shared" ref="AF171" si="353">(AC171*(1+AD171))/($C$1-AE171)</f>
        <v>6.9649261053812932</v>
      </c>
    </row>
    <row r="172" spans="2:32" x14ac:dyDescent="0.2">
      <c r="B172" s="20" t="s">
        <v>389</v>
      </c>
      <c r="C172" s="25" t="e">
        <f t="shared" ref="C172:P172" si="354">C170/C54</f>
        <v>#DIV/0!</v>
      </c>
      <c r="D172" s="25" t="e">
        <f t="shared" si="354"/>
        <v>#DIV/0!</v>
      </c>
      <c r="E172" s="25" t="e">
        <f t="shared" si="354"/>
        <v>#DIV/0!</v>
      </c>
      <c r="F172" s="25">
        <f t="shared" si="354"/>
        <v>2.719832402234637</v>
      </c>
      <c r="G172" s="25">
        <f t="shared" si="354"/>
        <v>6.727544910179641</v>
      </c>
      <c r="H172" s="25">
        <f t="shared" si="354"/>
        <v>13.153521126760564</v>
      </c>
      <c r="I172" s="25">
        <f t="shared" si="354"/>
        <v>7.3471153846153845</v>
      </c>
      <c r="J172" s="25">
        <f t="shared" si="354"/>
        <v>3.9701438848920865</v>
      </c>
      <c r="K172" s="25">
        <f t="shared" si="354"/>
        <v>5.058808290155441</v>
      </c>
      <c r="L172" s="25">
        <f t="shared" si="354"/>
        <v>3.0493383742911155</v>
      </c>
      <c r="M172" s="25">
        <f t="shared" si="354"/>
        <v>11.287348484848485</v>
      </c>
      <c r="N172" s="25">
        <f t="shared" si="354"/>
        <v>9.3058823529411772</v>
      </c>
      <c r="O172" s="25">
        <f t="shared" si="354"/>
        <v>13.496397379912663</v>
      </c>
      <c r="P172" s="25">
        <f t="shared" si="354"/>
        <v>10.06166982922201</v>
      </c>
      <c r="Q172" s="25">
        <f t="shared" ref="Q172" si="355">Q170/Q54</f>
        <v>11.468584405753218</v>
      </c>
      <c r="R172" s="118">
        <f t="shared" si="343"/>
        <v>4.107338916853065E-2</v>
      </c>
      <c r="S172" s="128"/>
      <c r="T172" s="119">
        <f t="shared" ref="T172:AC172" si="356">T170/T54</f>
        <v>7.9021462297437735</v>
      </c>
      <c r="U172" s="119">
        <f t="shared" si="356"/>
        <v>7.7782566490232155</v>
      </c>
      <c r="V172" s="119">
        <f t="shared" si="356"/>
        <v>7.656309404949547</v>
      </c>
      <c r="W172" s="119">
        <f t="shared" si="356"/>
        <v>7.5362740456346593</v>
      </c>
      <c r="X172" s="119">
        <f t="shared" si="356"/>
        <v>7.4181205966141155</v>
      </c>
      <c r="Y172" s="119">
        <f t="shared" si="356"/>
        <v>7.3018195533621162</v>
      </c>
      <c r="Z172" s="119">
        <f t="shared" si="356"/>
        <v>7.1873418739238124</v>
      </c>
      <c r="AA172" s="119">
        <f t="shared" si="356"/>
        <v>7.0746589716631414</v>
      </c>
      <c r="AB172" s="119">
        <f t="shared" si="356"/>
        <v>6.9637427081243564</v>
      </c>
      <c r="AC172" s="119">
        <f t="shared" si="356"/>
        <v>6.8545653860054578</v>
      </c>
      <c r="AD172" s="138">
        <f t="shared" si="346"/>
        <v>9.3566900415020804E-4</v>
      </c>
      <c r="AE172" s="31">
        <v>0.08</v>
      </c>
      <c r="AF172" s="127">
        <f t="shared" si="347"/>
        <v>49.006992788386164</v>
      </c>
    </row>
    <row r="173" spans="2:32" x14ac:dyDescent="0.2">
      <c r="B173" s="20" t="s">
        <v>258</v>
      </c>
      <c r="C173" s="25" t="e">
        <f t="shared" ref="C173:P173" si="357">C170/C57</f>
        <v>#DIV/0!</v>
      </c>
      <c r="D173" s="25" t="e">
        <f t="shared" si="357"/>
        <v>#DIV/0!</v>
      </c>
      <c r="E173" s="25" t="e">
        <f t="shared" si="357"/>
        <v>#DIV/0!</v>
      </c>
      <c r="F173" s="25">
        <f t="shared" si="357"/>
        <v>0.61940203562340967</v>
      </c>
      <c r="G173" s="25">
        <f t="shared" si="357"/>
        <v>1.2680586907449212</v>
      </c>
      <c r="H173" s="25">
        <f t="shared" si="357"/>
        <v>1.6602666666666666</v>
      </c>
      <c r="I173" s="25">
        <f t="shared" si="357"/>
        <v>1.1976489028213166</v>
      </c>
      <c r="J173" s="25">
        <f t="shared" si="357"/>
        <v>0.74725795531482742</v>
      </c>
      <c r="K173" s="25">
        <f t="shared" si="357"/>
        <v>1.1038439796495194</v>
      </c>
      <c r="L173" s="25">
        <f t="shared" si="357"/>
        <v>0.74097381717960509</v>
      </c>
      <c r="M173" s="25">
        <f t="shared" si="357"/>
        <v>2.2257693456827008</v>
      </c>
      <c r="N173" s="25">
        <f t="shared" si="357"/>
        <v>2.2015136718749999</v>
      </c>
      <c r="O173" s="25">
        <f t="shared" si="357"/>
        <v>2.204082724193261</v>
      </c>
      <c r="P173" s="25">
        <f t="shared" si="357"/>
        <v>1.6487873134328359</v>
      </c>
      <c r="Q173" s="25">
        <f t="shared" ref="Q173" si="358">Q170/Q57</f>
        <v>2.0243185462319615</v>
      </c>
      <c r="R173" s="118">
        <f t="shared" si="343"/>
        <v>2.6602998054065852E-2</v>
      </c>
      <c r="S173" s="128"/>
      <c r="T173" s="119">
        <f t="shared" ref="T173:AC173" si="359">T170/T57</f>
        <v>1.3948069440795732</v>
      </c>
      <c r="U173" s="119">
        <f t="shared" si="359"/>
        <v>1.372939208091885</v>
      </c>
      <c r="V173" s="119">
        <f t="shared" si="359"/>
        <v>1.3514143137277324</v>
      </c>
      <c r="W173" s="119">
        <f t="shared" si="359"/>
        <v>1.3302268859277637</v>
      </c>
      <c r="X173" s="119">
        <f t="shared" si="359"/>
        <v>1.3093716339026251</v>
      </c>
      <c r="Y173" s="119">
        <f t="shared" si="359"/>
        <v>1.2888433498117788</v>
      </c>
      <c r="Z173" s="119">
        <f t="shared" si="359"/>
        <v>1.2686369074630348</v>
      </c>
      <c r="AA173" s="119">
        <f t="shared" si="359"/>
        <v>1.2487472610324701</v>
      </c>
      <c r="AB173" s="119">
        <f t="shared" si="359"/>
        <v>1.2291694438044189</v>
      </c>
      <c r="AC173" s="119">
        <f t="shared" si="359"/>
        <v>1.2098985669312141</v>
      </c>
      <c r="AD173" s="138">
        <f t="shared" si="346"/>
        <v>-2.344777400118514E-3</v>
      </c>
      <c r="AE173" s="31">
        <v>0.08</v>
      </c>
      <c r="AF173" s="127">
        <f t="shared" si="347"/>
        <v>8.6218687436788422</v>
      </c>
    </row>
    <row r="174" spans="2:32" x14ac:dyDescent="0.2">
      <c r="B174" s="20" t="s">
        <v>259</v>
      </c>
      <c r="C174" s="25" t="e">
        <f t="shared" ref="C174:P174" si="360">C170/C66</f>
        <v>#DIV/0!</v>
      </c>
      <c r="D174" s="25" t="e">
        <f t="shared" si="360"/>
        <v>#DIV/0!</v>
      </c>
      <c r="E174" s="25" t="e">
        <f t="shared" si="360"/>
        <v>#DIV/0!</v>
      </c>
      <c r="F174" s="25">
        <f t="shared" si="360"/>
        <v>0.66418826739427006</v>
      </c>
      <c r="G174" s="25">
        <f t="shared" si="360"/>
        <v>2.1000000000000005</v>
      </c>
      <c r="H174" s="25">
        <f t="shared" si="360"/>
        <v>5.8582943888592673</v>
      </c>
      <c r="I174" s="25">
        <f t="shared" si="360"/>
        <v>1.888998763906057</v>
      </c>
      <c r="J174" s="25">
        <f t="shared" si="360"/>
        <v>1.1025974025974026</v>
      </c>
      <c r="K174" s="25">
        <f t="shared" si="360"/>
        <v>1.6891868512110726</v>
      </c>
      <c r="L174" s="25">
        <f t="shared" si="360"/>
        <v>1.2612197028928851</v>
      </c>
      <c r="M174" s="25">
        <f t="shared" si="360"/>
        <v>4.3744274809160313</v>
      </c>
      <c r="N174" s="25">
        <f t="shared" si="360"/>
        <v>4.8663788451160279</v>
      </c>
      <c r="O174" s="25">
        <f t="shared" si="360"/>
        <v>24.774949899799601</v>
      </c>
      <c r="P174" s="25">
        <f t="shared" si="360"/>
        <v>6.1728754365541327</v>
      </c>
      <c r="Q174" s="25">
        <f t="shared" ref="Q174" si="361">Q170/Q66</f>
        <v>4.6358629130966955</v>
      </c>
      <c r="R174" s="118">
        <f t="shared" si="343"/>
        <v>0.11385028898148586</v>
      </c>
      <c r="S174" s="128"/>
      <c r="T174" s="119">
        <f t="shared" ref="T174:AC174" si="362">T170/T66</f>
        <v>3.1942274080451423</v>
      </c>
      <c r="U174" s="119">
        <f t="shared" si="362"/>
        <v>3.1441484190207056</v>
      </c>
      <c r="V174" s="119">
        <f t="shared" si="362"/>
        <v>3.094854566688602</v>
      </c>
      <c r="W174" s="119">
        <f t="shared" si="362"/>
        <v>3.0463335417023822</v>
      </c>
      <c r="X174" s="119">
        <f t="shared" si="362"/>
        <v>2.9985732277011152</v>
      </c>
      <c r="Y174" s="119">
        <f t="shared" si="362"/>
        <v>2.9515616982837671</v>
      </c>
      <c r="Z174" s="119">
        <f t="shared" si="362"/>
        <v>2.9052872140310138</v>
      </c>
      <c r="AA174" s="119">
        <f t="shared" si="362"/>
        <v>2.8597382195737473</v>
      </c>
      <c r="AB174" s="119">
        <f t="shared" si="362"/>
        <v>2.814903340707549</v>
      </c>
      <c r="AC174" s="119">
        <f t="shared" si="362"/>
        <v>2.7707713815523887</v>
      </c>
      <c r="AD174" s="138">
        <f t="shared" si="346"/>
        <v>1.3955907696825198E-2</v>
      </c>
      <c r="AE174" s="31">
        <v>0.08</v>
      </c>
      <c r="AF174" s="127">
        <f t="shared" si="347"/>
        <v>20.067428651445272</v>
      </c>
    </row>
    <row r="175" spans="2:32" x14ac:dyDescent="0.2">
      <c r="B175" s="20" t="s">
        <v>260</v>
      </c>
      <c r="C175" s="25" t="e">
        <f t="shared" ref="C175:P175" si="363">C170/C68</f>
        <v>#DIV/0!</v>
      </c>
      <c r="D175" s="25" t="e">
        <f t="shared" si="363"/>
        <v>#DIV/0!</v>
      </c>
      <c r="E175" s="25" t="e">
        <f t="shared" si="363"/>
        <v>#DIV/0!</v>
      </c>
      <c r="F175" s="25">
        <f t="shared" si="363"/>
        <v>6.1215893373569731E-2</v>
      </c>
      <c r="G175" s="25">
        <f t="shared" si="363"/>
        <v>0.11257515030060121</v>
      </c>
      <c r="H175" s="25">
        <f t="shared" si="363"/>
        <v>0.15385502471169687</v>
      </c>
      <c r="I175" s="25">
        <f t="shared" si="363"/>
        <v>0.10337549888385308</v>
      </c>
      <c r="J175" s="25">
        <f t="shared" si="363"/>
        <v>6.2564480471628603E-2</v>
      </c>
      <c r="K175" s="25">
        <f t="shared" si="363"/>
        <v>9.1392867172142664E-2</v>
      </c>
      <c r="L175" s="25">
        <f t="shared" si="363"/>
        <v>6.0901574357231848E-2</v>
      </c>
      <c r="M175" s="25">
        <f t="shared" si="363"/>
        <v>0.2028882292063838</v>
      </c>
      <c r="N175" s="25">
        <f t="shared" si="363"/>
        <v>0.18834906842676916</v>
      </c>
      <c r="O175" s="25">
        <f t="shared" si="363"/>
        <v>0.23186293816463172</v>
      </c>
      <c r="P175" s="25">
        <f t="shared" si="363"/>
        <v>0.16322918269970757</v>
      </c>
      <c r="Q175" s="25">
        <f t="shared" ref="Q175" si="364">Q170/Q68</f>
        <v>0.19236629590126467</v>
      </c>
      <c r="R175" s="118">
        <f t="shared" si="343"/>
        <v>3.7852240149377048E-2</v>
      </c>
      <c r="S175" s="128"/>
      <c r="T175" s="119">
        <f t="shared" ref="T175:AC175" si="365">T170/T68</f>
        <v>0.13254526854451121</v>
      </c>
      <c r="U175" s="119">
        <f t="shared" si="365"/>
        <v>0.13046722831733032</v>
      </c>
      <c r="V175" s="119">
        <f t="shared" si="365"/>
        <v>0.12842176753438911</v>
      </c>
      <c r="W175" s="119">
        <f t="shared" si="365"/>
        <v>0.12640837541626521</v>
      </c>
      <c r="X175" s="119">
        <f t="shared" si="365"/>
        <v>0.1244265491915187</v>
      </c>
      <c r="Y175" s="119">
        <f t="shared" si="365"/>
        <v>0.12247579397114321</v>
      </c>
      <c r="Z175" s="119">
        <f t="shared" si="365"/>
        <v>0.12055562262498547</v>
      </c>
      <c r="AA175" s="119">
        <f t="shared" si="365"/>
        <v>0.1186655556601022</v>
      </c>
      <c r="AB175" s="119">
        <f t="shared" si="365"/>
        <v>0.11680512110102434</v>
      </c>
      <c r="AC175" s="119">
        <f t="shared" si="365"/>
        <v>0.1149738543718981</v>
      </c>
      <c r="AD175" s="138">
        <f t="shared" si="346"/>
        <v>1.0547432470755513E-3</v>
      </c>
      <c r="AE175" s="31">
        <v>0.08</v>
      </c>
      <c r="AF175" s="127">
        <f t="shared" si="347"/>
        <v>0.82210801620276486</v>
      </c>
    </row>
    <row r="176" spans="2:32" x14ac:dyDescent="0.2">
      <c r="B176" s="20" t="s">
        <v>281</v>
      </c>
      <c r="C176" s="25" t="e">
        <f>C172/C122</f>
        <v>#DIV/0!</v>
      </c>
      <c r="D176" s="25" t="e">
        <f>D172/D122</f>
        <v>#DIV/0!</v>
      </c>
      <c r="E176" s="25" t="e">
        <f>E172/E122</f>
        <v>#DIV/0!</v>
      </c>
      <c r="F176" s="25" t="e">
        <f>F172/F122</f>
        <v>#DIV/0!</v>
      </c>
      <c r="G176" s="182">
        <f t="shared" ref="G176:P176" si="366">G170/G62</f>
        <v>-0.13406921241050118</v>
      </c>
      <c r="H176" s="182">
        <f t="shared" si="366"/>
        <v>-0.18496732026143792</v>
      </c>
      <c r="I176" s="182">
        <f t="shared" si="366"/>
        <v>-0.12016040257902186</v>
      </c>
      <c r="J176" s="182">
        <f t="shared" si="366"/>
        <v>-7.2473570162190568E-2</v>
      </c>
      <c r="K176" s="182">
        <f t="shared" si="366"/>
        <v>-0.10186228482003129</v>
      </c>
      <c r="L176" s="182">
        <f t="shared" si="366"/>
        <v>-6.6183892011652243E-2</v>
      </c>
      <c r="M176" s="182">
        <f t="shared" si="366"/>
        <v>-0.22746328356386067</v>
      </c>
      <c r="N176" s="182">
        <f t="shared" si="366"/>
        <v>-0.20418912186948054</v>
      </c>
      <c r="O176" s="182">
        <f t="shared" si="366"/>
        <v>-0.2382757690232056</v>
      </c>
      <c r="P176" s="182">
        <f t="shared" si="366"/>
        <v>-0.16315133613329028</v>
      </c>
      <c r="Q176" s="182">
        <f t="shared" ref="Q176" si="367">Q170/Q62</f>
        <v>-0.19813504570838184</v>
      </c>
      <c r="R176" s="118">
        <f t="shared" ref="R176:R179" si="368">((P176/G176)^(1/($H$2-$H$1) ))-1</f>
        <v>1.9826182588045471E-2</v>
      </c>
      <c r="S176" s="128"/>
      <c r="T176" s="135">
        <f t="shared" ref="T176:AC176" si="369">T170/T62</f>
        <v>-0.13652008382474562</v>
      </c>
      <c r="U176" s="135">
        <f t="shared" si="369"/>
        <v>-0.13437972657834071</v>
      </c>
      <c r="V176" s="135">
        <f t="shared" si="369"/>
        <v>-0.13227292578029046</v>
      </c>
      <c r="W176" s="135">
        <f t="shared" si="369"/>
        <v>-0.13019915533373505</v>
      </c>
      <c r="X176" s="135">
        <f t="shared" si="369"/>
        <v>-0.12815789738994343</v>
      </c>
      <c r="Y176" s="135">
        <f t="shared" si="369"/>
        <v>-0.12614864221899941</v>
      </c>
      <c r="Z176" s="135">
        <f t="shared" si="369"/>
        <v>-0.1241708880825151</v>
      </c>
      <c r="AA176" s="135">
        <f t="shared" si="369"/>
        <v>-0.12222414110834005</v>
      </c>
      <c r="AB176" s="135">
        <f t="shared" si="369"/>
        <v>-0.12030791516723474</v>
      </c>
      <c r="AC176" s="135">
        <f t="shared" si="369"/>
        <v>-0.11842173175147724</v>
      </c>
      <c r="AD176" s="138">
        <f t="shared" ref="AD176" si="370">((AC176/G176)^(1/($AC$3-$H$1) ))-1</f>
        <v>-6.1859838452082982E-3</v>
      </c>
      <c r="AE176" s="31">
        <v>0.08</v>
      </c>
      <c r="AF176" s="127">
        <f t="shared" si="347"/>
        <v>-0.84063697737100718</v>
      </c>
    </row>
    <row r="177" spans="2:46" x14ac:dyDescent="0.2">
      <c r="B177" s="20" t="s">
        <v>371</v>
      </c>
      <c r="C177" s="161" t="e">
        <f t="shared" ref="C177:P177" si="371">C54/C170</f>
        <v>#DIV/0!</v>
      </c>
      <c r="D177" s="161" t="e">
        <f t="shared" si="371"/>
        <v>#DIV/0!</v>
      </c>
      <c r="E177" s="161" t="e">
        <f t="shared" si="371"/>
        <v>#DIV/0!</v>
      </c>
      <c r="F177" s="161">
        <f t="shared" si="371"/>
        <v>0.36766971346410598</v>
      </c>
      <c r="G177" s="161">
        <f t="shared" si="371"/>
        <v>0.14864263462394303</v>
      </c>
      <c r="H177" s="161">
        <f t="shared" si="371"/>
        <v>7.6025270371560122E-2</v>
      </c>
      <c r="I177" s="161">
        <f t="shared" si="371"/>
        <v>0.13610783928805131</v>
      </c>
      <c r="J177" s="161">
        <f t="shared" si="371"/>
        <v>0.25188003986590557</v>
      </c>
      <c r="K177" s="161">
        <f t="shared" si="371"/>
        <v>0.19767501408306445</v>
      </c>
      <c r="L177" s="161">
        <f t="shared" si="371"/>
        <v>0.32793999132105883</v>
      </c>
      <c r="M177" s="161">
        <f t="shared" si="371"/>
        <v>8.8594766197069658E-2</v>
      </c>
      <c r="N177" s="161">
        <f t="shared" si="371"/>
        <v>0.10745891276864727</v>
      </c>
      <c r="O177" s="161">
        <f t="shared" si="371"/>
        <v>7.4093846813398367E-2</v>
      </c>
      <c r="P177" s="161">
        <f t="shared" si="371"/>
        <v>9.9387081565299393E-2</v>
      </c>
      <c r="Q177" s="161">
        <f t="shared" ref="Q177" si="372">Q54/Q170</f>
        <v>8.7194719471947194E-2</v>
      </c>
      <c r="R177" s="118">
        <f t="shared" si="368"/>
        <v>-3.9452923872479895E-2</v>
      </c>
      <c r="S177" s="128"/>
      <c r="T177" s="161">
        <f t="shared" ref="T177:AC177" si="373">T54/T170</f>
        <v>0.12654789862480498</v>
      </c>
      <c r="U177" s="161">
        <f t="shared" si="373"/>
        <v>0.12856351302390862</v>
      </c>
      <c r="V177" s="161">
        <f t="shared" si="373"/>
        <v>0.13061123148360926</v>
      </c>
      <c r="W177" s="161">
        <f t="shared" si="373"/>
        <v>0.13269156534710197</v>
      </c>
      <c r="X177" s="161">
        <f t="shared" si="373"/>
        <v>0.13480503410209241</v>
      </c>
      <c r="Y177" s="161">
        <f t="shared" si="373"/>
        <v>0.13695216551052003</v>
      </c>
      <c r="Z177" s="161">
        <f t="shared" si="373"/>
        <v>0.1391334957403475</v>
      </c>
      <c r="AA177" s="161">
        <f t="shared" si="373"/>
        <v>0.14134956949944905</v>
      </c>
      <c r="AB177" s="161">
        <f t="shared" si="373"/>
        <v>0.14360094017163139</v>
      </c>
      <c r="AC177" s="161">
        <f t="shared" si="373"/>
        <v>0.14588816995482137</v>
      </c>
      <c r="AD177" s="138">
        <f t="shared" ref="AD177:AD179" si="374">((AC177/G177)^(1/($AC$3-$H$1) ))-1</f>
        <v>-9.347943460553676E-4</v>
      </c>
      <c r="AE177" s="31">
        <v>0.08</v>
      </c>
      <c r="AF177" s="127">
        <f t="shared" si="347"/>
        <v>1.0410842465599373</v>
      </c>
    </row>
    <row r="178" spans="2:46" x14ac:dyDescent="0.2">
      <c r="B178" s="20" t="s">
        <v>320</v>
      </c>
      <c r="C178" s="152" t="e">
        <f t="shared" ref="C178:P178" si="375">C44/C170</f>
        <v>#DIV/0!</v>
      </c>
      <c r="D178" s="152" t="e">
        <f t="shared" si="375"/>
        <v>#DIV/0!</v>
      </c>
      <c r="E178" s="152" t="e">
        <f t="shared" si="375"/>
        <v>#DIV/0!</v>
      </c>
      <c r="F178" s="152">
        <f t="shared" si="375"/>
        <v>8.461538461538462E-2</v>
      </c>
      <c r="G178" s="152">
        <f t="shared" si="375"/>
        <v>3.3333333333333333E-2</v>
      </c>
      <c r="H178" s="152">
        <f t="shared" si="375"/>
        <v>2.2727272727272728E-2</v>
      </c>
      <c r="I178" s="152">
        <f t="shared" si="375"/>
        <v>3.3333333333333333E-2</v>
      </c>
      <c r="J178" s="152">
        <f t="shared" si="375"/>
        <v>6.1538461538461542E-2</v>
      </c>
      <c r="K178" s="152">
        <f t="shared" si="375"/>
        <v>4.3478260869565216E-2</v>
      </c>
      <c r="L178" s="152">
        <f t="shared" si="375"/>
        <v>6.8421052631578952E-2</v>
      </c>
      <c r="M178" s="152">
        <f t="shared" si="375"/>
        <v>1.9108280254777069E-2</v>
      </c>
      <c r="N178" s="152">
        <f t="shared" si="375"/>
        <v>1.8421052631578946E-2</v>
      </c>
      <c r="O178" s="152">
        <f t="shared" si="375"/>
        <v>1.4693877551020409E-2</v>
      </c>
      <c r="P178" s="152">
        <f t="shared" si="375"/>
        <v>1.8095238095238095E-2</v>
      </c>
      <c r="Q178" s="152">
        <f t="shared" ref="Q178" si="376">Q44/Q170</f>
        <v>1.4999999999999999E-2</v>
      </c>
      <c r="R178" s="118">
        <f t="shared" si="368"/>
        <v>-5.9262284914114449E-2</v>
      </c>
      <c r="S178" s="128"/>
      <c r="T178" s="152">
        <f t="shared" ref="T178:AC178" si="377">T44/T170</f>
        <v>1.9565217391304353E-2</v>
      </c>
      <c r="U178" s="152">
        <f t="shared" si="377"/>
        <v>1.7863894139886583E-2</v>
      </c>
      <c r="V178" s="152">
        <f t="shared" si="377"/>
        <v>1.6310512040766011E-2</v>
      </c>
      <c r="W178" s="152">
        <f t="shared" si="377"/>
        <v>1.4892206645916794E-2</v>
      </c>
      <c r="X178" s="152">
        <f t="shared" si="377"/>
        <v>1.3597232154967508E-2</v>
      </c>
      <c r="Y178" s="152">
        <f t="shared" si="377"/>
        <v>1.2414864141492073E-2</v>
      </c>
      <c r="Z178" s="152">
        <f t="shared" si="377"/>
        <v>1.1335310737884069E-2</v>
      </c>
      <c r="AA178" s="152">
        <f t="shared" si="377"/>
        <v>1.0349631543285455E-2</v>
      </c>
      <c r="AB178" s="152">
        <f t="shared" si="377"/>
        <v>9.4496635829997636E-3</v>
      </c>
      <c r="AC178" s="152">
        <f t="shared" si="377"/>
        <v>8.6279537062171775E-3</v>
      </c>
      <c r="AD178" s="138">
        <f t="shared" si="374"/>
        <v>-6.534474294630066E-2</v>
      </c>
      <c r="AE178" s="31">
        <v>0.08</v>
      </c>
      <c r="AF178" s="127">
        <f t="shared" si="347"/>
        <v>5.7601159208084528E-2</v>
      </c>
    </row>
    <row r="179" spans="2:46" x14ac:dyDescent="0.2">
      <c r="B179" s="20" t="s">
        <v>446</v>
      </c>
      <c r="C179" s="181" t="e">
        <f t="shared" ref="C179:O179" si="378">(C172)/($L$2*100)</f>
        <v>#DIV/0!</v>
      </c>
      <c r="D179" s="181" t="e">
        <f t="shared" si="378"/>
        <v>#DIV/0!</v>
      </c>
      <c r="E179" s="181" t="e">
        <f t="shared" si="378"/>
        <v>#DIV/0!</v>
      </c>
      <c r="F179" s="181">
        <f t="shared" si="378"/>
        <v>0.15110180012414651</v>
      </c>
      <c r="G179" s="181">
        <f t="shared" si="378"/>
        <v>0.37375249500998003</v>
      </c>
      <c r="H179" s="181">
        <f t="shared" si="378"/>
        <v>0.73075117370892029</v>
      </c>
      <c r="I179" s="181">
        <f t="shared" si="378"/>
        <v>0.40817307692307692</v>
      </c>
      <c r="J179" s="181">
        <f t="shared" si="378"/>
        <v>0.22056354916067147</v>
      </c>
      <c r="K179" s="181">
        <f t="shared" si="378"/>
        <v>0.2810449050086356</v>
      </c>
      <c r="L179" s="181">
        <f t="shared" si="378"/>
        <v>0.16940768746061752</v>
      </c>
      <c r="M179" s="181">
        <f t="shared" si="378"/>
        <v>0.62707491582491581</v>
      </c>
      <c r="N179" s="181">
        <f t="shared" si="378"/>
        <v>0.51699346405228763</v>
      </c>
      <c r="O179" s="181">
        <f t="shared" si="378"/>
        <v>0.74979985443959241</v>
      </c>
      <c r="P179" s="181">
        <f>(P172)/($L$2*100)</f>
        <v>0.55898165717900061</v>
      </c>
      <c r="Q179" s="181">
        <f>(Q172)/($L$2*100)</f>
        <v>0.63714357809740096</v>
      </c>
      <c r="R179" s="118">
        <f t="shared" si="368"/>
        <v>4.107338916853065E-2</v>
      </c>
      <c r="S179" s="128"/>
      <c r="T179" s="181">
        <f>(T172)/($L$2*100)</f>
        <v>0.4390081238746541</v>
      </c>
      <c r="U179" s="181">
        <f t="shared" ref="U179:AC179" si="379">(U172)/($L$2*100)</f>
        <v>0.43212536939017865</v>
      </c>
      <c r="V179" s="181">
        <f t="shared" si="379"/>
        <v>0.42535052249719707</v>
      </c>
      <c r="W179" s="181">
        <f t="shared" si="379"/>
        <v>0.41868189142414775</v>
      </c>
      <c r="X179" s="181">
        <f t="shared" si="379"/>
        <v>0.41211781092300642</v>
      </c>
      <c r="Y179" s="181">
        <f t="shared" si="379"/>
        <v>0.40565664185345091</v>
      </c>
      <c r="Z179" s="181">
        <f t="shared" si="379"/>
        <v>0.39929677077354514</v>
      </c>
      <c r="AA179" s="181">
        <f t="shared" si="379"/>
        <v>0.39303660953684116</v>
      </c>
      <c r="AB179" s="181">
        <f t="shared" si="379"/>
        <v>0.38687459489579756</v>
      </c>
      <c r="AC179" s="181">
        <f t="shared" si="379"/>
        <v>0.38080918811141434</v>
      </c>
      <c r="AD179" s="138">
        <f t="shared" si="374"/>
        <v>9.3566900415020804E-4</v>
      </c>
      <c r="AE179" s="31">
        <v>0.08</v>
      </c>
      <c r="AF179" s="181">
        <f>(AF172)/($L$2*100)</f>
        <v>2.7226107104658981</v>
      </c>
    </row>
    <row r="180" spans="2:46" x14ac:dyDescent="0.2">
      <c r="B180" s="20" t="s">
        <v>448</v>
      </c>
      <c r="C180" s="152"/>
      <c r="D180" s="152"/>
      <c r="E180" s="152"/>
      <c r="F180" s="152"/>
      <c r="G180" s="152">
        <f t="shared" ref="G180:P180" si="380">G179-1</f>
        <v>-0.62624750499002002</v>
      </c>
      <c r="H180" s="152">
        <f t="shared" si="380"/>
        <v>-0.26924882629107971</v>
      </c>
      <c r="I180" s="152">
        <f t="shared" si="380"/>
        <v>-0.59182692307692308</v>
      </c>
      <c r="J180" s="152">
        <f t="shared" si="380"/>
        <v>-0.77943645083932855</v>
      </c>
      <c r="K180" s="152">
        <f t="shared" si="380"/>
        <v>-0.71895509499136434</v>
      </c>
      <c r="L180" s="152">
        <f t="shared" si="380"/>
        <v>-0.83059231253938248</v>
      </c>
      <c r="M180" s="152">
        <f t="shared" si="380"/>
        <v>-0.37292508417508419</v>
      </c>
      <c r="N180" s="152">
        <f t="shared" si="380"/>
        <v>-0.48300653594771237</v>
      </c>
      <c r="O180" s="152">
        <f t="shared" si="380"/>
        <v>-0.25020014556040759</v>
      </c>
      <c r="P180" s="152">
        <f t="shared" si="380"/>
        <v>-0.44101834282099939</v>
      </c>
      <c r="Q180" s="152">
        <f>Q179-1</f>
        <v>-0.36285642190259904</v>
      </c>
      <c r="R180" s="128"/>
      <c r="S180" s="128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7"/>
      <c r="AE180" s="20"/>
      <c r="AF180" s="127"/>
    </row>
    <row r="181" spans="2:46" x14ac:dyDescent="0.2">
      <c r="B181" s="20"/>
      <c r="C181" s="129"/>
      <c r="D181" s="129"/>
      <c r="E181" s="129"/>
      <c r="F181" s="129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20"/>
    </row>
    <row r="182" spans="2:46" x14ac:dyDescent="0.2">
      <c r="B182" s="108" t="s">
        <v>301</v>
      </c>
      <c r="C182" s="20"/>
      <c r="D182" s="20"/>
      <c r="E182" s="20"/>
      <c r="F182" s="20"/>
      <c r="G182" s="20"/>
      <c r="H182" s="20"/>
      <c r="I182" s="20"/>
      <c r="J182" s="20"/>
      <c r="K182" s="204" t="s">
        <v>351</v>
      </c>
      <c r="L182" s="205"/>
      <c r="M182" s="20"/>
      <c r="N182" s="20"/>
      <c r="O182" s="20"/>
      <c r="P182" s="108" t="s">
        <v>430</v>
      </c>
      <c r="Q182" s="108" t="s">
        <v>429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37"/>
      <c r="AE182" s="20"/>
      <c r="AF182" s="20"/>
    </row>
    <row r="183" spans="2:46" x14ac:dyDescent="0.2">
      <c r="B183" s="20" t="s">
        <v>299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20" t="s">
        <v>352</v>
      </c>
      <c r="L183" s="22">
        <v>1</v>
      </c>
      <c r="M183" s="20"/>
      <c r="N183" s="20"/>
      <c r="O183" s="20"/>
      <c r="P183" s="128">
        <f>(Q170-S158)/Q170</f>
        <v>0.85394495629796552</v>
      </c>
      <c r="Q183" s="128">
        <f>(Q170-T158)/Q170</f>
        <v>0.88305469400908754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349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$L$183</f>
        <v>1</v>
      </c>
      <c r="L184" s="20"/>
      <c r="M184" s="128">
        <f>(P170-(K184*S149))/P170</f>
        <v>47.406315823385256</v>
      </c>
      <c r="N184" s="20"/>
      <c r="O184" s="20"/>
      <c r="P184" s="128">
        <f>(Q170-S149)/Q170</f>
        <v>33.484421076369678</v>
      </c>
      <c r="Q184" s="128">
        <f>(Q170-T149)/Q170</f>
        <v>4.9939861979143041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350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$L$183</f>
        <v>1</v>
      </c>
      <c r="L185" s="20"/>
      <c r="M185" s="128">
        <f>(P170-(K185*S142))/P170</f>
        <v>-3.6034278738785694</v>
      </c>
      <c r="N185" s="20"/>
      <c r="O185" s="20"/>
      <c r="P185" s="128">
        <f>(Q170-S142)/Q170</f>
        <v>-2.2223995117149986</v>
      </c>
      <c r="Q185" s="128">
        <f>(Q170-T142)/Q170</f>
        <v>0.60380333872356573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353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$L$183</f>
        <v>1</v>
      </c>
      <c r="L186" s="20"/>
      <c r="M186" s="128">
        <f>(P170-(K186*S155))/P170</f>
        <v>-1.0608356518849225</v>
      </c>
      <c r="N186" s="20"/>
      <c r="O186" s="20"/>
      <c r="P186" s="128">
        <f>(Q170-S155)/Q170</f>
        <v>-0.44258495631944567</v>
      </c>
      <c r="Q186" s="128">
        <f>(Q170-T155)/Q170</f>
        <v>0.82263299717383864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399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$L$183</f>
        <v>1</v>
      </c>
      <c r="L187" s="20"/>
      <c r="M187" s="128">
        <f>(P170-(K187*S167))/P170</f>
        <v>-6.8278733435217962</v>
      </c>
      <c r="N187" s="20"/>
      <c r="O187" s="20"/>
      <c r="P187" s="128">
        <f>(Q170-S167)/Q170</f>
        <v>-4.4795113404652573</v>
      </c>
      <c r="Q187" s="128">
        <f>(Q170-T167)/Q170</f>
        <v>-3.3874084328007301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300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5">
        <f>Q170/S141</f>
        <v>1.7818592029672922</v>
      </c>
      <c r="Q188" s="25">
        <f>Q170/T141</f>
        <v>14.492454850800645</v>
      </c>
      <c r="R188" s="20"/>
      <c r="S188" s="20"/>
      <c r="T188" s="115" t="s">
        <v>11</v>
      </c>
      <c r="U188" s="115" t="s">
        <v>12</v>
      </c>
      <c r="V188" s="115" t="s">
        <v>13</v>
      </c>
      <c r="W188" s="115" t="s">
        <v>14</v>
      </c>
      <c r="X188" s="115" t="s">
        <v>15</v>
      </c>
      <c r="Y188" s="115" t="s">
        <v>234</v>
      </c>
      <c r="Z188" s="115" t="s">
        <v>235</v>
      </c>
      <c r="AA188" s="115" t="s">
        <v>236</v>
      </c>
      <c r="AB188" s="115" t="s">
        <v>237</v>
      </c>
      <c r="AC188" s="115" t="s">
        <v>238</v>
      </c>
      <c r="AD188" s="115" t="s">
        <v>407</v>
      </c>
      <c r="AE188" s="115" t="s">
        <v>408</v>
      </c>
      <c r="AF188" s="115" t="s">
        <v>409</v>
      </c>
      <c r="AG188" s="115" t="s">
        <v>410</v>
      </c>
      <c r="AH188" s="115" t="s">
        <v>411</v>
      </c>
      <c r="AI188" s="115" t="s">
        <v>412</v>
      </c>
      <c r="AJ188" s="115" t="s">
        <v>413</v>
      </c>
      <c r="AK188" s="115" t="s">
        <v>414</v>
      </c>
      <c r="AL188" s="115" t="s">
        <v>415</v>
      </c>
      <c r="AM188" s="115" t="s">
        <v>416</v>
      </c>
      <c r="AN188" s="115" t="s">
        <v>417</v>
      </c>
      <c r="AO188" s="115" t="s">
        <v>418</v>
      </c>
      <c r="AP188" s="115" t="s">
        <v>419</v>
      </c>
      <c r="AQ188" s="115" t="s">
        <v>420</v>
      </c>
      <c r="AR188" s="115" t="s">
        <v>421</v>
      </c>
      <c r="AS188" s="115" t="s">
        <v>422</v>
      </c>
      <c r="AT188" s="115" t="s">
        <v>423</v>
      </c>
    </row>
    <row r="189" spans="2:46" x14ac:dyDescent="0.2">
      <c r="B189" s="20" t="s">
        <v>371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152">
        <f>1/P188</f>
        <v>0.56121156954192641</v>
      </c>
      <c r="Q189" s="152">
        <f>1/Q188</f>
        <v>6.9001422484663066E-2</v>
      </c>
      <c r="R189" s="20"/>
      <c r="S189" s="20"/>
      <c r="T189" s="129">
        <f>Q170-T190</f>
        <v>265.71402518248283</v>
      </c>
      <c r="U189" s="185">
        <f>T189-U190</f>
        <v>229.71375162408981</v>
      </c>
      <c r="V189" s="185">
        <f t="shared" ref="V189:X189" si="381">U189-V190</f>
        <v>191.91346438777714</v>
      </c>
      <c r="W189" s="185">
        <f t="shared" si="381"/>
        <v>152.22316278964882</v>
      </c>
      <c r="X189" s="185">
        <f t="shared" si="381"/>
        <v>110.54834611161408</v>
      </c>
      <c r="Y189" s="185">
        <f>X189-Y190</f>
        <v>66.789788599677607</v>
      </c>
      <c r="Z189" s="185">
        <f t="shared" ref="Z189:AC189" si="382">Y189-Z190</f>
        <v>20.843303212144306</v>
      </c>
      <c r="AA189" s="185">
        <f t="shared" si="382"/>
        <v>-27.400506444765661</v>
      </c>
      <c r="AB189" s="185">
        <f t="shared" si="382"/>
        <v>-78.056506584521131</v>
      </c>
      <c r="AC189" s="185">
        <f t="shared" si="382"/>
        <v>-131.24530673126438</v>
      </c>
      <c r="AD189" s="185">
        <f t="shared" ref="AD189" si="383">AC189-AD190</f>
        <v>-187.09354688534478</v>
      </c>
      <c r="AE189" s="185">
        <f t="shared" ref="AE189" si="384">AD189-AE190</f>
        <v>-245.73419904712921</v>
      </c>
      <c r="AF189" s="185">
        <f t="shared" ref="AF189" si="385">AE189-AF190</f>
        <v>-307.30688381700287</v>
      </c>
      <c r="AG189" s="185">
        <f t="shared" ref="AG189" si="386">AF189-AG190</f>
        <v>-371.95820282537022</v>
      </c>
      <c r="AH189" s="185">
        <f t="shared" ref="AH189" si="387">AG189-AH190</f>
        <v>-439.84208778415598</v>
      </c>
      <c r="AI189" s="185">
        <f t="shared" ref="AI189" si="388">AH189-AI190</f>
        <v>-511.12016699088099</v>
      </c>
      <c r="AJ189" s="185">
        <f t="shared" ref="AJ189" si="389">AI189-AJ190</f>
        <v>-585.96215015794223</v>
      </c>
      <c r="AK189" s="185">
        <f t="shared" ref="AK189" si="390">AJ189-AK190</f>
        <v>-664.54623248335656</v>
      </c>
      <c r="AL189" s="185">
        <f t="shared" ref="AL189" si="391">AK189-AL190</f>
        <v>-747.05951892504163</v>
      </c>
      <c r="AM189" s="185">
        <f t="shared" ref="AM189" si="392">AL189-AM190</f>
        <v>-833.69846968881097</v>
      </c>
      <c r="AN189" s="185">
        <f t="shared" ref="AN189" si="393">AM189-AN190</f>
        <v>-924.66936799076882</v>
      </c>
      <c r="AO189" s="185">
        <f t="shared" ref="AO189" si="394">AN189-AO190</f>
        <v>-1020.1888112078245</v>
      </c>
      <c r="AP189" s="185">
        <f t="shared" ref="AP189" si="395">AO189-AP190</f>
        <v>-1120.484226585733</v>
      </c>
      <c r="AQ189" s="185">
        <f t="shared" ref="AQ189" si="396">AP189-AQ190</f>
        <v>-1225.794412732537</v>
      </c>
      <c r="AR189" s="185">
        <f t="shared" ref="AR189" si="397">AQ189-AR190</f>
        <v>-1336.3701081866811</v>
      </c>
      <c r="AS189" s="185">
        <f t="shared" ref="AS189" si="398">AR189-AS190</f>
        <v>-1452.4745884135325</v>
      </c>
      <c r="AT189" s="185">
        <f t="shared" ref="AT189" si="399">AS189-AT190</f>
        <v>-1574.3842926517264</v>
      </c>
    </row>
    <row r="190" spans="2:46" x14ac:dyDescent="0.2">
      <c r="B190" s="20" t="s">
        <v>396</v>
      </c>
      <c r="C190" s="20"/>
      <c r="D190" s="20"/>
      <c r="E190" s="20"/>
      <c r="F190" s="20"/>
      <c r="G190" s="20"/>
      <c r="H190" s="20"/>
      <c r="I190" s="20"/>
      <c r="J190" s="20"/>
      <c r="K190" s="184">
        <f>P1</f>
        <v>0.05</v>
      </c>
      <c r="L190" s="20"/>
      <c r="M190" s="187"/>
      <c r="N190" s="20"/>
      <c r="O190" s="20"/>
      <c r="P190" s="181">
        <f>Q170/R140</f>
        <v>9.1874301861489513</v>
      </c>
      <c r="Q190" s="181" t="e">
        <f>Q170/S140</f>
        <v>#DIV/0!</v>
      </c>
      <c r="R190" s="20"/>
      <c r="S190" s="20"/>
      <c r="T190" s="186">
        <f>R140*(1+$K$190)</f>
        <v>34.285974817517172</v>
      </c>
      <c r="U190" s="186">
        <f>T190*(1+$K$190)</f>
        <v>36.000273558393033</v>
      </c>
      <c r="V190" s="186">
        <f t="shared" ref="V190:AC190" si="400">U190*(1+$K$190)</f>
        <v>37.800287236312684</v>
      </c>
      <c r="W190" s="186">
        <f t="shared" si="400"/>
        <v>39.690301598128322</v>
      </c>
      <c r="X190" s="186">
        <f t="shared" si="400"/>
        <v>41.674816678034738</v>
      </c>
      <c r="Y190" s="186">
        <f t="shared" si="400"/>
        <v>43.758557511936473</v>
      </c>
      <c r="Z190" s="186">
        <f t="shared" si="400"/>
        <v>45.946485387533301</v>
      </c>
      <c r="AA190" s="186">
        <f t="shared" si="400"/>
        <v>48.243809656909967</v>
      </c>
      <c r="AB190" s="186">
        <f t="shared" si="400"/>
        <v>50.65600013975547</v>
      </c>
      <c r="AC190" s="186">
        <f t="shared" si="400"/>
        <v>53.188800146743247</v>
      </c>
      <c r="AD190" s="186">
        <f t="shared" ref="AD190" si="401">AC190*(1+$K$190)</f>
        <v>55.848240154080415</v>
      </c>
      <c r="AE190" s="186">
        <f t="shared" ref="AE190" si="402">AD190*(1+$K$190)</f>
        <v>58.640652161784438</v>
      </c>
      <c r="AF190" s="186">
        <f t="shared" ref="AF190" si="403">AE190*(1+$K$190)</f>
        <v>61.572684769873661</v>
      </c>
      <c r="AG190" s="186">
        <f t="shared" ref="AG190" si="404">AF190*(1+$K$190)</f>
        <v>64.651319008367352</v>
      </c>
      <c r="AH190" s="186">
        <f t="shared" ref="AH190" si="405">AG190*(1+$K$190)</f>
        <v>67.883884958785728</v>
      </c>
      <c r="AI190" s="186">
        <f t="shared" ref="AI190" si="406">AH190*(1+$K$190)</f>
        <v>71.278079206725025</v>
      </c>
      <c r="AJ190" s="186">
        <f t="shared" ref="AJ190" si="407">AI190*(1+$K$190)</f>
        <v>74.841983167061272</v>
      </c>
      <c r="AK190" s="186">
        <f t="shared" ref="AK190" si="408">AJ190*(1+$K$190)</f>
        <v>78.584082325414343</v>
      </c>
      <c r="AL190" s="186">
        <f t="shared" ref="AL190" si="409">AK190*(1+$K$190)</f>
        <v>82.513286441685068</v>
      </c>
      <c r="AM190" s="186">
        <f t="shared" ref="AM190" si="410">AL190*(1+$K$190)</f>
        <v>86.63895076376933</v>
      </c>
      <c r="AN190" s="186">
        <f t="shared" ref="AN190" si="411">AM190*(1+$K$190)</f>
        <v>90.970898301957803</v>
      </c>
      <c r="AO190" s="186">
        <f t="shared" ref="AO190" si="412">AN190*(1+$K$190)</f>
        <v>95.519443217055695</v>
      </c>
      <c r="AP190" s="186">
        <f t="shared" ref="AP190" si="413">AO190*(1+$K$190)</f>
        <v>100.29541537790848</v>
      </c>
      <c r="AQ190" s="186">
        <f t="shared" ref="AQ190" si="414">AP190*(1+$K$190)</f>
        <v>105.31018614680391</v>
      </c>
      <c r="AR190" s="186">
        <f t="shared" ref="AR190" si="415">AQ190*(1+$K$190)</f>
        <v>110.57569545414411</v>
      </c>
      <c r="AS190" s="186">
        <f t="shared" ref="AS190" si="416">AR190*(1+$K$190)</f>
        <v>116.10448022685132</v>
      </c>
      <c r="AT190" s="186">
        <f t="shared" ref="AT190" si="417">AS190*(1+$K$190)</f>
        <v>121.9097042381939</v>
      </c>
    </row>
    <row r="191" spans="2:46" x14ac:dyDescent="0.2">
      <c r="B191" s="20" t="s">
        <v>395</v>
      </c>
      <c r="C191" s="20"/>
      <c r="D191" s="20"/>
      <c r="E191" s="20"/>
      <c r="F191" s="20"/>
      <c r="G191" s="20"/>
      <c r="H191" s="20"/>
      <c r="I191" s="20"/>
      <c r="J191" s="20"/>
      <c r="K191" s="184">
        <f>P1</f>
        <v>0.05</v>
      </c>
      <c r="L191" s="20"/>
      <c r="M191" s="187"/>
      <c r="N191" s="20"/>
      <c r="O191" s="20"/>
      <c r="P191" s="181">
        <f>Q170/P54</f>
        <v>14.37381404174573</v>
      </c>
      <c r="Q191" s="181">
        <f>Q170/Q54</f>
        <v>11.468584405753218</v>
      </c>
      <c r="R191" s="20"/>
      <c r="S191" s="20"/>
      <c r="T191" s="186">
        <f>Q54*(1+$K$191)</f>
        <v>27.466336633663367</v>
      </c>
      <c r="U191" s="186">
        <f>T191*(1+$K$191)</f>
        <v>28.839653465346537</v>
      </c>
      <c r="V191" s="186">
        <f t="shared" ref="V191:AC191" si="418">U191*(1+$K$191)</f>
        <v>30.281636138613866</v>
      </c>
      <c r="W191" s="186">
        <f t="shared" si="418"/>
        <v>31.79571794554456</v>
      </c>
      <c r="X191" s="186">
        <f t="shared" si="418"/>
        <v>33.385503842821791</v>
      </c>
      <c r="Y191" s="186">
        <f t="shared" si="418"/>
        <v>35.054779034962884</v>
      </c>
      <c r="Z191" s="186">
        <f t="shared" si="418"/>
        <v>36.807517986711026</v>
      </c>
      <c r="AA191" s="186">
        <f t="shared" si="418"/>
        <v>38.647893886046582</v>
      </c>
      <c r="AB191" s="186">
        <f t="shared" si="418"/>
        <v>40.580288580348913</v>
      </c>
      <c r="AC191" s="186">
        <f t="shared" si="418"/>
        <v>42.609303009366364</v>
      </c>
      <c r="AD191" s="186">
        <f t="shared" ref="AD191" si="419">AC191*(1+$K$191)</f>
        <v>44.739768159834682</v>
      </c>
      <c r="AE191" s="186">
        <f t="shared" ref="AE191" si="420">AD191*(1+$K$191)</f>
        <v>46.976756567826421</v>
      </c>
      <c r="AF191" s="186">
        <f t="shared" ref="AF191" si="421">AE191*(1+$K$191)</f>
        <v>49.325594396217745</v>
      </c>
      <c r="AG191" s="186">
        <f t="shared" ref="AG191" si="422">AF191*(1+$K$191)</f>
        <v>51.791874116028637</v>
      </c>
      <c r="AH191" s="186">
        <f t="shared" ref="AH191" si="423">AG191*(1+$K$191)</f>
        <v>54.381467821830071</v>
      </c>
      <c r="AI191" s="186">
        <f t="shared" ref="AI191" si="424">AH191*(1+$K$191)</f>
        <v>57.100541212921577</v>
      </c>
      <c r="AJ191" s="186">
        <f t="shared" ref="AJ191" si="425">AI191*(1+$K$191)</f>
        <v>59.955568273567657</v>
      </c>
      <c r="AK191" s="186">
        <f t="shared" ref="AK191" si="426">AJ191*(1+$K$191)</f>
        <v>62.953346687246039</v>
      </c>
      <c r="AL191" s="186">
        <f t="shared" ref="AL191" si="427">AK191*(1+$K$191)</f>
        <v>66.10101402160835</v>
      </c>
      <c r="AM191" s="186">
        <f t="shared" ref="AM191" si="428">AL191*(1+$K$191)</f>
        <v>69.406064722688768</v>
      </c>
      <c r="AN191" s="186">
        <f t="shared" ref="AN191" si="429">AM191*(1+$K$191)</f>
        <v>72.876367958823209</v>
      </c>
      <c r="AO191" s="186">
        <f t="shared" ref="AO191" si="430">AN191*(1+$K$191)</f>
        <v>76.52018635676437</v>
      </c>
      <c r="AP191" s="186">
        <f t="shared" ref="AP191" si="431">AO191*(1+$K$191)</f>
        <v>80.346195674602598</v>
      </c>
      <c r="AQ191" s="186">
        <f t="shared" ref="AQ191" si="432">AP191*(1+$K$191)</f>
        <v>84.363505458332725</v>
      </c>
      <c r="AR191" s="186">
        <f t="shared" ref="AR191" si="433">AQ191*(1+$K$191)</f>
        <v>88.581680731249364</v>
      </c>
      <c r="AS191" s="186">
        <f t="shared" ref="AS191" si="434">AR191*(1+$K$191)</f>
        <v>93.010764767811835</v>
      </c>
      <c r="AT191" s="186">
        <f t="shared" ref="AT191" si="435">AS191*(1+$K$191)</f>
        <v>97.661303006202431</v>
      </c>
    </row>
    <row r="192" spans="2:46" x14ac:dyDescent="0.2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29">
        <f>Q170-T191</f>
        <v>272.53366336633661</v>
      </c>
      <c r="U192" s="185">
        <f>T192-U191</f>
        <v>243.69400990099007</v>
      </c>
      <c r="V192" s="185">
        <f t="shared" ref="V192:AA192" si="436">U192-V191</f>
        <v>213.41237376237621</v>
      </c>
      <c r="W192" s="185">
        <f t="shared" si="436"/>
        <v>181.61665581683164</v>
      </c>
      <c r="X192" s="185">
        <f t="shared" si="436"/>
        <v>148.23115197400983</v>
      </c>
      <c r="Y192" s="185">
        <f t="shared" si="436"/>
        <v>113.17637293904696</v>
      </c>
      <c r="Z192" s="185">
        <f t="shared" si="436"/>
        <v>76.368854952335937</v>
      </c>
      <c r="AA192" s="185">
        <f t="shared" si="436"/>
        <v>37.720961066289355</v>
      </c>
      <c r="AB192" s="185">
        <f>AA192-AB191</f>
        <v>-2.859327514059558</v>
      </c>
      <c r="AC192" s="185">
        <f t="shared" ref="AC192" si="437">AB192-AC191</f>
        <v>-45.468630523425922</v>
      </c>
      <c r="AD192" s="185">
        <f t="shared" ref="AD192" si="438">AC192-AD191</f>
        <v>-90.208398683260612</v>
      </c>
      <c r="AE192" s="185">
        <f t="shared" ref="AE192" si="439">AD192-AE191</f>
        <v>-137.18515525108702</v>
      </c>
      <c r="AF192" s="185">
        <f t="shared" ref="AF192" si="440">AE192-AF191</f>
        <v>-186.51074964730478</v>
      </c>
      <c r="AG192" s="185">
        <f t="shared" ref="AG192" si="441">AF192-AG191</f>
        <v>-238.30262376333343</v>
      </c>
      <c r="AH192" s="185">
        <f t="shared" ref="AH192" si="442">AG192-AH191</f>
        <v>-292.68409158516351</v>
      </c>
      <c r="AI192" s="185">
        <f t="shared" ref="AI192" si="443">AH192-AI191</f>
        <v>-349.78463279808511</v>
      </c>
      <c r="AJ192" s="185">
        <f t="shared" ref="AJ192" si="444">AI192-AJ191</f>
        <v>-409.74020107165279</v>
      </c>
      <c r="AK192" s="185">
        <f t="shared" ref="AK192" si="445">AJ192-AK191</f>
        <v>-472.69354775889883</v>
      </c>
      <c r="AL192" s="185">
        <f t="shared" ref="AL192" si="446">AK192-AL191</f>
        <v>-538.79456178050714</v>
      </c>
      <c r="AM192" s="185">
        <f t="shared" ref="AM192" si="447">AL192-AM191</f>
        <v>-608.20062650319596</v>
      </c>
      <c r="AN192" s="185">
        <f t="shared" ref="AN192" si="448">AM192-AN191</f>
        <v>-681.07699446201923</v>
      </c>
      <c r="AO192" s="185">
        <f t="shared" ref="AO192" si="449">AN192-AO191</f>
        <v>-757.59718081878361</v>
      </c>
      <c r="AP192" s="185">
        <f t="shared" ref="AP192" si="450">AO192-AP191</f>
        <v>-837.94337649338627</v>
      </c>
      <c r="AQ192" s="185">
        <f t="shared" ref="AQ192" si="451">AP192-AQ191</f>
        <v>-922.30688195171899</v>
      </c>
      <c r="AR192" s="185">
        <f t="shared" ref="AR192" si="452">AQ192-AR191</f>
        <v>-1010.8885626829683</v>
      </c>
      <c r="AS192" s="185">
        <f t="shared" ref="AS192" si="453">AR192-AS191</f>
        <v>-1103.8993274507802</v>
      </c>
      <c r="AT192" s="185">
        <f t="shared" ref="AT192" si="454">AS192-AT191</f>
        <v>-1201.5606304569826</v>
      </c>
    </row>
    <row r="193" spans="2:32" x14ac:dyDescent="0.2">
      <c r="B193" s="108" t="s">
        <v>302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2:32" x14ac:dyDescent="0.2">
      <c r="B194" s="20" t="s">
        <v>305</v>
      </c>
      <c r="C194" s="25" t="e">
        <f t="shared" ref="C194:P194" si="455">C10/C7</f>
        <v>#DIV/0!</v>
      </c>
      <c r="D194" s="25" t="e">
        <f t="shared" si="455"/>
        <v>#DIV/0!</v>
      </c>
      <c r="E194" s="25" t="e">
        <f t="shared" si="455"/>
        <v>#DIV/0!</v>
      </c>
      <c r="F194" s="25">
        <f t="shared" si="455"/>
        <v>8.5993031358885013</v>
      </c>
      <c r="G194" s="25">
        <f t="shared" si="455"/>
        <v>9.5494276795005195</v>
      </c>
      <c r="H194" s="25">
        <f t="shared" si="455"/>
        <v>9.129752066115703</v>
      </c>
      <c r="I194" s="25">
        <f t="shared" si="455"/>
        <v>10.117474302496328</v>
      </c>
      <c r="J194" s="25">
        <f t="shared" si="455"/>
        <v>10.455825864276569</v>
      </c>
      <c r="K194" s="25">
        <f t="shared" si="455"/>
        <v>10.973031283710895</v>
      </c>
      <c r="L194" s="25">
        <f t="shared" si="455"/>
        <v>11.238284703801945</v>
      </c>
      <c r="M194" s="25">
        <f t="shared" si="455"/>
        <v>10.098198721673446</v>
      </c>
      <c r="N194" s="25">
        <f t="shared" si="455"/>
        <v>10.775948460987831</v>
      </c>
      <c r="O194" s="25">
        <f t="shared" si="455"/>
        <v>8.383362521891419</v>
      </c>
      <c r="P194" s="25">
        <f t="shared" si="455"/>
        <v>8.9859176488596351</v>
      </c>
      <c r="Q194" s="25">
        <f t="shared" ref="Q194" si="456">Q10/Q7</f>
        <v>9.4199077125906392</v>
      </c>
      <c r="R194" s="118">
        <f t="shared" ref="R194:R196" si="457">((P194/G194)^(1/($H$2-$H$1) ))-1</f>
        <v>-6.0637982768491083E-3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32" x14ac:dyDescent="0.2">
      <c r="B195" s="20" t="s">
        <v>306</v>
      </c>
      <c r="C195" s="112" t="e">
        <f>C10/C12</f>
        <v>#DIV/0!</v>
      </c>
      <c r="D195" s="112" t="e">
        <f>D10/D12</f>
        <v>#DIV/0!</v>
      </c>
      <c r="E195" s="112" t="e">
        <f>E10/E12</f>
        <v>#DIV/0!</v>
      </c>
      <c r="F195" s="112">
        <f>F10/F12</f>
        <v>16.751131221719458</v>
      </c>
      <c r="G195" s="112">
        <f>G10/G12</f>
        <v>22.885286783042392</v>
      </c>
      <c r="H195" s="112">
        <f t="shared" ref="H195:P195" si="458">H10/H12</f>
        <v>48.240174672489083</v>
      </c>
      <c r="I195" s="112">
        <f t="shared" si="458"/>
        <v>28.648648648648649</v>
      </c>
      <c r="J195" s="112">
        <f t="shared" si="458"/>
        <v>20.938461538461539</v>
      </c>
      <c r="K195" s="112">
        <f t="shared" si="458"/>
        <v>56.044077134986225</v>
      </c>
      <c r="L195" s="112">
        <f t="shared" si="458"/>
        <v>194.05343511450383</v>
      </c>
      <c r="M195" s="112">
        <f t="shared" si="458"/>
        <v>128.73333333333332</v>
      </c>
      <c r="N195" s="112">
        <f t="shared" si="458"/>
        <v>103.10958904109589</v>
      </c>
      <c r="O195" s="112">
        <f t="shared" si="458"/>
        <v>146.38837920489297</v>
      </c>
      <c r="P195" s="112">
        <f t="shared" si="458"/>
        <v>38.545633617859487</v>
      </c>
      <c r="Q195" s="112">
        <f t="shared" ref="Q195" si="459">Q10/Q12</f>
        <v>23.243331164606378</v>
      </c>
      <c r="R195" s="118">
        <f t="shared" si="457"/>
        <v>5.3517812732343018E-2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32" x14ac:dyDescent="0.2">
      <c r="B196" s="20" t="s">
        <v>307</v>
      </c>
      <c r="C196" s="25" t="e">
        <f>C10/(C12+C13)</f>
        <v>#DIV/0!</v>
      </c>
      <c r="D196" s="25" t="e">
        <f>D10/(D12+D13)</f>
        <v>#DIV/0!</v>
      </c>
      <c r="E196" s="25" t="e">
        <f>E10/(E12+E13)</f>
        <v>#DIV/0!</v>
      </c>
      <c r="F196" s="25">
        <f>F10/(F12+F13)</f>
        <v>10.100954979536153</v>
      </c>
      <c r="G196" s="25">
        <f>G10/(G12+G13)</f>
        <v>17.153271028037384</v>
      </c>
      <c r="H196" s="25">
        <f t="shared" ref="H196:P196" si="460">H10/(H12+H13)</f>
        <v>34.648558793087226</v>
      </c>
      <c r="I196" s="25">
        <f t="shared" si="460"/>
        <v>17.03337453646477</v>
      </c>
      <c r="J196" s="25">
        <f t="shared" si="460"/>
        <v>16.315684315684315</v>
      </c>
      <c r="K196" s="25">
        <f t="shared" si="460"/>
        <v>17.598615916955016</v>
      </c>
      <c r="L196" s="25">
        <f t="shared" si="460"/>
        <v>19.875684128225174</v>
      </c>
      <c r="M196" s="25">
        <f t="shared" si="460"/>
        <v>20.409864944216089</v>
      </c>
      <c r="N196" s="25">
        <f t="shared" si="460"/>
        <v>24.372369131138694</v>
      </c>
      <c r="O196" s="25">
        <f t="shared" si="460"/>
        <v>95.92985971943888</v>
      </c>
      <c r="P196" s="25">
        <f t="shared" si="460"/>
        <v>34.170547147846335</v>
      </c>
      <c r="Q196" s="25">
        <f t="shared" ref="Q196" si="461">Q10/(Q12+Q13)</f>
        <v>21.863525091799264</v>
      </c>
      <c r="R196" s="118">
        <f t="shared" si="457"/>
        <v>7.1347839941071634E-2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32" x14ac:dyDescent="0.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32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32" x14ac:dyDescent="0.2">
      <c r="B199" s="20"/>
      <c r="C199" s="174" t="s">
        <v>377</v>
      </c>
      <c r="D199" s="175"/>
      <c r="E199" s="175"/>
      <c r="F199" s="175"/>
      <c r="G199" s="175"/>
      <c r="H199" s="175"/>
      <c r="I199" s="175"/>
      <c r="J199" s="175"/>
      <c r="K199" s="20"/>
      <c r="L199" s="201" t="s">
        <v>337</v>
      </c>
      <c r="M199" s="202"/>
      <c r="N199" s="203"/>
      <c r="O199" s="23" t="s">
        <v>340</v>
      </c>
      <c r="P199" s="20"/>
      <c r="Q199" s="137"/>
      <c r="R199" s="201" t="s">
        <v>338</v>
      </c>
      <c r="S199" s="202"/>
      <c r="T199" s="203"/>
      <c r="U199" s="23" t="s">
        <v>340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32" x14ac:dyDescent="0.2">
      <c r="B200" s="20"/>
      <c r="C200" s="166" t="s">
        <v>339</v>
      </c>
      <c r="D200" s="166" t="s">
        <v>0</v>
      </c>
      <c r="E200" s="166" t="s">
        <v>378</v>
      </c>
      <c r="F200" s="166" t="s">
        <v>379</v>
      </c>
      <c r="G200" s="166" t="s">
        <v>380</v>
      </c>
      <c r="H200" s="166" t="s">
        <v>381</v>
      </c>
      <c r="I200" s="166" t="s">
        <v>382</v>
      </c>
      <c r="J200" s="166" t="s">
        <v>383</v>
      </c>
      <c r="K200" s="20"/>
      <c r="L200" s="166" t="s">
        <v>339</v>
      </c>
      <c r="M200" s="166"/>
      <c r="N200" s="166" t="s">
        <v>0</v>
      </c>
      <c r="O200" s="166" t="s">
        <v>372</v>
      </c>
      <c r="P200" s="20"/>
      <c r="Q200" s="20"/>
      <c r="R200" s="166" t="s">
        <v>339</v>
      </c>
      <c r="S200" s="166"/>
      <c r="T200" s="166" t="s">
        <v>0</v>
      </c>
      <c r="U200" s="166" t="s">
        <v>372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32" x14ac:dyDescent="0.2">
      <c r="B201" s="20"/>
      <c r="C201" s="167" t="s">
        <v>341</v>
      </c>
      <c r="D201" s="21">
        <v>250</v>
      </c>
      <c r="E201" s="176" t="s">
        <v>384</v>
      </c>
      <c r="F201" s="22">
        <v>0</v>
      </c>
      <c r="G201" s="22">
        <v>1</v>
      </c>
      <c r="H201" s="167">
        <f>F201/G201</f>
        <v>0</v>
      </c>
      <c r="I201" s="167">
        <f>H201*D202</f>
        <v>0</v>
      </c>
      <c r="J201" s="177">
        <f>I201+D202</f>
        <v>1</v>
      </c>
      <c r="K201" s="20"/>
      <c r="L201" s="167" t="s">
        <v>341</v>
      </c>
      <c r="M201" s="167"/>
      <c r="N201" s="21">
        <v>15</v>
      </c>
      <c r="O201" s="173">
        <f>N201</f>
        <v>15</v>
      </c>
      <c r="P201" s="20"/>
      <c r="Q201" s="20"/>
      <c r="R201" s="167" t="s">
        <v>341</v>
      </c>
      <c r="S201" s="167"/>
      <c r="T201" s="21">
        <v>80</v>
      </c>
      <c r="U201" s="173">
        <f>T201</f>
        <v>80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32" x14ac:dyDescent="0.2">
      <c r="B202" s="20"/>
      <c r="C202" s="167" t="s">
        <v>342</v>
      </c>
      <c r="D202" s="21">
        <v>1</v>
      </c>
      <c r="E202" s="176" t="s">
        <v>385</v>
      </c>
      <c r="F202" s="22">
        <v>0</v>
      </c>
      <c r="G202" s="22">
        <v>1</v>
      </c>
      <c r="H202" s="167">
        <f>F202/G202</f>
        <v>0</v>
      </c>
      <c r="I202" s="167">
        <f>H202*J201</f>
        <v>0</v>
      </c>
      <c r="J202" s="167">
        <f>I202+J201</f>
        <v>1</v>
      </c>
      <c r="K202" s="20"/>
      <c r="L202" s="167" t="s">
        <v>342</v>
      </c>
      <c r="M202" s="167"/>
      <c r="N202" s="21">
        <v>1</v>
      </c>
      <c r="O202" s="173">
        <f>N202</f>
        <v>1</v>
      </c>
      <c r="P202" s="20"/>
      <c r="Q202" s="20"/>
      <c r="R202" s="167" t="s">
        <v>342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32" x14ac:dyDescent="0.2">
      <c r="B203" s="20"/>
      <c r="C203" s="167" t="s">
        <v>344</v>
      </c>
      <c r="D203" s="168">
        <f>D201*D202</f>
        <v>250</v>
      </c>
      <c r="E203" s="176" t="s">
        <v>397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1</v>
      </c>
      <c r="K203" s="20"/>
      <c r="L203" s="167" t="s">
        <v>343</v>
      </c>
      <c r="M203" s="167"/>
      <c r="N203" s="168">
        <f>N201*N202</f>
        <v>15</v>
      </c>
      <c r="O203" s="173">
        <f>N203</f>
        <v>15</v>
      </c>
      <c r="P203" s="20"/>
      <c r="Q203" s="20"/>
      <c r="R203" s="167" t="s">
        <v>344</v>
      </c>
      <c r="S203" s="167"/>
      <c r="T203" s="168">
        <f>T201*T202</f>
        <v>80</v>
      </c>
      <c r="U203" s="173">
        <f>T203</f>
        <v>80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32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5</v>
      </c>
      <c r="J204" s="167">
        <f>I204</f>
        <v>5</v>
      </c>
      <c r="K204" s="20"/>
      <c r="L204" s="167" t="s">
        <v>345</v>
      </c>
      <c r="M204" s="167"/>
      <c r="N204" s="21">
        <v>300</v>
      </c>
      <c r="O204" s="21">
        <v>450</v>
      </c>
      <c r="P204" s="20"/>
      <c r="Q204" s="20"/>
      <c r="R204" s="167" t="s">
        <v>345</v>
      </c>
      <c r="S204" s="167"/>
      <c r="T204" s="21">
        <v>200</v>
      </c>
      <c r="U204" s="21">
        <v>350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32" x14ac:dyDescent="0.2">
      <c r="B205" s="20"/>
      <c r="C205" s="167" t="s">
        <v>345</v>
      </c>
      <c r="D205" s="21">
        <v>350</v>
      </c>
      <c r="E205" s="176"/>
      <c r="F205" s="167"/>
      <c r="G205" s="167"/>
      <c r="H205" s="169" t="s">
        <v>387</v>
      </c>
      <c r="I205" s="167"/>
      <c r="J205" s="167">
        <f>J204</f>
        <v>5</v>
      </c>
      <c r="K205" s="20"/>
      <c r="L205" s="167" t="s">
        <v>346</v>
      </c>
      <c r="M205" s="167"/>
      <c r="N205" s="168">
        <f>N204*N202</f>
        <v>300</v>
      </c>
      <c r="O205" s="168">
        <f>O204*O202</f>
        <v>450</v>
      </c>
      <c r="P205" s="20"/>
      <c r="Q205" s="20"/>
      <c r="R205" s="167" t="s">
        <v>342</v>
      </c>
      <c r="S205" s="167"/>
      <c r="T205" s="21">
        <v>5</v>
      </c>
      <c r="U205" s="127">
        <f>T205</f>
        <v>5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32" x14ac:dyDescent="0.2">
      <c r="B206" s="20"/>
      <c r="C206" s="167" t="s">
        <v>342</v>
      </c>
      <c r="D206" s="21">
        <v>5</v>
      </c>
      <c r="E206" s="176" t="s">
        <v>386</v>
      </c>
      <c r="F206" s="22">
        <v>10</v>
      </c>
      <c r="G206" s="22">
        <v>2</v>
      </c>
      <c r="H206" s="167">
        <f>F206/G206</f>
        <v>5</v>
      </c>
      <c r="I206" s="177">
        <f>H206*D202</f>
        <v>5</v>
      </c>
      <c r="J206" s="177">
        <f>I206</f>
        <v>5</v>
      </c>
      <c r="K206" s="20"/>
      <c r="L206" s="167"/>
      <c r="M206" s="167"/>
      <c r="N206" s="168"/>
      <c r="O206" s="168"/>
      <c r="P206" s="20"/>
      <c r="Q206" s="20"/>
      <c r="R206" s="167" t="s">
        <v>344</v>
      </c>
      <c r="S206" s="167"/>
      <c r="T206" s="168">
        <f>T205*T204</f>
        <v>1000</v>
      </c>
      <c r="U206" s="168">
        <f>U205*U204</f>
        <v>1750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32" x14ac:dyDescent="0.2">
      <c r="B207" s="20"/>
      <c r="C207" s="167" t="s">
        <v>344</v>
      </c>
      <c r="D207" s="168">
        <f>D206*D205</f>
        <v>1750</v>
      </c>
      <c r="E207" s="167"/>
      <c r="F207" s="167"/>
      <c r="G207" s="167"/>
      <c r="H207" s="169" t="s">
        <v>387</v>
      </c>
      <c r="I207" s="167"/>
      <c r="J207" s="167">
        <f>J206</f>
        <v>5</v>
      </c>
      <c r="K207" s="20"/>
      <c r="L207" s="167"/>
      <c r="M207" s="167"/>
      <c r="N207" s="168"/>
      <c r="O207" s="168"/>
      <c r="P207" s="20"/>
      <c r="Q207" s="20"/>
      <c r="R207" s="167"/>
      <c r="S207" s="167"/>
      <c r="T207" s="168"/>
      <c r="U207" s="168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32" x14ac:dyDescent="0.2">
      <c r="B208" s="20"/>
      <c r="C208" s="167"/>
      <c r="D208" s="168"/>
      <c r="E208" s="176" t="s">
        <v>386</v>
      </c>
      <c r="F208" s="22">
        <v>10</v>
      </c>
      <c r="G208" s="22">
        <v>2</v>
      </c>
      <c r="H208" s="167">
        <f>F208/G208</f>
        <v>5</v>
      </c>
      <c r="I208" s="167">
        <f>H208*J207</f>
        <v>25</v>
      </c>
      <c r="J208" s="167">
        <f>I208</f>
        <v>25</v>
      </c>
      <c r="K208" s="20"/>
      <c r="L208" s="169" t="s">
        <v>347</v>
      </c>
      <c r="M208" s="169"/>
      <c r="N208" s="170">
        <f>N205/N203</f>
        <v>20</v>
      </c>
      <c r="O208" s="170">
        <f>O205/O203</f>
        <v>30</v>
      </c>
      <c r="P208" s="20"/>
      <c r="Q208" s="20"/>
      <c r="R208" s="169" t="s">
        <v>347</v>
      </c>
      <c r="S208" s="169"/>
      <c r="T208" s="170">
        <f>T206/T203</f>
        <v>12.5</v>
      </c>
      <c r="U208" s="170">
        <f>U206/U203</f>
        <v>21.875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9" t="s">
        <v>347</v>
      </c>
      <c r="D209" s="170">
        <f>D207/D203</f>
        <v>7</v>
      </c>
      <c r="E209" s="176"/>
      <c r="F209" s="167"/>
      <c r="G209" s="167"/>
      <c r="H209" s="169" t="s">
        <v>387</v>
      </c>
      <c r="I209" s="167"/>
      <c r="J209" s="167">
        <f>J208</f>
        <v>25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137"/>
      <c r="E211" s="178"/>
      <c r="F211" s="178"/>
      <c r="G211" s="179"/>
      <c r="H211" s="20"/>
      <c r="I211" s="137"/>
      <c r="J211" s="178"/>
      <c r="K211" s="179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ht="14.25" x14ac:dyDescent="0.2">
      <c r="B212" s="20"/>
      <c r="C212" s="20"/>
      <c r="D212" s="194" t="s">
        <v>27</v>
      </c>
      <c r="E212" s="195"/>
      <c r="F212" s="195"/>
      <c r="G212" s="196"/>
      <c r="H212" s="20"/>
      <c r="I212" s="194" t="s">
        <v>392</v>
      </c>
      <c r="J212" s="195"/>
      <c r="K212" s="196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20"/>
      <c r="D213" s="20" t="s">
        <v>28</v>
      </c>
      <c r="E213" s="127"/>
      <c r="F213" s="127"/>
      <c r="G213" s="21">
        <f>D203</f>
        <v>250</v>
      </c>
      <c r="H213" s="20"/>
      <c r="I213" s="20" t="s">
        <v>28</v>
      </c>
      <c r="J213" s="127"/>
      <c r="K213" s="21">
        <f>G213</f>
        <v>250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29</v>
      </c>
      <c r="E214" s="127"/>
      <c r="F214" s="127"/>
      <c r="G214" s="21">
        <f>D207</f>
        <v>1750</v>
      </c>
      <c r="H214" s="20"/>
      <c r="I214" s="20" t="s">
        <v>29</v>
      </c>
      <c r="J214" s="20"/>
      <c r="K214" s="21">
        <f>G214</f>
        <v>1750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30</v>
      </c>
      <c r="E215" s="20"/>
      <c r="F215" s="20"/>
      <c r="G215" s="22">
        <v>1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3" t="s">
        <v>31</v>
      </c>
      <c r="E216" s="3"/>
      <c r="F216" s="3"/>
      <c r="G216" s="3">
        <f>((G214/G213)^(1/G215))-1</f>
        <v>6</v>
      </c>
      <c r="H216" s="20"/>
      <c r="I216" s="23" t="s">
        <v>393</v>
      </c>
      <c r="J216" s="23"/>
      <c r="K216" s="23">
        <f>(K214-K213)/K213</f>
        <v>6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32</v>
      </c>
      <c r="E217" s="165"/>
      <c r="F217" s="165"/>
      <c r="G217" s="24">
        <f>G215*12</f>
        <v>12</v>
      </c>
      <c r="H217" s="20"/>
      <c r="I217" s="23" t="s">
        <v>394</v>
      </c>
      <c r="J217" s="23"/>
      <c r="K217" s="23">
        <f>K214/K213</f>
        <v>7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0" t="s">
        <v>30</v>
      </c>
      <c r="E218" s="25"/>
      <c r="F218" s="25"/>
      <c r="G218" s="25">
        <f>G217/12</f>
        <v>1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3" t="s">
        <v>33</v>
      </c>
      <c r="E219" s="3"/>
      <c r="F219" s="3"/>
      <c r="G219" s="3">
        <f>((G214/G213)^(1/G218))-1</f>
        <v>6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C221" s="20"/>
      <c r="D221" s="20"/>
      <c r="E221" s="20"/>
      <c r="F221" s="20"/>
      <c r="G221" s="20"/>
      <c r="H221" s="20"/>
      <c r="I221" s="20"/>
      <c r="J221" s="20"/>
      <c r="K221" s="20"/>
    </row>
  </sheetData>
  <mergeCells count="7">
    <mergeCell ref="D212:G212"/>
    <mergeCell ref="I212:K212"/>
    <mergeCell ref="AE2:AF2"/>
    <mergeCell ref="AE3:AF3"/>
    <mergeCell ref="L199:N199"/>
    <mergeCell ref="R199:T199"/>
    <mergeCell ref="K182:L182"/>
  </mergeCells>
  <pageMargins left="0.7" right="0.7" top="0.75" bottom="0.75" header="0.3" footer="0.3"/>
  <pageSetup orientation="portrait" r:id="rId1"/>
  <ignoredErrors>
    <ignoredError sqref="C172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6" t="s">
        <v>27</v>
      </c>
      <c r="K5" s="206"/>
      <c r="M5" s="206" t="s">
        <v>65</v>
      </c>
      <c r="N5" s="206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6" t="s">
        <v>36</v>
      </c>
      <c r="K14" s="206"/>
      <c r="L14" s="206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6" t="s">
        <v>27</v>
      </c>
      <c r="S5" s="206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6" t="s">
        <v>36</v>
      </c>
      <c r="S14" s="206"/>
      <c r="T14" s="206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6" t="s">
        <v>27</v>
      </c>
      <c r="C2" s="206"/>
      <c r="E2" s="206" t="s">
        <v>65</v>
      </c>
      <c r="F2" s="206"/>
      <c r="H2" s="210" t="s">
        <v>36</v>
      </c>
      <c r="I2" s="211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7" t="s">
        <v>68</v>
      </c>
      <c r="E10" s="208"/>
      <c r="F10" s="208"/>
      <c r="G10" s="208"/>
      <c r="H10" s="209"/>
      <c r="I10" s="207" t="s">
        <v>72</v>
      </c>
      <c r="J10" s="208"/>
      <c r="K10" s="208"/>
      <c r="L10" s="209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8"/>
    <col min="2" max="2" width="16.5703125" style="188" customWidth="1"/>
    <col min="3" max="3" width="39.7109375" style="188" customWidth="1"/>
    <col min="4" max="5" width="9.140625" style="188"/>
    <col min="6" max="6" width="19" style="188" bestFit="1" customWidth="1"/>
    <col min="7" max="7" width="49" style="188" customWidth="1"/>
    <col min="8" max="16384" width="9.140625" style="188"/>
  </cols>
  <sheetData>
    <row r="3" spans="2:7" x14ac:dyDescent="0.2">
      <c r="B3" s="212" t="s">
        <v>431</v>
      </c>
      <c r="C3" s="213"/>
      <c r="F3" s="212" t="s">
        <v>432</v>
      </c>
      <c r="G3" s="213"/>
    </row>
    <row r="4" spans="2:7" x14ac:dyDescent="0.2">
      <c r="B4" s="189" t="s">
        <v>433</v>
      </c>
      <c r="C4" s="189"/>
      <c r="F4" s="189" t="s">
        <v>434</v>
      </c>
      <c r="G4" s="189"/>
    </row>
    <row r="5" spans="2:7" x14ac:dyDescent="0.2">
      <c r="B5" s="189" t="s">
        <v>435</v>
      </c>
      <c r="C5" s="189"/>
      <c r="F5" s="189" t="s">
        <v>292</v>
      </c>
      <c r="G5" s="189"/>
    </row>
    <row r="6" spans="2:7" x14ac:dyDescent="0.2">
      <c r="B6" s="189" t="s">
        <v>436</v>
      </c>
      <c r="C6" s="189"/>
      <c r="F6" s="189" t="s">
        <v>437</v>
      </c>
      <c r="G6" s="189"/>
    </row>
    <row r="7" spans="2:7" x14ac:dyDescent="0.2">
      <c r="B7" s="189" t="s">
        <v>438</v>
      </c>
      <c r="C7" s="189"/>
      <c r="F7" s="189" t="s">
        <v>439</v>
      </c>
      <c r="G7" s="189"/>
    </row>
    <row r="8" spans="2:7" x14ac:dyDescent="0.2">
      <c r="B8" s="189" t="s">
        <v>440</v>
      </c>
      <c r="C8" s="189"/>
      <c r="F8" s="189" t="s">
        <v>441</v>
      </c>
      <c r="G8" s="189"/>
    </row>
    <row r="9" spans="2:7" x14ac:dyDescent="0.2">
      <c r="B9" s="189" t="s">
        <v>442</v>
      </c>
      <c r="C9" s="189"/>
      <c r="F9" s="189" t="s">
        <v>443</v>
      </c>
      <c r="G9" s="189"/>
    </row>
    <row r="10" spans="2:7" x14ac:dyDescent="0.2">
      <c r="B10" s="189" t="s">
        <v>441</v>
      </c>
      <c r="C10" s="189"/>
      <c r="F10" s="189"/>
      <c r="G10" s="189"/>
    </row>
    <row r="11" spans="2:7" x14ac:dyDescent="0.2">
      <c r="B11" s="189" t="s">
        <v>444</v>
      </c>
      <c r="C11" s="189"/>
      <c r="F11" s="189"/>
      <c r="G11" s="189"/>
    </row>
    <row r="12" spans="2:7" x14ac:dyDescent="0.2">
      <c r="B12" s="189" t="s">
        <v>445</v>
      </c>
      <c r="C12" s="189"/>
      <c r="F12" s="189"/>
      <c r="G12" s="189"/>
    </row>
    <row r="13" spans="2:7" x14ac:dyDescent="0.2">
      <c r="B13" s="189"/>
      <c r="C13" s="189"/>
      <c r="F13" s="189"/>
      <c r="G13" s="18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2014-12-15T10:09:31Z</dcterms:modified>
</cp:coreProperties>
</file>
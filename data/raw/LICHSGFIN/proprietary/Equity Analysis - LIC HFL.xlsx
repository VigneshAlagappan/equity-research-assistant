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F25" i="18" l="1"/>
  <c r="G25" i="18"/>
  <c r="H25" i="18"/>
  <c r="I25" i="18"/>
  <c r="J25" i="18"/>
  <c r="K25" i="18"/>
  <c r="M25" i="18"/>
  <c r="N25" i="18"/>
  <c r="O25" i="18"/>
  <c r="P25" i="18"/>
  <c r="L25" i="18"/>
  <c r="Q45" i="18" l="1"/>
  <c r="Q44" i="18"/>
  <c r="Q43" i="18"/>
  <c r="Q42" i="18"/>
  <c r="P40" i="18"/>
  <c r="O40" i="18"/>
  <c r="O41" i="18" s="1"/>
  <c r="Q39" i="18"/>
  <c r="Q38" i="18"/>
  <c r="Q37" i="18"/>
  <c r="P93" i="18"/>
  <c r="P92" i="18"/>
  <c r="P91" i="18"/>
  <c r="C73" i="18"/>
  <c r="D73" i="18"/>
  <c r="E73" i="18"/>
  <c r="G73" i="18"/>
  <c r="H73" i="18"/>
  <c r="I73" i="18"/>
  <c r="J73" i="18"/>
  <c r="K73" i="18"/>
  <c r="L73" i="18"/>
  <c r="M73" i="18"/>
  <c r="N73" i="18"/>
  <c r="O73" i="18"/>
  <c r="P73" i="18"/>
  <c r="F73" i="18"/>
  <c r="G72" i="18"/>
  <c r="H72" i="18"/>
  <c r="I72" i="18"/>
  <c r="J72" i="18"/>
  <c r="K72" i="18"/>
  <c r="L72" i="18"/>
  <c r="M72" i="18"/>
  <c r="N72" i="18"/>
  <c r="O72" i="18"/>
  <c r="P72" i="18"/>
  <c r="C72" i="18"/>
  <c r="D72" i="18"/>
  <c r="E72" i="18"/>
  <c r="F72" i="18"/>
  <c r="G71" i="18"/>
  <c r="H71" i="18"/>
  <c r="I71" i="18"/>
  <c r="J71" i="18"/>
  <c r="K71" i="18"/>
  <c r="L71" i="18"/>
  <c r="M71" i="18"/>
  <c r="N71" i="18"/>
  <c r="O71" i="18"/>
  <c r="P71" i="18"/>
  <c r="C71" i="18"/>
  <c r="D71" i="18"/>
  <c r="E71" i="18"/>
  <c r="F71" i="18"/>
  <c r="S53" i="18"/>
  <c r="T53" i="18" s="1"/>
  <c r="U53" i="18" s="1"/>
  <c r="V53" i="18" s="1"/>
  <c r="W53" i="18" s="1"/>
  <c r="X53" i="18" s="1"/>
  <c r="Y53" i="18" s="1"/>
  <c r="Z53" i="18" s="1"/>
  <c r="AA53" i="18" s="1"/>
  <c r="AB53" i="18" s="1"/>
  <c r="Q53" i="18"/>
  <c r="S51" i="18"/>
  <c r="T51" i="18" s="1"/>
  <c r="U51" i="18" s="1"/>
  <c r="V51" i="18" s="1"/>
  <c r="W51" i="18" s="1"/>
  <c r="X51" i="18" s="1"/>
  <c r="Y51" i="18" s="1"/>
  <c r="Z51" i="18" s="1"/>
  <c r="AA51" i="18" s="1"/>
  <c r="AB51" i="18" s="1"/>
  <c r="Q51" i="18"/>
  <c r="C67" i="18"/>
  <c r="D67" i="18"/>
  <c r="E67" i="18"/>
  <c r="G67" i="18"/>
  <c r="H67" i="18"/>
  <c r="I67" i="18"/>
  <c r="J67" i="18"/>
  <c r="K67" i="18"/>
  <c r="L67" i="18"/>
  <c r="M67" i="18"/>
  <c r="N67" i="18"/>
  <c r="O67" i="18"/>
  <c r="P67" i="18"/>
  <c r="F67" i="18"/>
  <c r="C66" i="18"/>
  <c r="D66" i="18"/>
  <c r="E66" i="18"/>
  <c r="G66" i="18"/>
  <c r="H66" i="18"/>
  <c r="I66" i="18"/>
  <c r="J66" i="18"/>
  <c r="K66" i="18"/>
  <c r="L66" i="18"/>
  <c r="M66" i="18"/>
  <c r="N66" i="18"/>
  <c r="O66" i="18"/>
  <c r="P66" i="18"/>
  <c r="F66" i="18"/>
  <c r="C65" i="18"/>
  <c r="D65" i="18"/>
  <c r="E65" i="18"/>
  <c r="P63" i="18"/>
  <c r="G65" i="18"/>
  <c r="H65" i="18"/>
  <c r="I65" i="18"/>
  <c r="J65" i="18"/>
  <c r="K65" i="18"/>
  <c r="L65" i="18"/>
  <c r="M65" i="18"/>
  <c r="N65" i="18"/>
  <c r="O65" i="18"/>
  <c r="P65" i="18"/>
  <c r="F65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S27" i="18"/>
  <c r="T27" i="18" s="1"/>
  <c r="U27" i="18" s="1"/>
  <c r="V27" i="18" s="1"/>
  <c r="W27" i="18" s="1"/>
  <c r="X27" i="18" s="1"/>
  <c r="Y27" i="18" s="1"/>
  <c r="Z27" i="18" s="1"/>
  <c r="AA27" i="18" s="1"/>
  <c r="AB27" i="18" s="1"/>
  <c r="Q27" i="18"/>
  <c r="S25" i="18"/>
  <c r="T25" i="18" s="1"/>
  <c r="U25" i="18" s="1"/>
  <c r="V25" i="18" s="1"/>
  <c r="W25" i="18" s="1"/>
  <c r="X25" i="18" s="1"/>
  <c r="Y25" i="18" s="1"/>
  <c r="Z25" i="18" s="1"/>
  <c r="AA25" i="18" s="1"/>
  <c r="AB25" i="18" s="1"/>
  <c r="Q25" i="18"/>
  <c r="N41" i="18"/>
  <c r="M41" i="18"/>
  <c r="L41" i="18"/>
  <c r="K41" i="18"/>
  <c r="J41" i="18"/>
  <c r="I41" i="18"/>
  <c r="H41" i="18"/>
  <c r="G41" i="18"/>
  <c r="P32" i="18"/>
  <c r="O32" i="18"/>
  <c r="N32" i="18"/>
  <c r="M32" i="18"/>
  <c r="L32" i="18"/>
  <c r="K32" i="18"/>
  <c r="J32" i="18"/>
  <c r="I32" i="18"/>
  <c r="H32" i="18"/>
  <c r="G32" i="18"/>
  <c r="P30" i="18"/>
  <c r="O30" i="18"/>
  <c r="N30" i="18"/>
  <c r="M30" i="18"/>
  <c r="L30" i="18"/>
  <c r="K30" i="18"/>
  <c r="J30" i="18"/>
  <c r="I30" i="18"/>
  <c r="H30" i="18"/>
  <c r="G30" i="18"/>
  <c r="P24" i="18"/>
  <c r="O24" i="18"/>
  <c r="N24" i="18"/>
  <c r="M24" i="18"/>
  <c r="L24" i="18"/>
  <c r="K24" i="18"/>
  <c r="J24" i="18"/>
  <c r="I24" i="18"/>
  <c r="H24" i="18"/>
  <c r="G24" i="18"/>
  <c r="S31" i="18"/>
  <c r="T31" i="18" s="1"/>
  <c r="U31" i="18" s="1"/>
  <c r="V31" i="18" s="1"/>
  <c r="W31" i="18" s="1"/>
  <c r="X31" i="18" s="1"/>
  <c r="Y31" i="18" s="1"/>
  <c r="Z31" i="18" s="1"/>
  <c r="AA31" i="18" s="1"/>
  <c r="AB31" i="18" s="1"/>
  <c r="Q31" i="18"/>
  <c r="S29" i="18"/>
  <c r="T29" i="18" s="1"/>
  <c r="U29" i="18" s="1"/>
  <c r="V29" i="18" s="1"/>
  <c r="W29" i="18" s="1"/>
  <c r="X29" i="18" s="1"/>
  <c r="Y29" i="18" s="1"/>
  <c r="Z29" i="18" s="1"/>
  <c r="AA29" i="18" s="1"/>
  <c r="AB29" i="18" s="1"/>
  <c r="Q29" i="18"/>
  <c r="S23" i="18"/>
  <c r="T23" i="18" s="1"/>
  <c r="U23" i="18" s="1"/>
  <c r="V23" i="18" s="1"/>
  <c r="W23" i="18" s="1"/>
  <c r="X23" i="18" s="1"/>
  <c r="Y23" i="18" s="1"/>
  <c r="Z23" i="18" s="1"/>
  <c r="AA23" i="18" s="1"/>
  <c r="AB23" i="18" s="1"/>
  <c r="Q23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C75" i="18"/>
  <c r="S54" i="18"/>
  <c r="T54" i="18" s="1"/>
  <c r="Q54" i="18"/>
  <c r="P41" i="18" l="1"/>
  <c r="F68" i="18"/>
  <c r="M68" i="18"/>
  <c r="I68" i="18"/>
  <c r="E68" i="18"/>
  <c r="N69" i="18"/>
  <c r="J69" i="18"/>
  <c r="D68" i="18"/>
  <c r="C69" i="18"/>
  <c r="O69" i="18"/>
  <c r="K69" i="18"/>
  <c r="G69" i="18"/>
  <c r="P69" i="18"/>
  <c r="L69" i="18"/>
  <c r="H69" i="18"/>
  <c r="F69" i="18"/>
  <c r="M69" i="18"/>
  <c r="I69" i="18"/>
  <c r="D69" i="18"/>
  <c r="O68" i="18"/>
  <c r="K68" i="18"/>
  <c r="G68" i="18"/>
  <c r="E69" i="18"/>
  <c r="C68" i="18"/>
  <c r="N68" i="18"/>
  <c r="J68" i="18"/>
  <c r="P68" i="18"/>
  <c r="L68" i="18"/>
  <c r="H68" i="18"/>
  <c r="AC53" i="18"/>
  <c r="AE53" i="18" s="1"/>
  <c r="AC51" i="18"/>
  <c r="AE51" i="18" s="1"/>
  <c r="AC27" i="18"/>
  <c r="AE27" i="18" s="1"/>
  <c r="AC25" i="18"/>
  <c r="AE25" i="18" s="1"/>
  <c r="U54" i="18"/>
  <c r="T75" i="18"/>
  <c r="S75" i="18"/>
  <c r="AC31" i="18"/>
  <c r="AE31" i="18" s="1"/>
  <c r="AC29" i="18"/>
  <c r="AE29" i="18" s="1"/>
  <c r="AC23" i="18"/>
  <c r="AE23" i="18" s="1"/>
  <c r="Q69" i="18" l="1"/>
  <c r="Q68" i="18"/>
  <c r="V54" i="18"/>
  <c r="U75" i="18"/>
  <c r="U40" i="18"/>
  <c r="X40" i="18" s="1"/>
  <c r="AA40" i="18" s="1"/>
  <c r="S40" i="18"/>
  <c r="V40" i="18" s="1"/>
  <c r="Y40" i="18" s="1"/>
  <c r="AB40" i="18" s="1"/>
  <c r="AC40" i="18" s="1"/>
  <c r="C85" i="18"/>
  <c r="D85" i="18"/>
  <c r="E85" i="18"/>
  <c r="F85" i="18"/>
  <c r="G85" i="18"/>
  <c r="H85" i="18"/>
  <c r="I85" i="18"/>
  <c r="J85" i="18"/>
  <c r="K85" i="18"/>
  <c r="L85" i="18"/>
  <c r="M85" i="18"/>
  <c r="N85" i="18"/>
  <c r="O85" i="18"/>
  <c r="C86" i="18"/>
  <c r="D86" i="18"/>
  <c r="E86" i="18"/>
  <c r="F86" i="18"/>
  <c r="G86" i="18"/>
  <c r="H86" i="18"/>
  <c r="I86" i="18"/>
  <c r="J86" i="18"/>
  <c r="K86" i="18"/>
  <c r="L86" i="18"/>
  <c r="M86" i="18"/>
  <c r="N86" i="18"/>
  <c r="O86" i="18"/>
  <c r="C87" i="18"/>
  <c r="D87" i="18"/>
  <c r="E87" i="18"/>
  <c r="F87" i="18"/>
  <c r="G87" i="18"/>
  <c r="H87" i="18"/>
  <c r="I87" i="18"/>
  <c r="J87" i="18"/>
  <c r="K87" i="18"/>
  <c r="L87" i="18"/>
  <c r="M87" i="18"/>
  <c r="N87" i="18"/>
  <c r="O87" i="18"/>
  <c r="P87" i="18"/>
  <c r="P86" i="18"/>
  <c r="P85" i="18"/>
  <c r="C93" i="18"/>
  <c r="D93" i="18"/>
  <c r="E93" i="18"/>
  <c r="F93" i="18"/>
  <c r="G93" i="18"/>
  <c r="H93" i="18"/>
  <c r="I93" i="18"/>
  <c r="J93" i="18"/>
  <c r="K93" i="18"/>
  <c r="L93" i="18"/>
  <c r="M93" i="18"/>
  <c r="N93" i="18"/>
  <c r="O93" i="18"/>
  <c r="C91" i="18"/>
  <c r="D91" i="18"/>
  <c r="E91" i="18"/>
  <c r="C92" i="18"/>
  <c r="D92" i="18"/>
  <c r="E92" i="18"/>
  <c r="F92" i="18"/>
  <c r="G92" i="18"/>
  <c r="H92" i="18"/>
  <c r="I92" i="18"/>
  <c r="J92" i="18"/>
  <c r="K92" i="18"/>
  <c r="L92" i="18"/>
  <c r="M92" i="18"/>
  <c r="N92" i="18"/>
  <c r="O92" i="18"/>
  <c r="F91" i="18"/>
  <c r="G91" i="18"/>
  <c r="H91" i="18"/>
  <c r="I91" i="18"/>
  <c r="J91" i="18"/>
  <c r="K91" i="18"/>
  <c r="L91" i="18"/>
  <c r="M91" i="18"/>
  <c r="N91" i="18"/>
  <c r="O91" i="18"/>
  <c r="G50" i="18"/>
  <c r="G48" i="18"/>
  <c r="G36" i="18"/>
  <c r="G11" i="18"/>
  <c r="G8" i="18"/>
  <c r="G34" i="18"/>
  <c r="Q86" i="18" l="1"/>
  <c r="Q85" i="18"/>
  <c r="Q92" i="18"/>
  <c r="Q93" i="18"/>
  <c r="Q87" i="18"/>
  <c r="W54" i="18"/>
  <c r="V75" i="18"/>
  <c r="AE40" i="18"/>
  <c r="Q91" i="18"/>
  <c r="C129" i="18"/>
  <c r="D129" i="18"/>
  <c r="E129" i="18"/>
  <c r="F129" i="18"/>
  <c r="H129" i="18"/>
  <c r="I129" i="18"/>
  <c r="J129" i="18"/>
  <c r="K129" i="18"/>
  <c r="L129" i="18"/>
  <c r="M129" i="18"/>
  <c r="N129" i="18"/>
  <c r="O129" i="18"/>
  <c r="P129" i="18"/>
  <c r="G129" i="18"/>
  <c r="H58" i="18"/>
  <c r="I58" i="18"/>
  <c r="J58" i="18"/>
  <c r="K58" i="18"/>
  <c r="L58" i="18"/>
  <c r="M58" i="18"/>
  <c r="N58" i="18"/>
  <c r="O58" i="18"/>
  <c r="P58" i="18"/>
  <c r="C58" i="18"/>
  <c r="D58" i="18"/>
  <c r="E58" i="18"/>
  <c r="F58" i="18"/>
  <c r="G58" i="18"/>
  <c r="G60" i="18"/>
  <c r="H57" i="18"/>
  <c r="I57" i="18"/>
  <c r="J57" i="18"/>
  <c r="K57" i="18"/>
  <c r="L57" i="18"/>
  <c r="M57" i="18"/>
  <c r="N57" i="18"/>
  <c r="O57" i="18"/>
  <c r="P57" i="18"/>
  <c r="C57" i="18"/>
  <c r="D57" i="18"/>
  <c r="E57" i="18"/>
  <c r="F57" i="18"/>
  <c r="G57" i="18"/>
  <c r="P50" i="18"/>
  <c r="O50" i="18"/>
  <c r="N50" i="18"/>
  <c r="M50" i="18"/>
  <c r="L50" i="18"/>
  <c r="K50" i="18"/>
  <c r="J50" i="18"/>
  <c r="I50" i="18"/>
  <c r="H50" i="18"/>
  <c r="P48" i="18"/>
  <c r="O48" i="18"/>
  <c r="N48" i="18"/>
  <c r="M48" i="18"/>
  <c r="L48" i="18"/>
  <c r="K48" i="18"/>
  <c r="J48" i="18"/>
  <c r="I48" i="18"/>
  <c r="H48" i="18"/>
  <c r="P36" i="18"/>
  <c r="O36" i="18"/>
  <c r="N36" i="18"/>
  <c r="M36" i="18"/>
  <c r="L36" i="18"/>
  <c r="K36" i="18"/>
  <c r="J36" i="18"/>
  <c r="I36" i="18"/>
  <c r="H36" i="18"/>
  <c r="P34" i="18"/>
  <c r="O34" i="18"/>
  <c r="N34" i="18"/>
  <c r="M34" i="18"/>
  <c r="L34" i="18"/>
  <c r="K34" i="18"/>
  <c r="J34" i="18"/>
  <c r="I34" i="18"/>
  <c r="H34" i="18"/>
  <c r="P11" i="18"/>
  <c r="O11" i="18"/>
  <c r="N11" i="18"/>
  <c r="M11" i="18"/>
  <c r="L11" i="18"/>
  <c r="K11" i="18"/>
  <c r="J11" i="18"/>
  <c r="I11" i="18"/>
  <c r="H11" i="18"/>
  <c r="I8" i="18"/>
  <c r="J8" i="18"/>
  <c r="K8" i="18"/>
  <c r="L8" i="18"/>
  <c r="M8" i="18"/>
  <c r="N8" i="18"/>
  <c r="O8" i="18"/>
  <c r="P8" i="18"/>
  <c r="H8" i="18"/>
  <c r="Q52" i="18"/>
  <c r="S47" i="18"/>
  <c r="Q47" i="18"/>
  <c r="X54" i="18" l="1"/>
  <c r="W75" i="18"/>
  <c r="T47" i="18"/>
  <c r="Q58" i="18"/>
  <c r="Q57" i="18"/>
  <c r="Q129" i="18"/>
  <c r="Q40" i="18"/>
  <c r="T40" i="18" s="1"/>
  <c r="W40" i="18" s="1"/>
  <c r="Z40" i="18" s="1"/>
  <c r="Y54" i="18" l="1"/>
  <c r="X75" i="18"/>
  <c r="U47" i="18"/>
  <c r="I82" i="18"/>
  <c r="J82" i="18"/>
  <c r="K82" i="18"/>
  <c r="L82" i="18"/>
  <c r="M82" i="18"/>
  <c r="N82" i="18"/>
  <c r="O82" i="18"/>
  <c r="P82" i="18"/>
  <c r="I83" i="18"/>
  <c r="J83" i="18"/>
  <c r="K83" i="18"/>
  <c r="L83" i="18"/>
  <c r="M83" i="18"/>
  <c r="N83" i="18"/>
  <c r="O83" i="18"/>
  <c r="P83" i="18"/>
  <c r="I77" i="18"/>
  <c r="I79" i="18" s="1"/>
  <c r="J77" i="18"/>
  <c r="J79" i="18" s="1"/>
  <c r="K77" i="18"/>
  <c r="K79" i="18" s="1"/>
  <c r="L77" i="18"/>
  <c r="L79" i="18" s="1"/>
  <c r="M77" i="18"/>
  <c r="M79" i="18" s="1"/>
  <c r="N77" i="18"/>
  <c r="N79" i="18" s="1"/>
  <c r="O77" i="18"/>
  <c r="O79" i="18" s="1"/>
  <c r="P77" i="18"/>
  <c r="P79" i="18" s="1"/>
  <c r="I80" i="18"/>
  <c r="J80" i="18"/>
  <c r="K80" i="18"/>
  <c r="L80" i="18"/>
  <c r="M80" i="18"/>
  <c r="N80" i="18"/>
  <c r="O80" i="18"/>
  <c r="P80" i="18"/>
  <c r="I81" i="18"/>
  <c r="J81" i="18"/>
  <c r="K81" i="18"/>
  <c r="L81" i="18"/>
  <c r="M81" i="18"/>
  <c r="N81" i="18"/>
  <c r="O81" i="18"/>
  <c r="P81" i="18"/>
  <c r="C80" i="18"/>
  <c r="D80" i="18"/>
  <c r="E80" i="18"/>
  <c r="F80" i="18"/>
  <c r="G80" i="18"/>
  <c r="C81" i="18"/>
  <c r="D81" i="18"/>
  <c r="E81" i="18"/>
  <c r="F81" i="18"/>
  <c r="G81" i="18"/>
  <c r="C82" i="18"/>
  <c r="D82" i="18"/>
  <c r="E82" i="18"/>
  <c r="F82" i="18"/>
  <c r="G82" i="18"/>
  <c r="C83" i="18"/>
  <c r="D83" i="18"/>
  <c r="E83" i="18"/>
  <c r="F83" i="18"/>
  <c r="G83" i="18"/>
  <c r="H83" i="18"/>
  <c r="H82" i="18"/>
  <c r="S21" i="18"/>
  <c r="T21" i="18" s="1"/>
  <c r="U21" i="18" s="1"/>
  <c r="V21" i="18" s="1"/>
  <c r="W21" i="18" s="1"/>
  <c r="X21" i="18" s="1"/>
  <c r="Y21" i="18" s="1"/>
  <c r="Z21" i="18" s="1"/>
  <c r="AA21" i="18" s="1"/>
  <c r="AB21" i="18" s="1"/>
  <c r="Q21" i="18"/>
  <c r="S20" i="18"/>
  <c r="T20" i="18" s="1"/>
  <c r="U20" i="18" s="1"/>
  <c r="V20" i="18" s="1"/>
  <c r="W20" i="18" s="1"/>
  <c r="X20" i="18" s="1"/>
  <c r="Y20" i="18" s="1"/>
  <c r="Z20" i="18" s="1"/>
  <c r="AA20" i="18" s="1"/>
  <c r="AB20" i="18" s="1"/>
  <c r="AC20" i="18" s="1"/>
  <c r="S19" i="18"/>
  <c r="Q18" i="18"/>
  <c r="C77" i="18"/>
  <c r="C79" i="18" s="1"/>
  <c r="D77" i="18"/>
  <c r="D79" i="18" s="1"/>
  <c r="E77" i="18"/>
  <c r="E79" i="18" s="1"/>
  <c r="F77" i="18"/>
  <c r="F79" i="18" s="1"/>
  <c r="G77" i="18"/>
  <c r="G79" i="18" s="1"/>
  <c r="H77" i="18"/>
  <c r="H79" i="18" s="1"/>
  <c r="H81" i="18"/>
  <c r="H80" i="18"/>
  <c r="Z54" i="18" l="1"/>
  <c r="Y75" i="18"/>
  <c r="V47" i="18"/>
  <c r="Q82" i="18"/>
  <c r="Q83" i="18"/>
  <c r="Q81" i="18"/>
  <c r="Q79" i="18"/>
  <c r="Q80" i="18"/>
  <c r="AC21" i="18"/>
  <c r="AE21" i="18" s="1"/>
  <c r="Q20" i="18"/>
  <c r="Q19" i="18"/>
  <c r="Q77" i="18"/>
  <c r="S18" i="18"/>
  <c r="T18" i="18" s="1"/>
  <c r="T19" i="18"/>
  <c r="AE20" i="18"/>
  <c r="Q75" i="18"/>
  <c r="Q118" i="18"/>
  <c r="AA54" i="18" l="1"/>
  <c r="Z75" i="18"/>
  <c r="U18" i="18"/>
  <c r="V18" i="18" s="1"/>
  <c r="W18" i="18" s="1"/>
  <c r="X18" i="18" s="1"/>
  <c r="Y18" i="18" s="1"/>
  <c r="Z18" i="18" s="1"/>
  <c r="AA18" i="18" s="1"/>
  <c r="AB18" i="18" s="1"/>
  <c r="AC18" i="18" s="1"/>
  <c r="AE18" i="18" s="1"/>
  <c r="T77" i="18"/>
  <c r="S77" i="18"/>
  <c r="U19" i="18"/>
  <c r="C18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Q49" i="18"/>
  <c r="Q35" i="18"/>
  <c r="Q33" i="18"/>
  <c r="Q16" i="18"/>
  <c r="Q14" i="18"/>
  <c r="Q13" i="18"/>
  <c r="Q12" i="18"/>
  <c r="Q10" i="18"/>
  <c r="Q9" i="18"/>
  <c r="Q7" i="18"/>
  <c r="Q6" i="18"/>
  <c r="S16" i="18"/>
  <c r="T16" i="18" s="1"/>
  <c r="U16" i="18" s="1"/>
  <c r="V16" i="18" s="1"/>
  <c r="W16" i="18" s="1"/>
  <c r="X16" i="18" s="1"/>
  <c r="Y16" i="18" s="1"/>
  <c r="Z16" i="18" s="1"/>
  <c r="AA16" i="18" s="1"/>
  <c r="AB16" i="18" s="1"/>
  <c r="S33" i="18"/>
  <c r="S35" i="18"/>
  <c r="W47" i="18"/>
  <c r="O63" i="18"/>
  <c r="O62" i="18"/>
  <c r="O120" i="18" s="1"/>
  <c r="O61" i="18"/>
  <c r="O60" i="18"/>
  <c r="O119" i="18" s="1"/>
  <c r="T35" i="18" l="1"/>
  <c r="AB54" i="18"/>
  <c r="AA75" i="18"/>
  <c r="X47" i="18"/>
  <c r="T33" i="18"/>
  <c r="S91" i="18"/>
  <c r="V19" i="18"/>
  <c r="U77" i="18"/>
  <c r="AC16" i="18"/>
  <c r="AE16" i="18" s="1"/>
  <c r="AC9" i="18"/>
  <c r="AE9" i="18" s="1"/>
  <c r="U35" i="18" l="1"/>
  <c r="AB75" i="18"/>
  <c r="AC54" i="18"/>
  <c r="AE54" i="18" s="1"/>
  <c r="U33" i="18"/>
  <c r="T91" i="18"/>
  <c r="Y47" i="18"/>
  <c r="W19" i="18"/>
  <c r="V77" i="18"/>
  <c r="Q67" i="18"/>
  <c r="V35" i="18" l="1"/>
  <c r="S106" i="18"/>
  <c r="AC75" i="18"/>
  <c r="AE75" i="18" s="1"/>
  <c r="T106" i="18" s="1"/>
  <c r="V33" i="18"/>
  <c r="U91" i="18"/>
  <c r="Z47" i="18"/>
  <c r="X19" i="18"/>
  <c r="W77" i="18"/>
  <c r="Q65" i="18"/>
  <c r="Q66" i="18"/>
  <c r="C45" i="15"/>
  <c r="W35" i="18" l="1"/>
  <c r="R106" i="18"/>
  <c r="P123" i="18" s="1"/>
  <c r="W33" i="18"/>
  <c r="V91" i="18"/>
  <c r="AA47" i="18"/>
  <c r="Y19" i="18"/>
  <c r="X77" i="18"/>
  <c r="S118" i="18"/>
  <c r="C60" i="18"/>
  <c r="C119" i="18" s="1"/>
  <c r="D60" i="18"/>
  <c r="D119" i="18" s="1"/>
  <c r="E60" i="18"/>
  <c r="E119" i="18" s="1"/>
  <c r="F60" i="18"/>
  <c r="H60" i="18"/>
  <c r="H119" i="18" s="1"/>
  <c r="I60" i="18"/>
  <c r="I119" i="18" s="1"/>
  <c r="J60" i="18"/>
  <c r="J119" i="18" s="1"/>
  <c r="K60" i="18"/>
  <c r="K119" i="18" s="1"/>
  <c r="L60" i="18"/>
  <c r="M60" i="18"/>
  <c r="M119" i="18" s="1"/>
  <c r="N60" i="18"/>
  <c r="P60" i="18"/>
  <c r="P119" i="18" s="1"/>
  <c r="D62" i="18"/>
  <c r="D120" i="18" s="1"/>
  <c r="E62" i="18"/>
  <c r="E120" i="18" s="1"/>
  <c r="F62" i="18"/>
  <c r="F120" i="18" s="1"/>
  <c r="G62" i="18"/>
  <c r="H62" i="18"/>
  <c r="H120" i="18" s="1"/>
  <c r="I62" i="18"/>
  <c r="I120" i="18" s="1"/>
  <c r="J62" i="18"/>
  <c r="J120" i="18" s="1"/>
  <c r="K62" i="18"/>
  <c r="K120" i="18" s="1"/>
  <c r="L62" i="18"/>
  <c r="L120" i="18" s="1"/>
  <c r="M62" i="18"/>
  <c r="M120" i="18" s="1"/>
  <c r="N62" i="18"/>
  <c r="P62" i="18"/>
  <c r="C62" i="18"/>
  <c r="C120" i="18" s="1"/>
  <c r="D61" i="18"/>
  <c r="E61" i="18"/>
  <c r="F61" i="18"/>
  <c r="G61" i="18"/>
  <c r="H61" i="18"/>
  <c r="I61" i="18"/>
  <c r="J61" i="18"/>
  <c r="K61" i="18"/>
  <c r="L61" i="18"/>
  <c r="M61" i="18"/>
  <c r="N61" i="18"/>
  <c r="P61" i="18"/>
  <c r="C61" i="18"/>
  <c r="S13" i="18"/>
  <c r="S14" i="18"/>
  <c r="S49" i="18"/>
  <c r="S10" i="18"/>
  <c r="S12" i="18"/>
  <c r="S7" i="18"/>
  <c r="S6" i="18"/>
  <c r="R96" i="18" l="1"/>
  <c r="F119" i="18"/>
  <c r="T13" i="18"/>
  <c r="X35" i="18"/>
  <c r="T12" i="18"/>
  <c r="T14" i="18"/>
  <c r="T7" i="18"/>
  <c r="T6" i="18"/>
  <c r="T10" i="18"/>
  <c r="X33" i="18"/>
  <c r="W91" i="18"/>
  <c r="T49" i="18"/>
  <c r="S93" i="18"/>
  <c r="S92" i="18"/>
  <c r="AB47" i="18"/>
  <c r="Z19" i="18"/>
  <c r="Y77" i="18"/>
  <c r="T118" i="18"/>
  <c r="Q61" i="18"/>
  <c r="G120" i="18"/>
  <c r="Q62" i="18"/>
  <c r="Q63" i="18"/>
  <c r="Q71" i="18"/>
  <c r="Q72" i="18"/>
  <c r="G119" i="18"/>
  <c r="Q60" i="18"/>
  <c r="Q73" i="18"/>
  <c r="N120" i="18"/>
  <c r="N119" i="18"/>
  <c r="P120" i="18"/>
  <c r="L119" i="18"/>
  <c r="S52" i="18"/>
  <c r="S61" i="18" s="1"/>
  <c r="C6" i="12"/>
  <c r="C25" i="15"/>
  <c r="C57" i="15"/>
  <c r="C56" i="15"/>
  <c r="C53" i="15"/>
  <c r="C52" i="15"/>
  <c r="C49" i="15"/>
  <c r="C48" i="15"/>
  <c r="C44" i="15"/>
  <c r="S62" i="18" l="1"/>
  <c r="S60" i="18"/>
  <c r="S67" i="18"/>
  <c r="S65" i="18"/>
  <c r="S66" i="18"/>
  <c r="S63" i="18"/>
  <c r="U14" i="18"/>
  <c r="Y35" i="18"/>
  <c r="U6" i="18"/>
  <c r="U12" i="18"/>
  <c r="U13" i="18"/>
  <c r="S87" i="18"/>
  <c r="S73" i="18"/>
  <c r="S83" i="18"/>
  <c r="S85" i="18"/>
  <c r="S58" i="18"/>
  <c r="S57" i="18"/>
  <c r="U10" i="18"/>
  <c r="U7" i="18"/>
  <c r="S86" i="18"/>
  <c r="S71" i="18"/>
  <c r="S72" i="18"/>
  <c r="AC47" i="18"/>
  <c r="AE47" i="18" s="1"/>
  <c r="Y33" i="18"/>
  <c r="X91" i="18"/>
  <c r="U49" i="18"/>
  <c r="T93" i="18"/>
  <c r="T92" i="18"/>
  <c r="T52" i="18"/>
  <c r="T63" i="18" s="1"/>
  <c r="S80" i="18"/>
  <c r="S81" i="18"/>
  <c r="S82" i="18"/>
  <c r="S79" i="18"/>
  <c r="AA19" i="18"/>
  <c r="Z77" i="18"/>
  <c r="U118" i="18"/>
  <c r="Q120" i="18"/>
  <c r="Q119" i="18"/>
  <c r="C15" i="15"/>
  <c r="C20" i="15"/>
  <c r="C9" i="15"/>
  <c r="S68" i="18" l="1"/>
  <c r="T61" i="18"/>
  <c r="T60" i="18"/>
  <c r="T62" i="18"/>
  <c r="T66" i="18"/>
  <c r="T67" i="18"/>
  <c r="T65" i="18"/>
  <c r="T83" i="18"/>
  <c r="T85" i="18"/>
  <c r="T57" i="18"/>
  <c r="T58" i="18"/>
  <c r="V6" i="18"/>
  <c r="V14" i="18"/>
  <c r="V10" i="18"/>
  <c r="V13" i="18"/>
  <c r="T71" i="18"/>
  <c r="T73" i="18"/>
  <c r="Z35" i="18"/>
  <c r="V7" i="18"/>
  <c r="V12" i="18"/>
  <c r="T72" i="18"/>
  <c r="T87" i="18"/>
  <c r="T86" i="18"/>
  <c r="V49" i="18"/>
  <c r="U93" i="18"/>
  <c r="U92" i="18"/>
  <c r="Z33" i="18"/>
  <c r="Y91" i="18"/>
  <c r="U52" i="18"/>
  <c r="U63" i="18" s="1"/>
  <c r="T82" i="18"/>
  <c r="T81" i="18"/>
  <c r="T80" i="18"/>
  <c r="T79" i="18"/>
  <c r="AB19" i="18"/>
  <c r="AA77" i="18"/>
  <c r="V118" i="18"/>
  <c r="S119" i="18"/>
  <c r="S120" i="18"/>
  <c r="D31" i="8"/>
  <c r="D29" i="8"/>
  <c r="D28" i="8"/>
  <c r="D13" i="8"/>
  <c r="D30" i="8" s="1"/>
  <c r="E14" i="8"/>
  <c r="F14" i="8" s="1"/>
  <c r="G14" i="8" s="1"/>
  <c r="H14" i="8" s="1"/>
  <c r="I14" i="8" s="1"/>
  <c r="T68" i="18" l="1"/>
  <c r="U62" i="18"/>
  <c r="U60" i="18"/>
  <c r="U67" i="18"/>
  <c r="U65" i="18"/>
  <c r="U66" i="18"/>
  <c r="U61" i="18"/>
  <c r="U86" i="18"/>
  <c r="U71" i="18"/>
  <c r="W14" i="18"/>
  <c r="U83" i="18"/>
  <c r="U85" i="18"/>
  <c r="U58" i="18"/>
  <c r="U57" i="18"/>
  <c r="W7" i="18"/>
  <c r="AA35" i="18"/>
  <c r="U72" i="18"/>
  <c r="U73" i="18"/>
  <c r="U87" i="18"/>
  <c r="W6" i="18"/>
  <c r="W13" i="18"/>
  <c r="W12" i="18"/>
  <c r="W10" i="18"/>
  <c r="AA33" i="18"/>
  <c r="Z91" i="18"/>
  <c r="W49" i="18"/>
  <c r="V92" i="18"/>
  <c r="V93" i="18"/>
  <c r="V52" i="18"/>
  <c r="V63" i="18" s="1"/>
  <c r="U82" i="18"/>
  <c r="U80" i="18"/>
  <c r="U81" i="18"/>
  <c r="U79" i="18"/>
  <c r="AC19" i="18"/>
  <c r="AE19" i="18" s="1"/>
  <c r="AB77" i="18"/>
  <c r="W118" i="18"/>
  <c r="T119" i="18"/>
  <c r="T12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U68" i="18" l="1"/>
  <c r="V62" i="18"/>
  <c r="V60" i="18"/>
  <c r="V61" i="18"/>
  <c r="V66" i="18"/>
  <c r="V65" i="18"/>
  <c r="V67" i="18"/>
  <c r="V87" i="18"/>
  <c r="V73" i="18"/>
  <c r="V72" i="18"/>
  <c r="X12" i="18"/>
  <c r="V83" i="18"/>
  <c r="V85" i="18"/>
  <c r="V57" i="18"/>
  <c r="V58" i="18"/>
  <c r="X6" i="18"/>
  <c r="X7" i="18"/>
  <c r="V71" i="18"/>
  <c r="V86" i="18"/>
  <c r="X14" i="18"/>
  <c r="X10" i="18"/>
  <c r="X13" i="18"/>
  <c r="AB35" i="18"/>
  <c r="X49" i="18"/>
  <c r="W93" i="18"/>
  <c r="W92" i="18"/>
  <c r="AB33" i="18"/>
  <c r="AA91" i="18"/>
  <c r="W52" i="18"/>
  <c r="W61" i="18" s="1"/>
  <c r="V82" i="18"/>
  <c r="V80" i="18"/>
  <c r="V81" i="18"/>
  <c r="V79" i="18"/>
  <c r="S108" i="18"/>
  <c r="AC77" i="18"/>
  <c r="AE77" i="18" s="1"/>
  <c r="T108" i="18" s="1"/>
  <c r="X118" i="18"/>
  <c r="U119" i="18"/>
  <c r="U12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M45" i="9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V68" i="18" l="1"/>
  <c r="P32" i="9"/>
  <c r="M32" i="9"/>
  <c r="M33" i="9" s="1"/>
  <c r="M34" i="9" s="1"/>
  <c r="M35" i="9" s="1"/>
  <c r="M36" i="9" s="1"/>
  <c r="M37" i="9" s="1"/>
  <c r="M38" i="9" s="1"/>
  <c r="M39" i="9" s="1"/>
  <c r="M40" i="9" s="1"/>
  <c r="M41" i="9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W60" i="18"/>
  <c r="W71" i="18"/>
  <c r="W65" i="18"/>
  <c r="W67" i="18"/>
  <c r="W66" i="18"/>
  <c r="W63" i="18"/>
  <c r="W62" i="18"/>
  <c r="W86" i="18"/>
  <c r="W73" i="18"/>
  <c r="W87" i="18"/>
  <c r="W72" i="18"/>
  <c r="Y12" i="18"/>
  <c r="AC35" i="18"/>
  <c r="AE35" i="18" s="1"/>
  <c r="Y10" i="18"/>
  <c r="Y7" i="18"/>
  <c r="W83" i="18"/>
  <c r="W85" i="18"/>
  <c r="W58" i="18"/>
  <c r="W57" i="18"/>
  <c r="Y6" i="18"/>
  <c r="Y13" i="18"/>
  <c r="Y14" i="18"/>
  <c r="AC33" i="18"/>
  <c r="AE33" i="18" s="1"/>
  <c r="AB91" i="18"/>
  <c r="AC91" i="18" s="1"/>
  <c r="Y49" i="18"/>
  <c r="X93" i="18"/>
  <c r="X92" i="18"/>
  <c r="R108" i="18"/>
  <c r="O31" i="9"/>
  <c r="O32" i="9" s="1"/>
  <c r="X52" i="18"/>
  <c r="X63" i="18" s="1"/>
  <c r="W82" i="18"/>
  <c r="W80" i="18"/>
  <c r="W81" i="18"/>
  <c r="W79" i="18"/>
  <c r="Y118" i="18"/>
  <c r="V119" i="18"/>
  <c r="V120" i="18"/>
  <c r="P31" i="11"/>
  <c r="N32" i="11"/>
  <c r="T19" i="9"/>
  <c r="D22" i="9"/>
  <c r="W68" i="18" l="1"/>
  <c r="X60" i="18"/>
  <c r="X62" i="18"/>
  <c r="X66" i="18"/>
  <c r="X65" i="18"/>
  <c r="X67" i="18"/>
  <c r="X61" i="18"/>
  <c r="X73" i="18"/>
  <c r="Z12" i="18"/>
  <c r="Z7" i="18"/>
  <c r="Z10" i="18"/>
  <c r="X72" i="18"/>
  <c r="X83" i="18"/>
  <c r="X85" i="18"/>
  <c r="X58" i="18"/>
  <c r="X57" i="18"/>
  <c r="Z13" i="18"/>
  <c r="Z14" i="18"/>
  <c r="Z6" i="18"/>
  <c r="X87" i="18"/>
  <c r="X71" i="18"/>
  <c r="X86" i="18"/>
  <c r="Z49" i="18"/>
  <c r="Y93" i="18"/>
  <c r="Y92" i="18"/>
  <c r="Y52" i="18"/>
  <c r="Y62" i="18" s="1"/>
  <c r="X82" i="18"/>
  <c r="X80" i="18"/>
  <c r="X81" i="18"/>
  <c r="X79" i="18"/>
  <c r="Z118" i="18"/>
  <c r="W119" i="18"/>
  <c r="W12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X68" i="18" l="1"/>
  <c r="Y63" i="18"/>
  <c r="Y61" i="18"/>
  <c r="Y60" i="18"/>
  <c r="Y67" i="18"/>
  <c r="Y65" i="18"/>
  <c r="Y66" i="18"/>
  <c r="AA12" i="18"/>
  <c r="AA7" i="18"/>
  <c r="Y87" i="18"/>
  <c r="Y73" i="18"/>
  <c r="Y83" i="18"/>
  <c r="Y85" i="18"/>
  <c r="Y58" i="18"/>
  <c r="Y57" i="18"/>
  <c r="AA14" i="18"/>
  <c r="AA6" i="18"/>
  <c r="AA13" i="18"/>
  <c r="AA10" i="18"/>
  <c r="Y72" i="18"/>
  <c r="Y86" i="18"/>
  <c r="Y71" i="18"/>
  <c r="AA49" i="18"/>
  <c r="Z92" i="18"/>
  <c r="Z93" i="18"/>
  <c r="Z52" i="18"/>
  <c r="Y82" i="18"/>
  <c r="Y80" i="18"/>
  <c r="Y81" i="18"/>
  <c r="Y79" i="18"/>
  <c r="AA118" i="18"/>
  <c r="X119" i="18"/>
  <c r="X120" i="18"/>
  <c r="N34" i="11"/>
  <c r="O33" i="11"/>
  <c r="D25" i="8"/>
  <c r="D23" i="8"/>
  <c r="Y68" i="18" l="1"/>
  <c r="Z66" i="18"/>
  <c r="Z67" i="18"/>
  <c r="Z65" i="18"/>
  <c r="Z61" i="18"/>
  <c r="Z60" i="18"/>
  <c r="Z62" i="18"/>
  <c r="Z63" i="18"/>
  <c r="Z71" i="18"/>
  <c r="Z87" i="18"/>
  <c r="Z73" i="18"/>
  <c r="AB13" i="18"/>
  <c r="AB7" i="18"/>
  <c r="Z86" i="18"/>
  <c r="AB10" i="18"/>
  <c r="AB12" i="18"/>
  <c r="Z83" i="18"/>
  <c r="Z85" i="18"/>
  <c r="Z57" i="18"/>
  <c r="Z58" i="18"/>
  <c r="AB6" i="18"/>
  <c r="AB14" i="18"/>
  <c r="Z72" i="18"/>
  <c r="AB49" i="18"/>
  <c r="AA93" i="18"/>
  <c r="AA92" i="18"/>
  <c r="AA52" i="18"/>
  <c r="AA62" i="18" s="1"/>
  <c r="Z82" i="18"/>
  <c r="Z80" i="18"/>
  <c r="Z81" i="18"/>
  <c r="Z79" i="18"/>
  <c r="AB118" i="18"/>
  <c r="Y119" i="18"/>
  <c r="Y120" i="18"/>
  <c r="N35" i="11"/>
  <c r="O34" i="11"/>
  <c r="D35" i="8"/>
  <c r="E5" i="8"/>
  <c r="E18" i="8" s="1"/>
  <c r="D18" i="8"/>
  <c r="D19" i="8"/>
  <c r="D21" i="8"/>
  <c r="D20" i="8"/>
  <c r="Z68" i="18" l="1"/>
  <c r="AA61" i="18"/>
  <c r="AA60" i="18"/>
  <c r="AA63" i="18"/>
  <c r="AA65" i="18"/>
  <c r="AA67" i="18"/>
  <c r="AA66" i="18"/>
  <c r="AA71" i="18"/>
  <c r="AA73" i="18"/>
  <c r="AA86" i="18"/>
  <c r="AC14" i="18"/>
  <c r="AE14" i="18" s="1"/>
  <c r="AC7" i="18"/>
  <c r="AE7" i="18" s="1"/>
  <c r="AC13" i="18"/>
  <c r="AE13" i="18" s="1"/>
  <c r="AC6" i="18"/>
  <c r="AE6" i="18" s="1"/>
  <c r="AC12" i="18"/>
  <c r="AE12" i="18" s="1"/>
  <c r="AA83" i="18"/>
  <c r="AA85" i="18"/>
  <c r="AA57" i="18"/>
  <c r="AA58" i="18"/>
  <c r="AC10" i="18"/>
  <c r="AE10" i="18" s="1"/>
  <c r="AA87" i="18"/>
  <c r="AA72" i="18"/>
  <c r="AB93" i="18"/>
  <c r="AC93" i="18" s="1"/>
  <c r="AB92" i="18"/>
  <c r="AC92" i="18" s="1"/>
  <c r="AC49" i="18"/>
  <c r="AE49" i="18" s="1"/>
  <c r="AB52" i="18"/>
  <c r="AB63" i="18" s="1"/>
  <c r="AA82" i="18"/>
  <c r="AA80" i="18"/>
  <c r="AA81" i="18"/>
  <c r="AA79" i="18"/>
  <c r="AC118" i="18"/>
  <c r="AE118" i="18" s="1"/>
  <c r="Z119" i="18"/>
  <c r="Z120" i="18"/>
  <c r="N36" i="11"/>
  <c r="O35" i="11"/>
  <c r="F5" i="8"/>
  <c r="G5" i="8" s="1"/>
  <c r="H5" i="8" s="1"/>
  <c r="I5" i="8" s="1"/>
  <c r="AA68" i="18" l="1"/>
  <c r="AB60" i="18"/>
  <c r="AB62" i="18"/>
  <c r="AB61" i="18"/>
  <c r="AB66" i="18"/>
  <c r="AB67" i="18"/>
  <c r="AB65" i="18"/>
  <c r="AB73" i="18"/>
  <c r="AB71" i="18"/>
  <c r="AB86" i="18"/>
  <c r="AC86" i="18" s="1"/>
  <c r="AE86" i="18" s="1"/>
  <c r="AB83" i="18"/>
  <c r="S115" i="18" s="1"/>
  <c r="AB85" i="18"/>
  <c r="AB58" i="18"/>
  <c r="AC58" i="18" s="1"/>
  <c r="AE58" i="18" s="1"/>
  <c r="AB57" i="18"/>
  <c r="AC57" i="18" s="1"/>
  <c r="AE57" i="18" s="1"/>
  <c r="AB87" i="18"/>
  <c r="AC87" i="18" s="1"/>
  <c r="AE87" i="18" s="1"/>
  <c r="AB72" i="18"/>
  <c r="AB82" i="18"/>
  <c r="S113" i="18" s="1"/>
  <c r="AB80" i="18"/>
  <c r="S111" i="18" s="1"/>
  <c r="AC52" i="18"/>
  <c r="AE52" i="18" s="1"/>
  <c r="AB81" i="18"/>
  <c r="S112" i="18" s="1"/>
  <c r="AB79" i="18"/>
  <c r="S110" i="18" s="1"/>
  <c r="AA119" i="18"/>
  <c r="AA120" i="18"/>
  <c r="N37" i="11"/>
  <c r="O36" i="11"/>
  <c r="F18" i="8"/>
  <c r="G18" i="8"/>
  <c r="AC65" i="18" l="1"/>
  <c r="AE65" i="18" s="1"/>
  <c r="T101" i="18" s="1"/>
  <c r="AB68" i="18"/>
  <c r="AC68" i="18" s="1"/>
  <c r="AE68" i="18" s="1"/>
  <c r="S101" i="18"/>
  <c r="AC83" i="18"/>
  <c r="AE83" i="18" s="1"/>
  <c r="T115" i="18" s="1"/>
  <c r="R115" i="18" s="1"/>
  <c r="P125" i="18" s="1"/>
  <c r="S103" i="18"/>
  <c r="AC67" i="18"/>
  <c r="AE67" i="18" s="1"/>
  <c r="T103" i="18" s="1"/>
  <c r="AC85" i="18"/>
  <c r="AE85" i="18" s="1"/>
  <c r="S102" i="18"/>
  <c r="AC66" i="18"/>
  <c r="AE66" i="18" s="1"/>
  <c r="T102" i="18" s="1"/>
  <c r="AC61" i="18"/>
  <c r="AE61" i="18" s="1"/>
  <c r="T98" i="18" s="1"/>
  <c r="S98" i="18"/>
  <c r="AC73" i="18"/>
  <c r="AE73" i="18" s="1"/>
  <c r="AC63" i="18"/>
  <c r="AE63" i="18" s="1"/>
  <c r="AC72" i="18"/>
  <c r="AE72" i="18" s="1"/>
  <c r="AC71" i="18"/>
  <c r="AE71" i="18" s="1"/>
  <c r="AC81" i="18"/>
  <c r="AE81" i="18" s="1"/>
  <c r="T112" i="18" s="1"/>
  <c r="AC80" i="18"/>
  <c r="AE80" i="18" s="1"/>
  <c r="AC79" i="18"/>
  <c r="AE79" i="18" s="1"/>
  <c r="T110" i="18" s="1"/>
  <c r="AC82" i="18"/>
  <c r="AE82" i="18" s="1"/>
  <c r="S97" i="18"/>
  <c r="AC60" i="18"/>
  <c r="AE60" i="18" s="1"/>
  <c r="T97" i="18" s="1"/>
  <c r="AB119" i="18"/>
  <c r="AC62" i="18"/>
  <c r="AE62" i="18" s="1"/>
  <c r="T99" i="18" s="1"/>
  <c r="AB120" i="18"/>
  <c r="S99" i="18"/>
  <c r="N38" i="11"/>
  <c r="O37" i="11"/>
  <c r="H18" i="8"/>
  <c r="R101" i="18" l="1"/>
  <c r="R102" i="18"/>
  <c r="R98" i="18"/>
  <c r="R103" i="18"/>
  <c r="P124" i="18" s="1"/>
  <c r="T113" i="18"/>
  <c r="R113" i="18" s="1"/>
  <c r="T111" i="18"/>
  <c r="R111" i="18" s="1"/>
  <c r="R112" i="18"/>
  <c r="R110" i="18"/>
  <c r="R97" i="18"/>
  <c r="P126" i="18" s="1"/>
  <c r="AC120" i="18"/>
  <c r="AE120" i="18" s="1"/>
  <c r="AC119" i="18"/>
  <c r="AE119" i="18" s="1"/>
  <c r="R99" i="18"/>
  <c r="N39" i="1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<sst xmlns="http://schemas.openxmlformats.org/spreadsheetml/2006/main" count="467" uniqueCount="327">
  <si>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</si>
  <si>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</si>
  <si>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</si>
  <si>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</si>
  <si>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</si>
  <si>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</si>
  <si>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</si>
  <si>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</si>
  <si>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</si>
  <si>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</si>
  <si>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</si>
  <si>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</si>
  <si>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</si>
  <si>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</si>
  <si>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</si>
  <si>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</si>
  <si>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</si>
  <si>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</si>
  <si>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</si>
  <si>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</si>
  <si>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</si>
  <si>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</si>
  <si>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</si>
  <si>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</si>
  <si>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</si>
  <si>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</si>
  <si>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</si>
  <si>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</si>
  <si>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</si>
  <si>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</si>
  <si>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</si>
  <si>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</si>
  <si>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</si>
  <si>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</si>
  <si>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</si>
  <si>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</si>
  <si>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</si>
  <si>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</si>
  <si>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</si>
  <si>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</si>
  <si>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</si>
  <si>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</si>
  <si>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</si>
  <si>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</si>
  <si>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</si>
  <si>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</si>
  <si>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</si>
  <si>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</si>
  <si>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</si>
  <si>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</si>
  <si>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</si>
  <si>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</si>
  <si>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</si>
  <si>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</si>
  <si>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</si>
  <si>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</si>
  <si>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</si>
  <si>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</si>
  <si>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</si>
  <si>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</si>
  <si>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</si>
  <si>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</si>
  <si>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</si>
  <si>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</si>
  <si>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</si>
  <si>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</si>
  <si>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</si>
  <si>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</si>
  <si>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</si>
  <si>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</si>
  <si>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</si>
  <si>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</si>
  <si>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</si>
  <si>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</si>
  <si>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</si>
  <si>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</si>
  <si>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</si>
  <si>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</si>
  <si>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</si>
  <si>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</si>
  <si>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</si>
  <si>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</si>
  <si>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</si>
  <si>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</si>
  <si>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</si>
  <si>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</si>
  <si>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</si>
  <si>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</si>
  <si>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</si>
  <si>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</si>
  <si>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</si>
  <si>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</si>
  <si>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</si>
  <si>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</si>
  <si>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</si>
  <si>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</si>
  <si>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</si>
  <si>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</si>
  <si>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</si>
  <si>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</si>
  <si>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</si>
  <si>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</si>
  <si>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</si>
  <si>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</si>
  <si>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</si>
  <si>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</si>
  <si>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</si>
  <si>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</si>
  <si>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</si>
  <si>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</si>
  <si>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</si>
  <si>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</si>
  <si>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</si>
  <si>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</si>
  <si>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</si>
  <si>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</si>
  <si>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</si>
  <si>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</si>
  <si>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</si>
  <si>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</si>
  <si>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</si>
  <si>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</si>
  <si>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</si>
  <si>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</si>
  <si>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</si>
  <si>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</si>
  <si>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</si>
  <si>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</si>
  <si>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</si>
  <si>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</si>
  <si>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</si>
  <si>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</si>
  <si>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</si>
  <si>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</si>
  <si>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</si>
  <si>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</si>
  <si>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</si>
  <si>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</si>
  <si>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</si>
  <si>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</si>
  <si>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</si>
  <si>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</si>
  <si>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</si>
  <si>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</si>
  <si>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</si>
  <si>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</si>
  <si>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</si>
  <si>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</si>
  <si>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</si>
  <si>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</si>
  <si>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</si>
  <si>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</si>
  <si>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</si>
  <si>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</si>
  <si>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</si>
  <si>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</si>
  <si>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</si>
  <si>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</si>
  <si>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</si>
  <si>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</si>
  <si>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</si>
  <si>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</si>
  <si>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</si>
  <si>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</si>
  <si>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</si>
  <si>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</si>
  <si>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</si>
  <si>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</si>
  <si>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</si>
  <si>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</si>
  <si>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</si>
  <si>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</si>
  <si>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</si>
  <si>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</si>
  <si>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</si>
  <si>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</si>
  <si>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</si>
  <si>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</si>
  <si>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</si>
  <si>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</si>
  <si>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</si>
  <si>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</si>
  <si>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</si>
  <si>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</si>
  <si>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</si>
  <si>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</si>
  <si>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</si>
  <si>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</si>
  <si>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</si>
  <si>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</si>
  <si>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</si>
  <si>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</si>
  <si>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</si>
  <si>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</si>
  <si>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</si>
  <si>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</si>
  <si>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</si>
  <si>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</si>
  <si>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</si>
  <si>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</si>
  <si>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</si>
  <si>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</si>
  <si>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</si>
  <si>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</si>
  <si>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</si>
  <si>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</si>
  <si>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</si>
  <si>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</si>
  <si>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</si>
  <si>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</si>
  <si>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</si>
  <si>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</si>
  <si>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</si>
  <si>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</si>
  <si>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</si>
  <si>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</si>
  <si>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</si>
  <si>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</si>
  <si>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</si>
  <si>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</si>
  <si>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</si>
  <si>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</si>
  <si>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</si>
  <si>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</si>
  <si>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</si>
  <si>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</si>
  <si>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</si>
  <si>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</si>
  <si>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</si>
  <si>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</si>
  <si>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</si>
  <si>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</si>
  <si>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</si>
  <si>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</si>
  <si>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</si>
  <si>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</si>
  <si>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</si>
  <si>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</si>
  <si>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</si>
  <si>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</si>
  <si>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</si>
  <si>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</si>
  <si>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</si>
  <si>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</si>
  <si>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</si>
  <si>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</si>
  <si>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</si>
  <si>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Price Movement</t>
  </si>
  <si>
    <t>Eval Start Year</t>
  </si>
  <si>
    <t>Eval End Year</t>
  </si>
  <si>
    <t>Proj  CAGR</t>
  </si>
  <si>
    <t>Net Earnings (Net Profit)</t>
  </si>
  <si>
    <t>EPS (Net Profit per share)</t>
  </si>
  <si>
    <t>P/BV (Share Holder Equity)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</si>
  <si>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</si>
  <si>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</si>
  <si>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</si>
  <si>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</si>
  <si>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</si>
  <si>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</si>
  <si>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</si>
  <si>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</si>
  <si>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Book Value (reserves &amp; Surplus alone) / share</t>
  </si>
  <si>
    <t>Book Value (Networth based) / Share</t>
  </si>
  <si>
    <t>Operating Profit (EBITDA)</t>
  </si>
  <si>
    <t>Suzlon Energy</t>
  </si>
  <si>
    <t>Avg EPS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</si>
  <si>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</si>
  <si>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</si>
  <si>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</si>
  <si>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</si>
  <si>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</si>
  <si>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</si>
  <si>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</si>
  <si>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Y11 onwards</t>
  </si>
  <si>
    <t>Future Growth Rate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</si>
  <si>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</si>
  <si>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</si>
  <si>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</si>
  <si>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</si>
  <si>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</si>
  <si>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>% Discount (Price / B.V)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</si>
  <si>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</si>
  <si>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</si>
  <si>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</si>
  <si>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</si>
  <si>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</si>
  <si>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</si>
  <si>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Operating Profit Margin</t>
  </si>
  <si>
    <t>RONW</t>
  </si>
  <si>
    <t>Profitability Ratios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</si>
  <si>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</si>
  <si>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</si>
  <si>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</si>
  <si>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</si>
  <si>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% Discount (Price / Net Cash &amp; Cash Eq)</t>
  </si>
  <si>
    <t>Gross Deposits</t>
  </si>
  <si>
    <t>Gross Advances</t>
  </si>
  <si>
    <t>CASA Deposits</t>
  </si>
  <si>
    <t>Employee Base</t>
  </si>
  <si>
    <t>Net Assests</t>
  </si>
  <si>
    <t>Other Liabilities &amp; Provisions</t>
  </si>
  <si>
    <t>Other Income</t>
  </si>
  <si>
    <t>Interest Spread</t>
  </si>
  <si>
    <t>Balance with Banks. Money at call -  per share</t>
  </si>
  <si>
    <t>Gross Deposits - per share</t>
  </si>
  <si>
    <t>Gross Advances - per share</t>
  </si>
  <si>
    <t>Other Income - per share</t>
  </si>
  <si>
    <t>Operating profit per Share</t>
  </si>
  <si>
    <t>Net Profit per share</t>
  </si>
  <si>
    <t>Reserves per Share</t>
  </si>
  <si>
    <t>Sales (Rev per Employee base)</t>
  </si>
  <si>
    <t>Expenses (Exp per Employee base)</t>
  </si>
  <si>
    <t>Other Income (Income per Employee base)</t>
  </si>
  <si>
    <t>Net (Advances - Debt) per share</t>
  </si>
  <si>
    <t>Time deposists/FD or any other form</t>
  </si>
  <si>
    <t>Demand Deposits / Current Accounts</t>
  </si>
  <si>
    <t>Savings Deposits / Saving Accounts</t>
  </si>
  <si>
    <t>Retail %</t>
  </si>
  <si>
    <t>Commercial %</t>
  </si>
  <si>
    <t>Corporate %</t>
  </si>
  <si>
    <t>Agri %</t>
  </si>
  <si>
    <t>Loans &amp; Advances</t>
  </si>
  <si>
    <t>Secured Loans</t>
  </si>
  <si>
    <t>Un-secured Loans</t>
  </si>
  <si>
    <t>Provisions</t>
  </si>
  <si>
    <t>Borrowings (Secured + Unsecured)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</si>
</sst>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#,##0.0;[Red]\-#,##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10"/>
      <color theme="8" tint="-0.249977111117893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5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2" fillId="5" borderId="1" xfId="2" applyNumberFormat="1" applyFont="1" applyFill="1" applyBorder="1"/>
    <xf numFmtId="164" fontId="12" fillId="5" borderId="1" xfId="2" applyNumberFormat="1" applyFont="1" applyFill="1" applyBorder="1"/>
    <xf numFmtId="1" fontId="4" fillId="5" borderId="4" xfId="0" applyNumberFormat="1" applyFont="1" applyFill="1" applyBorder="1"/>
    <xf numFmtId="176" fontId="4" fillId="5" borderId="1" xfId="2" applyNumberFormat="1" applyFont="1" applyFill="1" applyBorder="1"/>
    <xf numFmtId="2" fontId="5" fillId="5" borderId="1" xfId="0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75" fontId="13" fillId="5" borderId="1" xfId="2" applyNumberFormat="1" applyFont="1" applyFill="1" applyBorder="1"/>
    <xf numFmtId="9" fontId="13" fillId="5" borderId="1" xfId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65344"/>
        <c:axId val="74266880"/>
      </c:lineChart>
      <c:catAx>
        <c:axId val="74265344"/>
        <c:scaling>
          <c:orientation val="minMax"/>
        </c:scaling>
        <c:delete val="0"/>
        <c:axPos val="b"/>
        <c:majorTickMark val="out"/>
        <c:minorTickMark val="none"/>
        <c:tickLblPos val="nextTo"/>
        <c:crossAx val="74266880"/>
        <c:crosses val="autoZero"/>
        <c:auto val="1"/>
        <c:lblAlgn val="ctr"/>
        <c:lblOffset val="100"/>
        <c:noMultiLvlLbl val="0"/>
      </c:catAx>
      <c:valAx>
        <c:axId val="74266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426534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topLeftCell="A13" zoomScale="80" zoomScaleNormal="80" workbookViewId="0">
      <selection activeCell="C28" sqref="C28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265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-2.66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-2.66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-5.2631578947368416</v>
      </c>
      <c r="D9" s="20" t="s">
        <v>261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30">
        <v>-2.66</v>
      </c>
      <c r="D12" s="20"/>
      <c r="E12" s="20"/>
      <c r="F12" s="20"/>
      <c r="G12" s="20"/>
    </row>
    <row r="13" spans="2:7" x14ac:dyDescent="0.2">
      <c r="B13" s="20" t="s">
        <v>102</v>
      </c>
      <c r="C13" s="130">
        <v>28</v>
      </c>
      <c r="D13" s="20"/>
      <c r="E13" s="20"/>
      <c r="F13" s="20"/>
      <c r="G13" s="20"/>
    </row>
    <row r="14" spans="2:7" x14ac:dyDescent="0.2">
      <c r="B14" s="20" t="s">
        <v>103</v>
      </c>
      <c r="C14" s="130">
        <v>1000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-2660</v>
      </c>
      <c r="D15" s="20" t="s">
        <v>261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30">
        <f>C4</f>
        <v>-2.66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-33.25</v>
      </c>
      <c r="D20" s="20" t="s">
        <v>261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30">
        <v>14</v>
      </c>
      <c r="D23" s="20"/>
      <c r="E23" s="20"/>
      <c r="F23" s="20"/>
      <c r="G23" s="20"/>
    </row>
    <row r="24" spans="2:7" x14ac:dyDescent="0.2">
      <c r="B24" s="20" t="s">
        <v>114</v>
      </c>
      <c r="C24" s="130">
        <v>-2.66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-5.2631578947368416</v>
      </c>
      <c r="D25" s="20"/>
      <c r="E25" s="20"/>
      <c r="F25" s="20"/>
      <c r="G25" s="20"/>
    </row>
    <row r="26" spans="2:7" x14ac:dyDescent="0.2">
      <c r="B26" s="20" t="s">
        <v>77</v>
      </c>
      <c r="C26" s="130">
        <v>15</v>
      </c>
      <c r="D26" s="20"/>
      <c r="E26" s="20"/>
      <c r="F26" s="20"/>
      <c r="G26" s="20"/>
    </row>
    <row r="27" spans="2:7" x14ac:dyDescent="0.2">
      <c r="B27" s="20" t="s">
        <v>229</v>
      </c>
      <c r="C27" s="131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2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2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2"/>
      <c r="D31" s="20"/>
      <c r="E31" s="20"/>
      <c r="F31" s="20"/>
      <c r="G31" s="20"/>
    </row>
    <row r="32" spans="2:7" x14ac:dyDescent="0.2">
      <c r="B32" s="20" t="s">
        <v>260</v>
      </c>
      <c r="C32" s="132">
        <v>3.44E-2</v>
      </c>
      <c r="D32" s="20"/>
      <c r="E32" s="20"/>
      <c r="F32" s="20"/>
      <c r="G32" s="20"/>
    </row>
    <row r="33" spans="2:7" x14ac:dyDescent="0.2">
      <c r="B33" s="20" t="s">
        <v>259</v>
      </c>
      <c r="C33" s="132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30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30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30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30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30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30">
        <v>281.95</v>
      </c>
      <c r="D43" s="20"/>
      <c r="E43" s="20"/>
      <c r="F43" s="20"/>
      <c r="G43" s="20"/>
    </row>
    <row r="44" spans="2:7" x14ac:dyDescent="0.2">
      <c r="B44" s="20" t="s">
        <v>255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30">
        <v>171.6</v>
      </c>
      <c r="D47" s="20"/>
      <c r="E47" s="20"/>
      <c r="F47" s="20"/>
      <c r="G47" s="20"/>
    </row>
    <row r="48" spans="2:7" x14ac:dyDescent="0.2">
      <c r="B48" s="20" t="s">
        <v>256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30">
        <v>110.33</v>
      </c>
      <c r="D51" s="20"/>
      <c r="E51" s="20"/>
      <c r="F51" s="20"/>
      <c r="G51" s="20"/>
    </row>
    <row r="52" spans="2:7" x14ac:dyDescent="0.2">
      <c r="B52" s="20" t="s">
        <v>257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30">
        <v>1320.99</v>
      </c>
      <c r="D55" s="20"/>
      <c r="E55" s="20"/>
      <c r="F55" s="20"/>
      <c r="G55" s="20"/>
    </row>
    <row r="56" spans="2:7" x14ac:dyDescent="0.2">
      <c r="B56" s="20" t="s">
        <v>258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34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H13" sqref="H13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3" width="8.7109375" style="104" bestFit="1" customWidth="1"/>
    <col min="14" max="14" width="9.42578125" style="104" bestFit="1" customWidth="1"/>
    <col min="15" max="15" width="8.7109375" style="104" bestFit="1" customWidth="1"/>
    <col min="16" max="16" width="9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8" width="8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0.15</v>
      </c>
      <c r="F1" s="104" t="s">
        <v>248</v>
      </c>
      <c r="H1" s="126">
        <v>2004</v>
      </c>
    </row>
    <row r="2" spans="2:31" x14ac:dyDescent="0.2">
      <c r="B2" s="152" t="s">
        <v>292</v>
      </c>
      <c r="C2" s="120"/>
      <c r="F2" s="104" t="s">
        <v>249</v>
      </c>
      <c r="H2" s="126">
        <v>2013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63" t="s">
        <v>274</v>
      </c>
      <c r="AE2" s="164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250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65" t="s">
        <v>275</v>
      </c>
      <c r="AE3" s="166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20"/>
      <c r="R5" s="20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37"/>
      <c r="AD5" s="20"/>
      <c r="AE5" s="153"/>
    </row>
    <row r="6" spans="2:31" x14ac:dyDescent="0.2">
      <c r="B6" s="20" t="s">
        <v>16</v>
      </c>
      <c r="C6" s="141"/>
      <c r="D6" s="141"/>
      <c r="E6" s="145"/>
      <c r="F6" s="145">
        <v>786</v>
      </c>
      <c r="G6" s="145">
        <v>886</v>
      </c>
      <c r="H6" s="145">
        <v>1125</v>
      </c>
      <c r="I6" s="145">
        <v>1276</v>
      </c>
      <c r="J6" s="145">
        <v>1477</v>
      </c>
      <c r="K6" s="145">
        <v>1769</v>
      </c>
      <c r="L6" s="145">
        <v>2177</v>
      </c>
      <c r="M6" s="145">
        <v>3347</v>
      </c>
      <c r="N6" s="145">
        <v>4096</v>
      </c>
      <c r="O6" s="145">
        <v>5609</v>
      </c>
      <c r="P6" s="145">
        <v>6432</v>
      </c>
      <c r="Q6" s="118">
        <f>((P6/G6)^(1/($H$2-$H$1) ))-1</f>
        <v>0.24639851748350283</v>
      </c>
      <c r="R6" s="31">
        <v>0.1</v>
      </c>
      <c r="S6" s="153">
        <f>P6*(1+$R6)</f>
        <v>7075.2000000000007</v>
      </c>
      <c r="T6" s="153">
        <f>S6*(1+$R6)</f>
        <v>7782.7200000000012</v>
      </c>
      <c r="U6" s="153">
        <f t="shared" ref="U6:AB6" si="0">T6*(1+$R6)</f>
        <v>8560.992000000002</v>
      </c>
      <c r="V6" s="153">
        <f t="shared" si="0"/>
        <v>9417.0912000000026</v>
      </c>
      <c r="W6" s="153">
        <f t="shared" si="0"/>
        <v>10358.800320000004</v>
      </c>
      <c r="X6" s="153">
        <f t="shared" si="0"/>
        <v>11394.680352000005</v>
      </c>
      <c r="Y6" s="153">
        <f t="shared" si="0"/>
        <v>12534.148387200006</v>
      </c>
      <c r="Z6" s="153">
        <f t="shared" si="0"/>
        <v>13787.563225920008</v>
      </c>
      <c r="AA6" s="153">
        <f t="shared" si="0"/>
        <v>15166.31954851201</v>
      </c>
      <c r="AB6" s="153">
        <f t="shared" si="0"/>
        <v>16682.951503363212</v>
      </c>
      <c r="AC6" s="138">
        <f>((AB6/G6)^(1/($AB$3-$H$1) ))-1</f>
        <v>0.16706971163014428</v>
      </c>
      <c r="AD6" s="31">
        <v>0.08</v>
      </c>
      <c r="AE6" s="144">
        <f>(AB6*(1+AC6))/($C$1-AD6)</f>
        <v>278145.2485738541</v>
      </c>
    </row>
    <row r="7" spans="2:31" x14ac:dyDescent="0.2">
      <c r="B7" s="20" t="s">
        <v>240</v>
      </c>
      <c r="C7" s="141"/>
      <c r="D7" s="141"/>
      <c r="E7" s="145"/>
      <c r="F7" s="145">
        <v>861</v>
      </c>
      <c r="G7" s="145">
        <v>961</v>
      </c>
      <c r="H7" s="145">
        <v>1210</v>
      </c>
      <c r="I7" s="145">
        <v>1362</v>
      </c>
      <c r="J7" s="145">
        <v>1562</v>
      </c>
      <c r="K7" s="145">
        <v>1854</v>
      </c>
      <c r="L7" s="145">
        <v>2262</v>
      </c>
      <c r="M7" s="145">
        <v>3442</v>
      </c>
      <c r="N7" s="145">
        <v>4191</v>
      </c>
      <c r="O7" s="145">
        <v>5710</v>
      </c>
      <c r="P7" s="145">
        <v>6533</v>
      </c>
      <c r="Q7" s="118">
        <f>((P7/G7)^(1/($H$2-$H$1) ))-1</f>
        <v>0.23733613652450458</v>
      </c>
      <c r="R7" s="31">
        <v>0.1</v>
      </c>
      <c r="S7" s="153">
        <f t="shared" ref="S7:S14" si="1">P7*(1+$R7)</f>
        <v>7186.3</v>
      </c>
      <c r="T7" s="153">
        <f t="shared" ref="T7:AB7" si="2">S7*(1+$R7)</f>
        <v>7904.9300000000012</v>
      </c>
      <c r="U7" s="153">
        <f t="shared" si="2"/>
        <v>8695.4230000000025</v>
      </c>
      <c r="V7" s="153">
        <f t="shared" si="2"/>
        <v>9564.9653000000035</v>
      </c>
      <c r="W7" s="153">
        <f t="shared" si="2"/>
        <v>10521.461830000004</v>
      </c>
      <c r="X7" s="153">
        <f t="shared" si="2"/>
        <v>11573.608013000005</v>
      </c>
      <c r="Y7" s="153">
        <f t="shared" si="2"/>
        <v>12730.968814300006</v>
      </c>
      <c r="Z7" s="153">
        <f t="shared" si="2"/>
        <v>14004.065695730007</v>
      </c>
      <c r="AA7" s="153">
        <f t="shared" si="2"/>
        <v>15404.472265303009</v>
      </c>
      <c r="AB7" s="153">
        <f t="shared" si="2"/>
        <v>16944.919491833312</v>
      </c>
      <c r="AC7" s="138">
        <f>((AB7/G7)^(1/($AB$3-$H$1) ))-1</f>
        <v>0.16304250088050809</v>
      </c>
      <c r="AD7" s="31">
        <v>0.08</v>
      </c>
      <c r="AE7" s="144">
        <f>(AB7*(1+AC7))/($C$1-AD7)</f>
        <v>281538.02204286691</v>
      </c>
    </row>
    <row r="8" spans="2:31" x14ac:dyDescent="0.2">
      <c r="B8" s="20"/>
      <c r="C8" s="141"/>
      <c r="D8" s="141"/>
      <c r="E8" s="145"/>
      <c r="F8" s="145"/>
      <c r="G8" s="147">
        <f>(G7-F7)/G7</f>
        <v>0.1040582726326743</v>
      </c>
      <c r="H8" s="150">
        <f>(H7-G7)/H7</f>
        <v>0.20578512396694215</v>
      </c>
      <c r="I8" s="150">
        <f t="shared" ref="I8:P8" si="3">(I7-H7)/I7</f>
        <v>0.11160058737151249</v>
      </c>
      <c r="J8" s="150">
        <f t="shared" si="3"/>
        <v>0.12804097311139565</v>
      </c>
      <c r="K8" s="150">
        <f t="shared" si="3"/>
        <v>0.1574973031283711</v>
      </c>
      <c r="L8" s="150">
        <f t="shared" si="3"/>
        <v>0.18037135278514588</v>
      </c>
      <c r="M8" s="150">
        <f t="shared" si="3"/>
        <v>0.34282393957001744</v>
      </c>
      <c r="N8" s="150">
        <f t="shared" si="3"/>
        <v>0.17871629682653303</v>
      </c>
      <c r="O8" s="150">
        <f t="shared" si="3"/>
        <v>0.2660245183887916</v>
      </c>
      <c r="P8" s="150">
        <f t="shared" si="3"/>
        <v>0.12597581509260677</v>
      </c>
      <c r="Q8" s="128"/>
      <c r="R8" s="128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37"/>
      <c r="AD8" s="20"/>
      <c r="AE8" s="144"/>
    </row>
    <row r="9" spans="2:31" x14ac:dyDescent="0.2">
      <c r="B9" s="20" t="s">
        <v>323</v>
      </c>
      <c r="C9" s="141"/>
      <c r="D9" s="141"/>
      <c r="E9" s="145"/>
      <c r="F9" s="145">
        <v>7083</v>
      </c>
      <c r="G9" s="145">
        <v>8434</v>
      </c>
      <c r="H9" s="145">
        <v>10304</v>
      </c>
      <c r="I9" s="145">
        <v>12361</v>
      </c>
      <c r="J9" s="145">
        <v>14676</v>
      </c>
      <c r="K9" s="145">
        <v>19113</v>
      </c>
      <c r="L9" s="145">
        <v>23523</v>
      </c>
      <c r="M9" s="145">
        <v>31014</v>
      </c>
      <c r="N9" s="145">
        <v>40700</v>
      </c>
      <c r="O9" s="145">
        <v>44614</v>
      </c>
      <c r="P9" s="145">
        <v>54975</v>
      </c>
      <c r="Q9" s="118">
        <f t="shared" ref="Q9:Q14" si="4">((P9/G9)^(1/($H$2-$H$1) ))-1</f>
        <v>0.23156991477459443</v>
      </c>
      <c r="R9" s="31">
        <v>0.1</v>
      </c>
      <c r="S9" s="153">
        <f t="shared" ref="S9" si="5">P9*(1+$R9)</f>
        <v>60472.500000000007</v>
      </c>
      <c r="T9" s="153">
        <f t="shared" ref="T9" si="6">S9*(1+$R9)</f>
        <v>66519.750000000015</v>
      </c>
      <c r="U9" s="153">
        <f t="shared" ref="U9" si="7">T9*(1+$R9)</f>
        <v>73171.72500000002</v>
      </c>
      <c r="V9" s="153">
        <f t="shared" ref="V9" si="8">U9*(1+$R9)</f>
        <v>80488.897500000036</v>
      </c>
      <c r="W9" s="153">
        <f t="shared" ref="W9" si="9">V9*(1+$R9)</f>
        <v>88537.787250000052</v>
      </c>
      <c r="X9" s="153">
        <f t="shared" ref="X9" si="10">W9*(1+$R9)</f>
        <v>97391.565975000063</v>
      </c>
      <c r="Y9" s="153">
        <f t="shared" ref="Y9" si="11">X9*(1+$R9)</f>
        <v>107130.72257250008</v>
      </c>
      <c r="Z9" s="153">
        <f t="shared" ref="Z9" si="12">Y9*(1+$R9)</f>
        <v>117843.7948297501</v>
      </c>
      <c r="AA9" s="153">
        <f t="shared" ref="AA9" si="13">Z9*(1+$R9)</f>
        <v>129628.17431272512</v>
      </c>
      <c r="AB9" s="153">
        <f t="shared" ref="AB9" si="14">AA9*(1+$R9)</f>
        <v>142590.99174399764</v>
      </c>
      <c r="AC9" s="138">
        <f>((AB9/G9)^(1/($AB$3-$H$1) ))-1</f>
        <v>0.16047197678255043</v>
      </c>
      <c r="AD9" s="31">
        <v>0.08</v>
      </c>
      <c r="AE9" s="144">
        <f t="shared" ref="AE9:AE14" si="15">(AB9*(1+AC9))/($C$1-AD9)</f>
        <v>2363897.8580077328</v>
      </c>
    </row>
    <row r="10" spans="2:31" x14ac:dyDescent="0.2">
      <c r="B10" s="20" t="s">
        <v>324</v>
      </c>
      <c r="C10" s="141"/>
      <c r="D10" s="141"/>
      <c r="E10" s="145"/>
      <c r="F10" s="145">
        <v>321</v>
      </c>
      <c r="G10" s="145">
        <v>743</v>
      </c>
      <c r="H10" s="145">
        <v>743</v>
      </c>
      <c r="I10" s="145">
        <v>1419</v>
      </c>
      <c r="J10" s="145">
        <v>1655</v>
      </c>
      <c r="K10" s="145">
        <v>1231</v>
      </c>
      <c r="L10" s="145">
        <v>1897</v>
      </c>
      <c r="M10" s="145">
        <v>3743</v>
      </c>
      <c r="N10" s="145">
        <v>4462</v>
      </c>
      <c r="O10" s="145">
        <v>3255</v>
      </c>
      <c r="P10" s="145">
        <v>3729</v>
      </c>
      <c r="Q10" s="118">
        <f t="shared" si="4"/>
        <v>0.19631305219715345</v>
      </c>
      <c r="R10" s="31">
        <v>0.1</v>
      </c>
      <c r="S10" s="153">
        <f t="shared" si="1"/>
        <v>4101.9000000000005</v>
      </c>
      <c r="T10" s="153">
        <f t="shared" ref="T10:AB10" si="16">S10*(1+$R10)</f>
        <v>4512.0900000000011</v>
      </c>
      <c r="U10" s="153">
        <f t="shared" si="16"/>
        <v>4963.2990000000018</v>
      </c>
      <c r="V10" s="153">
        <f t="shared" si="16"/>
        <v>5459.6289000000024</v>
      </c>
      <c r="W10" s="153">
        <f t="shared" si="16"/>
        <v>6005.5917900000031</v>
      </c>
      <c r="X10" s="153">
        <f t="shared" si="16"/>
        <v>6606.1509690000039</v>
      </c>
      <c r="Y10" s="153">
        <f t="shared" si="16"/>
        <v>7266.7660659000048</v>
      </c>
      <c r="Z10" s="153">
        <f t="shared" si="16"/>
        <v>7993.4426724900059</v>
      </c>
      <c r="AA10" s="153">
        <f t="shared" si="16"/>
        <v>8792.7869397390077</v>
      </c>
      <c r="AB10" s="153">
        <f t="shared" si="16"/>
        <v>9672.0656337129094</v>
      </c>
      <c r="AC10" s="138">
        <f t="shared" ref="AC10:AC52" si="17">((AB10/G10)^(1/($AB$3-$H$1) ))-1</f>
        <v>0.14461516572756561</v>
      </c>
      <c r="AD10" s="31">
        <v>0.08</v>
      </c>
      <c r="AE10" s="144">
        <f t="shared" si="15"/>
        <v>158154.18583228849</v>
      </c>
    </row>
    <row r="11" spans="2:31" x14ac:dyDescent="0.2">
      <c r="B11" s="20"/>
      <c r="C11" s="141"/>
      <c r="D11" s="141"/>
      <c r="E11" s="145"/>
      <c r="F11" s="145"/>
      <c r="G11" s="147">
        <f>(G10-F10)/G10</f>
        <v>0.56796769851951545</v>
      </c>
      <c r="H11" s="146">
        <f>(H10-G10)/H10</f>
        <v>0</v>
      </c>
      <c r="I11" s="146">
        <f t="shared" ref="I11" si="18">(I10-H10)/I10</f>
        <v>0.4763918252290345</v>
      </c>
      <c r="J11" s="146">
        <f t="shared" ref="J11" si="19">(J10-I10)/J10</f>
        <v>0.14259818731117824</v>
      </c>
      <c r="K11" s="146">
        <f t="shared" ref="K11" si="20">(K10-J10)/K10</f>
        <v>-0.34443541835905767</v>
      </c>
      <c r="L11" s="146">
        <f t="shared" ref="L11" si="21">(L10-K10)/L10</f>
        <v>0.35108065366367952</v>
      </c>
      <c r="M11" s="146">
        <f t="shared" ref="M11" si="22">(M10-L10)/M10</f>
        <v>0.49318728292813252</v>
      </c>
      <c r="N11" s="146">
        <f t="shared" ref="N11" si="23">(N10-M10)/N10</f>
        <v>0.16113850291349172</v>
      </c>
      <c r="O11" s="146">
        <f t="shared" ref="O11" si="24">(O10-N10)/O10</f>
        <v>-0.37081413210445469</v>
      </c>
      <c r="P11" s="146">
        <f t="shared" ref="P11" si="25">(P10-O10)/P10</f>
        <v>0.12711182622687048</v>
      </c>
      <c r="Q11" s="128"/>
      <c r="R11" s="128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19"/>
      <c r="AD11" s="119"/>
      <c r="AE11" s="153"/>
    </row>
    <row r="12" spans="2:31" x14ac:dyDescent="0.2">
      <c r="B12" s="20" t="s">
        <v>218</v>
      </c>
      <c r="C12" s="141"/>
      <c r="D12" s="141"/>
      <c r="E12" s="145"/>
      <c r="F12" s="145">
        <v>292</v>
      </c>
      <c r="G12" s="145">
        <v>134</v>
      </c>
      <c r="H12" s="145">
        <v>90</v>
      </c>
      <c r="I12" s="145">
        <v>328</v>
      </c>
      <c r="J12" s="145">
        <v>220</v>
      </c>
      <c r="K12" s="145">
        <v>794</v>
      </c>
      <c r="L12" s="145">
        <v>1148</v>
      </c>
      <c r="M12" s="145">
        <v>1433</v>
      </c>
      <c r="N12" s="145">
        <v>1415</v>
      </c>
      <c r="O12" s="145">
        <v>171</v>
      </c>
      <c r="P12" s="145">
        <v>195</v>
      </c>
      <c r="Q12" s="118">
        <f t="shared" si="4"/>
        <v>4.2565411559509325E-2</v>
      </c>
      <c r="R12" s="31">
        <v>0.1</v>
      </c>
      <c r="S12" s="153">
        <f t="shared" si="1"/>
        <v>214.50000000000003</v>
      </c>
      <c r="T12" s="153">
        <f t="shared" ref="T12:AB12" si="26">S12*(1+$R12)</f>
        <v>235.95000000000005</v>
      </c>
      <c r="U12" s="153">
        <f t="shared" si="26"/>
        <v>259.54500000000007</v>
      </c>
      <c r="V12" s="153">
        <f t="shared" si="26"/>
        <v>285.49950000000013</v>
      </c>
      <c r="W12" s="153">
        <f t="shared" si="26"/>
        <v>314.04945000000015</v>
      </c>
      <c r="X12" s="153">
        <f t="shared" si="26"/>
        <v>345.4543950000002</v>
      </c>
      <c r="Y12" s="153">
        <f t="shared" si="26"/>
        <v>379.99983450000025</v>
      </c>
      <c r="Z12" s="153">
        <f t="shared" si="26"/>
        <v>417.99981795000031</v>
      </c>
      <c r="AA12" s="153">
        <f t="shared" si="26"/>
        <v>459.79979974500037</v>
      </c>
      <c r="AB12" s="153">
        <f t="shared" si="26"/>
        <v>505.77977971950043</v>
      </c>
      <c r="AC12" s="138">
        <f t="shared" si="17"/>
        <v>7.2410054442966665E-2</v>
      </c>
      <c r="AD12" s="31">
        <v>0.08</v>
      </c>
      <c r="AE12" s="144">
        <f t="shared" si="15"/>
        <v>7748.6188729305886</v>
      </c>
    </row>
    <row r="13" spans="2:31" x14ac:dyDescent="0.2">
      <c r="B13" s="20" t="s">
        <v>300</v>
      </c>
      <c r="C13" s="141"/>
      <c r="D13" s="141"/>
      <c r="E13" s="145"/>
      <c r="F13" s="145">
        <v>18</v>
      </c>
      <c r="G13" s="145">
        <v>24</v>
      </c>
      <c r="H13" s="145">
        <v>25</v>
      </c>
      <c r="I13" s="145">
        <v>24.24</v>
      </c>
      <c r="J13" s="145">
        <v>30</v>
      </c>
      <c r="K13" s="145">
        <v>30</v>
      </c>
      <c r="L13" s="145">
        <v>44</v>
      </c>
      <c r="M13" s="145">
        <v>45</v>
      </c>
      <c r="N13" s="145">
        <v>45</v>
      </c>
      <c r="O13" s="145">
        <v>74</v>
      </c>
      <c r="P13" s="145">
        <v>73</v>
      </c>
      <c r="Q13" s="118">
        <f t="shared" si="4"/>
        <v>0.13156386064186432</v>
      </c>
      <c r="R13" s="31">
        <v>0.1</v>
      </c>
      <c r="S13" s="153">
        <f t="shared" si="1"/>
        <v>80.300000000000011</v>
      </c>
      <c r="T13" s="153">
        <f t="shared" ref="T13:AB13" si="27">S13*(1+$R13)</f>
        <v>88.330000000000027</v>
      </c>
      <c r="U13" s="153">
        <f t="shared" si="27"/>
        <v>97.163000000000039</v>
      </c>
      <c r="V13" s="153">
        <f t="shared" si="27"/>
        <v>106.87930000000006</v>
      </c>
      <c r="W13" s="153">
        <f t="shared" si="27"/>
        <v>117.56723000000007</v>
      </c>
      <c r="X13" s="153">
        <f t="shared" si="27"/>
        <v>129.32395300000007</v>
      </c>
      <c r="Y13" s="153">
        <f t="shared" si="27"/>
        <v>142.2563483000001</v>
      </c>
      <c r="Z13" s="153">
        <f t="shared" si="27"/>
        <v>156.48198313000012</v>
      </c>
      <c r="AA13" s="153">
        <f t="shared" si="27"/>
        <v>172.13018144300014</v>
      </c>
      <c r="AB13" s="153">
        <f t="shared" si="27"/>
        <v>189.34319958730018</v>
      </c>
      <c r="AC13" s="138">
        <f t="shared" si="17"/>
        <v>0.11484002162509244</v>
      </c>
      <c r="AD13" s="31">
        <v>0.08</v>
      </c>
      <c r="AE13" s="144">
        <f t="shared" si="15"/>
        <v>3015.5339531781419</v>
      </c>
    </row>
    <row r="14" spans="2:31" x14ac:dyDescent="0.2">
      <c r="B14" s="20"/>
      <c r="C14" s="141"/>
      <c r="D14" s="141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18" t="e">
        <f t="shared" si="4"/>
        <v>#DIV/0!</v>
      </c>
      <c r="R14" s="31">
        <v>0.1</v>
      </c>
      <c r="S14" s="153">
        <f t="shared" si="1"/>
        <v>0</v>
      </c>
      <c r="T14" s="153">
        <f t="shared" ref="T14:AB14" si="28">S14*(1+$R14)</f>
        <v>0</v>
      </c>
      <c r="U14" s="153">
        <f t="shared" si="28"/>
        <v>0</v>
      </c>
      <c r="V14" s="153">
        <f t="shared" si="28"/>
        <v>0</v>
      </c>
      <c r="W14" s="153">
        <f t="shared" si="28"/>
        <v>0</v>
      </c>
      <c r="X14" s="153">
        <f t="shared" si="28"/>
        <v>0</v>
      </c>
      <c r="Y14" s="153">
        <f t="shared" si="28"/>
        <v>0</v>
      </c>
      <c r="Z14" s="153">
        <f t="shared" si="28"/>
        <v>0</v>
      </c>
      <c r="AA14" s="153">
        <f t="shared" si="28"/>
        <v>0</v>
      </c>
      <c r="AB14" s="153">
        <f t="shared" si="28"/>
        <v>0</v>
      </c>
      <c r="AC14" s="138" t="e">
        <f t="shared" si="17"/>
        <v>#DIV/0!</v>
      </c>
      <c r="AD14" s="31">
        <v>0.08</v>
      </c>
      <c r="AE14" s="144" t="e">
        <f t="shared" si="15"/>
        <v>#DIV/0!</v>
      </c>
    </row>
    <row r="15" spans="2:31" x14ac:dyDescent="0.2">
      <c r="B15" s="20" t="s">
        <v>322</v>
      </c>
      <c r="C15" s="141"/>
      <c r="D15" s="141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28"/>
      <c r="R15" s="128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39"/>
      <c r="AD15" s="20"/>
      <c r="AE15" s="153"/>
    </row>
    <row r="16" spans="2:31" x14ac:dyDescent="0.2">
      <c r="B16" s="20" t="s">
        <v>325</v>
      </c>
      <c r="C16" s="141"/>
      <c r="D16" s="141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18" t="e">
        <f>((P16/G16)^(1/($H$2-$H$1) ))-1</f>
        <v>#DIV/0!</v>
      </c>
      <c r="R16" s="31">
        <v>0.1</v>
      </c>
      <c r="S16" s="153">
        <f t="shared" ref="S16:S40" si="29">P16*(1+$R16)</f>
        <v>0</v>
      </c>
      <c r="T16" s="153">
        <f t="shared" ref="T16:T35" si="30">S16*(1+$R16)</f>
        <v>0</v>
      </c>
      <c r="U16" s="153">
        <f t="shared" ref="U16:U35" si="31">T16*(1+$R16)</f>
        <v>0</v>
      </c>
      <c r="V16" s="153">
        <f t="shared" ref="V16:V35" si="32">U16*(1+$R16)</f>
        <v>0</v>
      </c>
      <c r="W16" s="153">
        <f t="shared" ref="W16:W47" si="33">V16*(1+$R16)</f>
        <v>0</v>
      </c>
      <c r="X16" s="153">
        <f t="shared" ref="X16:X47" si="34">W16*(1+$R16)</f>
        <v>0</v>
      </c>
      <c r="Y16" s="153">
        <f t="shared" ref="Y16:Y47" si="35">X16*(1+$R16)</f>
        <v>0</v>
      </c>
      <c r="Z16" s="153">
        <f t="shared" ref="Z16:Z47" si="36">Y16*(1+$R16)</f>
        <v>0</v>
      </c>
      <c r="AA16" s="153">
        <f t="shared" ref="AA16:AA47" si="37">Z16*(1+$R16)</f>
        <v>0</v>
      </c>
      <c r="AB16" s="153">
        <f t="shared" ref="AB16:AB47" si="38">AA16*(1+$R16)</f>
        <v>0</v>
      </c>
      <c r="AC16" s="138" t="e">
        <f t="shared" si="17"/>
        <v>#DIV/0!</v>
      </c>
      <c r="AD16" s="31">
        <v>0.08</v>
      </c>
      <c r="AE16" s="144" t="e">
        <f>(AB16*(1+AC16))/($C$1-AD16)</f>
        <v>#DIV/0!</v>
      </c>
    </row>
    <row r="17" spans="2:31" x14ac:dyDescent="0.2">
      <c r="B17" s="20"/>
      <c r="C17" s="141"/>
      <c r="D17" s="141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28"/>
      <c r="R17" s="128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19"/>
      <c r="AD17" s="119"/>
      <c r="AE17" s="153"/>
    </row>
    <row r="18" spans="2:31" x14ac:dyDescent="0.2">
      <c r="B18" s="20" t="s">
        <v>268</v>
      </c>
      <c r="C18" s="141"/>
      <c r="D18" s="141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18" t="e">
        <f>((P18/G18)^(1/($H$2-$H$1) ))-1</f>
        <v>#DIV/0!</v>
      </c>
      <c r="R18" s="31">
        <v>0.1</v>
      </c>
      <c r="S18" s="153">
        <f t="shared" ref="S18:S20" si="39">P18*(1+$R18)</f>
        <v>0</v>
      </c>
      <c r="T18" s="153">
        <f t="shared" ref="T18:T20" si="40">S18*(1+$R18)</f>
        <v>0</v>
      </c>
      <c r="U18" s="153">
        <f t="shared" ref="U18:U20" si="41">T18*(1+$R18)</f>
        <v>0</v>
      </c>
      <c r="V18" s="153">
        <f t="shared" ref="V18:V20" si="42">U18*(1+$R18)</f>
        <v>0</v>
      </c>
      <c r="W18" s="153">
        <f t="shared" ref="W18:W20" si="43">V18*(1+$R18)</f>
        <v>0</v>
      </c>
      <c r="X18" s="153">
        <f t="shared" ref="X18:X20" si="44">W18*(1+$R18)</f>
        <v>0</v>
      </c>
      <c r="Y18" s="153">
        <f t="shared" ref="Y18:Y20" si="45">X18*(1+$R18)</f>
        <v>0</v>
      </c>
      <c r="Z18" s="153">
        <f t="shared" ref="Z18:Z20" si="46">Y18*(1+$R18)</f>
        <v>0</v>
      </c>
      <c r="AA18" s="153">
        <f t="shared" ref="AA18:AA20" si="47">Z18*(1+$R18)</f>
        <v>0</v>
      </c>
      <c r="AB18" s="153">
        <f t="shared" ref="AB18:AB20" si="48">AA18*(1+$R18)</f>
        <v>0</v>
      </c>
      <c r="AC18" s="138" t="e">
        <f t="shared" ref="AC18:AC20" si="49">((AB18/G18)^(1/($AB$3-$H$1) ))-1</f>
        <v>#DIV/0!</v>
      </c>
      <c r="AD18" s="31">
        <v>0.05</v>
      </c>
      <c r="AE18" s="144" t="e">
        <f>(AB18*(1+AC18))/($C$1-AD18)</f>
        <v>#DIV/0!</v>
      </c>
    </row>
    <row r="19" spans="2:31" x14ac:dyDescent="0.2">
      <c r="B19" s="20" t="s">
        <v>269</v>
      </c>
      <c r="C19" s="141"/>
      <c r="D19" s="141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18" t="e">
        <f>((P19/G19)^(1/($H$2-$H$1) ))-1</f>
        <v>#DIV/0!</v>
      </c>
      <c r="R19" s="31">
        <v>0.1</v>
      </c>
      <c r="S19" s="153">
        <f t="shared" si="39"/>
        <v>0</v>
      </c>
      <c r="T19" s="153">
        <f t="shared" si="40"/>
        <v>0</v>
      </c>
      <c r="U19" s="153">
        <f t="shared" si="41"/>
        <v>0</v>
      </c>
      <c r="V19" s="153">
        <f t="shared" si="42"/>
        <v>0</v>
      </c>
      <c r="W19" s="153">
        <f t="shared" si="43"/>
        <v>0</v>
      </c>
      <c r="X19" s="153">
        <f t="shared" si="44"/>
        <v>0</v>
      </c>
      <c r="Y19" s="153">
        <f t="shared" si="45"/>
        <v>0</v>
      </c>
      <c r="Z19" s="153">
        <f t="shared" si="46"/>
        <v>0</v>
      </c>
      <c r="AA19" s="153">
        <f t="shared" si="47"/>
        <v>0</v>
      </c>
      <c r="AB19" s="153">
        <f t="shared" si="48"/>
        <v>0</v>
      </c>
      <c r="AC19" s="138" t="e">
        <f t="shared" si="49"/>
        <v>#DIV/0!</v>
      </c>
      <c r="AD19" s="31">
        <v>0.05</v>
      </c>
      <c r="AE19" s="144" t="e">
        <f>(AB19*(1+AC19))/($C$1-AD19)</f>
        <v>#DIV/0!</v>
      </c>
    </row>
    <row r="20" spans="2:31" x14ac:dyDescent="0.2">
      <c r="B20" s="20" t="s">
        <v>270</v>
      </c>
      <c r="C20" s="141"/>
      <c r="D20" s="141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18" t="e">
        <f>((P20/G20)^(1/($H$2-$H$1) ))-1</f>
        <v>#DIV/0!</v>
      </c>
      <c r="R20" s="31">
        <v>0.1</v>
      </c>
      <c r="S20" s="153">
        <f t="shared" si="39"/>
        <v>0</v>
      </c>
      <c r="T20" s="153">
        <f t="shared" si="40"/>
        <v>0</v>
      </c>
      <c r="U20" s="153">
        <f t="shared" si="41"/>
        <v>0</v>
      </c>
      <c r="V20" s="153">
        <f t="shared" si="42"/>
        <v>0</v>
      </c>
      <c r="W20" s="153">
        <f t="shared" si="43"/>
        <v>0</v>
      </c>
      <c r="X20" s="153">
        <f t="shared" si="44"/>
        <v>0</v>
      </c>
      <c r="Y20" s="153">
        <f t="shared" si="45"/>
        <v>0</v>
      </c>
      <c r="Z20" s="153">
        <f t="shared" si="46"/>
        <v>0</v>
      </c>
      <c r="AA20" s="153">
        <f t="shared" si="47"/>
        <v>0</v>
      </c>
      <c r="AB20" s="153">
        <f t="shared" si="48"/>
        <v>0</v>
      </c>
      <c r="AC20" s="138" t="e">
        <f t="shared" si="49"/>
        <v>#DIV/0!</v>
      </c>
      <c r="AD20" s="31">
        <v>0.05</v>
      </c>
      <c r="AE20" s="144" t="e">
        <f>(AB20*(1+AC20))/($C$1-AD20)</f>
        <v>#DIV/0!</v>
      </c>
    </row>
    <row r="21" spans="2:31" x14ac:dyDescent="0.2">
      <c r="B21" s="20" t="s">
        <v>276</v>
      </c>
      <c r="C21" s="141"/>
      <c r="D21" s="141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18" t="e">
        <f>((P21/G21)^(1/($H$2-$H$1) ))-1</f>
        <v>#DIV/0!</v>
      </c>
      <c r="R21" s="31">
        <v>0.1</v>
      </c>
      <c r="S21" s="153">
        <f t="shared" ref="S21" si="50">P21*(1+$R21)</f>
        <v>0</v>
      </c>
      <c r="T21" s="153">
        <f t="shared" ref="T21" si="51">S21*(1+$R21)</f>
        <v>0</v>
      </c>
      <c r="U21" s="153">
        <f t="shared" ref="U21" si="52">T21*(1+$R21)</f>
        <v>0</v>
      </c>
      <c r="V21" s="153">
        <f t="shared" ref="V21" si="53">U21*(1+$R21)</f>
        <v>0</v>
      </c>
      <c r="W21" s="153">
        <f t="shared" ref="W21" si="54">V21*(1+$R21)</f>
        <v>0</v>
      </c>
      <c r="X21" s="153">
        <f t="shared" ref="X21" si="55">W21*(1+$R21)</f>
        <v>0</v>
      </c>
      <c r="Y21" s="153">
        <f t="shared" ref="Y21" si="56">X21*(1+$R21)</f>
        <v>0</v>
      </c>
      <c r="Z21" s="153">
        <f t="shared" ref="Z21" si="57">Y21*(1+$R21)</f>
        <v>0</v>
      </c>
      <c r="AA21" s="153">
        <f t="shared" ref="AA21" si="58">Z21*(1+$R21)</f>
        <v>0</v>
      </c>
      <c r="AB21" s="153">
        <f t="shared" ref="AB21" si="59">AA21*(1+$R21)</f>
        <v>0</v>
      </c>
      <c r="AC21" s="138" t="e">
        <f t="shared" ref="AC21" si="60">((AB21/G21)^(1/($AB$3-$H$1) ))-1</f>
        <v>#DIV/0!</v>
      </c>
      <c r="AD21" s="31">
        <v>0.05</v>
      </c>
      <c r="AE21" s="144" t="e">
        <f>(AB21*(1+AC21))/($C$1-AD21)</f>
        <v>#DIV/0!</v>
      </c>
    </row>
    <row r="22" spans="2:31" x14ac:dyDescent="0.2">
      <c r="B22" s="20"/>
      <c r="C22" s="141"/>
      <c r="D22" s="141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28"/>
      <c r="R22" s="128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19"/>
      <c r="AD22" s="119"/>
      <c r="AE22" s="153"/>
    </row>
    <row r="23" spans="2:31" x14ac:dyDescent="0.2">
      <c r="B23" s="20" t="s">
        <v>296</v>
      </c>
      <c r="C23" s="141"/>
      <c r="D23" s="141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18" t="e">
        <f>((P23/G23)^(1/($H$2-$H$1) ))-1</f>
        <v>#DIV/0!</v>
      </c>
      <c r="R23" s="31">
        <v>0.11</v>
      </c>
      <c r="S23" s="153">
        <f t="shared" ref="S23:S31" si="61">P23*(1+$R23)</f>
        <v>0</v>
      </c>
      <c r="T23" s="153">
        <f t="shared" ref="T23:T31" si="62">S23*(1+$R23)</f>
        <v>0</v>
      </c>
      <c r="U23" s="153">
        <f t="shared" ref="U23:U31" si="63">T23*(1+$R23)</f>
        <v>0</v>
      </c>
      <c r="V23" s="153">
        <f t="shared" ref="V23:V31" si="64">U23*(1+$R23)</f>
        <v>0</v>
      </c>
      <c r="W23" s="153">
        <f t="shared" ref="W23:W31" si="65">V23*(1+$R23)</f>
        <v>0</v>
      </c>
      <c r="X23" s="153">
        <f t="shared" ref="X23:X31" si="66">W23*(1+$R23)</f>
        <v>0</v>
      </c>
      <c r="Y23" s="153">
        <f t="shared" ref="Y23:Y31" si="67">X23*(1+$R23)</f>
        <v>0</v>
      </c>
      <c r="Z23" s="153">
        <f t="shared" ref="Z23:Z31" si="68">Y23*(1+$R23)</f>
        <v>0</v>
      </c>
      <c r="AA23" s="153">
        <f t="shared" ref="AA23:AA31" si="69">Z23*(1+$R23)</f>
        <v>0</v>
      </c>
      <c r="AB23" s="153">
        <f t="shared" ref="AB23:AB31" si="70">AA23*(1+$R23)</f>
        <v>0</v>
      </c>
      <c r="AC23" s="138" t="e">
        <f t="shared" ref="AC23:AC31" si="71">((AB23/G23)^(1/($AB$3-$H$1) ))-1</f>
        <v>#DIV/0!</v>
      </c>
      <c r="AD23" s="31">
        <v>0.05</v>
      </c>
      <c r="AE23" s="144" t="e">
        <f>(AB23*(1+AC23))/($C$1-AD23)</f>
        <v>#DIV/0!</v>
      </c>
    </row>
    <row r="24" spans="2:31" x14ac:dyDescent="0.2">
      <c r="B24" s="20"/>
      <c r="C24" s="141"/>
      <c r="D24" s="141"/>
      <c r="E24" s="145"/>
      <c r="F24" s="145"/>
      <c r="G24" s="147" t="e">
        <f>(G23-F23)/G23</f>
        <v>#DIV/0!</v>
      </c>
      <c r="H24" s="147" t="e">
        <f>(H23-G23)/H23</f>
        <v>#DIV/0!</v>
      </c>
      <c r="I24" s="147" t="e">
        <f t="shared" ref="I24" si="72">(I23-H23)/I23</f>
        <v>#DIV/0!</v>
      </c>
      <c r="J24" s="147" t="e">
        <f t="shared" ref="J24" si="73">(J23-I23)/J23</f>
        <v>#DIV/0!</v>
      </c>
      <c r="K24" s="147" t="e">
        <f t="shared" ref="K24" si="74">(K23-J23)/K23</f>
        <v>#DIV/0!</v>
      </c>
      <c r="L24" s="147" t="e">
        <f t="shared" ref="L24" si="75">(L23-K23)/L23</f>
        <v>#DIV/0!</v>
      </c>
      <c r="M24" s="147" t="e">
        <f t="shared" ref="M24" si="76">(M23-L23)/M23</f>
        <v>#DIV/0!</v>
      </c>
      <c r="N24" s="147" t="e">
        <f t="shared" ref="N24" si="77">(N23-M23)/N23</f>
        <v>#DIV/0!</v>
      </c>
      <c r="O24" s="147" t="e">
        <f t="shared" ref="O24" si="78">(O23-N23)/O23</f>
        <v>#DIV/0!</v>
      </c>
      <c r="P24" s="147" t="e">
        <f t="shared" ref="P24" si="79">(P23-O23)/P23</f>
        <v>#DIV/0!</v>
      </c>
      <c r="Q24" s="3"/>
      <c r="R24" s="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39"/>
      <c r="AD24" s="128"/>
      <c r="AE24" s="144"/>
    </row>
    <row r="25" spans="2:31" x14ac:dyDescent="0.2">
      <c r="B25" s="20" t="s">
        <v>326</v>
      </c>
      <c r="C25" s="141"/>
      <c r="D25" s="141"/>
      <c r="E25" s="145"/>
      <c r="F25" s="145">
        <f t="shared" ref="F25:K25" si="80">F9+F10</f>
        <v>7404</v>
      </c>
      <c r="G25" s="145">
        <f t="shared" si="80"/>
        <v>9177</v>
      </c>
      <c r="H25" s="145">
        <f t="shared" si="80"/>
        <v>11047</v>
      </c>
      <c r="I25" s="145">
        <f t="shared" si="80"/>
        <v>13780</v>
      </c>
      <c r="J25" s="145">
        <f t="shared" si="80"/>
        <v>16331</v>
      </c>
      <c r="K25" s="145">
        <f t="shared" si="80"/>
        <v>20344</v>
      </c>
      <c r="L25" s="145">
        <f>L9+L10</f>
        <v>25420</v>
      </c>
      <c r="M25" s="145">
        <f t="shared" ref="M25:P25" si="81">M9+M10</f>
        <v>34757</v>
      </c>
      <c r="N25" s="145">
        <f t="shared" si="81"/>
        <v>45162</v>
      </c>
      <c r="O25" s="145">
        <f t="shared" si="81"/>
        <v>47869</v>
      </c>
      <c r="P25" s="145">
        <f t="shared" si="81"/>
        <v>58704</v>
      </c>
      <c r="Q25" s="118">
        <f>((P25/G25)^(1/($H$2-$H$1) ))-1</f>
        <v>0.22900000526025255</v>
      </c>
      <c r="R25" s="31">
        <v>0.1</v>
      </c>
      <c r="S25" s="153">
        <f t="shared" ref="S25" si="82">P25*(1+$R25)</f>
        <v>64574.400000000009</v>
      </c>
      <c r="T25" s="153">
        <f t="shared" ref="T25" si="83">S25*(1+$R25)</f>
        <v>71031.840000000011</v>
      </c>
      <c r="U25" s="153">
        <f t="shared" ref="U25" si="84">T25*(1+$R25)</f>
        <v>78135.024000000019</v>
      </c>
      <c r="V25" s="153">
        <f t="shared" ref="V25" si="85">U25*(1+$R25)</f>
        <v>85948.526400000032</v>
      </c>
      <c r="W25" s="153">
        <f t="shared" ref="W25" si="86">V25*(1+$R25)</f>
        <v>94543.379040000043</v>
      </c>
      <c r="X25" s="153">
        <f t="shared" ref="X25" si="87">W25*(1+$R25)</f>
        <v>103997.71694400006</v>
      </c>
      <c r="Y25" s="153">
        <f t="shared" ref="Y25" si="88">X25*(1+$R25)</f>
        <v>114397.48863840007</v>
      </c>
      <c r="Z25" s="153">
        <f t="shared" ref="Z25" si="89">Y25*(1+$R25)</f>
        <v>125837.23750224008</v>
      </c>
      <c r="AA25" s="153">
        <f t="shared" ref="AA25" si="90">Z25*(1+$R25)</f>
        <v>138420.9612524641</v>
      </c>
      <c r="AB25" s="153">
        <f t="shared" ref="AB25" si="91">AA25*(1+$R25)</f>
        <v>152263.05737771053</v>
      </c>
      <c r="AC25" s="138">
        <f t="shared" ref="AC25" si="92">((AB25/G25)^(1/($AB$3-$H$1) ))-1</f>
        <v>0.15932429629222389</v>
      </c>
      <c r="AD25" s="31">
        <v>0.05</v>
      </c>
      <c r="AE25" s="144">
        <f>(AB25*(1+AC25))/($C$1-AD25)</f>
        <v>1765222.6184571679</v>
      </c>
    </row>
    <row r="26" spans="2:31" x14ac:dyDescent="0.2">
      <c r="B26" s="20"/>
      <c r="C26" s="141"/>
      <c r="D26" s="141"/>
      <c r="E26" s="145"/>
      <c r="F26" s="145"/>
      <c r="G26" s="147">
        <f>(G25-F25)/G25</f>
        <v>0.19320039228506047</v>
      </c>
      <c r="H26" s="147">
        <f>(H25-G25)/H25</f>
        <v>0.16927672671313479</v>
      </c>
      <c r="I26" s="147">
        <f t="shared" ref="I26" si="93">(I25-H25)/I25</f>
        <v>0.19833091436865022</v>
      </c>
      <c r="J26" s="147">
        <f t="shared" ref="J26" si="94">(J25-I25)/J25</f>
        <v>0.15620598861061785</v>
      </c>
      <c r="K26" s="147">
        <f t="shared" ref="K26" si="95">(K25-J25)/K25</f>
        <v>0.19725717656311442</v>
      </c>
      <c r="L26" s="147">
        <f t="shared" ref="L26" si="96">(L25-K25)/L25</f>
        <v>0.19968528717545239</v>
      </c>
      <c r="M26" s="147">
        <f t="shared" ref="M26" si="97">(M25-L25)/M25</f>
        <v>0.26863653364789825</v>
      </c>
      <c r="N26" s="147">
        <f t="shared" ref="N26" si="98">(N25-M25)/N25</f>
        <v>0.23039280811301538</v>
      </c>
      <c r="O26" s="147">
        <f t="shared" ref="O26" si="99">(O25-N25)/O25</f>
        <v>5.6550168167289895E-2</v>
      </c>
      <c r="P26" s="147">
        <f t="shared" ref="P26" si="100">(P25-O25)/P25</f>
        <v>0.184570046334151</v>
      </c>
      <c r="Q26" s="3"/>
      <c r="R26" s="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39"/>
      <c r="AD26" s="128"/>
      <c r="AE26" s="144"/>
    </row>
    <row r="27" spans="2:31" x14ac:dyDescent="0.2">
      <c r="B27" s="20" t="s">
        <v>301</v>
      </c>
      <c r="C27" s="141"/>
      <c r="D27" s="141"/>
      <c r="E27" s="145"/>
      <c r="F27" s="145">
        <v>62</v>
      </c>
      <c r="G27" s="145">
        <v>103</v>
      </c>
      <c r="H27" s="145">
        <v>93</v>
      </c>
      <c r="I27" s="145">
        <v>313</v>
      </c>
      <c r="J27" s="145">
        <v>281</v>
      </c>
      <c r="K27" s="145">
        <v>359</v>
      </c>
      <c r="L27" s="145">
        <v>391</v>
      </c>
      <c r="M27" s="145">
        <v>408</v>
      </c>
      <c r="N27" s="145">
        <v>700</v>
      </c>
      <c r="O27" s="145">
        <v>893</v>
      </c>
      <c r="P27" s="145">
        <v>992</v>
      </c>
      <c r="Q27" s="118">
        <f>((P27/G27)^(1/($H$2-$H$1) ))-1</f>
        <v>0.28616640297802376</v>
      </c>
      <c r="R27" s="31">
        <v>0.1</v>
      </c>
      <c r="S27" s="153">
        <f t="shared" ref="S27" si="101">P27*(1+$R27)</f>
        <v>1091.2</v>
      </c>
      <c r="T27" s="153">
        <f t="shared" ref="T27" si="102">S27*(1+$R27)</f>
        <v>1200.3200000000002</v>
      </c>
      <c r="U27" s="153">
        <f t="shared" ref="U27" si="103">T27*(1+$R27)</f>
        <v>1320.3520000000003</v>
      </c>
      <c r="V27" s="153">
        <f t="shared" ref="V27" si="104">U27*(1+$R27)</f>
        <v>1452.3872000000006</v>
      </c>
      <c r="W27" s="153">
        <f t="shared" ref="W27" si="105">V27*(1+$R27)</f>
        <v>1597.6259200000009</v>
      </c>
      <c r="X27" s="153">
        <f t="shared" ref="X27" si="106">W27*(1+$R27)</f>
        <v>1757.3885120000011</v>
      </c>
      <c r="Y27" s="153">
        <f t="shared" ref="Y27" si="107">X27*(1+$R27)</f>
        <v>1933.1273632000014</v>
      </c>
      <c r="Z27" s="153">
        <f t="shared" ref="Z27" si="108">Y27*(1+$R27)</f>
        <v>2126.4400995200017</v>
      </c>
      <c r="AA27" s="153">
        <f t="shared" ref="AA27" si="109">Z27*(1+$R27)</f>
        <v>2339.0841094720022</v>
      </c>
      <c r="AB27" s="153">
        <f t="shared" ref="AB27" si="110">AA27*(1+$R27)</f>
        <v>2572.9925204192027</v>
      </c>
      <c r="AC27" s="138">
        <f t="shared" ref="AC27" si="111">((AB27/G27)^(1/($AB$3-$H$1) ))-1</f>
        <v>0.18456245405862903</v>
      </c>
      <c r="AD27" s="31">
        <v>0.05</v>
      </c>
      <c r="AE27" s="144">
        <f>(AB27*(1+AC27))/($C$1-AD27)</f>
        <v>30478.703342622681</v>
      </c>
    </row>
    <row r="28" spans="2:31" x14ac:dyDescent="0.2">
      <c r="B28" s="20"/>
      <c r="C28" s="141"/>
      <c r="D28" s="141"/>
      <c r="E28" s="145"/>
      <c r="F28" s="145"/>
      <c r="G28" s="147">
        <f>(G27-F27)/G27</f>
        <v>0.39805825242718446</v>
      </c>
      <c r="H28" s="147">
        <f>(H27-G27)/H27</f>
        <v>-0.10752688172043011</v>
      </c>
      <c r="I28" s="147">
        <f t="shared" ref="I28" si="112">(I27-H27)/I27</f>
        <v>0.70287539936102239</v>
      </c>
      <c r="J28" s="147">
        <f t="shared" ref="J28" si="113">(J27-I27)/J27</f>
        <v>-0.11387900355871886</v>
      </c>
      <c r="K28" s="147">
        <f t="shared" ref="K28" si="114">(K27-J27)/K27</f>
        <v>0.21727019498607242</v>
      </c>
      <c r="L28" s="147">
        <f t="shared" ref="L28" si="115">(L27-K27)/L27</f>
        <v>8.1841432225063945E-2</v>
      </c>
      <c r="M28" s="147">
        <f t="shared" ref="M28" si="116">(M27-L27)/M27</f>
        <v>4.1666666666666664E-2</v>
      </c>
      <c r="N28" s="147">
        <f t="shared" ref="N28" si="117">(N27-M27)/N27</f>
        <v>0.41714285714285715</v>
      </c>
      <c r="O28" s="147">
        <f t="shared" ref="O28" si="118">(O27-N27)/O27</f>
        <v>0.21612541993281076</v>
      </c>
      <c r="P28" s="147">
        <f t="shared" ref="P28" si="119">(P27-O27)/P27</f>
        <v>9.9798387096774188E-2</v>
      </c>
      <c r="Q28" s="3"/>
      <c r="R28" s="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39"/>
      <c r="AD28" s="128"/>
      <c r="AE28" s="144"/>
    </row>
    <row r="29" spans="2:31" x14ac:dyDescent="0.2">
      <c r="B29" s="20" t="s">
        <v>297</v>
      </c>
      <c r="C29" s="141"/>
      <c r="D29" s="141"/>
      <c r="E29" s="145"/>
      <c r="F29" s="145">
        <v>7843</v>
      </c>
      <c r="G29" s="145">
        <v>9960</v>
      </c>
      <c r="H29" s="145">
        <v>12420</v>
      </c>
      <c r="I29" s="145">
        <v>15080</v>
      </c>
      <c r="J29" s="145">
        <v>17777</v>
      </c>
      <c r="K29" s="145">
        <v>22190</v>
      </c>
      <c r="L29" s="145">
        <v>28086</v>
      </c>
      <c r="M29" s="145">
        <v>38554</v>
      </c>
      <c r="N29" s="145">
        <v>51746</v>
      </c>
      <c r="O29" s="145">
        <v>63849</v>
      </c>
      <c r="P29" s="145">
        <v>78792</v>
      </c>
      <c r="Q29" s="118">
        <f>((P29/G29)^(1/($H$2-$H$1) ))-1</f>
        <v>0.25835312441232383</v>
      </c>
      <c r="R29" s="31">
        <v>0.1</v>
      </c>
      <c r="S29" s="153">
        <f t="shared" si="61"/>
        <v>86671.200000000012</v>
      </c>
      <c r="T29" s="153">
        <f t="shared" si="62"/>
        <v>95338.320000000022</v>
      </c>
      <c r="U29" s="153">
        <f t="shared" si="63"/>
        <v>104872.15200000003</v>
      </c>
      <c r="V29" s="153">
        <f t="shared" si="64"/>
        <v>115359.36720000004</v>
      </c>
      <c r="W29" s="153">
        <f t="shared" si="65"/>
        <v>126895.30392000005</v>
      </c>
      <c r="X29" s="153">
        <f t="shared" si="66"/>
        <v>139584.83431200008</v>
      </c>
      <c r="Y29" s="153">
        <f t="shared" si="67"/>
        <v>153543.31774320011</v>
      </c>
      <c r="Z29" s="153">
        <f t="shared" si="68"/>
        <v>168897.64951752013</v>
      </c>
      <c r="AA29" s="153">
        <f t="shared" si="69"/>
        <v>185787.41446927216</v>
      </c>
      <c r="AB29" s="153">
        <f t="shared" si="70"/>
        <v>204366.15591619938</v>
      </c>
      <c r="AC29" s="138">
        <f t="shared" si="71"/>
        <v>0.17235869078657506</v>
      </c>
      <c r="AD29" s="31">
        <v>0.05</v>
      </c>
      <c r="AE29" s="144">
        <f>(AB29*(1+AC29))/($C$1-AD29)</f>
        <v>2395904.389910006</v>
      </c>
    </row>
    <row r="30" spans="2:31" x14ac:dyDescent="0.2">
      <c r="B30" s="20"/>
      <c r="C30" s="141"/>
      <c r="D30" s="141"/>
      <c r="E30" s="145"/>
      <c r="F30" s="145"/>
      <c r="G30" s="147">
        <f>(G29-F29)/G29</f>
        <v>0.21255020080321285</v>
      </c>
      <c r="H30" s="147">
        <f>(H29-G29)/H29</f>
        <v>0.19806763285024154</v>
      </c>
      <c r="I30" s="147">
        <f t="shared" ref="I30" si="120">(I29-H29)/I29</f>
        <v>0.17639257294429708</v>
      </c>
      <c r="J30" s="147">
        <f t="shared" ref="J30" si="121">(J29-I29)/J29</f>
        <v>0.15171288743882544</v>
      </c>
      <c r="K30" s="147">
        <f t="shared" ref="K30" si="122">(K29-J29)/K29</f>
        <v>0.1988733663812528</v>
      </c>
      <c r="L30" s="147">
        <f t="shared" ref="L30" si="123">(L29-K29)/L29</f>
        <v>0.2099266538488927</v>
      </c>
      <c r="M30" s="147">
        <f t="shared" ref="M30" si="124">(M29-L29)/M29</f>
        <v>0.27151527727343466</v>
      </c>
      <c r="N30" s="147">
        <f t="shared" ref="N30" si="125">(N29-M29)/N29</f>
        <v>0.25493757971630659</v>
      </c>
      <c r="O30" s="147">
        <f t="shared" ref="O30" si="126">(O29-N29)/O29</f>
        <v>0.18955661012701844</v>
      </c>
      <c r="P30" s="147">
        <f t="shared" ref="P30" si="127">(P29-O29)/P29</f>
        <v>0.18965123362777947</v>
      </c>
      <c r="Q30" s="3"/>
      <c r="R30" s="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38"/>
      <c r="AD30" s="31"/>
      <c r="AE30" s="144"/>
    </row>
    <row r="31" spans="2:31" x14ac:dyDescent="0.2">
      <c r="B31" s="20" t="s">
        <v>302</v>
      </c>
      <c r="C31" s="141"/>
      <c r="D31" s="141"/>
      <c r="E31" s="145"/>
      <c r="F31" s="145">
        <v>54</v>
      </c>
      <c r="G31" s="145">
        <v>21</v>
      </c>
      <c r="H31" s="145">
        <v>24</v>
      </c>
      <c r="I31" s="145">
        <v>35</v>
      </c>
      <c r="J31" s="145">
        <v>42</v>
      </c>
      <c r="K31" s="145">
        <v>40</v>
      </c>
      <c r="L31" s="145">
        <v>22.75</v>
      </c>
      <c r="M31" s="145">
        <v>17</v>
      </c>
      <c r="N31" s="145">
        <v>400</v>
      </c>
      <c r="O31" s="145">
        <v>103</v>
      </c>
      <c r="P31" s="145">
        <v>87</v>
      </c>
      <c r="Q31" s="118">
        <f>((P31/G31)^(1/($H$2-$H$1) ))-1</f>
        <v>0.17108625635521579</v>
      </c>
      <c r="R31" s="31">
        <v>0.1</v>
      </c>
      <c r="S31" s="153">
        <f t="shared" si="61"/>
        <v>95.7</v>
      </c>
      <c r="T31" s="153">
        <f t="shared" si="62"/>
        <v>105.27000000000001</v>
      </c>
      <c r="U31" s="153">
        <f t="shared" si="63"/>
        <v>115.79700000000003</v>
      </c>
      <c r="V31" s="153">
        <f t="shared" si="64"/>
        <v>127.37670000000004</v>
      </c>
      <c r="W31" s="153">
        <f t="shared" si="65"/>
        <v>140.11437000000006</v>
      </c>
      <c r="X31" s="153">
        <f t="shared" si="66"/>
        <v>154.12580700000009</v>
      </c>
      <c r="Y31" s="153">
        <f t="shared" si="67"/>
        <v>169.53838770000013</v>
      </c>
      <c r="Z31" s="153">
        <f t="shared" si="68"/>
        <v>186.49222647000016</v>
      </c>
      <c r="AA31" s="153">
        <f t="shared" si="69"/>
        <v>205.14144911700021</v>
      </c>
      <c r="AB31" s="153">
        <f t="shared" si="70"/>
        <v>225.65559402870025</v>
      </c>
      <c r="AC31" s="138">
        <f t="shared" si="71"/>
        <v>0.13311788703659433</v>
      </c>
      <c r="AD31" s="31">
        <v>0.05</v>
      </c>
      <c r="AE31" s="144">
        <f>(AB31*(1+AC31))/($C$1-AD31)</f>
        <v>2556.943899037884</v>
      </c>
    </row>
    <row r="32" spans="2:31" x14ac:dyDescent="0.2">
      <c r="B32" s="20"/>
      <c r="C32" s="141"/>
      <c r="D32" s="141"/>
      <c r="E32" s="145"/>
      <c r="F32" s="145"/>
      <c r="G32" s="147">
        <f>(G31-F31)/G31</f>
        <v>-1.5714285714285714</v>
      </c>
      <c r="H32" s="147">
        <f>(H31-G31)/H31</f>
        <v>0.125</v>
      </c>
      <c r="I32" s="147">
        <f t="shared" ref="I32" si="128">(I31-H31)/I31</f>
        <v>0.31428571428571428</v>
      </c>
      <c r="J32" s="147">
        <f t="shared" ref="J32" si="129">(J31-I31)/J31</f>
        <v>0.16666666666666666</v>
      </c>
      <c r="K32" s="147">
        <f t="shared" ref="K32" si="130">(K31-J31)/K31</f>
        <v>-0.05</v>
      </c>
      <c r="L32" s="147">
        <f t="shared" ref="L32" si="131">(L31-K31)/L31</f>
        <v>-0.75824175824175821</v>
      </c>
      <c r="M32" s="147">
        <f t="shared" ref="M32" si="132">(M31-L31)/M31</f>
        <v>-0.33823529411764708</v>
      </c>
      <c r="N32" s="147">
        <f t="shared" ref="N32" si="133">(N31-M31)/N31</f>
        <v>0.95750000000000002</v>
      </c>
      <c r="O32" s="147">
        <f t="shared" ref="O32" si="134">(O31-N31)/O31</f>
        <v>-2.883495145631068</v>
      </c>
      <c r="P32" s="147">
        <f t="shared" ref="P32" si="135">(P31-O31)/P31</f>
        <v>-0.18390804597701149</v>
      </c>
      <c r="Q32" s="3"/>
      <c r="R32" s="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38"/>
      <c r="AD32" s="31"/>
      <c r="AE32" s="144"/>
    </row>
    <row r="33" spans="2:31" x14ac:dyDescent="0.2">
      <c r="B33" s="20" t="s">
        <v>89</v>
      </c>
      <c r="C33" s="141"/>
      <c r="D33" s="141"/>
      <c r="E33" s="145"/>
      <c r="F33" s="145">
        <v>1019</v>
      </c>
      <c r="G33" s="145">
        <v>978</v>
      </c>
      <c r="H33" s="145">
        <v>1047</v>
      </c>
      <c r="I33" s="145">
        <v>1273</v>
      </c>
      <c r="J33" s="145">
        <v>1589</v>
      </c>
      <c r="K33" s="145">
        <v>2184</v>
      </c>
      <c r="L33" s="145">
        <v>2904</v>
      </c>
      <c r="M33" s="145">
        <v>3481</v>
      </c>
      <c r="N33" s="145">
        <v>5029</v>
      </c>
      <c r="O33" s="145">
        <v>6244</v>
      </c>
      <c r="P33" s="145">
        <v>7746</v>
      </c>
      <c r="Q33" s="118">
        <f>((P33/G33)^(1/($H$2-$H$1) ))-1</f>
        <v>0.258519209009755</v>
      </c>
      <c r="R33" s="31">
        <v>0.1</v>
      </c>
      <c r="S33" s="153">
        <f t="shared" si="29"/>
        <v>8520.6</v>
      </c>
      <c r="T33" s="153">
        <f t="shared" si="30"/>
        <v>9372.6600000000017</v>
      </c>
      <c r="U33" s="153">
        <f t="shared" si="31"/>
        <v>10309.926000000003</v>
      </c>
      <c r="V33" s="153">
        <f t="shared" si="32"/>
        <v>11340.918600000005</v>
      </c>
      <c r="W33" s="153">
        <f t="shared" si="33"/>
        <v>12475.010460000007</v>
      </c>
      <c r="X33" s="153">
        <f t="shared" si="34"/>
        <v>13722.511506000008</v>
      </c>
      <c r="Y33" s="153">
        <f t="shared" si="35"/>
        <v>15094.762656600011</v>
      </c>
      <c r="Z33" s="153">
        <f t="shared" si="36"/>
        <v>16604.238922260014</v>
      </c>
      <c r="AA33" s="153">
        <f t="shared" si="37"/>
        <v>18264.662814486019</v>
      </c>
      <c r="AB33" s="153">
        <f t="shared" si="38"/>
        <v>20091.129095934622</v>
      </c>
      <c r="AC33" s="138">
        <f t="shared" si="17"/>
        <v>0.17243198356044021</v>
      </c>
      <c r="AD33" s="31">
        <v>0.08</v>
      </c>
      <c r="AE33" s="144">
        <f>(AB33*(1+AC33))/($C$1-AD33)</f>
        <v>336506.89054165006</v>
      </c>
    </row>
    <row r="34" spans="2:31" s="123" customFormat="1" x14ac:dyDescent="0.2">
      <c r="B34" s="23"/>
      <c r="C34" s="148"/>
      <c r="D34" s="148"/>
      <c r="E34" s="149"/>
      <c r="F34" s="149"/>
      <c r="G34" s="147">
        <f>(G33-F33)/G33</f>
        <v>-4.1922290388548056E-2</v>
      </c>
      <c r="H34" s="147">
        <f>(H33-G33)/H33</f>
        <v>6.5902578796561598E-2</v>
      </c>
      <c r="I34" s="147">
        <f t="shared" ref="I34" si="136">(I33-H33)/I33</f>
        <v>0.17753338570306362</v>
      </c>
      <c r="J34" s="147">
        <f t="shared" ref="J34" si="137">(J33-I33)/J33</f>
        <v>0.19886721208307112</v>
      </c>
      <c r="K34" s="147">
        <f t="shared" ref="K34" si="138">(K33-J33)/K33</f>
        <v>0.27243589743589741</v>
      </c>
      <c r="L34" s="147">
        <f t="shared" ref="L34" si="139">(L33-K33)/L33</f>
        <v>0.24793388429752067</v>
      </c>
      <c r="M34" s="147">
        <f t="shared" ref="M34" si="140">(M33-L33)/M33</f>
        <v>0.1657569663889687</v>
      </c>
      <c r="N34" s="147">
        <f t="shared" ref="N34" si="141">(N33-M33)/N33</f>
        <v>0.30781467488566316</v>
      </c>
      <c r="O34" s="147">
        <f t="shared" ref="O34" si="142">(O33-N33)/O33</f>
        <v>0.19458680333119796</v>
      </c>
      <c r="P34" s="147">
        <f t="shared" ref="P34" si="143">(P33-O33)/P33</f>
        <v>0.19390653240382133</v>
      </c>
      <c r="Q34" s="3"/>
      <c r="R34" s="3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19"/>
      <c r="AD34" s="119"/>
      <c r="AE34" s="153"/>
    </row>
    <row r="35" spans="2:31" x14ac:dyDescent="0.2">
      <c r="B35" s="20" t="s">
        <v>254</v>
      </c>
      <c r="C35" s="141"/>
      <c r="D35" s="141"/>
      <c r="E35" s="145"/>
      <c r="F35" s="145">
        <v>64</v>
      </c>
      <c r="G35" s="145">
        <v>97</v>
      </c>
      <c r="H35" s="145">
        <v>159</v>
      </c>
      <c r="I35" s="145">
        <v>146</v>
      </c>
      <c r="J35" s="145">
        <v>124</v>
      </c>
      <c r="K35" s="145">
        <v>155</v>
      </c>
      <c r="L35" s="145">
        <v>155</v>
      </c>
      <c r="M35" s="145">
        <v>194</v>
      </c>
      <c r="N35" s="145">
        <v>480</v>
      </c>
      <c r="O35" s="145">
        <v>410</v>
      </c>
      <c r="P35" s="145">
        <v>396</v>
      </c>
      <c r="Q35" s="118">
        <f>((P35/G35)^(1/($H$2-$H$1) ))-1</f>
        <v>0.16917732351530157</v>
      </c>
      <c r="R35" s="31">
        <v>0.1</v>
      </c>
      <c r="S35" s="153">
        <f t="shared" si="29"/>
        <v>435.6</v>
      </c>
      <c r="T35" s="153">
        <f t="shared" si="30"/>
        <v>479.16000000000008</v>
      </c>
      <c r="U35" s="153">
        <f t="shared" si="31"/>
        <v>527.07600000000014</v>
      </c>
      <c r="V35" s="153">
        <f t="shared" si="32"/>
        <v>579.78360000000021</v>
      </c>
      <c r="W35" s="153">
        <f t="shared" si="33"/>
        <v>637.76196000000027</v>
      </c>
      <c r="X35" s="153">
        <f t="shared" si="34"/>
        <v>701.5381560000003</v>
      </c>
      <c r="Y35" s="153">
        <f t="shared" si="35"/>
        <v>771.69197160000044</v>
      </c>
      <c r="Z35" s="153">
        <f t="shared" si="36"/>
        <v>848.86116876000051</v>
      </c>
      <c r="AA35" s="153">
        <f t="shared" si="37"/>
        <v>933.74728563600058</v>
      </c>
      <c r="AB35" s="153">
        <f t="shared" si="38"/>
        <v>1027.1220141996007</v>
      </c>
      <c r="AC35" s="138">
        <f t="shared" si="17"/>
        <v>0.13224259660882809</v>
      </c>
      <c r="AD35" s="31">
        <v>0.08</v>
      </c>
      <c r="AE35" s="144">
        <f>(AB35*(1+AC35))/($C$1-AD35)</f>
        <v>16613.589948449226</v>
      </c>
    </row>
    <row r="36" spans="2:31" s="123" customFormat="1" x14ac:dyDescent="0.2">
      <c r="B36" s="23"/>
      <c r="C36" s="148"/>
      <c r="D36" s="148"/>
      <c r="E36" s="149"/>
      <c r="F36" s="149"/>
      <c r="G36" s="147">
        <f>(G35-F35)/G35</f>
        <v>0.34020618556701032</v>
      </c>
      <c r="H36" s="147">
        <f>(H35-G35)/H35</f>
        <v>0.38993710691823902</v>
      </c>
      <c r="I36" s="147">
        <f t="shared" ref="I36" si="144">(I35-H35)/I35</f>
        <v>-8.9041095890410954E-2</v>
      </c>
      <c r="J36" s="147">
        <f t="shared" ref="J36" si="145">(J35-I35)/J35</f>
        <v>-0.17741935483870969</v>
      </c>
      <c r="K36" s="147">
        <f t="shared" ref="K36" si="146">(K35-J35)/K35</f>
        <v>0.2</v>
      </c>
      <c r="L36" s="147">
        <f t="shared" ref="L36" si="147">(L35-K35)/L35</f>
        <v>0</v>
      </c>
      <c r="M36" s="147">
        <f t="shared" ref="M36" si="148">(M35-L35)/M35</f>
        <v>0.20103092783505155</v>
      </c>
      <c r="N36" s="147">
        <f t="shared" ref="N36" si="149">(N35-M35)/N35</f>
        <v>0.59583333333333333</v>
      </c>
      <c r="O36" s="147">
        <f t="shared" ref="O36" si="150">(O35-N35)/O35</f>
        <v>-0.17073170731707318</v>
      </c>
      <c r="P36" s="147">
        <f t="shared" ref="P36" si="151">(P35-O35)/P35</f>
        <v>-3.5353535353535352E-2</v>
      </c>
      <c r="Q36" s="3"/>
      <c r="R36" s="3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19"/>
      <c r="AD36" s="119"/>
      <c r="AE36" s="153"/>
    </row>
    <row r="37" spans="2:31" s="123" customFormat="1" x14ac:dyDescent="0.2">
      <c r="B37" s="20" t="s">
        <v>315</v>
      </c>
      <c r="C37" s="148"/>
      <c r="D37" s="148"/>
      <c r="E37" s="149"/>
      <c r="F37" s="145"/>
      <c r="G37" s="146"/>
      <c r="H37" s="146"/>
      <c r="I37" s="146"/>
      <c r="J37" s="146"/>
      <c r="K37" s="146"/>
      <c r="L37" s="146"/>
      <c r="M37" s="146"/>
      <c r="N37" s="146"/>
      <c r="O37" s="146">
        <v>0.80840000000000001</v>
      </c>
      <c r="P37" s="146">
        <v>0.8075</v>
      </c>
      <c r="Q37" s="118" t="e">
        <f>((P37/G37)^(1/($H$2-$H$1) ))-1</f>
        <v>#DIV/0!</v>
      </c>
      <c r="R37" s="31">
        <v>0.1</v>
      </c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60"/>
      <c r="AD37" s="119"/>
      <c r="AE37" s="153"/>
    </row>
    <row r="38" spans="2:31" s="123" customFormat="1" x14ac:dyDescent="0.2">
      <c r="B38" s="20" t="s">
        <v>316</v>
      </c>
      <c r="C38" s="148"/>
      <c r="D38" s="148"/>
      <c r="E38" s="149"/>
      <c r="F38" s="145"/>
      <c r="G38" s="146"/>
      <c r="H38" s="146"/>
      <c r="I38" s="146"/>
      <c r="J38" s="146"/>
      <c r="K38" s="146"/>
      <c r="L38" s="146"/>
      <c r="M38" s="146"/>
      <c r="N38" s="146"/>
      <c r="O38" s="146">
        <v>7.7200000000000005E-2</v>
      </c>
      <c r="P38" s="146">
        <v>7.9000000000000001E-2</v>
      </c>
      <c r="Q38" s="118" t="e">
        <f>((P38/G38)^(1/($H$2-$H$1) ))-1</f>
        <v>#DIV/0!</v>
      </c>
      <c r="R38" s="31">
        <v>0.1</v>
      </c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60"/>
      <c r="AD38" s="119"/>
      <c r="AE38" s="153"/>
    </row>
    <row r="39" spans="2:31" s="123" customFormat="1" x14ac:dyDescent="0.2">
      <c r="B39" s="20" t="s">
        <v>317</v>
      </c>
      <c r="C39" s="148"/>
      <c r="D39" s="148"/>
      <c r="E39" s="149"/>
      <c r="F39" s="145"/>
      <c r="G39" s="146"/>
      <c r="H39" s="146"/>
      <c r="I39" s="146"/>
      <c r="J39" s="146"/>
      <c r="K39" s="146"/>
      <c r="L39" s="146"/>
      <c r="M39" s="146"/>
      <c r="N39" s="146"/>
      <c r="O39" s="146">
        <v>0.1144</v>
      </c>
      <c r="P39" s="146">
        <v>0.1135</v>
      </c>
      <c r="Q39" s="118" t="e">
        <f>((P39/G39)^(1/($H$2-$H$1) ))-1</f>
        <v>#DIV/0!</v>
      </c>
      <c r="R39" s="31">
        <v>0.1</v>
      </c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60"/>
      <c r="AD39" s="119"/>
      <c r="AE39" s="153"/>
    </row>
    <row r="40" spans="2:31" x14ac:dyDescent="0.2">
      <c r="B40" s="20" t="s">
        <v>298</v>
      </c>
      <c r="C40" s="141"/>
      <c r="D40" s="141"/>
      <c r="E40" s="145"/>
      <c r="F40" s="145"/>
      <c r="G40" s="146"/>
      <c r="H40" s="146"/>
      <c r="I40" s="146"/>
      <c r="J40" s="146"/>
      <c r="K40" s="146"/>
      <c r="L40" s="146"/>
      <c r="M40" s="146"/>
      <c r="N40" s="146"/>
      <c r="O40" s="146">
        <f>O38+O39</f>
        <v>0.19159999999999999</v>
      </c>
      <c r="P40" s="146">
        <f>P38+P39</f>
        <v>0.1925</v>
      </c>
      <c r="Q40" s="118" t="e">
        <f>((P40/G40)^(1/($H$2-$H$1) ))-1</f>
        <v>#DIV/0!</v>
      </c>
      <c r="R40" s="31">
        <v>0.1</v>
      </c>
      <c r="S40" s="153">
        <f t="shared" si="29"/>
        <v>0.21175000000000002</v>
      </c>
      <c r="T40" s="153" t="e">
        <f t="shared" ref="T40" si="152">Q40*(1+$R40)</f>
        <v>#DIV/0!</v>
      </c>
      <c r="U40" s="153">
        <f t="shared" ref="U40" si="153">R40*(1+$R40)</f>
        <v>0.11000000000000001</v>
      </c>
      <c r="V40" s="153">
        <f t="shared" ref="V40" si="154">S40*(1+$R40)</f>
        <v>0.23292500000000005</v>
      </c>
      <c r="W40" s="153" t="e">
        <f t="shared" ref="W40" si="155">T40*(1+$R40)</f>
        <v>#DIV/0!</v>
      </c>
      <c r="X40" s="153">
        <f t="shared" ref="X40" si="156">U40*(1+$R40)</f>
        <v>0.12100000000000002</v>
      </c>
      <c r="Y40" s="153">
        <f t="shared" ref="Y40" si="157">V40*(1+$R40)</f>
        <v>0.2562175000000001</v>
      </c>
      <c r="Z40" s="153" t="e">
        <f t="shared" ref="Z40" si="158">W40*(1+$R40)</f>
        <v>#DIV/0!</v>
      </c>
      <c r="AA40" s="153">
        <f t="shared" ref="AA40" si="159">X40*(1+$R40)</f>
        <v>0.13310000000000002</v>
      </c>
      <c r="AB40" s="153">
        <f t="shared" ref="AB40" si="160">Y40*(1+$R40)</f>
        <v>0.28183925000000015</v>
      </c>
      <c r="AC40" s="138" t="e">
        <f t="shared" ref="AC40" si="161">((AB40/G40)^(1/($AB$3-$H$1) ))-1</f>
        <v>#DIV/0!</v>
      </c>
      <c r="AD40" s="31">
        <v>0.08</v>
      </c>
      <c r="AE40" s="144" t="e">
        <f>(AB40*(1+AC40))/($C$1-AD40)</f>
        <v>#DIV/0!</v>
      </c>
    </row>
    <row r="41" spans="2:31" x14ac:dyDescent="0.2">
      <c r="B41" s="20"/>
      <c r="C41" s="141"/>
      <c r="D41" s="141"/>
      <c r="E41" s="145"/>
      <c r="F41" s="145"/>
      <c r="G41" s="147" t="e">
        <f>(G40-F40)/G40</f>
        <v>#DIV/0!</v>
      </c>
      <c r="H41" s="147" t="e">
        <f>(H40-G40)/H40</f>
        <v>#DIV/0!</v>
      </c>
      <c r="I41" s="147" t="e">
        <f t="shared" ref="I41" si="162">(I40-H40)/I40</f>
        <v>#DIV/0!</v>
      </c>
      <c r="J41" s="147" t="e">
        <f t="shared" ref="J41" si="163">(J40-I40)/J40</f>
        <v>#DIV/0!</v>
      </c>
      <c r="K41" s="147" t="e">
        <f t="shared" ref="K41" si="164">(K40-J40)/K40</f>
        <v>#DIV/0!</v>
      </c>
      <c r="L41" s="147" t="e">
        <f t="shared" ref="L41" si="165">(L40-K40)/L40</f>
        <v>#DIV/0!</v>
      </c>
      <c r="M41" s="147" t="e">
        <f t="shared" ref="M41" si="166">(M40-L40)/M40</f>
        <v>#DIV/0!</v>
      </c>
      <c r="N41" s="147" t="e">
        <f t="shared" ref="N41" si="167">(N40-M40)/N40</f>
        <v>#DIV/0!</v>
      </c>
      <c r="O41" s="147">
        <f t="shared" ref="O41" si="168">(O40-N40)/O40</f>
        <v>1</v>
      </c>
      <c r="P41" s="147">
        <f t="shared" ref="P41" si="169">(P40-O40)/P40</f>
        <v>4.6753246753247369E-3</v>
      </c>
      <c r="Q41" s="3"/>
      <c r="R41" s="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38"/>
      <c r="AD41" s="31"/>
      <c r="AE41" s="144"/>
    </row>
    <row r="42" spans="2:31" x14ac:dyDescent="0.2">
      <c r="B42" s="20" t="s">
        <v>318</v>
      </c>
      <c r="C42" s="141"/>
      <c r="D42" s="141"/>
      <c r="E42" s="145"/>
      <c r="F42" s="173"/>
      <c r="G42" s="174"/>
      <c r="H42" s="174"/>
      <c r="I42" s="174"/>
      <c r="J42" s="174"/>
      <c r="K42" s="174"/>
      <c r="L42" s="174"/>
      <c r="M42" s="174"/>
      <c r="N42" s="174"/>
      <c r="O42" s="174">
        <v>8.1600000000000006E-2</v>
      </c>
      <c r="P42" s="174">
        <v>0.1188</v>
      </c>
      <c r="Q42" s="118" t="e">
        <f>((P42/G42)^(1/($H$2-$H$1) ))-1</f>
        <v>#DIV/0!</v>
      </c>
      <c r="R42" s="31">
        <v>0.1</v>
      </c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38"/>
      <c r="AD42" s="31"/>
      <c r="AE42" s="144"/>
    </row>
    <row r="43" spans="2:31" x14ac:dyDescent="0.2">
      <c r="B43" s="20" t="s">
        <v>319</v>
      </c>
      <c r="C43" s="141"/>
      <c r="D43" s="141"/>
      <c r="E43" s="145"/>
      <c r="F43" s="173"/>
      <c r="G43" s="174"/>
      <c r="H43" s="174"/>
      <c r="I43" s="174"/>
      <c r="J43" s="174"/>
      <c r="K43" s="174"/>
      <c r="L43" s="174"/>
      <c r="M43" s="174"/>
      <c r="N43" s="174"/>
      <c r="O43" s="174">
        <v>0.34</v>
      </c>
      <c r="P43" s="174">
        <v>0.32269999999999999</v>
      </c>
      <c r="Q43" s="118" t="e">
        <f>((P43/G43)^(1/($H$2-$H$1) ))-1</f>
        <v>#DIV/0!</v>
      </c>
      <c r="R43" s="31">
        <v>0.1</v>
      </c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38"/>
      <c r="AD43" s="31"/>
      <c r="AE43" s="144"/>
    </row>
    <row r="44" spans="2:31" x14ac:dyDescent="0.2">
      <c r="B44" s="20" t="s">
        <v>320</v>
      </c>
      <c r="C44" s="141"/>
      <c r="D44" s="141"/>
      <c r="E44" s="145"/>
      <c r="F44" s="173"/>
      <c r="G44" s="174"/>
      <c r="H44" s="174"/>
      <c r="I44" s="174"/>
      <c r="J44" s="174"/>
      <c r="K44" s="174"/>
      <c r="L44" s="174"/>
      <c r="M44" s="174"/>
      <c r="N44" s="174"/>
      <c r="O44" s="174">
        <v>0.42099999999999999</v>
      </c>
      <c r="P44" s="174">
        <v>0.37580000000000002</v>
      </c>
      <c r="Q44" s="118" t="e">
        <f>((P44/G44)^(1/($H$2-$H$1) ))-1</f>
        <v>#DIV/0!</v>
      </c>
      <c r="R44" s="31">
        <v>0.1</v>
      </c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38"/>
      <c r="AD44" s="31"/>
      <c r="AE44" s="144"/>
    </row>
    <row r="45" spans="2:31" x14ac:dyDescent="0.2">
      <c r="B45" s="20" t="s">
        <v>321</v>
      </c>
      <c r="C45" s="141"/>
      <c r="D45" s="141"/>
      <c r="E45" s="145"/>
      <c r="F45" s="173"/>
      <c r="G45" s="174"/>
      <c r="H45" s="174"/>
      <c r="I45" s="174"/>
      <c r="J45" s="174"/>
      <c r="K45" s="174"/>
      <c r="L45" s="174"/>
      <c r="M45" s="174"/>
      <c r="N45" s="174"/>
      <c r="O45" s="174">
        <v>0.1573</v>
      </c>
      <c r="P45" s="174">
        <v>0.1827</v>
      </c>
      <c r="Q45" s="118" t="e">
        <f>((P45/G45)^(1/($H$2-$H$1) ))-1</f>
        <v>#DIV/0!</v>
      </c>
      <c r="R45" s="31">
        <v>0.1</v>
      </c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38"/>
      <c r="AD45" s="31"/>
      <c r="AE45" s="144"/>
    </row>
    <row r="46" spans="2:31" x14ac:dyDescent="0.2">
      <c r="B46" s="20"/>
      <c r="C46" s="141"/>
      <c r="D46" s="141"/>
      <c r="E46" s="145"/>
      <c r="F46" s="145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3"/>
      <c r="R46" s="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38"/>
      <c r="AD46" s="31"/>
      <c r="AE46" s="144"/>
    </row>
    <row r="47" spans="2:31" x14ac:dyDescent="0.2">
      <c r="B47" s="20" t="s">
        <v>264</v>
      </c>
      <c r="C47" s="141"/>
      <c r="D47" s="141"/>
      <c r="E47" s="145"/>
      <c r="F47" s="145">
        <v>902</v>
      </c>
      <c r="G47" s="145">
        <v>861</v>
      </c>
      <c r="H47" s="145">
        <v>864</v>
      </c>
      <c r="I47" s="145">
        <v>1092</v>
      </c>
      <c r="J47" s="145">
        <v>1423</v>
      </c>
      <c r="K47" s="145">
        <v>1989</v>
      </c>
      <c r="L47" s="145">
        <v>2725</v>
      </c>
      <c r="M47" s="145">
        <v>3270</v>
      </c>
      <c r="N47" s="145">
        <v>4148</v>
      </c>
      <c r="O47" s="145">
        <v>5731</v>
      </c>
      <c r="P47" s="145">
        <v>7263</v>
      </c>
      <c r="Q47" s="118">
        <f>((P47/G47)^(1/($H$2-$H$1) ))-1</f>
        <v>0.26736419223299968</v>
      </c>
      <c r="R47" s="31">
        <v>0.1</v>
      </c>
      <c r="S47" s="153">
        <f t="shared" ref="S47" si="170">P47*(1+$R47)</f>
        <v>7989.3000000000011</v>
      </c>
      <c r="T47" s="153">
        <f t="shared" ref="T47" si="171">S47*(1+$R47)</f>
        <v>8788.2300000000014</v>
      </c>
      <c r="U47" s="153">
        <f t="shared" ref="U47" si="172">T47*(1+$R47)</f>
        <v>9667.0530000000017</v>
      </c>
      <c r="V47" s="153">
        <f t="shared" ref="V47" si="173">U47*(1+$R47)</f>
        <v>10633.758300000003</v>
      </c>
      <c r="W47" s="153">
        <f t="shared" si="33"/>
        <v>11697.134130000004</v>
      </c>
      <c r="X47" s="153">
        <f t="shared" si="34"/>
        <v>12866.847543000005</v>
      </c>
      <c r="Y47" s="153">
        <f t="shared" si="35"/>
        <v>14153.532297300007</v>
      </c>
      <c r="Z47" s="153">
        <f t="shared" si="36"/>
        <v>15568.88552703001</v>
      </c>
      <c r="AA47" s="153">
        <f t="shared" si="37"/>
        <v>17125.774079733012</v>
      </c>
      <c r="AB47" s="153">
        <f t="shared" si="38"/>
        <v>18838.351487706313</v>
      </c>
      <c r="AC47" s="138">
        <f t="shared" si="17"/>
        <v>0.17632792684013476</v>
      </c>
      <c r="AD47" s="31">
        <v>0.08</v>
      </c>
      <c r="AE47" s="144">
        <f>(AB47*(1+AC47))/($C$1-AD47)</f>
        <v>316572.55643741915</v>
      </c>
    </row>
    <row r="48" spans="2:31" s="123" customFormat="1" x14ac:dyDescent="0.2">
      <c r="B48" s="23"/>
      <c r="C48" s="148"/>
      <c r="D48" s="148"/>
      <c r="E48" s="149"/>
      <c r="F48" s="149"/>
      <c r="G48" s="147">
        <f>(G47-F47)/G47</f>
        <v>-4.7619047619047616E-2</v>
      </c>
      <c r="H48" s="147">
        <f>(H47-G47)/H47</f>
        <v>3.472222222222222E-3</v>
      </c>
      <c r="I48" s="147">
        <f t="shared" ref="I48" si="174">(I47-H47)/I47</f>
        <v>0.2087912087912088</v>
      </c>
      <c r="J48" s="147">
        <f t="shared" ref="J48" si="175">(J47-I47)/J47</f>
        <v>0.23260716795502459</v>
      </c>
      <c r="K48" s="147">
        <f t="shared" ref="K48" si="176">(K47-J47)/K47</f>
        <v>0.28456510809451985</v>
      </c>
      <c r="L48" s="147">
        <f t="shared" ref="L48" si="177">(L47-K47)/L47</f>
        <v>0.27009174311926604</v>
      </c>
      <c r="M48" s="147">
        <f t="shared" ref="M48" si="178">(M47-L47)/M47</f>
        <v>0.16666666666666666</v>
      </c>
      <c r="N48" s="147">
        <f t="shared" ref="N48" si="179">(N47-M47)/N47</f>
        <v>0.21166827386692383</v>
      </c>
      <c r="O48" s="147">
        <f t="shared" ref="O48" si="180">(O47-N47)/O47</f>
        <v>0.27621706508462746</v>
      </c>
      <c r="P48" s="147">
        <f t="shared" ref="P48" si="181">(P47-O47)/P47</f>
        <v>0.21093212171279085</v>
      </c>
      <c r="Q48" s="3"/>
      <c r="R48" s="3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20"/>
      <c r="AE48" s="155"/>
    </row>
    <row r="49" spans="2:31" x14ac:dyDescent="0.2">
      <c r="B49" s="20" t="s">
        <v>251</v>
      </c>
      <c r="C49" s="141"/>
      <c r="D49" s="141"/>
      <c r="E49" s="145"/>
      <c r="F49" s="145">
        <v>179</v>
      </c>
      <c r="G49" s="145">
        <v>167</v>
      </c>
      <c r="H49" s="145">
        <v>143</v>
      </c>
      <c r="I49" s="145">
        <v>208</v>
      </c>
      <c r="J49" s="145">
        <v>279</v>
      </c>
      <c r="K49" s="145">
        <v>386</v>
      </c>
      <c r="L49" s="145">
        <v>530</v>
      </c>
      <c r="M49" s="145">
        <v>660</v>
      </c>
      <c r="N49" s="145">
        <v>970</v>
      </c>
      <c r="O49" s="145">
        <v>916</v>
      </c>
      <c r="P49" s="145">
        <v>1054</v>
      </c>
      <c r="Q49" s="118">
        <f>((P49/G49)^(1/($H$2-$H$1) ))-1</f>
        <v>0.22716421427986511</v>
      </c>
      <c r="R49" s="31">
        <v>0.1</v>
      </c>
      <c r="S49" s="153">
        <f>P49*(1+$R49)</f>
        <v>1159.4000000000001</v>
      </c>
      <c r="T49" s="153">
        <f t="shared" ref="T49:AB49" si="182">S49*(1+$R49)</f>
        <v>1275.3400000000001</v>
      </c>
      <c r="U49" s="153">
        <f t="shared" si="182"/>
        <v>1402.8740000000003</v>
      </c>
      <c r="V49" s="153">
        <f t="shared" si="182"/>
        <v>1543.1614000000004</v>
      </c>
      <c r="W49" s="153">
        <f t="shared" si="182"/>
        <v>1697.4775400000005</v>
      </c>
      <c r="X49" s="153">
        <f t="shared" si="182"/>
        <v>1867.2252940000008</v>
      </c>
      <c r="Y49" s="153">
        <f t="shared" si="182"/>
        <v>2053.9478234000012</v>
      </c>
      <c r="Z49" s="153">
        <f t="shared" si="182"/>
        <v>2259.3426057400015</v>
      </c>
      <c r="AA49" s="153">
        <f t="shared" si="182"/>
        <v>2485.2768663140018</v>
      </c>
      <c r="AB49" s="153">
        <f t="shared" si="182"/>
        <v>2733.8045529454021</v>
      </c>
      <c r="AC49" s="138">
        <f t="shared" si="17"/>
        <v>0.1585036878047883</v>
      </c>
      <c r="AD49" s="31">
        <v>0.08</v>
      </c>
      <c r="AE49" s="144">
        <f>(AB49*(1+AC49))/($C$1-AD49)</f>
        <v>45244.609376068132</v>
      </c>
    </row>
    <row r="50" spans="2:31" s="123" customFormat="1" x14ac:dyDescent="0.2">
      <c r="B50" s="23"/>
      <c r="C50" s="148"/>
      <c r="D50" s="148"/>
      <c r="E50" s="149"/>
      <c r="F50" s="149"/>
      <c r="G50" s="147">
        <f>(G49-F49)/G49</f>
        <v>-7.1856287425149698E-2</v>
      </c>
      <c r="H50" s="147">
        <f>(H49-G49)/H49</f>
        <v>-0.16783216783216784</v>
      </c>
      <c r="I50" s="147">
        <f t="shared" ref="I50" si="183">(I49-H49)/I49</f>
        <v>0.3125</v>
      </c>
      <c r="J50" s="147">
        <f t="shared" ref="J50" si="184">(J49-I49)/J49</f>
        <v>0.25448028673835127</v>
      </c>
      <c r="K50" s="147">
        <f t="shared" ref="K50" si="185">(K49-J49)/K49</f>
        <v>0.27720207253886009</v>
      </c>
      <c r="L50" s="147">
        <f t="shared" ref="L50" si="186">(L49-K49)/L49</f>
        <v>0.27169811320754716</v>
      </c>
      <c r="M50" s="147">
        <f t="shared" ref="M50" si="187">(M49-L49)/M49</f>
        <v>0.19696969696969696</v>
      </c>
      <c r="N50" s="147">
        <f t="shared" ref="N50" si="188">(N49-M49)/N49</f>
        <v>0.31958762886597936</v>
      </c>
      <c r="O50" s="147">
        <f t="shared" ref="O50" si="189">(O49-N49)/O49</f>
        <v>-5.8951965065502182E-2</v>
      </c>
      <c r="P50" s="147">
        <f t="shared" ref="P50" si="190">(P49-O49)/P49</f>
        <v>0.13092979127134724</v>
      </c>
      <c r="Q50" s="3"/>
      <c r="R50" s="3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39"/>
      <c r="AD50" s="20"/>
      <c r="AE50" s="155"/>
    </row>
    <row r="51" spans="2:31" s="123" customFormat="1" x14ac:dyDescent="0.2">
      <c r="B51" s="20" t="s">
        <v>303</v>
      </c>
      <c r="C51" s="148"/>
      <c r="D51" s="148"/>
      <c r="E51" s="149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18" t="e">
        <f>((P51/G51)^(1/($H$2-$H$1) ))-1</f>
        <v>#DIV/0!</v>
      </c>
      <c r="R51" s="31">
        <v>0.01</v>
      </c>
      <c r="S51" s="153">
        <f t="shared" ref="S51" si="191">P51*(1+$R51)</f>
        <v>0</v>
      </c>
      <c r="T51" s="153">
        <f t="shared" ref="T51" si="192">S51*(1+$R51)</f>
        <v>0</v>
      </c>
      <c r="U51" s="153">
        <f t="shared" ref="U51" si="193">T51*(1+$R51)</f>
        <v>0</v>
      </c>
      <c r="V51" s="153">
        <f t="shared" ref="V51" si="194">U51*(1+$R51)</f>
        <v>0</v>
      </c>
      <c r="W51" s="153">
        <f t="shared" ref="W51" si="195">V51*(1+$R51)</f>
        <v>0</v>
      </c>
      <c r="X51" s="153">
        <f t="shared" ref="X51" si="196">W51*(1+$R51)</f>
        <v>0</v>
      </c>
      <c r="Y51" s="153">
        <f t="shared" ref="Y51" si="197">X51*(1+$R51)</f>
        <v>0</v>
      </c>
      <c r="Z51" s="153">
        <f t="shared" ref="Z51" si="198">Y51*(1+$R51)</f>
        <v>0</v>
      </c>
      <c r="AA51" s="153">
        <f t="shared" ref="AA51" si="199">Z51*(1+$R51)</f>
        <v>0</v>
      </c>
      <c r="AB51" s="153">
        <f t="shared" ref="AB51" si="200">AA51*(1+$R51)</f>
        <v>0</v>
      </c>
      <c r="AC51" s="138" t="e">
        <f t="shared" ref="AC51" si="201">((AB51/G51)^(1/($AB$3-$H$1) ))-1</f>
        <v>#DIV/0!</v>
      </c>
      <c r="AD51" s="31">
        <v>0.08</v>
      </c>
      <c r="AE51" s="144" t="e">
        <f>(AB51*(1+AC51))/($C$1-AD51)</f>
        <v>#DIV/0!</v>
      </c>
    </row>
    <row r="52" spans="2:31" x14ac:dyDescent="0.2">
      <c r="B52" s="20" t="s">
        <v>239</v>
      </c>
      <c r="C52" s="145">
        <v>0.6</v>
      </c>
      <c r="D52" s="145">
        <v>0.6</v>
      </c>
      <c r="E52" s="145">
        <v>0.6</v>
      </c>
      <c r="F52" s="145">
        <v>7.49</v>
      </c>
      <c r="G52" s="145">
        <v>7.49</v>
      </c>
      <c r="H52" s="145">
        <v>8.49</v>
      </c>
      <c r="I52" s="145">
        <v>8.49</v>
      </c>
      <c r="J52" s="145">
        <v>8.49</v>
      </c>
      <c r="K52" s="145">
        <v>8.49</v>
      </c>
      <c r="L52" s="145">
        <v>8.49</v>
      </c>
      <c r="M52" s="145">
        <v>9.49</v>
      </c>
      <c r="N52" s="145">
        <v>47.46</v>
      </c>
      <c r="O52" s="145">
        <v>50.46</v>
      </c>
      <c r="P52" s="145">
        <v>50.46</v>
      </c>
      <c r="Q52" s="118">
        <f>((P52/G52)^(1/($H$2-$H$1) ))-1</f>
        <v>0.23609461452716696</v>
      </c>
      <c r="R52" s="31">
        <v>0.1</v>
      </c>
      <c r="S52" s="153">
        <f t="shared" ref="S52" si="202">P52*(1+$R52)</f>
        <v>55.506000000000007</v>
      </c>
      <c r="T52" s="153">
        <f t="shared" ref="T52:AB52" si="203">S52*(1+$R52)</f>
        <v>61.05660000000001</v>
      </c>
      <c r="U52" s="153">
        <f t="shared" si="203"/>
        <v>67.162260000000018</v>
      </c>
      <c r="V52" s="153">
        <f t="shared" si="203"/>
        <v>73.878486000000024</v>
      </c>
      <c r="W52" s="153">
        <f t="shared" si="203"/>
        <v>81.266334600000036</v>
      </c>
      <c r="X52" s="153">
        <f t="shared" si="203"/>
        <v>89.392968060000044</v>
      </c>
      <c r="Y52" s="153">
        <f t="shared" si="203"/>
        <v>98.33226486600006</v>
      </c>
      <c r="Z52" s="153">
        <f t="shared" si="203"/>
        <v>108.16549135260007</v>
      </c>
      <c r="AA52" s="153">
        <f t="shared" si="203"/>
        <v>118.98204048786009</v>
      </c>
      <c r="AB52" s="153">
        <f t="shared" si="203"/>
        <v>130.8802445366461</v>
      </c>
      <c r="AC52" s="138">
        <f t="shared" si="17"/>
        <v>0.16248957625302252</v>
      </c>
      <c r="AD52" s="31">
        <v>0.08</v>
      </c>
      <c r="AE52" s="144">
        <f>(AB52*(1+AC52))/($C$1-AD52)</f>
        <v>2173.5274287328243</v>
      </c>
    </row>
    <row r="53" spans="2:31" x14ac:dyDescent="0.2">
      <c r="B53" s="20" t="s">
        <v>299</v>
      </c>
      <c r="C53" s="145">
        <v>2000</v>
      </c>
      <c r="D53" s="145">
        <v>2200</v>
      </c>
      <c r="E53" s="145">
        <v>2400</v>
      </c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18" t="e">
        <f>((P53/G53)^(1/($H$2-$H$1) ))-1</f>
        <v>#DIV/0!</v>
      </c>
      <c r="R53" s="31">
        <v>0.1</v>
      </c>
      <c r="S53" s="153">
        <f t="shared" ref="S53" si="204">P53*(1+$R53)</f>
        <v>0</v>
      </c>
      <c r="T53" s="153">
        <f t="shared" ref="T53" si="205">S53*(1+$R53)</f>
        <v>0</v>
      </c>
      <c r="U53" s="153">
        <f t="shared" ref="U53" si="206">T53*(1+$R53)</f>
        <v>0</v>
      </c>
      <c r="V53" s="153">
        <f t="shared" ref="V53" si="207">U53*(1+$R53)</f>
        <v>0</v>
      </c>
      <c r="W53" s="153">
        <f t="shared" ref="W53" si="208">V53*(1+$R53)</f>
        <v>0</v>
      </c>
      <c r="X53" s="153">
        <f t="shared" ref="X53" si="209">W53*(1+$R53)</f>
        <v>0</v>
      </c>
      <c r="Y53" s="153">
        <f t="shared" ref="Y53" si="210">X53*(1+$R53)</f>
        <v>0</v>
      </c>
      <c r="Z53" s="153">
        <f t="shared" ref="Z53" si="211">Y53*(1+$R53)</f>
        <v>0</v>
      </c>
      <c r="AA53" s="153">
        <f t="shared" ref="AA53" si="212">Z53*(1+$R53)</f>
        <v>0</v>
      </c>
      <c r="AB53" s="153">
        <f t="shared" ref="AB53" si="213">AA53*(1+$R53)</f>
        <v>0</v>
      </c>
      <c r="AC53" s="138" t="e">
        <f t="shared" ref="AC53" si="214">((AB53/G53)^(1/($AB$3-$H$1) ))-1</f>
        <v>#DIV/0!</v>
      </c>
      <c r="AD53" s="31">
        <v>0.08</v>
      </c>
      <c r="AE53" s="144" t="e">
        <f>(AB53*(1+AC53))/($C$1-AD53)</f>
        <v>#DIV/0!</v>
      </c>
    </row>
    <row r="54" spans="2:31" x14ac:dyDescent="0.2">
      <c r="B54" s="20" t="s">
        <v>267</v>
      </c>
      <c r="C54" s="143">
        <v>1</v>
      </c>
      <c r="D54" s="143">
        <v>1</v>
      </c>
      <c r="E54" s="143">
        <v>1</v>
      </c>
      <c r="F54" s="145">
        <v>5.5</v>
      </c>
      <c r="G54" s="145">
        <v>5</v>
      </c>
      <c r="H54" s="145">
        <v>5</v>
      </c>
      <c r="I54" s="145">
        <v>6</v>
      </c>
      <c r="J54" s="145">
        <v>8</v>
      </c>
      <c r="K54" s="145">
        <v>10</v>
      </c>
      <c r="L54" s="145">
        <v>13</v>
      </c>
      <c r="M54" s="145">
        <v>15</v>
      </c>
      <c r="N54" s="145">
        <v>3.5</v>
      </c>
      <c r="O54" s="145">
        <v>3.6</v>
      </c>
      <c r="P54" s="145">
        <v>3.6</v>
      </c>
      <c r="Q54" s="118">
        <f>((P54/G54)^(1/($H$2-$H$1) ))-1</f>
        <v>-3.584234179291157E-2</v>
      </c>
      <c r="R54" s="31">
        <v>0.04</v>
      </c>
      <c r="S54" s="153">
        <f t="shared" ref="S54" si="215">P54*(1+$R54)</f>
        <v>3.7440000000000002</v>
      </c>
      <c r="T54" s="153">
        <f t="shared" ref="T54" si="216">S54*(1+$R54)</f>
        <v>3.8937600000000003</v>
      </c>
      <c r="U54" s="153">
        <f t="shared" ref="U54" si="217">T54*(1+$R54)</f>
        <v>4.0495104000000008</v>
      </c>
      <c r="V54" s="153">
        <f t="shared" ref="V54" si="218">U54*(1+$R54)</f>
        <v>4.2114908160000013</v>
      </c>
      <c r="W54" s="153">
        <f t="shared" ref="W54" si="219">V54*(1+$R54)</f>
        <v>4.3799504486400016</v>
      </c>
      <c r="X54" s="153">
        <f t="shared" ref="X54" si="220">W54*(1+$R54)</f>
        <v>4.5551484665856021</v>
      </c>
      <c r="Y54" s="153">
        <f t="shared" ref="Y54" si="221">X54*(1+$R54)</f>
        <v>4.7373544052490262</v>
      </c>
      <c r="Z54" s="153">
        <f t="shared" ref="Z54" si="222">Y54*(1+$R54)</f>
        <v>4.9268485814589873</v>
      </c>
      <c r="AA54" s="153">
        <f t="shared" ref="AA54" si="223">Z54*(1+$R54)</f>
        <v>5.1239225247173472</v>
      </c>
      <c r="AB54" s="153">
        <f t="shared" ref="AB54" si="224">AA54*(1+$R54)</f>
        <v>5.3288794257060417</v>
      </c>
      <c r="AC54" s="138">
        <f t="shared" ref="AC54" si="225">((AB54/G54)^(1/($AB$3-$H$1) ))-1</f>
        <v>3.3584197684890515E-3</v>
      </c>
      <c r="AD54" s="31">
        <v>0.04</v>
      </c>
      <c r="AE54" s="144">
        <f>(AB54*(1+AC54))/($C$1-AD54)</f>
        <v>48.607054906483896</v>
      </c>
    </row>
    <row r="55" spans="2:31" x14ac:dyDescent="0.2">
      <c r="B55" s="20"/>
      <c r="C55" s="20"/>
      <c r="D55" s="20"/>
      <c r="E55" s="127"/>
      <c r="F55" s="127"/>
      <c r="G55" s="127"/>
      <c r="H55" s="20"/>
      <c r="I55" s="20"/>
      <c r="J55" s="20"/>
      <c r="K55" s="20"/>
      <c r="L55" s="20"/>
      <c r="M55" s="20"/>
      <c r="N55" s="20"/>
      <c r="O55" s="20"/>
      <c r="P55" s="20"/>
      <c r="Q55" s="128"/>
      <c r="R55" s="128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39"/>
      <c r="AD55" s="20"/>
      <c r="AE55" s="153"/>
    </row>
    <row r="56" spans="2:31" x14ac:dyDescent="0.2">
      <c r="B56" s="108" t="s">
        <v>243</v>
      </c>
      <c r="C56" s="20"/>
      <c r="D56" s="20"/>
      <c r="E56" s="127"/>
      <c r="F56" s="127"/>
      <c r="G56" s="127"/>
      <c r="H56" s="20"/>
      <c r="I56" s="20"/>
      <c r="J56" s="20"/>
      <c r="K56" s="20"/>
      <c r="L56" s="20"/>
      <c r="M56" s="20"/>
      <c r="N56" s="20"/>
      <c r="O56" s="20"/>
      <c r="P56" s="20"/>
      <c r="Q56" s="128"/>
      <c r="R56" s="128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39"/>
      <c r="AD56" s="20"/>
      <c r="AE56" s="153"/>
    </row>
    <row r="57" spans="2:31" x14ac:dyDescent="0.2">
      <c r="B57" s="20" t="s">
        <v>285</v>
      </c>
      <c r="C57" s="133">
        <f t="shared" ref="C57:P57" si="226">C33/C52</f>
        <v>0</v>
      </c>
      <c r="D57" s="133">
        <f t="shared" si="226"/>
        <v>0</v>
      </c>
      <c r="E57" s="133">
        <f t="shared" si="226"/>
        <v>0</v>
      </c>
      <c r="F57" s="133">
        <f t="shared" si="226"/>
        <v>136.04806408544727</v>
      </c>
      <c r="G57" s="133">
        <f t="shared" si="226"/>
        <v>130.57409879839787</v>
      </c>
      <c r="H57" s="133">
        <f t="shared" si="226"/>
        <v>123.32155477031802</v>
      </c>
      <c r="I57" s="133">
        <f t="shared" si="226"/>
        <v>149.94110718492342</v>
      </c>
      <c r="J57" s="133">
        <f t="shared" si="226"/>
        <v>187.16136631330977</v>
      </c>
      <c r="K57" s="133">
        <f t="shared" si="226"/>
        <v>257.24381625441697</v>
      </c>
      <c r="L57" s="133">
        <f t="shared" si="226"/>
        <v>342.0494699646643</v>
      </c>
      <c r="M57" s="133">
        <f t="shared" si="226"/>
        <v>366.80716543730239</v>
      </c>
      <c r="N57" s="133">
        <f t="shared" si="226"/>
        <v>105.96291613990729</v>
      </c>
      <c r="O57" s="133">
        <f t="shared" si="226"/>
        <v>123.74157748711851</v>
      </c>
      <c r="P57" s="133">
        <f t="shared" si="226"/>
        <v>153.5077288941736</v>
      </c>
      <c r="Q57" s="118">
        <f>((P57/G57)^(1/($H$2-$H$1) ))-1</f>
        <v>1.814148708282004E-2</v>
      </c>
      <c r="R57" s="128"/>
      <c r="S57" s="157">
        <f t="shared" ref="S57:AB57" si="227">S33/S52</f>
        <v>153.5077288941736</v>
      </c>
      <c r="T57" s="157">
        <f t="shared" si="227"/>
        <v>153.5077288941736</v>
      </c>
      <c r="U57" s="157">
        <f t="shared" si="227"/>
        <v>153.5077288941736</v>
      </c>
      <c r="V57" s="157">
        <f t="shared" si="227"/>
        <v>153.50772889417362</v>
      </c>
      <c r="W57" s="157">
        <f t="shared" si="227"/>
        <v>153.50772889417362</v>
      </c>
      <c r="X57" s="157">
        <f t="shared" si="227"/>
        <v>153.50772889417362</v>
      </c>
      <c r="Y57" s="157">
        <f t="shared" si="227"/>
        <v>153.50772889417362</v>
      </c>
      <c r="Z57" s="157">
        <f t="shared" si="227"/>
        <v>153.50772889417362</v>
      </c>
      <c r="AA57" s="157">
        <f t="shared" si="227"/>
        <v>153.50772889417365</v>
      </c>
      <c r="AB57" s="157">
        <f t="shared" si="227"/>
        <v>153.50772889417365</v>
      </c>
      <c r="AC57" s="138">
        <f t="shared" ref="AC57" si="228">((AB57/G57)^(1/($AB$3-$H$1) ))-1</f>
        <v>8.5526851255426362E-3</v>
      </c>
      <c r="AD57" s="31">
        <v>0.08</v>
      </c>
      <c r="AE57" s="144">
        <f>(AB57*(1+AC57))/($C$1-AD57)</f>
        <v>2211.7233166248957</v>
      </c>
    </row>
    <row r="58" spans="2:31" x14ac:dyDescent="0.2">
      <c r="B58" s="20" t="s">
        <v>286</v>
      </c>
      <c r="C58" s="133">
        <f t="shared" ref="C58:P58" si="229">C35/C52</f>
        <v>0</v>
      </c>
      <c r="D58" s="133">
        <f t="shared" si="229"/>
        <v>0</v>
      </c>
      <c r="E58" s="133">
        <f t="shared" si="229"/>
        <v>0</v>
      </c>
      <c r="F58" s="133">
        <f t="shared" si="229"/>
        <v>8.544726301735647</v>
      </c>
      <c r="G58" s="133">
        <f t="shared" si="229"/>
        <v>12.95060080106809</v>
      </c>
      <c r="H58" s="133">
        <f t="shared" si="229"/>
        <v>18.727915194346288</v>
      </c>
      <c r="I58" s="133">
        <f t="shared" si="229"/>
        <v>17.19670200235571</v>
      </c>
      <c r="J58" s="133">
        <f t="shared" si="229"/>
        <v>14.605418138987043</v>
      </c>
      <c r="K58" s="133">
        <f t="shared" si="229"/>
        <v>18.256772673733803</v>
      </c>
      <c r="L58" s="133">
        <f t="shared" si="229"/>
        <v>18.256772673733803</v>
      </c>
      <c r="M58" s="133">
        <f t="shared" si="229"/>
        <v>20.442571127502635</v>
      </c>
      <c r="N58" s="133">
        <f t="shared" si="229"/>
        <v>10.11378002528445</v>
      </c>
      <c r="O58" s="133">
        <f t="shared" si="229"/>
        <v>8.1252477209671028</v>
      </c>
      <c r="P58" s="133">
        <f t="shared" si="229"/>
        <v>7.8478002378121285</v>
      </c>
      <c r="Q58" s="118">
        <f>((P58/G58)^(1/($H$2-$H$1) ))-1</f>
        <v>-5.4136059024464389E-2</v>
      </c>
      <c r="R58" s="128"/>
      <c r="S58" s="157">
        <f t="shared" ref="S58:AB58" si="230">S35/S52</f>
        <v>7.8478002378121277</v>
      </c>
      <c r="T58" s="157">
        <f t="shared" si="230"/>
        <v>7.8478002378121285</v>
      </c>
      <c r="U58" s="157">
        <f t="shared" si="230"/>
        <v>7.8478002378121285</v>
      </c>
      <c r="V58" s="157">
        <f t="shared" si="230"/>
        <v>7.8478002378121285</v>
      </c>
      <c r="W58" s="157">
        <f t="shared" si="230"/>
        <v>7.8478002378121285</v>
      </c>
      <c r="X58" s="157">
        <f t="shared" si="230"/>
        <v>7.8478002378121277</v>
      </c>
      <c r="Y58" s="157">
        <f t="shared" si="230"/>
        <v>7.8478002378121285</v>
      </c>
      <c r="Z58" s="157">
        <f t="shared" si="230"/>
        <v>7.8478002378121277</v>
      </c>
      <c r="AA58" s="157">
        <f t="shared" si="230"/>
        <v>7.8478002378121277</v>
      </c>
      <c r="AB58" s="157">
        <f t="shared" si="230"/>
        <v>7.8478002378121277</v>
      </c>
      <c r="AC58" s="138">
        <f t="shared" ref="AC58" si="231">((AB58/G58)^(1/($AB$3-$H$1) ))-1</f>
        <v>-2.6019140525704865E-2</v>
      </c>
      <c r="AD58" s="31">
        <v>0.08</v>
      </c>
      <c r="AE58" s="144">
        <f>(AB58*(1+AC58))/($C$1-AD58)</f>
        <v>109.19438886581192</v>
      </c>
    </row>
    <row r="59" spans="2:31" x14ac:dyDescent="0.2">
      <c r="B59" s="20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28"/>
      <c r="R59" s="128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19"/>
      <c r="AD59" s="119"/>
      <c r="AE59" s="144"/>
    </row>
    <row r="60" spans="2:31" x14ac:dyDescent="0.2">
      <c r="B60" s="20" t="s">
        <v>252</v>
      </c>
      <c r="C60" s="25">
        <f t="shared" ref="C60:P60" si="232">C49/C52</f>
        <v>0</v>
      </c>
      <c r="D60" s="25">
        <f t="shared" si="232"/>
        <v>0</v>
      </c>
      <c r="E60" s="25">
        <f t="shared" si="232"/>
        <v>0</v>
      </c>
      <c r="F60" s="133">
        <f t="shared" si="232"/>
        <v>23.89853137516689</v>
      </c>
      <c r="G60" s="133">
        <f t="shared" si="232"/>
        <v>22.296395193591454</v>
      </c>
      <c r="H60" s="133">
        <f t="shared" si="232"/>
        <v>16.843345111896348</v>
      </c>
      <c r="I60" s="133">
        <f t="shared" si="232"/>
        <v>24.499411071849234</v>
      </c>
      <c r="J60" s="133">
        <f t="shared" si="232"/>
        <v>32.862190812720847</v>
      </c>
      <c r="K60" s="133">
        <f t="shared" si="232"/>
        <v>45.465253239104825</v>
      </c>
      <c r="L60" s="133">
        <f t="shared" si="232"/>
        <v>62.426383981154295</v>
      </c>
      <c r="M60" s="133">
        <f t="shared" si="232"/>
        <v>69.546891464699684</v>
      </c>
      <c r="N60" s="133">
        <f t="shared" si="232"/>
        <v>20.438263801095658</v>
      </c>
      <c r="O60" s="133">
        <f t="shared" si="232"/>
        <v>18.152992469282601</v>
      </c>
      <c r="P60" s="133">
        <f t="shared" si="232"/>
        <v>20.887831946095918</v>
      </c>
      <c r="Q60" s="118">
        <f>((P60/G60)^(1/($H$2-$H$1) ))-1</f>
        <v>-7.2246898759589229E-3</v>
      </c>
      <c r="R60" s="128"/>
      <c r="S60" s="133">
        <f t="shared" ref="S60:AB60" si="233">S49/S52</f>
        <v>20.887831946095915</v>
      </c>
      <c r="T60" s="133">
        <f t="shared" si="233"/>
        <v>20.887831946095915</v>
      </c>
      <c r="U60" s="133">
        <f t="shared" si="233"/>
        <v>20.887831946095915</v>
      </c>
      <c r="V60" s="133">
        <f t="shared" si="233"/>
        <v>20.887831946095915</v>
      </c>
      <c r="W60" s="133">
        <f t="shared" si="233"/>
        <v>20.887831946095915</v>
      </c>
      <c r="X60" s="133">
        <f t="shared" si="233"/>
        <v>20.887831946095915</v>
      </c>
      <c r="Y60" s="133">
        <f t="shared" si="233"/>
        <v>20.887831946095918</v>
      </c>
      <c r="Z60" s="133">
        <f t="shared" si="233"/>
        <v>20.887831946095918</v>
      </c>
      <c r="AA60" s="133">
        <f t="shared" si="233"/>
        <v>20.887831946095918</v>
      </c>
      <c r="AB60" s="133">
        <f t="shared" si="233"/>
        <v>20.887831946095918</v>
      </c>
      <c r="AC60" s="138">
        <f t="shared" ref="AC60:AC73" si="234">((AB60/G60)^(1/($AB$3-$H$1) ))-1</f>
        <v>-3.4287519902601593E-3</v>
      </c>
      <c r="AD60" s="31">
        <v>0.08</v>
      </c>
      <c r="AE60" s="144">
        <f>(AB60*(1+AC60))/($C$1-AD60)</f>
        <v>297.37446786769323</v>
      </c>
    </row>
    <row r="61" spans="2:31" x14ac:dyDescent="0.2">
      <c r="B61" s="20" t="s">
        <v>245</v>
      </c>
      <c r="C61" s="25">
        <f t="shared" ref="C61:P61" si="235">C7/C52</f>
        <v>0</v>
      </c>
      <c r="D61" s="25">
        <f t="shared" si="235"/>
        <v>0</v>
      </c>
      <c r="E61" s="25">
        <f t="shared" si="235"/>
        <v>0</v>
      </c>
      <c r="F61" s="133">
        <f t="shared" si="235"/>
        <v>114.95327102803738</v>
      </c>
      <c r="G61" s="133">
        <f t="shared" si="235"/>
        <v>128.30440587449934</v>
      </c>
      <c r="H61" s="133">
        <f t="shared" si="235"/>
        <v>142.52061248527679</v>
      </c>
      <c r="I61" s="133">
        <f t="shared" si="235"/>
        <v>160.42402826855124</v>
      </c>
      <c r="J61" s="133">
        <f t="shared" si="235"/>
        <v>183.9811542991755</v>
      </c>
      <c r="K61" s="133">
        <f t="shared" si="235"/>
        <v>218.37455830388691</v>
      </c>
      <c r="L61" s="133">
        <f t="shared" si="235"/>
        <v>266.43109540636044</v>
      </c>
      <c r="M61" s="133">
        <f t="shared" si="235"/>
        <v>362.6975763962065</v>
      </c>
      <c r="N61" s="133">
        <f t="shared" si="235"/>
        <v>88.305941845764849</v>
      </c>
      <c r="O61" s="133">
        <f t="shared" si="235"/>
        <v>113.15893777249306</v>
      </c>
      <c r="P61" s="133">
        <f t="shared" si="235"/>
        <v>129.46888624653189</v>
      </c>
      <c r="Q61" s="118">
        <f>((P61/G61)^(1/($H$2-$H$1) ))-1</f>
        <v>1.0043907503087812E-3</v>
      </c>
      <c r="R61" s="128"/>
      <c r="S61" s="133">
        <f t="shared" ref="S61:AB61" si="236">S7/S52</f>
        <v>129.46888624653189</v>
      </c>
      <c r="T61" s="133">
        <f t="shared" si="236"/>
        <v>129.46888624653189</v>
      </c>
      <c r="U61" s="133">
        <f t="shared" si="236"/>
        <v>129.46888624653192</v>
      </c>
      <c r="V61" s="133">
        <f t="shared" si="236"/>
        <v>129.46888624653192</v>
      </c>
      <c r="W61" s="133">
        <f t="shared" si="236"/>
        <v>129.46888624653189</v>
      </c>
      <c r="X61" s="133">
        <f t="shared" si="236"/>
        <v>129.46888624653189</v>
      </c>
      <c r="Y61" s="133">
        <f t="shared" si="236"/>
        <v>129.46888624653189</v>
      </c>
      <c r="Z61" s="133">
        <f t="shared" si="236"/>
        <v>129.46888624653189</v>
      </c>
      <c r="AA61" s="133">
        <f t="shared" si="236"/>
        <v>129.46888624653189</v>
      </c>
      <c r="AB61" s="133">
        <f t="shared" si="236"/>
        <v>129.46888624653189</v>
      </c>
      <c r="AC61" s="138">
        <f t="shared" si="234"/>
        <v>4.7563835304886837E-4</v>
      </c>
      <c r="AD61" s="31">
        <v>0.08</v>
      </c>
      <c r="AE61" s="144">
        <f>(AB61*(1+AC61))/($C$1-AD61)</f>
        <v>1850.4352373479612</v>
      </c>
    </row>
    <row r="62" spans="2:31" x14ac:dyDescent="0.2">
      <c r="B62" s="20" t="s">
        <v>246</v>
      </c>
      <c r="C62" s="127">
        <f t="shared" ref="C62:P62" si="237">C6/C52</f>
        <v>0</v>
      </c>
      <c r="D62" s="127">
        <f t="shared" si="237"/>
        <v>0</v>
      </c>
      <c r="E62" s="127">
        <f t="shared" si="237"/>
        <v>0</v>
      </c>
      <c r="F62" s="142">
        <f t="shared" si="237"/>
        <v>104.93991989319092</v>
      </c>
      <c r="G62" s="142">
        <f t="shared" si="237"/>
        <v>118.29105473965286</v>
      </c>
      <c r="H62" s="142">
        <f t="shared" si="237"/>
        <v>132.50883392226149</v>
      </c>
      <c r="I62" s="142">
        <f t="shared" si="237"/>
        <v>150.29446407538279</v>
      </c>
      <c r="J62" s="142">
        <f t="shared" si="237"/>
        <v>173.96937573616017</v>
      </c>
      <c r="K62" s="142">
        <f t="shared" si="237"/>
        <v>208.36277974087162</v>
      </c>
      <c r="L62" s="142">
        <f t="shared" si="237"/>
        <v>256.41931684334509</v>
      </c>
      <c r="M62" s="142">
        <f t="shared" si="237"/>
        <v>352.68703898840886</v>
      </c>
      <c r="N62" s="142">
        <f t="shared" si="237"/>
        <v>86.304256215760645</v>
      </c>
      <c r="O62" s="142">
        <f t="shared" si="237"/>
        <v>111.1573523583036</v>
      </c>
      <c r="P62" s="142">
        <f t="shared" si="237"/>
        <v>127.46730083234245</v>
      </c>
      <c r="Q62" s="118">
        <f>((P62/G62)^(1/($H$2-$H$1) ))-1</f>
        <v>8.3358529640364942E-3</v>
      </c>
      <c r="R62" s="128"/>
      <c r="S62" s="142">
        <f t="shared" ref="S62:AB62" si="238">S6/S52</f>
        <v>127.46730083234245</v>
      </c>
      <c r="T62" s="142">
        <f t="shared" si="238"/>
        <v>127.46730083234245</v>
      </c>
      <c r="U62" s="142">
        <f t="shared" si="238"/>
        <v>127.46730083234245</v>
      </c>
      <c r="V62" s="142">
        <f t="shared" si="238"/>
        <v>127.46730083234245</v>
      </c>
      <c r="W62" s="142">
        <f t="shared" si="238"/>
        <v>127.46730083234245</v>
      </c>
      <c r="X62" s="142">
        <f t="shared" si="238"/>
        <v>127.46730083234245</v>
      </c>
      <c r="Y62" s="142">
        <f t="shared" si="238"/>
        <v>127.46730083234243</v>
      </c>
      <c r="Z62" s="142">
        <f t="shared" si="238"/>
        <v>127.46730083234245</v>
      </c>
      <c r="AA62" s="142">
        <f t="shared" si="238"/>
        <v>127.46730083234245</v>
      </c>
      <c r="AB62" s="142">
        <f t="shared" si="238"/>
        <v>127.46730083234245</v>
      </c>
      <c r="AC62" s="138">
        <f t="shared" si="234"/>
        <v>3.9399367277634934E-3</v>
      </c>
      <c r="AD62" s="31">
        <v>0.08</v>
      </c>
      <c r="AE62" s="144">
        <f>(AB62*(1+AC62))/($C$1-AD62)</f>
        <v>1828.1359133211527</v>
      </c>
    </row>
    <row r="63" spans="2:31" x14ac:dyDescent="0.2">
      <c r="B63" s="20" t="s">
        <v>304</v>
      </c>
      <c r="C63" s="142">
        <f t="shared" ref="C63:P63" si="239">C10/C52</f>
        <v>0</v>
      </c>
      <c r="D63" s="142">
        <f t="shared" si="239"/>
        <v>0</v>
      </c>
      <c r="E63" s="142">
        <f t="shared" si="239"/>
        <v>0</v>
      </c>
      <c r="F63" s="142">
        <f t="shared" si="239"/>
        <v>42.857142857142854</v>
      </c>
      <c r="G63" s="142">
        <f t="shared" si="239"/>
        <v>99.198931909212277</v>
      </c>
      <c r="H63" s="142">
        <f t="shared" si="239"/>
        <v>87.514723203769137</v>
      </c>
      <c r="I63" s="142">
        <f t="shared" si="239"/>
        <v>167.13780918727915</v>
      </c>
      <c r="J63" s="142">
        <f t="shared" si="239"/>
        <v>194.93521790341578</v>
      </c>
      <c r="K63" s="142">
        <f t="shared" si="239"/>
        <v>144.99411071849235</v>
      </c>
      <c r="L63" s="142">
        <f t="shared" si="239"/>
        <v>223.43934040047114</v>
      </c>
      <c r="M63" s="142">
        <f t="shared" si="239"/>
        <v>394.41517386722865</v>
      </c>
      <c r="N63" s="142">
        <f t="shared" si="239"/>
        <v>94.016013485040034</v>
      </c>
      <c r="O63" s="142">
        <f t="shared" si="239"/>
        <v>64.506539833531505</v>
      </c>
      <c r="P63" s="142">
        <f t="shared" si="239"/>
        <v>73.900118906064208</v>
      </c>
      <c r="Q63" s="118">
        <f>((P63/G63)^(1/($H$2-$H$1) ))-1</f>
        <v>-3.2183266444560044E-2</v>
      </c>
      <c r="R63" s="128"/>
      <c r="S63" s="142">
        <f t="shared" ref="S63:AB63" si="240">S10/S52</f>
        <v>73.900118906064208</v>
      </c>
      <c r="T63" s="142">
        <f t="shared" si="240"/>
        <v>73.900118906064208</v>
      </c>
      <c r="U63" s="142">
        <f t="shared" si="240"/>
        <v>73.900118906064222</v>
      </c>
      <c r="V63" s="142">
        <f t="shared" si="240"/>
        <v>73.900118906064222</v>
      </c>
      <c r="W63" s="142">
        <f t="shared" si="240"/>
        <v>73.900118906064222</v>
      </c>
      <c r="X63" s="142">
        <f t="shared" si="240"/>
        <v>73.900118906064222</v>
      </c>
      <c r="Y63" s="142">
        <f t="shared" si="240"/>
        <v>73.900118906064208</v>
      </c>
      <c r="Z63" s="142">
        <f t="shared" si="240"/>
        <v>73.900118906064222</v>
      </c>
      <c r="AA63" s="142">
        <f t="shared" si="240"/>
        <v>73.900118906064222</v>
      </c>
      <c r="AB63" s="142">
        <f t="shared" si="240"/>
        <v>73.900118906064222</v>
      </c>
      <c r="AC63" s="138">
        <f t="shared" si="234"/>
        <v>-1.5375974882347321E-2</v>
      </c>
      <c r="AD63" s="31">
        <v>0.08</v>
      </c>
      <c r="AE63" s="144">
        <f>(AB63*(1+AC63))/($C$1-AD63)</f>
        <v>1039.4833219137445</v>
      </c>
    </row>
    <row r="64" spans="2:31" x14ac:dyDescent="0.2">
      <c r="B64" s="20"/>
      <c r="C64" s="127"/>
      <c r="D64" s="127"/>
      <c r="E64" s="127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28"/>
      <c r="R64" s="128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39"/>
      <c r="AD64" s="20"/>
      <c r="AE64" s="153"/>
    </row>
    <row r="65" spans="2:31" x14ac:dyDescent="0.2">
      <c r="B65" s="20" t="s">
        <v>305</v>
      </c>
      <c r="C65" s="142">
        <f t="shared" ref="C65:P65" si="241">C23/C52</f>
        <v>0</v>
      </c>
      <c r="D65" s="142">
        <f t="shared" si="241"/>
        <v>0</v>
      </c>
      <c r="E65" s="142">
        <f t="shared" si="241"/>
        <v>0</v>
      </c>
      <c r="F65" s="142">
        <f t="shared" si="241"/>
        <v>0</v>
      </c>
      <c r="G65" s="142">
        <f t="shared" si="241"/>
        <v>0</v>
      </c>
      <c r="H65" s="142">
        <f t="shared" si="241"/>
        <v>0</v>
      </c>
      <c r="I65" s="142">
        <f t="shared" si="241"/>
        <v>0</v>
      </c>
      <c r="J65" s="142">
        <f t="shared" si="241"/>
        <v>0</v>
      </c>
      <c r="K65" s="142">
        <f t="shared" si="241"/>
        <v>0</v>
      </c>
      <c r="L65" s="142">
        <f t="shared" si="241"/>
        <v>0</v>
      </c>
      <c r="M65" s="142">
        <f t="shared" si="241"/>
        <v>0</v>
      </c>
      <c r="N65" s="142">
        <f t="shared" si="241"/>
        <v>0</v>
      </c>
      <c r="O65" s="142">
        <f t="shared" si="241"/>
        <v>0</v>
      </c>
      <c r="P65" s="142">
        <f t="shared" si="241"/>
        <v>0</v>
      </c>
      <c r="Q65" s="118" t="e">
        <f>((P65/G65)^(1/($H$2-$H$1) ))-1</f>
        <v>#DIV/0!</v>
      </c>
      <c r="R65" s="128"/>
      <c r="S65" s="156">
        <f t="shared" ref="S65:AB65" si="242">S23/S52</f>
        <v>0</v>
      </c>
      <c r="T65" s="156">
        <f t="shared" si="242"/>
        <v>0</v>
      </c>
      <c r="U65" s="156">
        <f t="shared" si="242"/>
        <v>0</v>
      </c>
      <c r="V65" s="156">
        <f t="shared" si="242"/>
        <v>0</v>
      </c>
      <c r="W65" s="156">
        <f t="shared" si="242"/>
        <v>0</v>
      </c>
      <c r="X65" s="156">
        <f t="shared" si="242"/>
        <v>0</v>
      </c>
      <c r="Y65" s="156">
        <f t="shared" si="242"/>
        <v>0</v>
      </c>
      <c r="Z65" s="156">
        <f t="shared" si="242"/>
        <v>0</v>
      </c>
      <c r="AA65" s="156">
        <f t="shared" si="242"/>
        <v>0</v>
      </c>
      <c r="AB65" s="156">
        <f t="shared" si="242"/>
        <v>0</v>
      </c>
      <c r="AC65" s="138" t="e">
        <f t="shared" si="234"/>
        <v>#DIV/0!</v>
      </c>
      <c r="AD65" s="31">
        <v>0.08</v>
      </c>
      <c r="AE65" s="144" t="e">
        <f>(AB65*(1+AC65))/($C$1-AD65)</f>
        <v>#DIV/0!</v>
      </c>
    </row>
    <row r="66" spans="2:31" x14ac:dyDescent="0.2">
      <c r="B66" s="20" t="s">
        <v>306</v>
      </c>
      <c r="C66" s="142">
        <f t="shared" ref="C66:P66" si="243">C29/C52</f>
        <v>0</v>
      </c>
      <c r="D66" s="142">
        <f t="shared" si="243"/>
        <v>0</v>
      </c>
      <c r="E66" s="142">
        <f t="shared" si="243"/>
        <v>0</v>
      </c>
      <c r="F66" s="142">
        <f t="shared" si="243"/>
        <v>1047.1295060080106</v>
      </c>
      <c r="G66" s="142">
        <f t="shared" si="243"/>
        <v>1329.7730307076101</v>
      </c>
      <c r="H66" s="142">
        <f t="shared" si="243"/>
        <v>1462.8975265017668</v>
      </c>
      <c r="I66" s="142">
        <f t="shared" si="243"/>
        <v>1776.2073027090694</v>
      </c>
      <c r="J66" s="142">
        <f t="shared" si="243"/>
        <v>2093.8751472320378</v>
      </c>
      <c r="K66" s="142">
        <f t="shared" si="243"/>
        <v>2613.6631330977621</v>
      </c>
      <c r="L66" s="142">
        <f t="shared" si="243"/>
        <v>3308.1272084805655</v>
      </c>
      <c r="M66" s="142">
        <f t="shared" si="243"/>
        <v>4062.5922023182297</v>
      </c>
      <c r="N66" s="142">
        <f t="shared" si="243"/>
        <v>1090.3076274757691</v>
      </c>
      <c r="O66" s="142">
        <f t="shared" si="243"/>
        <v>1265.3388822829963</v>
      </c>
      <c r="P66" s="142">
        <f t="shared" si="243"/>
        <v>1561.4744351961949</v>
      </c>
      <c r="Q66" s="118">
        <f>((P66/G66)^(1/($H$2-$H$1) ))-1</f>
        <v>1.8007124716477474E-2</v>
      </c>
      <c r="R66" s="128"/>
      <c r="S66" s="156">
        <f t="shared" ref="S66:AB66" si="244">S29/S52</f>
        <v>1561.4744351961949</v>
      </c>
      <c r="T66" s="156">
        <f t="shared" si="244"/>
        <v>1561.4744351961951</v>
      </c>
      <c r="U66" s="156">
        <f t="shared" si="244"/>
        <v>1561.4744351961951</v>
      </c>
      <c r="V66" s="156">
        <f t="shared" si="244"/>
        <v>1561.4744351961949</v>
      </c>
      <c r="W66" s="156">
        <f t="shared" si="244"/>
        <v>1561.4744351961949</v>
      </c>
      <c r="X66" s="156">
        <f t="shared" si="244"/>
        <v>1561.4744351961951</v>
      </c>
      <c r="Y66" s="156">
        <f t="shared" si="244"/>
        <v>1561.4744351961951</v>
      </c>
      <c r="Z66" s="156">
        <f t="shared" si="244"/>
        <v>1561.4744351961951</v>
      </c>
      <c r="AA66" s="156">
        <f t="shared" si="244"/>
        <v>1561.4744351961951</v>
      </c>
      <c r="AB66" s="156">
        <f t="shared" si="244"/>
        <v>1561.4744351961951</v>
      </c>
      <c r="AC66" s="138">
        <f t="shared" si="234"/>
        <v>8.4896370128004772E-3</v>
      </c>
      <c r="AD66" s="31">
        <v>0.08</v>
      </c>
      <c r="AE66" s="144">
        <f>(AB66*(1+AC66))/($C$1-AD66)</f>
        <v>22496.154090796837</v>
      </c>
    </row>
    <row r="67" spans="2:31" x14ac:dyDescent="0.2">
      <c r="B67" s="20" t="s">
        <v>307</v>
      </c>
      <c r="C67" s="142">
        <f t="shared" ref="C67:P67" si="245">C31/C52</f>
        <v>0</v>
      </c>
      <c r="D67" s="142">
        <f t="shared" si="245"/>
        <v>0</v>
      </c>
      <c r="E67" s="142">
        <f t="shared" si="245"/>
        <v>0</v>
      </c>
      <c r="F67" s="142">
        <f t="shared" si="245"/>
        <v>7.209612817089452</v>
      </c>
      <c r="G67" s="142">
        <f t="shared" si="245"/>
        <v>2.8037383177570092</v>
      </c>
      <c r="H67" s="142">
        <f t="shared" si="245"/>
        <v>2.8268551236749118</v>
      </c>
      <c r="I67" s="142">
        <f t="shared" si="245"/>
        <v>4.1224970553592462</v>
      </c>
      <c r="J67" s="142">
        <f t="shared" si="245"/>
        <v>4.946996466431095</v>
      </c>
      <c r="K67" s="142">
        <f t="shared" si="245"/>
        <v>4.7114252061248525</v>
      </c>
      <c r="L67" s="142">
        <f t="shared" si="245"/>
        <v>2.67962308598351</v>
      </c>
      <c r="M67" s="142">
        <f t="shared" si="245"/>
        <v>1.7913593256059008</v>
      </c>
      <c r="N67" s="142">
        <f t="shared" si="245"/>
        <v>8.4281500210703744</v>
      </c>
      <c r="O67" s="142">
        <f t="shared" si="245"/>
        <v>2.0412207689258817</v>
      </c>
      <c r="P67" s="142">
        <f t="shared" si="245"/>
        <v>1.7241379310344827</v>
      </c>
      <c r="Q67" s="118">
        <f>((P67/G67)^(1/($H$2-$H$1) ))-1</f>
        <v>-5.2591733195778256E-2</v>
      </c>
      <c r="R67" s="128"/>
      <c r="S67" s="156">
        <f t="shared" ref="S67:AB67" si="246">S31/S52</f>
        <v>1.7241379310344827</v>
      </c>
      <c r="T67" s="156">
        <f t="shared" si="246"/>
        <v>1.7241379310344827</v>
      </c>
      <c r="U67" s="156">
        <f t="shared" si="246"/>
        <v>1.7241379310344827</v>
      </c>
      <c r="V67" s="156">
        <f t="shared" si="246"/>
        <v>1.7241379310344829</v>
      </c>
      <c r="W67" s="156">
        <f t="shared" si="246"/>
        <v>1.7241379310344829</v>
      </c>
      <c r="X67" s="156">
        <f t="shared" si="246"/>
        <v>1.7241379310344829</v>
      </c>
      <c r="Y67" s="156">
        <f t="shared" si="246"/>
        <v>1.7241379310344831</v>
      </c>
      <c r="Z67" s="156">
        <f t="shared" si="246"/>
        <v>1.7241379310344831</v>
      </c>
      <c r="AA67" s="156">
        <f t="shared" si="246"/>
        <v>1.7241379310344831</v>
      </c>
      <c r="AB67" s="156">
        <f t="shared" si="246"/>
        <v>1.7241379310344833</v>
      </c>
      <c r="AC67" s="138">
        <f t="shared" si="234"/>
        <v>-2.5266195771922684E-2</v>
      </c>
      <c r="AD67" s="31">
        <v>0.08</v>
      </c>
      <c r="AE67" s="144">
        <f>(AB67*(1+AC67))/($C$1-AD67)</f>
        <v>24.008221779016694</v>
      </c>
    </row>
    <row r="68" spans="2:31" x14ac:dyDescent="0.2">
      <c r="B68" s="20" t="s">
        <v>314</v>
      </c>
      <c r="C68" s="142">
        <f t="shared" ref="C68:E68" si="247">C65-C66</f>
        <v>0</v>
      </c>
      <c r="D68" s="142">
        <f t="shared" si="247"/>
        <v>0</v>
      </c>
      <c r="E68" s="142">
        <f t="shared" si="247"/>
        <v>0</v>
      </c>
      <c r="F68" s="142">
        <f>F65-F66</f>
        <v>-1047.1295060080106</v>
      </c>
      <c r="G68" s="142">
        <f t="shared" ref="G68:P68" si="248">G65-G66</f>
        <v>-1329.7730307076101</v>
      </c>
      <c r="H68" s="142">
        <f t="shared" si="248"/>
        <v>-1462.8975265017668</v>
      </c>
      <c r="I68" s="142">
        <f t="shared" si="248"/>
        <v>-1776.2073027090694</v>
      </c>
      <c r="J68" s="142">
        <f t="shared" si="248"/>
        <v>-2093.8751472320378</v>
      </c>
      <c r="K68" s="142">
        <f t="shared" si="248"/>
        <v>-2613.6631330977621</v>
      </c>
      <c r="L68" s="142">
        <f t="shared" si="248"/>
        <v>-3308.1272084805655</v>
      </c>
      <c r="M68" s="142">
        <f t="shared" si="248"/>
        <v>-4062.5922023182297</v>
      </c>
      <c r="N68" s="142">
        <f t="shared" si="248"/>
        <v>-1090.3076274757691</v>
      </c>
      <c r="O68" s="142">
        <f t="shared" si="248"/>
        <v>-1265.3388822829963</v>
      </c>
      <c r="P68" s="142">
        <f t="shared" si="248"/>
        <v>-1561.4744351961949</v>
      </c>
      <c r="Q68" s="118">
        <f>((P68/G68)^(1/($H$2-$H$1) ))-1</f>
        <v>1.8007124716477474E-2</v>
      </c>
      <c r="R68" s="128"/>
      <c r="S68" s="142">
        <f t="shared" ref="S68:AB68" si="249">S65-S66</f>
        <v>-1561.4744351961949</v>
      </c>
      <c r="T68" s="142">
        <f t="shared" si="249"/>
        <v>-1561.4744351961951</v>
      </c>
      <c r="U68" s="142">
        <f t="shared" si="249"/>
        <v>-1561.4744351961951</v>
      </c>
      <c r="V68" s="142">
        <f t="shared" si="249"/>
        <v>-1561.4744351961949</v>
      </c>
      <c r="W68" s="142">
        <f t="shared" si="249"/>
        <v>-1561.4744351961949</v>
      </c>
      <c r="X68" s="142">
        <f t="shared" si="249"/>
        <v>-1561.4744351961951</v>
      </c>
      <c r="Y68" s="142">
        <f t="shared" si="249"/>
        <v>-1561.4744351961951</v>
      </c>
      <c r="Z68" s="142">
        <f t="shared" si="249"/>
        <v>-1561.4744351961951</v>
      </c>
      <c r="AA68" s="142">
        <f t="shared" si="249"/>
        <v>-1561.4744351961951</v>
      </c>
      <c r="AB68" s="142">
        <f t="shared" si="249"/>
        <v>-1561.4744351961951</v>
      </c>
      <c r="AC68" s="138">
        <f t="shared" ref="AC68" si="250">((AB68/G68)^(1/($AB$3-$H$1) ))-1</f>
        <v>8.4896370128004772E-3</v>
      </c>
      <c r="AD68" s="31">
        <v>0.08</v>
      </c>
      <c r="AE68" s="144">
        <f>(AB68*(1+AC68))/($C$1-AD68)</f>
        <v>-22496.154090796837</v>
      </c>
    </row>
    <row r="69" spans="2:31" x14ac:dyDescent="0.2">
      <c r="B69" s="20" t="s">
        <v>81</v>
      </c>
      <c r="C69" s="151" t="e">
        <f t="shared" ref="C69:E69" si="251">C66/C65</f>
        <v>#DIV/0!</v>
      </c>
      <c r="D69" s="151" t="e">
        <f t="shared" si="251"/>
        <v>#DIV/0!</v>
      </c>
      <c r="E69" s="151" t="e">
        <f t="shared" si="251"/>
        <v>#DIV/0!</v>
      </c>
      <c r="F69" s="151" t="e">
        <f>F66/F65</f>
        <v>#DIV/0!</v>
      </c>
      <c r="G69" s="151" t="e">
        <f t="shared" ref="G69:P69" si="252">G66/G65</f>
        <v>#DIV/0!</v>
      </c>
      <c r="H69" s="151" t="e">
        <f t="shared" si="252"/>
        <v>#DIV/0!</v>
      </c>
      <c r="I69" s="151" t="e">
        <f t="shared" si="252"/>
        <v>#DIV/0!</v>
      </c>
      <c r="J69" s="151" t="e">
        <f t="shared" si="252"/>
        <v>#DIV/0!</v>
      </c>
      <c r="K69" s="151" t="e">
        <f t="shared" si="252"/>
        <v>#DIV/0!</v>
      </c>
      <c r="L69" s="151" t="e">
        <f t="shared" si="252"/>
        <v>#DIV/0!</v>
      </c>
      <c r="M69" s="151" t="e">
        <f t="shared" si="252"/>
        <v>#DIV/0!</v>
      </c>
      <c r="N69" s="151" t="e">
        <f t="shared" si="252"/>
        <v>#DIV/0!</v>
      </c>
      <c r="O69" s="151" t="e">
        <f t="shared" si="252"/>
        <v>#DIV/0!</v>
      </c>
      <c r="P69" s="151" t="e">
        <f t="shared" si="252"/>
        <v>#DIV/0!</v>
      </c>
      <c r="Q69" s="118" t="e">
        <f>((P69/G69)^(1/($H$2-$H$1) ))-1</f>
        <v>#DIV/0!</v>
      </c>
      <c r="R69" s="128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38"/>
      <c r="AD69" s="31"/>
      <c r="AE69" s="144"/>
    </row>
    <row r="70" spans="2:31" x14ac:dyDescent="0.2">
      <c r="B70" s="20"/>
      <c r="C70" s="127"/>
      <c r="D70" s="127"/>
      <c r="E70" s="127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28"/>
      <c r="R70" s="128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39"/>
      <c r="AD70" s="20"/>
      <c r="AE70" s="153"/>
    </row>
    <row r="71" spans="2:31" x14ac:dyDescent="0.2">
      <c r="B71" s="20" t="s">
        <v>311</v>
      </c>
      <c r="C71" s="142">
        <f t="shared" ref="C71:P71" si="253">C33/C53</f>
        <v>0</v>
      </c>
      <c r="D71" s="142">
        <f t="shared" si="253"/>
        <v>0</v>
      </c>
      <c r="E71" s="142">
        <f t="shared" si="253"/>
        <v>0</v>
      </c>
      <c r="F71" s="142" t="e">
        <f t="shared" si="253"/>
        <v>#DIV/0!</v>
      </c>
      <c r="G71" s="142" t="e">
        <f t="shared" si="253"/>
        <v>#DIV/0!</v>
      </c>
      <c r="H71" s="142" t="e">
        <f t="shared" si="253"/>
        <v>#DIV/0!</v>
      </c>
      <c r="I71" s="142" t="e">
        <f t="shared" si="253"/>
        <v>#DIV/0!</v>
      </c>
      <c r="J71" s="142" t="e">
        <f t="shared" si="253"/>
        <v>#DIV/0!</v>
      </c>
      <c r="K71" s="142" t="e">
        <f t="shared" si="253"/>
        <v>#DIV/0!</v>
      </c>
      <c r="L71" s="142" t="e">
        <f t="shared" si="253"/>
        <v>#DIV/0!</v>
      </c>
      <c r="M71" s="142" t="e">
        <f t="shared" si="253"/>
        <v>#DIV/0!</v>
      </c>
      <c r="N71" s="142" t="e">
        <f t="shared" si="253"/>
        <v>#DIV/0!</v>
      </c>
      <c r="O71" s="142" t="e">
        <f t="shared" si="253"/>
        <v>#DIV/0!</v>
      </c>
      <c r="P71" s="142" t="e">
        <f t="shared" si="253"/>
        <v>#DIV/0!</v>
      </c>
      <c r="Q71" s="118" t="e">
        <f>((P71/G71)^(1/($H$2-$H$1) ))-1</f>
        <v>#DIV/0!</v>
      </c>
      <c r="R71" s="128"/>
      <c r="S71" s="142">
        <f t="shared" ref="S71:AB71" si="254">S12/S52</f>
        <v>3.8644470868014267</v>
      </c>
      <c r="T71" s="142">
        <f t="shared" si="254"/>
        <v>3.8644470868014271</v>
      </c>
      <c r="U71" s="142">
        <f t="shared" si="254"/>
        <v>3.8644470868014271</v>
      </c>
      <c r="V71" s="142">
        <f t="shared" si="254"/>
        <v>3.8644470868014271</v>
      </c>
      <c r="W71" s="142">
        <f t="shared" si="254"/>
        <v>3.8644470868014271</v>
      </c>
      <c r="X71" s="142">
        <f t="shared" si="254"/>
        <v>3.8644470868014271</v>
      </c>
      <c r="Y71" s="142">
        <f t="shared" si="254"/>
        <v>3.8644470868014271</v>
      </c>
      <c r="Z71" s="142">
        <f t="shared" si="254"/>
        <v>3.8644470868014271</v>
      </c>
      <c r="AA71" s="142">
        <f t="shared" si="254"/>
        <v>3.8644470868014271</v>
      </c>
      <c r="AB71" s="142">
        <f t="shared" si="254"/>
        <v>3.8644470868014271</v>
      </c>
      <c r="AC71" s="138" t="e">
        <f t="shared" si="234"/>
        <v>#DIV/0!</v>
      </c>
      <c r="AD71" s="31">
        <v>0.08</v>
      </c>
      <c r="AE71" s="144" t="e">
        <f>(AB71*(1+AC71))/($C$1-AD71)</f>
        <v>#DIV/0!</v>
      </c>
    </row>
    <row r="72" spans="2:31" x14ac:dyDescent="0.2">
      <c r="B72" s="20" t="s">
        <v>312</v>
      </c>
      <c r="C72" s="142">
        <f t="shared" ref="C72:P72" si="255">C35/C53</f>
        <v>0</v>
      </c>
      <c r="D72" s="142">
        <f t="shared" si="255"/>
        <v>0</v>
      </c>
      <c r="E72" s="142">
        <f t="shared" si="255"/>
        <v>0</v>
      </c>
      <c r="F72" s="142" t="e">
        <f t="shared" si="255"/>
        <v>#DIV/0!</v>
      </c>
      <c r="G72" s="142" t="e">
        <f t="shared" si="255"/>
        <v>#DIV/0!</v>
      </c>
      <c r="H72" s="142" t="e">
        <f t="shared" si="255"/>
        <v>#DIV/0!</v>
      </c>
      <c r="I72" s="142" t="e">
        <f t="shared" si="255"/>
        <v>#DIV/0!</v>
      </c>
      <c r="J72" s="142" t="e">
        <f t="shared" si="255"/>
        <v>#DIV/0!</v>
      </c>
      <c r="K72" s="142" t="e">
        <f t="shared" si="255"/>
        <v>#DIV/0!</v>
      </c>
      <c r="L72" s="142" t="e">
        <f t="shared" si="255"/>
        <v>#DIV/0!</v>
      </c>
      <c r="M72" s="142" t="e">
        <f t="shared" si="255"/>
        <v>#DIV/0!</v>
      </c>
      <c r="N72" s="142" t="e">
        <f t="shared" si="255"/>
        <v>#DIV/0!</v>
      </c>
      <c r="O72" s="142" t="e">
        <f t="shared" si="255"/>
        <v>#DIV/0!</v>
      </c>
      <c r="P72" s="142" t="e">
        <f t="shared" si="255"/>
        <v>#DIV/0!</v>
      </c>
      <c r="Q72" s="118" t="e">
        <f>((P72/G72)^(1/($H$2-$H$1) ))-1</f>
        <v>#DIV/0!</v>
      </c>
      <c r="R72" s="128"/>
      <c r="S72" s="142">
        <f t="shared" ref="S72:AB72" si="256">S13/S52</f>
        <v>1.4466904478795086</v>
      </c>
      <c r="T72" s="142">
        <f t="shared" si="256"/>
        <v>1.4466904478795086</v>
      </c>
      <c r="U72" s="142">
        <f t="shared" si="256"/>
        <v>1.4466904478795086</v>
      </c>
      <c r="V72" s="142">
        <f t="shared" si="256"/>
        <v>1.4466904478795088</v>
      </c>
      <c r="W72" s="142">
        <f t="shared" si="256"/>
        <v>1.4466904478795086</v>
      </c>
      <c r="X72" s="142">
        <f t="shared" si="256"/>
        <v>1.4466904478795086</v>
      </c>
      <c r="Y72" s="142">
        <f t="shared" si="256"/>
        <v>1.4466904478795086</v>
      </c>
      <c r="Z72" s="142">
        <f t="shared" si="256"/>
        <v>1.4466904478795086</v>
      </c>
      <c r="AA72" s="142">
        <f t="shared" si="256"/>
        <v>1.4466904478795086</v>
      </c>
      <c r="AB72" s="142">
        <f t="shared" si="256"/>
        <v>1.4466904478795088</v>
      </c>
      <c r="AC72" s="138" t="e">
        <f t="shared" si="234"/>
        <v>#DIV/0!</v>
      </c>
      <c r="AD72" s="31">
        <v>0.08</v>
      </c>
      <c r="AE72" s="144" t="e">
        <f>(AB72*(1+AC72))/($C$1-AD72)</f>
        <v>#DIV/0!</v>
      </c>
    </row>
    <row r="73" spans="2:31" x14ac:dyDescent="0.2">
      <c r="B73" s="20" t="s">
        <v>313</v>
      </c>
      <c r="C73" s="142">
        <f t="shared" ref="C73:P73" si="257">C31/C53</f>
        <v>0</v>
      </c>
      <c r="D73" s="142">
        <f t="shared" si="257"/>
        <v>0</v>
      </c>
      <c r="E73" s="142">
        <f t="shared" si="257"/>
        <v>0</v>
      </c>
      <c r="F73" s="142" t="e">
        <f t="shared" si="257"/>
        <v>#DIV/0!</v>
      </c>
      <c r="G73" s="142" t="e">
        <f t="shared" si="257"/>
        <v>#DIV/0!</v>
      </c>
      <c r="H73" s="142" t="e">
        <f t="shared" si="257"/>
        <v>#DIV/0!</v>
      </c>
      <c r="I73" s="142" t="e">
        <f t="shared" si="257"/>
        <v>#DIV/0!</v>
      </c>
      <c r="J73" s="142" t="e">
        <f t="shared" si="257"/>
        <v>#DIV/0!</v>
      </c>
      <c r="K73" s="142" t="e">
        <f t="shared" si="257"/>
        <v>#DIV/0!</v>
      </c>
      <c r="L73" s="142" t="e">
        <f t="shared" si="257"/>
        <v>#DIV/0!</v>
      </c>
      <c r="M73" s="142" t="e">
        <f t="shared" si="257"/>
        <v>#DIV/0!</v>
      </c>
      <c r="N73" s="142" t="e">
        <f t="shared" si="257"/>
        <v>#DIV/0!</v>
      </c>
      <c r="O73" s="142" t="e">
        <f t="shared" si="257"/>
        <v>#DIV/0!</v>
      </c>
      <c r="P73" s="142" t="e">
        <f t="shared" si="257"/>
        <v>#DIV/0!</v>
      </c>
      <c r="Q73" s="118" t="e">
        <f>((P73/G73)^(1/($H$2-$H$1) ))-1</f>
        <v>#DIV/0!</v>
      </c>
      <c r="R73" s="128"/>
      <c r="S73" s="142">
        <f t="shared" ref="S73:AB73" si="258">S14/S52</f>
        <v>0</v>
      </c>
      <c r="T73" s="142">
        <f t="shared" si="258"/>
        <v>0</v>
      </c>
      <c r="U73" s="142">
        <f t="shared" si="258"/>
        <v>0</v>
      </c>
      <c r="V73" s="142">
        <f t="shared" si="258"/>
        <v>0</v>
      </c>
      <c r="W73" s="142">
        <f t="shared" si="258"/>
        <v>0</v>
      </c>
      <c r="X73" s="142">
        <f t="shared" si="258"/>
        <v>0</v>
      </c>
      <c r="Y73" s="142">
        <f t="shared" si="258"/>
        <v>0</v>
      </c>
      <c r="Z73" s="142">
        <f t="shared" si="258"/>
        <v>0</v>
      </c>
      <c r="AA73" s="142">
        <f t="shared" si="258"/>
        <v>0</v>
      </c>
      <c r="AB73" s="142">
        <f t="shared" si="258"/>
        <v>0</v>
      </c>
      <c r="AC73" s="138" t="e">
        <f t="shared" si="234"/>
        <v>#DIV/0!</v>
      </c>
      <c r="AD73" s="31">
        <v>0.08</v>
      </c>
      <c r="AE73" s="144" t="e">
        <f>(AB73*(1+AC73))/($C$1-AD73)</f>
        <v>#DIV/0!</v>
      </c>
    </row>
    <row r="74" spans="2:31" x14ac:dyDescent="0.2">
      <c r="B74" s="20"/>
      <c r="C74" s="127"/>
      <c r="D74" s="127"/>
      <c r="E74" s="127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28"/>
      <c r="R74" s="128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39"/>
      <c r="AD74" s="20"/>
      <c r="AE74" s="153"/>
    </row>
    <row r="75" spans="2:31" x14ac:dyDescent="0.2">
      <c r="B75" s="20" t="s">
        <v>267</v>
      </c>
      <c r="C75" s="158">
        <f>C54</f>
        <v>1</v>
      </c>
      <c r="D75" s="158">
        <f t="shared" ref="D75:P75" si="259">D54</f>
        <v>1</v>
      </c>
      <c r="E75" s="158">
        <f t="shared" si="259"/>
        <v>1</v>
      </c>
      <c r="F75" s="158">
        <f t="shared" si="259"/>
        <v>5.5</v>
      </c>
      <c r="G75" s="158">
        <f t="shared" si="259"/>
        <v>5</v>
      </c>
      <c r="H75" s="158">
        <f t="shared" si="259"/>
        <v>5</v>
      </c>
      <c r="I75" s="158">
        <f t="shared" si="259"/>
        <v>6</v>
      </c>
      <c r="J75" s="158">
        <f t="shared" si="259"/>
        <v>8</v>
      </c>
      <c r="K75" s="158">
        <f t="shared" si="259"/>
        <v>10</v>
      </c>
      <c r="L75" s="158">
        <f t="shared" si="259"/>
        <v>13</v>
      </c>
      <c r="M75" s="158">
        <f t="shared" si="259"/>
        <v>15</v>
      </c>
      <c r="N75" s="158">
        <f t="shared" si="259"/>
        <v>3.5</v>
      </c>
      <c r="O75" s="158">
        <f t="shared" si="259"/>
        <v>3.6</v>
      </c>
      <c r="P75" s="158">
        <f t="shared" si="259"/>
        <v>3.6</v>
      </c>
      <c r="Q75" s="118">
        <f>((P75/G75)^(1/($H$2-$H$1) ))-1</f>
        <v>-3.584234179291157E-2</v>
      </c>
      <c r="R75" s="128"/>
      <c r="S75" s="159">
        <f t="shared" ref="S75:AB75" si="260">S54</f>
        <v>3.7440000000000002</v>
      </c>
      <c r="T75" s="159">
        <f t="shared" si="260"/>
        <v>3.8937600000000003</v>
      </c>
      <c r="U75" s="159">
        <f t="shared" si="260"/>
        <v>4.0495104000000008</v>
      </c>
      <c r="V75" s="159">
        <f t="shared" si="260"/>
        <v>4.2114908160000013</v>
      </c>
      <c r="W75" s="159">
        <f t="shared" si="260"/>
        <v>4.3799504486400016</v>
      </c>
      <c r="X75" s="159">
        <f t="shared" si="260"/>
        <v>4.5551484665856021</v>
      </c>
      <c r="Y75" s="159">
        <f t="shared" si="260"/>
        <v>4.7373544052490262</v>
      </c>
      <c r="Z75" s="159">
        <f t="shared" si="260"/>
        <v>4.9268485814589873</v>
      </c>
      <c r="AA75" s="159">
        <f t="shared" si="260"/>
        <v>5.1239225247173472</v>
      </c>
      <c r="AB75" s="159">
        <f t="shared" si="260"/>
        <v>5.3288794257060417</v>
      </c>
      <c r="AC75" s="138">
        <f t="shared" ref="AC75" si="261">((AB75/G75)^(1/($AB$3-$H$1) ))-1</f>
        <v>3.3584197684890515E-3</v>
      </c>
      <c r="AD75" s="31">
        <v>0.08</v>
      </c>
      <c r="AE75" s="144">
        <f>(AB75*(1+AC75))/($C$1-AD75)</f>
        <v>76.382514853046118</v>
      </c>
    </row>
    <row r="76" spans="2:31" x14ac:dyDescent="0.2">
      <c r="B76" s="20"/>
      <c r="C76" s="127"/>
      <c r="D76" s="127"/>
      <c r="E76" s="127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28"/>
      <c r="R76" s="128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39"/>
      <c r="AD76" s="20"/>
      <c r="AE76" s="153"/>
    </row>
    <row r="77" spans="2:31" x14ac:dyDescent="0.2">
      <c r="B77" s="20" t="s">
        <v>293</v>
      </c>
      <c r="C77" s="127">
        <f t="shared" ref="C77:G77" si="262">C18+C19</f>
        <v>0</v>
      </c>
      <c r="D77" s="127">
        <f t="shared" si="262"/>
        <v>0</v>
      </c>
      <c r="E77" s="127">
        <f t="shared" si="262"/>
        <v>0</v>
      </c>
      <c r="F77" s="161">
        <f t="shared" si="262"/>
        <v>0</v>
      </c>
      <c r="G77" s="142">
        <f t="shared" si="262"/>
        <v>0</v>
      </c>
      <c r="H77" s="142">
        <f>H18+H19</f>
        <v>0</v>
      </c>
      <c r="I77" s="142">
        <f t="shared" ref="I77:P77" si="263">I18+I19</f>
        <v>0</v>
      </c>
      <c r="J77" s="142">
        <f t="shared" si="263"/>
        <v>0</v>
      </c>
      <c r="K77" s="142">
        <f t="shared" si="263"/>
        <v>0</v>
      </c>
      <c r="L77" s="142">
        <f t="shared" si="263"/>
        <v>0</v>
      </c>
      <c r="M77" s="142">
        <f t="shared" si="263"/>
        <v>0</v>
      </c>
      <c r="N77" s="142">
        <f t="shared" si="263"/>
        <v>0</v>
      </c>
      <c r="O77" s="142">
        <f t="shared" si="263"/>
        <v>0</v>
      </c>
      <c r="P77" s="142">
        <f t="shared" si="263"/>
        <v>0</v>
      </c>
      <c r="Q77" s="118" t="e">
        <f>((P77/G77)^(1/($H$2-$H$1) ))-1</f>
        <v>#DIV/0!</v>
      </c>
      <c r="R77" s="128"/>
      <c r="S77" s="144">
        <f t="shared" ref="S77:AB77" si="264">S18-S19</f>
        <v>0</v>
      </c>
      <c r="T77" s="144">
        <f t="shared" si="264"/>
        <v>0</v>
      </c>
      <c r="U77" s="144">
        <f t="shared" si="264"/>
        <v>0</v>
      </c>
      <c r="V77" s="144">
        <f t="shared" si="264"/>
        <v>0</v>
      </c>
      <c r="W77" s="144">
        <f t="shared" si="264"/>
        <v>0</v>
      </c>
      <c r="X77" s="144">
        <f t="shared" si="264"/>
        <v>0</v>
      </c>
      <c r="Y77" s="144">
        <f t="shared" si="264"/>
        <v>0</v>
      </c>
      <c r="Z77" s="144">
        <f t="shared" si="264"/>
        <v>0</v>
      </c>
      <c r="AA77" s="144">
        <f t="shared" si="264"/>
        <v>0</v>
      </c>
      <c r="AB77" s="144">
        <f t="shared" si="264"/>
        <v>0</v>
      </c>
      <c r="AC77" s="138" t="e">
        <f t="shared" ref="AC77:AC82" si="265">((AB77/G77)^(1/($AB$3-$H$1) ))-1</f>
        <v>#DIV/0!</v>
      </c>
      <c r="AD77" s="31">
        <v>0.08</v>
      </c>
      <c r="AE77" s="144" t="e">
        <f>(AB77*(1+AC77))/($C$1-AD77)</f>
        <v>#DIV/0!</v>
      </c>
    </row>
    <row r="78" spans="2:31" x14ac:dyDescent="0.2">
      <c r="B78" s="20"/>
      <c r="C78" s="127"/>
      <c r="D78" s="127"/>
      <c r="E78" s="127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28"/>
      <c r="R78" s="128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38"/>
      <c r="AD78" s="31"/>
      <c r="AE78" s="144"/>
    </row>
    <row r="79" spans="2:31" x14ac:dyDescent="0.2">
      <c r="B79" s="20" t="s">
        <v>294</v>
      </c>
      <c r="C79" s="127">
        <f t="shared" ref="C79:P79" si="266">C77/C52</f>
        <v>0</v>
      </c>
      <c r="D79" s="127">
        <f t="shared" si="266"/>
        <v>0</v>
      </c>
      <c r="E79" s="127">
        <f t="shared" si="266"/>
        <v>0</v>
      </c>
      <c r="F79" s="142">
        <f t="shared" si="266"/>
        <v>0</v>
      </c>
      <c r="G79" s="142">
        <f t="shared" si="266"/>
        <v>0</v>
      </c>
      <c r="H79" s="142">
        <f t="shared" si="266"/>
        <v>0</v>
      </c>
      <c r="I79" s="142">
        <f t="shared" si="266"/>
        <v>0</v>
      </c>
      <c r="J79" s="142">
        <f t="shared" si="266"/>
        <v>0</v>
      </c>
      <c r="K79" s="142">
        <f t="shared" si="266"/>
        <v>0</v>
      </c>
      <c r="L79" s="142">
        <f t="shared" si="266"/>
        <v>0</v>
      </c>
      <c r="M79" s="142">
        <f t="shared" si="266"/>
        <v>0</v>
      </c>
      <c r="N79" s="142">
        <f t="shared" si="266"/>
        <v>0</v>
      </c>
      <c r="O79" s="142">
        <f t="shared" si="266"/>
        <v>0</v>
      </c>
      <c r="P79" s="142">
        <f t="shared" si="266"/>
        <v>0</v>
      </c>
      <c r="Q79" s="118" t="e">
        <f>((P79/G79)^(1/($H$2-$H$1) ))-1</f>
        <v>#DIV/0!</v>
      </c>
      <c r="R79" s="128"/>
      <c r="S79" s="144">
        <f t="shared" ref="S79:AB79" si="267">S77/S52</f>
        <v>0</v>
      </c>
      <c r="T79" s="144">
        <f t="shared" si="267"/>
        <v>0</v>
      </c>
      <c r="U79" s="144">
        <f t="shared" si="267"/>
        <v>0</v>
      </c>
      <c r="V79" s="144">
        <f t="shared" si="267"/>
        <v>0</v>
      </c>
      <c r="W79" s="144">
        <f t="shared" si="267"/>
        <v>0</v>
      </c>
      <c r="X79" s="144">
        <f t="shared" si="267"/>
        <v>0</v>
      </c>
      <c r="Y79" s="144">
        <f t="shared" si="267"/>
        <v>0</v>
      </c>
      <c r="Z79" s="144">
        <f t="shared" si="267"/>
        <v>0</v>
      </c>
      <c r="AA79" s="144">
        <f t="shared" si="267"/>
        <v>0</v>
      </c>
      <c r="AB79" s="144">
        <f t="shared" si="267"/>
        <v>0</v>
      </c>
      <c r="AC79" s="138" t="e">
        <f t="shared" si="265"/>
        <v>#DIV/0!</v>
      </c>
      <c r="AD79" s="31">
        <v>0.08</v>
      </c>
      <c r="AE79" s="144" t="e">
        <f>(AB79*(1+AC79))/($C$1-AD79)</f>
        <v>#DIV/0!</v>
      </c>
    </row>
    <row r="80" spans="2:31" x14ac:dyDescent="0.2">
      <c r="B80" s="20" t="s">
        <v>271</v>
      </c>
      <c r="C80" s="127">
        <f t="shared" ref="C80:P80" si="268">C18/C52</f>
        <v>0</v>
      </c>
      <c r="D80" s="127">
        <f t="shared" si="268"/>
        <v>0</v>
      </c>
      <c r="E80" s="127">
        <f t="shared" si="268"/>
        <v>0</v>
      </c>
      <c r="F80" s="142">
        <f t="shared" si="268"/>
        <v>0</v>
      </c>
      <c r="G80" s="142">
        <f t="shared" si="268"/>
        <v>0</v>
      </c>
      <c r="H80" s="142">
        <f t="shared" si="268"/>
        <v>0</v>
      </c>
      <c r="I80" s="142">
        <f t="shared" si="268"/>
        <v>0</v>
      </c>
      <c r="J80" s="142">
        <f t="shared" si="268"/>
        <v>0</v>
      </c>
      <c r="K80" s="142">
        <f t="shared" si="268"/>
        <v>0</v>
      </c>
      <c r="L80" s="142">
        <f t="shared" si="268"/>
        <v>0</v>
      </c>
      <c r="M80" s="142">
        <f t="shared" si="268"/>
        <v>0</v>
      </c>
      <c r="N80" s="142">
        <f t="shared" si="268"/>
        <v>0</v>
      </c>
      <c r="O80" s="142">
        <f t="shared" si="268"/>
        <v>0</v>
      </c>
      <c r="P80" s="142">
        <f t="shared" si="268"/>
        <v>0</v>
      </c>
      <c r="Q80" s="118" t="e">
        <f>((P80/G80)^(1/($H$2-$H$1) ))-1</f>
        <v>#DIV/0!</v>
      </c>
      <c r="R80" s="128"/>
      <c r="S80" s="144">
        <f t="shared" ref="S80:AB80" si="269">S18/S52</f>
        <v>0</v>
      </c>
      <c r="T80" s="144">
        <f t="shared" si="269"/>
        <v>0</v>
      </c>
      <c r="U80" s="144">
        <f t="shared" si="269"/>
        <v>0</v>
      </c>
      <c r="V80" s="144">
        <f t="shared" si="269"/>
        <v>0</v>
      </c>
      <c r="W80" s="144">
        <f t="shared" si="269"/>
        <v>0</v>
      </c>
      <c r="X80" s="144">
        <f t="shared" si="269"/>
        <v>0</v>
      </c>
      <c r="Y80" s="144">
        <f t="shared" si="269"/>
        <v>0</v>
      </c>
      <c r="Z80" s="144">
        <f t="shared" si="269"/>
        <v>0</v>
      </c>
      <c r="AA80" s="144">
        <f t="shared" si="269"/>
        <v>0</v>
      </c>
      <c r="AB80" s="144">
        <f t="shared" si="269"/>
        <v>0</v>
      </c>
      <c r="AC80" s="138" t="e">
        <f t="shared" si="265"/>
        <v>#DIV/0!</v>
      </c>
      <c r="AD80" s="31">
        <v>0.08</v>
      </c>
      <c r="AE80" s="144" t="e">
        <f>(AB80*(1+AC80))/($C$1-AD80)</f>
        <v>#DIV/0!</v>
      </c>
    </row>
    <row r="81" spans="2:31" x14ac:dyDescent="0.2">
      <c r="B81" s="20" t="s">
        <v>272</v>
      </c>
      <c r="C81" s="127">
        <f t="shared" ref="C81:P81" si="270">C19/C52</f>
        <v>0</v>
      </c>
      <c r="D81" s="127">
        <f t="shared" si="270"/>
        <v>0</v>
      </c>
      <c r="E81" s="127">
        <f t="shared" si="270"/>
        <v>0</v>
      </c>
      <c r="F81" s="142">
        <f t="shared" si="270"/>
        <v>0</v>
      </c>
      <c r="G81" s="142">
        <f t="shared" si="270"/>
        <v>0</v>
      </c>
      <c r="H81" s="142">
        <f t="shared" si="270"/>
        <v>0</v>
      </c>
      <c r="I81" s="142">
        <f t="shared" si="270"/>
        <v>0</v>
      </c>
      <c r="J81" s="142">
        <f t="shared" si="270"/>
        <v>0</v>
      </c>
      <c r="K81" s="142">
        <f t="shared" si="270"/>
        <v>0</v>
      </c>
      <c r="L81" s="142">
        <f t="shared" si="270"/>
        <v>0</v>
      </c>
      <c r="M81" s="142">
        <f t="shared" si="270"/>
        <v>0</v>
      </c>
      <c r="N81" s="142">
        <f t="shared" si="270"/>
        <v>0</v>
      </c>
      <c r="O81" s="142">
        <f t="shared" si="270"/>
        <v>0</v>
      </c>
      <c r="P81" s="142">
        <f t="shared" si="270"/>
        <v>0</v>
      </c>
      <c r="Q81" s="118" t="e">
        <f>((P81/G81)^(1/($H$2-$H$1) ))-1</f>
        <v>#DIV/0!</v>
      </c>
      <c r="R81" s="128"/>
      <c r="S81" s="144">
        <f t="shared" ref="S81:AB81" si="271">S19/S52</f>
        <v>0</v>
      </c>
      <c r="T81" s="144">
        <f t="shared" si="271"/>
        <v>0</v>
      </c>
      <c r="U81" s="144">
        <f t="shared" si="271"/>
        <v>0</v>
      </c>
      <c r="V81" s="144">
        <f t="shared" si="271"/>
        <v>0</v>
      </c>
      <c r="W81" s="144">
        <f t="shared" si="271"/>
        <v>0</v>
      </c>
      <c r="X81" s="144">
        <f t="shared" si="271"/>
        <v>0</v>
      </c>
      <c r="Y81" s="144">
        <f t="shared" si="271"/>
        <v>0</v>
      </c>
      <c r="Z81" s="144">
        <f t="shared" si="271"/>
        <v>0</v>
      </c>
      <c r="AA81" s="144">
        <f t="shared" si="271"/>
        <v>0</v>
      </c>
      <c r="AB81" s="144">
        <f t="shared" si="271"/>
        <v>0</v>
      </c>
      <c r="AC81" s="138" t="e">
        <f t="shared" si="265"/>
        <v>#DIV/0!</v>
      </c>
      <c r="AD81" s="31">
        <v>0.08</v>
      </c>
      <c r="AE81" s="144" t="e">
        <f>(AB81*(1+AC81))/($C$1-AD81)</f>
        <v>#DIV/0!</v>
      </c>
    </row>
    <row r="82" spans="2:31" x14ac:dyDescent="0.2">
      <c r="B82" s="20" t="s">
        <v>273</v>
      </c>
      <c r="C82" s="127">
        <f t="shared" ref="C82:P82" si="272">C20/C52</f>
        <v>0</v>
      </c>
      <c r="D82" s="127">
        <f t="shared" si="272"/>
        <v>0</v>
      </c>
      <c r="E82" s="127">
        <f t="shared" si="272"/>
        <v>0</v>
      </c>
      <c r="F82" s="142">
        <f t="shared" si="272"/>
        <v>0</v>
      </c>
      <c r="G82" s="142">
        <f t="shared" si="272"/>
        <v>0</v>
      </c>
      <c r="H82" s="142">
        <f t="shared" si="272"/>
        <v>0</v>
      </c>
      <c r="I82" s="142">
        <f t="shared" si="272"/>
        <v>0</v>
      </c>
      <c r="J82" s="142">
        <f t="shared" si="272"/>
        <v>0</v>
      </c>
      <c r="K82" s="142">
        <f t="shared" si="272"/>
        <v>0</v>
      </c>
      <c r="L82" s="142">
        <f t="shared" si="272"/>
        <v>0</v>
      </c>
      <c r="M82" s="142">
        <f t="shared" si="272"/>
        <v>0</v>
      </c>
      <c r="N82" s="142">
        <f t="shared" si="272"/>
        <v>0</v>
      </c>
      <c r="O82" s="142">
        <f t="shared" si="272"/>
        <v>0</v>
      </c>
      <c r="P82" s="142">
        <f t="shared" si="272"/>
        <v>0</v>
      </c>
      <c r="Q82" s="118" t="e">
        <f>((P82/G82)^(1/($H$2-$H$1) ))-1</f>
        <v>#DIV/0!</v>
      </c>
      <c r="R82" s="128"/>
      <c r="S82" s="144">
        <f t="shared" ref="S82:AB82" si="273">S20/S52</f>
        <v>0</v>
      </c>
      <c r="T82" s="144">
        <f t="shared" si="273"/>
        <v>0</v>
      </c>
      <c r="U82" s="144">
        <f t="shared" si="273"/>
        <v>0</v>
      </c>
      <c r="V82" s="144">
        <f t="shared" si="273"/>
        <v>0</v>
      </c>
      <c r="W82" s="144">
        <f t="shared" si="273"/>
        <v>0</v>
      </c>
      <c r="X82" s="144">
        <f t="shared" si="273"/>
        <v>0</v>
      </c>
      <c r="Y82" s="144">
        <f t="shared" si="273"/>
        <v>0</v>
      </c>
      <c r="Z82" s="144">
        <f t="shared" si="273"/>
        <v>0</v>
      </c>
      <c r="AA82" s="144">
        <f t="shared" si="273"/>
        <v>0</v>
      </c>
      <c r="AB82" s="144">
        <f t="shared" si="273"/>
        <v>0</v>
      </c>
      <c r="AC82" s="138" t="e">
        <f t="shared" si="265"/>
        <v>#DIV/0!</v>
      </c>
      <c r="AD82" s="31">
        <v>0.08</v>
      </c>
      <c r="AE82" s="144" t="e">
        <f>(AB82*(1+AC82))/($C$1-AD82)</f>
        <v>#DIV/0!</v>
      </c>
    </row>
    <row r="83" spans="2:31" x14ac:dyDescent="0.2">
      <c r="B83" s="20" t="s">
        <v>277</v>
      </c>
      <c r="C83" s="127">
        <f t="shared" ref="C83:P83" si="274">C21/C52</f>
        <v>0</v>
      </c>
      <c r="D83" s="127">
        <f t="shared" si="274"/>
        <v>0</v>
      </c>
      <c r="E83" s="127">
        <f t="shared" si="274"/>
        <v>0</v>
      </c>
      <c r="F83" s="142">
        <f t="shared" si="274"/>
        <v>0</v>
      </c>
      <c r="G83" s="142">
        <f t="shared" si="274"/>
        <v>0</v>
      </c>
      <c r="H83" s="142">
        <f t="shared" si="274"/>
        <v>0</v>
      </c>
      <c r="I83" s="142">
        <f t="shared" si="274"/>
        <v>0</v>
      </c>
      <c r="J83" s="142">
        <f t="shared" si="274"/>
        <v>0</v>
      </c>
      <c r="K83" s="142">
        <f t="shared" si="274"/>
        <v>0</v>
      </c>
      <c r="L83" s="142">
        <f t="shared" si="274"/>
        <v>0</v>
      </c>
      <c r="M83" s="142">
        <f t="shared" si="274"/>
        <v>0</v>
      </c>
      <c r="N83" s="142">
        <f t="shared" si="274"/>
        <v>0</v>
      </c>
      <c r="O83" s="142">
        <f t="shared" si="274"/>
        <v>0</v>
      </c>
      <c r="P83" s="142">
        <f t="shared" si="274"/>
        <v>0</v>
      </c>
      <c r="Q83" s="118" t="e">
        <f>((P83/G83)^(1/($H$2-$H$1) ))-1</f>
        <v>#DIV/0!</v>
      </c>
      <c r="R83" s="128"/>
      <c r="S83" s="144">
        <f t="shared" ref="S83:AB83" si="275">S21/S52</f>
        <v>0</v>
      </c>
      <c r="T83" s="144">
        <f t="shared" si="275"/>
        <v>0</v>
      </c>
      <c r="U83" s="144">
        <f t="shared" si="275"/>
        <v>0</v>
      </c>
      <c r="V83" s="144">
        <f t="shared" si="275"/>
        <v>0</v>
      </c>
      <c r="W83" s="144">
        <f t="shared" si="275"/>
        <v>0</v>
      </c>
      <c r="X83" s="144">
        <f t="shared" si="275"/>
        <v>0</v>
      </c>
      <c r="Y83" s="144">
        <f t="shared" si="275"/>
        <v>0</v>
      </c>
      <c r="Z83" s="144">
        <f t="shared" si="275"/>
        <v>0</v>
      </c>
      <c r="AA83" s="144">
        <f t="shared" si="275"/>
        <v>0</v>
      </c>
      <c r="AB83" s="144">
        <f t="shared" si="275"/>
        <v>0</v>
      </c>
      <c r="AC83" s="138" t="e">
        <f t="shared" ref="AC83" si="276">((AB83/G83)^(1/($AB$3-$H$1) ))-1</f>
        <v>#DIV/0!</v>
      </c>
      <c r="AD83" s="31">
        <v>0.08</v>
      </c>
      <c r="AE83" s="144" t="e">
        <f>(AB83*(1+AC83))/($C$1-AD83)</f>
        <v>#DIV/0!</v>
      </c>
    </row>
    <row r="84" spans="2:31" x14ac:dyDescent="0.2">
      <c r="B84" s="20"/>
      <c r="C84" s="127"/>
      <c r="D84" s="127"/>
      <c r="E84" s="127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28"/>
      <c r="R84" s="128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39"/>
      <c r="AD84" s="20"/>
      <c r="AE84" s="153"/>
    </row>
    <row r="85" spans="2:31" x14ac:dyDescent="0.2">
      <c r="B85" s="20" t="s">
        <v>308</v>
      </c>
      <c r="C85" s="142">
        <f t="shared" ref="C85:O85" si="277">C47/C52</f>
        <v>0</v>
      </c>
      <c r="D85" s="142">
        <f t="shared" si="277"/>
        <v>0</v>
      </c>
      <c r="E85" s="142">
        <f t="shared" si="277"/>
        <v>0</v>
      </c>
      <c r="F85" s="142">
        <f t="shared" si="277"/>
        <v>120.42723631508677</v>
      </c>
      <c r="G85" s="142">
        <f t="shared" si="277"/>
        <v>114.95327102803738</v>
      </c>
      <c r="H85" s="142">
        <f t="shared" si="277"/>
        <v>101.76678445229682</v>
      </c>
      <c r="I85" s="142">
        <f t="shared" si="277"/>
        <v>128.62190812720848</v>
      </c>
      <c r="J85" s="142">
        <f t="shared" si="277"/>
        <v>167.60895170789163</v>
      </c>
      <c r="K85" s="142">
        <f t="shared" si="277"/>
        <v>234.27561837455829</v>
      </c>
      <c r="L85" s="142">
        <f t="shared" si="277"/>
        <v>320.96584216725557</v>
      </c>
      <c r="M85" s="142">
        <f t="shared" si="277"/>
        <v>344.5732349841939</v>
      </c>
      <c r="N85" s="142">
        <f t="shared" si="277"/>
        <v>87.399915718499784</v>
      </c>
      <c r="O85" s="142">
        <f t="shared" si="277"/>
        <v>113.57510899722553</v>
      </c>
      <c r="P85" s="142">
        <f>P47/P52</f>
        <v>143.935790725327</v>
      </c>
      <c r="Q85" s="118">
        <f>((P85/G85)^(1/($H$2-$H$1) ))-1</f>
        <v>2.5297074623849891E-2</v>
      </c>
      <c r="R85" s="128"/>
      <c r="S85" s="142">
        <f>S47/S52</f>
        <v>143.935790725327</v>
      </c>
      <c r="T85" s="142">
        <f t="shared" ref="T85:AB85" si="278">T47/T52</f>
        <v>143.935790725327</v>
      </c>
      <c r="U85" s="142">
        <f t="shared" si="278"/>
        <v>143.93579072532697</v>
      </c>
      <c r="V85" s="142">
        <f t="shared" si="278"/>
        <v>143.935790725327</v>
      </c>
      <c r="W85" s="142">
        <f t="shared" si="278"/>
        <v>143.93579072532697</v>
      </c>
      <c r="X85" s="142">
        <f t="shared" si="278"/>
        <v>143.93579072532697</v>
      </c>
      <c r="Y85" s="142">
        <f t="shared" si="278"/>
        <v>143.93579072532697</v>
      </c>
      <c r="Z85" s="142">
        <f t="shared" si="278"/>
        <v>143.935790725327</v>
      </c>
      <c r="AA85" s="142">
        <f t="shared" si="278"/>
        <v>143.93579072532697</v>
      </c>
      <c r="AB85" s="142">
        <f t="shared" si="278"/>
        <v>143.935790725327</v>
      </c>
      <c r="AC85" s="138">
        <f t="shared" ref="AC85:AC87" si="279">((AB85/G85)^(1/($AB$3-$H$1) ))-1</f>
        <v>1.1904064234034895E-2</v>
      </c>
      <c r="AD85" s="31">
        <v>0.08</v>
      </c>
      <c r="AE85" s="144">
        <f>(AB85*(1+AC85))/($C$1-AD85)</f>
        <v>2080.7030231956842</v>
      </c>
    </row>
    <row r="86" spans="2:31" x14ac:dyDescent="0.2">
      <c r="B86" s="20" t="s">
        <v>309</v>
      </c>
      <c r="C86" s="142">
        <f t="shared" ref="C86:O86" si="280">C49/C52</f>
        <v>0</v>
      </c>
      <c r="D86" s="142">
        <f t="shared" si="280"/>
        <v>0</v>
      </c>
      <c r="E86" s="142">
        <f t="shared" si="280"/>
        <v>0</v>
      </c>
      <c r="F86" s="142">
        <f t="shared" si="280"/>
        <v>23.89853137516689</v>
      </c>
      <c r="G86" s="142">
        <f t="shared" si="280"/>
        <v>22.296395193591454</v>
      </c>
      <c r="H86" s="142">
        <f t="shared" si="280"/>
        <v>16.843345111896348</v>
      </c>
      <c r="I86" s="142">
        <f t="shared" si="280"/>
        <v>24.499411071849234</v>
      </c>
      <c r="J86" s="142">
        <f t="shared" si="280"/>
        <v>32.862190812720847</v>
      </c>
      <c r="K86" s="142">
        <f t="shared" si="280"/>
        <v>45.465253239104825</v>
      </c>
      <c r="L86" s="142">
        <f t="shared" si="280"/>
        <v>62.426383981154295</v>
      </c>
      <c r="M86" s="142">
        <f t="shared" si="280"/>
        <v>69.546891464699684</v>
      </c>
      <c r="N86" s="142">
        <f t="shared" si="280"/>
        <v>20.438263801095658</v>
      </c>
      <c r="O86" s="142">
        <f t="shared" si="280"/>
        <v>18.152992469282601</v>
      </c>
      <c r="P86" s="142">
        <f>P49/P52</f>
        <v>20.887831946095918</v>
      </c>
      <c r="Q86" s="118">
        <f>((P86/G86)^(1/($H$2-$H$1) ))-1</f>
        <v>-7.2246898759589229E-3</v>
      </c>
      <c r="R86" s="128"/>
      <c r="S86" s="142">
        <f>S49/S52</f>
        <v>20.887831946095915</v>
      </c>
      <c r="T86" s="142">
        <f t="shared" ref="T86:AB86" si="281">T49/T52</f>
        <v>20.887831946095915</v>
      </c>
      <c r="U86" s="142">
        <f t="shared" si="281"/>
        <v>20.887831946095915</v>
      </c>
      <c r="V86" s="142">
        <f t="shared" si="281"/>
        <v>20.887831946095915</v>
      </c>
      <c r="W86" s="142">
        <f t="shared" si="281"/>
        <v>20.887831946095915</v>
      </c>
      <c r="X86" s="142">
        <f t="shared" si="281"/>
        <v>20.887831946095915</v>
      </c>
      <c r="Y86" s="142">
        <f t="shared" si="281"/>
        <v>20.887831946095918</v>
      </c>
      <c r="Z86" s="142">
        <f t="shared" si="281"/>
        <v>20.887831946095918</v>
      </c>
      <c r="AA86" s="142">
        <f t="shared" si="281"/>
        <v>20.887831946095918</v>
      </c>
      <c r="AB86" s="142">
        <f t="shared" si="281"/>
        <v>20.887831946095918</v>
      </c>
      <c r="AC86" s="138">
        <f t="shared" si="279"/>
        <v>-3.4287519902601593E-3</v>
      </c>
      <c r="AD86" s="31">
        <v>0.08</v>
      </c>
      <c r="AE86" s="144">
        <f>(AB86*(1+AC86))/($C$1-AD86)</f>
        <v>297.37446786769323</v>
      </c>
    </row>
    <row r="87" spans="2:31" x14ac:dyDescent="0.2">
      <c r="B87" s="20" t="s">
        <v>310</v>
      </c>
      <c r="C87" s="142">
        <f t="shared" ref="C87:P87" si="282">C6/C52</f>
        <v>0</v>
      </c>
      <c r="D87" s="142">
        <f t="shared" si="282"/>
        <v>0</v>
      </c>
      <c r="E87" s="142">
        <f t="shared" si="282"/>
        <v>0</v>
      </c>
      <c r="F87" s="142">
        <f t="shared" si="282"/>
        <v>104.93991989319092</v>
      </c>
      <c r="G87" s="142">
        <f t="shared" si="282"/>
        <v>118.29105473965286</v>
      </c>
      <c r="H87" s="142">
        <f t="shared" si="282"/>
        <v>132.50883392226149</v>
      </c>
      <c r="I87" s="142">
        <f t="shared" si="282"/>
        <v>150.29446407538279</v>
      </c>
      <c r="J87" s="142">
        <f t="shared" si="282"/>
        <v>173.96937573616017</v>
      </c>
      <c r="K87" s="142">
        <f t="shared" si="282"/>
        <v>208.36277974087162</v>
      </c>
      <c r="L87" s="142">
        <f t="shared" si="282"/>
        <v>256.41931684334509</v>
      </c>
      <c r="M87" s="142">
        <f t="shared" si="282"/>
        <v>352.68703898840886</v>
      </c>
      <c r="N87" s="142">
        <f t="shared" si="282"/>
        <v>86.304256215760645</v>
      </c>
      <c r="O87" s="142">
        <f t="shared" si="282"/>
        <v>111.1573523583036</v>
      </c>
      <c r="P87" s="142">
        <f t="shared" si="282"/>
        <v>127.46730083234245</v>
      </c>
      <c r="Q87" s="118">
        <f>((P87/G87)^(1/($H$2-$H$1) ))-1</f>
        <v>8.3358529640364942E-3</v>
      </c>
      <c r="R87" s="128"/>
      <c r="S87" s="142">
        <f t="shared" ref="S87:AB87" si="283">S6/S52</f>
        <v>127.46730083234245</v>
      </c>
      <c r="T87" s="142">
        <f t="shared" si="283"/>
        <v>127.46730083234245</v>
      </c>
      <c r="U87" s="142">
        <f t="shared" si="283"/>
        <v>127.46730083234245</v>
      </c>
      <c r="V87" s="142">
        <f t="shared" si="283"/>
        <v>127.46730083234245</v>
      </c>
      <c r="W87" s="142">
        <f t="shared" si="283"/>
        <v>127.46730083234245</v>
      </c>
      <c r="X87" s="142">
        <f t="shared" si="283"/>
        <v>127.46730083234245</v>
      </c>
      <c r="Y87" s="142">
        <f t="shared" si="283"/>
        <v>127.46730083234243</v>
      </c>
      <c r="Z87" s="142">
        <f t="shared" si="283"/>
        <v>127.46730083234245</v>
      </c>
      <c r="AA87" s="142">
        <f t="shared" si="283"/>
        <v>127.46730083234245</v>
      </c>
      <c r="AB87" s="142">
        <f t="shared" si="283"/>
        <v>127.46730083234245</v>
      </c>
      <c r="AC87" s="138">
        <f t="shared" si="279"/>
        <v>3.9399367277634934E-3</v>
      </c>
      <c r="AD87" s="31">
        <v>0.08</v>
      </c>
      <c r="AE87" s="144">
        <f>(AB87*(1+AC87))/($C$1-AD87)</f>
        <v>1828.1359133211527</v>
      </c>
    </row>
    <row r="88" spans="2:31" x14ac:dyDescent="0.2">
      <c r="B88" s="20"/>
      <c r="C88" s="127"/>
      <c r="D88" s="127"/>
      <c r="E88" s="127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28"/>
      <c r="R88" s="128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39"/>
      <c r="AD88" s="20"/>
      <c r="AE88" s="153"/>
    </row>
    <row r="89" spans="2:31" x14ac:dyDescent="0.2">
      <c r="B89" s="20"/>
      <c r="C89" s="127"/>
      <c r="D89" s="127"/>
      <c r="E89" s="127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28"/>
      <c r="R89" s="128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39"/>
      <c r="AD89" s="20"/>
      <c r="AE89" s="153"/>
    </row>
    <row r="90" spans="2:31" x14ac:dyDescent="0.2">
      <c r="B90" s="108" t="s">
        <v>290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</row>
    <row r="91" spans="2:31" x14ac:dyDescent="0.2">
      <c r="B91" s="20" t="s">
        <v>288</v>
      </c>
      <c r="C91" s="151" t="e">
        <f t="shared" ref="C91:P91" si="284">C47/C33</f>
        <v>#DIV/0!</v>
      </c>
      <c r="D91" s="151" t="e">
        <f t="shared" si="284"/>
        <v>#DIV/0!</v>
      </c>
      <c r="E91" s="151" t="e">
        <f t="shared" si="284"/>
        <v>#DIV/0!</v>
      </c>
      <c r="F91" s="151">
        <f t="shared" si="284"/>
        <v>0.8851815505397449</v>
      </c>
      <c r="G91" s="151">
        <f t="shared" si="284"/>
        <v>0.88036809815950923</v>
      </c>
      <c r="H91" s="151">
        <f t="shared" si="284"/>
        <v>0.82521489971346706</v>
      </c>
      <c r="I91" s="151">
        <f t="shared" si="284"/>
        <v>0.85781618224666145</v>
      </c>
      <c r="J91" s="151">
        <f t="shared" si="284"/>
        <v>0.89553178099433606</v>
      </c>
      <c r="K91" s="151">
        <f t="shared" si="284"/>
        <v>0.9107142857142857</v>
      </c>
      <c r="L91" s="151">
        <f t="shared" si="284"/>
        <v>0.9383608815426997</v>
      </c>
      <c r="M91" s="151">
        <f t="shared" si="284"/>
        <v>0.93938523412812414</v>
      </c>
      <c r="N91" s="151">
        <f t="shared" si="284"/>
        <v>0.82481606681248754</v>
      </c>
      <c r="O91" s="151">
        <f t="shared" si="284"/>
        <v>0.91784112748238311</v>
      </c>
      <c r="P91" s="151">
        <f t="shared" si="284"/>
        <v>0.93764523625096829</v>
      </c>
      <c r="Q91" s="118">
        <f>((P91/G91)^(1/($H$2-$H$1) ))-1</f>
        <v>7.0280875809629606E-3</v>
      </c>
      <c r="R91" s="151"/>
      <c r="S91" s="151">
        <f t="shared" ref="S91:AB91" si="285">S47/S33</f>
        <v>0.93764523625096829</v>
      </c>
      <c r="T91" s="151">
        <f t="shared" si="285"/>
        <v>0.93764523625096818</v>
      </c>
      <c r="U91" s="151">
        <f t="shared" si="285"/>
        <v>0.93764523625096807</v>
      </c>
      <c r="V91" s="151">
        <f t="shared" si="285"/>
        <v>0.93764523625096818</v>
      </c>
      <c r="W91" s="151">
        <f t="shared" si="285"/>
        <v>0.93764523625096807</v>
      </c>
      <c r="X91" s="151">
        <f t="shared" si="285"/>
        <v>0.93764523625096807</v>
      </c>
      <c r="Y91" s="151">
        <f t="shared" si="285"/>
        <v>0.93764523625096807</v>
      </c>
      <c r="Z91" s="151">
        <f t="shared" si="285"/>
        <v>0.93764523625096807</v>
      </c>
      <c r="AA91" s="151">
        <f t="shared" si="285"/>
        <v>0.93764523625096796</v>
      </c>
      <c r="AB91" s="151">
        <f t="shared" si="285"/>
        <v>0.93764523625096785</v>
      </c>
      <c r="AC91" s="138">
        <f t="shared" ref="AC91:AC93" si="286">((AB91/G91)^(1/($AB$3-$H$1) ))-1</f>
        <v>3.3229588874430505E-3</v>
      </c>
      <c r="AD91" s="144"/>
      <c r="AE91" s="144"/>
    </row>
    <row r="92" spans="2:31" x14ac:dyDescent="0.2">
      <c r="B92" s="20" t="s">
        <v>259</v>
      </c>
      <c r="C92" s="151" t="e">
        <f t="shared" ref="C92:P92" si="287">C49/C33</f>
        <v>#DIV/0!</v>
      </c>
      <c r="D92" s="151" t="e">
        <f t="shared" si="287"/>
        <v>#DIV/0!</v>
      </c>
      <c r="E92" s="151" t="e">
        <f t="shared" si="287"/>
        <v>#DIV/0!</v>
      </c>
      <c r="F92" s="151">
        <f t="shared" si="287"/>
        <v>0.17566241413150147</v>
      </c>
      <c r="G92" s="151">
        <f t="shared" si="287"/>
        <v>0.17075664621676892</v>
      </c>
      <c r="H92" s="151">
        <f t="shared" si="287"/>
        <v>0.13658070678127984</v>
      </c>
      <c r="I92" s="151">
        <f t="shared" si="287"/>
        <v>0.16339355852317361</v>
      </c>
      <c r="J92" s="151">
        <f t="shared" si="287"/>
        <v>0.17558212712397733</v>
      </c>
      <c r="K92" s="151">
        <f t="shared" si="287"/>
        <v>0.17673992673992675</v>
      </c>
      <c r="L92" s="151">
        <f t="shared" si="287"/>
        <v>0.18250688705234161</v>
      </c>
      <c r="M92" s="151">
        <f t="shared" si="287"/>
        <v>0.18960068945705258</v>
      </c>
      <c r="N92" s="151">
        <f t="shared" si="287"/>
        <v>0.19288128852654604</v>
      </c>
      <c r="O92" s="151">
        <f t="shared" si="287"/>
        <v>0.14670083279948751</v>
      </c>
      <c r="P92" s="151">
        <f t="shared" si="287"/>
        <v>0.13607022979602376</v>
      </c>
      <c r="Q92" s="118">
        <f>((P92/G92)^(1/($H$2-$H$1) ))-1</f>
        <v>-2.4914196386847998E-2</v>
      </c>
      <c r="R92" s="151"/>
      <c r="S92" s="151">
        <f t="shared" ref="S92:AB92" si="288">S49/S33</f>
        <v>0.13607022979602376</v>
      </c>
      <c r="T92" s="151">
        <f t="shared" si="288"/>
        <v>0.13607022979602373</v>
      </c>
      <c r="U92" s="151">
        <f t="shared" si="288"/>
        <v>0.13607022979602373</v>
      </c>
      <c r="V92" s="151">
        <f t="shared" si="288"/>
        <v>0.13607022979602373</v>
      </c>
      <c r="W92" s="151">
        <f t="shared" si="288"/>
        <v>0.13607022979602373</v>
      </c>
      <c r="X92" s="151">
        <f t="shared" si="288"/>
        <v>0.13607022979602373</v>
      </c>
      <c r="Y92" s="151">
        <f t="shared" si="288"/>
        <v>0.13607022979602373</v>
      </c>
      <c r="Z92" s="151">
        <f t="shared" si="288"/>
        <v>0.13607022979602373</v>
      </c>
      <c r="AA92" s="151">
        <f t="shared" si="288"/>
        <v>0.13607022979602371</v>
      </c>
      <c r="AB92" s="151">
        <f t="shared" si="288"/>
        <v>0.13607022979602371</v>
      </c>
      <c r="AC92" s="138">
        <f t="shared" si="286"/>
        <v>-1.1879832647821775E-2</v>
      </c>
      <c r="AD92" s="144"/>
      <c r="AE92" s="144"/>
    </row>
    <row r="93" spans="2:31" x14ac:dyDescent="0.2">
      <c r="B93" s="20" t="s">
        <v>289</v>
      </c>
      <c r="C93" s="151" t="e">
        <f t="shared" ref="C93:P93" si="289">C49/C7</f>
        <v>#DIV/0!</v>
      </c>
      <c r="D93" s="151" t="e">
        <f t="shared" si="289"/>
        <v>#DIV/0!</v>
      </c>
      <c r="E93" s="151" t="e">
        <f t="shared" si="289"/>
        <v>#DIV/0!</v>
      </c>
      <c r="F93" s="151">
        <f t="shared" si="289"/>
        <v>0.20789779326364694</v>
      </c>
      <c r="G93" s="151">
        <f t="shared" si="289"/>
        <v>0.17377731529656607</v>
      </c>
      <c r="H93" s="151">
        <f t="shared" si="289"/>
        <v>0.11818181818181818</v>
      </c>
      <c r="I93" s="151">
        <f t="shared" si="289"/>
        <v>0.1527165932452276</v>
      </c>
      <c r="J93" s="151">
        <f t="shared" si="289"/>
        <v>0.17861715749039692</v>
      </c>
      <c r="K93" s="151">
        <f t="shared" si="289"/>
        <v>0.20819848975188782</v>
      </c>
      <c r="L93" s="151">
        <f t="shared" si="289"/>
        <v>0.23430592396109637</v>
      </c>
      <c r="M93" s="151">
        <f t="shared" si="289"/>
        <v>0.19174898314933178</v>
      </c>
      <c r="N93" s="151">
        <f t="shared" si="289"/>
        <v>0.23144834168456216</v>
      </c>
      <c r="O93" s="151">
        <f t="shared" si="289"/>
        <v>0.16042031523642733</v>
      </c>
      <c r="P93" s="151">
        <f t="shared" si="289"/>
        <v>0.16133476197765192</v>
      </c>
      <c r="Q93" s="118">
        <f>((P93/G93)^(1/($H$2-$H$1) ))-1</f>
        <v>-8.2208237069764101E-3</v>
      </c>
      <c r="R93" s="20"/>
      <c r="S93" s="151">
        <f t="shared" ref="S93:AB93" si="290">S49/S7</f>
        <v>0.16133476197765192</v>
      </c>
      <c r="T93" s="151">
        <f t="shared" si="290"/>
        <v>0.16133476197765192</v>
      </c>
      <c r="U93" s="151">
        <f t="shared" si="290"/>
        <v>0.1613347619776519</v>
      </c>
      <c r="V93" s="151">
        <f t="shared" si="290"/>
        <v>0.1613347619776519</v>
      </c>
      <c r="W93" s="151">
        <f t="shared" si="290"/>
        <v>0.16133476197765192</v>
      </c>
      <c r="X93" s="151">
        <f t="shared" si="290"/>
        <v>0.16133476197765192</v>
      </c>
      <c r="Y93" s="151">
        <f t="shared" si="290"/>
        <v>0.16133476197765195</v>
      </c>
      <c r="Z93" s="151">
        <f t="shared" si="290"/>
        <v>0.16133476197765195</v>
      </c>
      <c r="AA93" s="151">
        <f t="shared" si="290"/>
        <v>0.16133476197765195</v>
      </c>
      <c r="AB93" s="151">
        <f t="shared" si="290"/>
        <v>0.16133476197765192</v>
      </c>
      <c r="AC93" s="138">
        <f t="shared" si="286"/>
        <v>-3.9025341483940323E-3</v>
      </c>
      <c r="AD93" s="144"/>
      <c r="AE93" s="144"/>
    </row>
    <row r="94" spans="2:31" x14ac:dyDescent="0.2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128"/>
      <c r="R94" s="128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39"/>
      <c r="AD94" s="20"/>
      <c r="AE94" s="20"/>
    </row>
    <row r="95" spans="2:31" x14ac:dyDescent="0.2">
      <c r="B95" s="108" t="s">
        <v>244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3"/>
      <c r="R95" s="23"/>
      <c r="S95" s="122" t="s">
        <v>66</v>
      </c>
      <c r="T95" s="20"/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 x14ac:dyDescent="0.2">
      <c r="B96" s="23" t="s">
        <v>266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5"/>
      <c r="Q96" s="23"/>
      <c r="R96" s="162">
        <f>AVERAGE(F60:P60)</f>
        <v>32.483408224241607</v>
      </c>
      <c r="S96" s="134"/>
      <c r="T96" s="20"/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 x14ac:dyDescent="0.2">
      <c r="B97" s="20" t="s">
        <v>25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>
        <f>S97+T97</f>
        <v>90.470009006511731</v>
      </c>
      <c r="S97" s="133">
        <f>PV($C$1, ($AB$3-$S$3), 0, -AB60)</f>
        <v>5.937625491286437</v>
      </c>
      <c r="T97" s="133">
        <f>PV($C$1, ($AB$3-$S$3), 0, -AE60)</f>
        <v>84.532383515225291</v>
      </c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 x14ac:dyDescent="0.2">
      <c r="B98" s="20" t="s">
        <v>262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0">
        <f t="shared" ref="R98:R108" si="291">S98+T98</f>
        <v>562.81232178120138</v>
      </c>
      <c r="S98" s="133">
        <f>PV($C$1, ($AB$3-$S$3), 0, -AB61)</f>
        <v>36.803137888590406</v>
      </c>
      <c r="T98" s="133">
        <f>PV($C$1, ($AB$3-$S$3), 0, -AE61)</f>
        <v>526.00918389261096</v>
      </c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 x14ac:dyDescent="0.2">
      <c r="B99" s="20" t="s">
        <v>263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0">
        <f t="shared" si="291"/>
        <v>555.90448664873406</v>
      </c>
      <c r="S99" s="133">
        <f>PV($C$1, ($AB$3-$S$3), 0, -AB62)</f>
        <v>36.234162390848539</v>
      </c>
      <c r="T99" s="133">
        <f>PV($C$1, ($AB$3-$S$3), 0, -AE62)</f>
        <v>519.67032425788557</v>
      </c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 x14ac:dyDescent="0.2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/>
      <c r="S100" s="133"/>
      <c r="T100" s="20"/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 x14ac:dyDescent="0.2">
      <c r="B101" s="20" t="s">
        <v>305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 t="e">
        <f t="shared" si="291"/>
        <v>#DIV/0!</v>
      </c>
      <c r="S101" s="133">
        <f>PV($C$1, ($AB$3-$S$3), 0, -AB65)</f>
        <v>0</v>
      </c>
      <c r="T101" s="133" t="e">
        <f>PV($C$1, ($AB$3-$S$3), 0, -$AE$65)</f>
        <v>#DIV/0!</v>
      </c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 x14ac:dyDescent="0.2">
      <c r="B102" s="20" t="s">
        <v>306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>
        <f t="shared" si="291"/>
        <v>6838.6795127645946</v>
      </c>
      <c r="S102" s="133">
        <f>PV($C$1, ($AB$3-$S$3), 0, -AB66)</f>
        <v>443.86848928789465</v>
      </c>
      <c r="T102" s="133">
        <f>PV($C$1, ($AB$3-$S$3), 0, -$AE$66)</f>
        <v>6394.8110234767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 x14ac:dyDescent="0.2">
      <c r="B103" s="20" t="s">
        <v>307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>
        <f t="shared" si="291"/>
        <v>7.3147426386638124</v>
      </c>
      <c r="S103" s="133">
        <f>PV($C$1, ($AB$3-$S$3), 0, -AB67)</f>
        <v>0.49010760696576866</v>
      </c>
      <c r="T103" s="133">
        <f>PV($C$1, ($AB$3-$S$3), 0, -$AE$67)</f>
        <v>6.824635031698044</v>
      </c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 x14ac:dyDescent="0.2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/>
      <c r="S104" s="133"/>
      <c r="T104" s="20"/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 x14ac:dyDescent="0.2">
      <c r="B105" s="108" t="s">
        <v>278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/>
      <c r="S105" s="133"/>
      <c r="T105" s="133"/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 x14ac:dyDescent="0.2">
      <c r="B106" s="20" t="s">
        <v>267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>
        <f t="shared" ref="R106" si="292">S106+T106</f>
        <v>52.468752713416777</v>
      </c>
      <c r="S106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30.756074803597627</v>
      </c>
      <c r="T106" s="133">
        <f>PV($C$1, ($AB$3-$S$3), 0, -AE75)</f>
        <v>21.712677909819146</v>
      </c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 x14ac:dyDescent="0.2">
      <c r="B107" s="23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/>
      <c r="S107" s="133"/>
      <c r="T107" s="133"/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 x14ac:dyDescent="0.2">
      <c r="B108" s="20" t="s">
        <v>293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 t="e">
        <f t="shared" si="291"/>
        <v>#DIV/0!</v>
      </c>
      <c r="S108" s="133">
        <f>PV($C$1, ($AB$3-$S$3), 0, -AB77)+PV($C$1, ($AA$3-$S$3), 0, -AB77)+PV($C$1, ($Z$3-$S$3), 0, -AB77)+PV($C$1, ($Y$3-$S$3), 0, -AB77)+PV($C$1, ($X$3-$S$3), 0, -AB77)+PV($C$1, ($W$3-$S$3), 0, -AB77)+PV($C$1, ($V$3-$S$3), 0, -AB77)+PV($C$1, ($U$3-$S$3), 0, -AB77)+PV($C$1, ($T$3-$S$3), 0, -AB77)+PV($C$1, ($S$3-$S$3), 0, -AB77)</f>
        <v>0</v>
      </c>
      <c r="T108" s="133" t="e">
        <f>PV($C$1, ($AB$3-$S$3), 0, -AE77)</f>
        <v>#DIV/0!</v>
      </c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 x14ac:dyDescent="0.2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0"/>
      <c r="S109" s="133"/>
      <c r="T109" s="133"/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 x14ac:dyDescent="0.2">
      <c r="B110" s="20" t="s">
        <v>294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0" t="e">
        <f t="shared" ref="R110:R113" si="293">S110+T110</f>
        <v>#DIV/0!</v>
      </c>
      <c r="S110" s="133">
        <f>PV($C$1, ($AB$3-$S$3), 0, -AB79)+PV($C$1, ($AA$3-$S$3), 0, -AB79)+PV($C$1, ($Z$3-$S$3), 0, -AB79)+PV($C$1, ($Y$3-$S$3), 0, -AB79)+PV($C$1, ($X$3-$S$3), 0, -AB79)+PV($C$1, ($W$3-$S$3), 0, -AB79)+PV($C$1, ($V$3-$S$3), 0, -AB79)+PV($C$1, ($U$3-$S$3), 0, -AB79)+PV($C$1, ($T$3-$S$3), 0, -AB79)+PV($C$1, ($S$3-$S$3), 0, -AB79)</f>
        <v>0</v>
      </c>
      <c r="T110" s="133" t="e">
        <f>PV($C$1, ($AB$3-$S$3), 0, -AE79)</f>
        <v>#DIV/0!</v>
      </c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 x14ac:dyDescent="0.2">
      <c r="B111" s="20" t="s">
        <v>271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40" t="e">
        <f t="shared" si="293"/>
        <v>#DIV/0!</v>
      </c>
      <c r="S111" s="133">
        <f>PV($C$1, ($AB$3-$S$3), 0, -AB80)+PV($C$1, ($AA$3-$S$3), 0, -AB80)+PV($C$1, ($Z$3-$S$3), 0, -AB80)+PV($C$1, ($Y$3-$S$3), 0, -AB80)+PV($C$1, ($X$3-$S$3), 0, -AB80)+PV($C$1, ($W$3-$S$3), 0, -AB80)+PV($C$1, ($V$3-$S$3), 0, -AB80)+PV($C$1, ($U$3-$S$3), 0, -AB80)+PV($C$1, ($T$3-$S$3), 0, -AB80)+PV($C$1, ($S$3-$S$3), 0, -AB80)</f>
        <v>0</v>
      </c>
      <c r="T111" s="133" t="e">
        <f>PV($C$1, ($AB$3-$S$3), 0, -AE80)</f>
        <v>#DIV/0!</v>
      </c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 x14ac:dyDescent="0.2">
      <c r="B112" s="20" t="s">
        <v>272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40" t="e">
        <f t="shared" si="293"/>
        <v>#DIV/0!</v>
      </c>
      <c r="S112" s="133">
        <f>PV($C$1, ($AB$3-$S$3), 0, -AB81)+PV($C$1, ($AA$3-$S$3), 0, -AB81)+PV($C$1, ($Z$3-$S$3), 0, -AB81)+PV($C$1, ($Y$3-$S$3), 0, -AB81)+PV($C$1, ($X$3-$S$3), 0, -AB81)+PV($C$1, ($W$3-$S$3), 0, -AB81)+PV($C$1, ($V$3-$S$3), 0, -AB81)+PV($C$1, ($U$3-$S$3), 0, -AB81)+PV($C$1, ($T$3-$S$3), 0, -AB81)+PV($C$1, ($S$3-$S$3), 0, -AB81)</f>
        <v>0</v>
      </c>
      <c r="T112" s="133" t="e">
        <f>PV($C$1, ($AB$3-$S$3), 0, -AE81)</f>
        <v>#DIV/0!</v>
      </c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 x14ac:dyDescent="0.2">
      <c r="B113" s="20" t="s">
        <v>273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40" t="e">
        <f t="shared" si="293"/>
        <v>#DIV/0!</v>
      </c>
      <c r="S113" s="133">
        <f>PV($C$1, ($AB$3-$S$3), 0, -AB82)+PV($C$1, ($AA$3-$S$3), 0, -AB82)+PV($C$1, ($Z$3-$S$3), 0, -AB82)+PV($C$1, ($Y$3-$S$3), 0, -AB82)+PV($C$1, ($X$3-$S$3), 0, -AB82)+PV($C$1, ($W$3-$S$3), 0, -AB82)+PV($C$1, ($V$3-$S$3), 0, -AB82)+PV($C$1, ($U$3-$S$3), 0, -AB82)+PV($C$1, ($T$3-$S$3), 0, -AB82)+PV($C$1, ($S$3-$S$3), 0, -AB82)</f>
        <v>0</v>
      </c>
      <c r="T113" s="133" t="e">
        <f>PV($C$1, ($AB$3-$S$3), 0, -AE82)</f>
        <v>#DIV/0!</v>
      </c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 x14ac:dyDescent="0.2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0"/>
      <c r="S114" s="133"/>
      <c r="T114" s="133"/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 x14ac:dyDescent="0.2">
      <c r="B115" s="20" t="s">
        <v>279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40" t="e">
        <f>S115+T115</f>
        <v>#DIV/0!</v>
      </c>
      <c r="S115" s="133">
        <f>PV($C$1, ($AB$3-$S$3), 0, -AB83)+PV($C$1, ($AA$3-$S$3), 0, -AB83)+PV($C$1, ($Z$3-$S$3), 0, -AB83)+PV($C$1, ($Y$3-$S$3), 0, -AB83)+PV($C$1, ($X$3-$S$3), 0, -AB83)+PV($C$1, ($W$3-$S$3), 0, -AB83)+PV($C$1, ($V$3-$S$3), 0, -AB83)+PV($C$1, ($U$3-$S$3), 0, -AB83)+PV($C$1, ($T$3-$S$3), 0, -AB83)+PV($C$1, ($S$3-$S$3), 0, -AB83)</f>
        <v>0</v>
      </c>
      <c r="T115" s="133" t="e">
        <f>PV($C$1, ($AB$3-$S$3), 0, -AE83)</f>
        <v>#DIV/0!</v>
      </c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  <row r="116" spans="2:31" x14ac:dyDescent="0.2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121"/>
      <c r="T116" s="20"/>
      <c r="U116" s="20"/>
      <c r="V116" s="20"/>
      <c r="W116" s="20"/>
      <c r="X116" s="20"/>
      <c r="Y116" s="20"/>
      <c r="Z116" s="20"/>
      <c r="AA116" s="20"/>
      <c r="AB116" s="20"/>
      <c r="AC116" s="137"/>
      <c r="AD116" s="20"/>
      <c r="AE116" s="20"/>
    </row>
    <row r="117" spans="2:31" x14ac:dyDescent="0.2">
      <c r="B117" s="108" t="s">
        <v>247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137"/>
      <c r="AD117" s="20"/>
      <c r="AE117" s="20"/>
    </row>
    <row r="118" spans="2:31" x14ac:dyDescent="0.2">
      <c r="B118" s="20" t="s">
        <v>204</v>
      </c>
      <c r="C118" s="22">
        <v>14</v>
      </c>
      <c r="D118" s="22">
        <v>14</v>
      </c>
      <c r="E118" s="22">
        <v>14</v>
      </c>
      <c r="F118" s="22">
        <v>14</v>
      </c>
      <c r="G118" s="22">
        <v>14</v>
      </c>
      <c r="H118" s="22">
        <v>170</v>
      </c>
      <c r="I118" s="22">
        <v>170</v>
      </c>
      <c r="J118" s="22">
        <v>170</v>
      </c>
      <c r="K118" s="22">
        <v>170</v>
      </c>
      <c r="L118" s="22">
        <v>170</v>
      </c>
      <c r="M118" s="22">
        <v>170</v>
      </c>
      <c r="N118" s="22">
        <v>170</v>
      </c>
      <c r="O118" s="22">
        <v>170</v>
      </c>
      <c r="P118" s="22">
        <v>170</v>
      </c>
      <c r="Q118" s="118">
        <f t="shared" ref="Q118:Q120" si="294">((P118/G118)^(1/($H$2-$H$1) ))-1</f>
        <v>0.31971483425468361</v>
      </c>
      <c r="R118" s="31">
        <v>0.1</v>
      </c>
      <c r="S118" s="119">
        <f t="shared" ref="S118" si="295">P118*(1+$R118)</f>
        <v>187.00000000000003</v>
      </c>
      <c r="T118" s="119">
        <f t="shared" ref="T118:AB118" si="296">S118*(1+$R118)</f>
        <v>205.70000000000005</v>
      </c>
      <c r="U118" s="119">
        <f t="shared" si="296"/>
        <v>226.27000000000007</v>
      </c>
      <c r="V118" s="119">
        <f t="shared" si="296"/>
        <v>248.89700000000011</v>
      </c>
      <c r="W118" s="119">
        <f t="shared" si="296"/>
        <v>273.78670000000011</v>
      </c>
      <c r="X118" s="119">
        <f t="shared" si="296"/>
        <v>301.16537000000017</v>
      </c>
      <c r="Y118" s="119">
        <f t="shared" si="296"/>
        <v>331.28190700000022</v>
      </c>
      <c r="Z118" s="119">
        <f t="shared" si="296"/>
        <v>364.41009770000028</v>
      </c>
      <c r="AA118" s="119">
        <f t="shared" si="296"/>
        <v>400.85110747000033</v>
      </c>
      <c r="AB118" s="119">
        <f t="shared" si="296"/>
        <v>440.93621821700037</v>
      </c>
      <c r="AC118" s="138">
        <f t="shared" ref="AC118:AC120" si="297">((AB118/G118)^(1/($AB$3-$H$1) ))-1</f>
        <v>0.1990992851357003</v>
      </c>
      <c r="AD118" s="31">
        <v>0.08</v>
      </c>
      <c r="AE118" s="127">
        <f t="shared" ref="AE118:AE120" si="298">(AB118*(1+AC118))/($C$1-AD118)</f>
        <v>7553.2329150634905</v>
      </c>
    </row>
    <row r="119" spans="2:31" x14ac:dyDescent="0.2">
      <c r="B119" s="20" t="s">
        <v>42</v>
      </c>
      <c r="C119" s="25" t="e">
        <f t="shared" ref="C119:P119" si="299">C118/C60</f>
        <v>#DIV/0!</v>
      </c>
      <c r="D119" s="25" t="e">
        <f t="shared" si="299"/>
        <v>#DIV/0!</v>
      </c>
      <c r="E119" s="25" t="e">
        <f t="shared" si="299"/>
        <v>#DIV/0!</v>
      </c>
      <c r="F119" s="25">
        <f t="shared" si="299"/>
        <v>0.58581005586592172</v>
      </c>
      <c r="G119" s="25">
        <f t="shared" si="299"/>
        <v>0.62790419161676647</v>
      </c>
      <c r="H119" s="25">
        <f t="shared" si="299"/>
        <v>10.093006993006993</v>
      </c>
      <c r="I119" s="25">
        <f t="shared" si="299"/>
        <v>6.938942307692308</v>
      </c>
      <c r="J119" s="25">
        <f t="shared" si="299"/>
        <v>5.1731182795698922</v>
      </c>
      <c r="K119" s="25">
        <f t="shared" si="299"/>
        <v>3.7391191709844565</v>
      </c>
      <c r="L119" s="25">
        <f t="shared" si="299"/>
        <v>2.7232075471698116</v>
      </c>
      <c r="M119" s="25">
        <f t="shared" si="299"/>
        <v>2.4443939393939393</v>
      </c>
      <c r="N119" s="25">
        <f t="shared" si="299"/>
        <v>8.317731958762888</v>
      </c>
      <c r="O119" s="25">
        <f t="shared" si="299"/>
        <v>9.364847161572051</v>
      </c>
      <c r="P119" s="25">
        <f t="shared" si="299"/>
        <v>8.1387096774193548</v>
      </c>
      <c r="Q119" s="118">
        <f t="shared" si="294"/>
        <v>0.32931874996951072</v>
      </c>
      <c r="R119" s="128"/>
      <c r="S119" s="119">
        <f t="shared" ref="S119:AB119" si="300">S118/S60</f>
        <v>8.9525806451612926</v>
      </c>
      <c r="T119" s="119">
        <f t="shared" si="300"/>
        <v>9.847838709677422</v>
      </c>
      <c r="U119" s="119">
        <f t="shared" si="300"/>
        <v>10.832622580645166</v>
      </c>
      <c r="V119" s="119">
        <f t="shared" si="300"/>
        <v>11.915884838709683</v>
      </c>
      <c r="W119" s="119">
        <f t="shared" si="300"/>
        <v>13.107473322580653</v>
      </c>
      <c r="X119" s="119">
        <f t="shared" si="300"/>
        <v>14.41822065483872</v>
      </c>
      <c r="Y119" s="119">
        <f t="shared" si="300"/>
        <v>15.860042720322591</v>
      </c>
      <c r="Z119" s="119">
        <f t="shared" si="300"/>
        <v>17.446046992354852</v>
      </c>
      <c r="AA119" s="119">
        <f t="shared" si="300"/>
        <v>19.190651691590336</v>
      </c>
      <c r="AB119" s="119">
        <f t="shared" si="300"/>
        <v>21.109716860749373</v>
      </c>
      <c r="AC119" s="138">
        <f t="shared" si="297"/>
        <v>0.20322484471675351</v>
      </c>
      <c r="AD119" s="31">
        <v>0.08</v>
      </c>
      <c r="AE119" s="127">
        <f t="shared" si="298"/>
        <v>362.85336845414002</v>
      </c>
    </row>
    <row r="120" spans="2:31" x14ac:dyDescent="0.2">
      <c r="B120" s="20" t="s">
        <v>253</v>
      </c>
      <c r="C120" s="25" t="e">
        <f t="shared" ref="C120:P120" si="301">C118/C62</f>
        <v>#DIV/0!</v>
      </c>
      <c r="D120" s="25" t="e">
        <f t="shared" si="301"/>
        <v>#DIV/0!</v>
      </c>
      <c r="E120" s="25" t="e">
        <f t="shared" si="301"/>
        <v>#DIV/0!</v>
      </c>
      <c r="F120" s="25">
        <f t="shared" si="301"/>
        <v>0.13340966921119593</v>
      </c>
      <c r="G120" s="25">
        <f t="shared" si="301"/>
        <v>0.11835214446952597</v>
      </c>
      <c r="H120" s="25">
        <f t="shared" si="301"/>
        <v>1.2829333333333333</v>
      </c>
      <c r="I120" s="25">
        <f t="shared" si="301"/>
        <v>1.1311128526645768</v>
      </c>
      <c r="J120" s="25">
        <f t="shared" si="301"/>
        <v>0.977183480027082</v>
      </c>
      <c r="K120" s="25">
        <f t="shared" si="301"/>
        <v>0.81588468061051445</v>
      </c>
      <c r="L120" s="25">
        <f t="shared" si="301"/>
        <v>0.66297657326596238</v>
      </c>
      <c r="M120" s="25">
        <f t="shared" si="301"/>
        <v>0.48201374365103078</v>
      </c>
      <c r="N120" s="25">
        <f t="shared" si="301"/>
        <v>1.969775390625</v>
      </c>
      <c r="O120" s="25">
        <f t="shared" si="301"/>
        <v>1.5293635229096096</v>
      </c>
      <c r="P120" s="25">
        <f t="shared" si="301"/>
        <v>1.3336753731343285</v>
      </c>
      <c r="Q120" s="118">
        <f t="shared" si="294"/>
        <v>0.30880482963621536</v>
      </c>
      <c r="R120" s="128"/>
      <c r="S120" s="119">
        <f t="shared" ref="S120:AB120" si="302">S118/S62</f>
        <v>1.4670429104477614</v>
      </c>
      <c r="T120" s="119">
        <f t="shared" si="302"/>
        <v>1.6137472014925378</v>
      </c>
      <c r="U120" s="119">
        <f t="shared" si="302"/>
        <v>1.7751219216417917</v>
      </c>
      <c r="V120" s="119">
        <f t="shared" si="302"/>
        <v>1.9526341138059711</v>
      </c>
      <c r="W120" s="119">
        <f t="shared" si="302"/>
        <v>2.147897525186568</v>
      </c>
      <c r="X120" s="119">
        <f t="shared" si="302"/>
        <v>2.3626872777052252</v>
      </c>
      <c r="Y120" s="119">
        <f t="shared" si="302"/>
        <v>2.5989560054757481</v>
      </c>
      <c r="Z120" s="119">
        <f t="shared" si="302"/>
        <v>2.8588516060233231</v>
      </c>
      <c r="AA120" s="119">
        <f t="shared" si="302"/>
        <v>3.1447367666256558</v>
      </c>
      <c r="AB120" s="119">
        <f t="shared" si="302"/>
        <v>3.4592104432882214</v>
      </c>
      <c r="AC120" s="138">
        <f t="shared" si="297"/>
        <v>0.19439345051262524</v>
      </c>
      <c r="AD120" s="31">
        <v>0.08</v>
      </c>
      <c r="AE120" s="127">
        <f t="shared" si="298"/>
        <v>59.023689962976093</v>
      </c>
    </row>
    <row r="121" spans="2:31" x14ac:dyDescent="0.2">
      <c r="B121" s="20"/>
      <c r="C121" s="129"/>
      <c r="D121" s="129"/>
      <c r="E121" s="129"/>
      <c r="F121" s="129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28"/>
      <c r="R121" s="128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7"/>
      <c r="AD121" s="20"/>
      <c r="AE121" s="127"/>
    </row>
    <row r="122" spans="2:31" x14ac:dyDescent="0.2">
      <c r="B122" s="108" t="s">
        <v>283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137"/>
      <c r="AD122" s="20"/>
      <c r="AE122" s="20"/>
    </row>
    <row r="123" spans="2:31" x14ac:dyDescent="0.2">
      <c r="B123" s="20" t="s">
        <v>280</v>
      </c>
      <c r="C123" s="20" t="s">
        <v>291</v>
      </c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128">
        <f>(P118-R106)/P118</f>
        <v>0.69136027815637191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137"/>
      <c r="AD123" s="20"/>
      <c r="AE123" s="20"/>
    </row>
    <row r="124" spans="2:31" x14ac:dyDescent="0.2">
      <c r="B124" s="20" t="s">
        <v>281</v>
      </c>
      <c r="C124" s="20" t="s">
        <v>291</v>
      </c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128">
        <f>(P118-R103)/P118</f>
        <v>0.9569721021255071</v>
      </c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 x14ac:dyDescent="0.2">
      <c r="B125" s="20" t="s">
        <v>295</v>
      </c>
      <c r="C125" s="20" t="s">
        <v>291</v>
      </c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128" t="e">
        <f>(P118-R115)/P118</f>
        <v>#DIV/0!</v>
      </c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 x14ac:dyDescent="0.2">
      <c r="B126" s="20" t="s">
        <v>282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5">
        <f>P118/R97</f>
        <v>1.879075749707994</v>
      </c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 x14ac:dyDescent="0.2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</row>
    <row r="128" spans="2:31" x14ac:dyDescent="0.2">
      <c r="B128" s="108" t="s">
        <v>284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</row>
    <row r="129" spans="2:31" x14ac:dyDescent="0.2">
      <c r="B129" s="20" t="s">
        <v>287</v>
      </c>
      <c r="C129" s="25" t="e">
        <f t="shared" ref="C129:P129" si="303">C10/C7</f>
        <v>#DIV/0!</v>
      </c>
      <c r="D129" s="25" t="e">
        <f t="shared" si="303"/>
        <v>#DIV/0!</v>
      </c>
      <c r="E129" s="25" t="e">
        <f t="shared" si="303"/>
        <v>#DIV/0!</v>
      </c>
      <c r="F129" s="25">
        <f t="shared" si="303"/>
        <v>0.37282229965156793</v>
      </c>
      <c r="G129" s="25">
        <f t="shared" si="303"/>
        <v>0.77315296566077008</v>
      </c>
      <c r="H129" s="25">
        <f t="shared" si="303"/>
        <v>0.6140495867768595</v>
      </c>
      <c r="I129" s="25">
        <f t="shared" si="303"/>
        <v>1.0418502202643172</v>
      </c>
      <c r="J129" s="25">
        <f t="shared" si="303"/>
        <v>1.0595390524967989</v>
      </c>
      <c r="K129" s="25">
        <f t="shared" si="303"/>
        <v>0.66396979503775622</v>
      </c>
      <c r="L129" s="25">
        <f t="shared" si="303"/>
        <v>0.83863837312113176</v>
      </c>
      <c r="M129" s="25">
        <f t="shared" si="303"/>
        <v>1.0874491574665892</v>
      </c>
      <c r="N129" s="25">
        <f t="shared" si="303"/>
        <v>1.0646623717489858</v>
      </c>
      <c r="O129" s="25">
        <f t="shared" si="303"/>
        <v>0.57005253940455336</v>
      </c>
      <c r="P129" s="25">
        <f t="shared" si="303"/>
        <v>0.57079442828715754</v>
      </c>
      <c r="Q129" s="118">
        <f t="shared" ref="Q129" si="304">((P129/G129)^(1/($H$2-$H$1) ))-1</f>
        <v>-3.3154357265099299E-2</v>
      </c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</row>
    <row r="130" spans="2:31" x14ac:dyDescent="0.2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</row>
    <row r="131" spans="2:31" x14ac:dyDescent="0.2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 spans="2:31" x14ac:dyDescent="0.2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spans="2:31" x14ac:dyDescent="0.2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</sheetData>
  <mergeCells count="2">
    <mergeCell ref="AD2:AE2"/>
    <mergeCell ref="AD3:AE3"/>
  </mergeCells>
  <pageMargins left="0.7" right="0.7" top="0.75" bottom="0.75" header="0.3" footer="0.3"/>
  <pageSetup orientation="portrait" r:id="rId1"/>
  <ignoredErrors>
    <ignoredError sqref="C119" evalError="1"/>
    <ignoredError sqref="L25:P2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67" t="s">
        <v>27</v>
      </c>
      <c r="K5" s="167"/>
      <c r="M5" s="167" t="s">
        <v>65</v>
      </c>
      <c r="N5" s="167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67" t="s">
        <v>36</v>
      </c>
      <c r="K14" s="167"/>
      <c r="L14" s="167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67" t="s">
        <v>27</v>
      </c>
      <c r="S5" s="167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67" t="s">
        <v>36</v>
      </c>
      <c r="S14" s="167"/>
      <c r="T14" s="167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67" t="s">
        <v>27</v>
      </c>
      <c r="C2" s="167"/>
      <c r="E2" s="167" t="s">
        <v>65</v>
      </c>
      <c r="F2" s="167"/>
      <c r="H2" s="171" t="s">
        <v>36</v>
      </c>
      <c r="I2" s="172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68" t="s">
        <v>68</v>
      </c>
      <c r="E10" s="169"/>
      <c r="F10" s="169"/>
      <c r="G10" s="169"/>
      <c r="H10" s="170"/>
      <c r="I10" s="168" t="s">
        <v>72</v>
      </c>
      <c r="J10" s="169"/>
      <c r="K10" s="169"/>
      <c r="L10" s="170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2013-08-24T08:11:14Z</dcterms:modified>
</cp:coreProperties>
</file>
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J12" i="18"/>
  <c r="K12"/>
  <c r="I12"/>
  <c r="H12"/>
  <c r="G12"/>
  <c r="F12"/>
  <c r="R9" l="1"/>
  <c r="R10"/>
  <c r="R12"/>
  <c r="R13"/>
  <c r="R14"/>
  <c r="R15"/>
  <c r="R17"/>
  <c r="R19"/>
  <c r="R20"/>
  <c r="R21"/>
  <c r="R22"/>
  <c r="R24"/>
  <c r="R26"/>
  <c r="R28"/>
  <c r="R30"/>
  <c r="R31"/>
  <c r="R32"/>
  <c r="R34"/>
  <c r="R36"/>
  <c r="R38"/>
  <c r="R39"/>
  <c r="R7"/>
  <c r="R6"/>
  <c r="AD9"/>
  <c r="AD10"/>
  <c r="AD11"/>
  <c r="AD12"/>
  <c r="AD13"/>
  <c r="AD14"/>
  <c r="AD15"/>
  <c r="AD17"/>
  <c r="AD19"/>
  <c r="AD20"/>
  <c r="AD21"/>
  <c r="AD22"/>
  <c r="AD24"/>
  <c r="AD26"/>
  <c r="AD28"/>
  <c r="AD30"/>
  <c r="AD31"/>
  <c r="AD32"/>
  <c r="AD34"/>
  <c r="AD36"/>
  <c r="AD38"/>
  <c r="AD39"/>
  <c r="AD42"/>
  <c r="AD43"/>
  <c r="AD45"/>
  <c r="AD46"/>
  <c r="AD47"/>
  <c r="AD48"/>
  <c r="AD50"/>
  <c r="AD51"/>
  <c r="AD52"/>
  <c r="AD54"/>
  <c r="AD55"/>
  <c r="AD56"/>
  <c r="AD57"/>
  <c r="AD59"/>
  <c r="AD60"/>
  <c r="AD62"/>
  <c r="AD64"/>
  <c r="AD65"/>
  <c r="AD66"/>
  <c r="AD67"/>
  <c r="AD68"/>
  <c r="AD70"/>
  <c r="AD71"/>
  <c r="AD72"/>
  <c r="AD7"/>
  <c r="AD6"/>
  <c r="G82" l="1"/>
  <c r="F82"/>
  <c r="H82"/>
  <c r="I82"/>
  <c r="J82"/>
  <c r="K82"/>
  <c r="L82"/>
  <c r="M82"/>
  <c r="N82"/>
  <c r="O82"/>
  <c r="P82"/>
  <c r="Q82" l="1"/>
  <c r="H80"/>
  <c r="I80"/>
  <c r="J80"/>
  <c r="K80"/>
  <c r="L80"/>
  <c r="M80"/>
  <c r="N80"/>
  <c r="O80"/>
  <c r="P80"/>
  <c r="H81"/>
  <c r="I81"/>
  <c r="J81"/>
  <c r="K81"/>
  <c r="L81"/>
  <c r="M81"/>
  <c r="N81"/>
  <c r="O81"/>
  <c r="P81"/>
  <c r="G81"/>
  <c r="Q81" s="1"/>
  <c r="G80"/>
  <c r="S28"/>
  <c r="T28" s="1"/>
  <c r="U28" s="1"/>
  <c r="V28" s="1"/>
  <c r="W28" s="1"/>
  <c r="X28" s="1"/>
  <c r="Y28" s="1"/>
  <c r="Z28" s="1"/>
  <c r="AA28" s="1"/>
  <c r="AB28" s="1"/>
  <c r="Q28"/>
  <c r="P29"/>
  <c r="O29"/>
  <c r="N29"/>
  <c r="M29"/>
  <c r="L29"/>
  <c r="K29"/>
  <c r="J29"/>
  <c r="I29"/>
  <c r="H29"/>
  <c r="G29"/>
  <c r="Q79"/>
  <c r="Q80" l="1"/>
  <c r="AE28"/>
  <c r="AC28"/>
  <c r="AC79"/>
  <c r="H84"/>
  <c r="I84"/>
  <c r="J84"/>
  <c r="K84"/>
  <c r="L84"/>
  <c r="M84"/>
  <c r="N84"/>
  <c r="O84"/>
  <c r="P84"/>
  <c r="G84"/>
  <c r="H83"/>
  <c r="I83"/>
  <c r="J83"/>
  <c r="K83"/>
  <c r="L83"/>
  <c r="M83"/>
  <c r="N83"/>
  <c r="O83"/>
  <c r="P83"/>
  <c r="G83"/>
  <c r="Q83" l="1"/>
  <c r="Q84"/>
  <c r="AE59"/>
  <c r="C124" l="1"/>
  <c r="D124"/>
  <c r="E124"/>
  <c r="F124"/>
  <c r="G124"/>
  <c r="H124"/>
  <c r="I124"/>
  <c r="J124"/>
  <c r="K124"/>
  <c r="L124"/>
  <c r="M124"/>
  <c r="N124"/>
  <c r="O124"/>
  <c r="P124"/>
  <c r="C9" i="15"/>
  <c r="D60" i="18"/>
  <c r="E60"/>
  <c r="F60"/>
  <c r="G60"/>
  <c r="H60"/>
  <c r="I60"/>
  <c r="J60"/>
  <c r="K60"/>
  <c r="L60"/>
  <c r="M60"/>
  <c r="N60"/>
  <c r="O60"/>
  <c r="P60"/>
  <c r="C60"/>
  <c r="S39"/>
  <c r="S60" s="1"/>
  <c r="Q39"/>
  <c r="T39" l="1"/>
  <c r="U39" s="1"/>
  <c r="V39" s="1"/>
  <c r="W39" s="1"/>
  <c r="U60" l="1"/>
  <c r="X39"/>
  <c r="W60"/>
  <c r="V60"/>
  <c r="T60"/>
  <c r="U30"/>
  <c r="X30" s="1"/>
  <c r="AA30" s="1"/>
  <c r="S30"/>
  <c r="V30" s="1"/>
  <c r="Y30" s="1"/>
  <c r="AB30" s="1"/>
  <c r="C70"/>
  <c r="D70"/>
  <c r="E70"/>
  <c r="F70"/>
  <c r="G70"/>
  <c r="H70"/>
  <c r="I70"/>
  <c r="J70"/>
  <c r="K70"/>
  <c r="L70"/>
  <c r="M70"/>
  <c r="N70"/>
  <c r="O70"/>
  <c r="C71"/>
  <c r="D71"/>
  <c r="E71"/>
  <c r="F71"/>
  <c r="G71"/>
  <c r="H71"/>
  <c r="I71"/>
  <c r="J71"/>
  <c r="K71"/>
  <c r="L71"/>
  <c r="M71"/>
  <c r="N71"/>
  <c r="O71"/>
  <c r="C72"/>
  <c r="D72"/>
  <c r="E72"/>
  <c r="F72"/>
  <c r="G72"/>
  <c r="H72"/>
  <c r="I72"/>
  <c r="J72"/>
  <c r="K72"/>
  <c r="L72"/>
  <c r="M72"/>
  <c r="N72"/>
  <c r="O72"/>
  <c r="P72"/>
  <c r="P71"/>
  <c r="P70"/>
  <c r="C78"/>
  <c r="D78"/>
  <c r="E78"/>
  <c r="F78"/>
  <c r="G78"/>
  <c r="H78"/>
  <c r="I78"/>
  <c r="J78"/>
  <c r="K78"/>
  <c r="L78"/>
  <c r="M78"/>
  <c r="N78"/>
  <c r="O78"/>
  <c r="P78"/>
  <c r="C76"/>
  <c r="D76"/>
  <c r="E76"/>
  <c r="C77"/>
  <c r="D77"/>
  <c r="E77"/>
  <c r="F77"/>
  <c r="G77"/>
  <c r="H77"/>
  <c r="I77"/>
  <c r="J77"/>
  <c r="K77"/>
  <c r="L77"/>
  <c r="M77"/>
  <c r="N77"/>
  <c r="O77"/>
  <c r="F76"/>
  <c r="G76"/>
  <c r="H76"/>
  <c r="I76"/>
  <c r="J76"/>
  <c r="K76"/>
  <c r="L76"/>
  <c r="M76"/>
  <c r="N76"/>
  <c r="O76"/>
  <c r="P77"/>
  <c r="G37"/>
  <c r="G35"/>
  <c r="G27"/>
  <c r="G11"/>
  <c r="G8"/>
  <c r="G25"/>
  <c r="AC30" l="1"/>
  <c r="AE30"/>
  <c r="Q72"/>
  <c r="Y39"/>
  <c r="X60"/>
  <c r="Q70"/>
  <c r="Q71"/>
  <c r="Q77"/>
  <c r="Q78"/>
  <c r="P76"/>
  <c r="Q76" s="1"/>
  <c r="C133"/>
  <c r="D133"/>
  <c r="E133"/>
  <c r="F133"/>
  <c r="C134"/>
  <c r="D134"/>
  <c r="E134"/>
  <c r="F134"/>
  <c r="C135"/>
  <c r="D135"/>
  <c r="E135"/>
  <c r="F135"/>
  <c r="H135"/>
  <c r="I135"/>
  <c r="J135"/>
  <c r="K135"/>
  <c r="L135"/>
  <c r="M135"/>
  <c r="N135"/>
  <c r="O135"/>
  <c r="P135"/>
  <c r="G135"/>
  <c r="H134"/>
  <c r="I134"/>
  <c r="J134"/>
  <c r="K134"/>
  <c r="L134"/>
  <c r="M134"/>
  <c r="N134"/>
  <c r="O134"/>
  <c r="P134"/>
  <c r="G134"/>
  <c r="H133"/>
  <c r="I133"/>
  <c r="J133"/>
  <c r="K133"/>
  <c r="L133"/>
  <c r="M133"/>
  <c r="N133"/>
  <c r="O133"/>
  <c r="P133"/>
  <c r="G133"/>
  <c r="H43"/>
  <c r="I43"/>
  <c r="J43"/>
  <c r="K43"/>
  <c r="L43"/>
  <c r="M43"/>
  <c r="N43"/>
  <c r="O43"/>
  <c r="P43"/>
  <c r="C43"/>
  <c r="D43"/>
  <c r="E43"/>
  <c r="F43"/>
  <c r="G43"/>
  <c r="G45"/>
  <c r="G123" s="1"/>
  <c r="H42"/>
  <c r="I42"/>
  <c r="J42"/>
  <c r="K42"/>
  <c r="L42"/>
  <c r="M42"/>
  <c r="N42"/>
  <c r="O42"/>
  <c r="P42"/>
  <c r="C42"/>
  <c r="D42"/>
  <c r="E42"/>
  <c r="F42"/>
  <c r="G42"/>
  <c r="P37"/>
  <c r="O37"/>
  <c r="N37"/>
  <c r="M37"/>
  <c r="L37"/>
  <c r="K37"/>
  <c r="J37"/>
  <c r="I37"/>
  <c r="H37"/>
  <c r="P35"/>
  <c r="O35"/>
  <c r="N35"/>
  <c r="M35"/>
  <c r="L35"/>
  <c r="K35"/>
  <c r="J35"/>
  <c r="I35"/>
  <c r="H35"/>
  <c r="P27"/>
  <c r="O27"/>
  <c r="N27"/>
  <c r="M27"/>
  <c r="L27"/>
  <c r="K27"/>
  <c r="J27"/>
  <c r="I27"/>
  <c r="H27"/>
  <c r="P25"/>
  <c r="O25"/>
  <c r="N25"/>
  <c r="M25"/>
  <c r="L25"/>
  <c r="K25"/>
  <c r="J25"/>
  <c r="I25"/>
  <c r="H25"/>
  <c r="P11"/>
  <c r="O11"/>
  <c r="N11"/>
  <c r="M11"/>
  <c r="L11"/>
  <c r="K11"/>
  <c r="J11"/>
  <c r="I11"/>
  <c r="H11"/>
  <c r="I8"/>
  <c r="J8"/>
  <c r="K8"/>
  <c r="L8"/>
  <c r="M8"/>
  <c r="N8"/>
  <c r="O8"/>
  <c r="P8"/>
  <c r="H8"/>
  <c r="Q38"/>
  <c r="S34"/>
  <c r="Q34"/>
  <c r="Z39" l="1"/>
  <c r="Y60"/>
  <c r="T34"/>
  <c r="Q135"/>
  <c r="Q43"/>
  <c r="Q42"/>
  <c r="Q134"/>
  <c r="Q133"/>
  <c r="Q30"/>
  <c r="T30" s="1"/>
  <c r="W30" s="1"/>
  <c r="Z30" s="1"/>
  <c r="Q32"/>
  <c r="AA39" l="1"/>
  <c r="Z60"/>
  <c r="U34"/>
  <c r="I67"/>
  <c r="J67"/>
  <c r="K67"/>
  <c r="L67"/>
  <c r="M67"/>
  <c r="N67"/>
  <c r="O67"/>
  <c r="P67"/>
  <c r="I68"/>
  <c r="J68"/>
  <c r="K68"/>
  <c r="L68"/>
  <c r="M68"/>
  <c r="N68"/>
  <c r="O68"/>
  <c r="P68"/>
  <c r="I62"/>
  <c r="I64" s="1"/>
  <c r="J62"/>
  <c r="J64" s="1"/>
  <c r="K62"/>
  <c r="K64" s="1"/>
  <c r="L62"/>
  <c r="L64" s="1"/>
  <c r="M62"/>
  <c r="M64" s="1"/>
  <c r="N62"/>
  <c r="N64" s="1"/>
  <c r="O62"/>
  <c r="O64" s="1"/>
  <c r="P62"/>
  <c r="P64" s="1"/>
  <c r="I65"/>
  <c r="J65"/>
  <c r="K65"/>
  <c r="L65"/>
  <c r="M65"/>
  <c r="N65"/>
  <c r="O65"/>
  <c r="P65"/>
  <c r="I66"/>
  <c r="J66"/>
  <c r="K66"/>
  <c r="L66"/>
  <c r="M66"/>
  <c r="N66"/>
  <c r="O66"/>
  <c r="P66"/>
  <c r="C65"/>
  <c r="D65"/>
  <c r="E65"/>
  <c r="F65"/>
  <c r="G65"/>
  <c r="C66"/>
  <c r="D66"/>
  <c r="E66"/>
  <c r="F66"/>
  <c r="G66"/>
  <c r="C67"/>
  <c r="D67"/>
  <c r="E67"/>
  <c r="F67"/>
  <c r="G67"/>
  <c r="C68"/>
  <c r="D68"/>
  <c r="E68"/>
  <c r="F68"/>
  <c r="G68"/>
  <c r="H68"/>
  <c r="H67"/>
  <c r="S22"/>
  <c r="T22" s="1"/>
  <c r="U22" s="1"/>
  <c r="V22" s="1"/>
  <c r="W22" s="1"/>
  <c r="X22" s="1"/>
  <c r="Y22" s="1"/>
  <c r="Z22" s="1"/>
  <c r="AA22" s="1"/>
  <c r="AB22" s="1"/>
  <c r="AE22" s="1"/>
  <c r="Q22"/>
  <c r="S21"/>
  <c r="T21" s="1"/>
  <c r="U21" s="1"/>
  <c r="V21" s="1"/>
  <c r="W21" s="1"/>
  <c r="X21" s="1"/>
  <c r="Y21" s="1"/>
  <c r="Z21" s="1"/>
  <c r="AA21" s="1"/>
  <c r="AB21" s="1"/>
  <c r="S20"/>
  <c r="Q19"/>
  <c r="C62"/>
  <c r="C64" s="1"/>
  <c r="D62"/>
  <c r="D64" s="1"/>
  <c r="E62"/>
  <c r="E64" s="1"/>
  <c r="F62"/>
  <c r="F64" s="1"/>
  <c r="G62"/>
  <c r="G64" s="1"/>
  <c r="H62"/>
  <c r="H64" s="1"/>
  <c r="H66"/>
  <c r="H65"/>
  <c r="AC21" l="1"/>
  <c r="AE21"/>
  <c r="AB39"/>
  <c r="AE39" s="1"/>
  <c r="AA60"/>
  <c r="V34"/>
  <c r="Q67"/>
  <c r="Q68"/>
  <c r="Q66"/>
  <c r="Q64"/>
  <c r="Q65"/>
  <c r="AC22"/>
  <c r="Q21"/>
  <c r="Q20"/>
  <c r="Q62"/>
  <c r="S19"/>
  <c r="T20"/>
  <c r="Q60"/>
  <c r="Q117"/>
  <c r="T19" l="1"/>
  <c r="T62" s="1"/>
  <c r="S62"/>
  <c r="AB60"/>
  <c r="AC39"/>
  <c r="U20"/>
  <c r="C19" i="15"/>
  <c r="S9" i="18"/>
  <c r="T9" s="1"/>
  <c r="U9" s="1"/>
  <c r="V9" s="1"/>
  <c r="W9" s="1"/>
  <c r="X9" s="1"/>
  <c r="Y9" s="1"/>
  <c r="Z9" s="1"/>
  <c r="AA9" s="1"/>
  <c r="AB9" s="1"/>
  <c r="AE9" s="1"/>
  <c r="Q36"/>
  <c r="Q31"/>
  <c r="Q26"/>
  <c r="Q24"/>
  <c r="Q17"/>
  <c r="Q15"/>
  <c r="Q14"/>
  <c r="Q13"/>
  <c r="Q12"/>
  <c r="Q10"/>
  <c r="Q9"/>
  <c r="Q7"/>
  <c r="Q6"/>
  <c r="S17"/>
  <c r="S24"/>
  <c r="S80" s="1"/>
  <c r="S26"/>
  <c r="S31"/>
  <c r="T31" s="1"/>
  <c r="U31" s="1"/>
  <c r="V31" s="1"/>
  <c r="W31" s="1"/>
  <c r="X31" s="1"/>
  <c r="Y31" s="1"/>
  <c r="Z31" s="1"/>
  <c r="AA31" s="1"/>
  <c r="AB31" s="1"/>
  <c r="AE31" s="1"/>
  <c r="S32"/>
  <c r="T32" s="1"/>
  <c r="U32" s="1"/>
  <c r="V32" s="1"/>
  <c r="W32" s="1"/>
  <c r="X32" s="1"/>
  <c r="Y32" s="1"/>
  <c r="Z32" s="1"/>
  <c r="AA32" s="1"/>
  <c r="AB32" s="1"/>
  <c r="AE32" s="1"/>
  <c r="W34"/>
  <c r="O58"/>
  <c r="O121" s="1"/>
  <c r="O57"/>
  <c r="O55"/>
  <c r="O54"/>
  <c r="O52"/>
  <c r="O122" s="1"/>
  <c r="O51"/>
  <c r="O50"/>
  <c r="O48"/>
  <c r="O47"/>
  <c r="O119" s="1"/>
  <c r="O46"/>
  <c r="O45"/>
  <c r="T17" l="1"/>
  <c r="S105"/>
  <c r="AE60"/>
  <c r="O118"/>
  <c r="O123"/>
  <c r="U19"/>
  <c r="AC60"/>
  <c r="T105" s="1"/>
  <c r="T26"/>
  <c r="X34"/>
  <c r="T24"/>
  <c r="T80" s="1"/>
  <c r="S76"/>
  <c r="V20"/>
  <c r="AC31"/>
  <c r="AC32"/>
  <c r="AC9"/>
  <c r="O56"/>
  <c r="O120" s="1"/>
  <c r="D52"/>
  <c r="E52"/>
  <c r="F52"/>
  <c r="G52"/>
  <c r="G122" s="1"/>
  <c r="H52"/>
  <c r="H122" s="1"/>
  <c r="I52"/>
  <c r="I122" s="1"/>
  <c r="J52"/>
  <c r="J122" s="1"/>
  <c r="K52"/>
  <c r="K122" s="1"/>
  <c r="L52"/>
  <c r="L122" s="1"/>
  <c r="M52"/>
  <c r="M122" s="1"/>
  <c r="N52"/>
  <c r="N122" s="1"/>
  <c r="P52"/>
  <c r="C52"/>
  <c r="C51"/>
  <c r="U17" l="1"/>
  <c r="R105"/>
  <c r="P128" s="1"/>
  <c r="V19"/>
  <c r="U62"/>
  <c r="U26"/>
  <c r="U24"/>
  <c r="U80" s="1"/>
  <c r="T76"/>
  <c r="Y34"/>
  <c r="W20"/>
  <c r="P122"/>
  <c r="Q122" s="1"/>
  <c r="Q52"/>
  <c r="D51"/>
  <c r="E51"/>
  <c r="F51"/>
  <c r="G51"/>
  <c r="H51"/>
  <c r="I51"/>
  <c r="J51"/>
  <c r="K51"/>
  <c r="L51"/>
  <c r="M51"/>
  <c r="N51"/>
  <c r="P51"/>
  <c r="D50"/>
  <c r="E50"/>
  <c r="F50"/>
  <c r="G50"/>
  <c r="H50"/>
  <c r="I50"/>
  <c r="J50"/>
  <c r="K50"/>
  <c r="L50"/>
  <c r="M50"/>
  <c r="N50"/>
  <c r="P50"/>
  <c r="C50"/>
  <c r="V17" l="1"/>
  <c r="W19"/>
  <c r="V62"/>
  <c r="V26"/>
  <c r="V24"/>
  <c r="V80" s="1"/>
  <c r="U76"/>
  <c r="Z34"/>
  <c r="X20"/>
  <c r="Q50"/>
  <c r="Q51"/>
  <c r="C46" i="15"/>
  <c r="W17" i="18" l="1"/>
  <c r="X19"/>
  <c r="W62"/>
  <c r="W26"/>
  <c r="W24"/>
  <c r="W80" s="1"/>
  <c r="V76"/>
  <c r="AA34"/>
  <c r="Y20"/>
  <c r="S117"/>
  <c r="C45"/>
  <c r="D45"/>
  <c r="E45"/>
  <c r="F45"/>
  <c r="H45"/>
  <c r="H123" s="1"/>
  <c r="I45"/>
  <c r="J45"/>
  <c r="K45"/>
  <c r="L45"/>
  <c r="L123" s="1"/>
  <c r="M45"/>
  <c r="N45"/>
  <c r="N123" s="1"/>
  <c r="P45"/>
  <c r="D58"/>
  <c r="D121" s="1"/>
  <c r="E58"/>
  <c r="E121" s="1"/>
  <c r="F58"/>
  <c r="F121" s="1"/>
  <c r="G58"/>
  <c r="H58"/>
  <c r="H121" s="1"/>
  <c r="I58"/>
  <c r="I121" s="1"/>
  <c r="J58"/>
  <c r="J121" s="1"/>
  <c r="K58"/>
  <c r="K121" s="1"/>
  <c r="L58"/>
  <c r="L121" s="1"/>
  <c r="M58"/>
  <c r="M121" s="1"/>
  <c r="N58"/>
  <c r="P58"/>
  <c r="D57"/>
  <c r="E57"/>
  <c r="F57"/>
  <c r="G57"/>
  <c r="H57"/>
  <c r="I57"/>
  <c r="J57"/>
  <c r="K57"/>
  <c r="L57"/>
  <c r="M57"/>
  <c r="N57"/>
  <c r="P57"/>
  <c r="D55"/>
  <c r="E55"/>
  <c r="F55"/>
  <c r="G55"/>
  <c r="H55"/>
  <c r="I55"/>
  <c r="J55"/>
  <c r="K55"/>
  <c r="L55"/>
  <c r="M55"/>
  <c r="N55"/>
  <c r="P55"/>
  <c r="D54"/>
  <c r="D56" s="1"/>
  <c r="D120" s="1"/>
  <c r="E54"/>
  <c r="E56" s="1"/>
  <c r="E120" s="1"/>
  <c r="F54"/>
  <c r="G54"/>
  <c r="H54"/>
  <c r="I54"/>
  <c r="J54"/>
  <c r="K54"/>
  <c r="L54"/>
  <c r="M54"/>
  <c r="N54"/>
  <c r="P54"/>
  <c r="D48"/>
  <c r="E48"/>
  <c r="F48"/>
  <c r="G48"/>
  <c r="H48"/>
  <c r="I48"/>
  <c r="J48"/>
  <c r="K48"/>
  <c r="L48"/>
  <c r="M48"/>
  <c r="N48"/>
  <c r="P48"/>
  <c r="D47"/>
  <c r="D119" s="1"/>
  <c r="E47"/>
  <c r="E119" s="1"/>
  <c r="F47"/>
  <c r="F119" s="1"/>
  <c r="G47"/>
  <c r="H47"/>
  <c r="H119" s="1"/>
  <c r="I47"/>
  <c r="I119" s="1"/>
  <c r="J47"/>
  <c r="J119" s="1"/>
  <c r="K47"/>
  <c r="K119" s="1"/>
  <c r="L47"/>
  <c r="L119" s="1"/>
  <c r="M47"/>
  <c r="M119" s="1"/>
  <c r="N47"/>
  <c r="P47"/>
  <c r="C58"/>
  <c r="C121" s="1"/>
  <c r="C57"/>
  <c r="C55"/>
  <c r="C54"/>
  <c r="C48"/>
  <c r="C47"/>
  <c r="C119" s="1"/>
  <c r="D46"/>
  <c r="E46"/>
  <c r="F46"/>
  <c r="G46"/>
  <c r="H46"/>
  <c r="I46"/>
  <c r="J46"/>
  <c r="K46"/>
  <c r="L46"/>
  <c r="M46"/>
  <c r="N46"/>
  <c r="P46"/>
  <c r="C46"/>
  <c r="S14"/>
  <c r="S15"/>
  <c r="S36"/>
  <c r="S10"/>
  <c r="S12"/>
  <c r="S81" s="1"/>
  <c r="S13"/>
  <c r="S7"/>
  <c r="S6"/>
  <c r="S82" l="1"/>
  <c r="S84"/>
  <c r="S83"/>
  <c r="X17"/>
  <c r="D118"/>
  <c r="D122" s="1"/>
  <c r="D123"/>
  <c r="E118"/>
  <c r="E122" s="1"/>
  <c r="E123"/>
  <c r="C118"/>
  <c r="C122" s="1"/>
  <c r="C123"/>
  <c r="P118"/>
  <c r="P123"/>
  <c r="K118"/>
  <c r="K123"/>
  <c r="F118"/>
  <c r="F122" s="1"/>
  <c r="F123"/>
  <c r="J118"/>
  <c r="J123"/>
  <c r="M118"/>
  <c r="M123"/>
  <c r="I118"/>
  <c r="I123"/>
  <c r="H118"/>
  <c r="Q87"/>
  <c r="Y19"/>
  <c r="X62"/>
  <c r="H56"/>
  <c r="H120" s="1"/>
  <c r="X26"/>
  <c r="T12"/>
  <c r="T81" s="1"/>
  <c r="T14"/>
  <c r="T13"/>
  <c r="T10"/>
  <c r="T15"/>
  <c r="T6"/>
  <c r="T7"/>
  <c r="X24"/>
  <c r="X80" s="1"/>
  <c r="W76"/>
  <c r="T36"/>
  <c r="S78"/>
  <c r="S77"/>
  <c r="AB34"/>
  <c r="AE34" s="1"/>
  <c r="F56"/>
  <c r="F120" s="1"/>
  <c r="L56"/>
  <c r="L120" s="1"/>
  <c r="K56"/>
  <c r="K120" s="1"/>
  <c r="J56"/>
  <c r="J120" s="1"/>
  <c r="Z20"/>
  <c r="C56"/>
  <c r="C120" s="1"/>
  <c r="T117"/>
  <c r="I56"/>
  <c r="I120" s="1"/>
  <c r="Q46"/>
  <c r="G119"/>
  <c r="Q47"/>
  <c r="Q48"/>
  <c r="Q55"/>
  <c r="Q57"/>
  <c r="G118"/>
  <c r="Q45"/>
  <c r="G121"/>
  <c r="Q58"/>
  <c r="G56"/>
  <c r="Q54"/>
  <c r="N119"/>
  <c r="N118"/>
  <c r="N121"/>
  <c r="P119"/>
  <c r="L118"/>
  <c r="N56"/>
  <c r="M56"/>
  <c r="M120" s="1"/>
  <c r="P121"/>
  <c r="P56"/>
  <c r="S55"/>
  <c r="C6" i="12"/>
  <c r="C26" i="15"/>
  <c r="C58"/>
  <c r="C57"/>
  <c r="C54"/>
  <c r="C53"/>
  <c r="C50"/>
  <c r="C49"/>
  <c r="C45"/>
  <c r="T82" i="18" l="1"/>
  <c r="T83"/>
  <c r="T84"/>
  <c r="Y17"/>
  <c r="Z19"/>
  <c r="Y62"/>
  <c r="S54"/>
  <c r="S71"/>
  <c r="S50"/>
  <c r="S52"/>
  <c r="S122" s="1"/>
  <c r="S58"/>
  <c r="S121" s="1"/>
  <c r="S68"/>
  <c r="S70"/>
  <c r="S43"/>
  <c r="S42"/>
  <c r="S51"/>
  <c r="S47"/>
  <c r="S48"/>
  <c r="S57"/>
  <c r="S46"/>
  <c r="S72"/>
  <c r="S45"/>
  <c r="Y26"/>
  <c r="U14"/>
  <c r="U13"/>
  <c r="U12"/>
  <c r="U81" s="1"/>
  <c r="S56"/>
  <c r="U15"/>
  <c r="U10"/>
  <c r="U7"/>
  <c r="U6"/>
  <c r="AC34"/>
  <c r="Y24"/>
  <c r="Y80" s="1"/>
  <c r="X76"/>
  <c r="U36"/>
  <c r="T78"/>
  <c r="T77"/>
  <c r="T38"/>
  <c r="T54" s="1"/>
  <c r="S65"/>
  <c r="S66"/>
  <c r="S67"/>
  <c r="S64"/>
  <c r="AA20"/>
  <c r="U117"/>
  <c r="Q119"/>
  <c r="Q118"/>
  <c r="Q121"/>
  <c r="G120"/>
  <c r="Q56"/>
  <c r="N120"/>
  <c r="P120"/>
  <c r="C16" i="15"/>
  <c r="C21"/>
  <c r="C10"/>
  <c r="U82" i="18" l="1"/>
  <c r="U83"/>
  <c r="U84"/>
  <c r="T50"/>
  <c r="Z17"/>
  <c r="AA19"/>
  <c r="Z62"/>
  <c r="T52"/>
  <c r="T122" s="1"/>
  <c r="T58"/>
  <c r="T121" s="1"/>
  <c r="T68"/>
  <c r="T70"/>
  <c r="T42"/>
  <c r="T43"/>
  <c r="T47"/>
  <c r="T46"/>
  <c r="T57"/>
  <c r="T72"/>
  <c r="T51"/>
  <c r="T48"/>
  <c r="T45"/>
  <c r="T55"/>
  <c r="T56" s="1"/>
  <c r="T71"/>
  <c r="Z26"/>
  <c r="V13"/>
  <c r="V12"/>
  <c r="V81" s="1"/>
  <c r="V14"/>
  <c r="V10"/>
  <c r="V15"/>
  <c r="V6"/>
  <c r="V7"/>
  <c r="V36"/>
  <c r="U78"/>
  <c r="U77"/>
  <c r="Z24"/>
  <c r="Z80" s="1"/>
  <c r="Y76"/>
  <c r="U38"/>
  <c r="U54" s="1"/>
  <c r="T67"/>
  <c r="T66"/>
  <c r="T65"/>
  <c r="T64"/>
  <c r="AB20"/>
  <c r="AE20" s="1"/>
  <c r="S120"/>
  <c r="V117"/>
  <c r="S118"/>
  <c r="S119"/>
  <c r="Q120"/>
  <c r="D31" i="8"/>
  <c r="D29"/>
  <c r="D28"/>
  <c r="D13"/>
  <c r="D30" s="1"/>
  <c r="E14"/>
  <c r="F14" s="1"/>
  <c r="G14" s="1"/>
  <c r="H14" s="1"/>
  <c r="I14" s="1"/>
  <c r="V82" i="18" l="1"/>
  <c r="V84"/>
  <c r="V83"/>
  <c r="AA17"/>
  <c r="AB19"/>
  <c r="AE19" s="1"/>
  <c r="AA62"/>
  <c r="U72"/>
  <c r="U71"/>
  <c r="U50"/>
  <c r="U58"/>
  <c r="U121" s="1"/>
  <c r="U57"/>
  <c r="U52"/>
  <c r="U122" s="1"/>
  <c r="U55"/>
  <c r="U56" s="1"/>
  <c r="U46"/>
  <c r="U68"/>
  <c r="U70"/>
  <c r="U43"/>
  <c r="U42"/>
  <c r="U51"/>
  <c r="U47"/>
  <c r="U48"/>
  <c r="U45"/>
  <c r="AA26"/>
  <c r="W12"/>
  <c r="W81" s="1"/>
  <c r="W14"/>
  <c r="W13"/>
  <c r="W15"/>
  <c r="W10"/>
  <c r="W7"/>
  <c r="W6"/>
  <c r="AA24"/>
  <c r="AA80" s="1"/>
  <c r="Z76"/>
  <c r="W36"/>
  <c r="V77"/>
  <c r="V78"/>
  <c r="V38"/>
  <c r="V57" s="1"/>
  <c r="U67"/>
  <c r="U65"/>
  <c r="U66"/>
  <c r="U64"/>
  <c r="AC20"/>
  <c r="T120"/>
  <c r="W117"/>
  <c r="T118"/>
  <c r="T119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W82" i="18" l="1"/>
  <c r="W84"/>
  <c r="W83"/>
  <c r="AB17"/>
  <c r="V72"/>
  <c r="V48"/>
  <c r="V55"/>
  <c r="AC19"/>
  <c r="AB62"/>
  <c r="V46"/>
  <c r="V54"/>
  <c r="V56" s="1"/>
  <c r="V51"/>
  <c r="V71"/>
  <c r="V47"/>
  <c r="V52"/>
  <c r="V122" s="1"/>
  <c r="V68"/>
  <c r="V70"/>
  <c r="V42"/>
  <c r="V43"/>
  <c r="V50"/>
  <c r="V58"/>
  <c r="V121" s="1"/>
  <c r="V45"/>
  <c r="AB26"/>
  <c r="AE26" s="1"/>
  <c r="X14"/>
  <c r="X13"/>
  <c r="X12"/>
  <c r="X81" s="1"/>
  <c r="X10"/>
  <c r="X15"/>
  <c r="X6"/>
  <c r="X7"/>
  <c r="X36"/>
  <c r="W78"/>
  <c r="W77"/>
  <c r="AB24"/>
  <c r="AB80" s="1"/>
  <c r="AC80" s="1"/>
  <c r="AA76"/>
  <c r="W38"/>
  <c r="W55" s="1"/>
  <c r="V67"/>
  <c r="V65"/>
  <c r="V66"/>
  <c r="V64"/>
  <c r="U120"/>
  <c r="X117"/>
  <c r="U118"/>
  <c r="U119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2"/>
  <c r="N33" s="1"/>
  <c r="N34" s="1"/>
  <c r="N35" s="1"/>
  <c r="N36" s="1"/>
  <c r="N37" s="1"/>
  <c r="N38" s="1"/>
  <c r="N39" s="1"/>
  <c r="N40" s="1"/>
  <c r="N41" s="1"/>
  <c r="N42" s="1"/>
  <c r="N31"/>
  <c r="P31" s="1"/>
  <c r="M45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X82" i="18" l="1"/>
  <c r="X84"/>
  <c r="X83"/>
  <c r="AE24"/>
  <c r="AE17"/>
  <c r="AC17"/>
  <c r="S107"/>
  <c r="AE62"/>
  <c r="AC62"/>
  <c r="M32" i="9"/>
  <c r="M33" s="1"/>
  <c r="M34" s="1"/>
  <c r="M35" s="1"/>
  <c r="M36" s="1"/>
  <c r="M37" s="1"/>
  <c r="M38" s="1"/>
  <c r="M39" s="1"/>
  <c r="M40" s="1"/>
  <c r="M41" s="1"/>
  <c r="P32"/>
  <c r="W58" i="18"/>
  <c r="W121" s="1"/>
  <c r="W57"/>
  <c r="W52"/>
  <c r="W122" s="1"/>
  <c r="W54"/>
  <c r="W56" s="1"/>
  <c r="W51"/>
  <c r="W71"/>
  <c r="W50"/>
  <c r="W72"/>
  <c r="W68"/>
  <c r="W70"/>
  <c r="W43"/>
  <c r="W42"/>
  <c r="W46"/>
  <c r="W47"/>
  <c r="W48"/>
  <c r="W45"/>
  <c r="AC26"/>
  <c r="Y12"/>
  <c r="Y81" s="1"/>
  <c r="Y14"/>
  <c r="Y13"/>
  <c r="Y10"/>
  <c r="Y15"/>
  <c r="Y7"/>
  <c r="Y6"/>
  <c r="AC24"/>
  <c r="AB76"/>
  <c r="AC76" s="1"/>
  <c r="Y36"/>
  <c r="X78"/>
  <c r="X77"/>
  <c r="O31" i="9"/>
  <c r="O32" s="1"/>
  <c r="X38" i="18"/>
  <c r="X48" s="1"/>
  <c r="W67"/>
  <c r="W65"/>
  <c r="W66"/>
  <c r="W64"/>
  <c r="V120"/>
  <c r="Y117"/>
  <c r="V118"/>
  <c r="V119"/>
  <c r="P31" i="11"/>
  <c r="N32"/>
  <c r="T19" i="9"/>
  <c r="D22"/>
  <c r="Y82" i="18" l="1"/>
  <c r="Y83"/>
  <c r="Y84"/>
  <c r="T107"/>
  <c r="R107" s="1"/>
  <c r="X50"/>
  <c r="X57"/>
  <c r="X45"/>
  <c r="X52"/>
  <c r="X122" s="1"/>
  <c r="X47"/>
  <c r="X46"/>
  <c r="X68"/>
  <c r="X70"/>
  <c r="X43"/>
  <c r="X42"/>
  <c r="X72"/>
  <c r="X51"/>
  <c r="X58"/>
  <c r="X121" s="1"/>
  <c r="X55"/>
  <c r="X54"/>
  <c r="X71"/>
  <c r="Z13"/>
  <c r="Z12"/>
  <c r="Z81" s="1"/>
  <c r="Z14"/>
  <c r="Z10"/>
  <c r="Z15"/>
  <c r="Z6"/>
  <c r="Z7"/>
  <c r="Z36"/>
  <c r="Y78"/>
  <c r="Y77"/>
  <c r="Y38"/>
  <c r="X67"/>
  <c r="X65"/>
  <c r="X66"/>
  <c r="X64"/>
  <c r="W120"/>
  <c r="Z117"/>
  <c r="W118"/>
  <c r="W119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Z82" i="18" l="1"/>
  <c r="Z83"/>
  <c r="Z84"/>
  <c r="X56"/>
  <c r="X120" s="1"/>
  <c r="Y68"/>
  <c r="Y70"/>
  <c r="Y42"/>
  <c r="Y43"/>
  <c r="Y52"/>
  <c r="Y122" s="1"/>
  <c r="Y58"/>
  <c r="Y121" s="1"/>
  <c r="Y57"/>
  <c r="Y55"/>
  <c r="Y46"/>
  <c r="Y45"/>
  <c r="Y51"/>
  <c r="Y47"/>
  <c r="Y48"/>
  <c r="Y54"/>
  <c r="Y71"/>
  <c r="Y50"/>
  <c r="Y72"/>
  <c r="AA12"/>
  <c r="AA81" s="1"/>
  <c r="AA14"/>
  <c r="AA13"/>
  <c r="AA10"/>
  <c r="AA15"/>
  <c r="AA7"/>
  <c r="AA6"/>
  <c r="AA36"/>
  <c r="Z77"/>
  <c r="Z78"/>
  <c r="Z38"/>
  <c r="Y67"/>
  <c r="Y65"/>
  <c r="Y66"/>
  <c r="Y64"/>
  <c r="AA117"/>
  <c r="X118"/>
  <c r="X119"/>
  <c r="N34" i="11"/>
  <c r="O33"/>
  <c r="D25" i="8"/>
  <c r="D23"/>
  <c r="AA82" i="18" l="1"/>
  <c r="AA83"/>
  <c r="AA84"/>
  <c r="Y56"/>
  <c r="Y120" s="1"/>
  <c r="Z68"/>
  <c r="Z70"/>
  <c r="Z43"/>
  <c r="Z42"/>
  <c r="Z46"/>
  <c r="Z57"/>
  <c r="Z47"/>
  <c r="Z52"/>
  <c r="Z122" s="1"/>
  <c r="Z55"/>
  <c r="Z54"/>
  <c r="Z72"/>
  <c r="Z58"/>
  <c r="Z121" s="1"/>
  <c r="Z45"/>
  <c r="Z51"/>
  <c r="Z71"/>
  <c r="Z50"/>
  <c r="Z48"/>
  <c r="AB14"/>
  <c r="AE14" s="1"/>
  <c r="AB13"/>
  <c r="AE13" s="1"/>
  <c r="AB12"/>
  <c r="AB10"/>
  <c r="AB15"/>
  <c r="AE15" s="1"/>
  <c r="AB6"/>
  <c r="AE6" s="1"/>
  <c r="AB7"/>
  <c r="AE7" s="1"/>
  <c r="AB36"/>
  <c r="AA78"/>
  <c r="AA77"/>
  <c r="AA38"/>
  <c r="Z67"/>
  <c r="Z65"/>
  <c r="Z66"/>
  <c r="Z64"/>
  <c r="AB117"/>
  <c r="Y118"/>
  <c r="Y119"/>
  <c r="N35" i="11"/>
  <c r="O34"/>
  <c r="D35" i="8"/>
  <c r="E5"/>
  <c r="E18" s="1"/>
  <c r="D18"/>
  <c r="D19"/>
  <c r="D21"/>
  <c r="D20"/>
  <c r="AE10" i="18" l="1"/>
  <c r="AB82"/>
  <c r="AC82" s="1"/>
  <c r="AE12"/>
  <c r="AB81"/>
  <c r="AC81" s="1"/>
  <c r="AE36"/>
  <c r="AB83"/>
  <c r="AC83" s="1"/>
  <c r="AB84"/>
  <c r="AC84" s="1"/>
  <c r="Z56"/>
  <c r="Z120" s="1"/>
  <c r="AA68"/>
  <c r="AA70"/>
  <c r="AA42"/>
  <c r="AA43"/>
  <c r="AA50"/>
  <c r="AA58"/>
  <c r="AA121" s="1"/>
  <c r="AA45"/>
  <c r="AA52"/>
  <c r="AA122" s="1"/>
  <c r="AA55"/>
  <c r="AA71"/>
  <c r="AA46"/>
  <c r="AA47"/>
  <c r="AA48"/>
  <c r="AA51"/>
  <c r="AA72"/>
  <c r="AA54"/>
  <c r="AA57"/>
  <c r="AC14"/>
  <c r="AC13"/>
  <c r="S101"/>
  <c r="AC12"/>
  <c r="AC10"/>
  <c r="AC15"/>
  <c r="AC7"/>
  <c r="AC6"/>
  <c r="AB78"/>
  <c r="AC78" s="1"/>
  <c r="AB77"/>
  <c r="AC77" s="1"/>
  <c r="AC36"/>
  <c r="AB38"/>
  <c r="AE38" s="1"/>
  <c r="AA67"/>
  <c r="AA65"/>
  <c r="AA66"/>
  <c r="AA64"/>
  <c r="AC117"/>
  <c r="AE117" s="1"/>
  <c r="Z118"/>
  <c r="Z119"/>
  <c r="N36" i="11"/>
  <c r="O35"/>
  <c r="F5" i="8"/>
  <c r="G5" s="1"/>
  <c r="H5" s="1"/>
  <c r="I5" s="1"/>
  <c r="T101" i="18" l="1"/>
  <c r="T102" s="1"/>
  <c r="AA56"/>
  <c r="AA120" s="1"/>
  <c r="AB68"/>
  <c r="AB70"/>
  <c r="AE70" s="1"/>
  <c r="AB42"/>
  <c r="AB43"/>
  <c r="AB50"/>
  <c r="AB55"/>
  <c r="AB45"/>
  <c r="AE45" s="1"/>
  <c r="AB52"/>
  <c r="AB48"/>
  <c r="AB71"/>
  <c r="AB47"/>
  <c r="AE47" s="1"/>
  <c r="AB46"/>
  <c r="AB57"/>
  <c r="AB72"/>
  <c r="AB51"/>
  <c r="AB58"/>
  <c r="AB54"/>
  <c r="S102"/>
  <c r="AB67"/>
  <c r="AB65"/>
  <c r="AC38"/>
  <c r="AB66"/>
  <c r="AB64"/>
  <c r="AA118"/>
  <c r="AA119"/>
  <c r="N37" i="11"/>
  <c r="O36"/>
  <c r="F18" i="8"/>
  <c r="G18"/>
  <c r="R101" i="18" l="1"/>
  <c r="R102"/>
  <c r="AC71"/>
  <c r="AE71"/>
  <c r="AC43"/>
  <c r="AE43"/>
  <c r="S98"/>
  <c r="AE57"/>
  <c r="AB121"/>
  <c r="AC121" s="1"/>
  <c r="AE121" s="1"/>
  <c r="AE58"/>
  <c r="AC42"/>
  <c r="AE42"/>
  <c r="AC55"/>
  <c r="AE55"/>
  <c r="S92"/>
  <c r="AE54"/>
  <c r="S91"/>
  <c r="AE48"/>
  <c r="AB122"/>
  <c r="AC122" s="1"/>
  <c r="AE122" s="1"/>
  <c r="AE52"/>
  <c r="AC51"/>
  <c r="AE51"/>
  <c r="S89"/>
  <c r="AE46"/>
  <c r="S94"/>
  <c r="AE50"/>
  <c r="AC72"/>
  <c r="AE72"/>
  <c r="S114"/>
  <c r="AE68"/>
  <c r="S112"/>
  <c r="AE67"/>
  <c r="S111"/>
  <c r="AE66"/>
  <c r="S109"/>
  <c r="AE64"/>
  <c r="S110"/>
  <c r="AE65"/>
  <c r="AC57"/>
  <c r="S95"/>
  <c r="AC46"/>
  <c r="AC48"/>
  <c r="T91" s="1"/>
  <c r="AC50"/>
  <c r="S96"/>
  <c r="AC68"/>
  <c r="AC54"/>
  <c r="S99"/>
  <c r="AB56"/>
  <c r="AC52"/>
  <c r="AC58"/>
  <c r="AC70"/>
  <c r="AC66"/>
  <c r="AC65"/>
  <c r="AC64"/>
  <c r="AC67"/>
  <c r="S88"/>
  <c r="AC45"/>
  <c r="T88" s="1"/>
  <c r="AB118"/>
  <c r="AC47"/>
  <c r="T90" s="1"/>
  <c r="AB119"/>
  <c r="S90"/>
  <c r="N38" i="11"/>
  <c r="O37"/>
  <c r="H18" i="8"/>
  <c r="T99" i="18" l="1"/>
  <c r="R99" s="1"/>
  <c r="T89"/>
  <c r="R89" s="1"/>
  <c r="T98"/>
  <c r="R98" s="1"/>
  <c r="T94"/>
  <c r="R94" s="1"/>
  <c r="T96"/>
  <c r="R96" s="1"/>
  <c r="P129" s="1"/>
  <c r="T114"/>
  <c r="R114" s="1"/>
  <c r="T111"/>
  <c r="R111" s="1"/>
  <c r="AC56"/>
  <c r="AE56"/>
  <c r="T92"/>
  <c r="R92" s="1"/>
  <c r="R91"/>
  <c r="T95"/>
  <c r="R95" s="1"/>
  <c r="T109"/>
  <c r="R109" s="1"/>
  <c r="AB120"/>
  <c r="AC120" s="1"/>
  <c r="AE120" s="1"/>
  <c r="T112"/>
  <c r="R112" s="1"/>
  <c r="T110"/>
  <c r="R110" s="1"/>
  <c r="R88"/>
  <c r="P130" s="1"/>
  <c r="AC119"/>
  <c r="AE119" s="1"/>
  <c r="AC118"/>
  <c r="AE118" s="1"/>
  <c r="R90"/>
  <c r="N39" i="1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<sst xmlns="http://schemas.openxmlformats.org/spreadsheetml/2006/main" count="477" uniqueCount="335">
  <si>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</si>
  <si>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</si>
  <si>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</si>
  <si>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</si>
  <si>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</si>
  <si>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</si>
  <si>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</si>
  <si>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</si>
  <si>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</si>
  <si>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</si>
  <si>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</si>
  <si>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</si>
  <si>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</si>
  <si>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</si>
  <si>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</si>
  <si>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</si>
  <si>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</si>
  <si>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</si>
  <si>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</si>
  <si>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</si>
  <si>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</si>
  <si>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</si>
  <si>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</si>
  <si>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</si>
  <si>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</si>
  <si>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</si>
  <si>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</si>
  <si>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</si>
  <si>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</si>
  <si>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</si>
  <si>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</si>
  <si>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</si>
  <si>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</si>
  <si>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</si>
  <si>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</si>
  <si>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</si>
  <si>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</si>
  <si>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</si>
  <si>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</si>
  <si>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</si>
  <si>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</si>
  <si>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</si>
  <si>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</si>
  <si>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</si>
  <si>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</si>
  <si>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</si>
  <si>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</si>
  <si>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</si>
  <si>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</si>
  <si>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</si>
  <si>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</si>
  <si>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</si>
  <si>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</si>
  <si>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</si>
  <si>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</si>
  <si>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</si>
  <si>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</si>
  <si>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</si>
  <si>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</si>
  <si>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</si>
  <si>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</si>
  <si>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</si>
  <si>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</si>
  <si>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</si>
  <si>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</si>
  <si>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</si>
  <si>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</si>
  <si>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</si>
  <si>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</si>
  <si>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</si>
  <si>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</si>
  <si>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</si>
  <si>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</si>
  <si>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</si>
  <si>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</si>
  <si>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</si>
  <si>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</si>
  <si>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</si>
  <si>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</si>
  <si>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</si>
  <si>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</si>
  <si>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</si>
  <si>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</si>
  <si>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</si>
  <si>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</si>
  <si>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</si>
  <si>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</si>
  <si>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</si>
  <si>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</si>
  <si>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</si>
  <si>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</si>
  <si>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</si>
  <si>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</si>
  <si>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</si>
  <si>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</si>
  <si>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</si>
  <si>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</si>
  <si>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</si>
  <si>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</si>
  <si>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</si>
  <si>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</si>
  <si>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</si>
  <si>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</si>
  <si>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</si>
  <si>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</si>
  <si>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</si>
  <si>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</si>
  <si>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</si>
  <si>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</si>
  <si>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</si>
  <si>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</si>
  <si>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</si>
  <si>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</si>
  <si>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</si>
  <si>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</si>
  <si>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</si>
  <si>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</si>
  <si>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</si>
  <si>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</si>
  <si>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</si>
  <si>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</si>
  <si>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</si>
  <si>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</si>
  <si>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</si>
  <si>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</si>
  <si>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</si>
  <si>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</si>
  <si>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</si>
  <si>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</si>
  <si>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</si>
  <si>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</si>
  <si>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</si>
  <si>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</si>
  <si>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</si>
  <si>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</si>
  <si>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</si>
  <si>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</si>
  <si>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</si>
  <si>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</si>
  <si>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</si>
  <si>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</si>
  <si>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</si>
  <si>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</si>
  <si>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</si>
  <si>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</si>
  <si>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</si>
  <si>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</si>
  <si>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</si>
  <si>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</si>
  <si>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</si>
  <si>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</si>
  <si>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</si>
  <si>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</si>
  <si>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</si>
  <si>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</si>
  <si>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</si>
  <si>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</si>
  <si>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</si>
  <si>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</si>
  <si>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</si>
  <si>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</si>
  <si>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</si>
  <si>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</si>
  <si>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</si>
  <si>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</si>
  <si>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</si>
  <si>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</si>
  <si>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</si>
  <si>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</si>
  <si>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</si>
  <si>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</si>
  <si>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</si>
  <si>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</si>
  <si>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</si>
  <si>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</si>
  <si>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</si>
  <si>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</si>
  <si>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</si>
  <si>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</si>
  <si>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</si>
  <si>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</si>
  <si>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</si>
  <si>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</si>
  <si>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</si>
  <si>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</si>
  <si>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</si>
  <si>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</si>
  <si>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</si>
  <si>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</si>
  <si>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</si>
  <si>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</si>
  <si>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</si>
  <si>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</si>
  <si>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</si>
  <si>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</si>
  <si>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</si>
  <si>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</si>
  <si>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</si>
  <si>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</si>
  <si>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</si>
  <si>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</si>
  <si>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</si>
  <si>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</si>
  <si>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</si>
  <si>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</si>
  <si>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</si>
  <si>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</si>
  <si>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</si>
  <si>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</si>
  <si>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</si>
  <si>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</si>
  <si>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</si>
  <si>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</si>
  <si>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</si>
  <si>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</si>
  <si>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</si>
  <si>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</si>
  <si>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</si>
  <si>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</si>
  <si>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</si>
  <si>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</si>
  <si>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</si>
  <si>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</si>
  <si>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</si>
  <si>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</si>
  <si>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</si>
  <si>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</si>
  <si>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</si>
  <si>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</si>
  <si>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</si>
  <si>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</si>
  <si>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</si>
  <si>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</si>
  <si>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</si>
  <si>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</si>
  <si>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</si>
  <si>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</si>
  <si>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</si>
  <si>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</si>
  <si>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</si>
  <si>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</si>
  <si>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</si>
  <si>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</si>
  <si>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</si>
  <si>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</si>
  <si>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</si>
  <si>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</si>
  <si>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</si>
  <si>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</si>
  <si>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</si>
  <si>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</si>
  <si>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</si>
  <si>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</si>
  <si>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</si>
  <si>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</si>
  <si>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</si>
  <si>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</si>
  <si>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</si>
  <si>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</si>
  <si>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</si>
  <si>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</si>
  <si>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</si>
  <si>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</si>
  <si>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</si>
  <si>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</si>
  <si>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</si>
  <si>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</si>
  <si>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</si>
  <si>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</si>
  <si>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</si>
  <si>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</si>
  <si>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</si>
  <si>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</si>
  <si>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</si>
  <si>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</si>
  <si>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</si>
  <si>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</si>
  <si>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</si>
  <si>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</si>
  <si>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</si>
  <si>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</si>
  <si>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</si>
  <si>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</si>
  <si>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</si>
  <si>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</si>
  <si>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</si>
  <si>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</si>
  <si>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</si>
  <si>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</si>
  <si>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</si>
  <si>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</si>
  <si>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</si>
  <si>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</si>
  <si>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</si>
  <si>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</si>
  <si>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</si>
  <si>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</si>
  <si>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</si>
  <si>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</si>
  <si>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</si>
  <si>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</si>
  <si>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</si>
  <si>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</si>
  <si>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</si>
  <si>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</si>
  <si>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</si>
  <si>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</si>
  <si>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</si>
  <si>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</si>
  <si>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</si>
  <si>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</si>
  <si>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</si>
  <si>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</si>
  <si>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</si>
  <si>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</si>
  <si>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</si>
  <si>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</si>
  <si>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</si>
  <si>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</si>
  <si>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</si>
  <si>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</si>
  <si>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</si>
  <si>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</si>
  <si>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</si>
  <si>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Earning ratio / earnings yield</t>
  </si>
  <si>
    <t>Earnings yield/ratio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</si>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</sst>
</file>

<file path=xl/styles.xml><?xml version="1.0" encoding="utf-8"?>
<styleSheet xmlns="http://schemas.openxmlformats.org/spreadsheetml/2006/main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7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2" fillId="5" borderId="1" xfId="2" applyNumberFormat="1" applyFont="1" applyFill="1" applyBorder="1"/>
    <xf numFmtId="166" fontId="12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2" fontId="4" fillId="5" borderId="1" xfId="1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81587200"/>
        <c:axId val="81928960"/>
      </c:lineChart>
      <c:catAx>
        <c:axId val="81587200"/>
        <c:scaling>
          <c:orientation val="minMax"/>
        </c:scaling>
        <c:axPos val="b"/>
        <c:tickLblPos val="nextTo"/>
        <c:crossAx val="81928960"/>
        <c:crosses val="autoZero"/>
        <c:auto val="1"/>
        <c:lblAlgn val="ctr"/>
        <c:lblOffset val="100"/>
      </c:catAx>
      <c:valAx>
        <c:axId val="81928960"/>
        <c:scaling>
          <c:orientation val="minMax"/>
        </c:scaling>
        <c:axPos val="l"/>
        <c:majorGridlines/>
        <c:numFmt formatCode="General" sourceLinked="1"/>
        <c:tickLblPos val="nextTo"/>
        <c:crossAx val="8158720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280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323</v>
      </c>
      <c r="C9" s="153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269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269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269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268</v>
      </c>
      <c r="C33" s="132">
        <v>3.44E-2</v>
      </c>
      <c r="D33" s="20"/>
      <c r="E33" s="20"/>
      <c r="F33" s="20"/>
      <c r="G33" s="20"/>
    </row>
    <row r="34" spans="2:7">
      <c r="B34" s="20" t="s">
        <v>267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263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264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265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266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40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L9" sqref="L9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333</v>
      </c>
      <c r="L1" s="167">
        <v>0.08</v>
      </c>
    </row>
    <row r="2" spans="2:31">
      <c r="B2" s="154" t="s">
        <v>319</v>
      </c>
      <c r="C2" s="120"/>
      <c r="F2" s="104" t="s">
        <v>253</v>
      </c>
      <c r="H2" s="126">
        <v>2013</v>
      </c>
      <c r="J2" s="104" t="s">
        <v>334</v>
      </c>
      <c r="L2" s="167">
        <v>0.12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8" t="s">
        <v>292</v>
      </c>
      <c r="AE2" s="169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70" t="s">
        <v>293</v>
      </c>
      <c r="AE3" s="171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37"/>
      <c r="AD5" s="20"/>
      <c r="AE5" s="155"/>
    </row>
    <row r="6" spans="2:31">
      <c r="B6" s="20" t="s">
        <v>16</v>
      </c>
      <c r="C6" s="141"/>
      <c r="D6" s="141"/>
      <c r="E6" s="147"/>
      <c r="F6" s="147">
        <v>786</v>
      </c>
      <c r="G6" s="147">
        <v>886</v>
      </c>
      <c r="H6" s="147">
        <v>1125</v>
      </c>
      <c r="I6" s="147">
        <v>1276</v>
      </c>
      <c r="J6" s="147">
        <v>1477</v>
      </c>
      <c r="K6" s="147">
        <v>1769</v>
      </c>
      <c r="L6" s="147">
        <v>2177</v>
      </c>
      <c r="M6" s="147">
        <v>3347</v>
      </c>
      <c r="N6" s="147">
        <v>4096</v>
      </c>
      <c r="O6" s="147">
        <v>5609</v>
      </c>
      <c r="P6" s="147">
        <v>6432</v>
      </c>
      <c r="Q6" s="118">
        <f>((P6/G6)^(1/($H$2-$H$1) ))-1</f>
        <v>0.24639851748350283</v>
      </c>
      <c r="R6" s="31">
        <f>$L$2</f>
        <v>0.12</v>
      </c>
      <c r="S6" s="155">
        <f>P6*(1+$R6)</f>
        <v>7203.8400000000011</v>
      </c>
      <c r="T6" s="155">
        <f>S6*(1+$R6)</f>
        <v>8068.3008000000018</v>
      </c>
      <c r="U6" s="155">
        <f t="shared" ref="U6:AB6" si="0">T6*(1+$R6)</f>
        <v>9036.4968960000024</v>
      </c>
      <c r="V6" s="155">
        <f t="shared" si="0"/>
        <v>10120.876523520004</v>
      </c>
      <c r="W6" s="155">
        <f t="shared" si="0"/>
        <v>11335.381706342407</v>
      </c>
      <c r="X6" s="155">
        <f t="shared" si="0"/>
        <v>12695.627511103497</v>
      </c>
      <c r="Y6" s="155">
        <f t="shared" si="0"/>
        <v>14219.102812435918</v>
      </c>
      <c r="Z6" s="155">
        <f t="shared" si="0"/>
        <v>15925.39514992823</v>
      </c>
      <c r="AA6" s="155">
        <f t="shared" si="0"/>
        <v>17836.442567919621</v>
      </c>
      <c r="AB6" s="155">
        <f t="shared" si="0"/>
        <v>19976.815676069979</v>
      </c>
      <c r="AC6" s="138">
        <f>((AB6/G6)^(1/($AB$3-$H$1) ))-1</f>
        <v>0.17819017517504121</v>
      </c>
      <c r="AD6" s="31">
        <f>$L$1</f>
        <v>0.08</v>
      </c>
      <c r="AE6" s="146">
        <f t="shared" ref="AE6:AE39" si="1">(AB6*(1+AD6))/($C$1-AD6)</f>
        <v>154106.86378682556</v>
      </c>
    </row>
    <row r="7" spans="2:31">
      <c r="B7" s="20" t="s">
        <v>240</v>
      </c>
      <c r="C7" s="141"/>
      <c r="D7" s="141"/>
      <c r="E7" s="147"/>
      <c r="F7" s="147">
        <v>861</v>
      </c>
      <c r="G7" s="147">
        <v>961</v>
      </c>
      <c r="H7" s="147">
        <v>1210</v>
      </c>
      <c r="I7" s="147">
        <v>1361</v>
      </c>
      <c r="J7" s="147">
        <v>1562</v>
      </c>
      <c r="K7" s="147">
        <v>1854</v>
      </c>
      <c r="L7" s="147">
        <v>2262</v>
      </c>
      <c r="M7" s="147">
        <v>3442</v>
      </c>
      <c r="N7" s="147">
        <v>4191</v>
      </c>
      <c r="O7" s="147">
        <v>5710</v>
      </c>
      <c r="P7" s="147">
        <v>6533</v>
      </c>
      <c r="Q7" s="118">
        <f>((P7/G7)^(1/($H$2-$H$1) ))-1</f>
        <v>0.23733613652450458</v>
      </c>
      <c r="R7" s="31">
        <f>$L$2</f>
        <v>0.12</v>
      </c>
      <c r="S7" s="155">
        <f t="shared" ref="S7:S15" si="2">P7*(1+$R7)</f>
        <v>7316.9600000000009</v>
      </c>
      <c r="T7" s="155">
        <f t="shared" ref="T7:AB7" si="3">S7*(1+$R7)</f>
        <v>8194.9952000000012</v>
      </c>
      <c r="U7" s="155">
        <f t="shared" si="3"/>
        <v>9178.3946240000023</v>
      </c>
      <c r="V7" s="155">
        <f t="shared" si="3"/>
        <v>10279.801978880003</v>
      </c>
      <c r="W7" s="155">
        <f t="shared" si="3"/>
        <v>11513.378216345604</v>
      </c>
      <c r="X7" s="155">
        <f t="shared" si="3"/>
        <v>12894.983602307077</v>
      </c>
      <c r="Y7" s="155">
        <f t="shared" si="3"/>
        <v>14442.381634583928</v>
      </c>
      <c r="Z7" s="155">
        <f t="shared" si="3"/>
        <v>16175.467430734001</v>
      </c>
      <c r="AA7" s="155">
        <f t="shared" si="3"/>
        <v>18116.523522422081</v>
      </c>
      <c r="AB7" s="155">
        <f t="shared" si="3"/>
        <v>20290.506345112732</v>
      </c>
      <c r="AC7" s="138">
        <f>((AB7/G7)^(1/($AB$3-$H$1) ))-1</f>
        <v>0.17412459101044742</v>
      </c>
      <c r="AD7" s="31">
        <f>$L$1</f>
        <v>0.08</v>
      </c>
      <c r="AE7" s="146">
        <f t="shared" si="1"/>
        <v>156526.76323372679</v>
      </c>
    </row>
    <row r="8" spans="2:31">
      <c r="B8" s="20"/>
      <c r="C8" s="141"/>
      <c r="D8" s="141"/>
      <c r="E8" s="147"/>
      <c r="F8" s="147"/>
      <c r="G8" s="149">
        <f>(G7-F7)/G7</f>
        <v>0.1040582726326743</v>
      </c>
      <c r="H8" s="152">
        <f>(H7-G7)/H7</f>
        <v>0.20578512396694215</v>
      </c>
      <c r="I8" s="152">
        <f t="shared" ref="I8:P8" si="4">(I7-H7)/I7</f>
        <v>0.1109478324761205</v>
      </c>
      <c r="J8" s="152">
        <f t="shared" si="4"/>
        <v>0.12868117797695264</v>
      </c>
      <c r="K8" s="152">
        <f t="shared" si="4"/>
        <v>0.1574973031283711</v>
      </c>
      <c r="L8" s="152">
        <f t="shared" si="4"/>
        <v>0.18037135278514588</v>
      </c>
      <c r="M8" s="152">
        <f t="shared" si="4"/>
        <v>0.34282393957001744</v>
      </c>
      <c r="N8" s="152">
        <f t="shared" si="4"/>
        <v>0.17871629682653303</v>
      </c>
      <c r="O8" s="152">
        <f t="shared" si="4"/>
        <v>0.2660245183887916</v>
      </c>
      <c r="P8" s="152">
        <f t="shared" si="4"/>
        <v>0.12597581509260677</v>
      </c>
      <c r="Q8" s="128"/>
      <c r="R8" s="20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37"/>
      <c r="AD8" s="137"/>
      <c r="AE8" s="146"/>
    </row>
    <row r="9" spans="2:31">
      <c r="B9" s="20" t="s">
        <v>270</v>
      </c>
      <c r="C9" s="141"/>
      <c r="D9" s="141"/>
      <c r="E9" s="147"/>
      <c r="F9" s="147">
        <v>270</v>
      </c>
      <c r="G9" s="147">
        <v>278</v>
      </c>
      <c r="H9" s="147">
        <v>416</v>
      </c>
      <c r="I9" s="147">
        <v>466</v>
      </c>
      <c r="J9" s="147">
        <v>635</v>
      </c>
      <c r="K9" s="147">
        <v>829</v>
      </c>
      <c r="L9" s="147"/>
      <c r="M9" s="147"/>
      <c r="N9" s="147"/>
      <c r="O9" s="147"/>
      <c r="P9" s="147"/>
      <c r="Q9" s="118">
        <f t="shared" ref="Q9:Q15" si="5">((P9/G9)^(1/($H$2-$H$1) ))-1</f>
        <v>-1</v>
      </c>
      <c r="R9" s="31">
        <f t="shared" ref="R9:R39" si="6">$L$2</f>
        <v>0.12</v>
      </c>
      <c r="S9" s="155">
        <f t="shared" ref="S9" si="7">P9*(1+$R9)</f>
        <v>0</v>
      </c>
      <c r="T9" s="155">
        <f t="shared" ref="T9" si="8">S9*(1+$R9)</f>
        <v>0</v>
      </c>
      <c r="U9" s="155">
        <f t="shared" ref="U9" si="9">T9*(1+$R9)</f>
        <v>0</v>
      </c>
      <c r="V9" s="155">
        <f t="shared" ref="V9" si="10">U9*(1+$R9)</f>
        <v>0</v>
      </c>
      <c r="W9" s="155">
        <f t="shared" ref="W9" si="11">V9*(1+$R9)</f>
        <v>0</v>
      </c>
      <c r="X9" s="155">
        <f t="shared" ref="X9" si="12">W9*(1+$R9)</f>
        <v>0</v>
      </c>
      <c r="Y9" s="155">
        <f t="shared" ref="Y9" si="13">X9*(1+$R9)</f>
        <v>0</v>
      </c>
      <c r="Z9" s="155">
        <f t="shared" ref="Z9" si="14">Y9*(1+$R9)</f>
        <v>0</v>
      </c>
      <c r="AA9" s="155">
        <f t="shared" ref="AA9" si="15">Z9*(1+$R9)</f>
        <v>0</v>
      </c>
      <c r="AB9" s="155">
        <f t="shared" ref="AB9" si="16">AA9*(1+$R9)</f>
        <v>0</v>
      </c>
      <c r="AC9" s="138">
        <f>((AB9/G9)^(1/($AB$3-$H$1) ))-1</f>
        <v>-1</v>
      </c>
      <c r="AD9" s="31">
        <f t="shared" ref="AD9:AD71" si="17">$L$1</f>
        <v>0.08</v>
      </c>
      <c r="AE9" s="146">
        <f t="shared" si="1"/>
        <v>0</v>
      </c>
    </row>
    <row r="10" spans="2:31">
      <c r="B10" s="20" t="s">
        <v>4</v>
      </c>
      <c r="C10" s="141"/>
      <c r="D10" s="141"/>
      <c r="E10" s="147"/>
      <c r="F10" s="147">
        <v>7404</v>
      </c>
      <c r="G10" s="147">
        <v>9177</v>
      </c>
      <c r="H10" s="147">
        <v>11047</v>
      </c>
      <c r="I10" s="147">
        <v>13780</v>
      </c>
      <c r="J10" s="147">
        <v>16332</v>
      </c>
      <c r="K10" s="147">
        <v>20344</v>
      </c>
      <c r="L10" s="147"/>
      <c r="M10" s="147"/>
      <c r="N10" s="147"/>
      <c r="O10" s="147"/>
      <c r="P10" s="147"/>
      <c r="Q10" s="118">
        <f t="shared" si="5"/>
        <v>-1</v>
      </c>
      <c r="R10" s="31">
        <f t="shared" si="6"/>
        <v>0.12</v>
      </c>
      <c r="S10" s="155">
        <f t="shared" si="2"/>
        <v>0</v>
      </c>
      <c r="T10" s="155">
        <f t="shared" ref="T10:AB10" si="18">S10*(1+$R10)</f>
        <v>0</v>
      </c>
      <c r="U10" s="155">
        <f t="shared" si="18"/>
        <v>0</v>
      </c>
      <c r="V10" s="155">
        <f t="shared" si="18"/>
        <v>0</v>
      </c>
      <c r="W10" s="155">
        <f t="shared" si="18"/>
        <v>0</v>
      </c>
      <c r="X10" s="155">
        <f t="shared" si="18"/>
        <v>0</v>
      </c>
      <c r="Y10" s="155">
        <f t="shared" si="18"/>
        <v>0</v>
      </c>
      <c r="Z10" s="155">
        <f t="shared" si="18"/>
        <v>0</v>
      </c>
      <c r="AA10" s="155">
        <f t="shared" si="18"/>
        <v>0</v>
      </c>
      <c r="AB10" s="155">
        <f t="shared" si="18"/>
        <v>0</v>
      </c>
      <c r="AC10" s="138">
        <f t="shared" ref="AC10:AC38" si="19">((AB10/G10)^(1/($AB$3-$H$1) ))-1</f>
        <v>-1</v>
      </c>
      <c r="AD10" s="31">
        <f t="shared" si="17"/>
        <v>0.08</v>
      </c>
      <c r="AE10" s="146">
        <f t="shared" si="1"/>
        <v>0</v>
      </c>
    </row>
    <row r="11" spans="2:31">
      <c r="B11" s="20"/>
      <c r="C11" s="141"/>
      <c r="D11" s="141"/>
      <c r="E11" s="147"/>
      <c r="F11" s="147"/>
      <c r="G11" s="149">
        <f>(G10-F10)/G10</f>
        <v>0.19320039228506047</v>
      </c>
      <c r="H11" s="148">
        <f>(H10-G10)/H10</f>
        <v>0.16927672671313479</v>
      </c>
      <c r="I11" s="148">
        <f t="shared" ref="I11" si="20">(I10-H10)/I10</f>
        <v>0.19833091436865022</v>
      </c>
      <c r="J11" s="148">
        <f t="shared" ref="J11" si="21">(J10-I10)/J10</f>
        <v>0.15625765368601519</v>
      </c>
      <c r="K11" s="148">
        <f t="shared" ref="K11" si="22">(K10-J10)/K10</f>
        <v>0.19720802202123477</v>
      </c>
      <c r="L11" s="148" t="e">
        <f t="shared" ref="L11" si="23">(L10-K10)/L10</f>
        <v>#DIV/0!</v>
      </c>
      <c r="M11" s="148" t="e">
        <f t="shared" ref="M11" si="24">(M10-L10)/M10</f>
        <v>#DIV/0!</v>
      </c>
      <c r="N11" s="148" t="e">
        <f t="shared" ref="N11" si="25">(N10-M10)/N10</f>
        <v>#DIV/0!</v>
      </c>
      <c r="O11" s="148" t="e">
        <f t="shared" ref="O11" si="26">(O10-N10)/O10</f>
        <v>#DIV/0!</v>
      </c>
      <c r="P11" s="148" t="e">
        <f t="shared" ref="P11" si="27">(P10-O10)/P10</f>
        <v>#DIV/0!</v>
      </c>
      <c r="Q11" s="128"/>
      <c r="R11" s="20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19"/>
      <c r="AD11" s="31">
        <f t="shared" si="17"/>
        <v>0.08</v>
      </c>
      <c r="AE11" s="155"/>
    </row>
    <row r="12" spans="2:31">
      <c r="B12" s="20" t="s">
        <v>2</v>
      </c>
      <c r="C12" s="141"/>
      <c r="D12" s="141"/>
      <c r="E12" s="147"/>
      <c r="F12" s="147">
        <f>84+358</f>
        <v>442</v>
      </c>
      <c r="G12" s="147">
        <f>115+286</f>
        <v>401</v>
      </c>
      <c r="H12" s="147">
        <f>155+74</f>
        <v>229</v>
      </c>
      <c r="I12" s="147">
        <f>166+317</f>
        <v>483</v>
      </c>
      <c r="J12" s="147">
        <f>176+604</f>
        <v>780</v>
      </c>
      <c r="K12" s="147">
        <f>149+214</f>
        <v>363</v>
      </c>
      <c r="L12" s="147"/>
      <c r="M12" s="147"/>
      <c r="N12" s="147"/>
      <c r="O12" s="147"/>
      <c r="P12" s="147"/>
      <c r="Q12" s="118">
        <f t="shared" si="5"/>
        <v>-1</v>
      </c>
      <c r="R12" s="31">
        <f t="shared" si="6"/>
        <v>0.12</v>
      </c>
      <c r="S12" s="155">
        <f t="shared" si="2"/>
        <v>0</v>
      </c>
      <c r="T12" s="155">
        <f t="shared" ref="T12:AB12" si="28">S12*(1+$R12)</f>
        <v>0</v>
      </c>
      <c r="U12" s="155">
        <f t="shared" si="28"/>
        <v>0</v>
      </c>
      <c r="V12" s="155">
        <f t="shared" si="28"/>
        <v>0</v>
      </c>
      <c r="W12" s="155">
        <f t="shared" si="28"/>
        <v>0</v>
      </c>
      <c r="X12" s="155">
        <f t="shared" si="28"/>
        <v>0</v>
      </c>
      <c r="Y12" s="155">
        <f t="shared" si="28"/>
        <v>0</v>
      </c>
      <c r="Z12" s="155">
        <f t="shared" si="28"/>
        <v>0</v>
      </c>
      <c r="AA12" s="155">
        <f t="shared" si="28"/>
        <v>0</v>
      </c>
      <c r="AB12" s="155">
        <f t="shared" si="28"/>
        <v>0</v>
      </c>
      <c r="AC12" s="138">
        <f t="shared" si="19"/>
        <v>-1</v>
      </c>
      <c r="AD12" s="31">
        <f t="shared" si="17"/>
        <v>0.08</v>
      </c>
      <c r="AE12" s="146">
        <f t="shared" si="1"/>
        <v>0</v>
      </c>
    </row>
    <row r="13" spans="2:31">
      <c r="B13" s="20" t="s">
        <v>218</v>
      </c>
      <c r="C13" s="141"/>
      <c r="D13" s="141"/>
      <c r="E13" s="147"/>
      <c r="F13" s="147">
        <v>291</v>
      </c>
      <c r="G13" s="147">
        <v>134</v>
      </c>
      <c r="H13" s="147">
        <v>90</v>
      </c>
      <c r="I13" s="147">
        <v>328</v>
      </c>
      <c r="J13" s="147">
        <v>221</v>
      </c>
      <c r="K13" s="147">
        <v>793</v>
      </c>
      <c r="L13" s="147"/>
      <c r="M13" s="147"/>
      <c r="N13" s="147"/>
      <c r="O13" s="147"/>
      <c r="P13" s="147"/>
      <c r="Q13" s="118">
        <f t="shared" si="5"/>
        <v>-1</v>
      </c>
      <c r="R13" s="31">
        <f t="shared" si="6"/>
        <v>0.12</v>
      </c>
      <c r="S13" s="155">
        <f t="shared" si="2"/>
        <v>0</v>
      </c>
      <c r="T13" s="155">
        <f t="shared" ref="T13:AB13" si="29">S13*(1+$R13)</f>
        <v>0</v>
      </c>
      <c r="U13" s="155">
        <f t="shared" si="29"/>
        <v>0</v>
      </c>
      <c r="V13" s="155">
        <f t="shared" si="29"/>
        <v>0</v>
      </c>
      <c r="W13" s="155">
        <f t="shared" si="29"/>
        <v>0</v>
      </c>
      <c r="X13" s="155">
        <f t="shared" si="29"/>
        <v>0</v>
      </c>
      <c r="Y13" s="155">
        <f t="shared" si="29"/>
        <v>0</v>
      </c>
      <c r="Z13" s="155">
        <f t="shared" si="29"/>
        <v>0</v>
      </c>
      <c r="AA13" s="155">
        <f t="shared" si="29"/>
        <v>0</v>
      </c>
      <c r="AB13" s="155">
        <f t="shared" si="29"/>
        <v>0</v>
      </c>
      <c r="AC13" s="138">
        <f t="shared" si="19"/>
        <v>-1</v>
      </c>
      <c r="AD13" s="31">
        <f t="shared" si="17"/>
        <v>0.08</v>
      </c>
      <c r="AE13" s="146">
        <f t="shared" si="1"/>
        <v>0</v>
      </c>
    </row>
    <row r="14" spans="2:31">
      <c r="B14" s="20" t="s">
        <v>19</v>
      </c>
      <c r="C14" s="141"/>
      <c r="D14" s="141"/>
      <c r="E14" s="147"/>
      <c r="F14" s="147">
        <v>84</v>
      </c>
      <c r="G14" s="147">
        <v>115</v>
      </c>
      <c r="H14" s="147">
        <v>155</v>
      </c>
      <c r="I14" s="147">
        <v>166</v>
      </c>
      <c r="J14" s="147">
        <v>176</v>
      </c>
      <c r="K14" s="147">
        <v>149</v>
      </c>
      <c r="L14" s="147"/>
      <c r="M14" s="147"/>
      <c r="N14" s="147"/>
      <c r="O14" s="147"/>
      <c r="P14" s="147"/>
      <c r="Q14" s="118">
        <f t="shared" si="5"/>
        <v>-1</v>
      </c>
      <c r="R14" s="31">
        <f t="shared" si="6"/>
        <v>0.12</v>
      </c>
      <c r="S14" s="155">
        <f t="shared" si="2"/>
        <v>0</v>
      </c>
      <c r="T14" s="155">
        <f t="shared" ref="T14:AB14" si="30">S14*(1+$R14)</f>
        <v>0</v>
      </c>
      <c r="U14" s="155">
        <f t="shared" si="30"/>
        <v>0</v>
      </c>
      <c r="V14" s="155">
        <f t="shared" si="30"/>
        <v>0</v>
      </c>
      <c r="W14" s="155">
        <f t="shared" si="30"/>
        <v>0</v>
      </c>
      <c r="X14" s="155">
        <f t="shared" si="30"/>
        <v>0</v>
      </c>
      <c r="Y14" s="155">
        <f t="shared" si="30"/>
        <v>0</v>
      </c>
      <c r="Z14" s="155">
        <f t="shared" si="30"/>
        <v>0</v>
      </c>
      <c r="AA14" s="155">
        <f t="shared" si="30"/>
        <v>0</v>
      </c>
      <c r="AB14" s="155">
        <f t="shared" si="30"/>
        <v>0</v>
      </c>
      <c r="AC14" s="138">
        <f t="shared" si="19"/>
        <v>-1</v>
      </c>
      <c r="AD14" s="31">
        <f t="shared" si="17"/>
        <v>0.08</v>
      </c>
      <c r="AE14" s="146">
        <f t="shared" si="1"/>
        <v>0</v>
      </c>
    </row>
    <row r="15" spans="2:31">
      <c r="B15" s="20" t="s">
        <v>23</v>
      </c>
      <c r="C15" s="141"/>
      <c r="D15" s="141"/>
      <c r="E15" s="147"/>
      <c r="F15" s="147">
        <v>7953</v>
      </c>
      <c r="G15" s="147">
        <v>9980</v>
      </c>
      <c r="H15" s="147">
        <v>12140</v>
      </c>
      <c r="I15" s="147">
        <v>14783</v>
      </c>
      <c r="J15" s="147">
        <v>17641</v>
      </c>
      <c r="K15" s="147">
        <v>21366</v>
      </c>
      <c r="L15" s="147"/>
      <c r="M15" s="147"/>
      <c r="N15" s="147"/>
      <c r="O15" s="147"/>
      <c r="P15" s="147"/>
      <c r="Q15" s="118">
        <f t="shared" si="5"/>
        <v>-1</v>
      </c>
      <c r="R15" s="31">
        <f t="shared" si="6"/>
        <v>0.12</v>
      </c>
      <c r="S15" s="155">
        <f t="shared" si="2"/>
        <v>0</v>
      </c>
      <c r="T15" s="155">
        <f t="shared" ref="T15:AB15" si="31">S15*(1+$R15)</f>
        <v>0</v>
      </c>
      <c r="U15" s="155">
        <f t="shared" si="31"/>
        <v>0</v>
      </c>
      <c r="V15" s="155">
        <f t="shared" si="31"/>
        <v>0</v>
      </c>
      <c r="W15" s="155">
        <f t="shared" si="31"/>
        <v>0</v>
      </c>
      <c r="X15" s="155">
        <f t="shared" si="31"/>
        <v>0</v>
      </c>
      <c r="Y15" s="155">
        <f t="shared" si="31"/>
        <v>0</v>
      </c>
      <c r="Z15" s="155">
        <f t="shared" si="31"/>
        <v>0</v>
      </c>
      <c r="AA15" s="155">
        <f t="shared" si="31"/>
        <v>0</v>
      </c>
      <c r="AB15" s="155">
        <f t="shared" si="31"/>
        <v>0</v>
      </c>
      <c r="AC15" s="138">
        <f t="shared" si="19"/>
        <v>-1</v>
      </c>
      <c r="AD15" s="31">
        <f t="shared" si="17"/>
        <v>0.08</v>
      </c>
      <c r="AE15" s="146">
        <f t="shared" si="1"/>
        <v>0</v>
      </c>
    </row>
    <row r="16" spans="2:31">
      <c r="B16" s="20"/>
      <c r="C16" s="141"/>
      <c r="D16" s="141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28"/>
      <c r="R16" s="20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39"/>
      <c r="AD16" s="137"/>
      <c r="AE16" s="155"/>
    </row>
    <row r="17" spans="2:31">
      <c r="B17" s="20" t="s">
        <v>278</v>
      </c>
      <c r="C17" s="141"/>
      <c r="D17" s="141"/>
      <c r="E17" s="147"/>
      <c r="F17" s="147">
        <v>18</v>
      </c>
      <c r="G17" s="147">
        <v>24</v>
      </c>
      <c r="H17" s="147">
        <v>25</v>
      </c>
      <c r="I17" s="147">
        <v>24</v>
      </c>
      <c r="J17" s="147">
        <v>30</v>
      </c>
      <c r="K17" s="147">
        <v>30</v>
      </c>
      <c r="L17" s="147"/>
      <c r="M17" s="147"/>
      <c r="N17" s="147"/>
      <c r="O17" s="147"/>
      <c r="P17" s="147"/>
      <c r="Q17" s="118">
        <f>((P17/G17)^(1/($H$2-$H$1) ))-1</f>
        <v>-1</v>
      </c>
      <c r="R17" s="31">
        <f t="shared" si="6"/>
        <v>0.12</v>
      </c>
      <c r="S17" s="155">
        <f t="shared" ref="S17:S32" si="32">P17*(1+$R17)</f>
        <v>0</v>
      </c>
      <c r="T17" s="155">
        <f t="shared" ref="T17:T32" si="33">S17*(1+$R17)</f>
        <v>0</v>
      </c>
      <c r="U17" s="155">
        <f t="shared" ref="U17:U32" si="34">T17*(1+$R17)</f>
        <v>0</v>
      </c>
      <c r="V17" s="155">
        <f t="shared" ref="V17:V32" si="35">U17*(1+$R17)</f>
        <v>0</v>
      </c>
      <c r="W17" s="155">
        <f t="shared" ref="W17:W34" si="36">V17*(1+$R17)</f>
        <v>0</v>
      </c>
      <c r="X17" s="155">
        <f t="shared" ref="X17:X34" si="37">W17*(1+$R17)</f>
        <v>0</v>
      </c>
      <c r="Y17" s="155">
        <f t="shared" ref="Y17:Y34" si="38">X17*(1+$R17)</f>
        <v>0</v>
      </c>
      <c r="Z17" s="155">
        <f t="shared" ref="Z17:Z34" si="39">Y17*(1+$R17)</f>
        <v>0</v>
      </c>
      <c r="AA17" s="155">
        <f t="shared" ref="AA17:AA34" si="40">Z17*(1+$R17)</f>
        <v>0</v>
      </c>
      <c r="AB17" s="155">
        <f t="shared" ref="AB17:AB34" si="41">AA17*(1+$R17)</f>
        <v>0</v>
      </c>
      <c r="AC17" s="138">
        <f t="shared" si="19"/>
        <v>-1</v>
      </c>
      <c r="AD17" s="31">
        <f t="shared" si="17"/>
        <v>0.08</v>
      </c>
      <c r="AE17" s="146">
        <f t="shared" si="1"/>
        <v>0</v>
      </c>
    </row>
    <row r="18" spans="2:31">
      <c r="B18" s="20"/>
      <c r="C18" s="141"/>
      <c r="D18" s="141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28"/>
      <c r="R18" s="20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39"/>
      <c r="AD18" s="137"/>
      <c r="AE18" s="155"/>
    </row>
    <row r="19" spans="2:31">
      <c r="B19" s="20" t="s">
        <v>284</v>
      </c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18" t="e">
        <f>((P19/G19)^(1/($H$2-$H$1) ))-1</f>
        <v>#DIV/0!</v>
      </c>
      <c r="R19" s="31">
        <f t="shared" si="6"/>
        <v>0.12</v>
      </c>
      <c r="S19" s="155">
        <f t="shared" ref="S19:S21" si="42">P19*(1+$R19)</f>
        <v>0</v>
      </c>
      <c r="T19" s="155">
        <f t="shared" ref="T19:T21" si="43">S19*(1+$R19)</f>
        <v>0</v>
      </c>
      <c r="U19" s="155">
        <f t="shared" ref="U19:U21" si="44">T19*(1+$R19)</f>
        <v>0</v>
      </c>
      <c r="V19" s="155">
        <f t="shared" ref="V19:V21" si="45">U19*(1+$R19)</f>
        <v>0</v>
      </c>
      <c r="W19" s="155">
        <f t="shared" ref="W19:W21" si="46">V19*(1+$R19)</f>
        <v>0</v>
      </c>
      <c r="X19" s="155">
        <f t="shared" ref="X19:X21" si="47">W19*(1+$R19)</f>
        <v>0</v>
      </c>
      <c r="Y19" s="155">
        <f t="shared" ref="Y19:Y21" si="48">X19*(1+$R19)</f>
        <v>0</v>
      </c>
      <c r="Z19" s="155">
        <f t="shared" ref="Z19:Z21" si="49">Y19*(1+$R19)</f>
        <v>0</v>
      </c>
      <c r="AA19" s="155">
        <f t="shared" ref="AA19:AA21" si="50">Z19*(1+$R19)</f>
        <v>0</v>
      </c>
      <c r="AB19" s="155">
        <f t="shared" ref="AB19:AB21" si="51">AA19*(1+$R19)</f>
        <v>0</v>
      </c>
      <c r="AC19" s="138" t="e">
        <f t="shared" ref="AC19:AC21" si="52">((AB19/G19)^(1/($AB$3-$H$1) ))-1</f>
        <v>#DIV/0!</v>
      </c>
      <c r="AD19" s="31">
        <f t="shared" si="17"/>
        <v>0.08</v>
      </c>
      <c r="AE19" s="146">
        <f t="shared" si="1"/>
        <v>0</v>
      </c>
    </row>
    <row r="20" spans="2:31">
      <c r="B20" s="20" t="s">
        <v>285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0.12</v>
      </c>
      <c r="S20" s="155">
        <f t="shared" si="42"/>
        <v>0</v>
      </c>
      <c r="T20" s="155">
        <f t="shared" si="43"/>
        <v>0</v>
      </c>
      <c r="U20" s="155">
        <f t="shared" si="44"/>
        <v>0</v>
      </c>
      <c r="V20" s="155">
        <f t="shared" si="45"/>
        <v>0</v>
      </c>
      <c r="W20" s="155">
        <f t="shared" si="46"/>
        <v>0</v>
      </c>
      <c r="X20" s="155">
        <f t="shared" si="47"/>
        <v>0</v>
      </c>
      <c r="Y20" s="155">
        <f t="shared" si="48"/>
        <v>0</v>
      </c>
      <c r="Z20" s="155">
        <f t="shared" si="49"/>
        <v>0</v>
      </c>
      <c r="AA20" s="155">
        <f t="shared" si="50"/>
        <v>0</v>
      </c>
      <c r="AB20" s="155">
        <f t="shared" si="51"/>
        <v>0</v>
      </c>
      <c r="AC20" s="138" t="e">
        <f t="shared" si="52"/>
        <v>#DIV/0!</v>
      </c>
      <c r="AD20" s="31">
        <f t="shared" si="17"/>
        <v>0.08</v>
      </c>
      <c r="AE20" s="146">
        <f t="shared" si="1"/>
        <v>0</v>
      </c>
    </row>
    <row r="21" spans="2:31">
      <c r="B21" s="20" t="s">
        <v>286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0.12</v>
      </c>
      <c r="S21" s="155">
        <f t="shared" si="42"/>
        <v>0</v>
      </c>
      <c r="T21" s="155">
        <f t="shared" si="43"/>
        <v>0</v>
      </c>
      <c r="U21" s="155">
        <f t="shared" si="44"/>
        <v>0</v>
      </c>
      <c r="V21" s="155">
        <f t="shared" si="45"/>
        <v>0</v>
      </c>
      <c r="W21" s="155">
        <f t="shared" si="46"/>
        <v>0</v>
      </c>
      <c r="X21" s="155">
        <f t="shared" si="47"/>
        <v>0</v>
      </c>
      <c r="Y21" s="155">
        <f t="shared" si="48"/>
        <v>0</v>
      </c>
      <c r="Z21" s="155">
        <f t="shared" si="49"/>
        <v>0</v>
      </c>
      <c r="AA21" s="155">
        <f t="shared" si="50"/>
        <v>0</v>
      </c>
      <c r="AB21" s="155">
        <f t="shared" si="51"/>
        <v>0</v>
      </c>
      <c r="AC21" s="138" t="e">
        <f t="shared" si="52"/>
        <v>#DIV/0!</v>
      </c>
      <c r="AD21" s="31">
        <f t="shared" si="17"/>
        <v>0.08</v>
      </c>
      <c r="AE21" s="146">
        <f t="shared" si="1"/>
        <v>0</v>
      </c>
    </row>
    <row r="22" spans="2:31">
      <c r="B22" s="20" t="s">
        <v>296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0.12</v>
      </c>
      <c r="S22" s="155">
        <f t="shared" ref="S22" si="53">P22*(1+$R22)</f>
        <v>0</v>
      </c>
      <c r="T22" s="155">
        <f t="shared" ref="T22" si="54">S22*(1+$R22)</f>
        <v>0</v>
      </c>
      <c r="U22" s="155">
        <f t="shared" ref="U22" si="55">T22*(1+$R22)</f>
        <v>0</v>
      </c>
      <c r="V22" s="155">
        <f t="shared" ref="V22" si="56">U22*(1+$R22)</f>
        <v>0</v>
      </c>
      <c r="W22" s="155">
        <f t="shared" ref="W22" si="57">V22*(1+$R22)</f>
        <v>0</v>
      </c>
      <c r="X22" s="155">
        <f t="shared" ref="X22" si="58">W22*(1+$R22)</f>
        <v>0</v>
      </c>
      <c r="Y22" s="155">
        <f t="shared" ref="Y22" si="59">X22*(1+$R22)</f>
        <v>0</v>
      </c>
      <c r="Z22" s="155">
        <f t="shared" ref="Z22" si="60">Y22*(1+$R22)</f>
        <v>0</v>
      </c>
      <c r="AA22" s="155">
        <f t="shared" ref="AA22" si="61">Z22*(1+$R22)</f>
        <v>0</v>
      </c>
      <c r="AB22" s="155">
        <f t="shared" ref="AB22" si="62">AA22*(1+$R22)</f>
        <v>0</v>
      </c>
      <c r="AC22" s="138" t="e">
        <f t="shared" ref="AC22" si="63">((AB22/G22)^(1/($AB$3-$H$1) ))-1</f>
        <v>#DIV/0!</v>
      </c>
      <c r="AD22" s="31">
        <f t="shared" si="17"/>
        <v>0.08</v>
      </c>
      <c r="AE22" s="146">
        <f t="shared" si="1"/>
        <v>0</v>
      </c>
    </row>
    <row r="23" spans="2:31">
      <c r="B23" s="20"/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28"/>
      <c r="R23" s="20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19"/>
      <c r="AD23" s="137"/>
      <c r="AE23" s="155"/>
    </row>
    <row r="24" spans="2:31">
      <c r="B24" s="20" t="s">
        <v>89</v>
      </c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18" t="e">
        <f>((P24/G24)^(1/($H$2-$H$1) ))-1</f>
        <v>#DIV/0!</v>
      </c>
      <c r="R24" s="31">
        <f t="shared" si="6"/>
        <v>0.12</v>
      </c>
      <c r="S24" s="155">
        <f t="shared" si="32"/>
        <v>0</v>
      </c>
      <c r="T24" s="155">
        <f t="shared" si="33"/>
        <v>0</v>
      </c>
      <c r="U24" s="155">
        <f t="shared" si="34"/>
        <v>0</v>
      </c>
      <c r="V24" s="155">
        <f t="shared" si="35"/>
        <v>0</v>
      </c>
      <c r="W24" s="155">
        <f t="shared" si="36"/>
        <v>0</v>
      </c>
      <c r="X24" s="155">
        <f t="shared" si="37"/>
        <v>0</v>
      </c>
      <c r="Y24" s="155">
        <f t="shared" si="38"/>
        <v>0</v>
      </c>
      <c r="Z24" s="155">
        <f t="shared" si="39"/>
        <v>0</v>
      </c>
      <c r="AA24" s="155">
        <f t="shared" si="40"/>
        <v>0</v>
      </c>
      <c r="AB24" s="155">
        <f t="shared" si="41"/>
        <v>0</v>
      </c>
      <c r="AC24" s="138" t="e">
        <f t="shared" si="19"/>
        <v>#DIV/0!</v>
      </c>
      <c r="AD24" s="31">
        <f t="shared" si="17"/>
        <v>0.08</v>
      </c>
      <c r="AE24" s="146">
        <f t="shared" si="1"/>
        <v>0</v>
      </c>
    </row>
    <row r="25" spans="2:31" s="123" customFormat="1">
      <c r="B25" s="23"/>
      <c r="C25" s="150"/>
      <c r="D25" s="150"/>
      <c r="E25" s="151"/>
      <c r="F25" s="151"/>
      <c r="G25" s="149" t="e">
        <f>(G24-F24)/G24</f>
        <v>#DIV/0!</v>
      </c>
      <c r="H25" s="149" t="e">
        <f>(H24-G24)/H24</f>
        <v>#DIV/0!</v>
      </c>
      <c r="I25" s="149" t="e">
        <f t="shared" ref="I25" si="64">(I24-H24)/I24</f>
        <v>#DIV/0!</v>
      </c>
      <c r="J25" s="149" t="e">
        <f t="shared" ref="J25" si="65">(J24-I24)/J24</f>
        <v>#DIV/0!</v>
      </c>
      <c r="K25" s="149" t="e">
        <f t="shared" ref="K25" si="66">(K24-J24)/K24</f>
        <v>#DIV/0!</v>
      </c>
      <c r="L25" s="149" t="e">
        <f t="shared" ref="L25" si="67">(L24-K24)/L24</f>
        <v>#DIV/0!</v>
      </c>
      <c r="M25" s="149" t="e">
        <f t="shared" ref="M25" si="68">(M24-L24)/M24</f>
        <v>#DIV/0!</v>
      </c>
      <c r="N25" s="149" t="e">
        <f t="shared" ref="N25" si="69">(N24-M24)/N24</f>
        <v>#DIV/0!</v>
      </c>
      <c r="O25" s="149" t="e">
        <f t="shared" ref="O25" si="70">(O24-N24)/O24</f>
        <v>#DIV/0!</v>
      </c>
      <c r="P25" s="149" t="e">
        <f t="shared" ref="P25" si="71">(P24-O24)/P24</f>
        <v>#DIV/0!</v>
      </c>
      <c r="Q25" s="128"/>
      <c r="R25" s="20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19"/>
      <c r="AD25" s="137"/>
      <c r="AE25" s="155"/>
    </row>
    <row r="26" spans="2:31">
      <c r="B26" s="20" t="s">
        <v>262</v>
      </c>
      <c r="C26" s="141"/>
      <c r="D26" s="141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18" t="e">
        <f>((P26/G26)^(1/($H$2-$H$1) ))-1</f>
        <v>#DIV/0!</v>
      </c>
      <c r="R26" s="31">
        <f t="shared" si="6"/>
        <v>0.12</v>
      </c>
      <c r="S26" s="155">
        <f t="shared" si="32"/>
        <v>0</v>
      </c>
      <c r="T26" s="155">
        <f t="shared" si="33"/>
        <v>0</v>
      </c>
      <c r="U26" s="155">
        <f t="shared" si="34"/>
        <v>0</v>
      </c>
      <c r="V26" s="155">
        <f t="shared" si="35"/>
        <v>0</v>
      </c>
      <c r="W26" s="155">
        <f t="shared" si="36"/>
        <v>0</v>
      </c>
      <c r="X26" s="155">
        <f t="shared" si="37"/>
        <v>0</v>
      </c>
      <c r="Y26" s="155">
        <f t="shared" si="38"/>
        <v>0</v>
      </c>
      <c r="Z26" s="155">
        <f t="shared" si="39"/>
        <v>0</v>
      </c>
      <c r="AA26" s="155">
        <f t="shared" si="40"/>
        <v>0</v>
      </c>
      <c r="AB26" s="155">
        <f t="shared" si="41"/>
        <v>0</v>
      </c>
      <c r="AC26" s="138" t="e">
        <f t="shared" si="19"/>
        <v>#DIV/0!</v>
      </c>
      <c r="AD26" s="31">
        <f t="shared" si="17"/>
        <v>0.08</v>
      </c>
      <c r="AE26" s="146">
        <f t="shared" si="1"/>
        <v>0</v>
      </c>
    </row>
    <row r="27" spans="2:31" s="123" customFormat="1">
      <c r="B27" s="23"/>
      <c r="C27" s="150"/>
      <c r="D27" s="150"/>
      <c r="E27" s="151"/>
      <c r="F27" s="151"/>
      <c r="G27" s="149" t="e">
        <f t="shared" ref="G27:P27" si="72">(G26-F26)/G26</f>
        <v>#DIV/0!</v>
      </c>
      <c r="H27" s="149" t="e">
        <f t="shared" si="72"/>
        <v>#DIV/0!</v>
      </c>
      <c r="I27" s="149" t="e">
        <f t="shared" si="72"/>
        <v>#DIV/0!</v>
      </c>
      <c r="J27" s="149" t="e">
        <f t="shared" si="72"/>
        <v>#DIV/0!</v>
      </c>
      <c r="K27" s="149" t="e">
        <f t="shared" si="72"/>
        <v>#DIV/0!</v>
      </c>
      <c r="L27" s="149" t="e">
        <f t="shared" si="72"/>
        <v>#DIV/0!</v>
      </c>
      <c r="M27" s="149" t="e">
        <f t="shared" si="72"/>
        <v>#DIV/0!</v>
      </c>
      <c r="N27" s="149" t="e">
        <f t="shared" si="72"/>
        <v>#DIV/0!</v>
      </c>
      <c r="O27" s="149" t="e">
        <f t="shared" si="72"/>
        <v>#DIV/0!</v>
      </c>
      <c r="P27" s="149" t="e">
        <f t="shared" si="72"/>
        <v>#DIV/0!</v>
      </c>
      <c r="Q27" s="128"/>
      <c r="R27" s="20"/>
      <c r="S27" s="156"/>
      <c r="T27" s="156"/>
      <c r="U27" s="156"/>
      <c r="V27" s="156"/>
      <c r="W27" s="156"/>
      <c r="X27" s="156"/>
      <c r="Y27" s="156"/>
      <c r="Z27" s="156"/>
      <c r="AA27" s="156"/>
      <c r="AB27" s="156"/>
      <c r="AC27" s="119"/>
      <c r="AD27" s="137"/>
      <c r="AE27" s="155"/>
    </row>
    <row r="28" spans="2:31" s="123" customFormat="1">
      <c r="B28" s="20" t="s">
        <v>330</v>
      </c>
      <c r="C28" s="150"/>
      <c r="D28" s="150"/>
      <c r="E28" s="151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18" t="e">
        <f>((P28/G28)^(1/($H$2-$H$1) ))-1</f>
        <v>#DIV/0!</v>
      </c>
      <c r="R28" s="31">
        <f t="shared" si="6"/>
        <v>0.12</v>
      </c>
      <c r="S28" s="155">
        <f t="shared" ref="S28" si="73">P28*(1+$R28)</f>
        <v>0</v>
      </c>
      <c r="T28" s="155">
        <f t="shared" ref="T28" si="74">S28*(1+$R28)</f>
        <v>0</v>
      </c>
      <c r="U28" s="155">
        <f t="shared" ref="U28" si="75">T28*(1+$R28)</f>
        <v>0</v>
      </c>
      <c r="V28" s="155">
        <f t="shared" ref="V28" si="76">U28*(1+$R28)</f>
        <v>0</v>
      </c>
      <c r="W28" s="155">
        <f t="shared" ref="W28" si="77">V28*(1+$R28)</f>
        <v>0</v>
      </c>
      <c r="X28" s="155">
        <f t="shared" ref="X28" si="78">W28*(1+$R28)</f>
        <v>0</v>
      </c>
      <c r="Y28" s="155">
        <f t="shared" ref="Y28" si="79">X28*(1+$R28)</f>
        <v>0</v>
      </c>
      <c r="Z28" s="155">
        <f t="shared" ref="Z28" si="80">Y28*(1+$R28)</f>
        <v>0</v>
      </c>
      <c r="AA28" s="155">
        <f t="shared" ref="AA28" si="81">Z28*(1+$R28)</f>
        <v>0</v>
      </c>
      <c r="AB28" s="155">
        <f t="shared" ref="AB28" si="82">AA28*(1+$R28)</f>
        <v>0</v>
      </c>
      <c r="AC28" s="138" t="e">
        <f t="shared" ref="AC28" si="83">((AB28/G28)^(1/($AB$3-$H$1) ))-1</f>
        <v>#DIV/0!</v>
      </c>
      <c r="AD28" s="31">
        <f t="shared" si="17"/>
        <v>0.08</v>
      </c>
      <c r="AE28" s="146">
        <f t="shared" ref="AE28" si="84">(AB28*(1+AD28))/($C$1-AD28)</f>
        <v>0</v>
      </c>
    </row>
    <row r="29" spans="2:31" s="123" customFormat="1">
      <c r="B29" s="23"/>
      <c r="C29" s="150"/>
      <c r="D29" s="150"/>
      <c r="E29" s="151"/>
      <c r="F29" s="151"/>
      <c r="G29" s="149" t="e">
        <f t="shared" ref="G29:P29" si="85">(G28-F28)/G28</f>
        <v>#DIV/0!</v>
      </c>
      <c r="H29" s="149" t="e">
        <f t="shared" si="85"/>
        <v>#DIV/0!</v>
      </c>
      <c r="I29" s="149" t="e">
        <f t="shared" si="85"/>
        <v>#DIV/0!</v>
      </c>
      <c r="J29" s="149" t="e">
        <f t="shared" si="85"/>
        <v>#DIV/0!</v>
      </c>
      <c r="K29" s="149" t="e">
        <f t="shared" si="85"/>
        <v>#DIV/0!</v>
      </c>
      <c r="L29" s="149" t="e">
        <f t="shared" si="85"/>
        <v>#DIV/0!</v>
      </c>
      <c r="M29" s="149" t="e">
        <f t="shared" si="85"/>
        <v>#DIV/0!</v>
      </c>
      <c r="N29" s="149" t="e">
        <f t="shared" si="85"/>
        <v>#DIV/0!</v>
      </c>
      <c r="O29" s="149" t="e">
        <f t="shared" si="85"/>
        <v>#DIV/0!</v>
      </c>
      <c r="P29" s="149" t="e">
        <f t="shared" si="85"/>
        <v>#DIV/0!</v>
      </c>
      <c r="Q29" s="128"/>
      <c r="R29" s="20"/>
      <c r="S29" s="156"/>
      <c r="T29" s="156"/>
      <c r="U29" s="156"/>
      <c r="V29" s="156"/>
      <c r="W29" s="156"/>
      <c r="X29" s="156"/>
      <c r="Y29" s="156"/>
      <c r="Z29" s="156"/>
      <c r="AA29" s="156"/>
      <c r="AB29" s="156"/>
      <c r="AC29" s="164"/>
      <c r="AD29" s="137"/>
      <c r="AE29" s="155"/>
    </row>
    <row r="30" spans="2:31">
      <c r="B30" s="20" t="s">
        <v>300</v>
      </c>
      <c r="C30" s="141"/>
      <c r="D30" s="141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18" t="e">
        <f>((P30/G30)^(1/($H$2-$H$1) ))-1</f>
        <v>#DIV/0!</v>
      </c>
      <c r="R30" s="31">
        <f t="shared" si="6"/>
        <v>0.12</v>
      </c>
      <c r="S30" s="155">
        <f t="shared" si="32"/>
        <v>0</v>
      </c>
      <c r="T30" s="155" t="e">
        <f t="shared" ref="T30" si="86">Q30*(1+$R30)</f>
        <v>#DIV/0!</v>
      </c>
      <c r="U30" s="155">
        <f t="shared" ref="U30" si="87">R30*(1+$R30)</f>
        <v>0.13440000000000002</v>
      </c>
      <c r="V30" s="155">
        <f t="shared" ref="V30" si="88">S30*(1+$R30)</f>
        <v>0</v>
      </c>
      <c r="W30" s="155" t="e">
        <f t="shared" ref="W30" si="89">T30*(1+$R30)</f>
        <v>#DIV/0!</v>
      </c>
      <c r="X30" s="155">
        <f t="shared" ref="X30" si="90">U30*(1+$R30)</f>
        <v>0.15052800000000002</v>
      </c>
      <c r="Y30" s="155">
        <f t="shared" ref="Y30" si="91">V30*(1+$R30)</f>
        <v>0</v>
      </c>
      <c r="Z30" s="155" t="e">
        <f t="shared" ref="Z30" si="92">W30*(1+$R30)</f>
        <v>#DIV/0!</v>
      </c>
      <c r="AA30" s="155">
        <f t="shared" ref="AA30" si="93">X30*(1+$R30)</f>
        <v>0.16859136000000005</v>
      </c>
      <c r="AB30" s="155">
        <f t="shared" ref="AB30" si="94">Y30*(1+$R30)</f>
        <v>0</v>
      </c>
      <c r="AC30" s="138" t="e">
        <f t="shared" ref="AC30" si="95">((AB30/G30)^(1/($AB$3-$H$1) ))-1</f>
        <v>#DIV/0!</v>
      </c>
      <c r="AD30" s="31">
        <f t="shared" si="17"/>
        <v>0.08</v>
      </c>
      <c r="AE30" s="146">
        <f t="shared" si="1"/>
        <v>0</v>
      </c>
    </row>
    <row r="31" spans="2:31">
      <c r="B31" s="20" t="s">
        <v>320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0.12</v>
      </c>
      <c r="S31" s="155">
        <f t="shared" si="32"/>
        <v>0</v>
      </c>
      <c r="T31" s="155">
        <f t="shared" si="33"/>
        <v>0</v>
      </c>
      <c r="U31" s="155">
        <f t="shared" si="34"/>
        <v>0</v>
      </c>
      <c r="V31" s="155">
        <f t="shared" si="35"/>
        <v>0</v>
      </c>
      <c r="W31" s="155">
        <f t="shared" si="36"/>
        <v>0</v>
      </c>
      <c r="X31" s="155">
        <f t="shared" si="37"/>
        <v>0</v>
      </c>
      <c r="Y31" s="155">
        <f t="shared" si="38"/>
        <v>0</v>
      </c>
      <c r="Z31" s="155">
        <f t="shared" si="39"/>
        <v>0</v>
      </c>
      <c r="AA31" s="155">
        <f t="shared" si="40"/>
        <v>0</v>
      </c>
      <c r="AB31" s="155">
        <f t="shared" si="41"/>
        <v>0</v>
      </c>
      <c r="AC31" s="138" t="e">
        <f t="shared" si="19"/>
        <v>#DIV/0!</v>
      </c>
      <c r="AD31" s="31">
        <f t="shared" si="17"/>
        <v>0.08</v>
      </c>
      <c r="AE31" s="146">
        <f t="shared" si="1"/>
        <v>0</v>
      </c>
    </row>
    <row r="32" spans="2:31">
      <c r="B32" s="20" t="s">
        <v>311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0.12</v>
      </c>
      <c r="S32" s="155">
        <f t="shared" si="32"/>
        <v>0</v>
      </c>
      <c r="T32" s="155">
        <f t="shared" si="33"/>
        <v>0</v>
      </c>
      <c r="U32" s="155">
        <f t="shared" si="34"/>
        <v>0</v>
      </c>
      <c r="V32" s="155">
        <f t="shared" si="35"/>
        <v>0</v>
      </c>
      <c r="W32" s="155">
        <f t="shared" si="36"/>
        <v>0</v>
      </c>
      <c r="X32" s="155">
        <f t="shared" si="37"/>
        <v>0</v>
      </c>
      <c r="Y32" s="155">
        <f t="shared" si="38"/>
        <v>0</v>
      </c>
      <c r="Z32" s="155">
        <f t="shared" si="39"/>
        <v>0</v>
      </c>
      <c r="AA32" s="155">
        <f t="shared" si="40"/>
        <v>0</v>
      </c>
      <c r="AB32" s="155">
        <f t="shared" si="41"/>
        <v>0</v>
      </c>
      <c r="AC32" s="138" t="e">
        <f t="shared" si="19"/>
        <v>#DIV/0!</v>
      </c>
      <c r="AD32" s="31">
        <f t="shared" si="17"/>
        <v>0.08</v>
      </c>
      <c r="AE32" s="146">
        <f t="shared" si="1"/>
        <v>0</v>
      </c>
    </row>
    <row r="33" spans="2:31">
      <c r="B33" s="20"/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28"/>
      <c r="R33" s="20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39"/>
      <c r="AD33" s="137"/>
      <c r="AE33" s="155"/>
    </row>
    <row r="34" spans="2:31">
      <c r="B34" s="20" t="s">
        <v>279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18" t="e">
        <f>((P34/G34)^(1/($H$2-$H$1) ))-1</f>
        <v>#DIV/0!</v>
      </c>
      <c r="R34" s="31">
        <f t="shared" si="6"/>
        <v>0.12</v>
      </c>
      <c r="S34" s="155">
        <f t="shared" ref="S34" si="96">P34*(1+$R34)</f>
        <v>0</v>
      </c>
      <c r="T34" s="155">
        <f t="shared" ref="T34" si="97">S34*(1+$R34)</f>
        <v>0</v>
      </c>
      <c r="U34" s="155">
        <f t="shared" ref="U34" si="98">T34*(1+$R34)</f>
        <v>0</v>
      </c>
      <c r="V34" s="155">
        <f t="shared" ref="V34" si="99">U34*(1+$R34)</f>
        <v>0</v>
      </c>
      <c r="W34" s="155">
        <f t="shared" si="36"/>
        <v>0</v>
      </c>
      <c r="X34" s="155">
        <f t="shared" si="37"/>
        <v>0</v>
      </c>
      <c r="Y34" s="155">
        <f t="shared" si="38"/>
        <v>0</v>
      </c>
      <c r="Z34" s="155">
        <f t="shared" si="39"/>
        <v>0</v>
      </c>
      <c r="AA34" s="155">
        <f t="shared" si="40"/>
        <v>0</v>
      </c>
      <c r="AB34" s="155">
        <f t="shared" si="41"/>
        <v>0</v>
      </c>
      <c r="AC34" s="138" t="e">
        <f t="shared" si="19"/>
        <v>#DIV/0!</v>
      </c>
      <c r="AD34" s="31">
        <f t="shared" si="17"/>
        <v>0.08</v>
      </c>
      <c r="AE34" s="146">
        <f t="shared" si="1"/>
        <v>0</v>
      </c>
    </row>
    <row r="35" spans="2:31" s="123" customFormat="1">
      <c r="B35" s="23"/>
      <c r="C35" s="150"/>
      <c r="D35" s="150"/>
      <c r="E35" s="151"/>
      <c r="F35" s="151"/>
      <c r="G35" s="149" t="e">
        <f>(G34-F34)/G34</f>
        <v>#DIV/0!</v>
      </c>
      <c r="H35" s="149" t="e">
        <f>(H34-G34)/H34</f>
        <v>#DIV/0!</v>
      </c>
      <c r="I35" s="149" t="e">
        <f t="shared" ref="I35" si="100">(I34-H34)/I34</f>
        <v>#DIV/0!</v>
      </c>
      <c r="J35" s="149" t="e">
        <f t="shared" ref="J35" si="101">(J34-I34)/J34</f>
        <v>#DIV/0!</v>
      </c>
      <c r="K35" s="149" t="e">
        <f t="shared" ref="K35" si="102">(K34-J34)/K34</f>
        <v>#DIV/0!</v>
      </c>
      <c r="L35" s="149" t="e">
        <f t="shared" ref="L35" si="103">(L34-K34)/L34</f>
        <v>#DIV/0!</v>
      </c>
      <c r="M35" s="149" t="e">
        <f t="shared" ref="M35" si="104">(M34-L34)/M34</f>
        <v>#DIV/0!</v>
      </c>
      <c r="N35" s="149" t="e">
        <f t="shared" ref="N35" si="105">(N34-M34)/N34</f>
        <v>#DIV/0!</v>
      </c>
      <c r="O35" s="149" t="e">
        <f t="shared" ref="O35" si="106">(O34-N34)/O34</f>
        <v>#DIV/0!</v>
      </c>
      <c r="P35" s="149" t="e">
        <f t="shared" ref="P35" si="107">(P34-O34)/P34</f>
        <v>#DIV/0!</v>
      </c>
      <c r="Q35" s="128"/>
      <c r="R35" s="20"/>
      <c r="S35" s="156"/>
      <c r="T35" s="156"/>
      <c r="U35" s="156"/>
      <c r="V35" s="156"/>
      <c r="W35" s="156"/>
      <c r="X35" s="156"/>
      <c r="Y35" s="156"/>
      <c r="Z35" s="156"/>
      <c r="AA35" s="156"/>
      <c r="AB35" s="156"/>
      <c r="AC35" s="139"/>
      <c r="AD35" s="137"/>
      <c r="AE35" s="157"/>
    </row>
    <row r="36" spans="2:31">
      <c r="B36" s="20" t="s">
        <v>257</v>
      </c>
      <c r="C36" s="141"/>
      <c r="D36" s="141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18" t="e">
        <f>((P36/G36)^(1/($H$2-$H$1) ))-1</f>
        <v>#DIV/0!</v>
      </c>
      <c r="R36" s="31">
        <f t="shared" si="6"/>
        <v>0.12</v>
      </c>
      <c r="S36" s="155">
        <f>P36*(1+$R36)</f>
        <v>0</v>
      </c>
      <c r="T36" s="155">
        <f t="shared" ref="T36:AB36" si="108">S36*(1+$R36)</f>
        <v>0</v>
      </c>
      <c r="U36" s="155">
        <f t="shared" si="108"/>
        <v>0</v>
      </c>
      <c r="V36" s="155">
        <f t="shared" si="108"/>
        <v>0</v>
      </c>
      <c r="W36" s="155">
        <f t="shared" si="108"/>
        <v>0</v>
      </c>
      <c r="X36" s="155">
        <f t="shared" si="108"/>
        <v>0</v>
      </c>
      <c r="Y36" s="155">
        <f t="shared" si="108"/>
        <v>0</v>
      </c>
      <c r="Z36" s="155">
        <f t="shared" si="108"/>
        <v>0</v>
      </c>
      <c r="AA36" s="155">
        <f t="shared" si="108"/>
        <v>0</v>
      </c>
      <c r="AB36" s="155">
        <f t="shared" si="108"/>
        <v>0</v>
      </c>
      <c r="AC36" s="138" t="e">
        <f t="shared" si="19"/>
        <v>#DIV/0!</v>
      </c>
      <c r="AD36" s="31">
        <f t="shared" si="17"/>
        <v>0.08</v>
      </c>
      <c r="AE36" s="146">
        <f t="shared" si="1"/>
        <v>0</v>
      </c>
    </row>
    <row r="37" spans="2:31" s="123" customFormat="1">
      <c r="B37" s="23"/>
      <c r="C37" s="150"/>
      <c r="D37" s="150"/>
      <c r="E37" s="151"/>
      <c r="F37" s="151"/>
      <c r="G37" s="149" t="e">
        <f>(G36-F36)/G36</f>
        <v>#DIV/0!</v>
      </c>
      <c r="H37" s="149" t="e">
        <f>(H36-G36)/H36</f>
        <v>#DIV/0!</v>
      </c>
      <c r="I37" s="149" t="e">
        <f t="shared" ref="I37" si="109">(I36-H36)/I36</f>
        <v>#DIV/0!</v>
      </c>
      <c r="J37" s="149" t="e">
        <f t="shared" ref="J37" si="110">(J36-I36)/J36</f>
        <v>#DIV/0!</v>
      </c>
      <c r="K37" s="149" t="e">
        <f t="shared" ref="K37" si="111">(K36-J36)/K36</f>
        <v>#DIV/0!</v>
      </c>
      <c r="L37" s="149" t="e">
        <f t="shared" ref="L37" si="112">(L36-K36)/L36</f>
        <v>#DIV/0!</v>
      </c>
      <c r="M37" s="149" t="e">
        <f t="shared" ref="M37" si="113">(M36-L36)/M36</f>
        <v>#DIV/0!</v>
      </c>
      <c r="N37" s="149" t="e">
        <f t="shared" ref="N37" si="114">(N36-M36)/N36</f>
        <v>#DIV/0!</v>
      </c>
      <c r="O37" s="149" t="e">
        <f t="shared" ref="O37" si="115">(O36-N36)/O36</f>
        <v>#DIV/0!</v>
      </c>
      <c r="P37" s="149" t="e">
        <f t="shared" ref="P37" si="116">(P36-O36)/P36</f>
        <v>#DIV/0!</v>
      </c>
      <c r="Q37" s="128"/>
      <c r="R37" s="20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39"/>
      <c r="AD37" s="137"/>
      <c r="AE37" s="157"/>
    </row>
    <row r="38" spans="2:31">
      <c r="B38" s="20" t="s">
        <v>239</v>
      </c>
      <c r="C38" s="142">
        <v>1</v>
      </c>
      <c r="D38" s="142">
        <v>1</v>
      </c>
      <c r="E38" s="143">
        <v>1</v>
      </c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18" t="e">
        <f>((P38/G38)^(1/($H$2-$H$1) ))-1</f>
        <v>#DIV/0!</v>
      </c>
      <c r="R38" s="31">
        <f t="shared" si="6"/>
        <v>0.12</v>
      </c>
      <c r="S38" s="155">
        <v>100</v>
      </c>
      <c r="T38" s="155">
        <f t="shared" ref="T38:AB38" si="117">S38*(1+$R38)</f>
        <v>112.00000000000001</v>
      </c>
      <c r="U38" s="155">
        <f t="shared" si="117"/>
        <v>125.44000000000003</v>
      </c>
      <c r="V38" s="155">
        <f t="shared" si="117"/>
        <v>140.49280000000005</v>
      </c>
      <c r="W38" s="155">
        <f t="shared" si="117"/>
        <v>157.35193600000005</v>
      </c>
      <c r="X38" s="155">
        <f t="shared" si="117"/>
        <v>176.23416832000007</v>
      </c>
      <c r="Y38" s="155">
        <f t="shared" si="117"/>
        <v>197.38226851840008</v>
      </c>
      <c r="Z38" s="155">
        <f t="shared" si="117"/>
        <v>221.0681407406081</v>
      </c>
      <c r="AA38" s="155">
        <f t="shared" si="117"/>
        <v>247.59631762948109</v>
      </c>
      <c r="AB38" s="155">
        <f t="shared" si="117"/>
        <v>277.30787574501886</v>
      </c>
      <c r="AC38" s="138" t="e">
        <f t="shared" si="19"/>
        <v>#DIV/0!</v>
      </c>
      <c r="AD38" s="31">
        <f t="shared" si="17"/>
        <v>0.08</v>
      </c>
      <c r="AE38" s="146">
        <f t="shared" si="1"/>
        <v>2139.2321843187169</v>
      </c>
    </row>
    <row r="39" spans="2:31">
      <c r="B39" s="20" t="s">
        <v>283</v>
      </c>
      <c r="C39" s="145">
        <v>1</v>
      </c>
      <c r="D39" s="145">
        <v>1</v>
      </c>
      <c r="E39" s="145">
        <v>1</v>
      </c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18" t="e">
        <f>((P39/G39)^(1/($H$2-$H$1) ))-1</f>
        <v>#DIV/0!</v>
      </c>
      <c r="R39" s="31">
        <f t="shared" si="6"/>
        <v>0.12</v>
      </c>
      <c r="S39" s="155">
        <f t="shared" ref="S39" si="118">P39*(1+$R39)</f>
        <v>0</v>
      </c>
      <c r="T39" s="155">
        <f t="shared" ref="T39" si="119">S39*(1+$R39)</f>
        <v>0</v>
      </c>
      <c r="U39" s="155">
        <f t="shared" ref="U39" si="120">T39*(1+$R39)</f>
        <v>0</v>
      </c>
      <c r="V39" s="155">
        <f t="shared" ref="V39" si="121">U39*(1+$R39)</f>
        <v>0</v>
      </c>
      <c r="W39" s="155">
        <f t="shared" ref="W39" si="122">V39*(1+$R39)</f>
        <v>0</v>
      </c>
      <c r="X39" s="155">
        <f t="shared" ref="X39" si="123">W39*(1+$R39)</f>
        <v>0</v>
      </c>
      <c r="Y39" s="155">
        <f t="shared" ref="Y39" si="124">X39*(1+$R39)</f>
        <v>0</v>
      </c>
      <c r="Z39" s="155">
        <f t="shared" ref="Z39" si="125">Y39*(1+$R39)</f>
        <v>0</v>
      </c>
      <c r="AA39" s="155">
        <f t="shared" ref="AA39" si="126">Z39*(1+$R39)</f>
        <v>0</v>
      </c>
      <c r="AB39" s="155">
        <f t="shared" ref="AB39" si="127">AA39*(1+$R39)</f>
        <v>0</v>
      </c>
      <c r="AC39" s="138" t="e">
        <f t="shared" ref="AC39" si="128">((AB39/G39)^(1/($AB$3-$H$1) ))-1</f>
        <v>#DIV/0!</v>
      </c>
      <c r="AD39" s="31">
        <f t="shared" si="17"/>
        <v>0.08</v>
      </c>
      <c r="AE39" s="146">
        <f t="shared" si="1"/>
        <v>0</v>
      </c>
    </row>
    <row r="40" spans="2:31">
      <c r="B40" s="20"/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  <c r="AC40" s="139"/>
      <c r="AD40" s="137"/>
      <c r="AE40" s="155"/>
    </row>
    <row r="41" spans="2:31">
      <c r="B41" s="108" t="s">
        <v>243</v>
      </c>
      <c r="C41" s="20"/>
      <c r="D41" s="20"/>
      <c r="E41" s="127"/>
      <c r="F41" s="127"/>
      <c r="G41" s="127"/>
      <c r="H41" s="20"/>
      <c r="I41" s="20"/>
      <c r="J41" s="20"/>
      <c r="K41" s="20"/>
      <c r="L41" s="20"/>
      <c r="M41" s="20"/>
      <c r="N41" s="20"/>
      <c r="O41" s="20"/>
      <c r="P41" s="20"/>
      <c r="Q41" s="128"/>
      <c r="R41" s="128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5"/>
    </row>
    <row r="42" spans="2:31">
      <c r="B42" s="20" t="s">
        <v>306</v>
      </c>
      <c r="C42" s="133">
        <f t="shared" ref="C42:P42" si="129">C24/C38</f>
        <v>0</v>
      </c>
      <c r="D42" s="133">
        <f t="shared" si="129"/>
        <v>0</v>
      </c>
      <c r="E42" s="133">
        <f t="shared" si="129"/>
        <v>0</v>
      </c>
      <c r="F42" s="133" t="e">
        <f t="shared" si="129"/>
        <v>#DIV/0!</v>
      </c>
      <c r="G42" s="133" t="e">
        <f t="shared" si="129"/>
        <v>#DIV/0!</v>
      </c>
      <c r="H42" s="133" t="e">
        <f t="shared" si="129"/>
        <v>#DIV/0!</v>
      </c>
      <c r="I42" s="133" t="e">
        <f t="shared" si="129"/>
        <v>#DIV/0!</v>
      </c>
      <c r="J42" s="133" t="e">
        <f t="shared" si="129"/>
        <v>#DIV/0!</v>
      </c>
      <c r="K42" s="133" t="e">
        <f t="shared" si="129"/>
        <v>#DIV/0!</v>
      </c>
      <c r="L42" s="133" t="e">
        <f t="shared" si="129"/>
        <v>#DIV/0!</v>
      </c>
      <c r="M42" s="133" t="e">
        <f t="shared" si="129"/>
        <v>#DIV/0!</v>
      </c>
      <c r="N42" s="133" t="e">
        <f t="shared" si="129"/>
        <v>#DIV/0!</v>
      </c>
      <c r="O42" s="133" t="e">
        <f t="shared" si="129"/>
        <v>#DIV/0!</v>
      </c>
      <c r="P42" s="133" t="e">
        <f t="shared" si="129"/>
        <v>#DIV/0!</v>
      </c>
      <c r="Q42" s="118" t="e">
        <f>((P42/G42)^(1/($H$2-$H$1) ))-1</f>
        <v>#DIV/0!</v>
      </c>
      <c r="R42" s="128"/>
      <c r="S42" s="159">
        <f t="shared" ref="S42:AB42" si="130">S24/S38</f>
        <v>0</v>
      </c>
      <c r="T42" s="159">
        <f t="shared" si="130"/>
        <v>0</v>
      </c>
      <c r="U42" s="159">
        <f t="shared" si="130"/>
        <v>0</v>
      </c>
      <c r="V42" s="159">
        <f t="shared" si="130"/>
        <v>0</v>
      </c>
      <c r="W42" s="159">
        <f t="shared" si="130"/>
        <v>0</v>
      </c>
      <c r="X42" s="159">
        <f t="shared" si="130"/>
        <v>0</v>
      </c>
      <c r="Y42" s="159">
        <f t="shared" si="130"/>
        <v>0</v>
      </c>
      <c r="Z42" s="159">
        <f t="shared" si="130"/>
        <v>0</v>
      </c>
      <c r="AA42" s="159">
        <f t="shared" si="130"/>
        <v>0</v>
      </c>
      <c r="AB42" s="159">
        <f t="shared" si="130"/>
        <v>0</v>
      </c>
      <c r="AC42" s="138" t="e">
        <f t="shared" ref="AC42" si="131">((AB42/G42)^(1/($AB$3-$H$1) ))-1</f>
        <v>#DIV/0!</v>
      </c>
      <c r="AD42" s="31">
        <f t="shared" si="17"/>
        <v>0.08</v>
      </c>
      <c r="AE42" s="146">
        <f t="shared" ref="AE42:AE43" si="132">(AB42*(1+AD42))/($C$1-AD42)</f>
        <v>0</v>
      </c>
    </row>
    <row r="43" spans="2:31">
      <c r="B43" s="20" t="s">
        <v>307</v>
      </c>
      <c r="C43" s="133">
        <f t="shared" ref="C43:P43" si="133">C26/C38</f>
        <v>0</v>
      </c>
      <c r="D43" s="133">
        <f t="shared" si="133"/>
        <v>0</v>
      </c>
      <c r="E43" s="133">
        <f t="shared" si="133"/>
        <v>0</v>
      </c>
      <c r="F43" s="133" t="e">
        <f t="shared" si="133"/>
        <v>#DIV/0!</v>
      </c>
      <c r="G43" s="133" t="e">
        <f t="shared" si="133"/>
        <v>#DIV/0!</v>
      </c>
      <c r="H43" s="133" t="e">
        <f t="shared" si="133"/>
        <v>#DIV/0!</v>
      </c>
      <c r="I43" s="133" t="e">
        <f t="shared" si="133"/>
        <v>#DIV/0!</v>
      </c>
      <c r="J43" s="133" t="e">
        <f t="shared" si="133"/>
        <v>#DIV/0!</v>
      </c>
      <c r="K43" s="133" t="e">
        <f t="shared" si="133"/>
        <v>#DIV/0!</v>
      </c>
      <c r="L43" s="133" t="e">
        <f t="shared" si="133"/>
        <v>#DIV/0!</v>
      </c>
      <c r="M43" s="133" t="e">
        <f t="shared" si="133"/>
        <v>#DIV/0!</v>
      </c>
      <c r="N43" s="133" t="e">
        <f t="shared" si="133"/>
        <v>#DIV/0!</v>
      </c>
      <c r="O43" s="133" t="e">
        <f t="shared" si="133"/>
        <v>#DIV/0!</v>
      </c>
      <c r="P43" s="133" t="e">
        <f t="shared" si="133"/>
        <v>#DIV/0!</v>
      </c>
      <c r="Q43" s="118" t="e">
        <f>((P43/G43)^(1/($H$2-$H$1) ))-1</f>
        <v>#DIV/0!</v>
      </c>
      <c r="R43" s="128"/>
      <c r="S43" s="159">
        <f t="shared" ref="S43:AB43" si="134">S26/S38</f>
        <v>0</v>
      </c>
      <c r="T43" s="159">
        <f t="shared" si="134"/>
        <v>0</v>
      </c>
      <c r="U43" s="159">
        <f t="shared" si="134"/>
        <v>0</v>
      </c>
      <c r="V43" s="159">
        <f t="shared" si="134"/>
        <v>0</v>
      </c>
      <c r="W43" s="159">
        <f t="shared" si="134"/>
        <v>0</v>
      </c>
      <c r="X43" s="159">
        <f t="shared" si="134"/>
        <v>0</v>
      </c>
      <c r="Y43" s="159">
        <f t="shared" si="134"/>
        <v>0</v>
      </c>
      <c r="Z43" s="159">
        <f t="shared" si="134"/>
        <v>0</v>
      </c>
      <c r="AA43" s="159">
        <f t="shared" si="134"/>
        <v>0</v>
      </c>
      <c r="AB43" s="159">
        <f t="shared" si="134"/>
        <v>0</v>
      </c>
      <c r="AC43" s="138" t="e">
        <f t="shared" ref="AC43" si="135">((AB43/G43)^(1/($AB$3-$H$1) ))-1</f>
        <v>#DIV/0!</v>
      </c>
      <c r="AD43" s="31">
        <f t="shared" si="17"/>
        <v>0.08</v>
      </c>
      <c r="AE43" s="146">
        <f t="shared" si="132"/>
        <v>0</v>
      </c>
    </row>
    <row r="44" spans="2:31">
      <c r="B44" s="20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28"/>
      <c r="R44" s="128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19"/>
      <c r="AD44" s="137"/>
      <c r="AE44" s="146"/>
    </row>
    <row r="45" spans="2:31">
      <c r="B45" s="20" t="s">
        <v>258</v>
      </c>
      <c r="C45" s="25">
        <f t="shared" ref="C45:P45" si="136">C36/C38</f>
        <v>0</v>
      </c>
      <c r="D45" s="25">
        <f t="shared" si="136"/>
        <v>0</v>
      </c>
      <c r="E45" s="25">
        <f t="shared" si="136"/>
        <v>0</v>
      </c>
      <c r="F45" s="133" t="e">
        <f t="shared" si="136"/>
        <v>#DIV/0!</v>
      </c>
      <c r="G45" s="133" t="e">
        <f t="shared" si="136"/>
        <v>#DIV/0!</v>
      </c>
      <c r="H45" s="133" t="e">
        <f t="shared" si="136"/>
        <v>#DIV/0!</v>
      </c>
      <c r="I45" s="133" t="e">
        <f t="shared" si="136"/>
        <v>#DIV/0!</v>
      </c>
      <c r="J45" s="133" t="e">
        <f t="shared" si="136"/>
        <v>#DIV/0!</v>
      </c>
      <c r="K45" s="133" t="e">
        <f t="shared" si="136"/>
        <v>#DIV/0!</v>
      </c>
      <c r="L45" s="133" t="e">
        <f t="shared" si="136"/>
        <v>#DIV/0!</v>
      </c>
      <c r="M45" s="133" t="e">
        <f t="shared" si="136"/>
        <v>#DIV/0!</v>
      </c>
      <c r="N45" s="133" t="e">
        <f t="shared" si="136"/>
        <v>#DIV/0!</v>
      </c>
      <c r="O45" s="133" t="e">
        <f t="shared" si="136"/>
        <v>#DIV/0!</v>
      </c>
      <c r="P45" s="133" t="e">
        <f t="shared" si="136"/>
        <v>#DIV/0!</v>
      </c>
      <c r="Q45" s="118" t="e">
        <f>((P45/G45)^(1/($H$2-$H$1) ))-1</f>
        <v>#DIV/0!</v>
      </c>
      <c r="R45" s="128"/>
      <c r="S45" s="159">
        <f t="shared" ref="S45:AB45" si="137">S36/S38</f>
        <v>0</v>
      </c>
      <c r="T45" s="159">
        <f t="shared" si="137"/>
        <v>0</v>
      </c>
      <c r="U45" s="159">
        <f t="shared" si="137"/>
        <v>0</v>
      </c>
      <c r="V45" s="159">
        <f t="shared" si="137"/>
        <v>0</v>
      </c>
      <c r="W45" s="159">
        <f t="shared" si="137"/>
        <v>0</v>
      </c>
      <c r="X45" s="159">
        <f t="shared" si="137"/>
        <v>0</v>
      </c>
      <c r="Y45" s="159">
        <f t="shared" si="137"/>
        <v>0</v>
      </c>
      <c r="Z45" s="159">
        <f t="shared" si="137"/>
        <v>0</v>
      </c>
      <c r="AA45" s="159">
        <f t="shared" si="137"/>
        <v>0</v>
      </c>
      <c r="AB45" s="159">
        <f t="shared" si="137"/>
        <v>0</v>
      </c>
      <c r="AC45" s="138" t="e">
        <f t="shared" ref="AC45:AC58" si="138">((AB45/G45)^(1/($AB$3-$H$1) ))-1</f>
        <v>#DIV/0!</v>
      </c>
      <c r="AD45" s="31">
        <f t="shared" si="17"/>
        <v>0.08</v>
      </c>
      <c r="AE45" s="146">
        <f t="shared" ref="AE45:AE72" si="139">(AB45*(1+AD45))/($C$1-AD45)</f>
        <v>0</v>
      </c>
    </row>
    <row r="46" spans="2:31">
      <c r="B46" s="20" t="s">
        <v>245</v>
      </c>
      <c r="C46" s="25">
        <f t="shared" ref="C46:P46" si="140">C7/C38</f>
        <v>0</v>
      </c>
      <c r="D46" s="25">
        <f t="shared" si="140"/>
        <v>0</v>
      </c>
      <c r="E46" s="25">
        <f t="shared" si="140"/>
        <v>0</v>
      </c>
      <c r="F46" s="133" t="e">
        <f t="shared" si="140"/>
        <v>#DIV/0!</v>
      </c>
      <c r="G46" s="133" t="e">
        <f t="shared" si="140"/>
        <v>#DIV/0!</v>
      </c>
      <c r="H46" s="133" t="e">
        <f t="shared" si="140"/>
        <v>#DIV/0!</v>
      </c>
      <c r="I46" s="133" t="e">
        <f t="shared" si="140"/>
        <v>#DIV/0!</v>
      </c>
      <c r="J46" s="133" t="e">
        <f t="shared" si="140"/>
        <v>#DIV/0!</v>
      </c>
      <c r="K46" s="133" t="e">
        <f t="shared" si="140"/>
        <v>#DIV/0!</v>
      </c>
      <c r="L46" s="133" t="e">
        <f t="shared" si="140"/>
        <v>#DIV/0!</v>
      </c>
      <c r="M46" s="133" t="e">
        <f t="shared" si="140"/>
        <v>#DIV/0!</v>
      </c>
      <c r="N46" s="133" t="e">
        <f t="shared" si="140"/>
        <v>#DIV/0!</v>
      </c>
      <c r="O46" s="133" t="e">
        <f t="shared" si="140"/>
        <v>#DIV/0!</v>
      </c>
      <c r="P46" s="133" t="e">
        <f t="shared" si="140"/>
        <v>#DIV/0!</v>
      </c>
      <c r="Q46" s="118" t="e">
        <f>((P46/G46)^(1/($H$2-$H$1) ))-1</f>
        <v>#DIV/0!</v>
      </c>
      <c r="R46" s="128"/>
      <c r="S46" s="159">
        <f t="shared" ref="S46:AB46" si="141">S7/S38</f>
        <v>73.169600000000003</v>
      </c>
      <c r="T46" s="159">
        <f t="shared" si="141"/>
        <v>73.169600000000003</v>
      </c>
      <c r="U46" s="159">
        <f t="shared" si="141"/>
        <v>73.169600000000003</v>
      </c>
      <c r="V46" s="159">
        <f t="shared" si="141"/>
        <v>73.169600000000003</v>
      </c>
      <c r="W46" s="159">
        <f t="shared" si="141"/>
        <v>73.169600000000003</v>
      </c>
      <c r="X46" s="159">
        <f t="shared" si="141"/>
        <v>73.169600000000003</v>
      </c>
      <c r="Y46" s="159">
        <f t="shared" si="141"/>
        <v>73.169600000000003</v>
      </c>
      <c r="Z46" s="159">
        <f t="shared" si="141"/>
        <v>73.169600000000017</v>
      </c>
      <c r="AA46" s="159">
        <f t="shared" si="141"/>
        <v>73.169600000000003</v>
      </c>
      <c r="AB46" s="159">
        <f t="shared" si="141"/>
        <v>73.169600000000003</v>
      </c>
      <c r="AC46" s="138" t="e">
        <f t="shared" si="138"/>
        <v>#DIV/0!</v>
      </c>
      <c r="AD46" s="31">
        <f t="shared" si="17"/>
        <v>0.08</v>
      </c>
      <c r="AE46" s="146">
        <f t="shared" si="139"/>
        <v>564.45120000000009</v>
      </c>
    </row>
    <row r="47" spans="2:31">
      <c r="B47" s="20" t="s">
        <v>246</v>
      </c>
      <c r="C47" s="127">
        <f t="shared" ref="C47:P47" si="142">C6/C38</f>
        <v>0</v>
      </c>
      <c r="D47" s="127">
        <f t="shared" si="142"/>
        <v>0</v>
      </c>
      <c r="E47" s="127">
        <f t="shared" si="142"/>
        <v>0</v>
      </c>
      <c r="F47" s="144" t="e">
        <f t="shared" si="142"/>
        <v>#DIV/0!</v>
      </c>
      <c r="G47" s="144" t="e">
        <f t="shared" si="142"/>
        <v>#DIV/0!</v>
      </c>
      <c r="H47" s="144" t="e">
        <f t="shared" si="142"/>
        <v>#DIV/0!</v>
      </c>
      <c r="I47" s="144" t="e">
        <f t="shared" si="142"/>
        <v>#DIV/0!</v>
      </c>
      <c r="J47" s="144" t="e">
        <f t="shared" si="142"/>
        <v>#DIV/0!</v>
      </c>
      <c r="K47" s="144" t="e">
        <f t="shared" si="142"/>
        <v>#DIV/0!</v>
      </c>
      <c r="L47" s="144" t="e">
        <f t="shared" si="142"/>
        <v>#DIV/0!</v>
      </c>
      <c r="M47" s="144" t="e">
        <f t="shared" si="142"/>
        <v>#DIV/0!</v>
      </c>
      <c r="N47" s="144" t="e">
        <f t="shared" si="142"/>
        <v>#DIV/0!</v>
      </c>
      <c r="O47" s="144" t="e">
        <f t="shared" si="142"/>
        <v>#DIV/0!</v>
      </c>
      <c r="P47" s="144" t="e">
        <f t="shared" si="142"/>
        <v>#DIV/0!</v>
      </c>
      <c r="Q47" s="118" t="e">
        <f>((P47/G47)^(1/($H$2-$H$1) ))-1</f>
        <v>#DIV/0!</v>
      </c>
      <c r="R47" s="128"/>
      <c r="S47" s="158">
        <f t="shared" ref="S47:AB47" si="143">S6/S38</f>
        <v>72.03840000000001</v>
      </c>
      <c r="T47" s="158">
        <f t="shared" si="143"/>
        <v>72.03840000000001</v>
      </c>
      <c r="U47" s="158">
        <f t="shared" si="143"/>
        <v>72.03840000000001</v>
      </c>
      <c r="V47" s="158">
        <f t="shared" si="143"/>
        <v>72.03840000000001</v>
      </c>
      <c r="W47" s="158">
        <f t="shared" si="143"/>
        <v>72.038400000000024</v>
      </c>
      <c r="X47" s="158">
        <f t="shared" si="143"/>
        <v>72.038400000000024</v>
      </c>
      <c r="Y47" s="158">
        <f t="shared" si="143"/>
        <v>72.038400000000024</v>
      </c>
      <c r="Z47" s="158">
        <f t="shared" si="143"/>
        <v>72.038400000000038</v>
      </c>
      <c r="AA47" s="158">
        <f t="shared" si="143"/>
        <v>72.038400000000038</v>
      </c>
      <c r="AB47" s="158">
        <f t="shared" si="143"/>
        <v>72.038400000000038</v>
      </c>
      <c r="AC47" s="138" t="e">
        <f t="shared" si="138"/>
        <v>#DIV/0!</v>
      </c>
      <c r="AD47" s="31">
        <f t="shared" si="17"/>
        <v>0.08</v>
      </c>
      <c r="AE47" s="146">
        <f t="shared" si="139"/>
        <v>555.7248000000003</v>
      </c>
    </row>
    <row r="48" spans="2:31">
      <c r="B48" s="20" t="s">
        <v>247</v>
      </c>
      <c r="C48" s="127">
        <f t="shared" ref="C48:P48" si="144">C10/C38</f>
        <v>0</v>
      </c>
      <c r="D48" s="127">
        <f t="shared" si="144"/>
        <v>0</v>
      </c>
      <c r="E48" s="127">
        <f t="shared" si="144"/>
        <v>0</v>
      </c>
      <c r="F48" s="144" t="e">
        <f t="shared" si="144"/>
        <v>#DIV/0!</v>
      </c>
      <c r="G48" s="144" t="e">
        <f t="shared" si="144"/>
        <v>#DIV/0!</v>
      </c>
      <c r="H48" s="144" t="e">
        <f t="shared" si="144"/>
        <v>#DIV/0!</v>
      </c>
      <c r="I48" s="144" t="e">
        <f t="shared" si="144"/>
        <v>#DIV/0!</v>
      </c>
      <c r="J48" s="144" t="e">
        <f t="shared" si="144"/>
        <v>#DIV/0!</v>
      </c>
      <c r="K48" s="144" t="e">
        <f t="shared" si="144"/>
        <v>#DIV/0!</v>
      </c>
      <c r="L48" s="144" t="e">
        <f t="shared" si="144"/>
        <v>#DIV/0!</v>
      </c>
      <c r="M48" s="144" t="e">
        <f t="shared" si="144"/>
        <v>#DIV/0!</v>
      </c>
      <c r="N48" s="144" t="e">
        <f t="shared" si="144"/>
        <v>#DIV/0!</v>
      </c>
      <c r="O48" s="144" t="e">
        <f t="shared" si="144"/>
        <v>#DIV/0!</v>
      </c>
      <c r="P48" s="144" t="e">
        <f t="shared" si="144"/>
        <v>#DIV/0!</v>
      </c>
      <c r="Q48" s="118" t="e">
        <f>((P48/G48)^(1/($H$2-$H$1) ))-1</f>
        <v>#DIV/0!</v>
      </c>
      <c r="R48" s="128"/>
      <c r="S48" s="158">
        <f t="shared" ref="S48:AB48" si="145">S10/S38</f>
        <v>0</v>
      </c>
      <c r="T48" s="158">
        <f t="shared" si="145"/>
        <v>0</v>
      </c>
      <c r="U48" s="158">
        <f t="shared" si="145"/>
        <v>0</v>
      </c>
      <c r="V48" s="158">
        <f t="shared" si="145"/>
        <v>0</v>
      </c>
      <c r="W48" s="158">
        <f t="shared" si="145"/>
        <v>0</v>
      </c>
      <c r="X48" s="158">
        <f t="shared" si="145"/>
        <v>0</v>
      </c>
      <c r="Y48" s="158">
        <f t="shared" si="145"/>
        <v>0</v>
      </c>
      <c r="Z48" s="158">
        <f t="shared" si="145"/>
        <v>0</v>
      </c>
      <c r="AA48" s="158">
        <f t="shared" si="145"/>
        <v>0</v>
      </c>
      <c r="AB48" s="158">
        <f t="shared" si="145"/>
        <v>0</v>
      </c>
      <c r="AC48" s="138" t="e">
        <f t="shared" si="138"/>
        <v>#DIV/0!</v>
      </c>
      <c r="AD48" s="31">
        <f t="shared" si="17"/>
        <v>0.08</v>
      </c>
      <c r="AE48" s="146">
        <f t="shared" si="139"/>
        <v>0</v>
      </c>
    </row>
    <row r="49" spans="2:31">
      <c r="B49" s="20"/>
      <c r="C49" s="127"/>
      <c r="D49" s="127"/>
      <c r="E49" s="127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28"/>
      <c r="R49" s="12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39"/>
      <c r="AD49" s="137"/>
      <c r="AE49" s="146"/>
    </row>
    <row r="50" spans="2:31">
      <c r="B50" s="20" t="s">
        <v>271</v>
      </c>
      <c r="C50" s="127">
        <f t="shared" ref="C50:P50" si="146">(C7-C10)/C38</f>
        <v>0</v>
      </c>
      <c r="D50" s="127">
        <f t="shared" si="146"/>
        <v>0</v>
      </c>
      <c r="E50" s="127">
        <f t="shared" si="146"/>
        <v>0</v>
      </c>
      <c r="F50" s="144" t="e">
        <f t="shared" si="146"/>
        <v>#DIV/0!</v>
      </c>
      <c r="G50" s="144" t="e">
        <f t="shared" si="146"/>
        <v>#DIV/0!</v>
      </c>
      <c r="H50" s="144" t="e">
        <f t="shared" si="146"/>
        <v>#DIV/0!</v>
      </c>
      <c r="I50" s="144" t="e">
        <f t="shared" si="146"/>
        <v>#DIV/0!</v>
      </c>
      <c r="J50" s="144" t="e">
        <f t="shared" si="146"/>
        <v>#DIV/0!</v>
      </c>
      <c r="K50" s="144" t="e">
        <f t="shared" si="146"/>
        <v>#DIV/0!</v>
      </c>
      <c r="L50" s="144" t="e">
        <f t="shared" si="146"/>
        <v>#DIV/0!</v>
      </c>
      <c r="M50" s="144" t="e">
        <f t="shared" si="146"/>
        <v>#DIV/0!</v>
      </c>
      <c r="N50" s="144" t="e">
        <f t="shared" si="146"/>
        <v>#DIV/0!</v>
      </c>
      <c r="O50" s="144" t="e">
        <f t="shared" si="146"/>
        <v>#DIV/0!</v>
      </c>
      <c r="P50" s="144" t="e">
        <f t="shared" si="146"/>
        <v>#DIV/0!</v>
      </c>
      <c r="Q50" s="118" t="e">
        <f>((P50/G50)^(1/($H$2-$H$1) ))-1</f>
        <v>#DIV/0!</v>
      </c>
      <c r="R50" s="128"/>
      <c r="S50" s="158">
        <f t="shared" ref="S50:AB50" si="147">(S7-S10)/S38</f>
        <v>73.169600000000003</v>
      </c>
      <c r="T50" s="158">
        <f t="shared" si="147"/>
        <v>73.169600000000003</v>
      </c>
      <c r="U50" s="158">
        <f t="shared" si="147"/>
        <v>73.169600000000003</v>
      </c>
      <c r="V50" s="158">
        <f t="shared" si="147"/>
        <v>73.169600000000003</v>
      </c>
      <c r="W50" s="158">
        <f t="shared" si="147"/>
        <v>73.169600000000003</v>
      </c>
      <c r="X50" s="158">
        <f t="shared" si="147"/>
        <v>73.169600000000003</v>
      </c>
      <c r="Y50" s="158">
        <f t="shared" si="147"/>
        <v>73.169600000000003</v>
      </c>
      <c r="Z50" s="158">
        <f t="shared" si="147"/>
        <v>73.169600000000017</v>
      </c>
      <c r="AA50" s="158">
        <f t="shared" si="147"/>
        <v>73.169600000000003</v>
      </c>
      <c r="AB50" s="158">
        <f t="shared" si="147"/>
        <v>73.169600000000003</v>
      </c>
      <c r="AC50" s="138" t="e">
        <f t="shared" si="138"/>
        <v>#DIV/0!</v>
      </c>
      <c r="AD50" s="31">
        <f t="shared" si="17"/>
        <v>0.08</v>
      </c>
      <c r="AE50" s="146">
        <f t="shared" si="139"/>
        <v>564.45120000000009</v>
      </c>
    </row>
    <row r="51" spans="2:31">
      <c r="B51" s="20" t="s">
        <v>272</v>
      </c>
      <c r="C51" s="127">
        <f t="shared" ref="C51:P51" si="148">(C7-C10-C9)/C38</f>
        <v>0</v>
      </c>
      <c r="D51" s="127">
        <f t="shared" si="148"/>
        <v>0</v>
      </c>
      <c r="E51" s="127">
        <f t="shared" si="148"/>
        <v>0</v>
      </c>
      <c r="F51" s="144" t="e">
        <f t="shared" si="148"/>
        <v>#DIV/0!</v>
      </c>
      <c r="G51" s="144" t="e">
        <f t="shared" si="148"/>
        <v>#DIV/0!</v>
      </c>
      <c r="H51" s="144" t="e">
        <f t="shared" si="148"/>
        <v>#DIV/0!</v>
      </c>
      <c r="I51" s="144" t="e">
        <f t="shared" si="148"/>
        <v>#DIV/0!</v>
      </c>
      <c r="J51" s="144" t="e">
        <f t="shared" si="148"/>
        <v>#DIV/0!</v>
      </c>
      <c r="K51" s="144" t="e">
        <f t="shared" si="148"/>
        <v>#DIV/0!</v>
      </c>
      <c r="L51" s="144" t="e">
        <f t="shared" si="148"/>
        <v>#DIV/0!</v>
      </c>
      <c r="M51" s="144" t="e">
        <f t="shared" si="148"/>
        <v>#DIV/0!</v>
      </c>
      <c r="N51" s="144" t="e">
        <f t="shared" si="148"/>
        <v>#DIV/0!</v>
      </c>
      <c r="O51" s="144" t="e">
        <f t="shared" si="148"/>
        <v>#DIV/0!</v>
      </c>
      <c r="P51" s="144" t="e">
        <f t="shared" si="148"/>
        <v>#DIV/0!</v>
      </c>
      <c r="Q51" s="118" t="e">
        <f>((P51/G51)^(1/($H$2-$H$1) ))-1</f>
        <v>#DIV/0!</v>
      </c>
      <c r="R51" s="128"/>
      <c r="S51" s="158">
        <f t="shared" ref="S51:AB51" si="149">(S7-S10-S9)/S38</f>
        <v>73.169600000000003</v>
      </c>
      <c r="T51" s="158">
        <f t="shared" si="149"/>
        <v>73.169600000000003</v>
      </c>
      <c r="U51" s="158">
        <f t="shared" si="149"/>
        <v>73.169600000000003</v>
      </c>
      <c r="V51" s="158">
        <f t="shared" si="149"/>
        <v>73.169600000000003</v>
      </c>
      <c r="W51" s="158">
        <f t="shared" si="149"/>
        <v>73.169600000000003</v>
      </c>
      <c r="X51" s="158">
        <f t="shared" si="149"/>
        <v>73.169600000000003</v>
      </c>
      <c r="Y51" s="158">
        <f t="shared" si="149"/>
        <v>73.169600000000003</v>
      </c>
      <c r="Z51" s="158">
        <f t="shared" si="149"/>
        <v>73.169600000000017</v>
      </c>
      <c r="AA51" s="158">
        <f t="shared" si="149"/>
        <v>73.169600000000003</v>
      </c>
      <c r="AB51" s="158">
        <f t="shared" si="149"/>
        <v>73.169600000000003</v>
      </c>
      <c r="AC51" s="138" t="e">
        <f t="shared" si="138"/>
        <v>#DIV/0!</v>
      </c>
      <c r="AD51" s="31">
        <f t="shared" si="17"/>
        <v>0.08</v>
      </c>
      <c r="AE51" s="146">
        <f t="shared" si="139"/>
        <v>564.45120000000009</v>
      </c>
    </row>
    <row r="52" spans="2:31">
      <c r="B52" s="20" t="s">
        <v>277</v>
      </c>
      <c r="C52" s="127">
        <f t="shared" ref="C52:P52" si="150">(C7+C14-C10-C9)/C38</f>
        <v>0</v>
      </c>
      <c r="D52" s="127">
        <f t="shared" si="150"/>
        <v>0</v>
      </c>
      <c r="E52" s="127">
        <f t="shared" si="150"/>
        <v>0</v>
      </c>
      <c r="F52" s="144" t="e">
        <f t="shared" si="150"/>
        <v>#DIV/0!</v>
      </c>
      <c r="G52" s="144" t="e">
        <f t="shared" si="150"/>
        <v>#DIV/0!</v>
      </c>
      <c r="H52" s="144" t="e">
        <f t="shared" si="150"/>
        <v>#DIV/0!</v>
      </c>
      <c r="I52" s="144" t="e">
        <f t="shared" si="150"/>
        <v>#DIV/0!</v>
      </c>
      <c r="J52" s="144" t="e">
        <f t="shared" si="150"/>
        <v>#DIV/0!</v>
      </c>
      <c r="K52" s="144" t="e">
        <f t="shared" si="150"/>
        <v>#DIV/0!</v>
      </c>
      <c r="L52" s="144" t="e">
        <f t="shared" si="150"/>
        <v>#DIV/0!</v>
      </c>
      <c r="M52" s="144" t="e">
        <f t="shared" si="150"/>
        <v>#DIV/0!</v>
      </c>
      <c r="N52" s="144" t="e">
        <f t="shared" si="150"/>
        <v>#DIV/0!</v>
      </c>
      <c r="O52" s="144" t="e">
        <f t="shared" si="150"/>
        <v>#DIV/0!</v>
      </c>
      <c r="P52" s="144" t="e">
        <f t="shared" si="150"/>
        <v>#DIV/0!</v>
      </c>
      <c r="Q52" s="118" t="e">
        <f>((P52/G52)^(1/($H$2-$H$1) ))-1</f>
        <v>#DIV/0!</v>
      </c>
      <c r="R52" s="128"/>
      <c r="S52" s="158">
        <f t="shared" ref="S52:AB52" si="151">(S7+S14-S10-S9)/S38</f>
        <v>73.169600000000003</v>
      </c>
      <c r="T52" s="158">
        <f t="shared" si="151"/>
        <v>73.169600000000003</v>
      </c>
      <c r="U52" s="158">
        <f t="shared" si="151"/>
        <v>73.169600000000003</v>
      </c>
      <c r="V52" s="158">
        <f t="shared" si="151"/>
        <v>73.169600000000003</v>
      </c>
      <c r="W52" s="158">
        <f t="shared" si="151"/>
        <v>73.169600000000003</v>
      </c>
      <c r="X52" s="158">
        <f t="shared" si="151"/>
        <v>73.169600000000003</v>
      </c>
      <c r="Y52" s="158">
        <f t="shared" si="151"/>
        <v>73.169600000000003</v>
      </c>
      <c r="Z52" s="158">
        <f t="shared" si="151"/>
        <v>73.169600000000017</v>
      </c>
      <c r="AA52" s="158">
        <f t="shared" si="151"/>
        <v>73.169600000000003</v>
      </c>
      <c r="AB52" s="158">
        <f t="shared" si="151"/>
        <v>73.169600000000003</v>
      </c>
      <c r="AC52" s="138" t="e">
        <f t="shared" si="138"/>
        <v>#DIV/0!</v>
      </c>
      <c r="AD52" s="31">
        <f t="shared" si="17"/>
        <v>0.08</v>
      </c>
      <c r="AE52" s="146">
        <f t="shared" si="139"/>
        <v>564.45120000000009</v>
      </c>
    </row>
    <row r="53" spans="2:31">
      <c r="B53" s="20"/>
      <c r="C53" s="127"/>
      <c r="D53" s="127"/>
      <c r="E53" s="127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28"/>
      <c r="R53" s="128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  <c r="AC53" s="139"/>
      <c r="AD53" s="137"/>
      <c r="AE53" s="155"/>
    </row>
    <row r="54" spans="2:31">
      <c r="B54" s="20" t="s">
        <v>248</v>
      </c>
      <c r="C54" s="127">
        <f t="shared" ref="C54:P54" si="152">C12/C38</f>
        <v>0</v>
      </c>
      <c r="D54" s="127">
        <f t="shared" si="152"/>
        <v>0</v>
      </c>
      <c r="E54" s="127">
        <f t="shared" si="152"/>
        <v>0</v>
      </c>
      <c r="F54" s="144" t="e">
        <f t="shared" si="152"/>
        <v>#DIV/0!</v>
      </c>
      <c r="G54" s="144" t="e">
        <f t="shared" si="152"/>
        <v>#DIV/0!</v>
      </c>
      <c r="H54" s="144" t="e">
        <f t="shared" si="152"/>
        <v>#DIV/0!</v>
      </c>
      <c r="I54" s="144" t="e">
        <f t="shared" si="152"/>
        <v>#DIV/0!</v>
      </c>
      <c r="J54" s="144" t="e">
        <f t="shared" si="152"/>
        <v>#DIV/0!</v>
      </c>
      <c r="K54" s="144" t="e">
        <f t="shared" si="152"/>
        <v>#DIV/0!</v>
      </c>
      <c r="L54" s="144" t="e">
        <f t="shared" si="152"/>
        <v>#DIV/0!</v>
      </c>
      <c r="M54" s="144" t="e">
        <f t="shared" si="152"/>
        <v>#DIV/0!</v>
      </c>
      <c r="N54" s="144" t="e">
        <f t="shared" si="152"/>
        <v>#DIV/0!</v>
      </c>
      <c r="O54" s="144" t="e">
        <f t="shared" si="152"/>
        <v>#DIV/0!</v>
      </c>
      <c r="P54" s="144" t="e">
        <f t="shared" si="152"/>
        <v>#DIV/0!</v>
      </c>
      <c r="Q54" s="118" t="e">
        <f>((P54/G54)^(1/($H$2-$H$1) ))-1</f>
        <v>#DIV/0!</v>
      </c>
      <c r="R54" s="128"/>
      <c r="S54" s="158">
        <f t="shared" ref="S54:AB54" si="153">S12/S38</f>
        <v>0</v>
      </c>
      <c r="T54" s="158">
        <f t="shared" si="153"/>
        <v>0</v>
      </c>
      <c r="U54" s="158">
        <f t="shared" si="153"/>
        <v>0</v>
      </c>
      <c r="V54" s="158">
        <f t="shared" si="153"/>
        <v>0</v>
      </c>
      <c r="W54" s="158">
        <f t="shared" si="153"/>
        <v>0</v>
      </c>
      <c r="X54" s="158">
        <f t="shared" si="153"/>
        <v>0</v>
      </c>
      <c r="Y54" s="158">
        <f t="shared" si="153"/>
        <v>0</v>
      </c>
      <c r="Z54" s="158">
        <f t="shared" si="153"/>
        <v>0</v>
      </c>
      <c r="AA54" s="158">
        <f t="shared" si="153"/>
        <v>0</v>
      </c>
      <c r="AB54" s="158">
        <f t="shared" si="153"/>
        <v>0</v>
      </c>
      <c r="AC54" s="138" t="e">
        <f t="shared" si="138"/>
        <v>#DIV/0!</v>
      </c>
      <c r="AD54" s="31">
        <f t="shared" si="17"/>
        <v>0.08</v>
      </c>
      <c r="AE54" s="146">
        <f t="shared" si="139"/>
        <v>0</v>
      </c>
    </row>
    <row r="55" spans="2:31">
      <c r="B55" s="20" t="s">
        <v>255</v>
      </c>
      <c r="C55" s="127">
        <f t="shared" ref="C55:P55" si="154">C13/C38</f>
        <v>0</v>
      </c>
      <c r="D55" s="127">
        <f t="shared" si="154"/>
        <v>0</v>
      </c>
      <c r="E55" s="127">
        <f t="shared" si="154"/>
        <v>0</v>
      </c>
      <c r="F55" s="144" t="e">
        <f t="shared" si="154"/>
        <v>#DIV/0!</v>
      </c>
      <c r="G55" s="144" t="e">
        <f t="shared" si="154"/>
        <v>#DIV/0!</v>
      </c>
      <c r="H55" s="144" t="e">
        <f t="shared" si="154"/>
        <v>#DIV/0!</v>
      </c>
      <c r="I55" s="144" t="e">
        <f t="shared" si="154"/>
        <v>#DIV/0!</v>
      </c>
      <c r="J55" s="144" t="e">
        <f t="shared" si="154"/>
        <v>#DIV/0!</v>
      </c>
      <c r="K55" s="144" t="e">
        <f t="shared" si="154"/>
        <v>#DIV/0!</v>
      </c>
      <c r="L55" s="144" t="e">
        <f t="shared" si="154"/>
        <v>#DIV/0!</v>
      </c>
      <c r="M55" s="144" t="e">
        <f t="shared" si="154"/>
        <v>#DIV/0!</v>
      </c>
      <c r="N55" s="144" t="e">
        <f t="shared" si="154"/>
        <v>#DIV/0!</v>
      </c>
      <c r="O55" s="144" t="e">
        <f t="shared" si="154"/>
        <v>#DIV/0!</v>
      </c>
      <c r="P55" s="144" t="e">
        <f t="shared" si="154"/>
        <v>#DIV/0!</v>
      </c>
      <c r="Q55" s="118" t="e">
        <f>((P55/G55)^(1/($H$2-$H$1) ))-1</f>
        <v>#DIV/0!</v>
      </c>
      <c r="R55" s="128"/>
      <c r="S55" s="158">
        <f t="shared" ref="S55:AB55" si="155">S13/S38</f>
        <v>0</v>
      </c>
      <c r="T55" s="158">
        <f t="shared" si="155"/>
        <v>0</v>
      </c>
      <c r="U55" s="158">
        <f t="shared" si="155"/>
        <v>0</v>
      </c>
      <c r="V55" s="158">
        <f t="shared" si="155"/>
        <v>0</v>
      </c>
      <c r="W55" s="158">
        <f t="shared" si="155"/>
        <v>0</v>
      </c>
      <c r="X55" s="158">
        <f t="shared" si="155"/>
        <v>0</v>
      </c>
      <c r="Y55" s="158">
        <f t="shared" si="155"/>
        <v>0</v>
      </c>
      <c r="Z55" s="158">
        <f t="shared" si="155"/>
        <v>0</v>
      </c>
      <c r="AA55" s="158">
        <f t="shared" si="155"/>
        <v>0</v>
      </c>
      <c r="AB55" s="158">
        <f t="shared" si="155"/>
        <v>0</v>
      </c>
      <c r="AC55" s="138" t="e">
        <f t="shared" si="138"/>
        <v>#DIV/0!</v>
      </c>
      <c r="AD55" s="31">
        <f t="shared" si="17"/>
        <v>0.08</v>
      </c>
      <c r="AE55" s="146">
        <f t="shared" si="139"/>
        <v>0</v>
      </c>
    </row>
    <row r="56" spans="2:31">
      <c r="B56" s="20" t="s">
        <v>256</v>
      </c>
      <c r="C56" s="127">
        <f>(C54+C55)</f>
        <v>0</v>
      </c>
      <c r="D56" s="127">
        <f t="shared" ref="D56:P56" si="156">(D54+D55)</f>
        <v>0</v>
      </c>
      <c r="E56" s="127">
        <f t="shared" si="156"/>
        <v>0</v>
      </c>
      <c r="F56" s="144" t="e">
        <f t="shared" si="156"/>
        <v>#DIV/0!</v>
      </c>
      <c r="G56" s="144" t="e">
        <f t="shared" si="156"/>
        <v>#DIV/0!</v>
      </c>
      <c r="H56" s="144" t="e">
        <f t="shared" si="156"/>
        <v>#DIV/0!</v>
      </c>
      <c r="I56" s="144" t="e">
        <f t="shared" si="156"/>
        <v>#DIV/0!</v>
      </c>
      <c r="J56" s="144" t="e">
        <f t="shared" si="156"/>
        <v>#DIV/0!</v>
      </c>
      <c r="K56" s="144" t="e">
        <f t="shared" si="156"/>
        <v>#DIV/0!</v>
      </c>
      <c r="L56" s="144" t="e">
        <f t="shared" si="156"/>
        <v>#DIV/0!</v>
      </c>
      <c r="M56" s="144" t="e">
        <f t="shared" si="156"/>
        <v>#DIV/0!</v>
      </c>
      <c r="N56" s="144" t="e">
        <f t="shared" si="156"/>
        <v>#DIV/0!</v>
      </c>
      <c r="O56" s="144" t="e">
        <f t="shared" ref="O56" si="157">(O54+O55)</f>
        <v>#DIV/0!</v>
      </c>
      <c r="P56" s="144" t="e">
        <f t="shared" si="156"/>
        <v>#DIV/0!</v>
      </c>
      <c r="Q56" s="118" t="e">
        <f>((P56/G56)^(1/($H$2-$H$1) ))-1</f>
        <v>#DIV/0!</v>
      </c>
      <c r="R56" s="128"/>
      <c r="S56" s="158">
        <f t="shared" ref="S56:AB56" si="158">(S54+S55)</f>
        <v>0</v>
      </c>
      <c r="T56" s="158">
        <f t="shared" si="158"/>
        <v>0</v>
      </c>
      <c r="U56" s="158">
        <f t="shared" si="158"/>
        <v>0</v>
      </c>
      <c r="V56" s="158">
        <f t="shared" si="158"/>
        <v>0</v>
      </c>
      <c r="W56" s="158">
        <f t="shared" si="158"/>
        <v>0</v>
      </c>
      <c r="X56" s="158">
        <f t="shared" si="158"/>
        <v>0</v>
      </c>
      <c r="Y56" s="158">
        <f t="shared" si="158"/>
        <v>0</v>
      </c>
      <c r="Z56" s="158">
        <f t="shared" si="158"/>
        <v>0</v>
      </c>
      <c r="AA56" s="158">
        <f t="shared" si="158"/>
        <v>0</v>
      </c>
      <c r="AB56" s="158">
        <f t="shared" si="158"/>
        <v>0</v>
      </c>
      <c r="AC56" s="138" t="e">
        <f t="shared" si="138"/>
        <v>#DIV/0!</v>
      </c>
      <c r="AD56" s="31">
        <f t="shared" si="17"/>
        <v>0.08</v>
      </c>
      <c r="AE56" s="146">
        <f t="shared" si="139"/>
        <v>0</v>
      </c>
    </row>
    <row r="57" spans="2:31">
      <c r="B57" s="20" t="s">
        <v>249</v>
      </c>
      <c r="C57" s="127">
        <f t="shared" ref="C57:P57" si="159">C14/C38</f>
        <v>0</v>
      </c>
      <c r="D57" s="127">
        <f t="shared" si="159"/>
        <v>0</v>
      </c>
      <c r="E57" s="127">
        <f t="shared" si="159"/>
        <v>0</v>
      </c>
      <c r="F57" s="144" t="e">
        <f t="shared" si="159"/>
        <v>#DIV/0!</v>
      </c>
      <c r="G57" s="144" t="e">
        <f t="shared" si="159"/>
        <v>#DIV/0!</v>
      </c>
      <c r="H57" s="144" t="e">
        <f t="shared" si="159"/>
        <v>#DIV/0!</v>
      </c>
      <c r="I57" s="144" t="e">
        <f t="shared" si="159"/>
        <v>#DIV/0!</v>
      </c>
      <c r="J57" s="144" t="e">
        <f t="shared" si="159"/>
        <v>#DIV/0!</v>
      </c>
      <c r="K57" s="144" t="e">
        <f t="shared" si="159"/>
        <v>#DIV/0!</v>
      </c>
      <c r="L57" s="144" t="e">
        <f t="shared" si="159"/>
        <v>#DIV/0!</v>
      </c>
      <c r="M57" s="144" t="e">
        <f t="shared" si="159"/>
        <v>#DIV/0!</v>
      </c>
      <c r="N57" s="144" t="e">
        <f t="shared" si="159"/>
        <v>#DIV/0!</v>
      </c>
      <c r="O57" s="144" t="e">
        <f t="shared" si="159"/>
        <v>#DIV/0!</v>
      </c>
      <c r="P57" s="144" t="e">
        <f t="shared" si="159"/>
        <v>#DIV/0!</v>
      </c>
      <c r="Q57" s="118" t="e">
        <f>((P57/G57)^(1/($H$2-$H$1) ))-1</f>
        <v>#DIV/0!</v>
      </c>
      <c r="R57" s="128"/>
      <c r="S57" s="158">
        <f t="shared" ref="S57:AB57" si="160">S14/S38</f>
        <v>0</v>
      </c>
      <c r="T57" s="158">
        <f t="shared" si="160"/>
        <v>0</v>
      </c>
      <c r="U57" s="158">
        <f t="shared" si="160"/>
        <v>0</v>
      </c>
      <c r="V57" s="158">
        <f t="shared" si="160"/>
        <v>0</v>
      </c>
      <c r="W57" s="158">
        <f t="shared" si="160"/>
        <v>0</v>
      </c>
      <c r="X57" s="158">
        <f t="shared" si="160"/>
        <v>0</v>
      </c>
      <c r="Y57" s="158">
        <f t="shared" si="160"/>
        <v>0</v>
      </c>
      <c r="Z57" s="158">
        <f t="shared" si="160"/>
        <v>0</v>
      </c>
      <c r="AA57" s="158">
        <f t="shared" si="160"/>
        <v>0</v>
      </c>
      <c r="AB57" s="158">
        <f t="shared" si="160"/>
        <v>0</v>
      </c>
      <c r="AC57" s="138" t="e">
        <f t="shared" si="138"/>
        <v>#DIV/0!</v>
      </c>
      <c r="AD57" s="31">
        <f t="shared" si="17"/>
        <v>0.08</v>
      </c>
      <c r="AE57" s="146">
        <f t="shared" si="139"/>
        <v>0</v>
      </c>
    </row>
    <row r="58" spans="2:31">
      <c r="B58" s="20" t="s">
        <v>250</v>
      </c>
      <c r="C58" s="127">
        <f t="shared" ref="C58:P58" si="161">C15/C38</f>
        <v>0</v>
      </c>
      <c r="D58" s="127">
        <f t="shared" si="161"/>
        <v>0</v>
      </c>
      <c r="E58" s="127">
        <f t="shared" si="161"/>
        <v>0</v>
      </c>
      <c r="F58" s="144" t="e">
        <f t="shared" si="161"/>
        <v>#DIV/0!</v>
      </c>
      <c r="G58" s="144" t="e">
        <f t="shared" si="161"/>
        <v>#DIV/0!</v>
      </c>
      <c r="H58" s="144" t="e">
        <f t="shared" si="161"/>
        <v>#DIV/0!</v>
      </c>
      <c r="I58" s="144" t="e">
        <f t="shared" si="161"/>
        <v>#DIV/0!</v>
      </c>
      <c r="J58" s="144" t="e">
        <f t="shared" si="161"/>
        <v>#DIV/0!</v>
      </c>
      <c r="K58" s="144" t="e">
        <f t="shared" si="161"/>
        <v>#DIV/0!</v>
      </c>
      <c r="L58" s="144" t="e">
        <f t="shared" si="161"/>
        <v>#DIV/0!</v>
      </c>
      <c r="M58" s="144" t="e">
        <f t="shared" si="161"/>
        <v>#DIV/0!</v>
      </c>
      <c r="N58" s="144" t="e">
        <f t="shared" si="161"/>
        <v>#DIV/0!</v>
      </c>
      <c r="O58" s="144" t="e">
        <f t="shared" si="161"/>
        <v>#DIV/0!</v>
      </c>
      <c r="P58" s="144" t="e">
        <f t="shared" si="161"/>
        <v>#DIV/0!</v>
      </c>
      <c r="Q58" s="118" t="e">
        <f>((P58/G58)^(1/($H$2-$H$1) ))-1</f>
        <v>#DIV/0!</v>
      </c>
      <c r="R58" s="128"/>
      <c r="S58" s="158">
        <f t="shared" ref="S58:AB58" si="162">S15/S38</f>
        <v>0</v>
      </c>
      <c r="T58" s="158">
        <f t="shared" si="162"/>
        <v>0</v>
      </c>
      <c r="U58" s="158">
        <f t="shared" si="162"/>
        <v>0</v>
      </c>
      <c r="V58" s="158">
        <f t="shared" si="162"/>
        <v>0</v>
      </c>
      <c r="W58" s="158">
        <f t="shared" si="162"/>
        <v>0</v>
      </c>
      <c r="X58" s="158">
        <f t="shared" si="162"/>
        <v>0</v>
      </c>
      <c r="Y58" s="158">
        <f t="shared" si="162"/>
        <v>0</v>
      </c>
      <c r="Z58" s="158">
        <f t="shared" si="162"/>
        <v>0</v>
      </c>
      <c r="AA58" s="158">
        <f t="shared" si="162"/>
        <v>0</v>
      </c>
      <c r="AB58" s="158">
        <f t="shared" si="162"/>
        <v>0</v>
      </c>
      <c r="AC58" s="138" t="e">
        <f t="shared" si="138"/>
        <v>#DIV/0!</v>
      </c>
      <c r="AD58" s="137"/>
      <c r="AE58" s="146">
        <f t="shared" si="139"/>
        <v>0</v>
      </c>
    </row>
    <row r="59" spans="2:31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28"/>
      <c r="R59" s="128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  <c r="AC59" s="139"/>
      <c r="AD59" s="31">
        <f t="shared" si="17"/>
        <v>0.08</v>
      </c>
      <c r="AE59" s="146">
        <f t="shared" si="139"/>
        <v>0</v>
      </c>
    </row>
    <row r="60" spans="2:31">
      <c r="B60" s="20" t="s">
        <v>283</v>
      </c>
      <c r="C60" s="160">
        <f>C39</f>
        <v>1</v>
      </c>
      <c r="D60" s="160">
        <f t="shared" ref="D60:P60" si="163">D39</f>
        <v>1</v>
      </c>
      <c r="E60" s="160">
        <f t="shared" si="163"/>
        <v>1</v>
      </c>
      <c r="F60" s="160">
        <f t="shared" si="163"/>
        <v>0</v>
      </c>
      <c r="G60" s="160">
        <f t="shared" si="163"/>
        <v>0</v>
      </c>
      <c r="H60" s="160">
        <f t="shared" si="163"/>
        <v>0</v>
      </c>
      <c r="I60" s="160">
        <f t="shared" si="163"/>
        <v>0</v>
      </c>
      <c r="J60" s="160">
        <f t="shared" si="163"/>
        <v>0</v>
      </c>
      <c r="K60" s="160">
        <f t="shared" si="163"/>
        <v>0</v>
      </c>
      <c r="L60" s="160">
        <f t="shared" si="163"/>
        <v>0</v>
      </c>
      <c r="M60" s="160">
        <f t="shared" si="163"/>
        <v>0</v>
      </c>
      <c r="N60" s="160">
        <f t="shared" si="163"/>
        <v>0</v>
      </c>
      <c r="O60" s="160">
        <f t="shared" si="163"/>
        <v>0</v>
      </c>
      <c r="P60" s="160">
        <f t="shared" si="163"/>
        <v>0</v>
      </c>
      <c r="Q60" s="118" t="e">
        <f>((P60/G60)^(1/($H$2-$H$1) ))-1</f>
        <v>#DIV/0!</v>
      </c>
      <c r="R60" s="128"/>
      <c r="S60" s="161">
        <f t="shared" ref="S60:AB60" si="164">S39</f>
        <v>0</v>
      </c>
      <c r="T60" s="161">
        <f t="shared" si="164"/>
        <v>0</v>
      </c>
      <c r="U60" s="161">
        <f t="shared" si="164"/>
        <v>0</v>
      </c>
      <c r="V60" s="161">
        <f t="shared" si="164"/>
        <v>0</v>
      </c>
      <c r="W60" s="161">
        <f t="shared" si="164"/>
        <v>0</v>
      </c>
      <c r="X60" s="161">
        <f t="shared" si="164"/>
        <v>0</v>
      </c>
      <c r="Y60" s="161">
        <f t="shared" si="164"/>
        <v>0</v>
      </c>
      <c r="Z60" s="161">
        <f t="shared" si="164"/>
        <v>0</v>
      </c>
      <c r="AA60" s="161">
        <f t="shared" si="164"/>
        <v>0</v>
      </c>
      <c r="AB60" s="161">
        <f t="shared" si="164"/>
        <v>0</v>
      </c>
      <c r="AC60" s="138" t="e">
        <f t="shared" ref="AC60" si="165">((AB60/G60)^(1/($AB$3-$H$1) ))-1</f>
        <v>#DIV/0!</v>
      </c>
      <c r="AD60" s="31">
        <f t="shared" si="17"/>
        <v>0.08</v>
      </c>
      <c r="AE60" s="146">
        <f t="shared" si="139"/>
        <v>0</v>
      </c>
    </row>
    <row r="61" spans="2:31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  <c r="AC61" s="139"/>
      <c r="AD61" s="137"/>
      <c r="AE61" s="155"/>
    </row>
    <row r="62" spans="2:31">
      <c r="B62" s="20" t="s">
        <v>321</v>
      </c>
      <c r="C62" s="127">
        <f t="shared" ref="C62:P62" si="166">C19+C20</f>
        <v>0</v>
      </c>
      <c r="D62" s="127">
        <f t="shared" si="166"/>
        <v>0</v>
      </c>
      <c r="E62" s="127">
        <f t="shared" si="166"/>
        <v>0</v>
      </c>
      <c r="F62" s="144">
        <f t="shared" si="166"/>
        <v>0</v>
      </c>
      <c r="G62" s="144">
        <f t="shared" si="166"/>
        <v>0</v>
      </c>
      <c r="H62" s="144">
        <f t="shared" si="166"/>
        <v>0</v>
      </c>
      <c r="I62" s="144">
        <f t="shared" si="166"/>
        <v>0</v>
      </c>
      <c r="J62" s="144">
        <f t="shared" si="166"/>
        <v>0</v>
      </c>
      <c r="K62" s="144">
        <f t="shared" si="166"/>
        <v>0</v>
      </c>
      <c r="L62" s="144">
        <f t="shared" si="166"/>
        <v>0</v>
      </c>
      <c r="M62" s="144">
        <f t="shared" si="166"/>
        <v>0</v>
      </c>
      <c r="N62" s="144">
        <f t="shared" si="166"/>
        <v>0</v>
      </c>
      <c r="O62" s="144">
        <f t="shared" si="166"/>
        <v>0</v>
      </c>
      <c r="P62" s="144">
        <f t="shared" si="166"/>
        <v>0</v>
      </c>
      <c r="Q62" s="118" t="e">
        <f>((P62/G62)^(1/($H$2-$H$1) ))-1</f>
        <v>#DIV/0!</v>
      </c>
      <c r="R62" s="128"/>
      <c r="S62" s="144">
        <f t="shared" ref="S62:AB62" si="167">S19+S20</f>
        <v>0</v>
      </c>
      <c r="T62" s="144">
        <f t="shared" si="167"/>
        <v>0</v>
      </c>
      <c r="U62" s="144">
        <f t="shared" si="167"/>
        <v>0</v>
      </c>
      <c r="V62" s="144">
        <f t="shared" si="167"/>
        <v>0</v>
      </c>
      <c r="W62" s="144">
        <f t="shared" si="167"/>
        <v>0</v>
      </c>
      <c r="X62" s="144">
        <f t="shared" si="167"/>
        <v>0</v>
      </c>
      <c r="Y62" s="144">
        <f t="shared" si="167"/>
        <v>0</v>
      </c>
      <c r="Z62" s="144">
        <f t="shared" si="167"/>
        <v>0</v>
      </c>
      <c r="AA62" s="144">
        <f t="shared" si="167"/>
        <v>0</v>
      </c>
      <c r="AB62" s="144">
        <f t="shared" si="167"/>
        <v>0</v>
      </c>
      <c r="AC62" s="138" t="e">
        <f t="shared" ref="AC62:AC67" si="168">((AB62/G62)^(1/($AB$3-$H$1) ))-1</f>
        <v>#DIV/0!</v>
      </c>
      <c r="AD62" s="31">
        <f t="shared" si="17"/>
        <v>0.08</v>
      </c>
      <c r="AE62" s="146">
        <f t="shared" si="139"/>
        <v>0</v>
      </c>
    </row>
    <row r="63" spans="2:31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28"/>
      <c r="R63" s="128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39"/>
      <c r="AD63" s="137"/>
      <c r="AE63" s="146"/>
    </row>
    <row r="64" spans="2:31">
      <c r="B64" s="20" t="s">
        <v>322</v>
      </c>
      <c r="C64" s="127">
        <f t="shared" ref="C64:P64" si="169">C62/C38</f>
        <v>0</v>
      </c>
      <c r="D64" s="127">
        <f t="shared" si="169"/>
        <v>0</v>
      </c>
      <c r="E64" s="127">
        <f t="shared" si="169"/>
        <v>0</v>
      </c>
      <c r="F64" s="144" t="e">
        <f t="shared" si="169"/>
        <v>#DIV/0!</v>
      </c>
      <c r="G64" s="144" t="e">
        <f t="shared" si="169"/>
        <v>#DIV/0!</v>
      </c>
      <c r="H64" s="144" t="e">
        <f t="shared" si="169"/>
        <v>#DIV/0!</v>
      </c>
      <c r="I64" s="144" t="e">
        <f t="shared" si="169"/>
        <v>#DIV/0!</v>
      </c>
      <c r="J64" s="144" t="e">
        <f t="shared" si="169"/>
        <v>#DIV/0!</v>
      </c>
      <c r="K64" s="144" t="e">
        <f t="shared" si="169"/>
        <v>#DIV/0!</v>
      </c>
      <c r="L64" s="144" t="e">
        <f t="shared" si="169"/>
        <v>#DIV/0!</v>
      </c>
      <c r="M64" s="144" t="e">
        <f t="shared" si="169"/>
        <v>#DIV/0!</v>
      </c>
      <c r="N64" s="144" t="e">
        <f t="shared" si="169"/>
        <v>#DIV/0!</v>
      </c>
      <c r="O64" s="144" t="e">
        <f t="shared" si="169"/>
        <v>#DIV/0!</v>
      </c>
      <c r="P64" s="144" t="e">
        <f t="shared" si="169"/>
        <v>#DIV/0!</v>
      </c>
      <c r="Q64" s="118" t="e">
        <f>((P64/G64)^(1/($H$2-$H$1) ))-1</f>
        <v>#DIV/0!</v>
      </c>
      <c r="R64" s="128"/>
      <c r="S64" s="146">
        <f t="shared" ref="S64:AB64" si="170">S62/S38</f>
        <v>0</v>
      </c>
      <c r="T64" s="146">
        <f t="shared" si="170"/>
        <v>0</v>
      </c>
      <c r="U64" s="146">
        <f t="shared" si="170"/>
        <v>0</v>
      </c>
      <c r="V64" s="146">
        <f t="shared" si="170"/>
        <v>0</v>
      </c>
      <c r="W64" s="146">
        <f t="shared" si="170"/>
        <v>0</v>
      </c>
      <c r="X64" s="146">
        <f t="shared" si="170"/>
        <v>0</v>
      </c>
      <c r="Y64" s="146">
        <f t="shared" si="170"/>
        <v>0</v>
      </c>
      <c r="Z64" s="146">
        <f t="shared" si="170"/>
        <v>0</v>
      </c>
      <c r="AA64" s="146">
        <f t="shared" si="170"/>
        <v>0</v>
      </c>
      <c r="AB64" s="146">
        <f t="shared" si="170"/>
        <v>0</v>
      </c>
      <c r="AC64" s="138" t="e">
        <f t="shared" si="168"/>
        <v>#DIV/0!</v>
      </c>
      <c r="AD64" s="31">
        <f t="shared" si="17"/>
        <v>0.08</v>
      </c>
      <c r="AE64" s="146">
        <f t="shared" si="139"/>
        <v>0</v>
      </c>
    </row>
    <row r="65" spans="2:31">
      <c r="B65" s="20" t="s">
        <v>288</v>
      </c>
      <c r="C65" s="127">
        <f t="shared" ref="C65:P65" si="171">C19/C38</f>
        <v>0</v>
      </c>
      <c r="D65" s="127">
        <f t="shared" si="171"/>
        <v>0</v>
      </c>
      <c r="E65" s="127">
        <f t="shared" si="171"/>
        <v>0</v>
      </c>
      <c r="F65" s="144" t="e">
        <f t="shared" si="171"/>
        <v>#DIV/0!</v>
      </c>
      <c r="G65" s="144" t="e">
        <f t="shared" si="171"/>
        <v>#DIV/0!</v>
      </c>
      <c r="H65" s="144" t="e">
        <f t="shared" si="171"/>
        <v>#DIV/0!</v>
      </c>
      <c r="I65" s="144" t="e">
        <f t="shared" si="171"/>
        <v>#DIV/0!</v>
      </c>
      <c r="J65" s="144" t="e">
        <f t="shared" si="171"/>
        <v>#DIV/0!</v>
      </c>
      <c r="K65" s="144" t="e">
        <f t="shared" si="171"/>
        <v>#DIV/0!</v>
      </c>
      <c r="L65" s="144" t="e">
        <f t="shared" si="171"/>
        <v>#DIV/0!</v>
      </c>
      <c r="M65" s="144" t="e">
        <f t="shared" si="171"/>
        <v>#DIV/0!</v>
      </c>
      <c r="N65" s="144" t="e">
        <f t="shared" si="171"/>
        <v>#DIV/0!</v>
      </c>
      <c r="O65" s="144" t="e">
        <f t="shared" si="171"/>
        <v>#DIV/0!</v>
      </c>
      <c r="P65" s="144" t="e">
        <f t="shared" si="171"/>
        <v>#DIV/0!</v>
      </c>
      <c r="Q65" s="118" t="e">
        <f>((P65/G65)^(1/($H$2-$H$1) ))-1</f>
        <v>#DIV/0!</v>
      </c>
      <c r="R65" s="128"/>
      <c r="S65" s="146">
        <f t="shared" ref="S65:AB65" si="172">S19/S38</f>
        <v>0</v>
      </c>
      <c r="T65" s="146">
        <f t="shared" si="172"/>
        <v>0</v>
      </c>
      <c r="U65" s="146">
        <f t="shared" si="172"/>
        <v>0</v>
      </c>
      <c r="V65" s="146">
        <f t="shared" si="172"/>
        <v>0</v>
      </c>
      <c r="W65" s="146">
        <f t="shared" si="172"/>
        <v>0</v>
      </c>
      <c r="X65" s="146">
        <f t="shared" si="172"/>
        <v>0</v>
      </c>
      <c r="Y65" s="146">
        <f t="shared" si="172"/>
        <v>0</v>
      </c>
      <c r="Z65" s="146">
        <f t="shared" si="172"/>
        <v>0</v>
      </c>
      <c r="AA65" s="146">
        <f t="shared" si="172"/>
        <v>0</v>
      </c>
      <c r="AB65" s="146">
        <f t="shared" si="172"/>
        <v>0</v>
      </c>
      <c r="AC65" s="138" t="e">
        <f t="shared" si="168"/>
        <v>#DIV/0!</v>
      </c>
      <c r="AD65" s="31">
        <f t="shared" si="17"/>
        <v>0.08</v>
      </c>
      <c r="AE65" s="146">
        <f t="shared" si="139"/>
        <v>0</v>
      </c>
    </row>
    <row r="66" spans="2:31">
      <c r="B66" s="20" t="s">
        <v>289</v>
      </c>
      <c r="C66" s="127">
        <f t="shared" ref="C66:P66" si="173">C20/C38</f>
        <v>0</v>
      </c>
      <c r="D66" s="127">
        <f t="shared" si="173"/>
        <v>0</v>
      </c>
      <c r="E66" s="127">
        <f t="shared" si="173"/>
        <v>0</v>
      </c>
      <c r="F66" s="144" t="e">
        <f t="shared" si="173"/>
        <v>#DIV/0!</v>
      </c>
      <c r="G66" s="144" t="e">
        <f t="shared" si="173"/>
        <v>#DIV/0!</v>
      </c>
      <c r="H66" s="144" t="e">
        <f t="shared" si="173"/>
        <v>#DIV/0!</v>
      </c>
      <c r="I66" s="144" t="e">
        <f t="shared" si="173"/>
        <v>#DIV/0!</v>
      </c>
      <c r="J66" s="144" t="e">
        <f t="shared" si="173"/>
        <v>#DIV/0!</v>
      </c>
      <c r="K66" s="144" t="e">
        <f t="shared" si="173"/>
        <v>#DIV/0!</v>
      </c>
      <c r="L66" s="144" t="e">
        <f t="shared" si="173"/>
        <v>#DIV/0!</v>
      </c>
      <c r="M66" s="144" t="e">
        <f t="shared" si="173"/>
        <v>#DIV/0!</v>
      </c>
      <c r="N66" s="144" t="e">
        <f t="shared" si="173"/>
        <v>#DIV/0!</v>
      </c>
      <c r="O66" s="144" t="e">
        <f t="shared" si="173"/>
        <v>#DIV/0!</v>
      </c>
      <c r="P66" s="144" t="e">
        <f t="shared" si="173"/>
        <v>#DIV/0!</v>
      </c>
      <c r="Q66" s="118" t="e">
        <f>((P66/G66)^(1/($H$2-$H$1) ))-1</f>
        <v>#DIV/0!</v>
      </c>
      <c r="R66" s="128"/>
      <c r="S66" s="146">
        <f t="shared" ref="S66:AB66" si="174">S20/S38</f>
        <v>0</v>
      </c>
      <c r="T66" s="146">
        <f t="shared" si="174"/>
        <v>0</v>
      </c>
      <c r="U66" s="146">
        <f t="shared" si="174"/>
        <v>0</v>
      </c>
      <c r="V66" s="146">
        <f t="shared" si="174"/>
        <v>0</v>
      </c>
      <c r="W66" s="146">
        <f t="shared" si="174"/>
        <v>0</v>
      </c>
      <c r="X66" s="146">
        <f t="shared" si="174"/>
        <v>0</v>
      </c>
      <c r="Y66" s="146">
        <f t="shared" si="174"/>
        <v>0</v>
      </c>
      <c r="Z66" s="146">
        <f t="shared" si="174"/>
        <v>0</v>
      </c>
      <c r="AA66" s="146">
        <f t="shared" si="174"/>
        <v>0</v>
      </c>
      <c r="AB66" s="146">
        <f t="shared" si="174"/>
        <v>0</v>
      </c>
      <c r="AC66" s="138" t="e">
        <f t="shared" si="168"/>
        <v>#DIV/0!</v>
      </c>
      <c r="AD66" s="31">
        <f t="shared" si="17"/>
        <v>0.08</v>
      </c>
      <c r="AE66" s="146">
        <f t="shared" si="139"/>
        <v>0</v>
      </c>
    </row>
    <row r="67" spans="2:31">
      <c r="B67" s="20" t="s">
        <v>290</v>
      </c>
      <c r="C67" s="127">
        <f t="shared" ref="C67:P67" si="175">C21/C38</f>
        <v>0</v>
      </c>
      <c r="D67" s="127">
        <f t="shared" si="175"/>
        <v>0</v>
      </c>
      <c r="E67" s="127">
        <f t="shared" si="175"/>
        <v>0</v>
      </c>
      <c r="F67" s="144" t="e">
        <f t="shared" si="175"/>
        <v>#DIV/0!</v>
      </c>
      <c r="G67" s="144" t="e">
        <f t="shared" si="175"/>
        <v>#DIV/0!</v>
      </c>
      <c r="H67" s="144" t="e">
        <f t="shared" si="175"/>
        <v>#DIV/0!</v>
      </c>
      <c r="I67" s="144" t="e">
        <f t="shared" si="175"/>
        <v>#DIV/0!</v>
      </c>
      <c r="J67" s="144" t="e">
        <f t="shared" si="175"/>
        <v>#DIV/0!</v>
      </c>
      <c r="K67" s="144" t="e">
        <f t="shared" si="175"/>
        <v>#DIV/0!</v>
      </c>
      <c r="L67" s="144" t="e">
        <f t="shared" si="175"/>
        <v>#DIV/0!</v>
      </c>
      <c r="M67" s="144" t="e">
        <f t="shared" si="175"/>
        <v>#DIV/0!</v>
      </c>
      <c r="N67" s="144" t="e">
        <f t="shared" si="175"/>
        <v>#DIV/0!</v>
      </c>
      <c r="O67" s="144" t="e">
        <f t="shared" si="175"/>
        <v>#DIV/0!</v>
      </c>
      <c r="P67" s="144" t="e">
        <f t="shared" si="175"/>
        <v>#DIV/0!</v>
      </c>
      <c r="Q67" s="118" t="e">
        <f>((P67/G67)^(1/($H$2-$H$1) ))-1</f>
        <v>#DIV/0!</v>
      </c>
      <c r="R67" s="128"/>
      <c r="S67" s="146">
        <f t="shared" ref="S67:AB67" si="176">S21/S38</f>
        <v>0</v>
      </c>
      <c r="T67" s="146">
        <f t="shared" si="176"/>
        <v>0</v>
      </c>
      <c r="U67" s="146">
        <f t="shared" si="176"/>
        <v>0</v>
      </c>
      <c r="V67" s="146">
        <f t="shared" si="176"/>
        <v>0</v>
      </c>
      <c r="W67" s="146">
        <f t="shared" si="176"/>
        <v>0</v>
      </c>
      <c r="X67" s="146">
        <f t="shared" si="176"/>
        <v>0</v>
      </c>
      <c r="Y67" s="146">
        <f t="shared" si="176"/>
        <v>0</v>
      </c>
      <c r="Z67" s="146">
        <f t="shared" si="176"/>
        <v>0</v>
      </c>
      <c r="AA67" s="146">
        <f t="shared" si="176"/>
        <v>0</v>
      </c>
      <c r="AB67" s="146">
        <f t="shared" si="176"/>
        <v>0</v>
      </c>
      <c r="AC67" s="138" t="e">
        <f t="shared" si="168"/>
        <v>#DIV/0!</v>
      </c>
      <c r="AD67" s="31">
        <f t="shared" si="17"/>
        <v>0.08</v>
      </c>
      <c r="AE67" s="146">
        <f t="shared" si="139"/>
        <v>0</v>
      </c>
    </row>
    <row r="68" spans="2:31">
      <c r="B68" s="20" t="s">
        <v>297</v>
      </c>
      <c r="C68" s="127">
        <f t="shared" ref="C68:P68" si="177">C22/C38</f>
        <v>0</v>
      </c>
      <c r="D68" s="127">
        <f t="shared" si="177"/>
        <v>0</v>
      </c>
      <c r="E68" s="127">
        <f t="shared" si="177"/>
        <v>0</v>
      </c>
      <c r="F68" s="144" t="e">
        <f t="shared" si="177"/>
        <v>#DIV/0!</v>
      </c>
      <c r="G68" s="144" t="e">
        <f t="shared" si="177"/>
        <v>#DIV/0!</v>
      </c>
      <c r="H68" s="144" t="e">
        <f t="shared" si="177"/>
        <v>#DIV/0!</v>
      </c>
      <c r="I68" s="144" t="e">
        <f t="shared" si="177"/>
        <v>#DIV/0!</v>
      </c>
      <c r="J68" s="144" t="e">
        <f t="shared" si="177"/>
        <v>#DIV/0!</v>
      </c>
      <c r="K68" s="144" t="e">
        <f t="shared" si="177"/>
        <v>#DIV/0!</v>
      </c>
      <c r="L68" s="144" t="e">
        <f t="shared" si="177"/>
        <v>#DIV/0!</v>
      </c>
      <c r="M68" s="144" t="e">
        <f t="shared" si="177"/>
        <v>#DIV/0!</v>
      </c>
      <c r="N68" s="144" t="e">
        <f t="shared" si="177"/>
        <v>#DIV/0!</v>
      </c>
      <c r="O68" s="144" t="e">
        <f t="shared" si="177"/>
        <v>#DIV/0!</v>
      </c>
      <c r="P68" s="144" t="e">
        <f t="shared" si="177"/>
        <v>#DIV/0!</v>
      </c>
      <c r="Q68" s="118" t="e">
        <f>((P68/G68)^(1/($H$2-$H$1) ))-1</f>
        <v>#DIV/0!</v>
      </c>
      <c r="R68" s="128"/>
      <c r="S68" s="146">
        <f t="shared" ref="S68:AB68" si="178">S22/S38</f>
        <v>0</v>
      </c>
      <c r="T68" s="146">
        <f t="shared" si="178"/>
        <v>0</v>
      </c>
      <c r="U68" s="146">
        <f t="shared" si="178"/>
        <v>0</v>
      </c>
      <c r="V68" s="146">
        <f t="shared" si="178"/>
        <v>0</v>
      </c>
      <c r="W68" s="146">
        <f t="shared" si="178"/>
        <v>0</v>
      </c>
      <c r="X68" s="146">
        <f t="shared" si="178"/>
        <v>0</v>
      </c>
      <c r="Y68" s="146">
        <f t="shared" si="178"/>
        <v>0</v>
      </c>
      <c r="Z68" s="146">
        <f t="shared" si="178"/>
        <v>0</v>
      </c>
      <c r="AA68" s="146">
        <f t="shared" si="178"/>
        <v>0</v>
      </c>
      <c r="AB68" s="146">
        <f t="shared" si="178"/>
        <v>0</v>
      </c>
      <c r="AC68" s="138" t="e">
        <f t="shared" ref="AC68" si="179">((AB68/G68)^(1/($AB$3-$H$1) ))-1</f>
        <v>#DIV/0!</v>
      </c>
      <c r="AD68" s="31">
        <f t="shared" si="17"/>
        <v>0.08</v>
      </c>
      <c r="AE68" s="146">
        <f t="shared" si="139"/>
        <v>0</v>
      </c>
    </row>
    <row r="69" spans="2:31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39"/>
      <c r="AD69" s="137"/>
      <c r="AE69" s="155"/>
    </row>
    <row r="70" spans="2:31">
      <c r="B70" s="20" t="s">
        <v>315</v>
      </c>
      <c r="C70" s="144">
        <f t="shared" ref="C70:P70" si="180">C34/C38</f>
        <v>0</v>
      </c>
      <c r="D70" s="144">
        <f t="shared" si="180"/>
        <v>0</v>
      </c>
      <c r="E70" s="144">
        <f t="shared" si="180"/>
        <v>0</v>
      </c>
      <c r="F70" s="144" t="e">
        <f t="shared" si="180"/>
        <v>#DIV/0!</v>
      </c>
      <c r="G70" s="144" t="e">
        <f t="shared" si="180"/>
        <v>#DIV/0!</v>
      </c>
      <c r="H70" s="144" t="e">
        <f t="shared" si="180"/>
        <v>#DIV/0!</v>
      </c>
      <c r="I70" s="144" t="e">
        <f t="shared" si="180"/>
        <v>#DIV/0!</v>
      </c>
      <c r="J70" s="144" t="e">
        <f t="shared" si="180"/>
        <v>#DIV/0!</v>
      </c>
      <c r="K70" s="144" t="e">
        <f t="shared" si="180"/>
        <v>#DIV/0!</v>
      </c>
      <c r="L70" s="144" t="e">
        <f t="shared" si="180"/>
        <v>#DIV/0!</v>
      </c>
      <c r="M70" s="144" t="e">
        <f t="shared" si="180"/>
        <v>#DIV/0!</v>
      </c>
      <c r="N70" s="144" t="e">
        <f t="shared" si="180"/>
        <v>#DIV/0!</v>
      </c>
      <c r="O70" s="144" t="e">
        <f t="shared" si="180"/>
        <v>#DIV/0!</v>
      </c>
      <c r="P70" s="144" t="e">
        <f t="shared" si="180"/>
        <v>#DIV/0!</v>
      </c>
      <c r="Q70" s="118" t="e">
        <f>((P70/G70)^(1/($H$2-$H$1) ))-1</f>
        <v>#DIV/0!</v>
      </c>
      <c r="R70" s="128"/>
      <c r="S70" s="144">
        <f t="shared" ref="S70:AB70" si="181">S34/S38</f>
        <v>0</v>
      </c>
      <c r="T70" s="144">
        <f t="shared" si="181"/>
        <v>0</v>
      </c>
      <c r="U70" s="144">
        <f t="shared" si="181"/>
        <v>0</v>
      </c>
      <c r="V70" s="144">
        <f t="shared" si="181"/>
        <v>0</v>
      </c>
      <c r="W70" s="144">
        <f t="shared" si="181"/>
        <v>0</v>
      </c>
      <c r="X70" s="144">
        <f t="shared" si="181"/>
        <v>0</v>
      </c>
      <c r="Y70" s="144">
        <f t="shared" si="181"/>
        <v>0</v>
      </c>
      <c r="Z70" s="144">
        <f t="shared" si="181"/>
        <v>0</v>
      </c>
      <c r="AA70" s="144">
        <f t="shared" si="181"/>
        <v>0</v>
      </c>
      <c r="AB70" s="144">
        <f t="shared" si="181"/>
        <v>0</v>
      </c>
      <c r="AC70" s="138" t="e">
        <f t="shared" ref="AC70:AC72" si="182">((AB70/G70)^(1/($AB$3-$H$1) ))-1</f>
        <v>#DIV/0!</v>
      </c>
      <c r="AD70" s="31">
        <f t="shared" si="17"/>
        <v>0.08</v>
      </c>
      <c r="AE70" s="146">
        <f t="shared" si="139"/>
        <v>0</v>
      </c>
    </row>
    <row r="71" spans="2:31">
      <c r="B71" s="20" t="s">
        <v>316</v>
      </c>
      <c r="C71" s="144">
        <f t="shared" ref="C71:P71" si="183">C36/C38</f>
        <v>0</v>
      </c>
      <c r="D71" s="144">
        <f t="shared" si="183"/>
        <v>0</v>
      </c>
      <c r="E71" s="144">
        <f t="shared" si="183"/>
        <v>0</v>
      </c>
      <c r="F71" s="144" t="e">
        <f t="shared" si="183"/>
        <v>#DIV/0!</v>
      </c>
      <c r="G71" s="144" t="e">
        <f t="shared" si="183"/>
        <v>#DIV/0!</v>
      </c>
      <c r="H71" s="144" t="e">
        <f t="shared" si="183"/>
        <v>#DIV/0!</v>
      </c>
      <c r="I71" s="144" t="e">
        <f t="shared" si="183"/>
        <v>#DIV/0!</v>
      </c>
      <c r="J71" s="144" t="e">
        <f t="shared" si="183"/>
        <v>#DIV/0!</v>
      </c>
      <c r="K71" s="144" t="e">
        <f t="shared" si="183"/>
        <v>#DIV/0!</v>
      </c>
      <c r="L71" s="144" t="e">
        <f t="shared" si="183"/>
        <v>#DIV/0!</v>
      </c>
      <c r="M71" s="144" t="e">
        <f t="shared" si="183"/>
        <v>#DIV/0!</v>
      </c>
      <c r="N71" s="144" t="e">
        <f t="shared" si="183"/>
        <v>#DIV/0!</v>
      </c>
      <c r="O71" s="144" t="e">
        <f t="shared" si="183"/>
        <v>#DIV/0!</v>
      </c>
      <c r="P71" s="144" t="e">
        <f t="shared" si="183"/>
        <v>#DIV/0!</v>
      </c>
      <c r="Q71" s="118" t="e">
        <f>((P71/G71)^(1/($H$2-$H$1) ))-1</f>
        <v>#DIV/0!</v>
      </c>
      <c r="R71" s="128"/>
      <c r="S71" s="144">
        <f t="shared" ref="S71:AB71" si="184">S36/S38</f>
        <v>0</v>
      </c>
      <c r="T71" s="144">
        <f t="shared" si="184"/>
        <v>0</v>
      </c>
      <c r="U71" s="144">
        <f t="shared" si="184"/>
        <v>0</v>
      </c>
      <c r="V71" s="144">
        <f t="shared" si="184"/>
        <v>0</v>
      </c>
      <c r="W71" s="144">
        <f t="shared" si="184"/>
        <v>0</v>
      </c>
      <c r="X71" s="144">
        <f t="shared" si="184"/>
        <v>0</v>
      </c>
      <c r="Y71" s="144">
        <f t="shared" si="184"/>
        <v>0</v>
      </c>
      <c r="Z71" s="144">
        <f t="shared" si="184"/>
        <v>0</v>
      </c>
      <c r="AA71" s="144">
        <f t="shared" si="184"/>
        <v>0</v>
      </c>
      <c r="AB71" s="144">
        <f t="shared" si="184"/>
        <v>0</v>
      </c>
      <c r="AC71" s="138" t="e">
        <f t="shared" si="182"/>
        <v>#DIV/0!</v>
      </c>
      <c r="AD71" s="31">
        <f t="shared" si="17"/>
        <v>0.08</v>
      </c>
      <c r="AE71" s="146">
        <f t="shared" si="139"/>
        <v>0</v>
      </c>
    </row>
    <row r="72" spans="2:31">
      <c r="B72" s="20" t="s">
        <v>317</v>
      </c>
      <c r="C72" s="144">
        <f t="shared" ref="C72:P72" si="185">C6/C38</f>
        <v>0</v>
      </c>
      <c r="D72" s="144">
        <f t="shared" si="185"/>
        <v>0</v>
      </c>
      <c r="E72" s="144">
        <f t="shared" si="185"/>
        <v>0</v>
      </c>
      <c r="F72" s="144" t="e">
        <f t="shared" si="185"/>
        <v>#DIV/0!</v>
      </c>
      <c r="G72" s="144" t="e">
        <f t="shared" si="185"/>
        <v>#DIV/0!</v>
      </c>
      <c r="H72" s="144" t="e">
        <f t="shared" si="185"/>
        <v>#DIV/0!</v>
      </c>
      <c r="I72" s="144" t="e">
        <f t="shared" si="185"/>
        <v>#DIV/0!</v>
      </c>
      <c r="J72" s="144" t="e">
        <f t="shared" si="185"/>
        <v>#DIV/0!</v>
      </c>
      <c r="K72" s="144" t="e">
        <f t="shared" si="185"/>
        <v>#DIV/0!</v>
      </c>
      <c r="L72" s="144" t="e">
        <f t="shared" si="185"/>
        <v>#DIV/0!</v>
      </c>
      <c r="M72" s="144" t="e">
        <f t="shared" si="185"/>
        <v>#DIV/0!</v>
      </c>
      <c r="N72" s="144" t="e">
        <f t="shared" si="185"/>
        <v>#DIV/0!</v>
      </c>
      <c r="O72" s="144" t="e">
        <f t="shared" si="185"/>
        <v>#DIV/0!</v>
      </c>
      <c r="P72" s="144" t="e">
        <f t="shared" si="185"/>
        <v>#DIV/0!</v>
      </c>
      <c r="Q72" s="118" t="e">
        <f>((P72/G72)^(1/($H$2-$H$1) ))-1</f>
        <v>#DIV/0!</v>
      </c>
      <c r="R72" s="128"/>
      <c r="S72" s="144">
        <f t="shared" ref="S72:AB72" si="186">S6/S38</f>
        <v>72.03840000000001</v>
      </c>
      <c r="T72" s="144">
        <f t="shared" si="186"/>
        <v>72.03840000000001</v>
      </c>
      <c r="U72" s="144">
        <f t="shared" si="186"/>
        <v>72.03840000000001</v>
      </c>
      <c r="V72" s="144">
        <f t="shared" si="186"/>
        <v>72.03840000000001</v>
      </c>
      <c r="W72" s="144">
        <f t="shared" si="186"/>
        <v>72.038400000000024</v>
      </c>
      <c r="X72" s="144">
        <f t="shared" si="186"/>
        <v>72.038400000000024</v>
      </c>
      <c r="Y72" s="144">
        <f t="shared" si="186"/>
        <v>72.038400000000024</v>
      </c>
      <c r="Z72" s="144">
        <f t="shared" si="186"/>
        <v>72.038400000000038</v>
      </c>
      <c r="AA72" s="144">
        <f t="shared" si="186"/>
        <v>72.038400000000038</v>
      </c>
      <c r="AB72" s="144">
        <f t="shared" si="186"/>
        <v>72.038400000000038</v>
      </c>
      <c r="AC72" s="138" t="e">
        <f t="shared" si="182"/>
        <v>#DIV/0!</v>
      </c>
      <c r="AD72" s="31">
        <f t="shared" ref="AD72" si="187">$L$1</f>
        <v>0.08</v>
      </c>
      <c r="AE72" s="146">
        <f t="shared" si="139"/>
        <v>555.7248000000003</v>
      </c>
    </row>
    <row r="73" spans="2:31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5"/>
    </row>
    <row r="74" spans="2:31">
      <c r="B74" s="20"/>
      <c r="C74" s="127"/>
      <c r="D74" s="127"/>
      <c r="E74" s="127"/>
      <c r="F74" s="144"/>
      <c r="G74" s="144"/>
      <c r="H74" s="144"/>
      <c r="I74" s="144"/>
      <c r="J74" s="144"/>
      <c r="K74" s="144"/>
      <c r="L74" s="144"/>
      <c r="M74" s="144"/>
      <c r="N74" s="144"/>
      <c r="O74" s="144"/>
      <c r="P74" s="144"/>
      <c r="Q74" s="128"/>
      <c r="R74" s="128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39"/>
      <c r="AD74" s="20"/>
      <c r="AE74" s="155"/>
    </row>
    <row r="75" spans="2:31">
      <c r="B75" s="108" t="s">
        <v>314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</row>
    <row r="76" spans="2:31">
      <c r="B76" s="20" t="s">
        <v>312</v>
      </c>
      <c r="C76" s="153" t="e">
        <f t="shared" ref="C76:P76" si="188">C34/C24</f>
        <v>#DIV/0!</v>
      </c>
      <c r="D76" s="153" t="e">
        <f t="shared" si="188"/>
        <v>#DIV/0!</v>
      </c>
      <c r="E76" s="153" t="e">
        <f t="shared" si="188"/>
        <v>#DIV/0!</v>
      </c>
      <c r="F76" s="153" t="e">
        <f t="shared" si="188"/>
        <v>#DIV/0!</v>
      </c>
      <c r="G76" s="153" t="e">
        <f t="shared" si="188"/>
        <v>#DIV/0!</v>
      </c>
      <c r="H76" s="153" t="e">
        <f t="shared" si="188"/>
        <v>#DIV/0!</v>
      </c>
      <c r="I76" s="153" t="e">
        <f t="shared" si="188"/>
        <v>#DIV/0!</v>
      </c>
      <c r="J76" s="153" t="e">
        <f t="shared" si="188"/>
        <v>#DIV/0!</v>
      </c>
      <c r="K76" s="153" t="e">
        <f t="shared" si="188"/>
        <v>#DIV/0!</v>
      </c>
      <c r="L76" s="153" t="e">
        <f t="shared" si="188"/>
        <v>#DIV/0!</v>
      </c>
      <c r="M76" s="153" t="e">
        <f t="shared" si="188"/>
        <v>#DIV/0!</v>
      </c>
      <c r="N76" s="153" t="e">
        <f t="shared" si="188"/>
        <v>#DIV/0!</v>
      </c>
      <c r="O76" s="153" t="e">
        <f t="shared" si="188"/>
        <v>#DIV/0!</v>
      </c>
      <c r="P76" s="153" t="e">
        <f t="shared" si="188"/>
        <v>#DIV/0!</v>
      </c>
      <c r="Q76" s="118" t="e">
        <f t="shared" ref="Q76:Q84" si="189">((P76/G76)^(1/($H$2-$H$1) ))-1</f>
        <v>#DIV/0!</v>
      </c>
      <c r="R76" s="153"/>
      <c r="S76" s="153" t="e">
        <f t="shared" ref="S76:AB76" si="190">S34/S24</f>
        <v>#DIV/0!</v>
      </c>
      <c r="T76" s="153" t="e">
        <f t="shared" si="190"/>
        <v>#DIV/0!</v>
      </c>
      <c r="U76" s="153" t="e">
        <f t="shared" si="190"/>
        <v>#DIV/0!</v>
      </c>
      <c r="V76" s="153" t="e">
        <f t="shared" si="190"/>
        <v>#DIV/0!</v>
      </c>
      <c r="W76" s="153" t="e">
        <f t="shared" si="190"/>
        <v>#DIV/0!</v>
      </c>
      <c r="X76" s="153" t="e">
        <f t="shared" si="190"/>
        <v>#DIV/0!</v>
      </c>
      <c r="Y76" s="153" t="e">
        <f t="shared" si="190"/>
        <v>#DIV/0!</v>
      </c>
      <c r="Z76" s="153" t="e">
        <f t="shared" si="190"/>
        <v>#DIV/0!</v>
      </c>
      <c r="AA76" s="153" t="e">
        <f t="shared" si="190"/>
        <v>#DIV/0!</v>
      </c>
      <c r="AB76" s="153" t="e">
        <f t="shared" si="190"/>
        <v>#DIV/0!</v>
      </c>
      <c r="AC76" s="138" t="e">
        <f t="shared" ref="AC76:AC84" si="191">((AB76/G76)^(1/($AB$3-$H$1) ))-1</f>
        <v>#DIV/0!</v>
      </c>
      <c r="AD76" s="146"/>
      <c r="AE76" s="146"/>
    </row>
    <row r="77" spans="2:31">
      <c r="B77" s="20" t="s">
        <v>267</v>
      </c>
      <c r="C77" s="153" t="e">
        <f t="shared" ref="C77:P77" si="192">C36/C24</f>
        <v>#DIV/0!</v>
      </c>
      <c r="D77" s="153" t="e">
        <f t="shared" si="192"/>
        <v>#DIV/0!</v>
      </c>
      <c r="E77" s="153" t="e">
        <f t="shared" si="192"/>
        <v>#DIV/0!</v>
      </c>
      <c r="F77" s="153" t="e">
        <f t="shared" si="192"/>
        <v>#DIV/0!</v>
      </c>
      <c r="G77" s="153" t="e">
        <f t="shared" si="192"/>
        <v>#DIV/0!</v>
      </c>
      <c r="H77" s="153" t="e">
        <f t="shared" si="192"/>
        <v>#DIV/0!</v>
      </c>
      <c r="I77" s="153" t="e">
        <f t="shared" si="192"/>
        <v>#DIV/0!</v>
      </c>
      <c r="J77" s="153" t="e">
        <f t="shared" si="192"/>
        <v>#DIV/0!</v>
      </c>
      <c r="K77" s="153" t="e">
        <f t="shared" si="192"/>
        <v>#DIV/0!</v>
      </c>
      <c r="L77" s="153" t="e">
        <f t="shared" si="192"/>
        <v>#DIV/0!</v>
      </c>
      <c r="M77" s="153" t="e">
        <f t="shared" si="192"/>
        <v>#DIV/0!</v>
      </c>
      <c r="N77" s="153" t="e">
        <f t="shared" si="192"/>
        <v>#DIV/0!</v>
      </c>
      <c r="O77" s="153" t="e">
        <f t="shared" si="192"/>
        <v>#DIV/0!</v>
      </c>
      <c r="P77" s="153" t="e">
        <f t="shared" si="192"/>
        <v>#DIV/0!</v>
      </c>
      <c r="Q77" s="118" t="e">
        <f t="shared" si="189"/>
        <v>#DIV/0!</v>
      </c>
      <c r="R77" s="153"/>
      <c r="S77" s="153" t="e">
        <f t="shared" ref="S77:AB77" si="193">S36/S24</f>
        <v>#DIV/0!</v>
      </c>
      <c r="T77" s="153" t="e">
        <f t="shared" si="193"/>
        <v>#DIV/0!</v>
      </c>
      <c r="U77" s="153" t="e">
        <f t="shared" si="193"/>
        <v>#DIV/0!</v>
      </c>
      <c r="V77" s="153" t="e">
        <f t="shared" si="193"/>
        <v>#DIV/0!</v>
      </c>
      <c r="W77" s="153" t="e">
        <f t="shared" si="193"/>
        <v>#DIV/0!</v>
      </c>
      <c r="X77" s="153" t="e">
        <f t="shared" si="193"/>
        <v>#DIV/0!</v>
      </c>
      <c r="Y77" s="153" t="e">
        <f t="shared" si="193"/>
        <v>#DIV/0!</v>
      </c>
      <c r="Z77" s="153" t="e">
        <f t="shared" si="193"/>
        <v>#DIV/0!</v>
      </c>
      <c r="AA77" s="153" t="e">
        <f t="shared" si="193"/>
        <v>#DIV/0!</v>
      </c>
      <c r="AB77" s="153" t="e">
        <f t="shared" si="193"/>
        <v>#DIV/0!</v>
      </c>
      <c r="AC77" s="138" t="e">
        <f t="shared" si="191"/>
        <v>#DIV/0!</v>
      </c>
      <c r="AD77" s="146"/>
      <c r="AE77" s="146"/>
    </row>
    <row r="78" spans="2:31">
      <c r="B78" s="20" t="s">
        <v>313</v>
      </c>
      <c r="C78" s="153" t="e">
        <f t="shared" ref="C78:P78" si="194">C36/C7</f>
        <v>#DIV/0!</v>
      </c>
      <c r="D78" s="153" t="e">
        <f t="shared" si="194"/>
        <v>#DIV/0!</v>
      </c>
      <c r="E78" s="153" t="e">
        <f t="shared" si="194"/>
        <v>#DIV/0!</v>
      </c>
      <c r="F78" s="153">
        <f t="shared" si="194"/>
        <v>0</v>
      </c>
      <c r="G78" s="153">
        <f t="shared" si="194"/>
        <v>0</v>
      </c>
      <c r="H78" s="153">
        <f t="shared" si="194"/>
        <v>0</v>
      </c>
      <c r="I78" s="153">
        <f t="shared" si="194"/>
        <v>0</v>
      </c>
      <c r="J78" s="153">
        <f t="shared" si="194"/>
        <v>0</v>
      </c>
      <c r="K78" s="153">
        <f t="shared" si="194"/>
        <v>0</v>
      </c>
      <c r="L78" s="153">
        <f t="shared" si="194"/>
        <v>0</v>
      </c>
      <c r="M78" s="153">
        <f t="shared" si="194"/>
        <v>0</v>
      </c>
      <c r="N78" s="153">
        <f t="shared" si="194"/>
        <v>0</v>
      </c>
      <c r="O78" s="153">
        <f t="shared" si="194"/>
        <v>0</v>
      </c>
      <c r="P78" s="153">
        <f t="shared" si="194"/>
        <v>0</v>
      </c>
      <c r="Q78" s="118" t="e">
        <f t="shared" si="189"/>
        <v>#DIV/0!</v>
      </c>
      <c r="R78" s="20"/>
      <c r="S78" s="153">
        <f t="shared" ref="S78:AB78" si="195">S36/S7</f>
        <v>0</v>
      </c>
      <c r="T78" s="153">
        <f t="shared" si="195"/>
        <v>0</v>
      </c>
      <c r="U78" s="153">
        <f t="shared" si="195"/>
        <v>0</v>
      </c>
      <c r="V78" s="153">
        <f t="shared" si="195"/>
        <v>0</v>
      </c>
      <c r="W78" s="153">
        <f t="shared" si="195"/>
        <v>0</v>
      </c>
      <c r="X78" s="153">
        <f t="shared" si="195"/>
        <v>0</v>
      </c>
      <c r="Y78" s="153">
        <f t="shared" si="195"/>
        <v>0</v>
      </c>
      <c r="Z78" s="153">
        <f t="shared" si="195"/>
        <v>0</v>
      </c>
      <c r="AA78" s="153">
        <f t="shared" si="195"/>
        <v>0</v>
      </c>
      <c r="AB78" s="153">
        <f t="shared" si="195"/>
        <v>0</v>
      </c>
      <c r="AC78" s="138" t="e">
        <f t="shared" si="191"/>
        <v>#DIV/0!</v>
      </c>
      <c r="AD78" s="146"/>
      <c r="AE78" s="146"/>
    </row>
    <row r="79" spans="2:31">
      <c r="B79" s="20" t="s">
        <v>324</v>
      </c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18" t="e">
        <f t="shared" si="189"/>
        <v>#DIV/0!</v>
      </c>
      <c r="R79" s="20"/>
      <c r="S79" s="153"/>
      <c r="T79" s="153"/>
      <c r="U79" s="153"/>
      <c r="V79" s="153"/>
      <c r="W79" s="153"/>
      <c r="X79" s="153"/>
      <c r="Y79" s="153"/>
      <c r="Z79" s="153"/>
      <c r="AA79" s="153"/>
      <c r="AB79" s="153"/>
      <c r="AC79" s="138" t="e">
        <f t="shared" si="191"/>
        <v>#DIV/0!</v>
      </c>
      <c r="AD79" s="146"/>
      <c r="AE79" s="146"/>
    </row>
    <row r="80" spans="2:31">
      <c r="B80" s="20" t="s">
        <v>329</v>
      </c>
      <c r="C80" s="153"/>
      <c r="D80" s="153"/>
      <c r="E80" s="153"/>
      <c r="F80" s="153"/>
      <c r="G80" s="153" t="e">
        <f>G28/G24</f>
        <v>#DIV/0!</v>
      </c>
      <c r="H80" s="153" t="e">
        <f t="shared" ref="H80:P80" si="196">H28/H24</f>
        <v>#DIV/0!</v>
      </c>
      <c r="I80" s="153" t="e">
        <f t="shared" si="196"/>
        <v>#DIV/0!</v>
      </c>
      <c r="J80" s="153" t="e">
        <f t="shared" si="196"/>
        <v>#DIV/0!</v>
      </c>
      <c r="K80" s="153" t="e">
        <f t="shared" si="196"/>
        <v>#DIV/0!</v>
      </c>
      <c r="L80" s="153" t="e">
        <f t="shared" si="196"/>
        <v>#DIV/0!</v>
      </c>
      <c r="M80" s="153" t="e">
        <f t="shared" si="196"/>
        <v>#DIV/0!</v>
      </c>
      <c r="N80" s="153" t="e">
        <f t="shared" si="196"/>
        <v>#DIV/0!</v>
      </c>
      <c r="O80" s="153" t="e">
        <f t="shared" si="196"/>
        <v>#DIV/0!</v>
      </c>
      <c r="P80" s="153" t="e">
        <f t="shared" si="196"/>
        <v>#DIV/0!</v>
      </c>
      <c r="Q80" s="118" t="e">
        <f t="shared" si="189"/>
        <v>#DIV/0!</v>
      </c>
      <c r="R80" s="20"/>
      <c r="S80" s="153" t="e">
        <f t="shared" ref="S80:AB80" si="197">S28/S24</f>
        <v>#DIV/0!</v>
      </c>
      <c r="T80" s="153" t="e">
        <f t="shared" si="197"/>
        <v>#DIV/0!</v>
      </c>
      <c r="U80" s="153" t="e">
        <f t="shared" si="197"/>
        <v>#DIV/0!</v>
      </c>
      <c r="V80" s="153" t="e">
        <f t="shared" si="197"/>
        <v>#DIV/0!</v>
      </c>
      <c r="W80" s="153" t="e">
        <f t="shared" si="197"/>
        <v>#DIV/0!</v>
      </c>
      <c r="X80" s="153" t="e">
        <f t="shared" si="197"/>
        <v>#DIV/0!</v>
      </c>
      <c r="Y80" s="153" t="e">
        <f t="shared" si="197"/>
        <v>#DIV/0!</v>
      </c>
      <c r="Z80" s="153" t="e">
        <f t="shared" si="197"/>
        <v>#DIV/0!</v>
      </c>
      <c r="AA80" s="153" t="e">
        <f t="shared" si="197"/>
        <v>#DIV/0!</v>
      </c>
      <c r="AB80" s="153" t="e">
        <f t="shared" si="197"/>
        <v>#DIV/0!</v>
      </c>
      <c r="AC80" s="138" t="e">
        <f t="shared" si="191"/>
        <v>#DIV/0!</v>
      </c>
      <c r="AD80" s="146"/>
      <c r="AE80" s="146"/>
    </row>
    <row r="81" spans="2:31">
      <c r="B81" s="20" t="s">
        <v>331</v>
      </c>
      <c r="C81" s="153"/>
      <c r="D81" s="153"/>
      <c r="E81" s="153"/>
      <c r="F81" s="153"/>
      <c r="G81" s="165">
        <f>G28/G12</f>
        <v>0</v>
      </c>
      <c r="H81" s="165">
        <f t="shared" ref="H81:P81" si="198">H28/H12</f>
        <v>0</v>
      </c>
      <c r="I81" s="165">
        <f t="shared" si="198"/>
        <v>0</v>
      </c>
      <c r="J81" s="165">
        <f t="shared" si="198"/>
        <v>0</v>
      </c>
      <c r="K81" s="165">
        <f t="shared" si="198"/>
        <v>0</v>
      </c>
      <c r="L81" s="165" t="e">
        <f t="shared" si="198"/>
        <v>#DIV/0!</v>
      </c>
      <c r="M81" s="165" t="e">
        <f t="shared" si="198"/>
        <v>#DIV/0!</v>
      </c>
      <c r="N81" s="165" t="e">
        <f t="shared" si="198"/>
        <v>#DIV/0!</v>
      </c>
      <c r="O81" s="165" t="e">
        <f t="shared" si="198"/>
        <v>#DIV/0!</v>
      </c>
      <c r="P81" s="165" t="e">
        <f t="shared" si="198"/>
        <v>#DIV/0!</v>
      </c>
      <c r="Q81" s="118" t="e">
        <f t="shared" si="189"/>
        <v>#DIV/0!</v>
      </c>
      <c r="R81" s="20"/>
      <c r="S81" s="153" t="e">
        <f t="shared" ref="S81:AB81" si="199">S28/S12</f>
        <v>#DIV/0!</v>
      </c>
      <c r="T81" s="153" t="e">
        <f t="shared" si="199"/>
        <v>#DIV/0!</v>
      </c>
      <c r="U81" s="153" t="e">
        <f t="shared" si="199"/>
        <v>#DIV/0!</v>
      </c>
      <c r="V81" s="153" t="e">
        <f t="shared" si="199"/>
        <v>#DIV/0!</v>
      </c>
      <c r="W81" s="153" t="e">
        <f t="shared" si="199"/>
        <v>#DIV/0!</v>
      </c>
      <c r="X81" s="153" t="e">
        <f t="shared" si="199"/>
        <v>#DIV/0!</v>
      </c>
      <c r="Y81" s="153" t="e">
        <f t="shared" si="199"/>
        <v>#DIV/0!</v>
      </c>
      <c r="Z81" s="153" t="e">
        <f t="shared" si="199"/>
        <v>#DIV/0!</v>
      </c>
      <c r="AA81" s="153" t="e">
        <f t="shared" si="199"/>
        <v>#DIV/0!</v>
      </c>
      <c r="AB81" s="153" t="e">
        <f t="shared" si="199"/>
        <v>#DIV/0!</v>
      </c>
      <c r="AC81" s="138" t="e">
        <f t="shared" si="191"/>
        <v>#DIV/0!</v>
      </c>
      <c r="AD81" s="146"/>
      <c r="AE81" s="146"/>
    </row>
    <row r="82" spans="2:31">
      <c r="B82" s="20" t="s">
        <v>332</v>
      </c>
      <c r="C82" s="153"/>
      <c r="D82" s="153"/>
      <c r="E82" s="153"/>
      <c r="F82" s="166">
        <f>F12+F13-F10</f>
        <v>-6671</v>
      </c>
      <c r="G82" s="166">
        <f>G12+G13-G10</f>
        <v>-8642</v>
      </c>
      <c r="H82" s="166">
        <f t="shared" ref="H82:P82" si="200">H12+H13-H10</f>
        <v>-10728</v>
      </c>
      <c r="I82" s="166">
        <f t="shared" si="200"/>
        <v>-12969</v>
      </c>
      <c r="J82" s="166">
        <f t="shared" si="200"/>
        <v>-15331</v>
      </c>
      <c r="K82" s="166">
        <f t="shared" si="200"/>
        <v>-19188</v>
      </c>
      <c r="L82" s="166">
        <f t="shared" si="200"/>
        <v>0</v>
      </c>
      <c r="M82" s="166">
        <f t="shared" si="200"/>
        <v>0</v>
      </c>
      <c r="N82" s="166">
        <f t="shared" si="200"/>
        <v>0</v>
      </c>
      <c r="O82" s="166">
        <f t="shared" si="200"/>
        <v>0</v>
      </c>
      <c r="P82" s="166">
        <f t="shared" si="200"/>
        <v>0</v>
      </c>
      <c r="Q82" s="118">
        <f t="shared" si="189"/>
        <v>-1</v>
      </c>
      <c r="R82" s="20"/>
      <c r="S82" s="166">
        <f t="shared" ref="S82:AB82" si="201">S12+S13-S10</f>
        <v>0</v>
      </c>
      <c r="T82" s="166">
        <f t="shared" si="201"/>
        <v>0</v>
      </c>
      <c r="U82" s="166">
        <f t="shared" si="201"/>
        <v>0</v>
      </c>
      <c r="V82" s="166">
        <f t="shared" si="201"/>
        <v>0</v>
      </c>
      <c r="W82" s="166">
        <f t="shared" si="201"/>
        <v>0</v>
      </c>
      <c r="X82" s="166">
        <f t="shared" si="201"/>
        <v>0</v>
      </c>
      <c r="Y82" s="166">
        <f t="shared" si="201"/>
        <v>0</v>
      </c>
      <c r="Z82" s="166">
        <f t="shared" si="201"/>
        <v>0</v>
      </c>
      <c r="AA82" s="166">
        <f t="shared" si="201"/>
        <v>0</v>
      </c>
      <c r="AB82" s="166">
        <f t="shared" si="201"/>
        <v>0</v>
      </c>
      <c r="AC82" s="138">
        <f t="shared" si="191"/>
        <v>-1</v>
      </c>
      <c r="AD82" s="146"/>
      <c r="AE82" s="146"/>
    </row>
    <row r="83" spans="2:31" ht="12" customHeight="1">
      <c r="B83" s="20" t="s">
        <v>327</v>
      </c>
      <c r="C83" s="20"/>
      <c r="D83" s="20"/>
      <c r="E83" s="20"/>
      <c r="F83" s="20"/>
      <c r="G83" s="153">
        <f t="shared" ref="G83:P83" si="202">G36/G17</f>
        <v>0</v>
      </c>
      <c r="H83" s="153">
        <f t="shared" si="202"/>
        <v>0</v>
      </c>
      <c r="I83" s="153">
        <f t="shared" si="202"/>
        <v>0</v>
      </c>
      <c r="J83" s="153">
        <f t="shared" si="202"/>
        <v>0</v>
      </c>
      <c r="K83" s="153">
        <f t="shared" si="202"/>
        <v>0</v>
      </c>
      <c r="L83" s="153" t="e">
        <f t="shared" si="202"/>
        <v>#DIV/0!</v>
      </c>
      <c r="M83" s="153" t="e">
        <f t="shared" si="202"/>
        <v>#DIV/0!</v>
      </c>
      <c r="N83" s="153" t="e">
        <f t="shared" si="202"/>
        <v>#DIV/0!</v>
      </c>
      <c r="O83" s="153" t="e">
        <f t="shared" si="202"/>
        <v>#DIV/0!</v>
      </c>
      <c r="P83" s="153" t="e">
        <f t="shared" si="202"/>
        <v>#DIV/0!</v>
      </c>
      <c r="Q83" s="118" t="e">
        <f t="shared" si="189"/>
        <v>#DIV/0!</v>
      </c>
      <c r="R83" s="20"/>
      <c r="S83" s="153" t="e">
        <f t="shared" ref="S83:AB83" si="203">S36/S17</f>
        <v>#DIV/0!</v>
      </c>
      <c r="T83" s="153" t="e">
        <f t="shared" si="203"/>
        <v>#DIV/0!</v>
      </c>
      <c r="U83" s="153" t="e">
        <f t="shared" si="203"/>
        <v>#DIV/0!</v>
      </c>
      <c r="V83" s="153" t="e">
        <f t="shared" si="203"/>
        <v>#DIV/0!</v>
      </c>
      <c r="W83" s="153" t="e">
        <f t="shared" si="203"/>
        <v>#DIV/0!</v>
      </c>
      <c r="X83" s="153" t="e">
        <f t="shared" si="203"/>
        <v>#DIV/0!</v>
      </c>
      <c r="Y83" s="153" t="e">
        <f t="shared" si="203"/>
        <v>#DIV/0!</v>
      </c>
      <c r="Z83" s="153" t="e">
        <f t="shared" si="203"/>
        <v>#DIV/0!</v>
      </c>
      <c r="AA83" s="153" t="e">
        <f t="shared" si="203"/>
        <v>#DIV/0!</v>
      </c>
      <c r="AB83" s="153" t="e">
        <f t="shared" si="203"/>
        <v>#DIV/0!</v>
      </c>
      <c r="AC83" s="138" t="e">
        <f t="shared" si="191"/>
        <v>#DIV/0!</v>
      </c>
      <c r="AD83" s="20"/>
      <c r="AE83" s="20"/>
    </row>
    <row r="84" spans="2:31">
      <c r="B84" s="20" t="s">
        <v>328</v>
      </c>
      <c r="C84" s="20"/>
      <c r="D84" s="20"/>
      <c r="E84" s="20"/>
      <c r="F84" s="20"/>
      <c r="G84" s="153" t="e">
        <f t="shared" ref="G84:P84" si="204">G36/G24</f>
        <v>#DIV/0!</v>
      </c>
      <c r="H84" s="153" t="e">
        <f t="shared" si="204"/>
        <v>#DIV/0!</v>
      </c>
      <c r="I84" s="153" t="e">
        <f t="shared" si="204"/>
        <v>#DIV/0!</v>
      </c>
      <c r="J84" s="153" t="e">
        <f t="shared" si="204"/>
        <v>#DIV/0!</v>
      </c>
      <c r="K84" s="153" t="e">
        <f t="shared" si="204"/>
        <v>#DIV/0!</v>
      </c>
      <c r="L84" s="153" t="e">
        <f t="shared" si="204"/>
        <v>#DIV/0!</v>
      </c>
      <c r="M84" s="153" t="e">
        <f t="shared" si="204"/>
        <v>#DIV/0!</v>
      </c>
      <c r="N84" s="153" t="e">
        <f t="shared" si="204"/>
        <v>#DIV/0!</v>
      </c>
      <c r="O84" s="153" t="e">
        <f t="shared" si="204"/>
        <v>#DIV/0!</v>
      </c>
      <c r="P84" s="153" t="e">
        <f t="shared" si="204"/>
        <v>#DIV/0!</v>
      </c>
      <c r="Q84" s="118" t="e">
        <f t="shared" si="189"/>
        <v>#DIV/0!</v>
      </c>
      <c r="R84" s="20"/>
      <c r="S84" s="153" t="e">
        <f t="shared" ref="S84:AB84" si="205">S36/S24</f>
        <v>#DIV/0!</v>
      </c>
      <c r="T84" s="153" t="e">
        <f t="shared" si="205"/>
        <v>#DIV/0!</v>
      </c>
      <c r="U84" s="153" t="e">
        <f t="shared" si="205"/>
        <v>#DIV/0!</v>
      </c>
      <c r="V84" s="153" t="e">
        <f t="shared" si="205"/>
        <v>#DIV/0!</v>
      </c>
      <c r="W84" s="153" t="e">
        <f t="shared" si="205"/>
        <v>#DIV/0!</v>
      </c>
      <c r="X84" s="153" t="e">
        <f t="shared" si="205"/>
        <v>#DIV/0!</v>
      </c>
      <c r="Y84" s="153" t="e">
        <f t="shared" si="205"/>
        <v>#DIV/0!</v>
      </c>
      <c r="Z84" s="153" t="e">
        <f t="shared" si="205"/>
        <v>#DIV/0!</v>
      </c>
      <c r="AA84" s="153" t="e">
        <f t="shared" si="205"/>
        <v>#DIV/0!</v>
      </c>
      <c r="AB84" s="153" t="e">
        <f t="shared" si="205"/>
        <v>#DIV/0!</v>
      </c>
      <c r="AC84" s="138" t="e">
        <f t="shared" si="191"/>
        <v>#DIV/0!</v>
      </c>
      <c r="AD84" s="20"/>
      <c r="AE84" s="20"/>
    </row>
    <row r="85" spans="2:31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128"/>
      <c r="R85" s="128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39"/>
      <c r="AD85" s="20"/>
      <c r="AE85" s="20"/>
    </row>
    <row r="86" spans="2:31">
      <c r="B86" s="108" t="s">
        <v>244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3"/>
      <c r="R86" s="23"/>
      <c r="S86" s="122" t="s">
        <v>66</v>
      </c>
      <c r="T86" s="20"/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>
      <c r="B87" s="23" t="s">
        <v>281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5"/>
      <c r="Q87" s="162" t="e">
        <f>AVERAGE(G45:P45)</f>
        <v>#DIV/0!</v>
      </c>
      <c r="R87" s="23"/>
      <c r="S87" s="134"/>
      <c r="T87" s="20"/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>
      <c r="B88" s="20" t="s">
        <v>25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>
        <f>S88+T88</f>
        <v>0</v>
      </c>
      <c r="S88" s="133">
        <f>PV($C$1, ($AB$3-$S$3), 0, -AB45)</f>
        <v>0</v>
      </c>
      <c r="T88" s="133">
        <f>PV($C$1, ($AB$3-$S$3), 0, -AE45)</f>
        <v>0</v>
      </c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>
      <c r="B89" s="20" t="s">
        <v>273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ref="R89:R107" si="206">S89+T89</f>
        <v>106.49372045754752</v>
      </c>
      <c r="S89" s="133">
        <f>PV($C$1, ($AB$3-$S$3), 0, -AB46)</f>
        <v>12.220590872177583</v>
      </c>
      <c r="T89" s="133">
        <f>PV($C$1, ($AB$3-$S$3), 0, -AE46)</f>
        <v>94.273129585369944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>
      <c r="B90" s="20" t="s">
        <v>274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 t="shared" si="206"/>
        <v>104.84733047343424</v>
      </c>
      <c r="S90" s="133">
        <f>PV($C$1, ($AB$3-$S$3), 0, -AB47)</f>
        <v>12.031660874000652</v>
      </c>
      <c r="T90" s="133">
        <f>PV($C$1, ($AB$3-$S$3), 0, -AE47)</f>
        <v>92.815669599433591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>
      <c r="B91" s="20" t="s">
        <v>275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>
        <f t="shared" si="206"/>
        <v>0</v>
      </c>
      <c r="S91" s="133">
        <f>PV($C$1, ($AB$3-$S$3), 0, -AB48)</f>
        <v>0</v>
      </c>
      <c r="T91" s="133">
        <f>PV($C$1, ($AB$3-$S$3), 0, -AE48)</f>
        <v>0</v>
      </c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>
      <c r="B92" s="20" t="s">
        <v>276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 t="shared" si="206"/>
        <v>0</v>
      </c>
      <c r="S92" s="133">
        <f>PV($C$1, ($AB$3-$S$3), 0, -AB54)</f>
        <v>0</v>
      </c>
      <c r="T92" s="133">
        <f>PV($C$1, ($AB$3-$S$3), 0, -AE54)</f>
        <v>0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/>
      <c r="S93" s="133"/>
      <c r="T93" s="20"/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>
      <c r="B94" s="20" t="s">
        <v>271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>
        <f t="shared" si="206"/>
        <v>106.49372045754752</v>
      </c>
      <c r="S94" s="133">
        <f>PV($C$1, ($AB$3-$S$3), 0, -AB50)</f>
        <v>12.220590872177583</v>
      </c>
      <c r="T94" s="133">
        <f>PV($C$1, ($AB$3-$S$3), 0, -$AE$50)</f>
        <v>94.273129585369944</v>
      </c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>
      <c r="B95" s="20" t="s">
        <v>272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206"/>
        <v>106.49372045754752</v>
      </c>
      <c r="S95" s="133">
        <f>PV($C$1, ($AB$3-$S$3), 0, -AB51)</f>
        <v>12.220590872177583</v>
      </c>
      <c r="T95" s="133">
        <f>PV($C$1, ($AB$3-$S$3), 0, -$AE$51)</f>
        <v>94.273129585369944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>
      <c r="B96" s="20" t="s">
        <v>277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>
        <f t="shared" si="206"/>
        <v>106.49372045754752</v>
      </c>
      <c r="S96" s="133">
        <f>PV($C$1, ($AB$3-$S$3), 0, -AB52)</f>
        <v>12.220590872177583</v>
      </c>
      <c r="T96" s="133">
        <f>PV($C$1, ($AB$3-$S$3), 0, -$AE$52)</f>
        <v>94.273129585369944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33"/>
      <c r="T97" s="2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>
      <c r="B98" s="20" t="s">
        <v>249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si="206"/>
        <v>0</v>
      </c>
      <c r="S98" s="133">
        <f>PV($C$1, ($AB$3-$S$3), 0, -AB57)</f>
        <v>0</v>
      </c>
      <c r="T98" s="133">
        <f>PV($C$1, ($AB$3-$S$3), 0, -AE57)</f>
        <v>0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20" t="s">
        <v>250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206"/>
        <v>0</v>
      </c>
      <c r="S99" s="133">
        <f>PV($C$1, ($AB$3-$S$3), 0, -AB58)</f>
        <v>0</v>
      </c>
      <c r="T99" s="133">
        <f>PV($C$1, ($AB$3-$S$3), 0, -AE58)</f>
        <v>0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133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0" t="s">
        <v>294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ref="R101" si="207">S101+T101</f>
        <v>0</v>
      </c>
      <c r="S101" s="133">
        <f>PV($C$1, ($AB$3-$S$3), 0, -AB12)</f>
        <v>0</v>
      </c>
      <c r="T101" s="133">
        <f>PV($C$1, ($AB$3-$S$3), 0, -AE12)</f>
        <v>0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295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 t="e">
        <f>S102+T102</f>
        <v>#DIV/0!</v>
      </c>
      <c r="S102" s="140" t="e">
        <f>S101/P38</f>
        <v>#DIV/0!</v>
      </c>
      <c r="T102" s="140" t="e">
        <f>T101/P38</f>
        <v>#DIV/0!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/>
      <c r="S103" s="140"/>
      <c r="T103" s="140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108" t="s">
        <v>298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133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20" t="s">
        <v>283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ref="R105" si="208">S105+T105</f>
        <v>0</v>
      </c>
      <c r="S105" s="133">
        <f>PV($C$1, ($AB$3-$S$3), 0, -AB60)+PV($C$1, ($AA$3-$S$3), 0, -AB60)+PV($C$1, ($Z$3-$S$3), 0, -AB60)+PV($C$1, ($Y$3-$S$3), 0, -AB60)+PV($C$1, ($X$3-$S$3), 0, -AB60)+PV($C$1, ($W$3-$S$3), 0, -AB60)+PV($C$1, ($V$3-$S$3), 0, -AB60)+PV($C$1, ($U$3-$S$3), 0, -AB60)+PV($C$1, ($T$3-$S$3), 0, -AB60)+PV($C$1, ($S$3-$S$3), 0, -AB60)</f>
        <v>0</v>
      </c>
      <c r="T105" s="133">
        <f>PV($C$1, ($AB$3-$S$3), 0, -AE60)</f>
        <v>0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>
      <c r="B106" s="23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/>
      <c r="S106" s="133"/>
      <c r="T106" s="133"/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>
      <c r="B107" s="20" t="s">
        <v>291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>
        <f t="shared" si="206"/>
        <v>0</v>
      </c>
      <c r="S107" s="133">
        <f>PV($C$1, ($AB$3-$S$3), 0, -AB62)+PV($C$1, ($AA$3-$S$3), 0, -AB62)+PV($C$1, ($Z$3-$S$3), 0, -AB62)+PV($C$1, ($Y$3-$S$3), 0, -AB62)+PV($C$1, ($X$3-$S$3), 0, -AB62)+PV($C$1, ($W$3-$S$3), 0, -AB62)+PV($C$1, ($V$3-$S$3), 0, -AB62)+PV($C$1, ($U$3-$S$3), 0, -AB62)+PV($C$1, ($T$3-$S$3), 0, -AB62)+PV($C$1, ($S$3-$S$3), 0, -AB62)</f>
        <v>0</v>
      </c>
      <c r="T107" s="133">
        <f>PV($C$1, ($AB$3-$S$3), 0, -AE62)</f>
        <v>0</v>
      </c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/>
      <c r="S108" s="133"/>
      <c r="T108" s="133"/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 t="s">
        <v>287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>
        <f t="shared" ref="R109:R112" si="209">S109+T109</f>
        <v>0</v>
      </c>
      <c r="S109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0</v>
      </c>
      <c r="T109" s="133">
        <f>PV($C$1, ($AB$3-$S$3), 0, -AE64)</f>
        <v>0</v>
      </c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0" t="s">
        <v>288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si="209"/>
        <v>0</v>
      </c>
      <c r="S110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0</v>
      </c>
      <c r="T110" s="133">
        <f>PV($C$1, ($AB$3-$S$3), 0, -AE65)</f>
        <v>0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289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209"/>
        <v>0</v>
      </c>
      <c r="S111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0</v>
      </c>
      <c r="T111" s="133">
        <f>PV($C$1, ($AB$3-$S$3), 0, -AE66)</f>
        <v>0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 t="s">
        <v>290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209"/>
        <v>0</v>
      </c>
      <c r="S112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0</v>
      </c>
      <c r="T112" s="133">
        <f>PV($C$1, ($AB$3-$S$3), 0, -AE67)</f>
        <v>0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/>
      <c r="S113" s="133"/>
      <c r="T113" s="133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 t="s">
        <v>299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>
        <f>S114+T114</f>
        <v>0</v>
      </c>
      <c r="S114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0</v>
      </c>
      <c r="T114" s="133">
        <f>PV($C$1, ($AB$3-$S$3), 0, -AE68)</f>
        <v>0</v>
      </c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121"/>
      <c r="T115" s="2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108" t="s">
        <v>251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20" t="s">
        <v>204</v>
      </c>
      <c r="C117" s="22">
        <v>14</v>
      </c>
      <c r="D117" s="22">
        <v>14</v>
      </c>
      <c r="E117" s="22">
        <v>14</v>
      </c>
      <c r="F117" s="22">
        <v>14</v>
      </c>
      <c r="G117" s="22">
        <v>14</v>
      </c>
      <c r="H117" s="22">
        <v>14250</v>
      </c>
      <c r="I117" s="22">
        <v>14</v>
      </c>
      <c r="J117" s="22">
        <v>14</v>
      </c>
      <c r="K117" s="22">
        <v>3000</v>
      </c>
      <c r="L117" s="22">
        <v>3000</v>
      </c>
      <c r="M117" s="22">
        <v>3000</v>
      </c>
      <c r="N117" s="22">
        <v>3000</v>
      </c>
      <c r="O117" s="22">
        <v>500</v>
      </c>
      <c r="P117" s="22">
        <v>500</v>
      </c>
      <c r="Q117" s="118">
        <f t="shared" ref="Q117:Q121" si="210">((P117/G117)^(1/($H$2-$H$1) ))-1</f>
        <v>0.48777753436167814</v>
      </c>
      <c r="R117" s="31">
        <v>0.1</v>
      </c>
      <c r="S117" s="119">
        <f t="shared" ref="S117" si="211">P117*(1+$R117)</f>
        <v>550</v>
      </c>
      <c r="T117" s="119">
        <f t="shared" ref="T117:AB117" si="212">S117*(1+$R117)</f>
        <v>605</v>
      </c>
      <c r="U117" s="119">
        <f t="shared" si="212"/>
        <v>665.5</v>
      </c>
      <c r="V117" s="119">
        <f t="shared" si="212"/>
        <v>732.05000000000007</v>
      </c>
      <c r="W117" s="119">
        <f t="shared" si="212"/>
        <v>805.25500000000011</v>
      </c>
      <c r="X117" s="119">
        <f t="shared" si="212"/>
        <v>885.78050000000019</v>
      </c>
      <c r="Y117" s="119">
        <f t="shared" si="212"/>
        <v>974.35855000000026</v>
      </c>
      <c r="Z117" s="119">
        <f t="shared" si="212"/>
        <v>1071.7944050000003</v>
      </c>
      <c r="AA117" s="119">
        <f t="shared" si="212"/>
        <v>1178.9738455000004</v>
      </c>
      <c r="AB117" s="119">
        <f t="shared" si="212"/>
        <v>1296.8712300500006</v>
      </c>
      <c r="AC117" s="138">
        <f t="shared" ref="AC117:AC121" si="213">((AB117/G117)^(1/($AB$3-$H$1) ))-1</f>
        <v>0.26915349021920165</v>
      </c>
      <c r="AD117" s="31">
        <v>0.08</v>
      </c>
      <c r="AE117" s="127">
        <f t="shared" ref="AE117:AE122" si="214">(AB117*(1+AC117))/($C$1-AD117)</f>
        <v>11756.633199877338</v>
      </c>
    </row>
    <row r="118" spans="2:31">
      <c r="B118" s="20" t="s">
        <v>42</v>
      </c>
      <c r="C118" s="25" t="e">
        <f t="shared" ref="C118:P118" si="215">C117/C45</f>
        <v>#DIV/0!</v>
      </c>
      <c r="D118" s="25" t="e">
        <f t="shared" si="215"/>
        <v>#DIV/0!</v>
      </c>
      <c r="E118" s="25" t="e">
        <f t="shared" si="215"/>
        <v>#DIV/0!</v>
      </c>
      <c r="F118" s="25" t="e">
        <f t="shared" si="215"/>
        <v>#DIV/0!</v>
      </c>
      <c r="G118" s="25" t="e">
        <f t="shared" si="215"/>
        <v>#DIV/0!</v>
      </c>
      <c r="H118" s="25" t="e">
        <f t="shared" si="215"/>
        <v>#DIV/0!</v>
      </c>
      <c r="I118" s="25" t="e">
        <f t="shared" si="215"/>
        <v>#DIV/0!</v>
      </c>
      <c r="J118" s="25" t="e">
        <f t="shared" si="215"/>
        <v>#DIV/0!</v>
      </c>
      <c r="K118" s="25" t="e">
        <f t="shared" si="215"/>
        <v>#DIV/0!</v>
      </c>
      <c r="L118" s="25" t="e">
        <f t="shared" si="215"/>
        <v>#DIV/0!</v>
      </c>
      <c r="M118" s="25" t="e">
        <f t="shared" si="215"/>
        <v>#DIV/0!</v>
      </c>
      <c r="N118" s="25" t="e">
        <f t="shared" si="215"/>
        <v>#DIV/0!</v>
      </c>
      <c r="O118" s="25" t="e">
        <f t="shared" si="215"/>
        <v>#DIV/0!</v>
      </c>
      <c r="P118" s="25" t="e">
        <f t="shared" si="215"/>
        <v>#DIV/0!</v>
      </c>
      <c r="Q118" s="118" t="e">
        <f t="shared" si="210"/>
        <v>#DIV/0!</v>
      </c>
      <c r="R118" s="128"/>
      <c r="S118" s="119" t="e">
        <f t="shared" ref="S118:AB118" si="216">S117/S45</f>
        <v>#DIV/0!</v>
      </c>
      <c r="T118" s="119" t="e">
        <f t="shared" si="216"/>
        <v>#DIV/0!</v>
      </c>
      <c r="U118" s="119" t="e">
        <f t="shared" si="216"/>
        <v>#DIV/0!</v>
      </c>
      <c r="V118" s="119" t="e">
        <f t="shared" si="216"/>
        <v>#DIV/0!</v>
      </c>
      <c r="W118" s="119" t="e">
        <f t="shared" si="216"/>
        <v>#DIV/0!</v>
      </c>
      <c r="X118" s="119" t="e">
        <f t="shared" si="216"/>
        <v>#DIV/0!</v>
      </c>
      <c r="Y118" s="119" t="e">
        <f t="shared" si="216"/>
        <v>#DIV/0!</v>
      </c>
      <c r="Z118" s="119" t="e">
        <f t="shared" si="216"/>
        <v>#DIV/0!</v>
      </c>
      <c r="AA118" s="119" t="e">
        <f t="shared" si="216"/>
        <v>#DIV/0!</v>
      </c>
      <c r="AB118" s="119" t="e">
        <f t="shared" si="216"/>
        <v>#DIV/0!</v>
      </c>
      <c r="AC118" s="138" t="e">
        <f t="shared" si="213"/>
        <v>#DIV/0!</v>
      </c>
      <c r="AD118" s="31">
        <v>0.08</v>
      </c>
      <c r="AE118" s="127" t="e">
        <f t="shared" si="214"/>
        <v>#DIV/0!</v>
      </c>
    </row>
    <row r="119" spans="2:31">
      <c r="B119" s="20" t="s">
        <v>259</v>
      </c>
      <c r="C119" s="25" t="e">
        <f t="shared" ref="C119:P119" si="217">C117/C47</f>
        <v>#DIV/0!</v>
      </c>
      <c r="D119" s="25" t="e">
        <f t="shared" si="217"/>
        <v>#DIV/0!</v>
      </c>
      <c r="E119" s="25" t="e">
        <f t="shared" si="217"/>
        <v>#DIV/0!</v>
      </c>
      <c r="F119" s="25" t="e">
        <f t="shared" si="217"/>
        <v>#DIV/0!</v>
      </c>
      <c r="G119" s="25" t="e">
        <f t="shared" si="217"/>
        <v>#DIV/0!</v>
      </c>
      <c r="H119" s="25" t="e">
        <f t="shared" si="217"/>
        <v>#DIV/0!</v>
      </c>
      <c r="I119" s="25" t="e">
        <f t="shared" si="217"/>
        <v>#DIV/0!</v>
      </c>
      <c r="J119" s="25" t="e">
        <f t="shared" si="217"/>
        <v>#DIV/0!</v>
      </c>
      <c r="K119" s="25" t="e">
        <f t="shared" si="217"/>
        <v>#DIV/0!</v>
      </c>
      <c r="L119" s="25" t="e">
        <f t="shared" si="217"/>
        <v>#DIV/0!</v>
      </c>
      <c r="M119" s="25" t="e">
        <f t="shared" si="217"/>
        <v>#DIV/0!</v>
      </c>
      <c r="N119" s="25" t="e">
        <f t="shared" si="217"/>
        <v>#DIV/0!</v>
      </c>
      <c r="O119" s="25" t="e">
        <f t="shared" si="217"/>
        <v>#DIV/0!</v>
      </c>
      <c r="P119" s="25" t="e">
        <f t="shared" si="217"/>
        <v>#DIV/0!</v>
      </c>
      <c r="Q119" s="118" t="e">
        <f t="shared" si="210"/>
        <v>#DIV/0!</v>
      </c>
      <c r="R119" s="128"/>
      <c r="S119" s="119">
        <f t="shared" ref="S119:AB119" si="218">S117/S47</f>
        <v>7.63481698649609</v>
      </c>
      <c r="T119" s="119">
        <f t="shared" si="218"/>
        <v>8.3982986851456989</v>
      </c>
      <c r="U119" s="119">
        <f t="shared" si="218"/>
        <v>9.2381285536602693</v>
      </c>
      <c r="V119" s="119">
        <f t="shared" si="218"/>
        <v>10.161941409026296</v>
      </c>
      <c r="W119" s="119">
        <f t="shared" si="218"/>
        <v>11.178135549928925</v>
      </c>
      <c r="X119" s="119">
        <f t="shared" si="218"/>
        <v>12.295949104921817</v>
      </c>
      <c r="Y119" s="119">
        <f t="shared" si="218"/>
        <v>13.525544015414001</v>
      </c>
      <c r="Z119" s="119">
        <f t="shared" si="218"/>
        <v>14.878098416955398</v>
      </c>
      <c r="AA119" s="119">
        <f t="shared" si="218"/>
        <v>16.36590825865094</v>
      </c>
      <c r="AB119" s="119">
        <f t="shared" si="218"/>
        <v>18.002499084516035</v>
      </c>
      <c r="AC119" s="138" t="e">
        <f t="shared" si="213"/>
        <v>#DIV/0!</v>
      </c>
      <c r="AD119" s="31">
        <v>0.08</v>
      </c>
      <c r="AE119" s="127" t="e">
        <f t="shared" si="214"/>
        <v>#DIV/0!</v>
      </c>
    </row>
    <row r="120" spans="2:31">
      <c r="B120" s="20" t="s">
        <v>260</v>
      </c>
      <c r="C120" s="25" t="e">
        <f t="shared" ref="C120:P120" si="219">C117/C56</f>
        <v>#DIV/0!</v>
      </c>
      <c r="D120" s="25" t="e">
        <f t="shared" si="219"/>
        <v>#DIV/0!</v>
      </c>
      <c r="E120" s="25" t="e">
        <f t="shared" si="219"/>
        <v>#DIV/0!</v>
      </c>
      <c r="F120" s="25" t="e">
        <f t="shared" si="219"/>
        <v>#DIV/0!</v>
      </c>
      <c r="G120" s="25" t="e">
        <f t="shared" si="219"/>
        <v>#DIV/0!</v>
      </c>
      <c r="H120" s="25" t="e">
        <f t="shared" si="219"/>
        <v>#DIV/0!</v>
      </c>
      <c r="I120" s="25" t="e">
        <f t="shared" si="219"/>
        <v>#DIV/0!</v>
      </c>
      <c r="J120" s="25" t="e">
        <f t="shared" si="219"/>
        <v>#DIV/0!</v>
      </c>
      <c r="K120" s="25" t="e">
        <f t="shared" si="219"/>
        <v>#DIV/0!</v>
      </c>
      <c r="L120" s="25" t="e">
        <f t="shared" si="219"/>
        <v>#DIV/0!</v>
      </c>
      <c r="M120" s="25" t="e">
        <f t="shared" si="219"/>
        <v>#DIV/0!</v>
      </c>
      <c r="N120" s="25" t="e">
        <f t="shared" si="219"/>
        <v>#DIV/0!</v>
      </c>
      <c r="O120" s="25" t="e">
        <f t="shared" si="219"/>
        <v>#DIV/0!</v>
      </c>
      <c r="P120" s="25" t="e">
        <f t="shared" si="219"/>
        <v>#DIV/0!</v>
      </c>
      <c r="Q120" s="118" t="e">
        <f t="shared" si="210"/>
        <v>#DIV/0!</v>
      </c>
      <c r="R120" s="128"/>
      <c r="S120" s="119" t="e">
        <f t="shared" ref="S120:AB120" si="220">S117/S56</f>
        <v>#DIV/0!</v>
      </c>
      <c r="T120" s="119" t="e">
        <f t="shared" si="220"/>
        <v>#DIV/0!</v>
      </c>
      <c r="U120" s="119" t="e">
        <f t="shared" si="220"/>
        <v>#DIV/0!</v>
      </c>
      <c r="V120" s="119" t="e">
        <f t="shared" si="220"/>
        <v>#DIV/0!</v>
      </c>
      <c r="W120" s="119" t="e">
        <f t="shared" si="220"/>
        <v>#DIV/0!</v>
      </c>
      <c r="X120" s="119" t="e">
        <f t="shared" si="220"/>
        <v>#DIV/0!</v>
      </c>
      <c r="Y120" s="119" t="e">
        <f t="shared" si="220"/>
        <v>#DIV/0!</v>
      </c>
      <c r="Z120" s="119" t="e">
        <f t="shared" si="220"/>
        <v>#DIV/0!</v>
      </c>
      <c r="AA120" s="119" t="e">
        <f t="shared" si="220"/>
        <v>#DIV/0!</v>
      </c>
      <c r="AB120" s="119" t="e">
        <f t="shared" si="220"/>
        <v>#DIV/0!</v>
      </c>
      <c r="AC120" s="138" t="e">
        <f t="shared" si="213"/>
        <v>#DIV/0!</v>
      </c>
      <c r="AD120" s="31">
        <v>0.08</v>
      </c>
      <c r="AE120" s="127" t="e">
        <f t="shared" si="214"/>
        <v>#DIV/0!</v>
      </c>
    </row>
    <row r="121" spans="2:31">
      <c r="B121" s="20" t="s">
        <v>261</v>
      </c>
      <c r="C121" s="25" t="e">
        <f t="shared" ref="C121:P121" si="221">C117/C58</f>
        <v>#DIV/0!</v>
      </c>
      <c r="D121" s="25" t="e">
        <f t="shared" si="221"/>
        <v>#DIV/0!</v>
      </c>
      <c r="E121" s="25" t="e">
        <f t="shared" si="221"/>
        <v>#DIV/0!</v>
      </c>
      <c r="F121" s="25" t="e">
        <f t="shared" si="221"/>
        <v>#DIV/0!</v>
      </c>
      <c r="G121" s="25" t="e">
        <f t="shared" si="221"/>
        <v>#DIV/0!</v>
      </c>
      <c r="H121" s="25" t="e">
        <f t="shared" si="221"/>
        <v>#DIV/0!</v>
      </c>
      <c r="I121" s="25" t="e">
        <f t="shared" si="221"/>
        <v>#DIV/0!</v>
      </c>
      <c r="J121" s="25" t="e">
        <f t="shared" si="221"/>
        <v>#DIV/0!</v>
      </c>
      <c r="K121" s="25" t="e">
        <f t="shared" si="221"/>
        <v>#DIV/0!</v>
      </c>
      <c r="L121" s="25" t="e">
        <f t="shared" si="221"/>
        <v>#DIV/0!</v>
      </c>
      <c r="M121" s="25" t="e">
        <f t="shared" si="221"/>
        <v>#DIV/0!</v>
      </c>
      <c r="N121" s="25" t="e">
        <f t="shared" si="221"/>
        <v>#DIV/0!</v>
      </c>
      <c r="O121" s="25" t="e">
        <f t="shared" si="221"/>
        <v>#DIV/0!</v>
      </c>
      <c r="P121" s="25" t="e">
        <f t="shared" si="221"/>
        <v>#DIV/0!</v>
      </c>
      <c r="Q121" s="118" t="e">
        <f t="shared" si="210"/>
        <v>#DIV/0!</v>
      </c>
      <c r="R121" s="128"/>
      <c r="S121" s="119" t="e">
        <f t="shared" ref="S121:AB121" si="222">S117/S58</f>
        <v>#DIV/0!</v>
      </c>
      <c r="T121" s="119" t="e">
        <f t="shared" si="222"/>
        <v>#DIV/0!</v>
      </c>
      <c r="U121" s="119" t="e">
        <f t="shared" si="222"/>
        <v>#DIV/0!</v>
      </c>
      <c r="V121" s="119" t="e">
        <f t="shared" si="222"/>
        <v>#DIV/0!</v>
      </c>
      <c r="W121" s="119" t="e">
        <f t="shared" si="222"/>
        <v>#DIV/0!</v>
      </c>
      <c r="X121" s="119" t="e">
        <f t="shared" si="222"/>
        <v>#DIV/0!</v>
      </c>
      <c r="Y121" s="119" t="e">
        <f t="shared" si="222"/>
        <v>#DIV/0!</v>
      </c>
      <c r="Z121" s="119" t="e">
        <f t="shared" si="222"/>
        <v>#DIV/0!</v>
      </c>
      <c r="AA121" s="119" t="e">
        <f t="shared" si="222"/>
        <v>#DIV/0!</v>
      </c>
      <c r="AB121" s="119" t="e">
        <f t="shared" si="222"/>
        <v>#DIV/0!</v>
      </c>
      <c r="AC121" s="138" t="e">
        <f t="shared" si="213"/>
        <v>#DIV/0!</v>
      </c>
      <c r="AD121" s="31">
        <v>0.08</v>
      </c>
      <c r="AE121" s="127" t="e">
        <f t="shared" si="214"/>
        <v>#DIV/0!</v>
      </c>
    </row>
    <row r="122" spans="2:31">
      <c r="B122" s="20" t="s">
        <v>282</v>
      </c>
      <c r="C122" s="25" t="e">
        <f>C118/C85</f>
        <v>#DIV/0!</v>
      </c>
      <c r="D122" s="25" t="e">
        <f>D118/D85</f>
        <v>#DIV/0!</v>
      </c>
      <c r="E122" s="25" t="e">
        <f>E118/E85</f>
        <v>#DIV/0!</v>
      </c>
      <c r="F122" s="25" t="e">
        <f>F118/F85</f>
        <v>#DIV/0!</v>
      </c>
      <c r="G122" s="25" t="e">
        <f t="shared" ref="G122:P122" si="223">G117/G52</f>
        <v>#DIV/0!</v>
      </c>
      <c r="H122" s="25" t="e">
        <f t="shared" si="223"/>
        <v>#DIV/0!</v>
      </c>
      <c r="I122" s="25" t="e">
        <f t="shared" si="223"/>
        <v>#DIV/0!</v>
      </c>
      <c r="J122" s="25" t="e">
        <f t="shared" si="223"/>
        <v>#DIV/0!</v>
      </c>
      <c r="K122" s="25" t="e">
        <f t="shared" si="223"/>
        <v>#DIV/0!</v>
      </c>
      <c r="L122" s="25" t="e">
        <f t="shared" si="223"/>
        <v>#DIV/0!</v>
      </c>
      <c r="M122" s="25" t="e">
        <f t="shared" si="223"/>
        <v>#DIV/0!</v>
      </c>
      <c r="N122" s="25" t="e">
        <f t="shared" si="223"/>
        <v>#DIV/0!</v>
      </c>
      <c r="O122" s="25" t="e">
        <f t="shared" si="223"/>
        <v>#DIV/0!</v>
      </c>
      <c r="P122" s="25" t="e">
        <f t="shared" si="223"/>
        <v>#DIV/0!</v>
      </c>
      <c r="Q122" s="118" t="e">
        <f t="shared" ref="Q122" si="224">((P122/G122)^(1/($H$2-$H$1) ))-1</f>
        <v>#DIV/0!</v>
      </c>
      <c r="R122" s="128"/>
      <c r="S122" s="135">
        <f t="shared" ref="S122:AB122" si="225">S117/S52</f>
        <v>7.516782926242592</v>
      </c>
      <c r="T122" s="135">
        <f t="shared" si="225"/>
        <v>8.268461218866852</v>
      </c>
      <c r="U122" s="135">
        <f t="shared" si="225"/>
        <v>9.0953073407535374</v>
      </c>
      <c r="V122" s="135">
        <f t="shared" si="225"/>
        <v>10.004838074828891</v>
      </c>
      <c r="W122" s="135">
        <f t="shared" si="225"/>
        <v>11.005321882311781</v>
      </c>
      <c r="X122" s="135">
        <f t="shared" si="225"/>
        <v>12.105854070542961</v>
      </c>
      <c r="Y122" s="135">
        <f t="shared" si="225"/>
        <v>13.316439477597257</v>
      </c>
      <c r="Z122" s="135">
        <f t="shared" si="225"/>
        <v>14.64808342535698</v>
      </c>
      <c r="AA122" s="135">
        <f t="shared" si="225"/>
        <v>16.11289176789268</v>
      </c>
      <c r="AB122" s="135">
        <f t="shared" si="225"/>
        <v>17.724180944681951</v>
      </c>
      <c r="AC122" s="138" t="e">
        <f t="shared" ref="AC122" si="226">((AB122/G122)^(1/($AB$3-$H$1) ))-1</f>
        <v>#DIV/0!</v>
      </c>
      <c r="AD122" s="31">
        <v>0.08</v>
      </c>
      <c r="AE122" s="127" t="e">
        <f t="shared" si="214"/>
        <v>#DIV/0!</v>
      </c>
    </row>
    <row r="123" spans="2:31">
      <c r="B123" s="20" t="s">
        <v>325</v>
      </c>
      <c r="C123" s="163">
        <f t="shared" ref="C123:O123" si="227">C45/C117</f>
        <v>0</v>
      </c>
      <c r="D123" s="163">
        <f t="shared" si="227"/>
        <v>0</v>
      </c>
      <c r="E123" s="163">
        <f t="shared" si="227"/>
        <v>0</v>
      </c>
      <c r="F123" s="163" t="e">
        <f t="shared" si="227"/>
        <v>#DIV/0!</v>
      </c>
      <c r="G123" s="163" t="e">
        <f t="shared" si="227"/>
        <v>#DIV/0!</v>
      </c>
      <c r="H123" s="163" t="e">
        <f t="shared" si="227"/>
        <v>#DIV/0!</v>
      </c>
      <c r="I123" s="163" t="e">
        <f t="shared" si="227"/>
        <v>#DIV/0!</v>
      </c>
      <c r="J123" s="163" t="e">
        <f t="shared" si="227"/>
        <v>#DIV/0!</v>
      </c>
      <c r="K123" s="163" t="e">
        <f t="shared" si="227"/>
        <v>#DIV/0!</v>
      </c>
      <c r="L123" s="163" t="e">
        <f t="shared" si="227"/>
        <v>#DIV/0!</v>
      </c>
      <c r="M123" s="163" t="e">
        <f t="shared" si="227"/>
        <v>#DIV/0!</v>
      </c>
      <c r="N123" s="163" t="e">
        <f t="shared" si="227"/>
        <v>#DIV/0!</v>
      </c>
      <c r="O123" s="163" t="e">
        <f t="shared" si="227"/>
        <v>#DIV/0!</v>
      </c>
      <c r="P123" s="163" t="e">
        <f>P45/P117</f>
        <v>#DIV/0!</v>
      </c>
      <c r="Q123" s="128"/>
      <c r="R123" s="128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8"/>
      <c r="AD123" s="31"/>
      <c r="AE123" s="127"/>
    </row>
    <row r="124" spans="2:31">
      <c r="B124" s="20" t="s">
        <v>326</v>
      </c>
      <c r="C124" s="153">
        <f t="shared" ref="C124:O124" si="228">C39/C117</f>
        <v>7.1428571428571425E-2</v>
      </c>
      <c r="D124" s="153">
        <f t="shared" si="228"/>
        <v>7.1428571428571425E-2</v>
      </c>
      <c r="E124" s="153">
        <f t="shared" si="228"/>
        <v>7.1428571428571425E-2</v>
      </c>
      <c r="F124" s="153">
        <f t="shared" si="228"/>
        <v>0</v>
      </c>
      <c r="G124" s="153">
        <f t="shared" si="228"/>
        <v>0</v>
      </c>
      <c r="H124" s="153">
        <f t="shared" si="228"/>
        <v>0</v>
      </c>
      <c r="I124" s="153">
        <f t="shared" si="228"/>
        <v>0</v>
      </c>
      <c r="J124" s="153">
        <f t="shared" si="228"/>
        <v>0</v>
      </c>
      <c r="K124" s="153">
        <f t="shared" si="228"/>
        <v>0</v>
      </c>
      <c r="L124" s="153">
        <f t="shared" si="228"/>
        <v>0</v>
      </c>
      <c r="M124" s="153">
        <f t="shared" si="228"/>
        <v>0</v>
      </c>
      <c r="N124" s="153">
        <f t="shared" si="228"/>
        <v>0</v>
      </c>
      <c r="O124" s="153">
        <f t="shared" si="228"/>
        <v>0</v>
      </c>
      <c r="P124" s="153">
        <f>P39/P117</f>
        <v>0</v>
      </c>
      <c r="Q124" s="128"/>
      <c r="R124" s="128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8"/>
      <c r="AD124" s="31"/>
      <c r="AE124" s="127"/>
    </row>
    <row r="125" spans="2:31">
      <c r="B125" s="20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28"/>
      <c r="R125" s="128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8"/>
      <c r="AD125" s="31"/>
      <c r="AE125" s="127"/>
    </row>
    <row r="126" spans="2:31">
      <c r="B126" s="20"/>
      <c r="C126" s="129"/>
      <c r="D126" s="129"/>
      <c r="E126" s="129"/>
      <c r="F126" s="129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28"/>
      <c r="R126" s="128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7"/>
      <c r="AD126" s="20"/>
      <c r="AE126" s="127"/>
    </row>
    <row r="127" spans="2:31">
      <c r="B127" s="108" t="s">
        <v>304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137"/>
      <c r="AD127" s="20"/>
      <c r="AE127" s="20"/>
    </row>
    <row r="128" spans="2:31">
      <c r="B128" s="20" t="s">
        <v>301</v>
      </c>
      <c r="C128" s="20" t="s">
        <v>318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128">
        <f>(P117-R105)/P117</f>
        <v>1</v>
      </c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137"/>
      <c r="AD128" s="20"/>
      <c r="AE128" s="20"/>
    </row>
    <row r="129" spans="2:31">
      <c r="B129" s="20" t="s">
        <v>302</v>
      </c>
      <c r="C129" s="20" t="s">
        <v>318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128">
        <f>(P117-R96)/P117</f>
        <v>0.78701255908490497</v>
      </c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137"/>
      <c r="AD129" s="20"/>
      <c r="AE129" s="20"/>
    </row>
    <row r="130" spans="2:31">
      <c r="B130" s="20" t="s">
        <v>303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5" t="e">
        <f>P117/R88</f>
        <v>#DIV/0!</v>
      </c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137"/>
      <c r="AD130" s="20"/>
      <c r="AE130" s="20"/>
    </row>
    <row r="131" spans="2:3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>
      <c r="B132" s="108" t="s">
        <v>305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>
      <c r="B133" s="20" t="s">
        <v>308</v>
      </c>
      <c r="C133" s="25" t="e">
        <f t="shared" ref="C133:P133" si="229">C10/C7</f>
        <v>#DIV/0!</v>
      </c>
      <c r="D133" s="25" t="e">
        <f t="shared" si="229"/>
        <v>#DIV/0!</v>
      </c>
      <c r="E133" s="25" t="e">
        <f t="shared" si="229"/>
        <v>#DIV/0!</v>
      </c>
      <c r="F133" s="25">
        <f t="shared" si="229"/>
        <v>8.5993031358885013</v>
      </c>
      <c r="G133" s="25">
        <f t="shared" si="229"/>
        <v>9.5494276795005195</v>
      </c>
      <c r="H133" s="25">
        <f t="shared" si="229"/>
        <v>9.129752066115703</v>
      </c>
      <c r="I133" s="25">
        <f t="shared" si="229"/>
        <v>10.124908155767818</v>
      </c>
      <c r="J133" s="25">
        <f t="shared" si="229"/>
        <v>10.455825864276569</v>
      </c>
      <c r="K133" s="25">
        <f t="shared" si="229"/>
        <v>10.973031283710895</v>
      </c>
      <c r="L133" s="25">
        <f t="shared" si="229"/>
        <v>0</v>
      </c>
      <c r="M133" s="25">
        <f t="shared" si="229"/>
        <v>0</v>
      </c>
      <c r="N133" s="25">
        <f t="shared" si="229"/>
        <v>0</v>
      </c>
      <c r="O133" s="25">
        <f t="shared" si="229"/>
        <v>0</v>
      </c>
      <c r="P133" s="25">
        <f t="shared" si="229"/>
        <v>0</v>
      </c>
      <c r="Q133" s="118">
        <f t="shared" ref="Q133:Q135" si="230">((P133/G133)^(1/($H$2-$H$1) ))-1</f>
        <v>-1</v>
      </c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>
      <c r="B134" s="20" t="s">
        <v>309</v>
      </c>
      <c r="C134" s="112" t="e">
        <f>C10/C12</f>
        <v>#DIV/0!</v>
      </c>
      <c r="D134" s="112" t="e">
        <f>D10/D12</f>
        <v>#DIV/0!</v>
      </c>
      <c r="E134" s="112" t="e">
        <f>E10/E12</f>
        <v>#DIV/0!</v>
      </c>
      <c r="F134" s="112">
        <f>F10/F12</f>
        <v>16.751131221719458</v>
      </c>
      <c r="G134" s="112">
        <f>G10/G12</f>
        <v>22.885286783042392</v>
      </c>
      <c r="H134" s="112">
        <f t="shared" ref="H134:P134" si="231">H10/H12</f>
        <v>48.240174672489083</v>
      </c>
      <c r="I134" s="112">
        <f t="shared" si="231"/>
        <v>28.530020703933747</v>
      </c>
      <c r="J134" s="112">
        <f t="shared" si="231"/>
        <v>20.938461538461539</v>
      </c>
      <c r="K134" s="112">
        <f t="shared" si="231"/>
        <v>56.044077134986225</v>
      </c>
      <c r="L134" s="112" t="e">
        <f t="shared" si="231"/>
        <v>#DIV/0!</v>
      </c>
      <c r="M134" s="112" t="e">
        <f t="shared" si="231"/>
        <v>#DIV/0!</v>
      </c>
      <c r="N134" s="112" t="e">
        <f t="shared" si="231"/>
        <v>#DIV/0!</v>
      </c>
      <c r="O134" s="112" t="e">
        <f t="shared" si="231"/>
        <v>#DIV/0!</v>
      </c>
      <c r="P134" s="112" t="e">
        <f t="shared" si="231"/>
        <v>#DIV/0!</v>
      </c>
      <c r="Q134" s="118" t="e">
        <f t="shared" si="230"/>
        <v>#DIV/0!</v>
      </c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  <row r="135" spans="2:31">
      <c r="B135" s="20" t="s">
        <v>310</v>
      </c>
      <c r="C135" s="25" t="e">
        <f>C10/(C12+C13)</f>
        <v>#DIV/0!</v>
      </c>
      <c r="D135" s="25" t="e">
        <f>D10/(D12+D13)</f>
        <v>#DIV/0!</v>
      </c>
      <c r="E135" s="25" t="e">
        <f>E10/(E12+E13)</f>
        <v>#DIV/0!</v>
      </c>
      <c r="F135" s="25">
        <f>F10/(F12+F13)</f>
        <v>10.100954979536153</v>
      </c>
      <c r="G135" s="25">
        <f>G10/(G12+G13)</f>
        <v>17.153271028037384</v>
      </c>
      <c r="H135" s="25">
        <f t="shared" ref="H135:P135" si="232">H10/(H12+H13)</f>
        <v>34.630094043887148</v>
      </c>
      <c r="I135" s="25">
        <f t="shared" si="232"/>
        <v>16.991368680641184</v>
      </c>
      <c r="J135" s="25">
        <f t="shared" si="232"/>
        <v>16.315684315684315</v>
      </c>
      <c r="K135" s="25">
        <f t="shared" si="232"/>
        <v>17.598615916955016</v>
      </c>
      <c r="L135" s="25" t="e">
        <f t="shared" si="232"/>
        <v>#DIV/0!</v>
      </c>
      <c r="M135" s="25" t="e">
        <f t="shared" si="232"/>
        <v>#DIV/0!</v>
      </c>
      <c r="N135" s="25" t="e">
        <f t="shared" si="232"/>
        <v>#DIV/0!</v>
      </c>
      <c r="O135" s="25" t="e">
        <f t="shared" si="232"/>
        <v>#DIV/0!</v>
      </c>
      <c r="P135" s="25" t="e">
        <f t="shared" si="232"/>
        <v>#DIV/0!</v>
      </c>
      <c r="Q135" s="118" t="e">
        <f t="shared" si="230"/>
        <v>#DIV/0!</v>
      </c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</row>
    <row r="136" spans="2:31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</row>
    <row r="137" spans="2:31"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</row>
    <row r="138" spans="2:31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</row>
    <row r="139" spans="2:31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</row>
    <row r="140" spans="2:31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18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72" t="s">
        <v>27</v>
      </c>
      <c r="K5" s="172"/>
      <c r="M5" s="172" t="s">
        <v>65</v>
      </c>
      <c r="N5" s="172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72" t="s">
        <v>36</v>
      </c>
      <c r="K14" s="172"/>
      <c r="L14" s="172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72" t="s">
        <v>27</v>
      </c>
      <c r="S5" s="172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72" t="s">
        <v>36</v>
      </c>
      <c r="S14" s="172"/>
      <c r="T14" s="172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72" t="s">
        <v>27</v>
      </c>
      <c r="C2" s="172"/>
      <c r="E2" s="172" t="s">
        <v>65</v>
      </c>
      <c r="F2" s="172"/>
      <c r="H2" s="176" t="s">
        <v>36</v>
      </c>
      <c r="I2" s="177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73" t="s">
        <v>68</v>
      </c>
      <c r="E10" s="174"/>
      <c r="F10" s="174"/>
      <c r="G10" s="174"/>
      <c r="H10" s="175"/>
      <c r="I10" s="173" t="s">
        <v>72</v>
      </c>
      <c r="J10" s="174"/>
      <c r="K10" s="174"/>
      <c r="L10" s="175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2013-09-19T16:32:21Z</dcterms:modified>
</cp:coreProperties>
</file>
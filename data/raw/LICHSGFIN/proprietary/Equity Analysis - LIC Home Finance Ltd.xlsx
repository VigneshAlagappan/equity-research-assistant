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O176" i="18" l="1"/>
  <c r="N176" i="18"/>
  <c r="M176" i="18"/>
  <c r="L176" i="18"/>
  <c r="K176" i="18"/>
  <c r="J176" i="18"/>
  <c r="I176" i="18"/>
  <c r="H176" i="18"/>
  <c r="G176" i="18"/>
  <c r="F176" i="18"/>
  <c r="E176" i="18"/>
  <c r="D176" i="18"/>
  <c r="C176" i="18"/>
  <c r="P12" i="18" l="1"/>
  <c r="O12" i="18"/>
  <c r="N12" i="18"/>
  <c r="K12" i="18"/>
  <c r="J12" i="18"/>
  <c r="I12" i="18"/>
  <c r="H12" i="18"/>
  <c r="G12" i="18"/>
  <c r="F12" i="18"/>
  <c r="P8" i="18"/>
  <c r="O8" i="18"/>
  <c r="N8" i="18"/>
  <c r="M8" i="18"/>
  <c r="L8" i="18"/>
  <c r="K8" i="18"/>
  <c r="J8" i="18"/>
  <c r="I8" i="18"/>
  <c r="H8" i="18"/>
  <c r="G8" i="18"/>
  <c r="Q6" i="18"/>
  <c r="Q7" i="18"/>
  <c r="Q9" i="18"/>
  <c r="Q10" i="18"/>
  <c r="R43" i="18" l="1"/>
  <c r="S4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G209" i="18" s="1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G210" i="18" s="1"/>
  <c r="K210" i="18" s="1"/>
  <c r="H202" i="18"/>
  <c r="I202" i="18" s="1"/>
  <c r="J202" i="18" s="1"/>
  <c r="J203" i="18" s="1"/>
  <c r="H200" i="18"/>
  <c r="H198" i="18"/>
  <c r="H197" i="18"/>
  <c r="I197" i="18" s="1"/>
  <c r="J197" i="18" s="1"/>
  <c r="G212" i="18" l="1"/>
  <c r="G215" i="18"/>
  <c r="K209" i="18"/>
  <c r="D205" i="18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Q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100" i="18" l="1"/>
  <c r="Q98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6" i="18" l="1"/>
  <c r="Q99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6" i="18" s="1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03" i="18" s="1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P183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M183" i="18" l="1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<sst xmlns="http://schemas.openxmlformats.org/spreadsheetml/2006/main" count="618" uniqueCount="429">
  <si>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</si>
  <si>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</si>
  <si>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</si>
  <si>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</si>
  <si>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</si>
  <si>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</si>
  <si>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</si>
  <si>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</si>
  <si>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</si>
  <si>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</si>
  <si>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</si>
  <si>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</si>
  <si>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</si>
  <si>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</si>
  <si>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</si>
  <si>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</si>
  <si>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</si>
  <si>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</si>
  <si>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</si>
  <si>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</si>
  <si>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</si>
  <si>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</si>
  <si>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</si>
  <si>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</si>
  <si>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</si>
  <si>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</si>
  <si>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</si>
  <si>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</si>
  <si>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</si>
  <si>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</si>
  <si>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</si>
  <si>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</si>
  <si>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</si>
  <si>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</si>
  <si>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</si>
  <si>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</si>
  <si>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</si>
  <si>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</si>
  <si>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</si>
  <si>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</si>
  <si>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</si>
  <si>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</si>
  <si>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</si>
  <si>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</si>
  <si>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</si>
  <si>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</si>
  <si>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</si>
  <si>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</si>
  <si>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</si>
  <si>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</si>
  <si>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</si>
  <si>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</si>
  <si>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</si>
  <si>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</si>
  <si>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</si>
  <si>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</si>
  <si>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</si>
  <si>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</si>
  <si>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</si>
  <si>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</si>
  <si>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</si>
  <si>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</si>
  <si>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</si>
  <si>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</si>
  <si>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</si>
  <si>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</si>
  <si>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</si>
  <si>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</si>
  <si>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</si>
  <si>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</si>
  <si>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</si>
  <si>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</si>
  <si>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</si>
  <si>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</si>
  <si>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</si>
  <si>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</si>
  <si>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</si>
  <si>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</si>
  <si>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</si>
  <si>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</si>
  <si>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</si>
  <si>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</si>
  <si>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</si>
  <si>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</si>
  <si>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</si>
  <si>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</si>
  <si>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</si>
  <si>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</si>
  <si>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</si>
  <si>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</si>
  <si>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</si>
  <si>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</si>
  <si>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</si>
  <si>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</si>
  <si>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</si>
  <si>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</si>
  <si>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</si>
  <si>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</si>
  <si>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</si>
  <si>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</si>
  <si>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</si>
  <si>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</si>
  <si>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</si>
  <si>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</si>
  <si>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</si>
  <si>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</si>
  <si>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</si>
  <si>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</si>
  <si>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</si>
  <si>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</si>
  <si>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</si>
  <si>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</si>
  <si>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</si>
  <si>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</si>
  <si>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</si>
  <si>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</si>
  <si>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</si>
  <si>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</si>
  <si>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</si>
  <si>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</si>
  <si>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</si>
  <si>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</si>
  <si>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</si>
  <si>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</si>
  <si>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</si>
  <si>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</si>
  <si>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</si>
  <si>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</si>
  <si>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</si>
  <si>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</si>
  <si>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</si>
  <si>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</si>
  <si>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</si>
  <si>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</si>
  <si>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</si>
  <si>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</si>
  <si>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</si>
  <si>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</si>
  <si>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</si>
  <si>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</si>
  <si>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</si>
  <si>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</si>
  <si>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</si>
  <si>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</si>
  <si>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</si>
  <si>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</si>
  <si>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</si>
  <si>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</si>
  <si>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</si>
  <si>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</si>
  <si>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</si>
  <si>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</si>
  <si>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</si>
  <si>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</si>
  <si>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</si>
  <si>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</si>
  <si>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</si>
  <si>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</si>
  <si>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</si>
  <si>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</si>
  <si>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</si>
  <si>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</si>
  <si>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</si>
  <si>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</si>
  <si>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</si>
  <si>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</si>
  <si>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</si>
  <si>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</si>
  <si>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</si>
  <si>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</si>
  <si>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</si>
  <si>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</si>
  <si>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</si>
  <si>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</si>
  <si>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</si>
  <si>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</si>
  <si>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</si>
  <si>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</si>
  <si>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</si>
  <si>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</si>
  <si>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</si>
  <si>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</si>
  <si>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</si>
  <si>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</si>
  <si>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</si>
  <si>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</si>
  <si>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</si>
  <si>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</si>
  <si>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</si>
  <si>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</si>
  <si>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</si>
  <si>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</si>
  <si>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</si>
  <si>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</si>
  <si>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</si>
  <si>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</si>
  <si>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</si>
  <si>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</si>
  <si>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</si>
  <si>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</si>
  <si>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</si>
  <si>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</si>
  <si>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</si>
  <si>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</si>
  <si>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</si>
  <si>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</si>
  <si>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</si>
  <si>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</si>
  <si>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</si>
  <si>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</si>
  <si>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</si>
  <si>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</si>
  <si>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</si>
  <si>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</si>
  <si>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</si>
  <si>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</si>
  <si>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</si>
  <si>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</si>
  <si>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</si>
  <si>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</si>
  <si>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</si>
  <si>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</si>
  <si>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</si>
  <si>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</si>
  <si>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</si>
  <si>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</si>
  <si>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</si>
  <si>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</si>
  <si>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</si>
  <si>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</si>
  <si>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</si>
  <si>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</si>
  <si>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</si>
  <si>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</si>
  <si>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</si>
  <si>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</si>
  <si>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</si>
  <si>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</si>
  <si>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</si>
  <si>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</si>
  <si>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</si>
  <si>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</si>
  <si>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</si>
  <si>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</si>
  <si>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</si>
  <si>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</si>
  <si>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</si>
  <si>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</si>
  <si>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</si>
  <si>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</si>
  <si>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</si>
  <si>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</si>
  <si>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</si>
  <si>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</si>
  <si>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</si>
  <si>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</si>
  <si>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</si>
  <si>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</si>
  <si>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</si>
  <si>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</si>
  <si>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</si>
  <si>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</si>
  <si>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</si>
  <si>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</si>
  <si>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</si>
  <si>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</si>
  <si>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</si>
  <si>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</si>
  <si>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</si>
  <si>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</si>
  <si>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</si>
  <si>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</si>
  <si>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</si>
  <si>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</si>
  <si>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</si>
  <si>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</si>
  <si>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</si>
  <si>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</si>
  <si>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</si>
  <si>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</si>
  <si>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</si>
  <si>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</si>
  <si>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</si>
  <si>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</si>
  <si>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</si>
  <si>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</si>
  <si>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</si>
  <si>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</si>
  <si>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</si>
  <si>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</si>
  <si>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</si>
  <si>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</si>
  <si>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</si>
  <si>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</si>
  <si>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</si>
  <si>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</si>
  <si>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</si>
  <si>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</si>
  <si>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</si>
  <si>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</si>
  <si>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</si>
  <si>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</si>
  <si>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</si>
  <si>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</si>
  <si>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</si>
  <si>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</si>
  <si>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</si>
  <si>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</si>
  <si>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</si>
  <si>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</si>
  <si>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</si>
  <si>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</si>
  <si>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</si>
  <si>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</si>
  <si>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</si>
  <si>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</si>
  <si>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</si>
  <si>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</si>
  <si>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</si>
  <si>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</si>
  <si>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</si>
  <si>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</si>
  <si>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</si>
  <si>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</si>
  <si>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</si>
  <si>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</si>
  <si>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</si>
  <si>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</si>
  <si>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</si>
  <si>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</si>
  <si>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</si>
  <si>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</si>
  <si>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</si>
  <si>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</si>
  <si>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</si>
  <si>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</si>
  <si>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</si>
  <si>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</si>
  <si>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</si>
  <si>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</si>
  <si>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</si>
  <si>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</si>
  <si>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</si>
  <si>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</si>
  <si>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</si>
  <si>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</si>
  <si>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</si>
  <si>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</si>
  <si>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</si>
  <si>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</si>
  <si>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</si>
  <si>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</si>
  <si>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</si>
  <si>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</si>
  <si>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</si>
  <si>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</si>
  <si>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</si>
  <si>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</si>
  <si>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</si>
  <si>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</si>
  <si>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</si>
  <si>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</si>
  <si>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</si>
  <si>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</si>
  <si>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</si>
  <si>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</si>
  <si>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</si>
  <si>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</si>
  <si>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</si>
  <si>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</si>
  <si>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</si>
  <si>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</si>
  <si>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</si>
  <si>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</si>
  <si>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</si>
  <si>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</si>
  <si>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</si>
  <si>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</si>
  <si>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</si>
  <si>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</si>
  <si>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</si>
  <si>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</si>
  <si>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</si>
  <si>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</si>
  <si>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</si>
  <si>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</si>
  <si>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</si>
  <si>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</si>
  <si>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</si>
  <si>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</si>
  <si>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</si>
  <si>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</si>
  <si>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</si>
  <si>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</si>
  <si>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</si>
  <si>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</si>
  <si>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</si>
  <si>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</si>
  <si>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</si>
  <si>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</si>
  <si>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</si>
  <si>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</si>
  <si>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</si>
  <si>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</si>
  <si>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</si>
  <si>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</si>
  <si>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</si>
  <si>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</si>
  <si>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</si>
  <si>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</si>
  <si>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</si>
  <si>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</si>
  <si>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</si>
  <si>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</si>
  <si>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</si>
  <si>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</si>
  <si>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</si>
  <si>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</si>
  <si>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</si>
  <si>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</si>
  <si>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</si>
  <si>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</si>
  <si>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</si>
  <si>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</si>
  <si>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</si>
  <si>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</si>
  <si>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</si>
  <si>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10x2</t>
  </si>
  <si>
    <t>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</si>
</sst>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174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52032"/>
        <c:axId val="98107776"/>
      </c:lineChart>
      <c:catAx>
        <c:axId val="97852032"/>
        <c:scaling>
          <c:orientation val="minMax"/>
        </c:scaling>
        <c:delete val="0"/>
        <c:axPos val="b"/>
        <c:majorTickMark val="out"/>
        <c:minorTickMark val="none"/>
        <c:tickLblPos val="nextTo"/>
        <c:crossAx val="98107776"/>
        <c:crosses val="autoZero"/>
        <c:auto val="1"/>
        <c:lblAlgn val="ctr"/>
        <c:lblOffset val="100"/>
        <c:noMultiLvlLbl val="0"/>
      </c:catAx>
      <c:valAx>
        <c:axId val="98107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785203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H175" activePane="bottomRight" state="frozen"/>
      <selection pane="topRight" activeCell="C1" sqref="C1"/>
      <selection pane="bottomLeft" activeCell="A5" sqref="A5"/>
      <selection pane="bottomRight" activeCell="W197" sqref="W197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5" t="s">
        <v>291</v>
      </c>
      <c r="AE2" s="196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7" t="s">
        <v>292</v>
      </c>
      <c r="AE3" s="198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>
        <v>786</v>
      </c>
      <c r="G6" s="147">
        <v>886</v>
      </c>
      <c r="H6" s="147">
        <v>1125</v>
      </c>
      <c r="I6" s="147">
        <v>1276</v>
      </c>
      <c r="J6" s="147">
        <v>1477</v>
      </c>
      <c r="K6" s="147">
        <v>1769</v>
      </c>
      <c r="L6" s="147">
        <v>2177</v>
      </c>
      <c r="M6" s="147">
        <v>3347</v>
      </c>
      <c r="N6" s="147">
        <v>4096</v>
      </c>
      <c r="O6" s="147">
        <v>5609</v>
      </c>
      <c r="P6" s="147">
        <v>6432</v>
      </c>
      <c r="Q6" s="118">
        <f>((P6/G6)^(1/($H$2-$H$1) ))-1</f>
        <v>0.24639851748350283</v>
      </c>
      <c r="R6" s="31">
        <f>$L$2</f>
        <v>0.12</v>
      </c>
      <c r="S6" s="154">
        <f>P6*(1+$R6)</f>
        <v>7203.8400000000011</v>
      </c>
      <c r="T6" s="154">
        <f>S6*(1+$R6)</f>
        <v>8068.3008000000018</v>
      </c>
      <c r="U6" s="154">
        <f t="shared" ref="U6:AB6" si="0">T6*(1+$R6)</f>
        <v>9036.4968960000024</v>
      </c>
      <c r="V6" s="154">
        <f t="shared" si="0"/>
        <v>10120.876523520004</v>
      </c>
      <c r="W6" s="154">
        <f t="shared" si="0"/>
        <v>11335.381706342407</v>
      </c>
      <c r="X6" s="154">
        <f t="shared" si="0"/>
        <v>12695.627511103497</v>
      </c>
      <c r="Y6" s="154">
        <f t="shared" si="0"/>
        <v>14219.102812435918</v>
      </c>
      <c r="Z6" s="154">
        <f t="shared" si="0"/>
        <v>15925.39514992823</v>
      </c>
      <c r="AA6" s="154">
        <f t="shared" si="0"/>
        <v>17836.442567919621</v>
      </c>
      <c r="AB6" s="154">
        <f t="shared" si="0"/>
        <v>19976.815676069979</v>
      </c>
      <c r="AC6" s="138">
        <f>((AB6/G6)^(1/($AB$3-$H$1) ))-1</f>
        <v>0.17819017517504121</v>
      </c>
      <c r="AD6" s="31">
        <f>$L$1</f>
        <v>0.05</v>
      </c>
      <c r="AE6" s="146">
        <f t="shared" ref="AE6:AE43" si="1">(AB6*(1+AD6))/($C$1-AD6)</f>
        <v>123386.214469844</v>
      </c>
    </row>
    <row r="7" spans="2:31" x14ac:dyDescent="0.2">
      <c r="B7" s="20" t="s">
        <v>240</v>
      </c>
      <c r="C7" s="141"/>
      <c r="D7" s="141"/>
      <c r="E7" s="147"/>
      <c r="F7" s="147">
        <v>861</v>
      </c>
      <c r="G7" s="147">
        <v>961</v>
      </c>
      <c r="H7" s="147">
        <v>1210</v>
      </c>
      <c r="I7" s="147">
        <v>1362</v>
      </c>
      <c r="J7" s="147">
        <v>1562</v>
      </c>
      <c r="K7" s="147">
        <v>1854</v>
      </c>
      <c r="L7" s="147">
        <v>2262</v>
      </c>
      <c r="M7" s="147">
        <v>3442</v>
      </c>
      <c r="N7" s="147">
        <v>4191</v>
      </c>
      <c r="O7" s="147">
        <v>5710</v>
      </c>
      <c r="P7" s="147">
        <v>6533</v>
      </c>
      <c r="Q7" s="118">
        <f>((P7/G7)^(1/($H$2-$H$1) ))-1</f>
        <v>0.23733613652450458</v>
      </c>
      <c r="R7" s="31">
        <f>$L$2</f>
        <v>0.12</v>
      </c>
      <c r="S7" s="154">
        <f t="shared" ref="S7:S16" si="2">P7*(1+$R7)</f>
        <v>7316.9600000000009</v>
      </c>
      <c r="T7" s="154">
        <f t="shared" ref="T7:AB7" si="3">S7*(1+$R7)</f>
        <v>8194.9952000000012</v>
      </c>
      <c r="U7" s="154">
        <f t="shared" si="3"/>
        <v>9178.3946240000023</v>
      </c>
      <c r="V7" s="154">
        <f t="shared" si="3"/>
        <v>10279.801978880003</v>
      </c>
      <c r="W7" s="154">
        <f t="shared" si="3"/>
        <v>11513.378216345604</v>
      </c>
      <c r="X7" s="154">
        <f t="shared" si="3"/>
        <v>12894.983602307077</v>
      </c>
      <c r="Y7" s="154">
        <f t="shared" si="3"/>
        <v>14442.381634583928</v>
      </c>
      <c r="Z7" s="154">
        <f t="shared" si="3"/>
        <v>16175.467430734001</v>
      </c>
      <c r="AA7" s="154">
        <f t="shared" si="3"/>
        <v>18116.523522422081</v>
      </c>
      <c r="AB7" s="154">
        <f t="shared" si="3"/>
        <v>20290.506345112732</v>
      </c>
      <c r="AC7" s="138">
        <f>((AB7/G7)^(1/($AB$3-$H$1) ))-1</f>
        <v>0.17412459101044742</v>
      </c>
      <c r="AD7" s="31">
        <f>$L$1</f>
        <v>0.05</v>
      </c>
      <c r="AE7" s="146">
        <f t="shared" si="1"/>
        <v>125323.71566099042</v>
      </c>
    </row>
    <row r="8" spans="2:31" x14ac:dyDescent="0.2">
      <c r="B8" s="20"/>
      <c r="C8" s="141"/>
      <c r="D8" s="141"/>
      <c r="E8" s="147"/>
      <c r="F8" s="147"/>
      <c r="G8" s="148">
        <f>(G7-F7)/G7</f>
        <v>0.1040582726326743</v>
      </c>
      <c r="H8" s="151">
        <f>(H7-G7)/H7</f>
        <v>0.20578512396694215</v>
      </c>
      <c r="I8" s="151">
        <f t="shared" ref="I8:P8" si="4">(I7-H7)/I7</f>
        <v>0.11160058737151249</v>
      </c>
      <c r="J8" s="151">
        <f t="shared" si="4"/>
        <v>0.12804097311139565</v>
      </c>
      <c r="K8" s="151">
        <f t="shared" si="4"/>
        <v>0.1574973031283711</v>
      </c>
      <c r="L8" s="151">
        <f t="shared" si="4"/>
        <v>0.18037135278514588</v>
      </c>
      <c r="M8" s="151">
        <f t="shared" si="4"/>
        <v>0.34282393957001744</v>
      </c>
      <c r="N8" s="151">
        <f t="shared" si="4"/>
        <v>0.17871629682653303</v>
      </c>
      <c r="O8" s="151">
        <f t="shared" si="4"/>
        <v>0.2660245183887916</v>
      </c>
      <c r="P8" s="151">
        <f t="shared" si="4"/>
        <v>0.12597581509260677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>
        <v>270</v>
      </c>
      <c r="G9" s="188">
        <v>278</v>
      </c>
      <c r="H9" s="147">
        <v>416</v>
      </c>
      <c r="I9" s="188">
        <v>466</v>
      </c>
      <c r="J9" s="188">
        <v>635</v>
      </c>
      <c r="K9" s="188">
        <v>829</v>
      </c>
      <c r="L9" s="188">
        <v>1346</v>
      </c>
      <c r="M9" s="188">
        <v>1699</v>
      </c>
      <c r="N9" s="188">
        <v>3608</v>
      </c>
      <c r="O9" s="188">
        <v>10037</v>
      </c>
      <c r="P9" s="188">
        <v>14417</v>
      </c>
      <c r="Q9" s="118">
        <f t="shared" ref="Q9:Q16" si="5">((P9/G9)^(1/($H$2-$H$1) ))-1</f>
        <v>0.5507317473115001</v>
      </c>
      <c r="R9" s="31">
        <f t="shared" ref="R9:R40" si="6">$L$2</f>
        <v>0.12</v>
      </c>
      <c r="S9" s="154">
        <f t="shared" ref="S9" si="7">P9*(1+$R9)</f>
        <v>16147.04</v>
      </c>
      <c r="T9" s="154">
        <f t="shared" ref="T9" si="8">S9*(1+$R9)</f>
        <v>18084.684800000003</v>
      </c>
      <c r="U9" s="154">
        <f t="shared" ref="U9" si="9">T9*(1+$R9)</f>
        <v>20254.846976000004</v>
      </c>
      <c r="V9" s="154">
        <f t="shared" ref="V9" si="10">U9*(1+$R9)</f>
        <v>22685.428613120006</v>
      </c>
      <c r="W9" s="154">
        <f t="shared" ref="W9" si="11">V9*(1+$R9)</f>
        <v>25407.680046694408</v>
      </c>
      <c r="X9" s="154">
        <f t="shared" ref="X9" si="12">W9*(1+$R9)</f>
        <v>28456.601652297741</v>
      </c>
      <c r="Y9" s="154">
        <f t="shared" ref="Y9" si="13">X9*(1+$R9)</f>
        <v>31871.393850573473</v>
      </c>
      <c r="Z9" s="154">
        <f t="shared" ref="Z9" si="14">Y9*(1+$R9)</f>
        <v>35695.961112642297</v>
      </c>
      <c r="AA9" s="154">
        <f t="shared" ref="AA9" si="15">Z9*(1+$R9)</f>
        <v>39979.476446159373</v>
      </c>
      <c r="AB9" s="154">
        <f t="shared" ref="AB9" si="16">AA9*(1+$R9)</f>
        <v>44777.013619698504</v>
      </c>
      <c r="AC9" s="138">
        <f>((AB9/G9)^(1/($AB$3-$H$1) ))-1</f>
        <v>0.30664748952371101</v>
      </c>
      <c r="AD9" s="31">
        <f t="shared" ref="AD9:AD79" si="17">$L$1</f>
        <v>0.05</v>
      </c>
      <c r="AE9" s="146">
        <f t="shared" si="1"/>
        <v>276563.90765107906</v>
      </c>
    </row>
    <row r="10" spans="2:31" x14ac:dyDescent="0.2">
      <c r="B10" s="20" t="s">
        <v>4</v>
      </c>
      <c r="C10" s="141"/>
      <c r="D10" s="141"/>
      <c r="E10" s="147"/>
      <c r="F10" s="147">
        <v>7404</v>
      </c>
      <c r="G10" s="188">
        <v>9177</v>
      </c>
      <c r="H10" s="188">
        <v>11047</v>
      </c>
      <c r="I10" s="188">
        <v>13780</v>
      </c>
      <c r="J10" s="188">
        <v>16332</v>
      </c>
      <c r="K10" s="188">
        <v>20344</v>
      </c>
      <c r="L10" s="188">
        <v>25421</v>
      </c>
      <c r="M10" s="188">
        <v>34758</v>
      </c>
      <c r="N10" s="188">
        <v>45162</v>
      </c>
      <c r="O10" s="188">
        <v>47869</v>
      </c>
      <c r="P10" s="188">
        <v>58705</v>
      </c>
      <c r="Q10" s="118">
        <f t="shared" si="5"/>
        <v>0.2290023314138756</v>
      </c>
      <c r="R10" s="31">
        <f t="shared" si="6"/>
        <v>0.12</v>
      </c>
      <c r="S10" s="154">
        <f t="shared" si="2"/>
        <v>65749.600000000006</v>
      </c>
      <c r="T10" s="154">
        <f t="shared" ref="T10:AB10" si="18">S10*(1+$R10)</f>
        <v>73639.552000000011</v>
      </c>
      <c r="U10" s="154">
        <f t="shared" si="18"/>
        <v>82476.298240000018</v>
      </c>
      <c r="V10" s="154">
        <f t="shared" si="18"/>
        <v>92373.454028800028</v>
      </c>
      <c r="W10" s="154">
        <f t="shared" si="18"/>
        <v>103458.26851225604</v>
      </c>
      <c r="X10" s="154">
        <f t="shared" si="18"/>
        <v>115873.26073372677</v>
      </c>
      <c r="Y10" s="154">
        <f t="shared" si="18"/>
        <v>129778.052021774</v>
      </c>
      <c r="Z10" s="154">
        <f t="shared" si="18"/>
        <v>145351.41826438688</v>
      </c>
      <c r="AA10" s="154">
        <f t="shared" si="18"/>
        <v>162793.58845611333</v>
      </c>
      <c r="AB10" s="154">
        <f t="shared" si="18"/>
        <v>182328.81907084695</v>
      </c>
      <c r="AC10" s="138">
        <f t="shared" ref="AC10:AC42" si="19">((AB10/G10)^(1/($AB$3-$H$1) ))-1</f>
        <v>0.17037200668068908</v>
      </c>
      <c r="AD10" s="31">
        <f t="shared" si="17"/>
        <v>0.05</v>
      </c>
      <c r="AE10" s="146">
        <f t="shared" si="1"/>
        <v>1126148.5883787607</v>
      </c>
    </row>
    <row r="11" spans="2:31" x14ac:dyDescent="0.2">
      <c r="B11" s="20"/>
      <c r="C11" s="141"/>
      <c r="D11" s="141"/>
      <c r="E11" s="147"/>
      <c r="F11" s="147"/>
      <c r="G11" s="148">
        <f>(G10-F10)/G10</f>
        <v>0.19320039228506047</v>
      </c>
      <c r="H11" s="148">
        <f t="shared" ref="H11:P11" si="20">(H10-G10)/H10</f>
        <v>0.16927672671313479</v>
      </c>
      <c r="I11" s="148">
        <f t="shared" si="20"/>
        <v>0.19833091436865022</v>
      </c>
      <c r="J11" s="148">
        <f t="shared" si="20"/>
        <v>0.15625765368601519</v>
      </c>
      <c r="K11" s="148">
        <f t="shared" si="20"/>
        <v>0.19720802202123477</v>
      </c>
      <c r="L11" s="148">
        <f t="shared" si="20"/>
        <v>0.19971676959993706</v>
      </c>
      <c r="M11" s="148">
        <f t="shared" si="20"/>
        <v>0.26862880487945223</v>
      </c>
      <c r="N11" s="148">
        <f t="shared" si="20"/>
        <v>0.23037066560382621</v>
      </c>
      <c r="O11" s="148">
        <f t="shared" si="20"/>
        <v>5.6550168167289895E-2</v>
      </c>
      <c r="P11" s="148">
        <f t="shared" si="20"/>
        <v>0.18458393663231412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>
        <f>84+358</f>
        <v>442</v>
      </c>
      <c r="G12" s="188">
        <f>287+114</f>
        <v>401</v>
      </c>
      <c r="H12" s="188">
        <f>155+74</f>
        <v>229</v>
      </c>
      <c r="I12" s="188">
        <f>165+316</f>
        <v>481</v>
      </c>
      <c r="J12" s="188">
        <f>176+604</f>
        <v>780</v>
      </c>
      <c r="K12" s="188">
        <f>149+214</f>
        <v>363</v>
      </c>
      <c r="L12" s="188">
        <v>131</v>
      </c>
      <c r="M12" s="188">
        <v>270</v>
      </c>
      <c r="N12" s="188">
        <f>416+22</f>
        <v>438</v>
      </c>
      <c r="O12" s="188">
        <f>239+88</f>
        <v>327</v>
      </c>
      <c r="P12" s="188">
        <f>1523</f>
        <v>1523</v>
      </c>
      <c r="Q12" s="118">
        <f t="shared" si="5"/>
        <v>0.15983192553836822</v>
      </c>
      <c r="R12" s="31">
        <f t="shared" si="6"/>
        <v>0.12</v>
      </c>
      <c r="S12" s="154">
        <f t="shared" si="2"/>
        <v>1705.7600000000002</v>
      </c>
      <c r="T12" s="154">
        <f t="shared" ref="T12:AB12" si="21">S12*(1+$R12)</f>
        <v>1910.4512000000004</v>
      </c>
      <c r="U12" s="154">
        <f t="shared" si="21"/>
        <v>2139.7053440000009</v>
      </c>
      <c r="V12" s="154">
        <f t="shared" si="21"/>
        <v>2396.4699852800013</v>
      </c>
      <c r="W12" s="154">
        <f t="shared" si="21"/>
        <v>2684.0463835136015</v>
      </c>
      <c r="X12" s="154">
        <f t="shared" si="21"/>
        <v>3006.1319495352341</v>
      </c>
      <c r="Y12" s="154">
        <f t="shared" si="21"/>
        <v>3366.8677834794626</v>
      </c>
      <c r="Z12" s="154">
        <f t="shared" si="21"/>
        <v>3770.8919174969983</v>
      </c>
      <c r="AA12" s="154">
        <f t="shared" si="21"/>
        <v>4223.3989475966382</v>
      </c>
      <c r="AB12" s="154">
        <f t="shared" si="21"/>
        <v>4730.2068213082348</v>
      </c>
      <c r="AC12" s="138">
        <f t="shared" si="19"/>
        <v>0.13869429589468685</v>
      </c>
      <c r="AD12" s="31">
        <f t="shared" si="17"/>
        <v>0.05</v>
      </c>
      <c r="AE12" s="146">
        <f t="shared" si="1"/>
        <v>29215.983308080278</v>
      </c>
    </row>
    <row r="13" spans="2:31" x14ac:dyDescent="0.2">
      <c r="B13" s="20" t="s">
        <v>218</v>
      </c>
      <c r="C13" s="141"/>
      <c r="D13" s="141"/>
      <c r="E13" s="147"/>
      <c r="F13" s="147">
        <v>291</v>
      </c>
      <c r="G13" s="188">
        <v>134</v>
      </c>
      <c r="H13" s="188">
        <v>89.83</v>
      </c>
      <c r="I13" s="188">
        <v>328</v>
      </c>
      <c r="J13" s="188">
        <v>221</v>
      </c>
      <c r="K13" s="188">
        <v>793</v>
      </c>
      <c r="L13" s="147">
        <v>1148</v>
      </c>
      <c r="M13" s="147">
        <v>1433</v>
      </c>
      <c r="N13" s="147">
        <v>1415</v>
      </c>
      <c r="O13" s="147">
        <v>172</v>
      </c>
      <c r="P13" s="147">
        <v>195</v>
      </c>
      <c r="Q13" s="118">
        <f t="shared" si="5"/>
        <v>4.2565411559509325E-2</v>
      </c>
      <c r="R13" s="31">
        <f t="shared" si="6"/>
        <v>0.12</v>
      </c>
      <c r="S13" s="154">
        <f t="shared" si="2"/>
        <v>218.40000000000003</v>
      </c>
      <c r="T13" s="154">
        <f t="shared" ref="T13:AB13" si="22">S13*(1+$R13)</f>
        <v>244.60800000000006</v>
      </c>
      <c r="U13" s="154">
        <f t="shared" si="22"/>
        <v>273.96096000000011</v>
      </c>
      <c r="V13" s="154">
        <f t="shared" si="22"/>
        <v>306.83627520000016</v>
      </c>
      <c r="W13" s="154">
        <f t="shared" si="22"/>
        <v>343.6566282240002</v>
      </c>
      <c r="X13" s="154">
        <f t="shared" si="22"/>
        <v>384.89542361088024</v>
      </c>
      <c r="Y13" s="154">
        <f t="shared" si="22"/>
        <v>431.0828744441859</v>
      </c>
      <c r="Z13" s="154">
        <f t="shared" si="22"/>
        <v>482.81281937748827</v>
      </c>
      <c r="AA13" s="154">
        <f t="shared" si="22"/>
        <v>540.75035770278691</v>
      </c>
      <c r="AB13" s="154">
        <f t="shared" si="22"/>
        <v>605.64040062712138</v>
      </c>
      <c r="AC13" s="138">
        <f t="shared" si="19"/>
        <v>8.2628550216416574E-2</v>
      </c>
      <c r="AD13" s="31">
        <f t="shared" si="17"/>
        <v>0.05</v>
      </c>
      <c r="AE13" s="146">
        <f t="shared" si="1"/>
        <v>3740.7201215204559</v>
      </c>
    </row>
    <row r="14" spans="2:31" x14ac:dyDescent="0.2">
      <c r="B14" s="20" t="s">
        <v>373</v>
      </c>
      <c r="C14" s="141"/>
      <c r="D14" s="141"/>
      <c r="E14" s="147"/>
      <c r="F14" s="147">
        <v>0</v>
      </c>
      <c r="G14" s="188">
        <v>0</v>
      </c>
      <c r="H14" s="188">
        <v>0</v>
      </c>
      <c r="I14" s="188">
        <v>0</v>
      </c>
      <c r="J14" s="188">
        <v>0</v>
      </c>
      <c r="K14" s="188">
        <v>0</v>
      </c>
      <c r="L14" s="188">
        <v>0</v>
      </c>
      <c r="M14" s="188">
        <v>0</v>
      </c>
      <c r="N14" s="188">
        <v>0</v>
      </c>
      <c r="O14" s="188">
        <v>0</v>
      </c>
      <c r="P14" s="188">
        <v>0.02</v>
      </c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2.2400000000000003E-2</v>
      </c>
      <c r="T14" s="154">
        <f t="shared" ref="T14" si="25">S14*(1+$R14)</f>
        <v>2.5088000000000006E-2</v>
      </c>
      <c r="U14" s="154">
        <f t="shared" ref="U14" si="26">T14*(1+$R14)</f>
        <v>2.8098560000000009E-2</v>
      </c>
      <c r="V14" s="154">
        <f t="shared" ref="V14" si="27">U14*(1+$R14)</f>
        <v>3.1470387200000012E-2</v>
      </c>
      <c r="W14" s="154">
        <f t="shared" ref="W14" si="28">V14*(1+$R14)</f>
        <v>3.524683366400002E-2</v>
      </c>
      <c r="X14" s="154">
        <f t="shared" ref="X14" si="29">W14*(1+$R14)</f>
        <v>3.9476453703680026E-2</v>
      </c>
      <c r="Y14" s="154">
        <f t="shared" ref="Y14" si="30">X14*(1+$R14)</f>
        <v>4.4213628148121631E-2</v>
      </c>
      <c r="Z14" s="154">
        <f t="shared" ref="Z14" si="31">Y14*(1+$R14)</f>
        <v>4.951926352589623E-2</v>
      </c>
      <c r="AA14" s="154">
        <f t="shared" ref="AA14" si="32">Z14*(1+$R14)</f>
        <v>5.5461575149003781E-2</v>
      </c>
      <c r="AB14" s="154">
        <f t="shared" ref="AB14" si="33">AA14*(1+$R14)</f>
        <v>6.2116964166884239E-2</v>
      </c>
      <c r="AC14" s="138" t="e">
        <f t="shared" ref="AC14" si="34">((AB14/G14)^(1/($AB$3-$H$1) ))-1</f>
        <v>#DIV/0!</v>
      </c>
      <c r="AD14" s="31">
        <f t="shared" si="17"/>
        <v>0.05</v>
      </c>
      <c r="AE14" s="146">
        <f t="shared" ref="AE14" si="35">(AB14*(1+AD14))/($C$1-AD14)</f>
        <v>0.38366360220722623</v>
      </c>
    </row>
    <row r="15" spans="2:31" x14ac:dyDescent="0.2">
      <c r="B15" s="20" t="s">
        <v>19</v>
      </c>
      <c r="C15" s="141"/>
      <c r="D15" s="141"/>
      <c r="E15" s="147"/>
      <c r="F15" s="147">
        <v>84</v>
      </c>
      <c r="G15" s="188">
        <v>114</v>
      </c>
      <c r="H15" s="188">
        <v>155</v>
      </c>
      <c r="I15" s="188">
        <v>166</v>
      </c>
      <c r="J15" s="188">
        <v>176</v>
      </c>
      <c r="K15" s="188">
        <v>149</v>
      </c>
      <c r="L15" s="188">
        <v>132</v>
      </c>
      <c r="M15" s="188">
        <v>264</v>
      </c>
      <c r="N15" s="188">
        <v>417</v>
      </c>
      <c r="O15" s="188">
        <v>312</v>
      </c>
      <c r="P15" s="188">
        <v>1588</v>
      </c>
      <c r="Q15" s="118">
        <f t="shared" si="5"/>
        <v>0.34000084386484963</v>
      </c>
      <c r="R15" s="31">
        <f t="shared" si="6"/>
        <v>0.12</v>
      </c>
      <c r="S15" s="154">
        <f t="shared" si="2"/>
        <v>1778.5600000000002</v>
      </c>
      <c r="T15" s="154">
        <f t="shared" ref="T15:AB15" si="36">S15*(1+$R15)</f>
        <v>1991.9872000000005</v>
      </c>
      <c r="U15" s="154">
        <f t="shared" si="36"/>
        <v>2231.0256640000007</v>
      </c>
      <c r="V15" s="154">
        <f t="shared" si="36"/>
        <v>2498.7487436800011</v>
      </c>
      <c r="W15" s="154">
        <f t="shared" si="36"/>
        <v>2798.5985929216017</v>
      </c>
      <c r="X15" s="154">
        <f t="shared" si="36"/>
        <v>3134.430424072194</v>
      </c>
      <c r="Y15" s="154">
        <f t="shared" si="36"/>
        <v>3510.5620749608574</v>
      </c>
      <c r="Z15" s="154">
        <f t="shared" si="36"/>
        <v>3931.8295239561608</v>
      </c>
      <c r="AA15" s="154">
        <f t="shared" si="36"/>
        <v>4403.6490668309007</v>
      </c>
      <c r="AB15" s="154">
        <f t="shared" si="36"/>
        <v>4932.0869548506089</v>
      </c>
      <c r="AC15" s="138">
        <f t="shared" si="19"/>
        <v>0.21930368988878857</v>
      </c>
      <c r="AD15" s="31">
        <f t="shared" si="17"/>
        <v>0.05</v>
      </c>
      <c r="AE15" s="146">
        <f t="shared" si="1"/>
        <v>30462.890015253768</v>
      </c>
    </row>
    <row r="16" spans="2:31" x14ac:dyDescent="0.2">
      <c r="B16" s="20" t="s">
        <v>23</v>
      </c>
      <c r="C16" s="141"/>
      <c r="D16" s="141"/>
      <c r="E16" s="147"/>
      <c r="F16" s="147">
        <v>7953</v>
      </c>
      <c r="G16" s="188">
        <v>9980</v>
      </c>
      <c r="H16" s="188">
        <v>12140</v>
      </c>
      <c r="I16" s="188">
        <v>14783</v>
      </c>
      <c r="J16" s="188">
        <v>17641</v>
      </c>
      <c r="K16" s="188">
        <v>21366</v>
      </c>
      <c r="L16" s="188">
        <v>26487</v>
      </c>
      <c r="M16" s="188">
        <v>36718</v>
      </c>
      <c r="N16" s="188">
        <v>47876</v>
      </c>
      <c r="O16" s="188">
        <v>53319</v>
      </c>
      <c r="P16" s="188">
        <v>64970</v>
      </c>
      <c r="Q16" s="118">
        <f t="shared" si="5"/>
        <v>0.23139684394148508</v>
      </c>
      <c r="R16" s="31">
        <f t="shared" si="6"/>
        <v>0.12</v>
      </c>
      <c r="S16" s="154">
        <f t="shared" si="2"/>
        <v>72766.400000000009</v>
      </c>
      <c r="T16" s="154">
        <f t="shared" ref="T16:AB16" si="37">S16*(1+$R16)</f>
        <v>81498.368000000017</v>
      </c>
      <c r="U16" s="154">
        <f t="shared" si="37"/>
        <v>91278.172160000031</v>
      </c>
      <c r="V16" s="154">
        <f t="shared" si="37"/>
        <v>102231.55281920005</v>
      </c>
      <c r="W16" s="154">
        <f t="shared" si="37"/>
        <v>114499.33915750407</v>
      </c>
      <c r="X16" s="154">
        <f t="shared" si="37"/>
        <v>128239.25985640458</v>
      </c>
      <c r="Y16" s="154">
        <f t="shared" si="37"/>
        <v>143627.97103917314</v>
      </c>
      <c r="Z16" s="154">
        <f t="shared" si="37"/>
        <v>160863.32756387393</v>
      </c>
      <c r="AA16" s="154">
        <f t="shared" si="37"/>
        <v>180166.92687153883</v>
      </c>
      <c r="AB16" s="154">
        <f t="shared" si="37"/>
        <v>201786.9580961235</v>
      </c>
      <c r="AC16" s="138">
        <f t="shared" si="19"/>
        <v>0.17145158643781477</v>
      </c>
      <c r="AD16" s="31">
        <f t="shared" si="17"/>
        <v>0.05</v>
      </c>
      <c r="AE16" s="146">
        <f t="shared" si="1"/>
        <v>1246331.2117701746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>
        <v>18.309999999999999</v>
      </c>
      <c r="G18" s="188">
        <v>23.69</v>
      </c>
      <c r="H18" s="188">
        <v>24.74</v>
      </c>
      <c r="I18" s="188">
        <v>24.24</v>
      </c>
      <c r="J18" s="188">
        <v>30</v>
      </c>
      <c r="K18" s="188">
        <v>30</v>
      </c>
      <c r="L18" s="188">
        <v>44</v>
      </c>
      <c r="M18" s="188">
        <v>45</v>
      </c>
      <c r="N18" s="188">
        <v>45</v>
      </c>
      <c r="O18" s="188">
        <v>73</v>
      </c>
      <c r="P18" s="188">
        <v>73</v>
      </c>
      <c r="Q18" s="118">
        <f>((P18/G18)^(1/($H$2-$H$1) ))-1</f>
        <v>0.13319962506317373</v>
      </c>
      <c r="R18" s="31">
        <f t="shared" si="6"/>
        <v>0.12</v>
      </c>
      <c r="S18" s="154">
        <f t="shared" ref="S18:S34" si="38">P18*(1+$R18)</f>
        <v>81.760000000000005</v>
      </c>
      <c r="T18" s="154">
        <f t="shared" ref="T18:T34" si="39">S18*(1+$R18)</f>
        <v>91.571200000000019</v>
      </c>
      <c r="U18" s="154">
        <f t="shared" ref="U18:U34" si="40">T18*(1+$R18)</f>
        <v>102.55974400000004</v>
      </c>
      <c r="V18" s="154">
        <f t="shared" ref="V18:V34" si="41">U18*(1+$R18)</f>
        <v>114.86691328000005</v>
      </c>
      <c r="W18" s="154">
        <f t="shared" ref="W18:W36" si="42">V18*(1+$R18)</f>
        <v>128.65094287360006</v>
      </c>
      <c r="X18" s="154">
        <f t="shared" ref="X18:X36" si="43">W18*(1+$R18)</f>
        <v>144.08905601843207</v>
      </c>
      <c r="Y18" s="154">
        <f t="shared" ref="Y18:Y36" si="44">X18*(1+$R18)</f>
        <v>161.37974274064393</v>
      </c>
      <c r="Z18" s="154">
        <f t="shared" ref="Z18:Z36" si="45">Y18*(1+$R18)</f>
        <v>180.74531186952123</v>
      </c>
      <c r="AA18" s="154">
        <f t="shared" ref="AA18:AA36" si="46">Z18*(1+$R18)</f>
        <v>202.4347492938638</v>
      </c>
      <c r="AB18" s="154">
        <f t="shared" ref="AB18:AB36" si="47">AA18*(1+$R18)</f>
        <v>226.72691920912749</v>
      </c>
      <c r="AC18" s="138">
        <f t="shared" si="19"/>
        <v>0.12623317793281008</v>
      </c>
      <c r="AD18" s="31">
        <f t="shared" si="17"/>
        <v>0.05</v>
      </c>
      <c r="AE18" s="146">
        <f t="shared" si="1"/>
        <v>1400.3721480563759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>
        <v>-767</v>
      </c>
      <c r="G20" s="147">
        <v>-1302</v>
      </c>
      <c r="H20" s="147">
        <v>-1557</v>
      </c>
      <c r="I20" s="147">
        <v>-2202</v>
      </c>
      <c r="J20" s="147">
        <v>-2273</v>
      </c>
      <c r="K20" s="147">
        <v>-3878</v>
      </c>
      <c r="L20" s="147">
        <v>-4909</v>
      </c>
      <c r="M20" s="147">
        <v>-9502</v>
      </c>
      <c r="N20" s="147">
        <v>-10267</v>
      </c>
      <c r="O20" s="147">
        <v>-11818</v>
      </c>
      <c r="P20" s="147">
        <v>-12585</v>
      </c>
      <c r="Q20" s="118">
        <f>((P20/G20)^(1/($H$2-$H$1) ))-1</f>
        <v>0.28668239719540578</v>
      </c>
      <c r="R20" s="31">
        <f t="shared" si="6"/>
        <v>0.12</v>
      </c>
      <c r="S20" s="154">
        <f t="shared" ref="S20:S22" si="48">P20*(1+$R20)</f>
        <v>-14095.2</v>
      </c>
      <c r="T20" s="154">
        <f t="shared" ref="T20:T22" si="49">S20*(1+$R20)</f>
        <v>-15786.624000000002</v>
      </c>
      <c r="U20" s="154">
        <f t="shared" ref="U20:U22" si="50">T20*(1+$R20)</f>
        <v>-17681.018880000003</v>
      </c>
      <c r="V20" s="154">
        <f t="shared" ref="V20:V22" si="51">U20*(1+$R20)</f>
        <v>-19802.741145600005</v>
      </c>
      <c r="W20" s="154">
        <f t="shared" ref="W20:W22" si="52">V20*(1+$R20)</f>
        <v>-22179.070083072009</v>
      </c>
      <c r="X20" s="154">
        <f t="shared" ref="X20:X22" si="53">W20*(1+$R20)</f>
        <v>-24840.558493040651</v>
      </c>
      <c r="Y20" s="154">
        <f t="shared" ref="Y20:Y22" si="54">X20*(1+$R20)</f>
        <v>-27821.425512205533</v>
      </c>
      <c r="Z20" s="154">
        <f t="shared" ref="Z20:Z22" si="55">Y20*(1+$R20)</f>
        <v>-31159.9965736702</v>
      </c>
      <c r="AA20" s="154">
        <f t="shared" ref="AA20:AA22" si="56">Z20*(1+$R20)</f>
        <v>-34899.196162510627</v>
      </c>
      <c r="AB20" s="154">
        <f t="shared" ref="AB20:AB22" si="57">AA20*(1+$R20)</f>
        <v>-39087.099702011903</v>
      </c>
      <c r="AC20" s="138">
        <f t="shared" ref="AC20:AC22" si="58">((AB20/G20)^(1/($AB$3-$H$1) ))-1</f>
        <v>0.19607682864994147</v>
      </c>
      <c r="AD20" s="31">
        <f t="shared" si="17"/>
        <v>0.05</v>
      </c>
      <c r="AE20" s="146">
        <f t="shared" si="1"/>
        <v>-241420.32168889706</v>
      </c>
    </row>
    <row r="21" spans="2:31" x14ac:dyDescent="0.2">
      <c r="B21" s="20" t="s">
        <v>284</v>
      </c>
      <c r="C21" s="141"/>
      <c r="D21" s="141"/>
      <c r="E21" s="147"/>
      <c r="F21" s="147">
        <v>61</v>
      </c>
      <c r="G21" s="147">
        <v>160</v>
      </c>
      <c r="H21" s="147">
        <v>84</v>
      </c>
      <c r="I21" s="147">
        <v>-230</v>
      </c>
      <c r="J21" s="147">
        <v>127</v>
      </c>
      <c r="K21" s="147">
        <v>-521</v>
      </c>
      <c r="L21" s="147">
        <v>-297</v>
      </c>
      <c r="M21" s="147">
        <v>-222</v>
      </c>
      <c r="N21" s="147">
        <v>197</v>
      </c>
      <c r="O21" s="147">
        <v>-35</v>
      </c>
      <c r="P21" s="147">
        <v>-27</v>
      </c>
      <c r="Q21" s="118">
        <f>((P21/G21)^(1/($H$2-$H$1) ))-1</f>
        <v>-1.8206126320066955</v>
      </c>
      <c r="R21" s="31">
        <f t="shared" si="6"/>
        <v>0.12</v>
      </c>
      <c r="S21" s="154">
        <f t="shared" si="48"/>
        <v>-30.240000000000002</v>
      </c>
      <c r="T21" s="154">
        <f t="shared" si="49"/>
        <v>-33.868800000000007</v>
      </c>
      <c r="U21" s="154">
        <f t="shared" si="50"/>
        <v>-37.933056000000015</v>
      </c>
      <c r="V21" s="154">
        <f t="shared" si="51"/>
        <v>-42.485022720000018</v>
      </c>
      <c r="W21" s="154">
        <f t="shared" si="52"/>
        <v>-47.583225446400021</v>
      </c>
      <c r="X21" s="154">
        <f t="shared" si="53"/>
        <v>-53.293212499968028</v>
      </c>
      <c r="Y21" s="154">
        <f t="shared" si="54"/>
        <v>-59.688397999964195</v>
      </c>
      <c r="Z21" s="154">
        <f t="shared" si="55"/>
        <v>-66.851005759959904</v>
      </c>
      <c r="AA21" s="154">
        <f t="shared" si="56"/>
        <v>-74.873126451155102</v>
      </c>
      <c r="AB21" s="154">
        <f t="shared" si="57"/>
        <v>-83.857901625293721</v>
      </c>
      <c r="AC21" s="138">
        <f t="shared" si="58"/>
        <v>-1.9665689561398016</v>
      </c>
      <c r="AD21" s="31">
        <f t="shared" si="17"/>
        <v>0.05</v>
      </c>
      <c r="AE21" s="146">
        <f t="shared" si="1"/>
        <v>-517.94586297975547</v>
      </c>
    </row>
    <row r="22" spans="2:31" x14ac:dyDescent="0.2">
      <c r="B22" s="20" t="s">
        <v>285</v>
      </c>
      <c r="C22" s="141"/>
      <c r="D22" s="141"/>
      <c r="E22" s="147"/>
      <c r="F22" s="147">
        <v>498</v>
      </c>
      <c r="G22" s="147">
        <v>1101</v>
      </c>
      <c r="H22" s="147">
        <v>1300</v>
      </c>
      <c r="I22" s="147">
        <v>2685</v>
      </c>
      <c r="J22" s="147">
        <v>2445</v>
      </c>
      <c r="K22" s="147">
        <v>3982</v>
      </c>
      <c r="L22" s="147">
        <v>4978</v>
      </c>
      <c r="M22" s="147">
        <v>9856</v>
      </c>
      <c r="N22" s="147">
        <v>10238</v>
      </c>
      <c r="O22" s="147">
        <v>11541</v>
      </c>
      <c r="P22" s="147">
        <v>12466</v>
      </c>
      <c r="Q22" s="118">
        <f>((P22/G22)^(1/($H$2-$H$1) ))-1</f>
        <v>0.30949674312556796</v>
      </c>
      <c r="R22" s="31">
        <f t="shared" si="6"/>
        <v>0.12</v>
      </c>
      <c r="S22" s="154">
        <f t="shared" si="48"/>
        <v>13961.920000000002</v>
      </c>
      <c r="T22" s="154">
        <f t="shared" si="49"/>
        <v>15637.350400000003</v>
      </c>
      <c r="U22" s="154">
        <f t="shared" si="50"/>
        <v>17513.832448000005</v>
      </c>
      <c r="V22" s="154">
        <f t="shared" si="51"/>
        <v>19615.492341760008</v>
      </c>
      <c r="W22" s="154">
        <f t="shared" si="52"/>
        <v>21969.351422771211</v>
      </c>
      <c r="X22" s="154">
        <f t="shared" si="53"/>
        <v>24605.673593503758</v>
      </c>
      <c r="Y22" s="154">
        <f t="shared" si="54"/>
        <v>27558.35442472421</v>
      </c>
      <c r="Z22" s="154">
        <f t="shared" si="55"/>
        <v>30865.356955691117</v>
      </c>
      <c r="AA22" s="154">
        <f t="shared" si="56"/>
        <v>34569.199790374056</v>
      </c>
      <c r="AB22" s="154">
        <f t="shared" si="57"/>
        <v>38717.503765218949</v>
      </c>
      <c r="AC22" s="138">
        <f t="shared" si="58"/>
        <v>0.20607617501095188</v>
      </c>
      <c r="AD22" s="31">
        <f t="shared" si="17"/>
        <v>0.05</v>
      </c>
      <c r="AE22" s="146">
        <f t="shared" si="1"/>
        <v>239137.52325576413</v>
      </c>
    </row>
    <row r="23" spans="2:31" x14ac:dyDescent="0.2">
      <c r="B23" s="20" t="s">
        <v>295</v>
      </c>
      <c r="C23" s="141"/>
      <c r="D23" s="141"/>
      <c r="E23" s="147"/>
      <c r="F23" s="147">
        <v>442</v>
      </c>
      <c r="G23" s="147">
        <v>401</v>
      </c>
      <c r="H23" s="147">
        <v>228</v>
      </c>
      <c r="I23" s="147">
        <v>480</v>
      </c>
      <c r="J23" s="147">
        <v>780</v>
      </c>
      <c r="K23" s="147">
        <v>362</v>
      </c>
      <c r="L23" s="147">
        <v>135</v>
      </c>
      <c r="M23" s="147">
        <v>267</v>
      </c>
      <c r="N23" s="147">
        <v>435</v>
      </c>
      <c r="O23" s="147">
        <v>248</v>
      </c>
      <c r="P23" s="147">
        <v>1406</v>
      </c>
      <c r="Q23" s="118">
        <f>((P23/G23)^(1/($H$2-$H$1) ))-1</f>
        <v>0.14957651557495732</v>
      </c>
      <c r="R23" s="31">
        <f t="shared" si="6"/>
        <v>0.12</v>
      </c>
      <c r="S23" s="154">
        <f t="shared" ref="S23" si="59">P23*(1+$R23)</f>
        <v>1574.7200000000003</v>
      </c>
      <c r="T23" s="154">
        <f t="shared" ref="T23" si="60">S23*(1+$R23)</f>
        <v>1763.6864000000005</v>
      </c>
      <c r="U23" s="154">
        <f t="shared" ref="U23" si="61">T23*(1+$R23)</f>
        <v>1975.3287680000008</v>
      </c>
      <c r="V23" s="154">
        <f t="shared" ref="V23" si="62">U23*(1+$R23)</f>
        <v>2212.3682201600009</v>
      </c>
      <c r="W23" s="154">
        <f t="shared" ref="W23" si="63">V23*(1+$R23)</f>
        <v>2477.8524065792012</v>
      </c>
      <c r="X23" s="154">
        <f t="shared" ref="X23" si="64">W23*(1+$R23)</f>
        <v>2775.1946953687057</v>
      </c>
      <c r="Y23" s="154">
        <f t="shared" ref="Y23" si="65">X23*(1+$R23)</f>
        <v>3108.2180588129504</v>
      </c>
      <c r="Z23" s="154">
        <f t="shared" ref="Z23" si="66">Y23*(1+$R23)</f>
        <v>3481.2042258705046</v>
      </c>
      <c r="AA23" s="154">
        <f t="shared" ref="AA23" si="67">Z23*(1+$R23)</f>
        <v>3898.9487329749654</v>
      </c>
      <c r="AB23" s="154">
        <f t="shared" ref="AB23" si="68">AA23*(1+$R23)</f>
        <v>4366.822580931962</v>
      </c>
      <c r="AC23" s="138">
        <f t="shared" ref="AC23" si="69">((AB23/G23)^(1/($AB$3-$H$1) ))-1</f>
        <v>0.1339138549232759</v>
      </c>
      <c r="AD23" s="31">
        <f t="shared" si="17"/>
        <v>0.05</v>
      </c>
      <c r="AE23" s="146">
        <f t="shared" si="1"/>
        <v>26971.551235168004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>
        <v>1019</v>
      </c>
      <c r="G25" s="189">
        <v>978</v>
      </c>
      <c r="H25" s="189">
        <v>1047</v>
      </c>
      <c r="I25" s="189">
        <v>1273</v>
      </c>
      <c r="J25" s="143">
        <v>1589</v>
      </c>
      <c r="K25" s="143">
        <v>2184</v>
      </c>
      <c r="L25" s="190">
        <v>2903</v>
      </c>
      <c r="M25" s="190">
        <v>3480</v>
      </c>
      <c r="N25" s="190">
        <v>5029</v>
      </c>
      <c r="O25" s="190">
        <v>6244</v>
      </c>
      <c r="P25" s="190">
        <v>7746</v>
      </c>
      <c r="Q25" s="118">
        <f>((P25/G25)^(1/($H$2-$H$1) ))-1</f>
        <v>0.258519209009755</v>
      </c>
      <c r="R25" s="31">
        <f t="shared" si="6"/>
        <v>0.12</v>
      </c>
      <c r="S25" s="154">
        <f t="shared" si="38"/>
        <v>8675.52</v>
      </c>
      <c r="T25" s="154">
        <f t="shared" si="39"/>
        <v>9716.5824000000011</v>
      </c>
      <c r="U25" s="154">
        <f t="shared" si="40"/>
        <v>10882.572288000003</v>
      </c>
      <c r="V25" s="154">
        <f t="shared" si="41"/>
        <v>12188.480962560005</v>
      </c>
      <c r="W25" s="154">
        <f t="shared" si="42"/>
        <v>13651.098678067206</v>
      </c>
      <c r="X25" s="154">
        <f t="shared" si="43"/>
        <v>15289.230519435272</v>
      </c>
      <c r="Y25" s="154">
        <f t="shared" si="44"/>
        <v>17123.938181767506</v>
      </c>
      <c r="Z25" s="154">
        <f t="shared" si="45"/>
        <v>19178.810763579608</v>
      </c>
      <c r="AA25" s="154">
        <f t="shared" si="46"/>
        <v>21480.268055209162</v>
      </c>
      <c r="AB25" s="154">
        <f t="shared" si="47"/>
        <v>24057.900221834265</v>
      </c>
      <c r="AC25" s="138">
        <f t="shared" si="19"/>
        <v>0.1836035416962809</v>
      </c>
      <c r="AD25" s="31">
        <f t="shared" si="17"/>
        <v>0.05</v>
      </c>
      <c r="AE25" s="146">
        <f t="shared" si="1"/>
        <v>148592.91313485871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-4.1922290388548056E-2</v>
      </c>
      <c r="H26" s="148">
        <f>(H25-G25)/H25</f>
        <v>6.5902578796561598E-2</v>
      </c>
      <c r="I26" s="148">
        <f t="shared" ref="I26" si="70">(I25-H25)/I25</f>
        <v>0.17753338570306362</v>
      </c>
      <c r="J26" s="148">
        <f t="shared" ref="J26" si="71">(J25-I25)/J25</f>
        <v>0.19886721208307112</v>
      </c>
      <c r="K26" s="148">
        <f t="shared" ref="K26" si="72">(K25-J25)/K25</f>
        <v>0.27243589743589741</v>
      </c>
      <c r="L26" s="148">
        <f t="shared" ref="L26" si="73">(L25-K25)/L25</f>
        <v>0.24767481915260076</v>
      </c>
      <c r="M26" s="148">
        <f t="shared" ref="M26" si="74">(M25-L25)/M25</f>
        <v>0.16580459770114941</v>
      </c>
      <c r="N26" s="148">
        <f t="shared" ref="N26" si="75">(N25-M25)/N25</f>
        <v>0.30801352157486578</v>
      </c>
      <c r="O26" s="148">
        <f t="shared" ref="O26" si="76">(O25-N25)/O25</f>
        <v>0.19458680333119796</v>
      </c>
      <c r="P26" s="148">
        <f t="shared" ref="P26" si="77">(P25-O25)/P25</f>
        <v>0.19390653240382133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>
        <v>64</v>
      </c>
      <c r="G27" s="189">
        <v>96</v>
      </c>
      <c r="H27" s="189">
        <v>159</v>
      </c>
      <c r="I27" s="189">
        <v>146</v>
      </c>
      <c r="J27" s="143">
        <v>124</v>
      </c>
      <c r="K27" s="143">
        <v>154</v>
      </c>
      <c r="L27" s="190">
        <v>155</v>
      </c>
      <c r="M27" s="190">
        <v>193</v>
      </c>
      <c r="N27" s="190">
        <v>480</v>
      </c>
      <c r="O27" s="190">
        <v>410</v>
      </c>
      <c r="P27" s="190">
        <v>396</v>
      </c>
      <c r="Q27" s="118">
        <f>((P27/G27)^(1/($H$2-$H$1) ))-1</f>
        <v>0.17052431391067202</v>
      </c>
      <c r="R27" s="31">
        <f t="shared" si="6"/>
        <v>0.12</v>
      </c>
      <c r="S27" s="154">
        <f t="shared" si="38"/>
        <v>443.52000000000004</v>
      </c>
      <c r="T27" s="154">
        <f t="shared" si="39"/>
        <v>496.74240000000009</v>
      </c>
      <c r="U27" s="154">
        <f t="shared" si="40"/>
        <v>556.35148800000013</v>
      </c>
      <c r="V27" s="154">
        <f t="shared" si="41"/>
        <v>623.11366656000018</v>
      </c>
      <c r="W27" s="154">
        <f t="shared" si="42"/>
        <v>697.8873065472003</v>
      </c>
      <c r="X27" s="154">
        <f t="shared" si="43"/>
        <v>781.63378333286437</v>
      </c>
      <c r="Y27" s="154">
        <f t="shared" si="44"/>
        <v>875.42983733280812</v>
      </c>
      <c r="Z27" s="154">
        <f t="shared" si="45"/>
        <v>980.48141781274524</v>
      </c>
      <c r="AA27" s="154">
        <f t="shared" si="46"/>
        <v>1098.1391879502748</v>
      </c>
      <c r="AB27" s="154">
        <f t="shared" si="47"/>
        <v>1229.915890504308</v>
      </c>
      <c r="AC27" s="138">
        <f t="shared" si="19"/>
        <v>0.14365479931461933</v>
      </c>
      <c r="AD27" s="31">
        <f t="shared" si="17"/>
        <v>0.05</v>
      </c>
      <c r="AE27" s="146">
        <f t="shared" si="1"/>
        <v>7596.5393237030794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0.33333333333333331</v>
      </c>
      <c r="H28" s="148">
        <f t="shared" si="78"/>
        <v>0.39622641509433965</v>
      </c>
      <c r="I28" s="148">
        <f t="shared" si="78"/>
        <v>-8.9041095890410954E-2</v>
      </c>
      <c r="J28" s="148">
        <f t="shared" si="78"/>
        <v>-0.17741935483870969</v>
      </c>
      <c r="K28" s="148">
        <f t="shared" si="78"/>
        <v>0.19480519480519481</v>
      </c>
      <c r="L28" s="148">
        <f t="shared" si="78"/>
        <v>6.4516129032258064E-3</v>
      </c>
      <c r="M28" s="148">
        <f t="shared" si="78"/>
        <v>0.19689119170984457</v>
      </c>
      <c r="N28" s="148">
        <f t="shared" ref="N28" si="79">(N27-M27)/N27</f>
        <v>0.59791666666666665</v>
      </c>
      <c r="O28" s="148">
        <f t="shared" ref="O28" si="80">(O27-N27)/O27</f>
        <v>-0.17073170731707318</v>
      </c>
      <c r="P28" s="148">
        <f t="shared" ref="P28" si="81">(P27-O27)/P27</f>
        <v>-3.5353535353535352E-2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>
        <v>713</v>
      </c>
      <c r="G29" s="147">
        <v>655</v>
      </c>
      <c r="H29" s="147">
        <v>682</v>
      </c>
      <c r="I29" s="147">
        <v>859</v>
      </c>
      <c r="J29" s="147">
        <v>1107</v>
      </c>
      <c r="K29" s="147">
        <v>1494</v>
      </c>
      <c r="L29" s="147">
        <v>2017</v>
      </c>
      <c r="M29" s="147">
        <v>2401</v>
      </c>
      <c r="N29" s="147">
        <v>3253</v>
      </c>
      <c r="O29" s="147">
        <v>4591</v>
      </c>
      <c r="P29" s="147">
        <v>5924</v>
      </c>
      <c r="Q29" s="118">
        <f>((P29/G29)^(1/($H$2-$H$1) ))-1</f>
        <v>0.2772142341931898</v>
      </c>
      <c r="R29" s="31">
        <f t="shared" si="6"/>
        <v>0.12</v>
      </c>
      <c r="S29" s="154">
        <f t="shared" ref="S29" si="82">P29*(1+$R29)</f>
        <v>6634.880000000001</v>
      </c>
      <c r="T29" s="154">
        <f t="shared" ref="T29" si="83">S29*(1+$R29)</f>
        <v>7431.0656000000017</v>
      </c>
      <c r="U29" s="154">
        <f t="shared" ref="U29" si="84">T29*(1+$R29)</f>
        <v>8322.793472000003</v>
      </c>
      <c r="V29" s="154">
        <f t="shared" ref="V29" si="85">U29*(1+$R29)</f>
        <v>9321.5286886400045</v>
      </c>
      <c r="W29" s="154">
        <f t="shared" ref="W29" si="86">V29*(1+$R29)</f>
        <v>10440.112131276806</v>
      </c>
      <c r="X29" s="154">
        <f t="shared" ref="X29" si="87">W29*(1+$R29)</f>
        <v>11692.925587030024</v>
      </c>
      <c r="Y29" s="154">
        <f t="shared" ref="Y29" si="88">X29*(1+$R29)</f>
        <v>13096.076657473628</v>
      </c>
      <c r="Z29" s="154">
        <f t="shared" ref="Z29" si="89">Y29*(1+$R29)</f>
        <v>14667.605856370465</v>
      </c>
      <c r="AA29" s="154">
        <f t="shared" ref="AA29" si="90">Z29*(1+$R29)</f>
        <v>16427.718559134923</v>
      </c>
      <c r="AB29" s="154">
        <f t="shared" ref="AB29" si="91">AA29*(1+$R29)</f>
        <v>18399.044786231116</v>
      </c>
      <c r="AC29" s="138">
        <f t="shared" ref="AC29" si="92">((AB29/G29)^(1/($AB$3-$H$1) ))-1</f>
        <v>0.19189962456400989</v>
      </c>
      <c r="AD29" s="31">
        <f t="shared" si="17"/>
        <v>0.05</v>
      </c>
      <c r="AE29" s="146">
        <f t="shared" ref="AE29" si="93">(AB29*(1+AD29))/($C$1-AD29)</f>
        <v>113641.15897378043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-8.8549618320610687E-2</v>
      </c>
      <c r="H30" s="148">
        <f t="shared" si="94"/>
        <v>3.9589442815249266E-2</v>
      </c>
      <c r="I30" s="148">
        <f t="shared" si="94"/>
        <v>0.20605355064027939</v>
      </c>
      <c r="J30" s="148">
        <f t="shared" si="94"/>
        <v>0.22402890695573621</v>
      </c>
      <c r="K30" s="148">
        <f t="shared" si="94"/>
        <v>0.25903614457831325</v>
      </c>
      <c r="L30" s="148">
        <f t="shared" si="94"/>
        <v>0.25929598413485372</v>
      </c>
      <c r="M30" s="148">
        <f t="shared" ref="M30" si="95">(M29-L29)/M29</f>
        <v>0.15993336109954187</v>
      </c>
      <c r="N30" s="148">
        <f t="shared" ref="N30" si="96">(N29-M29)/N29</f>
        <v>0.26191208115585612</v>
      </c>
      <c r="O30" s="148">
        <f t="shared" ref="O30" si="97">(O29-N29)/O29</f>
        <v>0.2914397734698323</v>
      </c>
      <c r="P30" s="148">
        <f t="shared" ref="P30" si="98">(P29-O29)/P29</f>
        <v>0.22501688048615801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>
        <v>4.71</v>
      </c>
      <c r="G33" s="189">
        <v>9.41</v>
      </c>
      <c r="H33" s="189">
        <v>18.600000000000001</v>
      </c>
      <c r="I33" s="189">
        <v>14</v>
      </c>
      <c r="J33" s="143">
        <v>17.5</v>
      </c>
      <c r="K33" s="143">
        <v>18.5</v>
      </c>
      <c r="L33" s="190">
        <v>19</v>
      </c>
      <c r="M33" s="190">
        <v>32</v>
      </c>
      <c r="N33" s="190">
        <v>23</v>
      </c>
      <c r="O33" s="190">
        <v>36.5</v>
      </c>
      <c r="P33" s="190">
        <v>298</v>
      </c>
      <c r="Q33" s="118">
        <f>((P33/G33)^(1/($H$2-$H$1) ))-1</f>
        <v>0.468034606253241</v>
      </c>
      <c r="R33" s="31">
        <f t="shared" si="6"/>
        <v>0.12</v>
      </c>
      <c r="S33" s="154">
        <f t="shared" si="38"/>
        <v>333.76000000000005</v>
      </c>
      <c r="T33" s="154">
        <f t="shared" si="39"/>
        <v>373.8112000000001</v>
      </c>
      <c r="U33" s="154">
        <f t="shared" si="40"/>
        <v>418.66854400000017</v>
      </c>
      <c r="V33" s="154">
        <f t="shared" si="41"/>
        <v>468.90876928000023</v>
      </c>
      <c r="W33" s="154">
        <f t="shared" si="42"/>
        <v>525.17782159360036</v>
      </c>
      <c r="X33" s="154">
        <f t="shared" si="43"/>
        <v>588.19916018483241</v>
      </c>
      <c r="Y33" s="154">
        <f t="shared" si="44"/>
        <v>658.78305940701239</v>
      </c>
      <c r="Z33" s="154">
        <f t="shared" si="45"/>
        <v>737.83702653585397</v>
      </c>
      <c r="AA33" s="154">
        <f t="shared" si="46"/>
        <v>826.37746972015657</v>
      </c>
      <c r="AB33" s="154">
        <f t="shared" si="47"/>
        <v>925.5427660865754</v>
      </c>
      <c r="AC33" s="138">
        <f t="shared" si="19"/>
        <v>0.27316465068831608</v>
      </c>
      <c r="AD33" s="31">
        <f t="shared" si="17"/>
        <v>0.05</v>
      </c>
      <c r="AE33" s="146">
        <f t="shared" si="1"/>
        <v>5716.5876728876719</v>
      </c>
    </row>
    <row r="34" spans="2:31" x14ac:dyDescent="0.2">
      <c r="B34" s="20" t="s">
        <v>308</v>
      </c>
      <c r="C34" s="141"/>
      <c r="D34" s="141"/>
      <c r="E34" s="147"/>
      <c r="F34" s="147">
        <v>13.26</v>
      </c>
      <c r="G34" s="189">
        <v>16.600000000000001</v>
      </c>
      <c r="H34" s="189">
        <v>17.5</v>
      </c>
      <c r="I34" s="189">
        <v>25.2</v>
      </c>
      <c r="J34" s="143">
        <v>27</v>
      </c>
      <c r="K34" s="143">
        <v>35</v>
      </c>
      <c r="L34" s="190">
        <v>45</v>
      </c>
      <c r="M34" s="190">
        <v>52</v>
      </c>
      <c r="N34" s="190">
        <v>75</v>
      </c>
      <c r="O34" s="190">
        <v>81</v>
      </c>
      <c r="P34" s="190">
        <v>98</v>
      </c>
      <c r="Q34" s="118">
        <f>((P34/G34)^(1/($H$2-$H$1) ))-1</f>
        <v>0.21809111789000335</v>
      </c>
      <c r="R34" s="31">
        <f t="shared" si="6"/>
        <v>0.12</v>
      </c>
      <c r="S34" s="154">
        <f t="shared" si="38"/>
        <v>109.76</v>
      </c>
      <c r="T34" s="154">
        <f t="shared" si="39"/>
        <v>122.93120000000002</v>
      </c>
      <c r="U34" s="154">
        <f t="shared" si="40"/>
        <v>137.68294400000002</v>
      </c>
      <c r="V34" s="154">
        <f t="shared" si="41"/>
        <v>154.20489728000004</v>
      </c>
      <c r="W34" s="154">
        <f t="shared" si="42"/>
        <v>172.70948495360005</v>
      </c>
      <c r="X34" s="154">
        <f t="shared" si="43"/>
        <v>193.43462314803207</v>
      </c>
      <c r="Y34" s="154">
        <f t="shared" si="44"/>
        <v>216.64677792579593</v>
      </c>
      <c r="Z34" s="154">
        <f t="shared" si="45"/>
        <v>242.64439127689147</v>
      </c>
      <c r="AA34" s="154">
        <f t="shared" si="46"/>
        <v>271.76171823011845</v>
      </c>
      <c r="AB34" s="154">
        <f t="shared" si="47"/>
        <v>304.3731244177327</v>
      </c>
      <c r="AC34" s="138">
        <f t="shared" si="19"/>
        <v>0.16543855069370683</v>
      </c>
      <c r="AD34" s="31">
        <f t="shared" si="17"/>
        <v>0.05</v>
      </c>
      <c r="AE34" s="146">
        <f t="shared" si="1"/>
        <v>1879.9516508154081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>
        <v>901.66</v>
      </c>
      <c r="G36" s="189">
        <v>861</v>
      </c>
      <c r="H36" s="189">
        <v>864</v>
      </c>
      <c r="I36" s="189">
        <v>1092</v>
      </c>
      <c r="J36" s="143">
        <v>1423</v>
      </c>
      <c r="K36" s="143">
        <v>1989</v>
      </c>
      <c r="L36" s="190">
        <v>2725</v>
      </c>
      <c r="M36" s="190">
        <v>3270</v>
      </c>
      <c r="N36" s="190">
        <v>4148</v>
      </c>
      <c r="O36" s="190">
        <v>5731</v>
      </c>
      <c r="P36" s="190">
        <v>7263</v>
      </c>
      <c r="Q36" s="118">
        <f>((P36/G36)^(1/($H$2-$H$1) ))-1</f>
        <v>0.26736419223299968</v>
      </c>
      <c r="R36" s="31">
        <f t="shared" si="6"/>
        <v>0.12</v>
      </c>
      <c r="S36" s="154">
        <f t="shared" ref="S36" si="102">P36*(1+$R36)</f>
        <v>8134.56</v>
      </c>
      <c r="T36" s="154">
        <f t="shared" ref="T36" si="103">S36*(1+$R36)</f>
        <v>9110.7072000000007</v>
      </c>
      <c r="U36" s="154">
        <f t="shared" ref="U36" si="104">T36*(1+$R36)</f>
        <v>10203.992064000002</v>
      </c>
      <c r="V36" s="154">
        <f t="shared" ref="V36" si="105">U36*(1+$R36)</f>
        <v>11428.471111680003</v>
      </c>
      <c r="W36" s="154">
        <f t="shared" si="42"/>
        <v>12799.887645081604</v>
      </c>
      <c r="X36" s="154">
        <f t="shared" si="43"/>
        <v>14335.874162491398</v>
      </c>
      <c r="Y36" s="154">
        <f t="shared" si="44"/>
        <v>16056.179061990368</v>
      </c>
      <c r="Z36" s="154">
        <f t="shared" si="45"/>
        <v>17982.920549429215</v>
      </c>
      <c r="AA36" s="154">
        <f t="shared" si="46"/>
        <v>20140.871015360721</v>
      </c>
      <c r="AB36" s="154">
        <f t="shared" si="47"/>
        <v>22557.775537204008</v>
      </c>
      <c r="AC36" s="138">
        <f t="shared" si="19"/>
        <v>0.18753660760436963</v>
      </c>
      <c r="AD36" s="31">
        <f t="shared" si="17"/>
        <v>0.05</v>
      </c>
      <c r="AE36" s="146">
        <f t="shared" si="1"/>
        <v>139327.43714155417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-4.7224157955865237E-2</v>
      </c>
      <c r="H37" s="148">
        <f t="shared" ref="H37" si="107">(H36-G36)/H36</f>
        <v>3.472222222222222E-3</v>
      </c>
      <c r="I37" s="148">
        <f t="shared" ref="I37" si="108">(I36-H36)/I36</f>
        <v>0.2087912087912088</v>
      </c>
      <c r="J37" s="148">
        <f t="shared" ref="J37" si="109">(J36-I36)/J36</f>
        <v>0.23260716795502459</v>
      </c>
      <c r="K37" s="148">
        <f t="shared" ref="K37" si="110">(K36-J36)/K36</f>
        <v>0.28456510809451985</v>
      </c>
      <c r="L37" s="148">
        <f t="shared" ref="L37" si="111">(L36-K36)/L36</f>
        <v>0.27009174311926604</v>
      </c>
      <c r="M37" s="148">
        <f t="shared" ref="M37" si="112">(M36-L36)/M36</f>
        <v>0.16666666666666666</v>
      </c>
      <c r="N37" s="148">
        <f t="shared" ref="N37" si="113">(N36-M36)/N36</f>
        <v>0.21166827386692383</v>
      </c>
      <c r="O37" s="148">
        <f t="shared" ref="O37" si="114">(O36-N36)/O36</f>
        <v>0.27621706508462746</v>
      </c>
      <c r="P37" s="148">
        <f t="shared" ref="P37" si="115">(P36-O36)/P36</f>
        <v>0.21093212171279085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400</v>
      </c>
      <c r="C38" s="149"/>
      <c r="D38" s="149"/>
      <c r="E38" s="150"/>
      <c r="F38" s="147">
        <v>241</v>
      </c>
      <c r="G38" s="189">
        <v>223</v>
      </c>
      <c r="H38" s="189">
        <v>203</v>
      </c>
      <c r="I38" s="189">
        <v>263</v>
      </c>
      <c r="J38" s="143">
        <v>353</v>
      </c>
      <c r="K38" s="143">
        <v>531</v>
      </c>
      <c r="L38" s="190">
        <v>721</v>
      </c>
      <c r="M38" s="190">
        <v>909</v>
      </c>
      <c r="N38" s="190">
        <v>1289</v>
      </c>
      <c r="O38" s="190">
        <v>1235</v>
      </c>
      <c r="P38" s="190">
        <v>1418</v>
      </c>
      <c r="Q38" s="118">
        <f>((P38/G38)^(1/($H$2-$H$1) ))-1</f>
        <v>0.22818414123101549</v>
      </c>
      <c r="R38" s="31">
        <f t="shared" si="6"/>
        <v>0.12</v>
      </c>
      <c r="S38" s="154">
        <f t="shared" ref="S38" si="116">P38*(1+$R38)</f>
        <v>1588.16</v>
      </c>
      <c r="T38" s="154">
        <f t="shared" ref="T38" si="117">S38*(1+$R38)</f>
        <v>1778.7392000000002</v>
      </c>
      <c r="U38" s="154">
        <f t="shared" ref="U38" si="118">T38*(1+$R38)</f>
        <v>1992.1879040000003</v>
      </c>
      <c r="V38" s="154">
        <f t="shared" ref="V38" si="119">U38*(1+$R38)</f>
        <v>2231.2504524800006</v>
      </c>
      <c r="W38" s="154">
        <f t="shared" ref="W38" si="120">V38*(1+$R38)</f>
        <v>2499.000506777601</v>
      </c>
      <c r="X38" s="154">
        <f t="shared" ref="X38" si="121">W38*(1+$R38)</f>
        <v>2798.8805675909134</v>
      </c>
      <c r="Y38" s="154">
        <f t="shared" ref="Y38" si="122">X38*(1+$R38)</f>
        <v>3134.7462357018235</v>
      </c>
      <c r="Z38" s="154">
        <f t="shared" ref="Z38" si="123">Y38*(1+$R38)</f>
        <v>3510.9157839860427</v>
      </c>
      <c r="AA38" s="154">
        <f t="shared" ref="AA38" si="124">Z38*(1+$R38)</f>
        <v>3932.2256780643684</v>
      </c>
      <c r="AB38" s="154">
        <f t="shared" ref="AB38" si="125">AA38*(1+$R38)</f>
        <v>4404.0927594320929</v>
      </c>
      <c r="AC38" s="138">
        <f t="shared" ref="AC38" si="126">((AB38/G38)^(1/($AB$3-$H$1) ))-1</f>
        <v>0.17000286720048563</v>
      </c>
      <c r="AD38" s="31">
        <f t="shared" si="17"/>
        <v>0.05</v>
      </c>
      <c r="AE38" s="146">
        <f t="shared" ref="AE38" si="127">(AB38*(1+AD38))/($C$1-AD38)</f>
        <v>27201.749396492341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-8.0717488789237665E-2</v>
      </c>
      <c r="H39" s="148">
        <f t="shared" ref="H39" si="129">(H38-G38)/H38</f>
        <v>-9.8522167487684734E-2</v>
      </c>
      <c r="I39" s="148">
        <f t="shared" ref="I39" si="130">(I38-H38)/I38</f>
        <v>0.22813688212927757</v>
      </c>
      <c r="J39" s="148">
        <f t="shared" ref="J39" si="131">(J38-I38)/J38</f>
        <v>0.25495750708215298</v>
      </c>
      <c r="K39" s="148">
        <f t="shared" ref="K39" si="132">(K38-J38)/K38</f>
        <v>0.3352165725047081</v>
      </c>
      <c r="L39" s="148">
        <f t="shared" ref="L39" si="133">(L38-K38)/L38</f>
        <v>0.26352288488210818</v>
      </c>
      <c r="M39" s="148">
        <f t="shared" ref="M39" si="134">(M38-L38)/M38</f>
        <v>0.20682068206820681</v>
      </c>
      <c r="N39" s="148">
        <f t="shared" ref="N39" si="135">(N38-M38)/N38</f>
        <v>0.29480217222653221</v>
      </c>
      <c r="O39" s="148">
        <f t="shared" ref="O39" si="136">(O38-N38)/O38</f>
        <v>-4.3724696356275301E-2</v>
      </c>
      <c r="P39" s="148">
        <f t="shared" ref="P39" si="137">(P38-O38)/P38</f>
        <v>0.12905500705218617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401</v>
      </c>
      <c r="C40" s="141"/>
      <c r="D40" s="141"/>
      <c r="E40" s="147"/>
      <c r="F40" s="147">
        <v>179</v>
      </c>
      <c r="G40" s="189">
        <v>167</v>
      </c>
      <c r="H40" s="189">
        <v>142</v>
      </c>
      <c r="I40" s="189">
        <v>208</v>
      </c>
      <c r="J40" s="143">
        <v>278</v>
      </c>
      <c r="K40" s="143">
        <v>386</v>
      </c>
      <c r="L40" s="190">
        <v>529</v>
      </c>
      <c r="M40" s="190">
        <v>660</v>
      </c>
      <c r="N40" s="190">
        <v>969</v>
      </c>
      <c r="O40" s="190">
        <v>916</v>
      </c>
      <c r="P40" s="190">
        <v>1054</v>
      </c>
      <c r="Q40" s="118">
        <f>((P40/G40)^(1/($H$2-$H$1) ))-1</f>
        <v>0.22716421427986511</v>
      </c>
      <c r="R40" s="31">
        <f t="shared" si="6"/>
        <v>0.12</v>
      </c>
      <c r="S40" s="154">
        <f>P40*(1+$R40)</f>
        <v>1180.48</v>
      </c>
      <c r="T40" s="154">
        <f t="shared" ref="T40:AB40" si="138">S40*(1+$R40)</f>
        <v>1322.1376000000002</v>
      </c>
      <c r="U40" s="154">
        <f t="shared" si="138"/>
        <v>1480.7941120000005</v>
      </c>
      <c r="V40" s="154">
        <f t="shared" si="138"/>
        <v>1658.4894054400006</v>
      </c>
      <c r="W40" s="154">
        <f t="shared" si="138"/>
        <v>1857.5081340928009</v>
      </c>
      <c r="X40" s="154">
        <f t="shared" si="138"/>
        <v>2080.4091101839372</v>
      </c>
      <c r="Y40" s="154">
        <f t="shared" si="138"/>
        <v>2330.0582034060099</v>
      </c>
      <c r="Z40" s="154">
        <f t="shared" si="138"/>
        <v>2609.6651878147313</v>
      </c>
      <c r="AA40" s="154">
        <f t="shared" si="138"/>
        <v>2922.8250103524992</v>
      </c>
      <c r="AB40" s="154">
        <f t="shared" si="138"/>
        <v>3273.5640115947995</v>
      </c>
      <c r="AC40" s="138">
        <f t="shared" si="19"/>
        <v>0.16954252969955985</v>
      </c>
      <c r="AD40" s="31">
        <f t="shared" si="17"/>
        <v>0.05</v>
      </c>
      <c r="AE40" s="146">
        <f t="shared" si="1"/>
        <v>20219.071836320822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-7.1856287425149698E-2</v>
      </c>
      <c r="H41" s="148">
        <f t="shared" ref="H41:P41" si="139">(H40-G40)/H40</f>
        <v>-0.176056338028169</v>
      </c>
      <c r="I41" s="148">
        <f t="shared" si="139"/>
        <v>0.31730769230769229</v>
      </c>
      <c r="J41" s="148">
        <f t="shared" si="139"/>
        <v>0.25179856115107913</v>
      </c>
      <c r="K41" s="148">
        <f t="shared" si="139"/>
        <v>0.27979274611398963</v>
      </c>
      <c r="L41" s="148">
        <f t="shared" si="139"/>
        <v>0.27032136105860116</v>
      </c>
      <c r="M41" s="148">
        <f t="shared" si="139"/>
        <v>0.19848484848484849</v>
      </c>
      <c r="N41" s="148">
        <f t="shared" si="139"/>
        <v>0.31888544891640869</v>
      </c>
      <c r="O41" s="148">
        <f t="shared" si="139"/>
        <v>-5.7860262008733628E-2</v>
      </c>
      <c r="P41" s="148">
        <f t="shared" si="139"/>
        <v>0.13092979127134724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91">
        <v>7.49</v>
      </c>
      <c r="G42" s="189">
        <v>7.49</v>
      </c>
      <c r="H42" s="189">
        <v>8.49</v>
      </c>
      <c r="I42" s="189">
        <v>8.49</v>
      </c>
      <c r="J42" s="190">
        <v>8.49</v>
      </c>
      <c r="K42" s="190">
        <v>8.49</v>
      </c>
      <c r="L42" s="190">
        <v>8.49</v>
      </c>
      <c r="M42" s="190">
        <v>9.49</v>
      </c>
      <c r="N42" s="190">
        <v>47.46</v>
      </c>
      <c r="O42" s="190">
        <v>50.46</v>
      </c>
      <c r="P42" s="190">
        <v>50.5</v>
      </c>
      <c r="Q42" s="118">
        <f>((P42/G42)^(1/($H$2-$H$1) ))-1</f>
        <v>0.23620344962982243</v>
      </c>
      <c r="R42" s="31">
        <v>0.1</v>
      </c>
      <c r="S42" s="154">
        <f t="shared" ref="S42:S43" si="140">P42*(1+$R42)</f>
        <v>55.550000000000004</v>
      </c>
      <c r="T42" s="154">
        <f t="shared" ref="T42:AB42" si="141">S42*(1+$R42)</f>
        <v>61.105000000000011</v>
      </c>
      <c r="U42" s="154">
        <f t="shared" si="141"/>
        <v>67.21550000000002</v>
      </c>
      <c r="V42" s="154">
        <f t="shared" si="141"/>
        <v>73.937050000000028</v>
      </c>
      <c r="W42" s="154">
        <f t="shared" si="141"/>
        <v>81.330755000000039</v>
      </c>
      <c r="X42" s="154">
        <f t="shared" si="141"/>
        <v>89.463830500000057</v>
      </c>
      <c r="Y42" s="154">
        <f t="shared" si="141"/>
        <v>98.410213550000066</v>
      </c>
      <c r="Z42" s="154">
        <f t="shared" si="141"/>
        <v>108.25123490500008</v>
      </c>
      <c r="AA42" s="154">
        <f t="shared" si="141"/>
        <v>119.07635839550009</v>
      </c>
      <c r="AB42" s="154">
        <f t="shared" si="141"/>
        <v>130.98399423505012</v>
      </c>
      <c r="AC42" s="138">
        <f t="shared" si="19"/>
        <v>0.16253805877359029</v>
      </c>
      <c r="AD42" s="31">
        <f t="shared" si="17"/>
        <v>0.05</v>
      </c>
      <c r="AE42" s="146">
        <f t="shared" si="1"/>
        <v>809.01878792236857</v>
      </c>
    </row>
    <row r="43" spans="2:31" x14ac:dyDescent="0.2">
      <c r="B43" s="20" t="s">
        <v>282</v>
      </c>
      <c r="C43" s="145"/>
      <c r="D43" s="145"/>
      <c r="E43" s="145"/>
      <c r="F43" s="147">
        <v>5.5</v>
      </c>
      <c r="G43" s="147">
        <v>5</v>
      </c>
      <c r="H43" s="147">
        <v>5</v>
      </c>
      <c r="I43" s="147">
        <v>6</v>
      </c>
      <c r="J43" s="147">
        <v>8</v>
      </c>
      <c r="K43" s="147">
        <v>10</v>
      </c>
      <c r="L43" s="147">
        <v>13</v>
      </c>
      <c r="M43" s="147">
        <v>15</v>
      </c>
      <c r="N43" s="147">
        <v>3.5</v>
      </c>
      <c r="O43" s="147">
        <v>3.6</v>
      </c>
      <c r="P43" s="147">
        <v>3.8</v>
      </c>
      <c r="Q43" s="118">
        <f>((P43/G43)^(1/($H$2-$H$1) ))-1</f>
        <v>-3.0032761556641363E-2</v>
      </c>
      <c r="R43" s="31">
        <f>P1</f>
        <v>0.05</v>
      </c>
      <c r="S43" s="154">
        <f t="shared" si="140"/>
        <v>3.9899999999999998</v>
      </c>
      <c r="T43" s="154">
        <f t="shared" ref="T43" si="142">S43*(1+$R43)</f>
        <v>4.1894999999999998</v>
      </c>
      <c r="U43" s="154">
        <f t="shared" ref="U43" si="143">T43*(1+$R43)</f>
        <v>4.3989750000000001</v>
      </c>
      <c r="V43" s="154">
        <f t="shared" ref="V43" si="144">U43*(1+$R43)</f>
        <v>4.6189237500000004</v>
      </c>
      <c r="W43" s="154">
        <f t="shared" ref="W43" si="145">V43*(1+$R43)</f>
        <v>4.8498699375000003</v>
      </c>
      <c r="X43" s="154">
        <f t="shared" ref="X43" si="146">W43*(1+$R43)</f>
        <v>5.0923634343750006</v>
      </c>
      <c r="Y43" s="154">
        <f t="shared" ref="Y43" si="147">X43*(1+$R43)</f>
        <v>5.3469816060937507</v>
      </c>
      <c r="Z43" s="154">
        <f t="shared" ref="Z43" si="148">Y43*(1+$R43)</f>
        <v>5.6143306863984384</v>
      </c>
      <c r="AA43" s="154">
        <f t="shared" ref="AA43" si="149">Z43*(1+$R43)</f>
        <v>5.8950472207183608</v>
      </c>
      <c r="AB43" s="154">
        <f t="shared" ref="AB43" si="150">AA43*(1+$R43)</f>
        <v>6.1897995817542792</v>
      </c>
      <c r="AC43" s="138">
        <f t="shared" ref="AC43" si="151">((AB43/G43)^(1/($AB$3-$H$1) ))-1</f>
        <v>1.1298338776048578E-2</v>
      </c>
      <c r="AD43" s="31">
        <f t="shared" si="17"/>
        <v>0.05</v>
      </c>
      <c r="AE43" s="146">
        <f t="shared" si="1"/>
        <v>38.231115063776436</v>
      </c>
    </row>
    <row r="44" spans="2:31" x14ac:dyDescent="0.2">
      <c r="B44" s="20" t="s">
        <v>426</v>
      </c>
      <c r="C44" s="20"/>
      <c r="D44" s="20"/>
      <c r="E44" s="127"/>
      <c r="F44" s="147">
        <v>0</v>
      </c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 t="s">
        <v>427</v>
      </c>
      <c r="O44" s="147">
        <v>0</v>
      </c>
      <c r="P44" s="147">
        <v>0</v>
      </c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424</v>
      </c>
      <c r="C45" s="20"/>
      <c r="D45" s="20"/>
      <c r="E45" s="127"/>
      <c r="F45" s="147">
        <v>0</v>
      </c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425</v>
      </c>
      <c r="C46" s="20"/>
      <c r="D46" s="20"/>
      <c r="E46" s="127"/>
      <c r="F46" s="147">
        <v>0</v>
      </c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136.04806408544727</v>
      </c>
      <c r="G49" s="133">
        <f t="shared" si="152"/>
        <v>130.57409879839787</v>
      </c>
      <c r="H49" s="133">
        <f t="shared" si="152"/>
        <v>123.32155477031802</v>
      </c>
      <c r="I49" s="133">
        <f t="shared" si="152"/>
        <v>149.94110718492342</v>
      </c>
      <c r="J49" s="133">
        <f t="shared" si="152"/>
        <v>187.16136631330977</v>
      </c>
      <c r="K49" s="133">
        <f t="shared" si="152"/>
        <v>257.24381625441697</v>
      </c>
      <c r="L49" s="133">
        <f t="shared" si="152"/>
        <v>341.9316843345112</v>
      </c>
      <c r="M49" s="133">
        <f t="shared" si="152"/>
        <v>366.70179135932563</v>
      </c>
      <c r="N49" s="133">
        <f t="shared" si="152"/>
        <v>105.96291613990729</v>
      </c>
      <c r="O49" s="133">
        <f t="shared" si="152"/>
        <v>123.74157748711851</v>
      </c>
      <c r="P49" s="133">
        <f t="shared" si="152"/>
        <v>153.38613861386139</v>
      </c>
      <c r="Q49" s="118">
        <f>((P49/G49)^(1/($H$2-$H$1) ))-1</f>
        <v>1.8051850111415746E-2</v>
      </c>
      <c r="R49" s="128"/>
      <c r="S49" s="158">
        <f t="shared" ref="S49:AB49" si="153">S25/S42</f>
        <v>156.17497749774978</v>
      </c>
      <c r="T49" s="158">
        <f t="shared" si="153"/>
        <v>159.01452254316339</v>
      </c>
      <c r="U49" s="158">
        <f t="shared" si="153"/>
        <v>161.90569568031182</v>
      </c>
      <c r="V49" s="158">
        <f t="shared" si="153"/>
        <v>164.84943560177206</v>
      </c>
      <c r="W49" s="158">
        <f t="shared" si="153"/>
        <v>167.84669806725881</v>
      </c>
      <c r="X49" s="158">
        <f t="shared" si="153"/>
        <v>170.89845621393621</v>
      </c>
      <c r="Y49" s="158">
        <f t="shared" si="153"/>
        <v>174.00570087237145</v>
      </c>
      <c r="Z49" s="158">
        <f t="shared" si="153"/>
        <v>177.16944088823274</v>
      </c>
      <c r="AA49" s="158">
        <f t="shared" si="153"/>
        <v>180.39070344983696</v>
      </c>
      <c r="AB49" s="158">
        <f t="shared" si="153"/>
        <v>183.67053442165218</v>
      </c>
      <c r="AC49" s="138">
        <f t="shared" ref="AC49" si="154">((AB49/G49)^(1/($AB$3-$H$1) ))-1</f>
        <v>1.8120252290848349E-2</v>
      </c>
      <c r="AD49" s="31">
        <f t="shared" si="17"/>
        <v>0.05</v>
      </c>
      <c r="AE49" s="146">
        <f t="shared" ref="AE49:AE50" si="155">(AB49*(1+AD49))/($C$1-AD49)</f>
        <v>1134.435653780793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8.544726301735647</v>
      </c>
      <c r="G50" s="133">
        <f t="shared" si="156"/>
        <v>12.81708945260347</v>
      </c>
      <c r="H50" s="133">
        <f t="shared" si="156"/>
        <v>18.727915194346288</v>
      </c>
      <c r="I50" s="133">
        <f t="shared" si="156"/>
        <v>17.19670200235571</v>
      </c>
      <c r="J50" s="133">
        <f t="shared" si="156"/>
        <v>14.605418138987043</v>
      </c>
      <c r="K50" s="133">
        <f t="shared" si="156"/>
        <v>18.138987043580684</v>
      </c>
      <c r="L50" s="133">
        <f t="shared" si="156"/>
        <v>18.256772673733803</v>
      </c>
      <c r="M50" s="133">
        <f t="shared" si="156"/>
        <v>20.337197049525816</v>
      </c>
      <c r="N50" s="133">
        <f t="shared" si="156"/>
        <v>10.11378002528445</v>
      </c>
      <c r="O50" s="133">
        <f t="shared" si="156"/>
        <v>8.1252477209671028</v>
      </c>
      <c r="P50" s="133">
        <f t="shared" si="156"/>
        <v>7.8415841584158414</v>
      </c>
      <c r="Q50" s="118">
        <f>((P50/G50)^(1/($H$2-$H$1) ))-1</f>
        <v>-5.3129713995554551E-2</v>
      </c>
      <c r="R50" s="128"/>
      <c r="S50" s="158">
        <f t="shared" ref="S50:AB50" si="157">S27/S42</f>
        <v>7.9841584158415841</v>
      </c>
      <c r="T50" s="158">
        <f t="shared" si="157"/>
        <v>8.1293249324932493</v>
      </c>
      <c r="U50" s="158">
        <f t="shared" si="157"/>
        <v>8.2771308403567616</v>
      </c>
      <c r="V50" s="158">
        <f t="shared" si="157"/>
        <v>8.4276241283632487</v>
      </c>
      <c r="W50" s="158">
        <f t="shared" si="157"/>
        <v>8.580853657969854</v>
      </c>
      <c r="X50" s="158">
        <f t="shared" si="157"/>
        <v>8.7368691790238504</v>
      </c>
      <c r="Y50" s="158">
        <f t="shared" si="157"/>
        <v>8.8957213459151934</v>
      </c>
      <c r="Z50" s="158">
        <f t="shared" si="157"/>
        <v>9.057461734022743</v>
      </c>
      <c r="AA50" s="158">
        <f t="shared" si="157"/>
        <v>9.22214285645952</v>
      </c>
      <c r="AB50" s="158">
        <f t="shared" si="157"/>
        <v>9.3898181811224202</v>
      </c>
      <c r="AC50" s="138">
        <f t="shared" ref="AC50" si="158">((AB50/G50)^(1/($AB$3-$H$1) ))-1</f>
        <v>-1.624313227120644E-2</v>
      </c>
      <c r="AD50" s="31">
        <f t="shared" si="17"/>
        <v>0.05</v>
      </c>
      <c r="AE50" s="146">
        <f t="shared" si="155"/>
        <v>57.995935824579661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23.89853137516689</v>
      </c>
      <c r="G52" s="133">
        <f t="shared" si="159"/>
        <v>22.296395193591454</v>
      </c>
      <c r="H52" s="133">
        <f t="shared" si="159"/>
        <v>16.725559481743225</v>
      </c>
      <c r="I52" s="133">
        <f t="shared" si="159"/>
        <v>24.499411071849234</v>
      </c>
      <c r="J52" s="133">
        <f t="shared" si="159"/>
        <v>32.744405182567725</v>
      </c>
      <c r="K52" s="133">
        <f t="shared" si="159"/>
        <v>45.465253239104825</v>
      </c>
      <c r="L52" s="133">
        <f t="shared" si="159"/>
        <v>62.308598351001173</v>
      </c>
      <c r="M52" s="133">
        <f t="shared" si="159"/>
        <v>69.546891464699684</v>
      </c>
      <c r="N52" s="133">
        <f t="shared" si="159"/>
        <v>20.417193426042981</v>
      </c>
      <c r="O52" s="133">
        <f t="shared" si="159"/>
        <v>18.152992469282601</v>
      </c>
      <c r="P52" s="133">
        <f t="shared" si="159"/>
        <v>20.871287128712872</v>
      </c>
      <c r="Q52" s="118">
        <f>((P52/G52)^(1/($H$2-$H$1) ))-1</f>
        <v>-7.3120936142541115E-3</v>
      </c>
      <c r="R52" s="128"/>
      <c r="S52" s="158">
        <f t="shared" ref="S52:AB52" si="160">S40/S42</f>
        <v>21.250765076507651</v>
      </c>
      <c r="T52" s="158">
        <f t="shared" si="160"/>
        <v>21.637142623353245</v>
      </c>
      <c r="U52" s="158">
        <f t="shared" si="160"/>
        <v>22.030545216505121</v>
      </c>
      <c r="V52" s="158">
        <f t="shared" si="160"/>
        <v>22.431100584077942</v>
      </c>
      <c r="W52" s="158">
        <f t="shared" si="160"/>
        <v>22.838938776515722</v>
      </c>
      <c r="X52" s="158">
        <f t="shared" si="160"/>
        <v>23.254192208816008</v>
      </c>
      <c r="Y52" s="158">
        <f t="shared" si="160"/>
        <v>23.676995703521754</v>
      </c>
      <c r="Z52" s="158">
        <f t="shared" si="160"/>
        <v>24.107486534494878</v>
      </c>
      <c r="AA52" s="158">
        <f t="shared" si="160"/>
        <v>24.545804471485695</v>
      </c>
      <c r="AB52" s="158">
        <f t="shared" si="160"/>
        <v>24.992091825512706</v>
      </c>
      <c r="AC52" s="138">
        <f t="shared" ref="AC52:AC66" si="161">((AB52/G52)^(1/($AB$3-$H$1) ))-1</f>
        <v>6.0251540782749746E-3</v>
      </c>
      <c r="AD52" s="31">
        <f t="shared" si="17"/>
        <v>0.05</v>
      </c>
      <c r="AE52" s="146">
        <f t="shared" ref="AE52:AE80" si="162">(AB52*(1+AD52))/($C$1-AD52)</f>
        <v>154.36292009875498</v>
      </c>
    </row>
    <row r="53" spans="2:31" x14ac:dyDescent="0.2">
      <c r="B53" s="20" t="s">
        <v>388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-102.40320427236315</v>
      </c>
      <c r="G53" s="133">
        <f>G20/G42</f>
        <v>-173.83177570093457</v>
      </c>
      <c r="H53" s="133">
        <f t="shared" ref="H53:P53" si="164">H20/H42</f>
        <v>-183.39222614840989</v>
      </c>
      <c r="I53" s="133">
        <f t="shared" si="164"/>
        <v>-259.36395759717311</v>
      </c>
      <c r="J53" s="133">
        <f t="shared" si="164"/>
        <v>-267.72673733804476</v>
      </c>
      <c r="K53" s="133">
        <f t="shared" si="164"/>
        <v>-456.77267373380448</v>
      </c>
      <c r="L53" s="133">
        <f t="shared" si="164"/>
        <v>-578.20965842167254</v>
      </c>
      <c r="M53" s="133">
        <f t="shared" si="164"/>
        <v>-1001.2644889357218</v>
      </c>
      <c r="N53" s="133">
        <f t="shared" si="164"/>
        <v>-216.32954066582386</v>
      </c>
      <c r="O53" s="133">
        <f t="shared" si="164"/>
        <v>-234.20531113753466</v>
      </c>
      <c r="P53" s="133">
        <f t="shared" si="164"/>
        <v>-249.20792079207922</v>
      </c>
      <c r="Q53" s="118">
        <f>((P53/G53)^(1/($H$2-$H$1) ))-1</f>
        <v>4.0833851079043137E-2</v>
      </c>
      <c r="R53" s="128"/>
      <c r="S53" s="133">
        <f t="shared" ref="S53:AB53" si="165">S20/S42</f>
        <v>-253.73897389738974</v>
      </c>
      <c r="T53" s="133">
        <f t="shared" si="165"/>
        <v>-258.35240978643316</v>
      </c>
      <c r="U53" s="133">
        <f t="shared" si="165"/>
        <v>-263.04972632800468</v>
      </c>
      <c r="V53" s="133">
        <f t="shared" si="165"/>
        <v>-267.83244862487749</v>
      </c>
      <c r="W53" s="133">
        <f t="shared" si="165"/>
        <v>-272.70212950896615</v>
      </c>
      <c r="X53" s="133">
        <f t="shared" si="165"/>
        <v>-277.66035004549281</v>
      </c>
      <c r="Y53" s="133">
        <f t="shared" si="165"/>
        <v>-282.70872004631997</v>
      </c>
      <c r="Z53" s="133">
        <f t="shared" si="165"/>
        <v>-287.8488785926167</v>
      </c>
      <c r="AA53" s="133">
        <f t="shared" si="165"/>
        <v>-293.08249456702794</v>
      </c>
      <c r="AB53" s="133">
        <f t="shared" si="165"/>
        <v>-298.41126719551932</v>
      </c>
      <c r="AC53" s="138">
        <f t="shared" ref="AC53" si="166">((AB53/G53)^(1/($AB$3-$H$1) ))-1</f>
        <v>2.8849610232746015E-2</v>
      </c>
      <c r="AD53" s="31">
        <f t="shared" si="17"/>
        <v>0.05</v>
      </c>
      <c r="AE53" s="146">
        <f t="shared" si="162"/>
        <v>-1843.128415031149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114.95327102803738</v>
      </c>
      <c r="G54" s="133">
        <f t="shared" si="167"/>
        <v>128.30440587449934</v>
      </c>
      <c r="H54" s="133">
        <f t="shared" si="167"/>
        <v>142.52061248527679</v>
      </c>
      <c r="I54" s="133">
        <f t="shared" si="167"/>
        <v>160.42402826855124</v>
      </c>
      <c r="J54" s="133">
        <f t="shared" si="167"/>
        <v>183.9811542991755</v>
      </c>
      <c r="K54" s="133">
        <f t="shared" si="167"/>
        <v>218.37455830388691</v>
      </c>
      <c r="L54" s="133">
        <f t="shared" si="167"/>
        <v>266.43109540636044</v>
      </c>
      <c r="M54" s="133">
        <f t="shared" si="167"/>
        <v>362.6975763962065</v>
      </c>
      <c r="N54" s="133">
        <f t="shared" si="167"/>
        <v>88.305941845764849</v>
      </c>
      <c r="O54" s="133">
        <f t="shared" si="167"/>
        <v>113.15893777249306</v>
      </c>
      <c r="P54" s="133">
        <f t="shared" si="167"/>
        <v>129.36633663366337</v>
      </c>
      <c r="Q54" s="118">
        <f>((P54/G54)^(1/($H$2-$H$1) ))-1</f>
        <v>9.1626252541310294E-4</v>
      </c>
      <c r="R54" s="128"/>
      <c r="S54" s="158">
        <f t="shared" ref="S54:AB54" si="168">S7/S42</f>
        <v>131.71845184518452</v>
      </c>
      <c r="T54" s="158">
        <f t="shared" si="168"/>
        <v>134.11333278782422</v>
      </c>
      <c r="U54" s="158">
        <f t="shared" si="168"/>
        <v>136.55175702033011</v>
      </c>
      <c r="V54" s="158">
        <f t="shared" si="168"/>
        <v>139.03451623888157</v>
      </c>
      <c r="W54" s="158">
        <f t="shared" si="168"/>
        <v>141.56241653413394</v>
      </c>
      <c r="X54" s="158">
        <f t="shared" si="168"/>
        <v>144.13627865293637</v>
      </c>
      <c r="Y54" s="158">
        <f t="shared" si="168"/>
        <v>146.75693826480796</v>
      </c>
      <c r="Z54" s="158">
        <f t="shared" si="168"/>
        <v>149.42524623325903</v>
      </c>
      <c r="AA54" s="158">
        <f t="shared" si="168"/>
        <v>152.14206889204556</v>
      </c>
      <c r="AB54" s="158">
        <f t="shared" si="168"/>
        <v>154.90828832644635</v>
      </c>
      <c r="AC54" s="138">
        <f t="shared" si="161"/>
        <v>9.9665831577850916E-3</v>
      </c>
      <c r="AD54" s="31">
        <f t="shared" si="17"/>
        <v>0.05</v>
      </c>
      <c r="AE54" s="146">
        <f t="shared" si="162"/>
        <v>956.78648672216877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104.93991989319092</v>
      </c>
      <c r="G55" s="144">
        <f t="shared" si="169"/>
        <v>118.29105473965286</v>
      </c>
      <c r="H55" s="144">
        <f t="shared" si="169"/>
        <v>132.50883392226149</v>
      </c>
      <c r="I55" s="144">
        <f t="shared" si="169"/>
        <v>150.29446407538279</v>
      </c>
      <c r="J55" s="144">
        <f t="shared" si="169"/>
        <v>173.96937573616017</v>
      </c>
      <c r="K55" s="144">
        <f t="shared" si="169"/>
        <v>208.36277974087162</v>
      </c>
      <c r="L55" s="144">
        <f t="shared" si="169"/>
        <v>256.41931684334509</v>
      </c>
      <c r="M55" s="144">
        <f t="shared" si="169"/>
        <v>352.68703898840886</v>
      </c>
      <c r="N55" s="144">
        <f t="shared" si="169"/>
        <v>86.304256215760645</v>
      </c>
      <c r="O55" s="144">
        <f t="shared" si="169"/>
        <v>111.1573523583036</v>
      </c>
      <c r="P55" s="144">
        <f t="shared" si="169"/>
        <v>127.36633663366337</v>
      </c>
      <c r="Q55" s="118">
        <f>((P55/G55)^(1/($H$2-$H$1) ))-1</f>
        <v>8.2470792786843994E-3</v>
      </c>
      <c r="R55" s="128"/>
      <c r="S55" s="157">
        <f t="shared" ref="S55:AB55" si="170">S6/S42</f>
        <v>129.68208820882089</v>
      </c>
      <c r="T55" s="157">
        <f t="shared" si="170"/>
        <v>132.03994435807218</v>
      </c>
      <c r="U55" s="157">
        <f t="shared" si="170"/>
        <v>134.44067061912801</v>
      </c>
      <c r="V55" s="157">
        <f t="shared" si="170"/>
        <v>136.88504644856673</v>
      </c>
      <c r="W55" s="157">
        <f t="shared" si="170"/>
        <v>139.37386547490431</v>
      </c>
      <c r="X55" s="157">
        <f t="shared" si="170"/>
        <v>141.9079357562662</v>
      </c>
      <c r="Y55" s="157">
        <f t="shared" si="170"/>
        <v>144.48808004274377</v>
      </c>
      <c r="Z55" s="157">
        <f t="shared" si="170"/>
        <v>147.11513604352095</v>
      </c>
      <c r="AA55" s="157">
        <f t="shared" si="170"/>
        <v>149.78995669885771</v>
      </c>
      <c r="AB55" s="157">
        <f t="shared" si="170"/>
        <v>152.51341045701878</v>
      </c>
      <c r="AC55" s="138">
        <f t="shared" si="161"/>
        <v>1.3463745365861923E-2</v>
      </c>
      <c r="AD55" s="31">
        <f t="shared" si="17"/>
        <v>0.05</v>
      </c>
      <c r="AE55" s="146">
        <f t="shared" si="162"/>
        <v>941.99459399923376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988.51802403204272</v>
      </c>
      <c r="G56" s="144">
        <f t="shared" si="171"/>
        <v>1225.233644859813</v>
      </c>
      <c r="H56" s="144">
        <f t="shared" si="171"/>
        <v>1301.1778563015312</v>
      </c>
      <c r="I56" s="144">
        <f t="shared" si="171"/>
        <v>1623.0859835100118</v>
      </c>
      <c r="J56" s="144">
        <f t="shared" si="171"/>
        <v>1923.6749116607773</v>
      </c>
      <c r="K56" s="144">
        <f t="shared" si="171"/>
        <v>2396.2308598351001</v>
      </c>
      <c r="L56" s="144">
        <f t="shared" si="171"/>
        <v>2994.2285041224968</v>
      </c>
      <c r="M56" s="144">
        <f t="shared" si="171"/>
        <v>3662.5922023182297</v>
      </c>
      <c r="N56" s="144">
        <f t="shared" si="171"/>
        <v>951.58027812895068</v>
      </c>
      <c r="O56" s="144">
        <f t="shared" si="171"/>
        <v>948.65239793896149</v>
      </c>
      <c r="P56" s="144">
        <f t="shared" si="171"/>
        <v>1162.4752475247524</v>
      </c>
      <c r="Q56" s="118">
        <f>((P56/G56)^(1/($H$2-$H$1) ))-1</f>
        <v>-5.8251885788727087E-3</v>
      </c>
      <c r="R56" s="128"/>
      <c r="S56" s="157">
        <f t="shared" ref="S56:AB56" si="172">S10/S42</f>
        <v>1183.6111611161116</v>
      </c>
      <c r="T56" s="157">
        <f t="shared" si="172"/>
        <v>1205.1313640454955</v>
      </c>
      <c r="U56" s="157">
        <f t="shared" si="172"/>
        <v>1227.0428433917771</v>
      </c>
      <c r="V56" s="157">
        <f t="shared" si="172"/>
        <v>1249.3527132716276</v>
      </c>
      <c r="W56" s="157">
        <f t="shared" si="172"/>
        <v>1272.0682171492936</v>
      </c>
      <c r="X56" s="157">
        <f t="shared" si="172"/>
        <v>1295.1967301883715</v>
      </c>
      <c r="Y56" s="157">
        <f t="shared" si="172"/>
        <v>1318.7457616463419</v>
      </c>
      <c r="Z56" s="157">
        <f t="shared" si="172"/>
        <v>1342.7229573126392</v>
      </c>
      <c r="AA56" s="157">
        <f t="shared" si="172"/>
        <v>1367.1361019910507</v>
      </c>
      <c r="AB56" s="157">
        <f t="shared" si="172"/>
        <v>1391.9931220272517</v>
      </c>
      <c r="AC56" s="138">
        <f t="shared" si="161"/>
        <v>6.7386593049374444E-3</v>
      </c>
      <c r="AD56" s="31">
        <f t="shared" si="17"/>
        <v>0.05</v>
      </c>
      <c r="AE56" s="146">
        <f t="shared" si="162"/>
        <v>8597.6045772271445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-873.5647530040053</v>
      </c>
      <c r="G58" s="144">
        <f t="shared" si="173"/>
        <v>-1096.9292389853138</v>
      </c>
      <c r="H58" s="144">
        <f t="shared" si="173"/>
        <v>-1158.6572438162543</v>
      </c>
      <c r="I58" s="144">
        <f t="shared" si="173"/>
        <v>-1462.6619552414604</v>
      </c>
      <c r="J58" s="144">
        <f t="shared" si="173"/>
        <v>-1739.6937573616019</v>
      </c>
      <c r="K58" s="144">
        <f t="shared" si="173"/>
        <v>-2177.8563015312129</v>
      </c>
      <c r="L58" s="144">
        <f t="shared" si="173"/>
        <v>-2727.7974087161365</v>
      </c>
      <c r="M58" s="144">
        <f t="shared" si="173"/>
        <v>-3299.8946259220229</v>
      </c>
      <c r="N58" s="144">
        <f t="shared" si="173"/>
        <v>-863.27433628318579</v>
      </c>
      <c r="O58" s="144">
        <f t="shared" si="173"/>
        <v>-835.49346016646848</v>
      </c>
      <c r="P58" s="144">
        <f t="shared" si="173"/>
        <v>-1033.1089108910892</v>
      </c>
      <c r="Q58" s="118">
        <f>((P58/G58)^(1/($H$2-$H$1) ))-1</f>
        <v>-6.6380985976999263E-3</v>
      </c>
      <c r="R58" s="128"/>
      <c r="S58" s="157">
        <f t="shared" ref="S58:AB58" si="174">(S7-S10)/S42</f>
        <v>-1051.8927092709271</v>
      </c>
      <c r="T58" s="157">
        <f t="shared" si="174"/>
        <v>-1071.0180312576711</v>
      </c>
      <c r="U58" s="157">
        <f t="shared" si="174"/>
        <v>-1090.491086371447</v>
      </c>
      <c r="V58" s="157">
        <f t="shared" si="174"/>
        <v>-1110.318197032746</v>
      </c>
      <c r="W58" s="157">
        <f t="shared" si="174"/>
        <v>-1130.5058006151594</v>
      </c>
      <c r="X58" s="157">
        <f t="shared" si="174"/>
        <v>-1151.060451535435</v>
      </c>
      <c r="Y58" s="157">
        <f t="shared" si="174"/>
        <v>-1171.9888233815341</v>
      </c>
      <c r="Z58" s="157">
        <f t="shared" si="174"/>
        <v>-1193.29771107938</v>
      </c>
      <c r="AA58" s="157">
        <f t="shared" si="174"/>
        <v>-1214.994033099005</v>
      </c>
      <c r="AB58" s="157">
        <f t="shared" si="174"/>
        <v>-1237.0848337008053</v>
      </c>
      <c r="AC58" s="138">
        <f t="shared" si="161"/>
        <v>6.348646510681677E-3</v>
      </c>
      <c r="AD58" s="31">
        <f t="shared" si="17"/>
        <v>0.05</v>
      </c>
      <c r="AE58" s="146">
        <f t="shared" si="162"/>
        <v>-7640.8180905049749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-909.61281708945262</v>
      </c>
      <c r="G59" s="144">
        <f t="shared" si="175"/>
        <v>-1134.0453938584778</v>
      </c>
      <c r="H59" s="144">
        <f t="shared" si="175"/>
        <v>-1207.6560659599529</v>
      </c>
      <c r="I59" s="144">
        <f t="shared" si="175"/>
        <v>-1517.5500588928151</v>
      </c>
      <c r="J59" s="144">
        <f t="shared" si="175"/>
        <v>-1814.4876325088339</v>
      </c>
      <c r="K59" s="144">
        <f t="shared" si="175"/>
        <v>-2275.5005889281506</v>
      </c>
      <c r="L59" s="144">
        <f t="shared" si="175"/>
        <v>-2886.3368669022379</v>
      </c>
      <c r="M59" s="144">
        <f t="shared" si="175"/>
        <v>-3478.9251844046362</v>
      </c>
      <c r="N59" s="144">
        <f t="shared" si="175"/>
        <v>-939.29624947324055</v>
      </c>
      <c r="O59" s="144">
        <f t="shared" si="175"/>
        <v>-1034.4034879112169</v>
      </c>
      <c r="P59" s="144">
        <f t="shared" si="175"/>
        <v>-1318.5940594059407</v>
      </c>
      <c r="Q59" s="118">
        <f>((P59/G59)^(1/($H$2-$H$1) ))-1</f>
        <v>1.6893873056083475E-2</v>
      </c>
      <c r="R59" s="128"/>
      <c r="S59" s="157">
        <f t="shared" ref="S59:AB59" si="176">(S7-S10-S9)/S42</f>
        <v>-1342.5684968496851</v>
      </c>
      <c r="T59" s="157">
        <f t="shared" si="176"/>
        <v>-1366.9788331560428</v>
      </c>
      <c r="U59" s="157">
        <f t="shared" si="176"/>
        <v>-1391.8329937588799</v>
      </c>
      <c r="V59" s="157">
        <f t="shared" si="176"/>
        <v>-1417.1390481908595</v>
      </c>
      <c r="W59" s="157">
        <f t="shared" si="176"/>
        <v>-1442.9052127034206</v>
      </c>
      <c r="X59" s="157">
        <f t="shared" si="176"/>
        <v>-1469.1398529343917</v>
      </c>
      <c r="Y59" s="157">
        <f t="shared" si="176"/>
        <v>-1495.8514866241082</v>
      </c>
      <c r="Z59" s="157">
        <f t="shared" si="176"/>
        <v>-1523.0487863809101</v>
      </c>
      <c r="AA59" s="157">
        <f t="shared" si="176"/>
        <v>-1550.7405824969264</v>
      </c>
      <c r="AB59" s="157">
        <f t="shared" si="176"/>
        <v>-1578.9358658150527</v>
      </c>
      <c r="AC59" s="138">
        <f t="shared" si="161"/>
        <v>1.7571535697405105E-2</v>
      </c>
      <c r="AD59" s="31">
        <f t="shared" si="17"/>
        <v>0.05</v>
      </c>
      <c r="AE59" s="146">
        <f t="shared" si="162"/>
        <v>-9752.2509359165033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-898.39786381842453</v>
      </c>
      <c r="G60" s="144">
        <f t="shared" si="177"/>
        <v>-1118.8251001335113</v>
      </c>
      <c r="H60" s="144">
        <f t="shared" si="177"/>
        <v>-1189.3992932862191</v>
      </c>
      <c r="I60" s="144">
        <f t="shared" si="177"/>
        <v>-1497.997644287397</v>
      </c>
      <c r="J60" s="144">
        <f t="shared" si="177"/>
        <v>-1793.7573616018844</v>
      </c>
      <c r="K60" s="144">
        <f t="shared" si="177"/>
        <v>-2257.9505300353358</v>
      </c>
      <c r="L60" s="144">
        <f t="shared" si="177"/>
        <v>-2870.7891637220259</v>
      </c>
      <c r="M60" s="144">
        <f t="shared" si="177"/>
        <v>-3451.1064278187564</v>
      </c>
      <c r="N60" s="144">
        <f t="shared" si="177"/>
        <v>-930.50990307627478</v>
      </c>
      <c r="O60" s="144">
        <f t="shared" si="177"/>
        <v>-1028.2203725723346</v>
      </c>
      <c r="P60" s="144">
        <f t="shared" si="177"/>
        <v>-1287.1485148514851</v>
      </c>
      <c r="Q60" s="118">
        <f>((P60/G60)^(1/($H$2-$H$1) ))-1</f>
        <v>1.5694123794866899E-2</v>
      </c>
      <c r="R60" s="128"/>
      <c r="S60" s="157">
        <f t="shared" ref="S60:AB60" si="178">(S7+S15-S10-S9)/S42</f>
        <v>-1310.5512151215119</v>
      </c>
      <c r="T60" s="157">
        <f t="shared" si="178"/>
        <v>-1334.3794190328122</v>
      </c>
      <c r="U60" s="157">
        <f t="shared" si="178"/>
        <v>-1358.6408630152268</v>
      </c>
      <c r="V60" s="157">
        <f t="shared" si="178"/>
        <v>-1383.3434241609584</v>
      </c>
      <c r="W60" s="157">
        <f t="shared" si="178"/>
        <v>-1408.4951227820668</v>
      </c>
      <c r="X60" s="157">
        <f t="shared" si="178"/>
        <v>-1434.1041250144679</v>
      </c>
      <c r="Y60" s="157">
        <f t="shared" si="178"/>
        <v>-1460.1787454692767</v>
      </c>
      <c r="Z60" s="157">
        <f t="shared" si="178"/>
        <v>-1486.7274499323541</v>
      </c>
      <c r="AA60" s="157">
        <f t="shared" si="178"/>
        <v>-1513.7588581129426</v>
      </c>
      <c r="AB60" s="157">
        <f t="shared" si="178"/>
        <v>-1541.2817464422687</v>
      </c>
      <c r="AC60" s="138">
        <f t="shared" si="161"/>
        <v>1.700267802740707E-2</v>
      </c>
      <c r="AD60" s="31">
        <f t="shared" si="17"/>
        <v>0.05</v>
      </c>
      <c r="AE60" s="146">
        <f t="shared" si="162"/>
        <v>-9519.6813750846013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59.012016021361816</v>
      </c>
      <c r="G62" s="144">
        <f t="shared" si="179"/>
        <v>53.538050734312414</v>
      </c>
      <c r="H62" s="144">
        <f t="shared" si="179"/>
        <v>26.972909305064782</v>
      </c>
      <c r="I62" s="144">
        <f t="shared" si="179"/>
        <v>56.654888103651352</v>
      </c>
      <c r="J62" s="144">
        <f t="shared" si="179"/>
        <v>91.872791519434628</v>
      </c>
      <c r="K62" s="144">
        <f t="shared" si="179"/>
        <v>42.756183745583037</v>
      </c>
      <c r="L62" s="144">
        <f t="shared" si="179"/>
        <v>15.429917550058892</v>
      </c>
      <c r="M62" s="144">
        <f t="shared" si="179"/>
        <v>28.451001053740779</v>
      </c>
      <c r="N62" s="144">
        <f t="shared" si="179"/>
        <v>9.2288242730720604</v>
      </c>
      <c r="O62" s="144">
        <f t="shared" si="179"/>
        <v>6.4803804994054692</v>
      </c>
      <c r="P62" s="144">
        <f t="shared" si="179"/>
        <v>30.158415841584159</v>
      </c>
      <c r="Q62" s="118">
        <f>((P62/G62)^(1/($H$2-$H$1) ))-1</f>
        <v>-6.1779089934042242E-2</v>
      </c>
      <c r="R62" s="128"/>
      <c r="S62" s="157">
        <f t="shared" ref="S62:AB62" si="180">S12/S42</f>
        <v>30.706750675067507</v>
      </c>
      <c r="T62" s="157">
        <f t="shared" si="180"/>
        <v>31.265055232796009</v>
      </c>
      <c r="U62" s="157">
        <f t="shared" si="180"/>
        <v>31.833510782483209</v>
      </c>
      <c r="V62" s="157">
        <f t="shared" si="180"/>
        <v>32.412301887619272</v>
      </c>
      <c r="W62" s="157">
        <f t="shared" si="180"/>
        <v>33.001616467394165</v>
      </c>
      <c r="X62" s="157">
        <f t="shared" si="180"/>
        <v>33.601645857710423</v>
      </c>
      <c r="Y62" s="157">
        <f t="shared" si="180"/>
        <v>34.212584873305161</v>
      </c>
      <c r="Z62" s="157">
        <f t="shared" si="180"/>
        <v>34.834631871001619</v>
      </c>
      <c r="AA62" s="157">
        <f t="shared" si="180"/>
        <v>35.467988814110733</v>
      </c>
      <c r="AB62" s="157">
        <f t="shared" si="180"/>
        <v>36.112861338003654</v>
      </c>
      <c r="AC62" s="138">
        <f t="shared" si="161"/>
        <v>-2.0510092292425397E-2</v>
      </c>
      <c r="AD62" s="31">
        <f t="shared" si="17"/>
        <v>0.05</v>
      </c>
      <c r="AE62" s="146">
        <f t="shared" si="162"/>
        <v>223.05002591119904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38.851802403204275</v>
      </c>
      <c r="G63" s="144">
        <f t="shared" si="181"/>
        <v>17.89052069425901</v>
      </c>
      <c r="H63" s="144">
        <f t="shared" si="181"/>
        <v>10.580683156654887</v>
      </c>
      <c r="I63" s="144">
        <f t="shared" si="181"/>
        <v>38.63368669022379</v>
      </c>
      <c r="J63" s="144">
        <f t="shared" si="181"/>
        <v>26.030624263839812</v>
      </c>
      <c r="K63" s="144">
        <f t="shared" si="181"/>
        <v>93.404004711425202</v>
      </c>
      <c r="L63" s="144">
        <f t="shared" si="181"/>
        <v>135.21790341578327</v>
      </c>
      <c r="M63" s="144">
        <f t="shared" si="181"/>
        <v>151.00105374077975</v>
      </c>
      <c r="N63" s="144">
        <f t="shared" si="181"/>
        <v>29.81458069953645</v>
      </c>
      <c r="O63" s="144">
        <f t="shared" si="181"/>
        <v>3.4086405073325405</v>
      </c>
      <c r="P63" s="144">
        <f t="shared" si="181"/>
        <v>3.8613861386138613</v>
      </c>
      <c r="Q63" s="118">
        <f>((P63/G63)^(1/($H$2-$H$1) ))-1</f>
        <v>-0.15663929600608828</v>
      </c>
      <c r="R63" s="128"/>
      <c r="S63" s="157">
        <f t="shared" ref="S63:AB63" si="182">S13/S42</f>
        <v>3.9315931593159319</v>
      </c>
      <c r="T63" s="157">
        <f t="shared" si="182"/>
        <v>4.0030766713034946</v>
      </c>
      <c r="U63" s="157">
        <f t="shared" si="182"/>
        <v>4.075859883509013</v>
      </c>
      <c r="V63" s="157">
        <f t="shared" si="182"/>
        <v>4.1499664268455403</v>
      </c>
      <c r="W63" s="157">
        <f t="shared" si="182"/>
        <v>4.2254203618790953</v>
      </c>
      <c r="X63" s="157">
        <f t="shared" si="182"/>
        <v>4.3022461866405326</v>
      </c>
      <c r="Y63" s="157">
        <f t="shared" si="182"/>
        <v>4.3804688445794522</v>
      </c>
      <c r="Z63" s="157">
        <f t="shared" si="182"/>
        <v>4.4601137326627152</v>
      </c>
      <c r="AA63" s="157">
        <f t="shared" si="182"/>
        <v>4.5412067096202193</v>
      </c>
      <c r="AB63" s="157">
        <f t="shared" si="182"/>
        <v>4.623774104340586</v>
      </c>
      <c r="AC63" s="138">
        <f t="shared" si="161"/>
        <v>-6.8737111833976017E-2</v>
      </c>
      <c r="AD63" s="31">
        <f t="shared" si="17"/>
        <v>0.05</v>
      </c>
      <c r="AE63" s="146">
        <f t="shared" si="162"/>
        <v>28.55860476210362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97.863818424566091</v>
      </c>
      <c r="G64" s="144">
        <f t="shared" si="183"/>
        <v>71.428571428571416</v>
      </c>
      <c r="H64" s="144">
        <f t="shared" si="183"/>
        <v>37.553592461719667</v>
      </c>
      <c r="I64" s="144">
        <f t="shared" si="183"/>
        <v>95.288574793875142</v>
      </c>
      <c r="J64" s="144">
        <f t="shared" si="183"/>
        <v>117.90341578327444</v>
      </c>
      <c r="K64" s="144">
        <f t="shared" si="183"/>
        <v>136.16018845700825</v>
      </c>
      <c r="L64" s="144">
        <f t="shared" si="183"/>
        <v>150.64782096584216</v>
      </c>
      <c r="M64" s="144">
        <f t="shared" si="183"/>
        <v>179.45205479452054</v>
      </c>
      <c r="N64" s="144">
        <f t="shared" si="183"/>
        <v>39.043404972608514</v>
      </c>
      <c r="O64" s="144">
        <f t="shared" ref="O64" si="184">(O62+O63)</f>
        <v>9.8890210067380089</v>
      </c>
      <c r="P64" s="144">
        <f t="shared" si="183"/>
        <v>34.019801980198018</v>
      </c>
      <c r="Q64" s="118">
        <f>((P64/G64)^(1/($H$2-$H$1) ))-1</f>
        <v>-7.9112354999112511E-2</v>
      </c>
      <c r="R64" s="128"/>
      <c r="S64" s="157">
        <f t="shared" ref="S64:AB64" si="185">(S62+S63)</f>
        <v>34.638343834383441</v>
      </c>
      <c r="T64" s="157">
        <f t="shared" si="185"/>
        <v>35.268131904099505</v>
      </c>
      <c r="U64" s="157">
        <f t="shared" si="185"/>
        <v>35.90937066599222</v>
      </c>
      <c r="V64" s="157">
        <f t="shared" si="185"/>
        <v>36.562268314464809</v>
      </c>
      <c r="W64" s="157">
        <f t="shared" si="185"/>
        <v>37.22703682927326</v>
      </c>
      <c r="X64" s="157">
        <f t="shared" si="185"/>
        <v>37.903892044350954</v>
      </c>
      <c r="Y64" s="157">
        <f t="shared" si="185"/>
        <v>38.593053717884615</v>
      </c>
      <c r="Z64" s="157">
        <f t="shared" si="185"/>
        <v>39.294745603664332</v>
      </c>
      <c r="AA64" s="157">
        <f t="shared" si="185"/>
        <v>40.009195523730952</v>
      </c>
      <c r="AB64" s="157">
        <f t="shared" si="185"/>
        <v>40.736635442344237</v>
      </c>
      <c r="AC64" s="138">
        <f t="shared" si="161"/>
        <v>-2.9123806102680061E-2</v>
      </c>
      <c r="AD64" s="31">
        <f t="shared" si="17"/>
        <v>0.05</v>
      </c>
      <c r="AE64" s="146">
        <f t="shared" si="162"/>
        <v>251.60863067330266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11.214953271028037</v>
      </c>
      <c r="G65" s="144">
        <f t="shared" si="186"/>
        <v>15.220293724966622</v>
      </c>
      <c r="H65" s="144">
        <f t="shared" si="186"/>
        <v>18.256772673733803</v>
      </c>
      <c r="I65" s="144">
        <f t="shared" si="186"/>
        <v>19.552414605418139</v>
      </c>
      <c r="J65" s="144">
        <f t="shared" si="186"/>
        <v>20.73027090694935</v>
      </c>
      <c r="K65" s="144">
        <f t="shared" si="186"/>
        <v>17.550058892815077</v>
      </c>
      <c r="L65" s="144">
        <f t="shared" si="186"/>
        <v>15.547703180212014</v>
      </c>
      <c r="M65" s="144">
        <f t="shared" si="186"/>
        <v>27.818756585879871</v>
      </c>
      <c r="N65" s="144">
        <f t="shared" si="186"/>
        <v>8.7863463969658664</v>
      </c>
      <c r="O65" s="144">
        <f t="shared" si="186"/>
        <v>6.183115338882283</v>
      </c>
      <c r="P65" s="144">
        <f t="shared" si="186"/>
        <v>31.445544554455445</v>
      </c>
      <c r="Q65" s="118">
        <f>((P65/G65)^(1/($H$2-$H$1) ))-1</f>
        <v>8.3964653444470683E-2</v>
      </c>
      <c r="R65" s="128"/>
      <c r="S65" s="157">
        <f t="shared" ref="S65:AB65" si="187">S15/S42</f>
        <v>32.017281728172819</v>
      </c>
      <c r="T65" s="157">
        <f t="shared" si="187"/>
        <v>32.59941412323051</v>
      </c>
      <c r="U65" s="157">
        <f t="shared" si="187"/>
        <v>33.192130743652875</v>
      </c>
      <c r="V65" s="157">
        <f t="shared" si="187"/>
        <v>33.795624029901113</v>
      </c>
      <c r="W65" s="157">
        <f t="shared" si="187"/>
        <v>34.410089921353865</v>
      </c>
      <c r="X65" s="157">
        <f t="shared" si="187"/>
        <v>35.035727919923929</v>
      </c>
      <c r="Y65" s="157">
        <f t="shared" si="187"/>
        <v>35.672741154831641</v>
      </c>
      <c r="Z65" s="157">
        <f t="shared" si="187"/>
        <v>36.321336448555854</v>
      </c>
      <c r="AA65" s="157">
        <f t="shared" si="187"/>
        <v>36.981724383984144</v>
      </c>
      <c r="AB65" s="157">
        <f t="shared" si="187"/>
        <v>37.654119372783853</v>
      </c>
      <c r="AC65" s="138">
        <f t="shared" si="161"/>
        <v>4.8829051820533653E-2</v>
      </c>
      <c r="AD65" s="31">
        <f t="shared" si="17"/>
        <v>0.05</v>
      </c>
      <c r="AE65" s="146">
        <f t="shared" si="162"/>
        <v>232.5695608319003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1061.8157543391187</v>
      </c>
      <c r="G66" s="144">
        <f t="shared" si="188"/>
        <v>1332.4432576769025</v>
      </c>
      <c r="H66" s="144">
        <f t="shared" si="188"/>
        <v>1429.9175500588929</v>
      </c>
      <c r="I66" s="144">
        <f t="shared" si="188"/>
        <v>1741.2249705535924</v>
      </c>
      <c r="J66" s="144">
        <f t="shared" si="188"/>
        <v>2077.8563015312129</v>
      </c>
      <c r="K66" s="144">
        <f t="shared" si="188"/>
        <v>2516.6077738515901</v>
      </c>
      <c r="L66" s="144">
        <f t="shared" si="188"/>
        <v>3119.7879858657243</v>
      </c>
      <c r="M66" s="144">
        <f t="shared" si="188"/>
        <v>3869.1253951527924</v>
      </c>
      <c r="N66" s="144">
        <f t="shared" si="188"/>
        <v>1008.7652760219132</v>
      </c>
      <c r="O66" s="144">
        <f t="shared" si="188"/>
        <v>1056.6587395957195</v>
      </c>
      <c r="P66" s="144">
        <f t="shared" si="188"/>
        <v>1286.5346534653465</v>
      </c>
      <c r="Q66" s="118">
        <f>((P66/G66)^(1/($H$2-$H$1) ))-1</f>
        <v>-3.8881995433491801E-3</v>
      </c>
      <c r="R66" s="128"/>
      <c r="S66" s="157">
        <f t="shared" ref="S66:AB66" si="189">S16/S42</f>
        <v>1309.9261926192619</v>
      </c>
      <c r="T66" s="157">
        <f t="shared" si="189"/>
        <v>1333.7430324850668</v>
      </c>
      <c r="U66" s="157">
        <f t="shared" si="189"/>
        <v>1357.992905802977</v>
      </c>
      <c r="V66" s="157">
        <f t="shared" si="189"/>
        <v>1382.6836859084858</v>
      </c>
      <c r="W66" s="157">
        <f t="shared" si="189"/>
        <v>1407.8233892886401</v>
      </c>
      <c r="X66" s="157">
        <f t="shared" si="189"/>
        <v>1433.4201781847971</v>
      </c>
      <c r="Y66" s="157">
        <f t="shared" si="189"/>
        <v>1459.4823632427026</v>
      </c>
      <c r="Z66" s="157">
        <f t="shared" si="189"/>
        <v>1486.0184062107519</v>
      </c>
      <c r="AA66" s="157">
        <f t="shared" si="189"/>
        <v>1513.0369226873111</v>
      </c>
      <c r="AB66" s="157">
        <f t="shared" si="189"/>
        <v>1540.5466849179895</v>
      </c>
      <c r="AC66" s="138">
        <f t="shared" si="161"/>
        <v>7.6672996612494604E-3</v>
      </c>
      <c r="AD66" s="137"/>
      <c r="AE66" s="146">
        <f t="shared" si="162"/>
        <v>7002.4849314454068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5.5</v>
      </c>
      <c r="G68" s="159">
        <f t="shared" si="190"/>
        <v>5</v>
      </c>
      <c r="H68" s="159">
        <f t="shared" si="190"/>
        <v>5</v>
      </c>
      <c r="I68" s="159">
        <f t="shared" si="190"/>
        <v>6</v>
      </c>
      <c r="J68" s="159">
        <f t="shared" si="190"/>
        <v>8</v>
      </c>
      <c r="K68" s="159">
        <f t="shared" si="190"/>
        <v>10</v>
      </c>
      <c r="L68" s="159">
        <f t="shared" si="190"/>
        <v>13</v>
      </c>
      <c r="M68" s="159">
        <f t="shared" si="190"/>
        <v>15</v>
      </c>
      <c r="N68" s="159">
        <f t="shared" si="190"/>
        <v>3.5</v>
      </c>
      <c r="O68" s="159">
        <f t="shared" si="190"/>
        <v>3.6</v>
      </c>
      <c r="P68" s="159">
        <f t="shared" si="190"/>
        <v>3.8</v>
      </c>
      <c r="Q68" s="118">
        <f>((P68/G68)^(1/($H$2-$H$1) ))-1</f>
        <v>-3.0032761556641363E-2</v>
      </c>
      <c r="R68" s="128"/>
      <c r="S68" s="159">
        <f t="shared" ref="S68:AB68" si="191">S43</f>
        <v>3.9899999999999998</v>
      </c>
      <c r="T68" s="159">
        <f t="shared" si="191"/>
        <v>4.1894999999999998</v>
      </c>
      <c r="U68" s="159">
        <f t="shared" si="191"/>
        <v>4.3989750000000001</v>
      </c>
      <c r="V68" s="159">
        <f t="shared" si="191"/>
        <v>4.6189237500000004</v>
      </c>
      <c r="W68" s="159">
        <f t="shared" si="191"/>
        <v>4.8498699375000003</v>
      </c>
      <c r="X68" s="159">
        <f t="shared" si="191"/>
        <v>5.0923634343750006</v>
      </c>
      <c r="Y68" s="159">
        <f t="shared" si="191"/>
        <v>5.3469816060937507</v>
      </c>
      <c r="Z68" s="159">
        <f t="shared" si="191"/>
        <v>5.6143306863984384</v>
      </c>
      <c r="AA68" s="159">
        <f t="shared" si="191"/>
        <v>5.8950472207183608</v>
      </c>
      <c r="AB68" s="159">
        <f t="shared" si="191"/>
        <v>6.1897995817542792</v>
      </c>
      <c r="AC68" s="138">
        <f t="shared" ref="AC68" si="192">((AB68/G68)^(1/($AB$3-$H$1) ))-1</f>
        <v>1.1298338776048578E-2</v>
      </c>
      <c r="AD68" s="31">
        <f t="shared" si="17"/>
        <v>0.05</v>
      </c>
      <c r="AE68" s="146">
        <f t="shared" si="162"/>
        <v>38.231115063776436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-706</v>
      </c>
      <c r="G70" s="144">
        <f t="shared" si="193"/>
        <v>-1142</v>
      </c>
      <c r="H70" s="144">
        <f t="shared" si="193"/>
        <v>-1473</v>
      </c>
      <c r="I70" s="144">
        <f t="shared" si="193"/>
        <v>-2432</v>
      </c>
      <c r="J70" s="144">
        <f t="shared" si="193"/>
        <v>-2146</v>
      </c>
      <c r="K70" s="144">
        <f t="shared" si="193"/>
        <v>-4399</v>
      </c>
      <c r="L70" s="144">
        <f t="shared" si="193"/>
        <v>-5206</v>
      </c>
      <c r="M70" s="144">
        <f t="shared" si="193"/>
        <v>-9724</v>
      </c>
      <c r="N70" s="144">
        <f t="shared" si="193"/>
        <v>-10070</v>
      </c>
      <c r="O70" s="144">
        <f t="shared" si="193"/>
        <v>-11853</v>
      </c>
      <c r="P70" s="144">
        <f t="shared" si="193"/>
        <v>-12612</v>
      </c>
      <c r="Q70" s="118">
        <f>((P70/G70)^(1/($H$2-$H$1) ))-1</f>
        <v>0.30587613217513421</v>
      </c>
      <c r="R70" s="128"/>
      <c r="S70" s="144">
        <f t="shared" ref="S70:AB70" si="194">S20+S21</f>
        <v>-14125.44</v>
      </c>
      <c r="T70" s="144">
        <f t="shared" si="194"/>
        <v>-15820.492800000002</v>
      </c>
      <c r="U70" s="144">
        <f t="shared" si="194"/>
        <v>-17718.951936000005</v>
      </c>
      <c r="V70" s="144">
        <f t="shared" si="194"/>
        <v>-19845.226168320005</v>
      </c>
      <c r="W70" s="144">
        <f t="shared" si="194"/>
        <v>-22226.653308518409</v>
      </c>
      <c r="X70" s="144">
        <f t="shared" si="194"/>
        <v>-24893.851705540619</v>
      </c>
      <c r="Y70" s="144">
        <f t="shared" si="194"/>
        <v>-27881.113910205499</v>
      </c>
      <c r="Z70" s="144">
        <f t="shared" si="194"/>
        <v>-31226.847579430159</v>
      </c>
      <c r="AA70" s="144">
        <f t="shared" si="194"/>
        <v>-34974.069288961779</v>
      </c>
      <c r="AB70" s="144">
        <f t="shared" si="194"/>
        <v>-39170.957603637195</v>
      </c>
      <c r="AC70" s="138">
        <f t="shared" ref="AC70:AC75" si="195">((AB70/G70)^(1/($AB$3-$H$1) ))-1</f>
        <v>0.20449544605631176</v>
      </c>
      <c r="AD70" s="31">
        <f t="shared" si="17"/>
        <v>0.05</v>
      </c>
      <c r="AE70" s="146">
        <f t="shared" si="162"/>
        <v>-241938.26755187681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-94.259012016021359</v>
      </c>
      <c r="G72" s="144">
        <f t="shared" si="196"/>
        <v>-152.46995994659545</v>
      </c>
      <c r="H72" s="144">
        <f t="shared" si="196"/>
        <v>-173.49823321554769</v>
      </c>
      <c r="I72" s="144">
        <f t="shared" si="196"/>
        <v>-286.45465253239104</v>
      </c>
      <c r="J72" s="144">
        <f t="shared" si="196"/>
        <v>-252.76796230859836</v>
      </c>
      <c r="K72" s="144">
        <f t="shared" si="196"/>
        <v>-518.13898704358064</v>
      </c>
      <c r="L72" s="144">
        <f t="shared" si="196"/>
        <v>-613.19199057714957</v>
      </c>
      <c r="M72" s="144">
        <f t="shared" si="196"/>
        <v>-1024.6575342465753</v>
      </c>
      <c r="N72" s="144">
        <f t="shared" si="196"/>
        <v>-212.17867678044669</v>
      </c>
      <c r="O72" s="144">
        <f t="shared" si="196"/>
        <v>-234.89892984542212</v>
      </c>
      <c r="P72" s="144">
        <f t="shared" si="196"/>
        <v>-249.74257425742573</v>
      </c>
      <c r="Q72" s="118">
        <f>((P72/G72)^(1/($H$2-$H$1) ))-1</f>
        <v>5.6360207186102906E-2</v>
      </c>
      <c r="R72" s="128"/>
      <c r="S72" s="146">
        <f t="shared" ref="S72:AB72" si="197">S70/S42</f>
        <v>-254.28334833483348</v>
      </c>
      <c r="T72" s="146">
        <f t="shared" si="197"/>
        <v>-258.90668194092137</v>
      </c>
      <c r="U72" s="146">
        <f t="shared" si="197"/>
        <v>-263.61407615802904</v>
      </c>
      <c r="V72" s="146">
        <f t="shared" si="197"/>
        <v>-268.40705936090222</v>
      </c>
      <c r="W72" s="146">
        <f t="shared" si="197"/>
        <v>-273.28718771291869</v>
      </c>
      <c r="X72" s="146">
        <f t="shared" si="197"/>
        <v>-278.25604567133536</v>
      </c>
      <c r="Y72" s="146">
        <f t="shared" si="197"/>
        <v>-283.31524650172332</v>
      </c>
      <c r="Z72" s="146">
        <f t="shared" si="197"/>
        <v>-288.46643280175465</v>
      </c>
      <c r="AA72" s="146">
        <f t="shared" si="197"/>
        <v>-293.71127703451378</v>
      </c>
      <c r="AB72" s="146">
        <f t="shared" si="197"/>
        <v>-299.05148207150489</v>
      </c>
      <c r="AC72" s="138">
        <f t="shared" si="195"/>
        <v>3.609119457730614E-2</v>
      </c>
      <c r="AD72" s="31">
        <f t="shared" si="17"/>
        <v>0.05</v>
      </c>
      <c r="AE72" s="146">
        <f t="shared" si="162"/>
        <v>-1847.0826833828246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-102.40320427236315</v>
      </c>
      <c r="G73" s="144">
        <f t="shared" si="198"/>
        <v>-173.83177570093457</v>
      </c>
      <c r="H73" s="144">
        <f t="shared" si="198"/>
        <v>-183.39222614840989</v>
      </c>
      <c r="I73" s="144">
        <f t="shared" si="198"/>
        <v>-259.36395759717311</v>
      </c>
      <c r="J73" s="144">
        <f t="shared" si="198"/>
        <v>-267.72673733804476</v>
      </c>
      <c r="K73" s="144">
        <f t="shared" si="198"/>
        <v>-456.77267373380448</v>
      </c>
      <c r="L73" s="144">
        <f t="shared" si="198"/>
        <v>-578.20965842167254</v>
      </c>
      <c r="M73" s="144">
        <f t="shared" si="198"/>
        <v>-1001.2644889357218</v>
      </c>
      <c r="N73" s="144">
        <f t="shared" si="198"/>
        <v>-216.32954066582386</v>
      </c>
      <c r="O73" s="144">
        <f t="shared" si="198"/>
        <v>-234.20531113753466</v>
      </c>
      <c r="P73" s="144">
        <f t="shared" si="198"/>
        <v>-249.20792079207922</v>
      </c>
      <c r="Q73" s="118">
        <f>((P73/G73)^(1/($H$2-$H$1) ))-1</f>
        <v>4.0833851079043137E-2</v>
      </c>
      <c r="R73" s="128"/>
      <c r="S73" s="146">
        <f t="shared" ref="S73:AB73" si="199">S20/S42</f>
        <v>-253.73897389738974</v>
      </c>
      <c r="T73" s="146">
        <f t="shared" si="199"/>
        <v>-258.35240978643316</v>
      </c>
      <c r="U73" s="146">
        <f t="shared" si="199"/>
        <v>-263.04972632800468</v>
      </c>
      <c r="V73" s="146">
        <f t="shared" si="199"/>
        <v>-267.83244862487749</v>
      </c>
      <c r="W73" s="146">
        <f t="shared" si="199"/>
        <v>-272.70212950896615</v>
      </c>
      <c r="X73" s="146">
        <f t="shared" si="199"/>
        <v>-277.66035004549281</v>
      </c>
      <c r="Y73" s="146">
        <f t="shared" si="199"/>
        <v>-282.70872004631997</v>
      </c>
      <c r="Z73" s="146">
        <f t="shared" si="199"/>
        <v>-287.8488785926167</v>
      </c>
      <c r="AA73" s="146">
        <f t="shared" si="199"/>
        <v>-293.08249456702794</v>
      </c>
      <c r="AB73" s="146">
        <f t="shared" si="199"/>
        <v>-298.41126719551932</v>
      </c>
      <c r="AC73" s="138">
        <f t="shared" si="195"/>
        <v>2.8849610232746015E-2</v>
      </c>
      <c r="AD73" s="31">
        <f t="shared" si="17"/>
        <v>0.05</v>
      </c>
      <c r="AE73" s="146">
        <f t="shared" si="162"/>
        <v>-1843.128415031149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8.144192256341789</v>
      </c>
      <c r="G74" s="144">
        <f t="shared" si="200"/>
        <v>21.361815754339119</v>
      </c>
      <c r="H74" s="144">
        <f t="shared" si="200"/>
        <v>9.8939929328621901</v>
      </c>
      <c r="I74" s="144">
        <f t="shared" si="200"/>
        <v>-27.090694935217904</v>
      </c>
      <c r="J74" s="144">
        <f t="shared" si="200"/>
        <v>14.958775029446407</v>
      </c>
      <c r="K74" s="144">
        <f t="shared" si="200"/>
        <v>-61.366313309776203</v>
      </c>
      <c r="L74" s="144">
        <f t="shared" si="200"/>
        <v>-34.982332155477032</v>
      </c>
      <c r="M74" s="144">
        <f t="shared" si="200"/>
        <v>-23.39304531085353</v>
      </c>
      <c r="N74" s="144">
        <f t="shared" si="200"/>
        <v>4.1508638853771593</v>
      </c>
      <c r="O74" s="144">
        <f t="shared" si="200"/>
        <v>-0.69361870788743563</v>
      </c>
      <c r="P74" s="144">
        <f t="shared" si="200"/>
        <v>-0.53465346534653468</v>
      </c>
      <c r="Q74" s="118">
        <f>((P74/G74)^(1/($H$2-$H$1) ))-1</f>
        <v>-1.6638168112638949</v>
      </c>
      <c r="R74" s="128"/>
      <c r="S74" s="146">
        <f t="shared" ref="S74:AB74" si="201">S21/S42</f>
        <v>-0.54437443744374436</v>
      </c>
      <c r="T74" s="146">
        <f t="shared" si="201"/>
        <v>-0.55427215448817613</v>
      </c>
      <c r="U74" s="146">
        <f t="shared" si="201"/>
        <v>-0.56434983002432482</v>
      </c>
      <c r="V74" s="146">
        <f t="shared" si="201"/>
        <v>-0.57461073602476709</v>
      </c>
      <c r="W74" s="146">
        <f t="shared" si="201"/>
        <v>-0.58505820395249009</v>
      </c>
      <c r="X74" s="146">
        <f t="shared" si="201"/>
        <v>-0.59569562584253521</v>
      </c>
      <c r="Y74" s="146">
        <f t="shared" si="201"/>
        <v>-0.60652645540330863</v>
      </c>
      <c r="Z74" s="146">
        <f t="shared" si="201"/>
        <v>-0.61755420913791426</v>
      </c>
      <c r="AA74" s="146">
        <f t="shared" si="201"/>
        <v>-0.62878246748587641</v>
      </c>
      <c r="AB74" s="146">
        <f t="shared" si="201"/>
        <v>-0.64021487598561955</v>
      </c>
      <c r="AC74" s="138">
        <f t="shared" si="195"/>
        <v>-1.8314299466113613</v>
      </c>
      <c r="AD74" s="31">
        <f t="shared" si="17"/>
        <v>0.05</v>
      </c>
      <c r="AE74" s="146">
        <f t="shared" si="162"/>
        <v>-3.9542683516758861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66.488651535380512</v>
      </c>
      <c r="G75" s="144">
        <f t="shared" si="202"/>
        <v>146.99599465954606</v>
      </c>
      <c r="H75" s="144">
        <f t="shared" si="202"/>
        <v>153.12131919905772</v>
      </c>
      <c r="I75" s="144">
        <f t="shared" si="202"/>
        <v>316.25441696113074</v>
      </c>
      <c r="J75" s="144">
        <f t="shared" si="202"/>
        <v>287.9858657243816</v>
      </c>
      <c r="K75" s="144">
        <f t="shared" si="202"/>
        <v>469.02237926972907</v>
      </c>
      <c r="L75" s="144">
        <f t="shared" si="202"/>
        <v>586.33686690223794</v>
      </c>
      <c r="M75" s="144">
        <f t="shared" si="202"/>
        <v>1038.5669125395152</v>
      </c>
      <c r="N75" s="144">
        <f t="shared" si="202"/>
        <v>215.71849978929623</v>
      </c>
      <c r="O75" s="144">
        <f t="shared" si="202"/>
        <v>228.71581450653983</v>
      </c>
      <c r="P75" s="144">
        <f t="shared" si="202"/>
        <v>246.85148514851485</v>
      </c>
      <c r="Q75" s="118">
        <f>((P75/G75)^(1/($H$2-$H$1) ))-1</f>
        <v>5.9289021979103129E-2</v>
      </c>
      <c r="R75" s="128"/>
      <c r="S75" s="146">
        <f t="shared" ref="S75:AB75" si="203">S22/S42</f>
        <v>251.33969396939696</v>
      </c>
      <c r="T75" s="146">
        <f t="shared" si="203"/>
        <v>255.90950658702235</v>
      </c>
      <c r="U75" s="146">
        <f t="shared" si="203"/>
        <v>260.56240670678636</v>
      </c>
      <c r="V75" s="146">
        <f t="shared" si="203"/>
        <v>265.29990501054613</v>
      </c>
      <c r="W75" s="146">
        <f t="shared" si="203"/>
        <v>270.12353964710155</v>
      </c>
      <c r="X75" s="146">
        <f t="shared" si="203"/>
        <v>275.03487673159424</v>
      </c>
      <c r="Y75" s="146">
        <f t="shared" si="203"/>
        <v>280.03551085398686</v>
      </c>
      <c r="Z75" s="146">
        <f t="shared" si="203"/>
        <v>285.12706559678662</v>
      </c>
      <c r="AA75" s="146">
        <f t="shared" si="203"/>
        <v>290.31119406218278</v>
      </c>
      <c r="AB75" s="146">
        <f t="shared" si="203"/>
        <v>295.58957940876792</v>
      </c>
      <c r="AC75" s="138">
        <f t="shared" si="195"/>
        <v>3.7450916904425258E-2</v>
      </c>
      <c r="AD75" s="31">
        <f t="shared" si="17"/>
        <v>0.05</v>
      </c>
      <c r="AE75" s="146">
        <f t="shared" si="162"/>
        <v>1825.7003434070962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59.012016021361816</v>
      </c>
      <c r="G76" s="144">
        <f t="shared" si="204"/>
        <v>53.538050734312414</v>
      </c>
      <c r="H76" s="144">
        <f t="shared" si="204"/>
        <v>26.85512367491166</v>
      </c>
      <c r="I76" s="144">
        <f t="shared" si="204"/>
        <v>56.53710247349823</v>
      </c>
      <c r="J76" s="144">
        <f t="shared" si="204"/>
        <v>91.872791519434628</v>
      </c>
      <c r="K76" s="144">
        <f t="shared" si="204"/>
        <v>42.638398115429915</v>
      </c>
      <c r="L76" s="144">
        <f t="shared" si="204"/>
        <v>15.901060070671377</v>
      </c>
      <c r="M76" s="144">
        <f t="shared" si="204"/>
        <v>28.134878819810325</v>
      </c>
      <c r="N76" s="144">
        <f t="shared" si="204"/>
        <v>9.1656131479140335</v>
      </c>
      <c r="O76" s="144">
        <f t="shared" si="204"/>
        <v>4.9147839873166861</v>
      </c>
      <c r="P76" s="144">
        <f t="shared" si="204"/>
        <v>27.841584158415841</v>
      </c>
      <c r="Q76" s="118">
        <f>((P76/G76)^(1/($H$2-$H$1) ))-1</f>
        <v>-7.0074981655167901E-2</v>
      </c>
      <c r="R76" s="128"/>
      <c r="S76" s="146">
        <f t="shared" ref="S76:AB76" si="205">S23/S42</f>
        <v>28.347794779477951</v>
      </c>
      <c r="T76" s="146">
        <f t="shared" si="205"/>
        <v>28.863209230013915</v>
      </c>
      <c r="U76" s="146">
        <f t="shared" si="205"/>
        <v>29.387994852377801</v>
      </c>
      <c r="V76" s="146">
        <f t="shared" si="205"/>
        <v>29.922322031511943</v>
      </c>
      <c r="W76" s="146">
        <f t="shared" si="205"/>
        <v>30.466364250266704</v>
      </c>
      <c r="X76" s="146">
        <f t="shared" si="205"/>
        <v>31.020298145726098</v>
      </c>
      <c r="Y76" s="146">
        <f t="shared" si="205"/>
        <v>31.58430356655748</v>
      </c>
      <c r="Z76" s="146">
        <f t="shared" si="205"/>
        <v>32.158563631403979</v>
      </c>
      <c r="AA76" s="146">
        <f t="shared" si="205"/>
        <v>32.7432647883386</v>
      </c>
      <c r="AB76" s="146">
        <f t="shared" si="205"/>
        <v>33.338596875399304</v>
      </c>
      <c r="AC76" s="138">
        <f t="shared" ref="AC76" si="206">((AB76/G76)^(1/($AB$3-$H$1) ))-1</f>
        <v>-2.4622164955624193E-2</v>
      </c>
      <c r="AD76" s="31">
        <f t="shared" si="17"/>
        <v>0.05</v>
      </c>
      <c r="AE76" s="146">
        <f t="shared" si="162"/>
        <v>205.9148630539369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120.38184245660881</v>
      </c>
      <c r="G78" s="144">
        <f t="shared" si="207"/>
        <v>114.95327102803738</v>
      </c>
      <c r="H78" s="144">
        <f t="shared" si="207"/>
        <v>101.76678445229682</v>
      </c>
      <c r="I78" s="144">
        <f t="shared" si="207"/>
        <v>128.62190812720848</v>
      </c>
      <c r="J78" s="144">
        <f t="shared" si="207"/>
        <v>167.60895170789163</v>
      </c>
      <c r="K78" s="144">
        <f t="shared" si="207"/>
        <v>234.27561837455829</v>
      </c>
      <c r="L78" s="144">
        <f t="shared" si="207"/>
        <v>320.96584216725557</v>
      </c>
      <c r="M78" s="144">
        <f t="shared" si="207"/>
        <v>344.5732349841939</v>
      </c>
      <c r="N78" s="144">
        <f t="shared" si="207"/>
        <v>87.399915718499784</v>
      </c>
      <c r="O78" s="144">
        <f t="shared" si="207"/>
        <v>113.57510899722553</v>
      </c>
      <c r="P78" s="144">
        <f t="shared" si="207"/>
        <v>143.82178217821783</v>
      </c>
      <c r="Q78" s="118">
        <f>((P78/G78)^(1/($H$2-$H$1) ))-1</f>
        <v>2.5206807675960174E-2</v>
      </c>
      <c r="R78" s="128"/>
      <c r="S78" s="144">
        <f t="shared" ref="S78:AB78" si="208">S36/S42</f>
        <v>146.43672367236724</v>
      </c>
      <c r="T78" s="144">
        <f t="shared" si="208"/>
        <v>149.09920955731934</v>
      </c>
      <c r="U78" s="144">
        <f t="shared" si="208"/>
        <v>151.81010427654334</v>
      </c>
      <c r="V78" s="144">
        <f t="shared" si="208"/>
        <v>154.57028799066231</v>
      </c>
      <c r="W78" s="144">
        <f t="shared" si="208"/>
        <v>157.3806568632198</v>
      </c>
      <c r="X78" s="144">
        <f t="shared" si="208"/>
        <v>160.24212335164196</v>
      </c>
      <c r="Y78" s="144">
        <f t="shared" si="208"/>
        <v>163.15561650349002</v>
      </c>
      <c r="Z78" s="144">
        <f t="shared" si="208"/>
        <v>166.12208225809894</v>
      </c>
      <c r="AA78" s="144">
        <f t="shared" si="208"/>
        <v>169.14248375370073</v>
      </c>
      <c r="AB78" s="144">
        <f t="shared" si="208"/>
        <v>172.21780164013165</v>
      </c>
      <c r="AC78" s="138">
        <f t="shared" ref="AC78:AC80" si="209">((AB78/G78)^(1/($AB$3-$H$1) ))-1</f>
        <v>2.1503424031684037E-2</v>
      </c>
      <c r="AD78" s="31">
        <f t="shared" si="17"/>
        <v>0.05</v>
      </c>
      <c r="AE78" s="146">
        <f t="shared" si="162"/>
        <v>1063.6981866008134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23.89853137516689</v>
      </c>
      <c r="G79" s="144">
        <f t="shared" si="210"/>
        <v>22.296395193591454</v>
      </c>
      <c r="H79" s="144">
        <f t="shared" si="210"/>
        <v>16.725559481743225</v>
      </c>
      <c r="I79" s="144">
        <f t="shared" si="210"/>
        <v>24.499411071849234</v>
      </c>
      <c r="J79" s="144">
        <f t="shared" si="210"/>
        <v>32.744405182567725</v>
      </c>
      <c r="K79" s="144">
        <f t="shared" si="210"/>
        <v>45.465253239104825</v>
      </c>
      <c r="L79" s="144">
        <f t="shared" si="210"/>
        <v>62.308598351001173</v>
      </c>
      <c r="M79" s="144">
        <f t="shared" si="210"/>
        <v>69.546891464699684</v>
      </c>
      <c r="N79" s="144">
        <f t="shared" si="210"/>
        <v>20.417193426042981</v>
      </c>
      <c r="O79" s="144">
        <f t="shared" si="210"/>
        <v>18.152992469282601</v>
      </c>
      <c r="P79" s="144">
        <f t="shared" si="210"/>
        <v>20.871287128712872</v>
      </c>
      <c r="Q79" s="118">
        <f>((P79/G79)^(1/($H$2-$H$1) ))-1</f>
        <v>-7.3120936142541115E-3</v>
      </c>
      <c r="R79" s="128"/>
      <c r="S79" s="144">
        <f t="shared" ref="S79:AB79" si="211">S40/S42</f>
        <v>21.250765076507651</v>
      </c>
      <c r="T79" s="144">
        <f t="shared" si="211"/>
        <v>21.637142623353245</v>
      </c>
      <c r="U79" s="144">
        <f t="shared" si="211"/>
        <v>22.030545216505121</v>
      </c>
      <c r="V79" s="144">
        <f t="shared" si="211"/>
        <v>22.431100584077942</v>
      </c>
      <c r="W79" s="144">
        <f t="shared" si="211"/>
        <v>22.838938776515722</v>
      </c>
      <c r="X79" s="144">
        <f t="shared" si="211"/>
        <v>23.254192208816008</v>
      </c>
      <c r="Y79" s="144">
        <f t="shared" si="211"/>
        <v>23.676995703521754</v>
      </c>
      <c r="Z79" s="144">
        <f t="shared" si="211"/>
        <v>24.107486534494878</v>
      </c>
      <c r="AA79" s="144">
        <f t="shared" si="211"/>
        <v>24.545804471485695</v>
      </c>
      <c r="AB79" s="144">
        <f t="shared" si="211"/>
        <v>24.992091825512706</v>
      </c>
      <c r="AC79" s="138">
        <f t="shared" si="209"/>
        <v>6.0251540782749746E-3</v>
      </c>
      <c r="AD79" s="31">
        <f t="shared" si="17"/>
        <v>0.05</v>
      </c>
      <c r="AE79" s="146">
        <f t="shared" si="162"/>
        <v>154.36292009875498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104.93991989319092</v>
      </c>
      <c r="G80" s="144">
        <f t="shared" si="212"/>
        <v>118.29105473965286</v>
      </c>
      <c r="H80" s="144">
        <f t="shared" si="212"/>
        <v>132.50883392226149</v>
      </c>
      <c r="I80" s="144">
        <f t="shared" si="212"/>
        <v>150.29446407538279</v>
      </c>
      <c r="J80" s="144">
        <f t="shared" si="212"/>
        <v>173.96937573616017</v>
      </c>
      <c r="K80" s="144">
        <f t="shared" si="212"/>
        <v>208.36277974087162</v>
      </c>
      <c r="L80" s="144">
        <f t="shared" si="212"/>
        <v>256.41931684334509</v>
      </c>
      <c r="M80" s="144">
        <f t="shared" si="212"/>
        <v>352.68703898840886</v>
      </c>
      <c r="N80" s="144">
        <f t="shared" si="212"/>
        <v>86.304256215760645</v>
      </c>
      <c r="O80" s="144">
        <f t="shared" si="212"/>
        <v>111.1573523583036</v>
      </c>
      <c r="P80" s="144">
        <f t="shared" si="212"/>
        <v>127.36633663366337</v>
      </c>
      <c r="Q80" s="118">
        <f>((P80/G80)^(1/($H$2-$H$1) ))-1</f>
        <v>8.2470792786843994E-3</v>
      </c>
      <c r="R80" s="128"/>
      <c r="S80" s="144">
        <f t="shared" ref="S80:AB80" si="213">S6/S42</f>
        <v>129.68208820882089</v>
      </c>
      <c r="T80" s="144">
        <f t="shared" si="213"/>
        <v>132.03994435807218</v>
      </c>
      <c r="U80" s="144">
        <f t="shared" si="213"/>
        <v>134.44067061912801</v>
      </c>
      <c r="V80" s="144">
        <f t="shared" si="213"/>
        <v>136.88504644856673</v>
      </c>
      <c r="W80" s="144">
        <f t="shared" si="213"/>
        <v>139.37386547490431</v>
      </c>
      <c r="X80" s="144">
        <f t="shared" si="213"/>
        <v>141.9079357562662</v>
      </c>
      <c r="Y80" s="144">
        <f t="shared" si="213"/>
        <v>144.48808004274377</v>
      </c>
      <c r="Z80" s="144">
        <f t="shared" si="213"/>
        <v>147.11513604352095</v>
      </c>
      <c r="AA80" s="144">
        <f t="shared" si="213"/>
        <v>149.78995669885771</v>
      </c>
      <c r="AB80" s="144">
        <f t="shared" si="213"/>
        <v>152.51341045701878</v>
      </c>
      <c r="AC80" s="138">
        <f t="shared" si="209"/>
        <v>1.3463745365861923E-2</v>
      </c>
      <c r="AD80" s="31">
        <f t="shared" ref="AD80" si="214">$L$1</f>
        <v>0.05</v>
      </c>
      <c r="AE80" s="146">
        <f t="shared" si="162"/>
        <v>941.99459399923376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>
        <f t="shared" si="215"/>
        <v>0.88484789008832188</v>
      </c>
      <c r="G84" s="152">
        <f t="shared" si="215"/>
        <v>0.88036809815950923</v>
      </c>
      <c r="H84" s="152">
        <f t="shared" si="215"/>
        <v>0.82521489971346706</v>
      </c>
      <c r="I84" s="152">
        <f t="shared" si="215"/>
        <v>0.85781618224666145</v>
      </c>
      <c r="J84" s="152">
        <f t="shared" si="215"/>
        <v>0.89553178099433606</v>
      </c>
      <c r="K84" s="152">
        <f t="shared" si="215"/>
        <v>0.9107142857142857</v>
      </c>
      <c r="L84" s="152">
        <f t="shared" si="215"/>
        <v>0.93868411987599032</v>
      </c>
      <c r="M84" s="152">
        <f t="shared" si="215"/>
        <v>0.93965517241379315</v>
      </c>
      <c r="N84" s="152">
        <f t="shared" si="215"/>
        <v>0.82481606681248754</v>
      </c>
      <c r="O84" s="152">
        <f t="shared" si="215"/>
        <v>0.91784112748238311</v>
      </c>
      <c r="P84" s="152">
        <f t="shared" si="215"/>
        <v>0.93764523625096829</v>
      </c>
      <c r="Q84" s="118">
        <f t="shared" ref="Q84:Q134" si="216">((P84/G84)^(1/($H$2-$H$1) ))-1</f>
        <v>7.0280875809629606E-3</v>
      </c>
      <c r="R84" s="152"/>
      <c r="S84" s="152">
        <f t="shared" ref="S84:AB84" si="217">S36/S25</f>
        <v>0.93764523625096829</v>
      </c>
      <c r="T84" s="152">
        <f t="shared" si="217"/>
        <v>0.93764523625096818</v>
      </c>
      <c r="U84" s="152">
        <f t="shared" si="217"/>
        <v>0.93764523625096818</v>
      </c>
      <c r="V84" s="152">
        <f t="shared" si="217"/>
        <v>0.93764523625096807</v>
      </c>
      <c r="W84" s="152">
        <f t="shared" si="217"/>
        <v>0.93764523625096807</v>
      </c>
      <c r="X84" s="152">
        <f t="shared" si="217"/>
        <v>0.93764523625096818</v>
      </c>
      <c r="Y84" s="152">
        <f t="shared" si="217"/>
        <v>0.93764523625096818</v>
      </c>
      <c r="Z84" s="152">
        <f t="shared" si="217"/>
        <v>0.93764523625096829</v>
      </c>
      <c r="AA84" s="152">
        <f t="shared" si="217"/>
        <v>0.93764523625096818</v>
      </c>
      <c r="AB84" s="152">
        <f t="shared" si="217"/>
        <v>0.93764523625096818</v>
      </c>
      <c r="AC84" s="138">
        <f t="shared" ref="AC84:AC121" si="218">((AB84/G84)^(1/($AB$3-$H$1) ))-1</f>
        <v>3.3229588874430505E-3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>
        <f t="shared" si="219"/>
        <v>0.17566241413150147</v>
      </c>
      <c r="G85" s="152">
        <f t="shared" si="219"/>
        <v>0.17075664621676892</v>
      </c>
      <c r="H85" s="152">
        <f t="shared" si="219"/>
        <v>0.13562559694364851</v>
      </c>
      <c r="I85" s="152">
        <f t="shared" si="219"/>
        <v>0.16339355852317361</v>
      </c>
      <c r="J85" s="152">
        <f t="shared" si="219"/>
        <v>0.17495280050346129</v>
      </c>
      <c r="K85" s="152">
        <f t="shared" si="219"/>
        <v>0.17673992673992675</v>
      </c>
      <c r="L85" s="152">
        <f t="shared" si="219"/>
        <v>0.18222528418877024</v>
      </c>
      <c r="M85" s="152">
        <f t="shared" si="219"/>
        <v>0.18965517241379309</v>
      </c>
      <c r="N85" s="152">
        <f t="shared" si="219"/>
        <v>0.1926824418373434</v>
      </c>
      <c r="O85" s="152">
        <f t="shared" si="219"/>
        <v>0.14670083279948751</v>
      </c>
      <c r="P85" s="152">
        <f t="shared" si="219"/>
        <v>0.13607022979602376</v>
      </c>
      <c r="Q85" s="118">
        <f t="shared" si="216"/>
        <v>-2.4914196386847998E-2</v>
      </c>
      <c r="R85" s="152"/>
      <c r="S85" s="152">
        <f t="shared" ref="S85:AB85" si="220">S40/S25</f>
        <v>0.13607022979602376</v>
      </c>
      <c r="T85" s="152">
        <f t="shared" si="220"/>
        <v>0.13607022979602376</v>
      </c>
      <c r="U85" s="152">
        <f t="shared" si="220"/>
        <v>0.13607022979602376</v>
      </c>
      <c r="V85" s="152">
        <f t="shared" si="220"/>
        <v>0.13607022979602376</v>
      </c>
      <c r="W85" s="152">
        <f t="shared" si="220"/>
        <v>0.13607022979602376</v>
      </c>
      <c r="X85" s="152">
        <f t="shared" si="220"/>
        <v>0.13607022979602376</v>
      </c>
      <c r="Y85" s="152">
        <f t="shared" si="220"/>
        <v>0.13607022979602376</v>
      </c>
      <c r="Z85" s="152">
        <f t="shared" si="220"/>
        <v>0.13607022979602376</v>
      </c>
      <c r="AA85" s="152">
        <f t="shared" si="220"/>
        <v>0.13607022979602376</v>
      </c>
      <c r="AB85" s="152">
        <f t="shared" si="220"/>
        <v>0.13607022979602376</v>
      </c>
      <c r="AC85" s="138">
        <f t="shared" si="218"/>
        <v>-1.1879832647821775E-2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21">E40/E7</f>
        <v>#DIV/0!</v>
      </c>
      <c r="F86" s="152">
        <f t="shared" si="221"/>
        <v>0.20789779326364694</v>
      </c>
      <c r="G86" s="152">
        <f>G40/G7</f>
        <v>0.17377731529656607</v>
      </c>
      <c r="H86" s="152">
        <f t="shared" si="221"/>
        <v>0.11735537190082644</v>
      </c>
      <c r="I86" s="152">
        <f t="shared" si="221"/>
        <v>0.1527165932452276</v>
      </c>
      <c r="J86" s="152">
        <f t="shared" si="221"/>
        <v>0.17797695262483995</v>
      </c>
      <c r="K86" s="152">
        <f t="shared" si="221"/>
        <v>0.20819848975188782</v>
      </c>
      <c r="L86" s="152">
        <f t="shared" si="221"/>
        <v>0.23386383731211319</v>
      </c>
      <c r="M86" s="152">
        <f t="shared" si="221"/>
        <v>0.19174898314933178</v>
      </c>
      <c r="N86" s="152">
        <f t="shared" si="221"/>
        <v>0.23120973514674303</v>
      </c>
      <c r="O86" s="152">
        <f t="shared" si="221"/>
        <v>0.16042031523642733</v>
      </c>
      <c r="P86" s="152">
        <f t="shared" ref="P86" si="222">P40/P7</f>
        <v>0.16133476197765192</v>
      </c>
      <c r="Q86" s="118">
        <f t="shared" si="216"/>
        <v>-8.2208237069764101E-3</v>
      </c>
      <c r="R86" s="20"/>
      <c r="S86" s="152">
        <f t="shared" ref="S86" si="223">S40/S7</f>
        <v>0.1613347619776519</v>
      </c>
      <c r="T86" s="152">
        <f t="shared" ref="T86:AB86" si="224">T40/T7</f>
        <v>0.16133476197765192</v>
      </c>
      <c r="U86" s="152">
        <f t="shared" si="224"/>
        <v>0.16133476197765192</v>
      </c>
      <c r="V86" s="152">
        <f t="shared" si="224"/>
        <v>0.16133476197765192</v>
      </c>
      <c r="W86" s="152">
        <f t="shared" si="224"/>
        <v>0.16133476197765195</v>
      </c>
      <c r="X86" s="152">
        <f t="shared" si="224"/>
        <v>0.16133476197765195</v>
      </c>
      <c r="Y86" s="152">
        <f t="shared" si="224"/>
        <v>0.16133476197765195</v>
      </c>
      <c r="Z86" s="152">
        <f t="shared" si="224"/>
        <v>0.16133476197765195</v>
      </c>
      <c r="AA86" s="152">
        <f t="shared" si="224"/>
        <v>0.16133476197765195</v>
      </c>
      <c r="AB86" s="152">
        <f t="shared" si="224"/>
        <v>0.16133476197765195</v>
      </c>
      <c r="AC86" s="138">
        <f t="shared" si="218"/>
        <v>-3.9025341483940323E-3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25">(E40)/(E7+E10)</f>
        <v>#DIV/0!</v>
      </c>
      <c r="F87" s="152">
        <f t="shared" si="225"/>
        <v>2.1657592256503329E-2</v>
      </c>
      <c r="G87" s="152">
        <f>(G40)/(G7+G10)</f>
        <v>1.6472677056618663E-2</v>
      </c>
      <c r="H87" s="152">
        <f t="shared" ref="H87:O87" si="226">(H40)/(H7+H10)</f>
        <v>1.1585216610916211E-2</v>
      </c>
      <c r="I87" s="152">
        <f t="shared" si="226"/>
        <v>1.3736626601505746E-2</v>
      </c>
      <c r="J87" s="152">
        <f t="shared" si="226"/>
        <v>1.5535933832569576E-2</v>
      </c>
      <c r="K87" s="152">
        <f t="shared" si="226"/>
        <v>1.7388953959816201E-2</v>
      </c>
      <c r="L87" s="152">
        <f t="shared" si="226"/>
        <v>1.9109200592421341E-2</v>
      </c>
      <c r="M87" s="152">
        <f t="shared" si="226"/>
        <v>1.7277486910994764E-2</v>
      </c>
      <c r="N87" s="152">
        <f t="shared" si="226"/>
        <v>1.9634064798492494E-2</v>
      </c>
      <c r="O87" s="152">
        <f t="shared" si="226"/>
        <v>1.7096250396610613E-2</v>
      </c>
      <c r="P87" s="152">
        <f t="shared" ref="P87" si="227">(P40)/(P7+P10)</f>
        <v>1.61562279652963E-2</v>
      </c>
      <c r="Q87" s="118">
        <f t="shared" si="216"/>
        <v>-2.1529528993943226E-3</v>
      </c>
      <c r="R87" s="20"/>
      <c r="S87" s="152">
        <f t="shared" ref="S87:AB87" si="228">(S40)/(S7+S10)</f>
        <v>1.6156227965296296E-2</v>
      </c>
      <c r="T87" s="152">
        <f t="shared" si="228"/>
        <v>1.61562279652963E-2</v>
      </c>
      <c r="U87" s="152">
        <f t="shared" si="228"/>
        <v>1.61562279652963E-2</v>
      </c>
      <c r="V87" s="152">
        <f t="shared" si="228"/>
        <v>1.61562279652963E-2</v>
      </c>
      <c r="W87" s="152">
        <f t="shared" si="228"/>
        <v>1.6156227965296303E-2</v>
      </c>
      <c r="X87" s="152">
        <f t="shared" si="228"/>
        <v>1.61562279652963E-2</v>
      </c>
      <c r="Y87" s="152">
        <f t="shared" si="228"/>
        <v>1.61562279652963E-2</v>
      </c>
      <c r="Z87" s="152">
        <f t="shared" si="228"/>
        <v>1.6156227965296303E-2</v>
      </c>
      <c r="AA87" s="152">
        <f t="shared" si="228"/>
        <v>1.61562279652963E-2</v>
      </c>
      <c r="AB87" s="152">
        <f t="shared" si="228"/>
        <v>1.6156227965296303E-2</v>
      </c>
      <c r="AC87" s="138">
        <f t="shared" si="218"/>
        <v>-1.0203982239924692E-3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-1.3312883435582823</v>
      </c>
      <c r="H88" s="152">
        <f t="shared" ref="H88:P88" si="229">H20/H25</f>
        <v>-1.487106017191977</v>
      </c>
      <c r="I88" s="152">
        <f t="shared" si="229"/>
        <v>-1.7297721916732129</v>
      </c>
      <c r="J88" s="152">
        <f t="shared" si="229"/>
        <v>-1.4304594084329767</v>
      </c>
      <c r="K88" s="152">
        <f t="shared" si="229"/>
        <v>-1.7756410256410255</v>
      </c>
      <c r="L88" s="152">
        <f t="shared" si="229"/>
        <v>-1.6910093007233895</v>
      </c>
      <c r="M88" s="152">
        <f t="shared" si="229"/>
        <v>-2.7304597701149427</v>
      </c>
      <c r="N88" s="152">
        <f t="shared" si="229"/>
        <v>-2.0415589580433484</v>
      </c>
      <c r="O88" s="152">
        <f t="shared" si="229"/>
        <v>-1.8926969891095451</v>
      </c>
      <c r="P88" s="152">
        <f t="shared" si="229"/>
        <v>-1.6247095274980634</v>
      </c>
      <c r="Q88" s="118">
        <f t="shared" si="216"/>
        <v>2.2378036015684444E-2</v>
      </c>
      <c r="R88" s="20"/>
      <c r="S88" s="152">
        <f t="shared" ref="S88:AB88" si="230">S20/S25</f>
        <v>-1.6247095274980634</v>
      </c>
      <c r="T88" s="152">
        <f t="shared" si="230"/>
        <v>-1.6247095274980634</v>
      </c>
      <c r="U88" s="152">
        <f t="shared" si="230"/>
        <v>-1.6247095274980634</v>
      </c>
      <c r="V88" s="152">
        <f t="shared" si="230"/>
        <v>-1.6247095274980632</v>
      </c>
      <c r="W88" s="152">
        <f t="shared" si="230"/>
        <v>-1.6247095274980634</v>
      </c>
      <c r="X88" s="152">
        <f t="shared" si="230"/>
        <v>-1.6247095274980634</v>
      </c>
      <c r="Y88" s="152">
        <f t="shared" si="230"/>
        <v>-1.6247095274980634</v>
      </c>
      <c r="Z88" s="152">
        <f t="shared" si="230"/>
        <v>-1.6247095274980636</v>
      </c>
      <c r="AA88" s="152">
        <f t="shared" si="230"/>
        <v>-1.6247095274980636</v>
      </c>
      <c r="AB88" s="152">
        <f t="shared" si="230"/>
        <v>-1.6247095274980634</v>
      </c>
      <c r="AC88" s="138">
        <f t="shared" si="218"/>
        <v>1.0538399484496752E-2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0.6697341513292433</v>
      </c>
      <c r="H90" s="152">
        <f t="shared" ref="H90:P90" si="231">H29/H25</f>
        <v>0.65138490926456538</v>
      </c>
      <c r="I90" s="152">
        <f t="shared" si="231"/>
        <v>0.6747839748625295</v>
      </c>
      <c r="J90" s="152">
        <f t="shared" si="231"/>
        <v>0.69666456891126494</v>
      </c>
      <c r="K90" s="152">
        <f t="shared" si="231"/>
        <v>0.68406593406593408</v>
      </c>
      <c r="L90" s="152">
        <f t="shared" si="231"/>
        <v>0.69479848432655877</v>
      </c>
      <c r="M90" s="152">
        <f t="shared" si="231"/>
        <v>0.68994252873563222</v>
      </c>
      <c r="N90" s="152">
        <f t="shared" si="231"/>
        <v>0.64684827997613836</v>
      </c>
      <c r="O90" s="152">
        <f t="shared" si="231"/>
        <v>0.73526585522101218</v>
      </c>
      <c r="P90" s="152">
        <f t="shared" si="231"/>
        <v>0.76478182287632324</v>
      </c>
      <c r="Q90" s="118">
        <f t="shared" si="216"/>
        <v>1.4854779370546689E-2</v>
      </c>
      <c r="R90" s="20"/>
      <c r="S90" s="152">
        <f t="shared" ref="S90:AB90" si="232">S29/S25</f>
        <v>0.76478182287632335</v>
      </c>
      <c r="T90" s="152">
        <f t="shared" si="232"/>
        <v>0.76478182287632335</v>
      </c>
      <c r="U90" s="152">
        <f t="shared" si="232"/>
        <v>0.76478182287632335</v>
      </c>
      <c r="V90" s="152">
        <f t="shared" si="232"/>
        <v>0.76478182287632335</v>
      </c>
      <c r="W90" s="152">
        <f t="shared" si="232"/>
        <v>0.76478182287632335</v>
      </c>
      <c r="X90" s="152">
        <f t="shared" si="232"/>
        <v>0.76478182287632335</v>
      </c>
      <c r="Y90" s="152">
        <f t="shared" si="232"/>
        <v>0.76478182287632346</v>
      </c>
      <c r="Z90" s="152">
        <f t="shared" si="232"/>
        <v>0.76478182287632346</v>
      </c>
      <c r="AA90" s="152">
        <f t="shared" si="232"/>
        <v>0.76478182287632346</v>
      </c>
      <c r="AB90" s="152">
        <f t="shared" si="232"/>
        <v>0.76478182287632346</v>
      </c>
      <c r="AC90" s="138">
        <f t="shared" si="218"/>
        <v>7.0091737439714752E-3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0.76074332171893144</v>
      </c>
      <c r="H91" s="152">
        <f t="shared" ref="H91:P91" si="233">H29/H36</f>
        <v>0.78935185185185186</v>
      </c>
      <c r="I91" s="152">
        <f t="shared" si="233"/>
        <v>0.78663003663003661</v>
      </c>
      <c r="J91" s="152">
        <f t="shared" si="233"/>
        <v>0.77793394237526348</v>
      </c>
      <c r="K91" s="152">
        <f t="shared" si="233"/>
        <v>0.75113122171945701</v>
      </c>
      <c r="L91" s="152">
        <f t="shared" si="233"/>
        <v>0.74018348623853214</v>
      </c>
      <c r="M91" s="152">
        <f t="shared" si="233"/>
        <v>0.73425076452599392</v>
      </c>
      <c r="N91" s="152">
        <f t="shared" si="233"/>
        <v>0.78423336547733846</v>
      </c>
      <c r="O91" s="152">
        <f t="shared" si="233"/>
        <v>0.80108183563077995</v>
      </c>
      <c r="P91" s="152">
        <f t="shared" si="233"/>
        <v>0.81564091973013908</v>
      </c>
      <c r="Q91" s="118">
        <f t="shared" ref="Q91" si="234">((P91/G91)^(1/($H$2-$H$1) ))-1</f>
        <v>7.7720690079108312E-3</v>
      </c>
      <c r="R91" s="20"/>
      <c r="S91" s="152">
        <f t="shared" ref="S91:AB91" si="235">S29/S36</f>
        <v>0.81564091973013919</v>
      </c>
      <c r="T91" s="152">
        <f t="shared" si="235"/>
        <v>0.81564091973013919</v>
      </c>
      <c r="U91" s="152">
        <f t="shared" si="235"/>
        <v>0.81564091973013919</v>
      </c>
      <c r="V91" s="152">
        <f t="shared" si="235"/>
        <v>0.8156409197301393</v>
      </c>
      <c r="W91" s="152">
        <f t="shared" si="235"/>
        <v>0.8156409197301393</v>
      </c>
      <c r="X91" s="152">
        <f t="shared" si="235"/>
        <v>0.8156409197301393</v>
      </c>
      <c r="Y91" s="152">
        <f t="shared" si="235"/>
        <v>0.8156409197301393</v>
      </c>
      <c r="Z91" s="152">
        <f t="shared" si="235"/>
        <v>0.81564091973013919</v>
      </c>
      <c r="AA91" s="152">
        <f t="shared" si="235"/>
        <v>0.8156409197301393</v>
      </c>
      <c r="AB91" s="152">
        <f t="shared" si="235"/>
        <v>0.8156409197301393</v>
      </c>
      <c r="AC91" s="138">
        <f t="shared" ref="AC91" si="236">((AB91/G91)^(1/($AB$3-$H$1) ))-1</f>
        <v>3.6740062846920551E-3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37">G29/G40</f>
        <v>3.9221556886227544</v>
      </c>
      <c r="H92" s="171">
        <f t="shared" si="237"/>
        <v>4.802816901408451</v>
      </c>
      <c r="I92" s="171">
        <f t="shared" si="237"/>
        <v>4.1298076923076925</v>
      </c>
      <c r="J92" s="171">
        <f t="shared" si="237"/>
        <v>3.9820143884892087</v>
      </c>
      <c r="K92" s="171">
        <f t="shared" si="237"/>
        <v>3.8704663212435233</v>
      </c>
      <c r="L92" s="171">
        <f t="shared" si="237"/>
        <v>3.8128544423440456</v>
      </c>
      <c r="M92" s="171">
        <f t="shared" si="237"/>
        <v>3.6378787878787877</v>
      </c>
      <c r="N92" s="171">
        <f t="shared" si="237"/>
        <v>3.3570691434468523</v>
      </c>
      <c r="O92" s="171">
        <f t="shared" si="237"/>
        <v>5.0120087336244543</v>
      </c>
      <c r="P92" s="171">
        <f t="shared" si="237"/>
        <v>5.6204933586337757</v>
      </c>
      <c r="Q92" s="118">
        <f t="shared" ref="Q92" si="238">((P92/G92)^(1/($H$2-$H$1) ))-1</f>
        <v>4.0785103844227955E-2</v>
      </c>
      <c r="R92" s="20"/>
      <c r="S92" s="171">
        <f t="shared" ref="S92:AB92" si="239">S29/S40</f>
        <v>5.6204933586337766</v>
      </c>
      <c r="T92" s="171">
        <f t="shared" si="239"/>
        <v>5.6204933586337766</v>
      </c>
      <c r="U92" s="171">
        <f t="shared" si="239"/>
        <v>5.6204933586337766</v>
      </c>
      <c r="V92" s="171">
        <f t="shared" si="239"/>
        <v>5.6204933586337766</v>
      </c>
      <c r="W92" s="171">
        <f t="shared" si="239"/>
        <v>5.6204933586337766</v>
      </c>
      <c r="X92" s="171">
        <f t="shared" si="239"/>
        <v>5.6204933586337766</v>
      </c>
      <c r="Y92" s="171">
        <f t="shared" si="239"/>
        <v>5.6204933586337766</v>
      </c>
      <c r="Z92" s="171">
        <f t="shared" si="239"/>
        <v>5.6204933586337766</v>
      </c>
      <c r="AA92" s="171">
        <f t="shared" si="239"/>
        <v>5.6204933586337766</v>
      </c>
      <c r="AB92" s="171">
        <f t="shared" si="239"/>
        <v>5.6204933586337775</v>
      </c>
      <c r="AC92" s="138">
        <f t="shared" ref="AC92" si="240">((AB92/G92)^(1/($AB$3-$H$1) ))-1</f>
        <v>1.9116102490255971E-2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41">G29/G12</f>
        <v>1.6334164588528679</v>
      </c>
      <c r="H93" s="171">
        <f t="shared" si="241"/>
        <v>2.9781659388646289</v>
      </c>
      <c r="I93" s="171">
        <f t="shared" si="241"/>
        <v>1.7858627858627858</v>
      </c>
      <c r="J93" s="171">
        <f t="shared" si="241"/>
        <v>1.4192307692307693</v>
      </c>
      <c r="K93" s="171">
        <f t="shared" si="241"/>
        <v>4.115702479338843</v>
      </c>
      <c r="L93" s="171">
        <f t="shared" si="241"/>
        <v>15.396946564885496</v>
      </c>
      <c r="M93" s="171">
        <f t="shared" si="241"/>
        <v>8.8925925925925924</v>
      </c>
      <c r="N93" s="171">
        <f t="shared" si="241"/>
        <v>7.4269406392694064</v>
      </c>
      <c r="O93" s="171">
        <f t="shared" si="241"/>
        <v>14.039755351681958</v>
      </c>
      <c r="P93" s="171">
        <f t="shared" si="241"/>
        <v>3.8896913985554824</v>
      </c>
      <c r="Q93" s="118">
        <f t="shared" si="216"/>
        <v>0.10120630935412067</v>
      </c>
      <c r="R93" s="20"/>
      <c r="S93" s="152">
        <f t="shared" ref="S93:AB93" si="242">S29/S12</f>
        <v>3.8896913985554828</v>
      </c>
      <c r="T93" s="152">
        <f t="shared" si="242"/>
        <v>3.8896913985554828</v>
      </c>
      <c r="U93" s="152">
        <f t="shared" si="242"/>
        <v>3.8896913985554824</v>
      </c>
      <c r="V93" s="152">
        <f t="shared" si="242"/>
        <v>3.8896913985554824</v>
      </c>
      <c r="W93" s="152">
        <f t="shared" si="242"/>
        <v>3.8896913985554828</v>
      </c>
      <c r="X93" s="152">
        <f t="shared" si="242"/>
        <v>3.8896913985554824</v>
      </c>
      <c r="Y93" s="152">
        <f t="shared" si="242"/>
        <v>3.8896913985554824</v>
      </c>
      <c r="Z93" s="152">
        <f t="shared" si="242"/>
        <v>3.8896913985554824</v>
      </c>
      <c r="AA93" s="152">
        <f t="shared" si="242"/>
        <v>3.8896913985554828</v>
      </c>
      <c r="AB93" s="152">
        <f t="shared" si="242"/>
        <v>3.8896913985554833</v>
      </c>
      <c r="AC93" s="138">
        <f t="shared" si="218"/>
        <v>4.6724857462747682E-2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>
        <f>G29/G23</f>
        <v>1.6334164588528679</v>
      </c>
      <c r="H94" s="171">
        <f t="shared" ref="H94:P94" si="243">H29/H23</f>
        <v>2.9912280701754388</v>
      </c>
      <c r="I94" s="171">
        <f t="shared" si="243"/>
        <v>1.7895833333333333</v>
      </c>
      <c r="J94" s="171">
        <f t="shared" si="243"/>
        <v>1.4192307692307693</v>
      </c>
      <c r="K94" s="171">
        <f t="shared" si="243"/>
        <v>4.1270718232044201</v>
      </c>
      <c r="L94" s="171">
        <f t="shared" si="243"/>
        <v>14.940740740740742</v>
      </c>
      <c r="M94" s="171">
        <f t="shared" si="243"/>
        <v>8.9925093632958806</v>
      </c>
      <c r="N94" s="171">
        <f t="shared" si="243"/>
        <v>7.4781609195402297</v>
      </c>
      <c r="O94" s="171">
        <f t="shared" si="243"/>
        <v>18.512096774193548</v>
      </c>
      <c r="P94" s="171">
        <f t="shared" si="243"/>
        <v>4.2133712660028451</v>
      </c>
      <c r="Q94" s="118">
        <f t="shared" ref="Q94" si="244">((P94/G94)^(1/($H$2-$H$1) ))-1</f>
        <v>0.11103020711448242</v>
      </c>
      <c r="R94" s="20"/>
      <c r="S94" s="171">
        <f t="shared" ref="S94:AB94" si="245">S29/S23</f>
        <v>4.2133712660028451</v>
      </c>
      <c r="T94" s="171">
        <f t="shared" si="245"/>
        <v>4.2133712660028451</v>
      </c>
      <c r="U94" s="171">
        <f t="shared" si="245"/>
        <v>4.2133712660028451</v>
      </c>
      <c r="V94" s="171">
        <f t="shared" si="245"/>
        <v>4.2133712660028451</v>
      </c>
      <c r="W94" s="171">
        <f t="shared" si="245"/>
        <v>4.2133712660028451</v>
      </c>
      <c r="X94" s="171">
        <f t="shared" si="245"/>
        <v>4.2133712660028451</v>
      </c>
      <c r="Y94" s="171">
        <f t="shared" si="245"/>
        <v>4.2133712660028459</v>
      </c>
      <c r="Z94" s="171">
        <f t="shared" si="245"/>
        <v>4.2133712660028459</v>
      </c>
      <c r="AA94" s="171">
        <f t="shared" si="245"/>
        <v>4.2133712660028459</v>
      </c>
      <c r="AB94" s="171">
        <f t="shared" si="245"/>
        <v>4.2133712660028459</v>
      </c>
      <c r="AC94" s="138">
        <f t="shared" ref="AC94" si="246">((AB94/G94)^(1/($AB$3-$H$1) ))-1</f>
        <v>5.1137720373526596E-2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402</v>
      </c>
      <c r="C96" s="152"/>
      <c r="D96" s="152"/>
      <c r="E96" s="152"/>
      <c r="F96" s="152"/>
      <c r="G96" s="127">
        <f>1/G90</f>
        <v>1.4931297709923665</v>
      </c>
      <c r="H96" s="127">
        <f t="shared" ref="H96:P96" si="247">1/H90</f>
        <v>1.5351906158357773</v>
      </c>
      <c r="I96" s="127">
        <f t="shared" si="247"/>
        <v>1.4819557625145516</v>
      </c>
      <c r="J96" s="127">
        <f t="shared" si="247"/>
        <v>1.4354110207768744</v>
      </c>
      <c r="K96" s="127">
        <f t="shared" si="247"/>
        <v>1.4618473895582329</v>
      </c>
      <c r="L96" s="127">
        <f t="shared" si="247"/>
        <v>1.4392662369856222</v>
      </c>
      <c r="M96" s="127">
        <f t="shared" si="247"/>
        <v>1.4493960849645979</v>
      </c>
      <c r="N96" s="127">
        <f t="shared" si="247"/>
        <v>1.545957577620658</v>
      </c>
      <c r="O96" s="127">
        <f t="shared" si="247"/>
        <v>1.3600522761925506</v>
      </c>
      <c r="P96" s="127">
        <f t="shared" si="247"/>
        <v>1.3075624577987845</v>
      </c>
      <c r="Q96" s="118">
        <f t="shared" si="216"/>
        <v>-1.4637344842343136E-2</v>
      </c>
      <c r="R96" s="20"/>
      <c r="S96" s="127">
        <f t="shared" ref="S96:AB96" si="248">1/S90</f>
        <v>1.3075624577987845</v>
      </c>
      <c r="T96" s="127">
        <f t="shared" si="248"/>
        <v>1.3075624577987845</v>
      </c>
      <c r="U96" s="127">
        <f t="shared" si="248"/>
        <v>1.3075624577987845</v>
      </c>
      <c r="V96" s="127">
        <f t="shared" si="248"/>
        <v>1.3075624577987845</v>
      </c>
      <c r="W96" s="127">
        <f t="shared" si="248"/>
        <v>1.3075624577987845</v>
      </c>
      <c r="X96" s="127">
        <f t="shared" si="248"/>
        <v>1.3075624577987845</v>
      </c>
      <c r="Y96" s="127">
        <f t="shared" si="248"/>
        <v>1.3075624577987843</v>
      </c>
      <c r="Z96" s="127">
        <f t="shared" si="248"/>
        <v>1.3075624577987843</v>
      </c>
      <c r="AA96" s="127">
        <f t="shared" si="248"/>
        <v>1.3075624577987843</v>
      </c>
      <c r="AB96" s="127">
        <f t="shared" si="248"/>
        <v>1.3075624577987843</v>
      </c>
      <c r="AC96" s="138">
        <f t="shared" si="218"/>
        <v>-6.9603871808952E-3</v>
      </c>
      <c r="AD96" s="146"/>
      <c r="AE96" s="146"/>
    </row>
    <row r="97" spans="2:31" ht="12" customHeight="1" x14ac:dyDescent="0.2">
      <c r="B97" s="20" t="s">
        <v>403</v>
      </c>
      <c r="C97" s="152"/>
      <c r="D97" s="152"/>
      <c r="E97" s="152"/>
      <c r="F97" s="152"/>
      <c r="G97" s="127">
        <f t="shared" ref="G97:P100" si="249">1/G91</f>
        <v>1.3145038167938932</v>
      </c>
      <c r="H97" s="127">
        <f t="shared" si="249"/>
        <v>1.2668621700879765</v>
      </c>
      <c r="I97" s="127">
        <f t="shared" si="249"/>
        <v>1.2712456344586729</v>
      </c>
      <c r="J97" s="127">
        <f t="shared" si="249"/>
        <v>1.2854561878952124</v>
      </c>
      <c r="K97" s="127">
        <f t="shared" si="249"/>
        <v>1.3313253012048192</v>
      </c>
      <c r="L97" s="127">
        <f t="shared" si="249"/>
        <v>1.3510163609320773</v>
      </c>
      <c r="M97" s="127">
        <f t="shared" si="249"/>
        <v>1.3619325281132861</v>
      </c>
      <c r="N97" s="127">
        <f t="shared" si="249"/>
        <v>1.275130648632032</v>
      </c>
      <c r="O97" s="127">
        <f t="shared" si="249"/>
        <v>1.2483119146155521</v>
      </c>
      <c r="P97" s="127">
        <f t="shared" si="249"/>
        <v>1.2260297096556381</v>
      </c>
      <c r="Q97" s="118">
        <f t="shared" si="216"/>
        <v>-7.7121298028849372E-3</v>
      </c>
      <c r="R97" s="20"/>
      <c r="S97" s="127">
        <f t="shared" ref="S97:AB97" si="250">1/S91</f>
        <v>1.2260297096556378</v>
      </c>
      <c r="T97" s="127">
        <f t="shared" si="250"/>
        <v>1.2260297096556378</v>
      </c>
      <c r="U97" s="127">
        <f t="shared" si="250"/>
        <v>1.2260297096556378</v>
      </c>
      <c r="V97" s="127">
        <f t="shared" si="250"/>
        <v>1.2260297096556376</v>
      </c>
      <c r="W97" s="127">
        <f t="shared" si="250"/>
        <v>1.2260297096556376</v>
      </c>
      <c r="X97" s="127">
        <f t="shared" si="250"/>
        <v>1.2260297096556376</v>
      </c>
      <c r="Y97" s="127">
        <f t="shared" si="250"/>
        <v>1.2260297096556376</v>
      </c>
      <c r="Z97" s="127">
        <f t="shared" si="250"/>
        <v>1.2260297096556378</v>
      </c>
      <c r="AA97" s="127">
        <f t="shared" si="250"/>
        <v>1.2260297096556376</v>
      </c>
      <c r="AB97" s="127">
        <f t="shared" si="250"/>
        <v>1.2260297096556376</v>
      </c>
      <c r="AC97" s="138">
        <f t="shared" si="218"/>
        <v>-3.6605573738949237E-3</v>
      </c>
      <c r="AD97" s="146"/>
      <c r="AE97" s="146"/>
    </row>
    <row r="98" spans="2:31" ht="12" customHeight="1" x14ac:dyDescent="0.2">
      <c r="B98" s="20" t="s">
        <v>404</v>
      </c>
      <c r="C98" s="152"/>
      <c r="D98" s="152"/>
      <c r="E98" s="152"/>
      <c r="F98" s="152"/>
      <c r="G98" s="127">
        <f t="shared" si="249"/>
        <v>0.25496183206106871</v>
      </c>
      <c r="H98" s="127">
        <f t="shared" si="249"/>
        <v>0.20821114369501464</v>
      </c>
      <c r="I98" s="127">
        <f t="shared" si="249"/>
        <v>0.24214202561117579</v>
      </c>
      <c r="J98" s="127">
        <f t="shared" si="249"/>
        <v>0.25112917795844625</v>
      </c>
      <c r="K98" s="127">
        <f t="shared" si="249"/>
        <v>0.25836680053547523</v>
      </c>
      <c r="L98" s="127">
        <f t="shared" si="249"/>
        <v>0.26227069905800693</v>
      </c>
      <c r="M98" s="127">
        <f t="shared" si="249"/>
        <v>0.27488546438983757</v>
      </c>
      <c r="N98" s="127">
        <f t="shared" si="249"/>
        <v>0.29787888103289273</v>
      </c>
      <c r="O98" s="127">
        <f t="shared" si="249"/>
        <v>0.19952080156828578</v>
      </c>
      <c r="P98" s="127">
        <f t="shared" si="249"/>
        <v>0.17792032410533423</v>
      </c>
      <c r="Q98" s="118">
        <f t="shared" si="216"/>
        <v>-3.9186863545207062E-2</v>
      </c>
      <c r="R98" s="20"/>
      <c r="S98" s="127">
        <f t="shared" ref="S98:AB98" si="251">1/S92</f>
        <v>0.1779203241053342</v>
      </c>
      <c r="T98" s="127">
        <f t="shared" si="251"/>
        <v>0.1779203241053342</v>
      </c>
      <c r="U98" s="127">
        <f t="shared" si="251"/>
        <v>0.1779203241053342</v>
      </c>
      <c r="V98" s="127">
        <f t="shared" si="251"/>
        <v>0.1779203241053342</v>
      </c>
      <c r="W98" s="127">
        <f t="shared" si="251"/>
        <v>0.1779203241053342</v>
      </c>
      <c r="X98" s="127">
        <f t="shared" si="251"/>
        <v>0.1779203241053342</v>
      </c>
      <c r="Y98" s="127">
        <f t="shared" si="251"/>
        <v>0.1779203241053342</v>
      </c>
      <c r="Z98" s="127">
        <f t="shared" si="251"/>
        <v>0.1779203241053342</v>
      </c>
      <c r="AA98" s="127">
        <f t="shared" si="251"/>
        <v>0.1779203241053342</v>
      </c>
      <c r="AB98" s="127">
        <f t="shared" si="251"/>
        <v>0.17792032410533418</v>
      </c>
      <c r="AC98" s="138">
        <f t="shared" si="218"/>
        <v>-1.8757531593843857E-2</v>
      </c>
      <c r="AD98" s="146"/>
      <c r="AE98" s="146"/>
    </row>
    <row r="99" spans="2:31" ht="12" customHeight="1" x14ac:dyDescent="0.2">
      <c r="B99" s="20" t="s">
        <v>405</v>
      </c>
      <c r="C99" s="152"/>
      <c r="D99" s="152"/>
      <c r="E99" s="152"/>
      <c r="F99" s="152"/>
      <c r="G99" s="127">
        <f t="shared" si="249"/>
        <v>0.61221374045801524</v>
      </c>
      <c r="H99" s="127">
        <f t="shared" si="249"/>
        <v>0.33577712609970672</v>
      </c>
      <c r="I99" s="127">
        <f t="shared" si="249"/>
        <v>0.55995343422584398</v>
      </c>
      <c r="J99" s="127">
        <f t="shared" si="249"/>
        <v>0.70460704607046065</v>
      </c>
      <c r="K99" s="127">
        <f t="shared" si="249"/>
        <v>0.2429718875502008</v>
      </c>
      <c r="L99" s="127">
        <f t="shared" si="249"/>
        <v>6.494794248884482E-2</v>
      </c>
      <c r="M99" s="127">
        <f t="shared" si="249"/>
        <v>0.11245314452311538</v>
      </c>
      <c r="N99" s="127">
        <f t="shared" si="249"/>
        <v>0.13464494312941899</v>
      </c>
      <c r="O99" s="127">
        <f t="shared" si="249"/>
        <v>7.1226312350250481E-2</v>
      </c>
      <c r="P99" s="127">
        <f t="shared" si="249"/>
        <v>0.25708980418636057</v>
      </c>
      <c r="Q99" s="118">
        <f t="shared" si="216"/>
        <v>-9.1904948686209575E-2</v>
      </c>
      <c r="R99" s="20"/>
      <c r="S99" s="127">
        <f t="shared" ref="S99:AB99" si="252">1/S93</f>
        <v>0.25708980418636057</v>
      </c>
      <c r="T99" s="127">
        <f t="shared" si="252"/>
        <v>0.25708980418636057</v>
      </c>
      <c r="U99" s="127">
        <f t="shared" si="252"/>
        <v>0.25708980418636057</v>
      </c>
      <c r="V99" s="127">
        <f t="shared" si="252"/>
        <v>0.25708980418636057</v>
      </c>
      <c r="W99" s="127">
        <f t="shared" si="252"/>
        <v>0.25708980418636057</v>
      </c>
      <c r="X99" s="127">
        <f t="shared" si="252"/>
        <v>0.25708980418636057</v>
      </c>
      <c r="Y99" s="127">
        <f t="shared" si="252"/>
        <v>0.25708980418636057</v>
      </c>
      <c r="Z99" s="127">
        <f t="shared" si="252"/>
        <v>0.25708980418636057</v>
      </c>
      <c r="AA99" s="127">
        <f t="shared" si="252"/>
        <v>0.25708980418636057</v>
      </c>
      <c r="AB99" s="127">
        <f t="shared" si="252"/>
        <v>0.25708980418636052</v>
      </c>
      <c r="AC99" s="138">
        <f t="shared" si="218"/>
        <v>-4.4639101794150871E-2</v>
      </c>
      <c r="AD99" s="146"/>
      <c r="AE99" s="146"/>
    </row>
    <row r="100" spans="2:31" ht="12" customHeight="1" x14ac:dyDescent="0.2">
      <c r="B100" s="20" t="s">
        <v>406</v>
      </c>
      <c r="C100" s="152"/>
      <c r="D100" s="152"/>
      <c r="E100" s="152"/>
      <c r="F100" s="152"/>
      <c r="G100" s="127">
        <f t="shared" si="249"/>
        <v>0.61221374045801524</v>
      </c>
      <c r="H100" s="127">
        <f t="shared" si="249"/>
        <v>0.33431085043988268</v>
      </c>
      <c r="I100" s="127">
        <f t="shared" si="249"/>
        <v>0.55878928987194409</v>
      </c>
      <c r="J100" s="127">
        <f t="shared" si="249"/>
        <v>0.70460704607046065</v>
      </c>
      <c r="K100" s="127">
        <f t="shared" si="249"/>
        <v>0.24230254350736277</v>
      </c>
      <c r="L100" s="127">
        <f t="shared" si="249"/>
        <v>6.6931085770946946E-2</v>
      </c>
      <c r="M100" s="127">
        <f t="shared" si="249"/>
        <v>0.11120366513952519</v>
      </c>
      <c r="N100" s="127">
        <f t="shared" si="249"/>
        <v>0.13372271749154627</v>
      </c>
      <c r="O100" s="127">
        <f t="shared" si="249"/>
        <v>5.4018732302330646E-2</v>
      </c>
      <c r="P100" s="127">
        <f t="shared" si="249"/>
        <v>0.23733963538149899</v>
      </c>
      <c r="Q100" s="118">
        <f t="shared" si="216"/>
        <v>-9.9934462990745376E-2</v>
      </c>
      <c r="R100" s="20"/>
      <c r="S100" s="127">
        <f t="shared" ref="S100:AB100" si="253">1/S94</f>
        <v>0.23733963538149899</v>
      </c>
      <c r="T100" s="127">
        <f t="shared" si="253"/>
        <v>0.23733963538149899</v>
      </c>
      <c r="U100" s="127">
        <f t="shared" si="253"/>
        <v>0.23733963538149899</v>
      </c>
      <c r="V100" s="127">
        <f t="shared" si="253"/>
        <v>0.23733963538149899</v>
      </c>
      <c r="W100" s="127">
        <f t="shared" si="253"/>
        <v>0.23733963538149899</v>
      </c>
      <c r="X100" s="127">
        <f t="shared" si="253"/>
        <v>0.23733963538149899</v>
      </c>
      <c r="Y100" s="127">
        <f t="shared" si="253"/>
        <v>0.23733963538149894</v>
      </c>
      <c r="Z100" s="127">
        <f t="shared" si="253"/>
        <v>0.23733963538149894</v>
      </c>
      <c r="AA100" s="127">
        <f t="shared" si="253"/>
        <v>0.23733963538149894</v>
      </c>
      <c r="AB100" s="127">
        <f t="shared" si="253"/>
        <v>0.23733963538149894</v>
      </c>
      <c r="AC100" s="138">
        <f t="shared" si="218"/>
        <v>-4.8649876588345298E-2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54">F10-(F12+F13)</f>
        <v>6671</v>
      </c>
      <c r="G103" s="163">
        <f t="shared" si="254"/>
        <v>8642</v>
      </c>
      <c r="H103" s="163">
        <f t="shared" si="254"/>
        <v>10728.17</v>
      </c>
      <c r="I103" s="163">
        <f t="shared" si="254"/>
        <v>12971</v>
      </c>
      <c r="J103" s="163">
        <f t="shared" si="254"/>
        <v>15331</v>
      </c>
      <c r="K103" s="163">
        <f t="shared" si="254"/>
        <v>19188</v>
      </c>
      <c r="L103" s="163">
        <f t="shared" si="254"/>
        <v>24142</v>
      </c>
      <c r="M103" s="163">
        <f t="shared" si="254"/>
        <v>33055</v>
      </c>
      <c r="N103" s="163">
        <f t="shared" si="254"/>
        <v>43309</v>
      </c>
      <c r="O103" s="163">
        <f t="shared" si="254"/>
        <v>47370</v>
      </c>
      <c r="P103" s="163">
        <f>P10-(P12+P13)</f>
        <v>56987</v>
      </c>
      <c r="Q103" s="118">
        <f t="shared" si="216"/>
        <v>0.23315579480200332</v>
      </c>
      <c r="R103" s="20"/>
      <c r="S103" s="163">
        <f>S10-(S12+S13)</f>
        <v>63825.440000000002</v>
      </c>
      <c r="T103" s="163">
        <f t="shared" ref="T103:AB103" si="255">T10-(T12+T13)</f>
        <v>71484.492800000007</v>
      </c>
      <c r="U103" s="163">
        <f t="shared" si="255"/>
        <v>80062.63193600002</v>
      </c>
      <c r="V103" s="163">
        <f t="shared" si="255"/>
        <v>89670.147768320021</v>
      </c>
      <c r="W103" s="163">
        <f t="shared" si="255"/>
        <v>100430.56550051844</v>
      </c>
      <c r="X103" s="163">
        <f t="shared" si="255"/>
        <v>112482.23336058065</v>
      </c>
      <c r="Y103" s="163">
        <f t="shared" si="255"/>
        <v>125980.10136385035</v>
      </c>
      <c r="Z103" s="163">
        <f t="shared" si="255"/>
        <v>141097.71352751239</v>
      </c>
      <c r="AA103" s="163">
        <f t="shared" si="255"/>
        <v>158029.43915081391</v>
      </c>
      <c r="AB103" s="163">
        <f t="shared" si="255"/>
        <v>176992.97184891161</v>
      </c>
      <c r="AC103" s="138">
        <f t="shared" si="218"/>
        <v>0.17224391581888288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56">G40/G18</f>
        <v>7.0493879273955251</v>
      </c>
      <c r="H104" s="152">
        <f t="shared" si="256"/>
        <v>5.7396928051738083</v>
      </c>
      <c r="I104" s="152">
        <f t="shared" si="256"/>
        <v>8.5808580858085808</v>
      </c>
      <c r="J104" s="152">
        <f t="shared" si="256"/>
        <v>9.2666666666666675</v>
      </c>
      <c r="K104" s="152">
        <f t="shared" si="256"/>
        <v>12.866666666666667</v>
      </c>
      <c r="L104" s="152">
        <f t="shared" si="256"/>
        <v>12.022727272727273</v>
      </c>
      <c r="M104" s="152">
        <f t="shared" si="256"/>
        <v>14.666666666666666</v>
      </c>
      <c r="N104" s="152">
        <f t="shared" si="256"/>
        <v>21.533333333333335</v>
      </c>
      <c r="O104" s="152">
        <f t="shared" si="256"/>
        <v>12.547945205479452</v>
      </c>
      <c r="P104" s="152">
        <f t="shared" si="256"/>
        <v>14.438356164383562</v>
      </c>
      <c r="Q104" s="118">
        <f t="shared" si="216"/>
        <v>8.2919714354346974E-2</v>
      </c>
      <c r="R104" s="20"/>
      <c r="S104" s="152">
        <f t="shared" ref="S104:AB104" si="257">S40/S18</f>
        <v>14.438356164383562</v>
      </c>
      <c r="T104" s="152">
        <f t="shared" si="257"/>
        <v>14.438356164383562</v>
      </c>
      <c r="U104" s="152">
        <f t="shared" si="257"/>
        <v>14.438356164383562</v>
      </c>
      <c r="V104" s="152">
        <f t="shared" si="257"/>
        <v>14.438356164383562</v>
      </c>
      <c r="W104" s="152">
        <f t="shared" si="257"/>
        <v>14.438356164383562</v>
      </c>
      <c r="X104" s="152">
        <f t="shared" si="257"/>
        <v>14.438356164383562</v>
      </c>
      <c r="Y104" s="152">
        <f t="shared" si="257"/>
        <v>14.438356164383563</v>
      </c>
      <c r="Z104" s="152">
        <f t="shared" si="257"/>
        <v>14.438356164383562</v>
      </c>
      <c r="AA104" s="152">
        <f t="shared" si="257"/>
        <v>14.438356164383562</v>
      </c>
      <c r="AB104" s="152">
        <f t="shared" si="257"/>
        <v>14.438356164383562</v>
      </c>
      <c r="AC104" s="138">
        <f t="shared" si="218"/>
        <v>3.8455048754862498E-2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58">G40/G25</f>
        <v>0.17075664621676892</v>
      </c>
      <c r="H105" s="152">
        <f t="shared" si="258"/>
        <v>0.13562559694364851</v>
      </c>
      <c r="I105" s="152">
        <f t="shared" si="258"/>
        <v>0.16339355852317361</v>
      </c>
      <c r="J105" s="152">
        <f t="shared" si="258"/>
        <v>0.17495280050346129</v>
      </c>
      <c r="K105" s="152">
        <f t="shared" si="258"/>
        <v>0.17673992673992675</v>
      </c>
      <c r="L105" s="152">
        <f t="shared" si="258"/>
        <v>0.18222528418877024</v>
      </c>
      <c r="M105" s="152">
        <f t="shared" si="258"/>
        <v>0.18965517241379309</v>
      </c>
      <c r="N105" s="152">
        <f t="shared" si="258"/>
        <v>0.1926824418373434</v>
      </c>
      <c r="O105" s="152">
        <f t="shared" si="258"/>
        <v>0.14670083279948751</v>
      </c>
      <c r="P105" s="152">
        <f t="shared" si="258"/>
        <v>0.13607022979602376</v>
      </c>
      <c r="Q105" s="118">
        <f t="shared" si="216"/>
        <v>-2.4914196386847998E-2</v>
      </c>
      <c r="R105" s="20"/>
      <c r="S105" s="152">
        <f t="shared" ref="S105:AB105" si="259">S40/S25</f>
        <v>0.13607022979602376</v>
      </c>
      <c r="T105" s="152">
        <f t="shared" si="259"/>
        <v>0.13607022979602376</v>
      </c>
      <c r="U105" s="152">
        <f t="shared" si="259"/>
        <v>0.13607022979602376</v>
      </c>
      <c r="V105" s="152">
        <f t="shared" si="259"/>
        <v>0.13607022979602376</v>
      </c>
      <c r="W105" s="152">
        <f t="shared" si="259"/>
        <v>0.13607022979602376</v>
      </c>
      <c r="X105" s="152">
        <f t="shared" si="259"/>
        <v>0.13607022979602376</v>
      </c>
      <c r="Y105" s="152">
        <f t="shared" si="259"/>
        <v>0.13607022979602376</v>
      </c>
      <c r="Z105" s="152">
        <f t="shared" si="259"/>
        <v>0.13607022979602376</v>
      </c>
      <c r="AA105" s="152">
        <f t="shared" si="259"/>
        <v>0.13607022979602376</v>
      </c>
      <c r="AB105" s="152">
        <f t="shared" si="259"/>
        <v>0.13607022979602376</v>
      </c>
      <c r="AC105" s="138">
        <f t="shared" si="218"/>
        <v>-1.1879832647821775E-2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60">G25/G18</f>
        <v>41.283241874208528</v>
      </c>
      <c r="H106" s="152">
        <f t="shared" si="260"/>
        <v>42.320129345189976</v>
      </c>
      <c r="I106" s="152">
        <f t="shared" si="260"/>
        <v>52.516501650165019</v>
      </c>
      <c r="J106" s="152">
        <f t="shared" si="260"/>
        <v>52.966666666666669</v>
      </c>
      <c r="K106" s="152">
        <f t="shared" si="260"/>
        <v>72.8</v>
      </c>
      <c r="L106" s="152">
        <f t="shared" si="260"/>
        <v>65.977272727272734</v>
      </c>
      <c r="M106" s="152">
        <f t="shared" si="260"/>
        <v>77.333333333333329</v>
      </c>
      <c r="N106" s="152">
        <f t="shared" si="260"/>
        <v>111.75555555555556</v>
      </c>
      <c r="O106" s="152">
        <f t="shared" si="260"/>
        <v>85.534246575342465</v>
      </c>
      <c r="P106" s="152">
        <f>P25/P18</f>
        <v>106.10958904109589</v>
      </c>
      <c r="Q106" s="118">
        <f t="shared" si="216"/>
        <v>0.11058915055641205</v>
      </c>
      <c r="R106" s="20"/>
      <c r="S106" s="152">
        <f>S25/S18</f>
        <v>106.10958904109589</v>
      </c>
      <c r="T106" s="152">
        <f t="shared" ref="T106:AB106" si="261">T25/T18</f>
        <v>106.10958904109589</v>
      </c>
      <c r="U106" s="152">
        <f t="shared" si="261"/>
        <v>106.10958904109589</v>
      </c>
      <c r="V106" s="152">
        <f t="shared" si="261"/>
        <v>106.10958904109589</v>
      </c>
      <c r="W106" s="152">
        <f t="shared" si="261"/>
        <v>106.10958904109589</v>
      </c>
      <c r="X106" s="152">
        <f t="shared" si="261"/>
        <v>106.10958904109589</v>
      </c>
      <c r="Y106" s="152">
        <f t="shared" si="261"/>
        <v>106.10958904109589</v>
      </c>
      <c r="Z106" s="152">
        <f t="shared" si="261"/>
        <v>106.10958904109589</v>
      </c>
      <c r="AA106" s="152">
        <f t="shared" si="261"/>
        <v>106.10958904109587</v>
      </c>
      <c r="AB106" s="152">
        <f t="shared" si="261"/>
        <v>106.10958904109587</v>
      </c>
      <c r="AC106" s="138">
        <f t="shared" si="218"/>
        <v>5.0940040559605659E-2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62">E68*E42</f>
        <v>0</v>
      </c>
      <c r="F108" s="165">
        <f t="shared" si="262"/>
        <v>41.195</v>
      </c>
      <c r="G108" s="165">
        <f>G68*G42</f>
        <v>37.450000000000003</v>
      </c>
      <c r="H108" s="165">
        <f t="shared" ref="H108:P108" si="263">H68*H42</f>
        <v>42.45</v>
      </c>
      <c r="I108" s="165">
        <f t="shared" si="263"/>
        <v>50.94</v>
      </c>
      <c r="J108" s="165">
        <f t="shared" si="263"/>
        <v>67.92</v>
      </c>
      <c r="K108" s="165">
        <f t="shared" si="263"/>
        <v>84.9</v>
      </c>
      <c r="L108" s="165">
        <f t="shared" si="263"/>
        <v>110.37</v>
      </c>
      <c r="M108" s="165">
        <f t="shared" si="263"/>
        <v>142.35</v>
      </c>
      <c r="N108" s="165">
        <f t="shared" si="263"/>
        <v>166.11</v>
      </c>
      <c r="O108" s="165">
        <f t="shared" si="263"/>
        <v>181.65600000000001</v>
      </c>
      <c r="P108" s="165">
        <f t="shared" si="263"/>
        <v>191.89999999999998</v>
      </c>
      <c r="Q108" s="118">
        <f t="shared" si="216"/>
        <v>0.19907684619159238</v>
      </c>
      <c r="R108" s="20"/>
      <c r="S108" s="165">
        <f t="shared" ref="S108:AB108" si="264">S68*S42</f>
        <v>221.64449999999999</v>
      </c>
      <c r="T108" s="165">
        <f t="shared" si="264"/>
        <v>255.99939750000004</v>
      </c>
      <c r="U108" s="165">
        <f t="shared" si="264"/>
        <v>295.67930411250012</v>
      </c>
      <c r="V108" s="165">
        <f t="shared" si="264"/>
        <v>341.50959624993766</v>
      </c>
      <c r="W108" s="165">
        <f t="shared" si="264"/>
        <v>394.443583668678</v>
      </c>
      <c r="X108" s="165">
        <f t="shared" si="264"/>
        <v>455.58233913732323</v>
      </c>
      <c r="Y108" s="165">
        <f t="shared" si="264"/>
        <v>526.19760170360837</v>
      </c>
      <c r="Z108" s="165">
        <f t="shared" si="264"/>
        <v>607.75822996766772</v>
      </c>
      <c r="AA108" s="165">
        <f t="shared" si="264"/>
        <v>701.96075561265627</v>
      </c>
      <c r="AB108" s="165">
        <f t="shared" si="264"/>
        <v>810.76467273261812</v>
      </c>
      <c r="AC108" s="138">
        <f t="shared" si="218"/>
        <v>0.17567280760166426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48.198149999999998</v>
      </c>
      <c r="G109" s="165">
        <f t="shared" ref="G109:P109" si="265">(G108*0.17)+G108</f>
        <v>43.816500000000005</v>
      </c>
      <c r="H109" s="165">
        <f t="shared" si="265"/>
        <v>49.666500000000006</v>
      </c>
      <c r="I109" s="165">
        <f t="shared" si="265"/>
        <v>59.599800000000002</v>
      </c>
      <c r="J109" s="165">
        <f t="shared" si="265"/>
        <v>79.466400000000007</v>
      </c>
      <c r="K109" s="165">
        <f t="shared" si="265"/>
        <v>99.333000000000013</v>
      </c>
      <c r="L109" s="165">
        <f t="shared" si="265"/>
        <v>129.13290000000001</v>
      </c>
      <c r="M109" s="165">
        <f t="shared" si="265"/>
        <v>166.54949999999999</v>
      </c>
      <c r="N109" s="165">
        <f t="shared" si="265"/>
        <v>194.34870000000001</v>
      </c>
      <c r="O109" s="165">
        <f t="shared" si="265"/>
        <v>212.53752</v>
      </c>
      <c r="P109" s="165">
        <f t="shared" si="265"/>
        <v>224.52299999999997</v>
      </c>
      <c r="Q109" s="118">
        <f t="shared" si="216"/>
        <v>0.19907684619159238</v>
      </c>
      <c r="R109" s="20"/>
      <c r="S109" s="165">
        <f t="shared" ref="S109:AB109" si="266">(S108*0.17)+S108</f>
        <v>259.32406500000002</v>
      </c>
      <c r="T109" s="165">
        <f t="shared" si="266"/>
        <v>299.51929507500006</v>
      </c>
      <c r="U109" s="165">
        <f t="shared" si="266"/>
        <v>345.94478581162514</v>
      </c>
      <c r="V109" s="165">
        <f t="shared" si="266"/>
        <v>399.56622761242704</v>
      </c>
      <c r="W109" s="165">
        <f t="shared" si="266"/>
        <v>461.49899289235327</v>
      </c>
      <c r="X109" s="165">
        <f t="shared" si="266"/>
        <v>533.03133679066821</v>
      </c>
      <c r="Y109" s="165">
        <f t="shared" si="266"/>
        <v>615.6511939932218</v>
      </c>
      <c r="Z109" s="165">
        <f t="shared" si="266"/>
        <v>711.07712906217125</v>
      </c>
      <c r="AA109" s="165">
        <f t="shared" si="266"/>
        <v>821.29408406680784</v>
      </c>
      <c r="AB109" s="165">
        <f t="shared" si="266"/>
        <v>948.59466709716321</v>
      </c>
      <c r="AC109" s="138">
        <f t="shared" si="218"/>
        <v>0.17567280760166426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>
        <f t="shared" ref="F110:P110" si="267">F109/F40</f>
        <v>0.26926340782122904</v>
      </c>
      <c r="G110" s="152">
        <f t="shared" si="267"/>
        <v>0.26237425149700599</v>
      </c>
      <c r="H110" s="152">
        <f t="shared" si="267"/>
        <v>0.34976408450704227</v>
      </c>
      <c r="I110" s="152">
        <f t="shared" si="267"/>
        <v>0.2865375</v>
      </c>
      <c r="J110" s="152">
        <f t="shared" si="267"/>
        <v>0.28585035971223022</v>
      </c>
      <c r="K110" s="152">
        <f t="shared" si="267"/>
        <v>0.25733937823834202</v>
      </c>
      <c r="L110" s="152">
        <f t="shared" si="267"/>
        <v>0.24410756143667298</v>
      </c>
      <c r="M110" s="152">
        <f t="shared" si="267"/>
        <v>0.25234772727272725</v>
      </c>
      <c r="N110" s="152">
        <f t="shared" si="267"/>
        <v>0.20056625386996904</v>
      </c>
      <c r="O110" s="152">
        <f t="shared" si="267"/>
        <v>0.23202786026200872</v>
      </c>
      <c r="P110" s="152">
        <f t="shared" si="267"/>
        <v>0.21301992409867171</v>
      </c>
      <c r="Q110" s="118">
        <f t="shared" si="216"/>
        <v>-2.2888027340949857E-2</v>
      </c>
      <c r="R110" s="20"/>
      <c r="S110" s="152">
        <f t="shared" ref="S110:AB110" si="268">S109/S40</f>
        <v>0.21967679672675522</v>
      </c>
      <c r="T110" s="152">
        <f t="shared" si="268"/>
        <v>0.22654169662446633</v>
      </c>
      <c r="U110" s="152">
        <f t="shared" si="268"/>
        <v>0.23362112464398091</v>
      </c>
      <c r="V110" s="152">
        <f t="shared" si="268"/>
        <v>0.24092178478910531</v>
      </c>
      <c r="W110" s="152">
        <f t="shared" si="268"/>
        <v>0.24845059056376484</v>
      </c>
      <c r="X110" s="152">
        <f t="shared" si="268"/>
        <v>0.25621467151888255</v>
      </c>
      <c r="Y110" s="152">
        <f t="shared" si="268"/>
        <v>0.26422138000384759</v>
      </c>
      <c r="Z110" s="152">
        <f t="shared" si="268"/>
        <v>0.27247829812896784</v>
      </c>
      <c r="AA110" s="152">
        <f t="shared" si="268"/>
        <v>0.2809932449454981</v>
      </c>
      <c r="AB110" s="152">
        <f t="shared" si="268"/>
        <v>0.28977428385004494</v>
      </c>
      <c r="AC110" s="138">
        <f t="shared" si="218"/>
        <v>5.2416032306914495E-3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>
        <f>1-F110</f>
        <v>0.73073659217877096</v>
      </c>
      <c r="G111" s="152">
        <f>1-G110</f>
        <v>0.73762574850299401</v>
      </c>
      <c r="H111" s="152">
        <f t="shared" ref="H111:P111" si="269">1-H110</f>
        <v>0.65023591549295778</v>
      </c>
      <c r="I111" s="152">
        <f t="shared" si="269"/>
        <v>0.7134625</v>
      </c>
      <c r="J111" s="152">
        <f t="shared" si="269"/>
        <v>0.71414964028776984</v>
      </c>
      <c r="K111" s="152">
        <f t="shared" si="269"/>
        <v>0.74266062176165804</v>
      </c>
      <c r="L111" s="152">
        <f t="shared" si="269"/>
        <v>0.755892438563327</v>
      </c>
      <c r="M111" s="152">
        <f t="shared" si="269"/>
        <v>0.74765227272727275</v>
      </c>
      <c r="N111" s="152">
        <f t="shared" si="269"/>
        <v>0.79943374613003093</v>
      </c>
      <c r="O111" s="152">
        <f t="shared" si="269"/>
        <v>0.76797213973799128</v>
      </c>
      <c r="P111" s="152">
        <f t="shared" si="269"/>
        <v>0.78698007590132835</v>
      </c>
      <c r="Q111" s="118">
        <f t="shared" si="216"/>
        <v>7.2222165840947206E-3</v>
      </c>
      <c r="R111" s="20"/>
      <c r="S111" s="152">
        <f t="shared" ref="S111:AB111" si="270">1-S110</f>
        <v>0.78032320327324478</v>
      </c>
      <c r="T111" s="152">
        <f t="shared" si="270"/>
        <v>0.77345830337553367</v>
      </c>
      <c r="U111" s="152">
        <f t="shared" si="270"/>
        <v>0.76637887535601912</v>
      </c>
      <c r="V111" s="152">
        <f t="shared" si="270"/>
        <v>0.75907821521089469</v>
      </c>
      <c r="W111" s="152">
        <f t="shared" si="270"/>
        <v>0.75154940943623516</v>
      </c>
      <c r="X111" s="152">
        <f t="shared" si="270"/>
        <v>0.74378532848111745</v>
      </c>
      <c r="Y111" s="152">
        <f t="shared" si="270"/>
        <v>0.73577861999615246</v>
      </c>
      <c r="Z111" s="152">
        <f t="shared" si="270"/>
        <v>0.72752170187103216</v>
      </c>
      <c r="AA111" s="152">
        <f t="shared" si="270"/>
        <v>0.71900675505450184</v>
      </c>
      <c r="AB111" s="152">
        <f t="shared" si="270"/>
        <v>0.710225716149955</v>
      </c>
      <c r="AC111" s="138">
        <f t="shared" si="218"/>
        <v>-1.9903193424558596E-3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>
        <f>F31/F25</f>
        <v>0</v>
      </c>
      <c r="G113" s="152">
        <f>G31/G25</f>
        <v>0</v>
      </c>
      <c r="H113" s="152">
        <f t="shared" ref="H113:P113" si="271">H31/H25</f>
        <v>0</v>
      </c>
      <c r="I113" s="152">
        <f t="shared" si="271"/>
        <v>0</v>
      </c>
      <c r="J113" s="152">
        <f t="shared" si="271"/>
        <v>0</v>
      </c>
      <c r="K113" s="152">
        <f t="shared" si="271"/>
        <v>0</v>
      </c>
      <c r="L113" s="152">
        <f t="shared" si="271"/>
        <v>0</v>
      </c>
      <c r="M113" s="152">
        <f t="shared" si="271"/>
        <v>0</v>
      </c>
      <c r="N113" s="152">
        <f t="shared" si="271"/>
        <v>0</v>
      </c>
      <c r="O113" s="152">
        <f t="shared" si="271"/>
        <v>0</v>
      </c>
      <c r="P113" s="152">
        <f t="shared" si="271"/>
        <v>0</v>
      </c>
      <c r="Q113" s="118" t="e">
        <f t="shared" si="216"/>
        <v>#DIV/0!</v>
      </c>
      <c r="R113" s="20"/>
      <c r="S113" s="152">
        <f t="shared" ref="S113:AB113" si="272">S31/S25</f>
        <v>0</v>
      </c>
      <c r="T113" s="152">
        <f t="shared" si="272"/>
        <v>0</v>
      </c>
      <c r="U113" s="152">
        <f t="shared" si="272"/>
        <v>0</v>
      </c>
      <c r="V113" s="152">
        <f t="shared" si="272"/>
        <v>0</v>
      </c>
      <c r="W113" s="152">
        <f t="shared" si="272"/>
        <v>0</v>
      </c>
      <c r="X113" s="152">
        <f t="shared" si="272"/>
        <v>0</v>
      </c>
      <c r="Y113" s="152">
        <f t="shared" si="272"/>
        <v>0</v>
      </c>
      <c r="Z113" s="152">
        <f t="shared" si="272"/>
        <v>0</v>
      </c>
      <c r="AA113" s="152">
        <f t="shared" si="272"/>
        <v>0</v>
      </c>
      <c r="AB113" s="152">
        <f t="shared" si="272"/>
        <v>0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>
        <f>F32/F25</f>
        <v>0</v>
      </c>
      <c r="G114" s="152">
        <f>G32/G25</f>
        <v>0</v>
      </c>
      <c r="H114" s="152">
        <f t="shared" ref="H114:P114" si="273">H32/H25</f>
        <v>0</v>
      </c>
      <c r="I114" s="152">
        <f t="shared" si="273"/>
        <v>0</v>
      </c>
      <c r="J114" s="152">
        <f t="shared" si="273"/>
        <v>0</v>
      </c>
      <c r="K114" s="152">
        <f t="shared" si="273"/>
        <v>0</v>
      </c>
      <c r="L114" s="152">
        <f t="shared" si="273"/>
        <v>0</v>
      </c>
      <c r="M114" s="152">
        <f t="shared" si="273"/>
        <v>0</v>
      </c>
      <c r="N114" s="152">
        <f t="shared" si="273"/>
        <v>0</v>
      </c>
      <c r="O114" s="152">
        <f t="shared" si="273"/>
        <v>0</v>
      </c>
      <c r="P114" s="152">
        <f t="shared" si="273"/>
        <v>0</v>
      </c>
      <c r="Q114" s="118" t="e">
        <f t="shared" si="216"/>
        <v>#DIV/0!</v>
      </c>
      <c r="R114" s="20"/>
      <c r="S114" s="152">
        <f t="shared" ref="S114:AB114" si="274">S32/S25</f>
        <v>0</v>
      </c>
      <c r="T114" s="152">
        <f t="shared" si="274"/>
        <v>0</v>
      </c>
      <c r="U114" s="152">
        <f t="shared" si="274"/>
        <v>0</v>
      </c>
      <c r="V114" s="152">
        <f t="shared" si="274"/>
        <v>0</v>
      </c>
      <c r="W114" s="152">
        <f t="shared" si="274"/>
        <v>0</v>
      </c>
      <c r="X114" s="152">
        <f t="shared" si="274"/>
        <v>0</v>
      </c>
      <c r="Y114" s="152">
        <f t="shared" si="274"/>
        <v>0</v>
      </c>
      <c r="Z114" s="152">
        <f t="shared" si="274"/>
        <v>0</v>
      </c>
      <c r="AA114" s="152">
        <f t="shared" si="274"/>
        <v>0</v>
      </c>
      <c r="AB114" s="152">
        <f t="shared" si="274"/>
        <v>0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9.815950920245399E-2</v>
      </c>
      <c r="H116" s="152">
        <f t="shared" ref="H116:P116" si="275">H27/H25</f>
        <v>0.15186246418338109</v>
      </c>
      <c r="I116" s="152">
        <f t="shared" si="275"/>
        <v>0.11468970934799685</v>
      </c>
      <c r="J116" s="152">
        <f t="shared" si="275"/>
        <v>7.8036500943989937E-2</v>
      </c>
      <c r="K116" s="152">
        <f t="shared" si="275"/>
        <v>7.0512820512820512E-2</v>
      </c>
      <c r="L116" s="152">
        <f t="shared" si="275"/>
        <v>5.3393041681019632E-2</v>
      </c>
      <c r="M116" s="152">
        <f t="shared" si="275"/>
        <v>5.5459770114942526E-2</v>
      </c>
      <c r="N116" s="152">
        <f t="shared" si="275"/>
        <v>9.5446410817259894E-2</v>
      </c>
      <c r="O116" s="152">
        <f t="shared" si="275"/>
        <v>6.5663036515054451E-2</v>
      </c>
      <c r="P116" s="152">
        <f t="shared" si="275"/>
        <v>5.1123160340821067E-2</v>
      </c>
      <c r="Q116" s="118">
        <f t="shared" si="216"/>
        <v>-6.9919389763085316E-2</v>
      </c>
      <c r="R116" s="20"/>
      <c r="S116" s="152">
        <f t="shared" ref="S116:AB116" si="276">S27/S25</f>
        <v>5.1123160340821074E-2</v>
      </c>
      <c r="T116" s="152">
        <f t="shared" si="276"/>
        <v>5.1123160340821074E-2</v>
      </c>
      <c r="U116" s="152">
        <f t="shared" si="276"/>
        <v>5.1123160340821067E-2</v>
      </c>
      <c r="V116" s="152">
        <f t="shared" si="276"/>
        <v>5.1123160340821067E-2</v>
      </c>
      <c r="W116" s="152">
        <f t="shared" si="276"/>
        <v>5.1123160340821067E-2</v>
      </c>
      <c r="X116" s="152">
        <f t="shared" si="276"/>
        <v>5.1123160340821067E-2</v>
      </c>
      <c r="Y116" s="152">
        <f t="shared" si="276"/>
        <v>5.1123160340821067E-2</v>
      </c>
      <c r="Z116" s="152">
        <f t="shared" si="276"/>
        <v>5.1123160340821067E-2</v>
      </c>
      <c r="AA116" s="152">
        <f t="shared" si="276"/>
        <v>5.1123160340821074E-2</v>
      </c>
      <c r="AB116" s="152">
        <f t="shared" si="276"/>
        <v>5.1123160340821074E-2</v>
      </c>
      <c r="AC116" s="138">
        <f t="shared" si="218"/>
        <v>-3.3751793547701858E-2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9.6216768916155427E-3</v>
      </c>
      <c r="H117" s="152">
        <f t="shared" ref="H117:P117" si="277">H33/H25</f>
        <v>1.7765042979942695E-2</v>
      </c>
      <c r="I117" s="152">
        <f t="shared" si="277"/>
        <v>1.0997643362136685E-2</v>
      </c>
      <c r="J117" s="152">
        <f t="shared" si="277"/>
        <v>1.1013215859030838E-2</v>
      </c>
      <c r="K117" s="152">
        <f t="shared" si="277"/>
        <v>8.4706959706959701E-3</v>
      </c>
      <c r="L117" s="152">
        <f t="shared" si="277"/>
        <v>6.5449534963830519E-3</v>
      </c>
      <c r="M117" s="152">
        <f t="shared" si="277"/>
        <v>9.1954022988505746E-3</v>
      </c>
      <c r="N117" s="152">
        <f t="shared" si="277"/>
        <v>4.5734738516603696E-3</v>
      </c>
      <c r="O117" s="152">
        <f t="shared" si="277"/>
        <v>5.8456117873158233E-3</v>
      </c>
      <c r="P117" s="152">
        <f t="shared" si="277"/>
        <v>3.8471469145365353E-2</v>
      </c>
      <c r="Q117" s="118">
        <f t="shared" si="216"/>
        <v>0.16647771106198683</v>
      </c>
      <c r="R117" s="20"/>
      <c r="S117" s="152">
        <f t="shared" ref="S117:AB117" si="278">S33/S25</f>
        <v>3.8471469145365353E-2</v>
      </c>
      <c r="T117" s="152">
        <f t="shared" si="278"/>
        <v>3.8471469145365353E-2</v>
      </c>
      <c r="U117" s="152">
        <f t="shared" si="278"/>
        <v>3.8471469145365353E-2</v>
      </c>
      <c r="V117" s="152">
        <f t="shared" si="278"/>
        <v>3.8471469145365353E-2</v>
      </c>
      <c r="W117" s="152">
        <f t="shared" si="278"/>
        <v>3.847146914536536E-2</v>
      </c>
      <c r="X117" s="152">
        <f t="shared" si="278"/>
        <v>3.8471469145365353E-2</v>
      </c>
      <c r="Y117" s="152">
        <f t="shared" si="278"/>
        <v>3.847146914536536E-2</v>
      </c>
      <c r="Z117" s="152">
        <f t="shared" si="278"/>
        <v>3.847146914536536E-2</v>
      </c>
      <c r="AA117" s="152">
        <f t="shared" si="278"/>
        <v>3.8471469145365367E-2</v>
      </c>
      <c r="AB117" s="152">
        <f t="shared" si="278"/>
        <v>3.847146914536536E-2</v>
      </c>
      <c r="AC117" s="138">
        <f t="shared" si="218"/>
        <v>7.5668165764087414E-2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1.6973415132924337E-2</v>
      </c>
      <c r="H118" s="152">
        <f t="shared" ref="H118:P118" si="279">H34/H25</f>
        <v>1.6714422158548233E-2</v>
      </c>
      <c r="I118" s="152">
        <f t="shared" si="279"/>
        <v>1.9795758051846031E-2</v>
      </c>
      <c r="J118" s="152">
        <f t="shared" si="279"/>
        <v>1.6991818753933293E-2</v>
      </c>
      <c r="K118" s="152">
        <f t="shared" si="279"/>
        <v>1.6025641025641024E-2</v>
      </c>
      <c r="L118" s="152">
        <f t="shared" si="279"/>
        <v>1.5501205649328281E-2</v>
      </c>
      <c r="M118" s="152">
        <f t="shared" si="279"/>
        <v>1.4942528735632184E-2</v>
      </c>
      <c r="N118" s="152">
        <f t="shared" si="279"/>
        <v>1.4913501690196859E-2</v>
      </c>
      <c r="O118" s="152">
        <f t="shared" si="279"/>
        <v>1.2972453555413196E-2</v>
      </c>
      <c r="P118" s="152">
        <f t="shared" si="279"/>
        <v>1.2651691195455719E-2</v>
      </c>
      <c r="Q118" s="118">
        <f t="shared" si="216"/>
        <v>-3.2123539180273553E-2</v>
      </c>
      <c r="R118" s="20"/>
      <c r="S118" s="152">
        <f t="shared" ref="S118:AB118" si="280">S34/S25</f>
        <v>1.2651691195455719E-2</v>
      </c>
      <c r="T118" s="152">
        <f t="shared" si="280"/>
        <v>1.2651691195455719E-2</v>
      </c>
      <c r="U118" s="152">
        <f t="shared" si="280"/>
        <v>1.2651691195455717E-2</v>
      </c>
      <c r="V118" s="152">
        <f t="shared" si="280"/>
        <v>1.2651691195455717E-2</v>
      </c>
      <c r="W118" s="152">
        <f t="shared" si="280"/>
        <v>1.2651691195455717E-2</v>
      </c>
      <c r="X118" s="152">
        <f t="shared" si="280"/>
        <v>1.2651691195455717E-2</v>
      </c>
      <c r="Y118" s="152">
        <f t="shared" si="280"/>
        <v>1.2651691195455717E-2</v>
      </c>
      <c r="Z118" s="152">
        <f t="shared" si="280"/>
        <v>1.2651691195455717E-2</v>
      </c>
      <c r="AA118" s="152">
        <f t="shared" si="280"/>
        <v>1.2651691195455717E-2</v>
      </c>
      <c r="AB118" s="152">
        <f t="shared" si="280"/>
        <v>1.2651691195455717E-2</v>
      </c>
      <c r="AC118" s="138">
        <f t="shared" si="218"/>
        <v>-1.5347192165833468E-2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0.41007194244604317</v>
      </c>
      <c r="H121" s="25">
        <f t="shared" ref="H121:AB121" si="281">H15/H9</f>
        <v>0.37259615384615385</v>
      </c>
      <c r="I121" s="25">
        <f t="shared" si="281"/>
        <v>0.35622317596566522</v>
      </c>
      <c r="J121" s="25">
        <f t="shared" si="281"/>
        <v>0.27716535433070866</v>
      </c>
      <c r="K121" s="25">
        <f t="shared" si="281"/>
        <v>0.17973462002412546</v>
      </c>
      <c r="L121" s="25">
        <f t="shared" si="281"/>
        <v>9.8068350668647844E-2</v>
      </c>
      <c r="M121" s="25">
        <f t="shared" si="281"/>
        <v>0.15538552089464391</v>
      </c>
      <c r="N121" s="25">
        <f t="shared" si="281"/>
        <v>0.11557649667405764</v>
      </c>
      <c r="O121" s="25">
        <f t="shared" si="281"/>
        <v>3.1084985553452227E-2</v>
      </c>
      <c r="P121" s="25">
        <f t="shared" si="281"/>
        <v>0.11014774224873414</v>
      </c>
      <c r="Q121" s="118">
        <f t="shared" si="216"/>
        <v>-0.13589126798493301</v>
      </c>
      <c r="R121" s="20"/>
      <c r="S121" s="20">
        <f t="shared" si="281"/>
        <v>0.11014774224873414</v>
      </c>
      <c r="T121" s="20">
        <f t="shared" si="281"/>
        <v>0.11014774224873414</v>
      </c>
      <c r="U121" s="20">
        <f t="shared" si="281"/>
        <v>0.11014774224873414</v>
      </c>
      <c r="V121" s="20">
        <f t="shared" si="281"/>
        <v>0.11014774224873415</v>
      </c>
      <c r="W121" s="20">
        <f t="shared" si="281"/>
        <v>0.11014774224873417</v>
      </c>
      <c r="X121" s="20">
        <f t="shared" si="281"/>
        <v>0.11014774224873415</v>
      </c>
      <c r="Y121" s="20">
        <f t="shared" si="281"/>
        <v>0.11014774224873415</v>
      </c>
      <c r="Z121" s="20">
        <f t="shared" si="281"/>
        <v>0.11014774224873414</v>
      </c>
      <c r="AA121" s="20">
        <f t="shared" si="281"/>
        <v>0.11014774224873415</v>
      </c>
      <c r="AB121" s="20">
        <f t="shared" si="281"/>
        <v>0.11014774224873414</v>
      </c>
      <c r="AC121" s="138">
        <f t="shared" si="218"/>
        <v>-6.6845725672162959E-2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1.4424460431654675</v>
      </c>
      <c r="H122" s="25">
        <f t="shared" ref="H122:P122" si="282">H12/H9</f>
        <v>0.55048076923076927</v>
      </c>
      <c r="I122" s="25">
        <f t="shared" si="282"/>
        <v>1.0321888412017168</v>
      </c>
      <c r="J122" s="25">
        <f t="shared" si="282"/>
        <v>1.2283464566929134</v>
      </c>
      <c r="K122" s="25">
        <f t="shared" si="282"/>
        <v>0.43787696019300359</v>
      </c>
      <c r="L122" s="25">
        <f t="shared" si="282"/>
        <v>9.7325408618127787E-2</v>
      </c>
      <c r="M122" s="25">
        <f t="shared" si="282"/>
        <v>0.15891701000588582</v>
      </c>
      <c r="N122" s="25">
        <f t="shared" si="282"/>
        <v>0.12139689578713969</v>
      </c>
      <c r="O122" s="25">
        <f t="shared" si="282"/>
        <v>3.2579456012752812E-2</v>
      </c>
      <c r="P122" s="25">
        <f t="shared" si="282"/>
        <v>0.10563917597280988</v>
      </c>
      <c r="Q122" s="118">
        <f t="shared" si="216"/>
        <v>-0.2520744303138398</v>
      </c>
      <c r="R122" s="128"/>
      <c r="S122" s="20">
        <f t="shared" ref="S122:AB122" si="283">S12/S9</f>
        <v>0.10563917597280989</v>
      </c>
      <c r="T122" s="20">
        <f t="shared" si="283"/>
        <v>0.10563917597280989</v>
      </c>
      <c r="U122" s="20">
        <f t="shared" si="283"/>
        <v>0.1056391759728099</v>
      </c>
      <c r="V122" s="20">
        <f t="shared" si="283"/>
        <v>0.1056391759728099</v>
      </c>
      <c r="W122" s="20">
        <f t="shared" si="283"/>
        <v>0.1056391759728099</v>
      </c>
      <c r="X122" s="20">
        <f t="shared" si="283"/>
        <v>0.1056391759728099</v>
      </c>
      <c r="Y122" s="20">
        <f t="shared" si="283"/>
        <v>0.1056391759728099</v>
      </c>
      <c r="Z122" s="20">
        <f t="shared" si="283"/>
        <v>0.10563917597280989</v>
      </c>
      <c r="AA122" s="20">
        <f t="shared" si="283"/>
        <v>0.10563917597280989</v>
      </c>
      <c r="AB122" s="20">
        <f t="shared" si="283"/>
        <v>0.10563917597280988</v>
      </c>
      <c r="AC122" s="118">
        <f t="shared" ref="AC122" si="284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2.7166666666666668</v>
      </c>
      <c r="H123" s="25">
        <f t="shared" ref="H123:P123" si="285">H25/360</f>
        <v>2.9083333333333332</v>
      </c>
      <c r="I123" s="25">
        <f t="shared" si="285"/>
        <v>3.536111111111111</v>
      </c>
      <c r="J123" s="25">
        <f t="shared" si="285"/>
        <v>4.4138888888888888</v>
      </c>
      <c r="K123" s="25">
        <f t="shared" si="285"/>
        <v>6.0666666666666664</v>
      </c>
      <c r="L123" s="25">
        <f t="shared" si="285"/>
        <v>8.0638888888888882</v>
      </c>
      <c r="M123" s="25">
        <f t="shared" si="285"/>
        <v>9.6666666666666661</v>
      </c>
      <c r="N123" s="25">
        <f t="shared" si="285"/>
        <v>13.969444444444445</v>
      </c>
      <c r="O123" s="25">
        <f t="shared" si="285"/>
        <v>17.344444444444445</v>
      </c>
      <c r="P123" s="25">
        <f t="shared" si="285"/>
        <v>21.516666666666666</v>
      </c>
      <c r="Q123" s="118">
        <f t="shared" si="216"/>
        <v>0.258519209009755</v>
      </c>
      <c r="R123" s="128"/>
      <c r="S123" s="25">
        <f t="shared" ref="S123:AB123" si="286">S25/360</f>
        <v>24.098666666666666</v>
      </c>
      <c r="T123" s="25">
        <f t="shared" si="286"/>
        <v>26.990506666666668</v>
      </c>
      <c r="U123" s="25">
        <f t="shared" si="286"/>
        <v>30.229367466666677</v>
      </c>
      <c r="V123" s="25">
        <f t="shared" si="286"/>
        <v>33.856891562666682</v>
      </c>
      <c r="W123" s="25">
        <f t="shared" si="286"/>
        <v>37.919718550186687</v>
      </c>
      <c r="X123" s="25">
        <f t="shared" si="286"/>
        <v>42.470084776209092</v>
      </c>
      <c r="Y123" s="25">
        <f t="shared" si="286"/>
        <v>47.56649494935418</v>
      </c>
      <c r="Z123" s="25">
        <f t="shared" si="286"/>
        <v>53.274474343276687</v>
      </c>
      <c r="AA123" s="25">
        <f t="shared" si="286"/>
        <v>59.667411264469898</v>
      </c>
      <c r="AB123" s="25">
        <f t="shared" si="286"/>
        <v>66.827500616206294</v>
      </c>
      <c r="AC123" s="118">
        <f t="shared" ref="AC123:AC134" si="287">((AB123/S123)^(1/($H$2-$H$1) ))-1</f>
        <v>0.12000000000000011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0.26666666666666666</v>
      </c>
      <c r="H124" s="25">
        <f t="shared" ref="H124:P124" si="288">H27/360</f>
        <v>0.44166666666666665</v>
      </c>
      <c r="I124" s="25">
        <f t="shared" si="288"/>
        <v>0.40555555555555556</v>
      </c>
      <c r="J124" s="25">
        <f t="shared" si="288"/>
        <v>0.34444444444444444</v>
      </c>
      <c r="K124" s="25">
        <f t="shared" si="288"/>
        <v>0.42777777777777776</v>
      </c>
      <c r="L124" s="25">
        <f t="shared" si="288"/>
        <v>0.43055555555555558</v>
      </c>
      <c r="M124" s="25">
        <f t="shared" si="288"/>
        <v>0.53611111111111109</v>
      </c>
      <c r="N124" s="25">
        <f t="shared" si="288"/>
        <v>1.3333333333333333</v>
      </c>
      <c r="O124" s="25">
        <f t="shared" si="288"/>
        <v>1.1388888888888888</v>
      </c>
      <c r="P124" s="25">
        <f t="shared" si="288"/>
        <v>1.1000000000000001</v>
      </c>
      <c r="Q124" s="118">
        <f t="shared" si="216"/>
        <v>0.17052431391067202</v>
      </c>
      <c r="R124" s="128"/>
      <c r="S124" s="25">
        <f t="shared" ref="S124:AB124" si="289">S27/360</f>
        <v>1.2320000000000002</v>
      </c>
      <c r="T124" s="25">
        <f t="shared" si="289"/>
        <v>1.3798400000000002</v>
      </c>
      <c r="U124" s="25">
        <f t="shared" si="289"/>
        <v>1.5454208000000003</v>
      </c>
      <c r="V124" s="25">
        <f t="shared" si="289"/>
        <v>1.7308712960000006</v>
      </c>
      <c r="W124" s="25">
        <f t="shared" si="289"/>
        <v>1.9385758515200009</v>
      </c>
      <c r="X124" s="25">
        <f t="shared" si="289"/>
        <v>2.171204953702401</v>
      </c>
      <c r="Y124" s="25">
        <f t="shared" si="289"/>
        <v>2.4317495481466893</v>
      </c>
      <c r="Z124" s="25">
        <f t="shared" si="289"/>
        <v>2.7235594939242924</v>
      </c>
      <c r="AA124" s="25">
        <f t="shared" si="289"/>
        <v>3.0503866331952079</v>
      </c>
      <c r="AB124" s="25">
        <f t="shared" si="289"/>
        <v>3.4164330291786333</v>
      </c>
      <c r="AC124" s="118">
        <f t="shared" si="287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9.5494276795005195</v>
      </c>
      <c r="H126" s="25">
        <f t="shared" ref="H126:P126" si="290">H10/H7</f>
        <v>9.129752066115703</v>
      </c>
      <c r="I126" s="25">
        <f t="shared" si="290"/>
        <v>10.117474302496328</v>
      </c>
      <c r="J126" s="25">
        <f t="shared" si="290"/>
        <v>10.455825864276569</v>
      </c>
      <c r="K126" s="25">
        <f t="shared" si="290"/>
        <v>10.973031283710895</v>
      </c>
      <c r="L126" s="25">
        <f t="shared" si="290"/>
        <v>11.238284703801945</v>
      </c>
      <c r="M126" s="25">
        <f t="shared" si="290"/>
        <v>10.098198721673446</v>
      </c>
      <c r="N126" s="25">
        <f t="shared" si="290"/>
        <v>10.775948460987831</v>
      </c>
      <c r="O126" s="25">
        <f t="shared" si="290"/>
        <v>8.383362521891419</v>
      </c>
      <c r="P126" s="25">
        <f t="shared" si="290"/>
        <v>8.9859176488596351</v>
      </c>
      <c r="Q126" s="118">
        <f t="shared" si="216"/>
        <v>-6.7352798197887198E-3</v>
      </c>
      <c r="R126" s="128"/>
      <c r="S126" s="25">
        <f t="shared" ref="S126:AB126" si="291">S10/S7</f>
        <v>8.9859176488596351</v>
      </c>
      <c r="T126" s="25">
        <f t="shared" si="291"/>
        <v>8.9859176488596351</v>
      </c>
      <c r="U126" s="25">
        <f t="shared" si="291"/>
        <v>8.9859176488596351</v>
      </c>
      <c r="V126" s="25">
        <f t="shared" si="291"/>
        <v>8.9859176488596351</v>
      </c>
      <c r="W126" s="25">
        <f t="shared" si="291"/>
        <v>8.9859176488596368</v>
      </c>
      <c r="X126" s="25">
        <f t="shared" si="291"/>
        <v>8.9859176488596368</v>
      </c>
      <c r="Y126" s="25">
        <f t="shared" si="291"/>
        <v>8.9859176488596368</v>
      </c>
      <c r="Z126" s="25">
        <f t="shared" si="291"/>
        <v>8.9859176488596351</v>
      </c>
      <c r="AA126" s="25">
        <f t="shared" si="291"/>
        <v>8.9859176488596368</v>
      </c>
      <c r="AB126" s="25">
        <f t="shared" si="291"/>
        <v>8.9859176488596368</v>
      </c>
      <c r="AC126" s="118">
        <f t="shared" si="287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0.90520812783586502</v>
      </c>
      <c r="H127" s="25">
        <f t="shared" ref="H127:P127" si="292">H10/(H10+H7)</f>
        <v>0.90128090070979849</v>
      </c>
      <c r="I127" s="25">
        <f t="shared" si="292"/>
        <v>0.91005151234975568</v>
      </c>
      <c r="J127" s="25">
        <f t="shared" si="292"/>
        <v>0.91270817033642559</v>
      </c>
      <c r="K127" s="25">
        <f t="shared" si="292"/>
        <v>0.91647896206865487</v>
      </c>
      <c r="L127" s="25">
        <f t="shared" si="292"/>
        <v>0.91828920275981651</v>
      </c>
      <c r="M127" s="25">
        <f t="shared" si="292"/>
        <v>0.90989528795811514</v>
      </c>
      <c r="N127" s="25">
        <f t="shared" si="292"/>
        <v>0.91508115008206192</v>
      </c>
      <c r="O127" s="25">
        <f t="shared" si="292"/>
        <v>0.89342839545344255</v>
      </c>
      <c r="P127" s="25">
        <f t="shared" si="292"/>
        <v>0.89985897789631808</v>
      </c>
      <c r="Q127" s="118">
        <f t="shared" si="216"/>
        <v>-6.5832020634948307E-4</v>
      </c>
      <c r="R127" s="128"/>
      <c r="S127" s="25">
        <f t="shared" ref="S127:AB127" si="293">S10/(S10+S7)</f>
        <v>0.89985897789631808</v>
      </c>
      <c r="T127" s="25">
        <f t="shared" si="293"/>
        <v>0.89985897789631808</v>
      </c>
      <c r="U127" s="25">
        <f t="shared" si="293"/>
        <v>0.89985897789631808</v>
      </c>
      <c r="V127" s="25">
        <f t="shared" si="293"/>
        <v>0.89985897789631808</v>
      </c>
      <c r="W127" s="25">
        <f t="shared" si="293"/>
        <v>0.89985897789631808</v>
      </c>
      <c r="X127" s="25">
        <f t="shared" si="293"/>
        <v>0.89985897789631808</v>
      </c>
      <c r="Y127" s="25">
        <f t="shared" si="293"/>
        <v>0.89985897789631808</v>
      </c>
      <c r="Z127" s="25">
        <f t="shared" si="293"/>
        <v>0.89985897789631819</v>
      </c>
      <c r="AA127" s="25">
        <f t="shared" si="293"/>
        <v>0.89985897789631808</v>
      </c>
      <c r="AB127" s="25">
        <f t="shared" si="293"/>
        <v>0.89985897789631819</v>
      </c>
      <c r="AC127" s="118">
        <f t="shared" si="287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9980</v>
      </c>
      <c r="H129" s="25">
        <f t="shared" ref="H129:P129" si="294">H16</f>
        <v>12140</v>
      </c>
      <c r="I129" s="25">
        <f t="shared" si="294"/>
        <v>14783</v>
      </c>
      <c r="J129" s="25">
        <f t="shared" si="294"/>
        <v>17641</v>
      </c>
      <c r="K129" s="25">
        <f t="shared" si="294"/>
        <v>21366</v>
      </c>
      <c r="L129" s="25">
        <f t="shared" si="294"/>
        <v>26487</v>
      </c>
      <c r="M129" s="25">
        <f t="shared" si="294"/>
        <v>36718</v>
      </c>
      <c r="N129" s="25">
        <f t="shared" si="294"/>
        <v>47876</v>
      </c>
      <c r="O129" s="25">
        <f t="shared" si="294"/>
        <v>53319</v>
      </c>
      <c r="P129" s="25">
        <f t="shared" si="294"/>
        <v>64970</v>
      </c>
      <c r="Q129" s="118">
        <f t="shared" si="216"/>
        <v>0.23139684394148508</v>
      </c>
      <c r="R129" s="128"/>
      <c r="S129" s="25">
        <f t="shared" ref="S129:AB129" si="295">S16</f>
        <v>72766.400000000009</v>
      </c>
      <c r="T129" s="25">
        <f t="shared" si="295"/>
        <v>81498.368000000017</v>
      </c>
      <c r="U129" s="25">
        <f t="shared" si="295"/>
        <v>91278.172160000031</v>
      </c>
      <c r="V129" s="25">
        <f t="shared" si="295"/>
        <v>102231.55281920005</v>
      </c>
      <c r="W129" s="25">
        <f t="shared" si="295"/>
        <v>114499.33915750407</v>
      </c>
      <c r="X129" s="25">
        <f t="shared" si="295"/>
        <v>128239.25985640458</v>
      </c>
      <c r="Y129" s="25">
        <f t="shared" si="295"/>
        <v>143627.97103917314</v>
      </c>
      <c r="Z129" s="25">
        <f t="shared" si="295"/>
        <v>160863.32756387393</v>
      </c>
      <c r="AA129" s="25">
        <f t="shared" si="295"/>
        <v>180166.92687153883</v>
      </c>
      <c r="AB129" s="25">
        <f t="shared" si="295"/>
        <v>201786.9580961235</v>
      </c>
      <c r="AC129" s="118">
        <f t="shared" si="287"/>
        <v>0.12000000000000011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96">G129*365/G25</f>
        <v>3724.6421267893661</v>
      </c>
      <c r="H130" s="119">
        <f t="shared" si="296"/>
        <v>4232.187201528176</v>
      </c>
      <c r="I130" s="119">
        <f t="shared" si="296"/>
        <v>4238.6449332285938</v>
      </c>
      <c r="J130" s="119">
        <f t="shared" si="296"/>
        <v>4052.2120830711137</v>
      </c>
      <c r="K130" s="119">
        <f t="shared" si="296"/>
        <v>3570.782967032967</v>
      </c>
      <c r="L130" s="119">
        <f t="shared" si="296"/>
        <v>3330.2635204960384</v>
      </c>
      <c r="M130" s="119">
        <f t="shared" si="296"/>
        <v>3851.1695402298851</v>
      </c>
      <c r="N130" s="119">
        <f t="shared" si="296"/>
        <v>3474.7941936766751</v>
      </c>
      <c r="O130" s="119">
        <f t="shared" si="296"/>
        <v>3116.8217488789237</v>
      </c>
      <c r="P130" s="119">
        <f t="shared" si="296"/>
        <v>3061.4575264652726</v>
      </c>
      <c r="Q130" s="118">
        <f t="shared" si="216"/>
        <v>-2.1551013980637412E-2</v>
      </c>
      <c r="R130" s="128"/>
      <c r="S130" s="119">
        <f t="shared" ref="S130:AB130" si="297">S129*365/S25</f>
        <v>3061.4575264652726</v>
      </c>
      <c r="T130" s="119">
        <f t="shared" si="297"/>
        <v>3061.4575264652726</v>
      </c>
      <c r="U130" s="119">
        <f t="shared" si="297"/>
        <v>3061.4575264652726</v>
      </c>
      <c r="V130" s="119">
        <f t="shared" si="297"/>
        <v>3061.4575264652726</v>
      </c>
      <c r="W130" s="119">
        <f t="shared" si="297"/>
        <v>3061.4575264652726</v>
      </c>
      <c r="X130" s="119">
        <f t="shared" si="297"/>
        <v>3061.4575264652731</v>
      </c>
      <c r="Y130" s="119">
        <f t="shared" si="297"/>
        <v>3061.4575264652731</v>
      </c>
      <c r="Z130" s="119">
        <f t="shared" si="297"/>
        <v>3061.4575264652735</v>
      </c>
      <c r="AA130" s="119">
        <f t="shared" si="297"/>
        <v>3061.4575264652735</v>
      </c>
      <c r="AB130" s="119">
        <f t="shared" si="297"/>
        <v>3061.4575264652735</v>
      </c>
      <c r="AC130" s="118">
        <f t="shared" si="287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0.1755011771420418</v>
      </c>
      <c r="H131" s="133">
        <f t="shared" ref="H131:P131" si="298">H78/H29</f>
        <v>0.14921815902096308</v>
      </c>
      <c r="I131" s="133">
        <f t="shared" si="298"/>
        <v>0.14973446813411931</v>
      </c>
      <c r="J131" s="133">
        <f t="shared" si="298"/>
        <v>0.15140826712546671</v>
      </c>
      <c r="K131" s="133">
        <f t="shared" si="298"/>
        <v>0.15681098954120368</v>
      </c>
      <c r="L131" s="133">
        <f t="shared" si="298"/>
        <v>0.15913031341956152</v>
      </c>
      <c r="M131" s="133">
        <f t="shared" si="298"/>
        <v>0.14351238441657388</v>
      </c>
      <c r="N131" s="133">
        <f t="shared" si="298"/>
        <v>2.6867481007838853E-2</v>
      </c>
      <c r="O131" s="133">
        <f t="shared" si="298"/>
        <v>2.4738642778746576E-2</v>
      </c>
      <c r="P131" s="133">
        <f t="shared" si="298"/>
        <v>2.4277816032784914E-2</v>
      </c>
      <c r="Q131" s="118">
        <f t="shared" si="216"/>
        <v>-0.19731022390023834</v>
      </c>
      <c r="R131" s="128"/>
      <c r="S131" s="133">
        <f t="shared" ref="S131:AB131" si="299">S78/S29</f>
        <v>2.207074184798628E-2</v>
      </c>
      <c r="T131" s="133">
        <f t="shared" si="299"/>
        <v>2.0064310770896612E-2</v>
      </c>
      <c r="U131" s="133">
        <f t="shared" si="299"/>
        <v>1.8240282518996922E-2</v>
      </c>
      <c r="V131" s="133">
        <f t="shared" si="299"/>
        <v>1.6582075017269927E-2</v>
      </c>
      <c r="W131" s="133">
        <f t="shared" si="299"/>
        <v>1.5074613652063565E-2</v>
      </c>
      <c r="X131" s="133">
        <f t="shared" si="299"/>
        <v>1.3704194229148694E-2</v>
      </c>
      <c r="Y131" s="133">
        <f t="shared" si="299"/>
        <v>1.2458358390135177E-2</v>
      </c>
      <c r="Z131" s="133">
        <f t="shared" si="299"/>
        <v>1.1325780354668342E-2</v>
      </c>
      <c r="AA131" s="133">
        <f t="shared" si="299"/>
        <v>1.0296163958789401E-2</v>
      </c>
      <c r="AB131" s="133">
        <f t="shared" si="299"/>
        <v>9.3601490534449081E-3</v>
      </c>
      <c r="AC131" s="118">
        <f t="shared" si="287"/>
        <v>-9.090909090909105E-2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 t="e">
        <f>G25/G14</f>
        <v>#DIV/0!</v>
      </c>
      <c r="H133" s="180" t="e">
        <f t="shared" ref="H133:P133" si="300">H25/H14</f>
        <v>#DIV/0!</v>
      </c>
      <c r="I133" s="180" t="e">
        <f t="shared" si="300"/>
        <v>#DIV/0!</v>
      </c>
      <c r="J133" s="180" t="e">
        <f t="shared" si="300"/>
        <v>#DIV/0!</v>
      </c>
      <c r="K133" s="180" t="e">
        <f t="shared" si="300"/>
        <v>#DIV/0!</v>
      </c>
      <c r="L133" s="180" t="e">
        <f t="shared" si="300"/>
        <v>#DIV/0!</v>
      </c>
      <c r="M133" s="180" t="e">
        <f t="shared" si="300"/>
        <v>#DIV/0!</v>
      </c>
      <c r="N133" s="180" t="e">
        <f t="shared" si="300"/>
        <v>#DIV/0!</v>
      </c>
      <c r="O133" s="180" t="e">
        <f t="shared" si="300"/>
        <v>#DIV/0!</v>
      </c>
      <c r="P133" s="180">
        <f t="shared" si="300"/>
        <v>387300</v>
      </c>
      <c r="Q133" s="118" t="e">
        <f t="shared" si="216"/>
        <v>#DIV/0!</v>
      </c>
      <c r="R133" s="128"/>
      <c r="S133" s="20">
        <f t="shared" ref="S133" si="301">S25/S14</f>
        <v>387299.99999999994</v>
      </c>
      <c r="T133" s="20">
        <f t="shared" ref="T133:AB133" si="302">T25/T14</f>
        <v>387299.99999999994</v>
      </c>
      <c r="U133" s="20">
        <f t="shared" si="302"/>
        <v>387300</v>
      </c>
      <c r="V133" s="20">
        <f t="shared" si="302"/>
        <v>387300</v>
      </c>
      <c r="W133" s="20">
        <f t="shared" si="302"/>
        <v>387299.99999999994</v>
      </c>
      <c r="X133" s="20">
        <f t="shared" si="302"/>
        <v>387299.99999999994</v>
      </c>
      <c r="Y133" s="20">
        <f t="shared" si="302"/>
        <v>387299.99999999994</v>
      </c>
      <c r="Z133" s="20">
        <f t="shared" si="302"/>
        <v>387299.99999999994</v>
      </c>
      <c r="AA133" s="20">
        <f t="shared" si="302"/>
        <v>387299.99999999994</v>
      </c>
      <c r="AB133" s="20">
        <f t="shared" si="302"/>
        <v>387300</v>
      </c>
      <c r="AC133" s="118">
        <f t="shared" si="287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 t="e">
        <f>G27/G14</f>
        <v>#DIV/0!</v>
      </c>
      <c r="H134" s="180" t="e">
        <f t="shared" ref="H134:P134" si="303">H27/H14</f>
        <v>#DIV/0!</v>
      </c>
      <c r="I134" s="180" t="e">
        <f t="shared" si="303"/>
        <v>#DIV/0!</v>
      </c>
      <c r="J134" s="180" t="e">
        <f t="shared" si="303"/>
        <v>#DIV/0!</v>
      </c>
      <c r="K134" s="180" t="e">
        <f t="shared" si="303"/>
        <v>#DIV/0!</v>
      </c>
      <c r="L134" s="180" t="e">
        <f t="shared" si="303"/>
        <v>#DIV/0!</v>
      </c>
      <c r="M134" s="180" t="e">
        <f t="shared" si="303"/>
        <v>#DIV/0!</v>
      </c>
      <c r="N134" s="180" t="e">
        <f t="shared" si="303"/>
        <v>#DIV/0!</v>
      </c>
      <c r="O134" s="180" t="e">
        <f t="shared" si="303"/>
        <v>#DIV/0!</v>
      </c>
      <c r="P134" s="180">
        <f t="shared" si="303"/>
        <v>19800</v>
      </c>
      <c r="Q134" s="118" t="e">
        <f t="shared" si="216"/>
        <v>#DIV/0!</v>
      </c>
      <c r="R134" s="128"/>
      <c r="S134" s="20">
        <f t="shared" ref="S134:AB134" si="304">S27/S14</f>
        <v>19800</v>
      </c>
      <c r="T134" s="20">
        <f t="shared" si="304"/>
        <v>19800</v>
      </c>
      <c r="U134" s="20">
        <f t="shared" si="304"/>
        <v>19800</v>
      </c>
      <c r="V134" s="20">
        <f t="shared" si="304"/>
        <v>19800</v>
      </c>
      <c r="W134" s="20">
        <f t="shared" si="304"/>
        <v>19799.999999999996</v>
      </c>
      <c r="X134" s="20">
        <f t="shared" si="304"/>
        <v>19799.999999999996</v>
      </c>
      <c r="Y134" s="20">
        <f t="shared" si="304"/>
        <v>19799.999999999996</v>
      </c>
      <c r="Z134" s="20">
        <f t="shared" si="304"/>
        <v>19799.999999999996</v>
      </c>
      <c r="AA134" s="20">
        <f t="shared" si="304"/>
        <v>19800</v>
      </c>
      <c r="AB134" s="20">
        <f t="shared" si="304"/>
        <v>19800</v>
      </c>
      <c r="AC134" s="118">
        <f t="shared" si="287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33.302798700859576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29.955394338646204</v>
      </c>
      <c r="S138" s="133">
        <f>PV($C$1, ($AB$3-$S$3), 0, -AB52)</f>
        <v>4.174112325876929</v>
      </c>
      <c r="T138" s="133">
        <f>PV($C$1, ($AB$3-$S$3), 0, -AE52)</f>
        <v>25.781282012769275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05">S139+T139</f>
        <v>185.67228767967322</v>
      </c>
      <c r="S139" s="133">
        <f>PV($C$1, ($AB$3-$S$3), 0, -AB54)</f>
        <v>25.872367955364297</v>
      </c>
      <c r="T139" s="133">
        <f>PV($C$1, ($AB$3-$S$3), 0, -AE54)</f>
        <v>159.79991972430892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05"/>
        <v>182.8017992278676</v>
      </c>
      <c r="S140" s="133">
        <f>PV($C$1, ($AB$3-$S$3), 0, -AB55)</f>
        <v>25.472381859620892</v>
      </c>
      <c r="T140" s="133">
        <f>PV($C$1, ($AB$3-$S$3), 0, -AE55)</f>
        <v>157.32941736824671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1668.4358867649196</v>
      </c>
      <c r="S141" s="133">
        <f>PV($C$1, ($AB$3-$S$3), 0, -AB56)</f>
        <v>232.48696782789858</v>
      </c>
      <c r="T141" s="133">
        <f>PV($C$1, ($AB$3-$S$3), 0, -AE56)</f>
        <v>1435.9489189370211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43.284692199011538</v>
      </c>
      <c r="S142" s="133">
        <f>PV($C$1, ($AB$3-$S$3), 0, -AB62)</f>
        <v>6.0314735031409521</v>
      </c>
      <c r="T142" s="133">
        <f>PV($C$1, ($AB$3-$S$3), 0, -AE62)</f>
        <v>37.253218695870586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05"/>
        <v>-1482.7635990852461</v>
      </c>
      <c r="S144" s="133">
        <f>PV($C$1, ($AB$3-$S$3), 0, -AB58)</f>
        <v>-206.61459987253428</v>
      </c>
      <c r="T144" s="133">
        <f>PV($C$1, ($AB$3-$S$3), 0, -$AE$58)</f>
        <v>-1276.1489992127119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-1892.5045100722125</v>
      </c>
      <c r="S145" s="133">
        <f>PV($C$1, ($AB$3-$S$3), 0, -AB59)</f>
        <v>-263.7096448461279</v>
      </c>
      <c r="T145" s="133">
        <f>PV($C$1, ($AB$3-$S$3), 0, -$AE$59)</f>
        <v>-1628.7948652260845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-1847.3724738200581</v>
      </c>
      <c r="S146" s="133">
        <f>PV($C$1, ($AB$3-$S$3), 0, -AB60)</f>
        <v>-257.42075454869661</v>
      </c>
      <c r="T146" s="133">
        <f>PV($C$1, ($AB$3-$S$3), 0, -$AE$60)</f>
        <v>-1589.9517192713615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05"/>
        <v>45.13203625215386</v>
      </c>
      <c r="S148" s="133">
        <f>PV($C$1, ($AB$3-$S$3), 0, -AB65)</f>
        <v>6.2888902974312755</v>
      </c>
      <c r="T148" s="133">
        <f>PV($C$1, ($AB$3-$S$3), 0, -AE65)</f>
        <v>38.843145954722587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05"/>
        <v>1426.8342889896217</v>
      </c>
      <c r="S149" s="133">
        <f>PV($C$1, ($AB$3-$S$3), 0, -AB66)</f>
        <v>257.29798653911212</v>
      </c>
      <c r="T149" s="133">
        <f>PV($C$1, ($AB$3-$S$3), 0, -AE66)</f>
        <v>1169.5363024505095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5669.6018734612462</v>
      </c>
      <c r="S151" s="133">
        <f>PV($C$1, ($AB$3-$S$3), 0, -AB12)</f>
        <v>790.02649056427197</v>
      </c>
      <c r="T151" s="133">
        <f>PV($C$1, ($AB$3-$S$3), 0, -AE12)</f>
        <v>4879.5753828969746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112.26934402893558</v>
      </c>
      <c r="S152" s="140">
        <f>S151/P42</f>
        <v>15.644088922064791</v>
      </c>
      <c r="T152" s="140">
        <f>T151/P42</f>
        <v>96.625255106870782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36.011402758711753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29.62614418436452</v>
      </c>
      <c r="T155" s="133">
        <f>PV($C$1, ($AB$3-$S$3), 0, -AE68)</f>
        <v>6.3852585743472314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-227891.2446320623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-187483.36234112558</v>
      </c>
      <c r="T157" s="133">
        <f>PV($C$1, ($AB$3-$S$3), 0, -AE70)</f>
        <v>-40407.882290936723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08">S159+T159</f>
        <v>-1739.840397774957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-1431.3455887189361</v>
      </c>
      <c r="T159" s="133">
        <f>PV($C$1, ($AB$3-$S$3), 0, -AE72)</f>
        <v>-308.49480905602087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08"/>
        <v>-1736.1157156674467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-1428.2813379343336</v>
      </c>
      <c r="T160" s="133">
        <f>PV($C$1, ($AB$3-$S$3), 0, -AE73)</f>
        <v>-307.83437773311312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08"/>
        <v>-3.7246821075106129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-3.0642507846028613</v>
      </c>
      <c r="T161" s="133">
        <f>PV($C$1, ($AB$3-$S$3), 0, -AE74)</f>
        <v>-0.66043132290775175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08"/>
        <v>1719.6995241565669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1414.7759363281211</v>
      </c>
      <c r="T162" s="133">
        <f>PV($C$1, ($AB$3-$S$3), 0, -AE75)</f>
        <v>304.92358782844565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193.95937196888602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159.56802233894902</v>
      </c>
      <c r="T164" s="133">
        <f>PV($C$1, ($AB$3-$S$3), 0, -AE76)</f>
        <v>34.391349629936997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210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250</v>
      </c>
      <c r="Q166" s="20">
        <v>200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65</v>
      </c>
      <c r="G167" s="22">
        <v>150</v>
      </c>
      <c r="H167" s="22">
        <v>220</v>
      </c>
      <c r="I167" s="22">
        <v>180</v>
      </c>
      <c r="J167" s="22">
        <v>130</v>
      </c>
      <c r="K167" s="22">
        <v>230</v>
      </c>
      <c r="L167" s="22">
        <v>190</v>
      </c>
      <c r="M167" s="22">
        <v>785</v>
      </c>
      <c r="N167" s="22">
        <v>190</v>
      </c>
      <c r="O167" s="22">
        <v>245</v>
      </c>
      <c r="P167" s="22">
        <v>210</v>
      </c>
      <c r="Q167" s="118">
        <f t="shared" ref="Q167:Q172" si="309">((P167/G167)^(1/($H$2-$H$1) ))-1</f>
        <v>3.809344426552097E-2</v>
      </c>
      <c r="R167" s="31">
        <f>L2-3%</f>
        <v>0.09</v>
      </c>
      <c r="S167" s="119">
        <f t="shared" ref="S167" si="310">P167*(1+$R167)</f>
        <v>228.9</v>
      </c>
      <c r="T167" s="119">
        <f t="shared" ref="T167:AB167" si="311">S167*(1+$R167)</f>
        <v>249.50100000000003</v>
      </c>
      <c r="U167" s="119">
        <f t="shared" si="311"/>
        <v>271.95609000000007</v>
      </c>
      <c r="V167" s="119">
        <f t="shared" si="311"/>
        <v>296.43213810000009</v>
      </c>
      <c r="W167" s="119">
        <f t="shared" si="311"/>
        <v>323.11103052900012</v>
      </c>
      <c r="X167" s="119">
        <f t="shared" si="311"/>
        <v>352.19102327661017</v>
      </c>
      <c r="Y167" s="119">
        <f t="shared" si="311"/>
        <v>383.88821537150511</v>
      </c>
      <c r="Z167" s="119">
        <f t="shared" si="311"/>
        <v>418.43815475494063</v>
      </c>
      <c r="AA167" s="119">
        <f t="shared" si="311"/>
        <v>456.09758868288532</v>
      </c>
      <c r="AB167" s="119">
        <f t="shared" si="311"/>
        <v>497.14637166434505</v>
      </c>
      <c r="AC167" s="138">
        <f t="shared" ref="AC167:AC172" si="312">((AB167/G167)^(1/($AB$3-$H$1) ))-1</f>
        <v>6.5096864190959058E-2</v>
      </c>
      <c r="AD167" s="31">
        <v>0.08</v>
      </c>
      <c r="AE167" s="127">
        <f t="shared" ref="AE167:AE175" si="313">(AB167*(1+AC167))/($C$1-AD167)</f>
        <v>3782.2074393114785</v>
      </c>
    </row>
    <row r="168" spans="2:31" x14ac:dyDescent="0.2">
      <c r="B168" s="20" t="s">
        <v>361</v>
      </c>
      <c r="C168" s="25" t="e">
        <f t="shared" ref="C168:P168" si="314">C167/C49</f>
        <v>#DIV/0!</v>
      </c>
      <c r="D168" s="25" t="e">
        <f t="shared" si="314"/>
        <v>#DIV/0!</v>
      </c>
      <c r="E168" s="25" t="e">
        <f t="shared" si="314"/>
        <v>#DIV/0!</v>
      </c>
      <c r="F168" s="25">
        <f t="shared" si="314"/>
        <v>0.47777232580961726</v>
      </c>
      <c r="G168" s="25">
        <f t="shared" si="314"/>
        <v>1.1487730061349692</v>
      </c>
      <c r="H168" s="25">
        <f t="shared" si="314"/>
        <v>1.7839541547277937</v>
      </c>
      <c r="I168" s="25">
        <f t="shared" si="314"/>
        <v>1.2004713275726631</v>
      </c>
      <c r="J168" s="25">
        <f t="shared" si="314"/>
        <v>0.69458779106356205</v>
      </c>
      <c r="K168" s="25">
        <f t="shared" si="314"/>
        <v>0.89409340659340653</v>
      </c>
      <c r="L168" s="25">
        <f t="shared" si="314"/>
        <v>0.55566655184292113</v>
      </c>
      <c r="M168" s="25">
        <f t="shared" si="314"/>
        <v>2.1407040229885057</v>
      </c>
      <c r="N168" s="25">
        <f t="shared" si="314"/>
        <v>1.7930801352157486</v>
      </c>
      <c r="O168" s="25">
        <f t="shared" si="314"/>
        <v>1.979932735426009</v>
      </c>
      <c r="P168" s="25">
        <f t="shared" si="314"/>
        <v>1.3690937257939582</v>
      </c>
      <c r="Q168" s="118">
        <f t="shared" ref="Q168" si="315">((P168/G168)^(1/($H$2-$H$1) ))-1</f>
        <v>1.9686221435491591E-2</v>
      </c>
      <c r="R168" s="128"/>
      <c r="S168" s="25">
        <f t="shared" ref="S168:AB168" si="316">S167/S49</f>
        <v>1.4656637296669248</v>
      </c>
      <c r="T168" s="25">
        <f t="shared" si="316"/>
        <v>1.5690453677416458</v>
      </c>
      <c r="U168" s="25">
        <f t="shared" si="316"/>
        <v>1.6797191035019943</v>
      </c>
      <c r="V168" s="25">
        <f t="shared" si="316"/>
        <v>1.7981992902668669</v>
      </c>
      <c r="W168" s="25">
        <f t="shared" si="316"/>
        <v>1.9250365616339051</v>
      </c>
      <c r="X168" s="25">
        <f t="shared" si="316"/>
        <v>2.0608203905348685</v>
      </c>
      <c r="Y168" s="25">
        <f t="shared" si="316"/>
        <v>2.2061818287958102</v>
      </c>
      <c r="Z168" s="25">
        <f t="shared" si="316"/>
        <v>2.3617964399340861</v>
      </c>
      <c r="AA168" s="25">
        <f t="shared" si="316"/>
        <v>2.5283874388222944</v>
      </c>
      <c r="AB168" s="25">
        <f t="shared" si="316"/>
        <v>2.7067290528106529</v>
      </c>
      <c r="AC168" s="138">
        <f t="shared" ref="AC168" si="317">((AB168/G168)^(1/($AB$3-$H$1) ))-1</f>
        <v>4.6140533787054849E-2</v>
      </c>
      <c r="AD168" s="31">
        <v>0.08</v>
      </c>
      <c r="AE168" s="127">
        <f t="shared" ref="AE168" si="318">(AB168*(1+AC168))/($C$1-AD168)</f>
        <v>20.225849829459037</v>
      </c>
    </row>
    <row r="169" spans="2:31" x14ac:dyDescent="0.2">
      <c r="B169" s="20" t="s">
        <v>389</v>
      </c>
      <c r="C169" s="25" t="e">
        <f t="shared" ref="C169:P169" si="319">C167/C52</f>
        <v>#DIV/0!</v>
      </c>
      <c r="D169" s="25" t="e">
        <f t="shared" si="319"/>
        <v>#DIV/0!</v>
      </c>
      <c r="E169" s="25" t="e">
        <f t="shared" si="319"/>
        <v>#DIV/0!</v>
      </c>
      <c r="F169" s="25">
        <f t="shared" si="319"/>
        <v>2.719832402234637</v>
      </c>
      <c r="G169" s="25">
        <f t="shared" si="319"/>
        <v>6.727544910179641</v>
      </c>
      <c r="H169" s="25">
        <f t="shared" si="319"/>
        <v>13.153521126760564</v>
      </c>
      <c r="I169" s="25">
        <f t="shared" si="319"/>
        <v>7.3471153846153845</v>
      </c>
      <c r="J169" s="25">
        <f t="shared" si="319"/>
        <v>3.9701438848920865</v>
      </c>
      <c r="K169" s="25">
        <f t="shared" si="319"/>
        <v>5.058808290155441</v>
      </c>
      <c r="L169" s="25">
        <f t="shared" si="319"/>
        <v>3.0493383742911155</v>
      </c>
      <c r="M169" s="25">
        <f t="shared" si="319"/>
        <v>11.287348484848485</v>
      </c>
      <c r="N169" s="25">
        <f t="shared" si="319"/>
        <v>9.3058823529411772</v>
      </c>
      <c r="O169" s="25">
        <f t="shared" si="319"/>
        <v>13.496397379912663</v>
      </c>
      <c r="P169" s="25">
        <f t="shared" si="319"/>
        <v>10.06166982922201</v>
      </c>
      <c r="Q169" s="118">
        <f t="shared" si="309"/>
        <v>4.5739992990436518E-2</v>
      </c>
      <c r="R169" s="128"/>
      <c r="S169" s="119">
        <f t="shared" ref="S169:AB169" si="320">S167/S52</f>
        <v>10.771376897533207</v>
      </c>
      <c r="T169" s="119">
        <f t="shared" si="320"/>
        <v>11.531143660841353</v>
      </c>
      <c r="U169" s="119">
        <f t="shared" si="320"/>
        <v>12.344501115489987</v>
      </c>
      <c r="V169" s="119">
        <f t="shared" si="320"/>
        <v>13.21522931917187</v>
      </c>
      <c r="W169" s="119">
        <f t="shared" si="320"/>
        <v>14.147374958649173</v>
      </c>
      <c r="X169" s="119">
        <f t="shared" si="320"/>
        <v>15.145270156625322</v>
      </c>
      <c r="Y169" s="119">
        <f t="shared" si="320"/>
        <v>16.213552605173003</v>
      </c>
      <c r="Z169" s="119">
        <f t="shared" si="320"/>
        <v>17.357187119287886</v>
      </c>
      <c r="AA169" s="119">
        <f t="shared" si="320"/>
        <v>18.581488710737656</v>
      </c>
      <c r="AB169" s="119">
        <f t="shared" si="320"/>
        <v>19.892147289441478</v>
      </c>
      <c r="AC169" s="138">
        <f t="shared" si="312"/>
        <v>5.8717925564004236E-2</v>
      </c>
      <c r="AD169" s="31">
        <v>0.08</v>
      </c>
      <c r="AE169" s="127">
        <f t="shared" si="313"/>
        <v>150.42980652350792</v>
      </c>
    </row>
    <row r="170" spans="2:31" x14ac:dyDescent="0.2">
      <c r="B170" s="20" t="s">
        <v>258</v>
      </c>
      <c r="C170" s="25" t="e">
        <f t="shared" ref="C170:P170" si="321">C167/C55</f>
        <v>#DIV/0!</v>
      </c>
      <c r="D170" s="25" t="e">
        <f t="shared" si="321"/>
        <v>#DIV/0!</v>
      </c>
      <c r="E170" s="25" t="e">
        <f t="shared" si="321"/>
        <v>#DIV/0!</v>
      </c>
      <c r="F170" s="25">
        <f t="shared" si="321"/>
        <v>0.61940203562340967</v>
      </c>
      <c r="G170" s="25">
        <f t="shared" si="321"/>
        <v>1.2680586907449212</v>
      </c>
      <c r="H170" s="25">
        <f t="shared" si="321"/>
        <v>1.6602666666666666</v>
      </c>
      <c r="I170" s="25">
        <f t="shared" si="321"/>
        <v>1.1976489028213166</v>
      </c>
      <c r="J170" s="25">
        <f t="shared" si="321"/>
        <v>0.74725795531482742</v>
      </c>
      <c r="K170" s="25">
        <f t="shared" si="321"/>
        <v>1.1038439796495194</v>
      </c>
      <c r="L170" s="25">
        <f t="shared" si="321"/>
        <v>0.74097381717960509</v>
      </c>
      <c r="M170" s="25">
        <f t="shared" si="321"/>
        <v>2.2257693456827008</v>
      </c>
      <c r="N170" s="25">
        <f t="shared" si="321"/>
        <v>2.2015136718749999</v>
      </c>
      <c r="O170" s="25">
        <f t="shared" si="321"/>
        <v>2.204082724193261</v>
      </c>
      <c r="P170" s="25">
        <f t="shared" si="321"/>
        <v>1.6487873134328359</v>
      </c>
      <c r="Q170" s="118">
        <f t="shared" si="309"/>
        <v>2.960223302425935E-2</v>
      </c>
      <c r="R170" s="128"/>
      <c r="S170" s="119">
        <f t="shared" ref="S170:AB170" si="322">S167/S55</f>
        <v>1.7650857042910448</v>
      </c>
      <c r="T170" s="119">
        <f t="shared" si="322"/>
        <v>1.8895872852187168</v>
      </c>
      <c r="U170" s="119">
        <f t="shared" si="322"/>
        <v>2.0228706740868234</v>
      </c>
      <c r="V170" s="119">
        <f t="shared" si="322"/>
        <v>2.1655553019911613</v>
      </c>
      <c r="W170" s="119">
        <f t="shared" si="322"/>
        <v>2.318304292042324</v>
      </c>
      <c r="X170" s="119">
        <f t="shared" si="322"/>
        <v>2.4818275412131667</v>
      </c>
      <c r="Y170" s="119">
        <f t="shared" si="322"/>
        <v>2.6568850195665954</v>
      </c>
      <c r="Z170" s="119">
        <f t="shared" si="322"/>
        <v>2.8442903021967396</v>
      </c>
      <c r="AA170" s="119">
        <f t="shared" si="322"/>
        <v>3.0449143502981166</v>
      </c>
      <c r="AB170" s="119">
        <f t="shared" si="322"/>
        <v>3.2596895589352157</v>
      </c>
      <c r="AC170" s="138">
        <f t="shared" si="312"/>
        <v>5.0947178980198737E-2</v>
      </c>
      <c r="AD170" s="31">
        <v>0.08</v>
      </c>
      <c r="AE170" s="127">
        <f t="shared" si="313"/>
        <v>24.469725330815521</v>
      </c>
    </row>
    <row r="171" spans="2:31" x14ac:dyDescent="0.2">
      <c r="B171" s="20" t="s">
        <v>259</v>
      </c>
      <c r="C171" s="25" t="e">
        <f t="shared" ref="C171:P171" si="323">C167/C64</f>
        <v>#DIV/0!</v>
      </c>
      <c r="D171" s="25" t="e">
        <f t="shared" si="323"/>
        <v>#DIV/0!</v>
      </c>
      <c r="E171" s="25" t="e">
        <f t="shared" si="323"/>
        <v>#DIV/0!</v>
      </c>
      <c r="F171" s="25">
        <f t="shared" si="323"/>
        <v>0.66418826739427006</v>
      </c>
      <c r="G171" s="25">
        <f t="shared" si="323"/>
        <v>2.1000000000000005</v>
      </c>
      <c r="H171" s="25">
        <f t="shared" si="323"/>
        <v>5.8582943888592673</v>
      </c>
      <c r="I171" s="25">
        <f t="shared" si="323"/>
        <v>1.888998763906057</v>
      </c>
      <c r="J171" s="25">
        <f t="shared" si="323"/>
        <v>1.1025974025974026</v>
      </c>
      <c r="K171" s="25">
        <f t="shared" si="323"/>
        <v>1.6891868512110726</v>
      </c>
      <c r="L171" s="25">
        <f t="shared" si="323"/>
        <v>1.2612197028928851</v>
      </c>
      <c r="M171" s="25">
        <f t="shared" si="323"/>
        <v>4.3744274809160313</v>
      </c>
      <c r="N171" s="25">
        <f t="shared" si="323"/>
        <v>4.8663788451160279</v>
      </c>
      <c r="O171" s="25">
        <f t="shared" si="323"/>
        <v>24.774949899799601</v>
      </c>
      <c r="P171" s="25">
        <f t="shared" si="323"/>
        <v>6.1728754365541327</v>
      </c>
      <c r="Q171" s="118">
        <f t="shared" si="309"/>
        <v>0.12727480914842815</v>
      </c>
      <c r="R171" s="128"/>
      <c r="S171" s="119">
        <f t="shared" ref="S171:AB171" si="324">S167/S64</f>
        <v>6.6082836146682187</v>
      </c>
      <c r="T171" s="119">
        <f t="shared" si="324"/>
        <v>7.0744036196314237</v>
      </c>
      <c r="U171" s="119">
        <f t="shared" si="324"/>
        <v>7.5734017320875706</v>
      </c>
      <c r="V171" s="119">
        <f t="shared" si="324"/>
        <v>8.1075970328330325</v>
      </c>
      <c r="W171" s="119">
        <f t="shared" si="324"/>
        <v>8.6794721806846482</v>
      </c>
      <c r="X171" s="119">
        <f t="shared" si="324"/>
        <v>9.291684950572229</v>
      </c>
      <c r="Y171" s="119">
        <f t="shared" si="324"/>
        <v>9.9470805854786608</v>
      </c>
      <c r="Z171" s="119">
        <f t="shared" si="324"/>
        <v>10.648705019632962</v>
      </c>
      <c r="AA171" s="119">
        <f t="shared" si="324"/>
        <v>11.399819034410646</v>
      </c>
      <c r="AB171" s="119">
        <f t="shared" si="324"/>
        <v>12.203913412730685</v>
      </c>
      <c r="AC171" s="138">
        <f t="shared" si="312"/>
        <v>9.7047049753497205E-2</v>
      </c>
      <c r="AD171" s="31">
        <v>0.08</v>
      </c>
      <c r="AE171" s="127">
        <f t="shared" si="313"/>
        <v>95.630480034880932</v>
      </c>
    </row>
    <row r="172" spans="2:31" x14ac:dyDescent="0.2">
      <c r="B172" s="20" t="s">
        <v>260</v>
      </c>
      <c r="C172" s="25" t="e">
        <f t="shared" ref="C172:P172" si="325">C167/C66</f>
        <v>#DIV/0!</v>
      </c>
      <c r="D172" s="25" t="e">
        <f t="shared" si="325"/>
        <v>#DIV/0!</v>
      </c>
      <c r="E172" s="25" t="e">
        <f t="shared" si="325"/>
        <v>#DIV/0!</v>
      </c>
      <c r="F172" s="25">
        <f t="shared" si="325"/>
        <v>6.1215893373569731E-2</v>
      </c>
      <c r="G172" s="25">
        <f t="shared" si="325"/>
        <v>0.11257515030060121</v>
      </c>
      <c r="H172" s="25">
        <f t="shared" si="325"/>
        <v>0.15385502471169687</v>
      </c>
      <c r="I172" s="25">
        <f t="shared" si="325"/>
        <v>0.10337549888385308</v>
      </c>
      <c r="J172" s="25">
        <f t="shared" si="325"/>
        <v>6.2564480471628603E-2</v>
      </c>
      <c r="K172" s="25">
        <f t="shared" si="325"/>
        <v>9.1392867172142664E-2</v>
      </c>
      <c r="L172" s="25">
        <f t="shared" si="325"/>
        <v>6.0901574357231848E-2</v>
      </c>
      <c r="M172" s="25">
        <f t="shared" si="325"/>
        <v>0.2028882292063838</v>
      </c>
      <c r="N172" s="25">
        <f t="shared" si="325"/>
        <v>0.18834906842676916</v>
      </c>
      <c r="O172" s="25">
        <f t="shared" si="325"/>
        <v>0.23186293816463172</v>
      </c>
      <c r="P172" s="25">
        <f t="shared" si="325"/>
        <v>0.16322918269970757</v>
      </c>
      <c r="Q172" s="118">
        <f t="shared" si="309"/>
        <v>4.2145513977070115E-2</v>
      </c>
      <c r="R172" s="128"/>
      <c r="S172" s="119">
        <f t="shared" ref="S172:AB172" si="326">S167/S66</f>
        <v>0.17474266969370481</v>
      </c>
      <c r="T172" s="119">
        <f t="shared" si="326"/>
        <v>0.1870682687167429</v>
      </c>
      <c r="U172" s="119">
        <f t="shared" si="326"/>
        <v>0.20026326267087036</v>
      </c>
      <c r="V172" s="119">
        <f t="shared" si="326"/>
        <v>0.21438897494854778</v>
      </c>
      <c r="W172" s="119">
        <f t="shared" si="326"/>
        <v>0.22951105443152572</v>
      </c>
      <c r="X172" s="119">
        <f t="shared" si="326"/>
        <v>0.24569978059232089</v>
      </c>
      <c r="Y172" s="119">
        <f t="shared" si="326"/>
        <v>0.26303039011624352</v>
      </c>
      <c r="Z172" s="119">
        <f t="shared" si="326"/>
        <v>0.28158342656194285</v>
      </c>
      <c r="AA172" s="119">
        <f t="shared" si="326"/>
        <v>0.3014451146855085</v>
      </c>
      <c r="AB172" s="119">
        <f t="shared" si="326"/>
        <v>0.32270776116778993</v>
      </c>
      <c r="AC172" s="138">
        <f t="shared" si="312"/>
        <v>5.6992585299747045E-2</v>
      </c>
      <c r="AD172" s="31">
        <v>0.08</v>
      </c>
      <c r="AE172" s="127">
        <f t="shared" si="313"/>
        <v>2.4364265055216823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27">G167/G60</f>
        <v>-0.13406921241050118</v>
      </c>
      <c r="H173" s="182">
        <f t="shared" si="327"/>
        <v>-0.18496732026143792</v>
      </c>
      <c r="I173" s="182">
        <f t="shared" si="327"/>
        <v>-0.12016040257902186</v>
      </c>
      <c r="J173" s="182">
        <f t="shared" si="327"/>
        <v>-7.2473570162190568E-2</v>
      </c>
      <c r="K173" s="182">
        <f t="shared" si="327"/>
        <v>-0.10186228482003129</v>
      </c>
      <c r="L173" s="182">
        <f t="shared" si="327"/>
        <v>-6.6183892011652243E-2</v>
      </c>
      <c r="M173" s="182">
        <f t="shared" si="327"/>
        <v>-0.22746328356386067</v>
      </c>
      <c r="N173" s="182">
        <f t="shared" si="327"/>
        <v>-0.20418912186948054</v>
      </c>
      <c r="O173" s="182">
        <f t="shared" si="327"/>
        <v>-0.2382757690232056</v>
      </c>
      <c r="P173" s="182">
        <f t="shared" si="327"/>
        <v>-0.16315133613329028</v>
      </c>
      <c r="Q173" s="118">
        <f t="shared" ref="Q173:Q175" si="328">((P173/G173)^(1/($H$2-$H$1) ))-1</f>
        <v>2.2053214590791459E-2</v>
      </c>
      <c r="R173" s="128"/>
      <c r="S173" s="135">
        <f t="shared" ref="S173:AB173" si="329">S167/S60</f>
        <v>-0.17465933216412061</v>
      </c>
      <c r="T173" s="135">
        <f t="shared" si="329"/>
        <v>-0.18697905291498268</v>
      </c>
      <c r="U173" s="135">
        <f t="shared" si="329"/>
        <v>-0.2001677539688074</v>
      </c>
      <c r="V173" s="135">
        <f t="shared" si="329"/>
        <v>-0.21428672947196431</v>
      </c>
      <c r="W173" s="135">
        <f t="shared" si="329"/>
        <v>-0.22940159699721896</v>
      </c>
      <c r="X173" s="135">
        <f t="shared" si="329"/>
        <v>-0.24558260249970143</v>
      </c>
      <c r="Y173" s="135">
        <f t="shared" si="329"/>
        <v>-0.26290494678316245</v>
      </c>
      <c r="Z173" s="135">
        <f t="shared" si="329"/>
        <v>-0.28144913499376062</v>
      </c>
      <c r="AA173" s="135">
        <f t="shared" si="329"/>
        <v>-0.30130135076564196</v>
      </c>
      <c r="AB173" s="135">
        <f t="shared" si="329"/>
        <v>-0.32255385675714709</v>
      </c>
      <c r="AC173" s="138">
        <f t="shared" ref="AC173" si="330">((AB173/G173)^(1/($AB$3-$H$1) ))-1</f>
        <v>4.7290127354272293E-2</v>
      </c>
      <c r="AD173" s="31">
        <v>0.08</v>
      </c>
      <c r="AE173" s="127">
        <f t="shared" si="313"/>
        <v>-2.4129104980128875</v>
      </c>
    </row>
    <row r="174" spans="2:31" x14ac:dyDescent="0.2">
      <c r="B174" s="20" t="s">
        <v>371</v>
      </c>
      <c r="C174" s="161" t="e">
        <f t="shared" ref="C174:P174" si="331">C52/C167</f>
        <v>#DIV/0!</v>
      </c>
      <c r="D174" s="161" t="e">
        <f t="shared" si="331"/>
        <v>#DIV/0!</v>
      </c>
      <c r="E174" s="161" t="e">
        <f t="shared" si="331"/>
        <v>#DIV/0!</v>
      </c>
      <c r="F174" s="161">
        <f t="shared" si="331"/>
        <v>0.36766971346410598</v>
      </c>
      <c r="G174" s="161">
        <f t="shared" si="331"/>
        <v>0.14864263462394303</v>
      </c>
      <c r="H174" s="161">
        <f t="shared" si="331"/>
        <v>7.6025270371560122E-2</v>
      </c>
      <c r="I174" s="161">
        <f t="shared" si="331"/>
        <v>0.13610783928805131</v>
      </c>
      <c r="J174" s="161">
        <f t="shared" si="331"/>
        <v>0.25188003986590557</v>
      </c>
      <c r="K174" s="161">
        <f t="shared" si="331"/>
        <v>0.19767501408306445</v>
      </c>
      <c r="L174" s="161">
        <f t="shared" si="331"/>
        <v>0.32793999132105883</v>
      </c>
      <c r="M174" s="161">
        <f t="shared" si="331"/>
        <v>8.8594766197069658E-2</v>
      </c>
      <c r="N174" s="161">
        <f t="shared" si="331"/>
        <v>0.10745891276864727</v>
      </c>
      <c r="O174" s="161">
        <f t="shared" si="331"/>
        <v>7.4093846813398367E-2</v>
      </c>
      <c r="P174" s="161">
        <f t="shared" si="331"/>
        <v>9.9387081565299393E-2</v>
      </c>
      <c r="Q174" s="118">
        <f t="shared" si="328"/>
        <v>-4.3739355190611673E-2</v>
      </c>
      <c r="R174" s="128"/>
      <c r="S174" s="161">
        <f t="shared" ref="S174:AB174" si="332">S52/S167</f>
        <v>9.283864166233137E-2</v>
      </c>
      <c r="T174" s="161">
        <f t="shared" si="332"/>
        <v>8.6721666940626455E-2</v>
      </c>
      <c r="U174" s="161">
        <f t="shared" si="332"/>
        <v>8.1007728918683589E-2</v>
      </c>
      <c r="V174" s="161">
        <f t="shared" si="332"/>
        <v>7.5670272217619364E-2</v>
      </c>
      <c r="W174" s="161">
        <f t="shared" si="332"/>
        <v>7.0684491145732845E-2</v>
      </c>
      <c r="X174" s="161">
        <f t="shared" si="332"/>
        <v>6.6027214414696223E-2</v>
      </c>
      <c r="Y174" s="161">
        <f t="shared" si="332"/>
        <v>6.1676797451592803E-2</v>
      </c>
      <c r="Z174" s="161">
        <f t="shared" si="332"/>
        <v>5.7613021806325215E-2</v>
      </c>
      <c r="AA174" s="161">
        <f t="shared" si="332"/>
        <v>5.3817001186892609E-2</v>
      </c>
      <c r="AB174" s="161">
        <f t="shared" si="332"/>
        <v>5.0271093685837952E-2</v>
      </c>
      <c r="AC174" s="138">
        <f t="shared" ref="AC174:AC175" si="333">((AB174/G174)^(1/($AB$3-$H$1) ))-1</f>
        <v>-5.546135013509268E-2</v>
      </c>
      <c r="AD174" s="31">
        <v>0.08</v>
      </c>
      <c r="AE174" s="127">
        <f t="shared" si="313"/>
        <v>0.33916422112324029</v>
      </c>
    </row>
    <row r="175" spans="2:31" x14ac:dyDescent="0.2">
      <c r="B175" s="20" t="s">
        <v>320</v>
      </c>
      <c r="C175" s="152" t="e">
        <f t="shared" ref="C175:P175" si="334">C43/C167</f>
        <v>#DIV/0!</v>
      </c>
      <c r="D175" s="152" t="e">
        <f t="shared" si="334"/>
        <v>#DIV/0!</v>
      </c>
      <c r="E175" s="152" t="e">
        <f t="shared" si="334"/>
        <v>#DIV/0!</v>
      </c>
      <c r="F175" s="152">
        <f t="shared" si="334"/>
        <v>8.461538461538462E-2</v>
      </c>
      <c r="G175" s="152">
        <f t="shared" si="334"/>
        <v>3.3333333333333333E-2</v>
      </c>
      <c r="H175" s="152">
        <f t="shared" si="334"/>
        <v>2.2727272727272728E-2</v>
      </c>
      <c r="I175" s="152">
        <f t="shared" si="334"/>
        <v>3.3333333333333333E-2</v>
      </c>
      <c r="J175" s="152">
        <f t="shared" si="334"/>
        <v>6.1538461538461542E-2</v>
      </c>
      <c r="K175" s="152">
        <f t="shared" si="334"/>
        <v>4.3478260869565216E-2</v>
      </c>
      <c r="L175" s="152">
        <f t="shared" si="334"/>
        <v>6.8421052631578952E-2</v>
      </c>
      <c r="M175" s="152">
        <f t="shared" si="334"/>
        <v>1.9108280254777069E-2</v>
      </c>
      <c r="N175" s="152">
        <f t="shared" si="334"/>
        <v>1.8421052631578946E-2</v>
      </c>
      <c r="O175" s="152">
        <f t="shared" si="334"/>
        <v>1.4693877551020409E-2</v>
      </c>
      <c r="P175" s="152">
        <f t="shared" si="334"/>
        <v>1.8095238095238095E-2</v>
      </c>
      <c r="Q175" s="118">
        <f t="shared" si="328"/>
        <v>-6.5626274974083354E-2</v>
      </c>
      <c r="R175" s="128"/>
      <c r="S175" s="152">
        <f t="shared" ref="S175:AB175" si="335">S43/S167</f>
        <v>1.7431192660550456E-2</v>
      </c>
      <c r="T175" s="152">
        <f t="shared" si="335"/>
        <v>1.6791515865667871E-2</v>
      </c>
      <c r="U175" s="152">
        <f t="shared" si="335"/>
        <v>1.6175313448579139E-2</v>
      </c>
      <c r="V175" s="152">
        <f t="shared" si="335"/>
        <v>1.5581723964227613E-2</v>
      </c>
      <c r="W175" s="152">
        <f t="shared" si="335"/>
        <v>1.5009917580219257E-2</v>
      </c>
      <c r="X175" s="152">
        <f t="shared" si="335"/>
        <v>1.4459094916724972E-2</v>
      </c>
      <c r="Y175" s="152">
        <f t="shared" si="335"/>
        <v>1.3928485928955249E-2</v>
      </c>
      <c r="Z175" s="152">
        <f t="shared" si="335"/>
        <v>1.3417348830644962E-2</v>
      </c>
      <c r="AA175" s="152">
        <f t="shared" si="335"/>
        <v>1.2924969057043312E-2</v>
      </c>
      <c r="AB175" s="152">
        <f t="shared" si="335"/>
        <v>1.2450658265959154E-2</v>
      </c>
      <c r="AC175" s="138">
        <f t="shared" si="333"/>
        <v>-5.0510453296447766E-2</v>
      </c>
      <c r="AD175" s="31">
        <v>0.08</v>
      </c>
      <c r="AE175" s="127">
        <f t="shared" si="313"/>
        <v>8.4441213379331359E-2</v>
      </c>
    </row>
    <row r="176" spans="2:31" x14ac:dyDescent="0.2">
      <c r="B176" s="20" t="s">
        <v>428</v>
      </c>
      <c r="C176" s="181" t="e">
        <f t="shared" ref="C176:O176" si="336">(C169)/($L$2*100)</f>
        <v>#DIV/0!</v>
      </c>
      <c r="D176" s="181" t="e">
        <f t="shared" si="336"/>
        <v>#DIV/0!</v>
      </c>
      <c r="E176" s="181" t="e">
        <f t="shared" si="336"/>
        <v>#DIV/0!</v>
      </c>
      <c r="F176" s="181">
        <f t="shared" si="336"/>
        <v>0.22665270018621975</v>
      </c>
      <c r="G176" s="181">
        <f t="shared" si="336"/>
        <v>0.56062874251497008</v>
      </c>
      <c r="H176" s="181">
        <f t="shared" si="336"/>
        <v>1.0961267605633804</v>
      </c>
      <c r="I176" s="181">
        <f t="shared" si="336"/>
        <v>0.61225961538461537</v>
      </c>
      <c r="J176" s="181">
        <f t="shared" si="336"/>
        <v>0.33084532374100722</v>
      </c>
      <c r="K176" s="181">
        <f t="shared" si="336"/>
        <v>0.42156735751295343</v>
      </c>
      <c r="L176" s="181">
        <f t="shared" si="336"/>
        <v>0.25411153119092628</v>
      </c>
      <c r="M176" s="181">
        <f t="shared" si="336"/>
        <v>0.94061237373737372</v>
      </c>
      <c r="N176" s="181">
        <f t="shared" si="336"/>
        <v>0.77549019607843139</v>
      </c>
      <c r="O176" s="181">
        <f t="shared" si="336"/>
        <v>1.1246997816593887</v>
      </c>
      <c r="P176" s="181">
        <f>(P169)/($L$2*100)</f>
        <v>0.83847248576850086</v>
      </c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202" t="s">
        <v>351</v>
      </c>
      <c r="L178" s="203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0.82851712972042013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9.7970117800955148</v>
      </c>
      <c r="N180" s="20"/>
      <c r="O180" s="20"/>
      <c r="P180" s="128">
        <f>(P167-R146)/P167</f>
        <v>9.7970117800955148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0.11584624914441324</v>
      </c>
      <c r="N181" s="20"/>
      <c r="O181" s="20"/>
      <c r="P181" s="128">
        <f>(P167-R139)/P167</f>
        <v>0.11584624914441324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0.46538407605268772</v>
      </c>
      <c r="N182" s="20"/>
      <c r="O182" s="20"/>
      <c r="P182" s="128">
        <f>(P167-R152)/P167</f>
        <v>0.46538407605268772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399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7.6383943005304683E-2</v>
      </c>
      <c r="N183" s="20"/>
      <c r="O183" s="20"/>
      <c r="P183" s="128">
        <f>(P167-R164)/P167</f>
        <v>7.6383943005304683E-2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7.0104234858652399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407</v>
      </c>
      <c r="AD184" s="115" t="s">
        <v>408</v>
      </c>
      <c r="AE184" s="115" t="s">
        <v>409</v>
      </c>
      <c r="AF184" s="115" t="s">
        <v>410</v>
      </c>
      <c r="AG184" s="115" t="s">
        <v>411</v>
      </c>
      <c r="AH184" s="115" t="s">
        <v>412</v>
      </c>
      <c r="AI184" s="115" t="s">
        <v>413</v>
      </c>
      <c r="AJ184" s="115" t="s">
        <v>414</v>
      </c>
      <c r="AK184" s="115" t="s">
        <v>415</v>
      </c>
      <c r="AL184" s="115" t="s">
        <v>416</v>
      </c>
      <c r="AM184" s="115" t="s">
        <v>417</v>
      </c>
      <c r="AN184" s="115" t="s">
        <v>418</v>
      </c>
      <c r="AO184" s="115" t="s">
        <v>419</v>
      </c>
      <c r="AP184" s="115" t="s">
        <v>420</v>
      </c>
      <c r="AQ184" s="115" t="s">
        <v>421</v>
      </c>
      <c r="AR184" s="115" t="s">
        <v>422</v>
      </c>
      <c r="AS184" s="115" t="s">
        <v>423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0.1426447349459343</v>
      </c>
      <c r="Q185" s="20"/>
      <c r="R185" s="20"/>
      <c r="S185" s="185">
        <f>P167-S186</f>
        <v>175.03206136409744</v>
      </c>
      <c r="T185" s="185">
        <f>S185-T186</f>
        <v>138.31572579639976</v>
      </c>
      <c r="U185" s="185">
        <f t="shared" ref="U185:W185" si="337">T185-U186</f>
        <v>99.763573450317182</v>
      </c>
      <c r="V185" s="185">
        <f t="shared" si="337"/>
        <v>59.283813486930477</v>
      </c>
      <c r="W185" s="185">
        <f t="shared" si="337"/>
        <v>16.780065525374432</v>
      </c>
      <c r="X185" s="185">
        <f>W185-X186</f>
        <v>-27.848869834259418</v>
      </c>
      <c r="Y185" s="185">
        <f t="shared" ref="Y185:AB185" si="338">X185-Y186</f>
        <v>-74.709251961874969</v>
      </c>
      <c r="Z185" s="185">
        <f t="shared" si="338"/>
        <v>-123.91265319587129</v>
      </c>
      <c r="AA185" s="185">
        <f t="shared" si="338"/>
        <v>-175.57622449156742</v>
      </c>
      <c r="AB185" s="185">
        <f t="shared" si="338"/>
        <v>-229.82297435204836</v>
      </c>
      <c r="AC185" s="185">
        <f t="shared" ref="AC185" si="339">AB185-AC186</f>
        <v>-286.78206170555336</v>
      </c>
      <c r="AD185" s="185">
        <f t="shared" ref="AD185" si="340">AC185-AD186</f>
        <v>-346.58910342673363</v>
      </c>
      <c r="AE185" s="185">
        <f t="shared" ref="AE185" si="341">AD185-AE186</f>
        <v>-409.38649723397288</v>
      </c>
      <c r="AF185" s="185">
        <f t="shared" ref="AF185" si="342">AE185-AF186</f>
        <v>-475.32376073157411</v>
      </c>
      <c r="AG185" s="185">
        <f t="shared" ref="AG185" si="343">AF185-AG186</f>
        <v>-544.55788740405546</v>
      </c>
      <c r="AH185" s="185">
        <f t="shared" ref="AH185" si="344">AG185-AH186</f>
        <v>-617.25372041016078</v>
      </c>
      <c r="AI185" s="185">
        <f t="shared" ref="AI185" si="345">AH185-AI186</f>
        <v>-693.58434506657136</v>
      </c>
      <c r="AJ185" s="185">
        <f t="shared" ref="AJ185" si="346">AI185-AJ186</f>
        <v>-773.73150095580252</v>
      </c>
      <c r="AK185" s="185">
        <f t="shared" ref="AK185" si="347">AJ185-AK186</f>
        <v>-857.88601463949522</v>
      </c>
      <c r="AL185" s="185">
        <f t="shared" ref="AL185" si="348">AK185-AL186</f>
        <v>-946.24825400737257</v>
      </c>
      <c r="AM185" s="185">
        <f t="shared" ref="AM185" si="349">AL185-AM186</f>
        <v>-1039.0286053436439</v>
      </c>
      <c r="AN185" s="185">
        <f t="shared" ref="AN185" si="350">AM185-AN186</f>
        <v>-1136.4479742467288</v>
      </c>
      <c r="AO185" s="185">
        <f t="shared" ref="AO185" si="351">AN185-AO186</f>
        <v>-1238.7383115949679</v>
      </c>
      <c r="AP185" s="185">
        <f t="shared" ref="AP185" si="352">AO185-AP186</f>
        <v>-1346.1431658106189</v>
      </c>
      <c r="AQ185" s="185">
        <f t="shared" ref="AQ185" si="353">AP185-AQ186</f>
        <v>-1458.9182627370526</v>
      </c>
      <c r="AR185" s="185">
        <f t="shared" ref="AR185" si="354">AQ185-AR186</f>
        <v>-1577.332114509808</v>
      </c>
      <c r="AS185" s="185">
        <f t="shared" ref="AS185" si="355">AR185-AS186</f>
        <v>-1701.666658871201</v>
      </c>
    </row>
    <row r="186" spans="2:45" x14ac:dyDescent="0.2">
      <c r="B186" s="20" t="s">
        <v>396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>
        <v>5</v>
      </c>
      <c r="N186" s="20"/>
      <c r="O186" s="20"/>
      <c r="P186" s="181">
        <f>P167/Q137</f>
        <v>6.3057763368872575</v>
      </c>
      <c r="Q186" s="20"/>
      <c r="R186" s="20"/>
      <c r="S186" s="186">
        <f>Q137*(1+$K$186)</f>
        <v>34.967938635902556</v>
      </c>
      <c r="T186" s="186">
        <f>S186*(1+$K$186)</f>
        <v>36.716335567697683</v>
      </c>
      <c r="U186" s="186">
        <f t="shared" ref="U186:AB186" si="356">T186*(1+$K$186)</f>
        <v>38.552152346082572</v>
      </c>
      <c r="V186" s="186">
        <f t="shared" si="356"/>
        <v>40.479759963386705</v>
      </c>
      <c r="W186" s="186">
        <f t="shared" si="356"/>
        <v>42.503747961556044</v>
      </c>
      <c r="X186" s="186">
        <f t="shared" si="356"/>
        <v>44.62893535963385</v>
      </c>
      <c r="Y186" s="186">
        <f t="shared" si="356"/>
        <v>46.860382127615544</v>
      </c>
      <c r="Z186" s="186">
        <f t="shared" si="356"/>
        <v>49.203401233996324</v>
      </c>
      <c r="AA186" s="186">
        <f t="shared" si="356"/>
        <v>51.663571295696144</v>
      </c>
      <c r="AB186" s="186">
        <f t="shared" si="356"/>
        <v>54.246749860480953</v>
      </c>
      <c r="AC186" s="186">
        <f t="shared" ref="AC186" si="357">AB186*(1+$K$186)</f>
        <v>56.959087353505005</v>
      </c>
      <c r="AD186" s="186">
        <f t="shared" ref="AD186" si="358">AC186*(1+$K$186)</f>
        <v>59.807041721180255</v>
      </c>
      <c r="AE186" s="186">
        <f t="shared" ref="AE186" si="359">AD186*(1+$K$186)</f>
        <v>62.797393807239267</v>
      </c>
      <c r="AF186" s="186">
        <f t="shared" ref="AF186" si="360">AE186*(1+$K$186)</f>
        <v>65.937263497601236</v>
      </c>
      <c r="AG186" s="186">
        <f t="shared" ref="AG186" si="361">AF186*(1+$K$186)</f>
        <v>69.234126672481295</v>
      </c>
      <c r="AH186" s="186">
        <f t="shared" ref="AH186" si="362">AG186*(1+$K$186)</f>
        <v>72.69583300610536</v>
      </c>
      <c r="AI186" s="186">
        <f t="shared" ref="AI186" si="363">AH186*(1+$K$186)</f>
        <v>76.330624656410635</v>
      </c>
      <c r="AJ186" s="186">
        <f t="shared" ref="AJ186" si="364">AI186*(1+$K$186)</f>
        <v>80.147155889231172</v>
      </c>
      <c r="AK186" s="186">
        <f t="shared" ref="AK186" si="365">AJ186*(1+$K$186)</f>
        <v>84.154513683692741</v>
      </c>
      <c r="AL186" s="186">
        <f t="shared" ref="AL186" si="366">AK186*(1+$K$186)</f>
        <v>88.362239367877379</v>
      </c>
      <c r="AM186" s="186">
        <f t="shared" ref="AM186" si="367">AL186*(1+$K$186)</f>
        <v>92.780351336271252</v>
      </c>
      <c r="AN186" s="186">
        <f t="shared" ref="AN186" si="368">AM186*(1+$K$186)</f>
        <v>97.419368903084816</v>
      </c>
      <c r="AO186" s="186">
        <f t="shared" ref="AO186" si="369">AN186*(1+$K$186)</f>
        <v>102.29033734823906</v>
      </c>
      <c r="AP186" s="186">
        <f t="shared" ref="AP186" si="370">AO186*(1+$K$186)</f>
        <v>107.40485421565103</v>
      </c>
      <c r="AQ186" s="186">
        <f t="shared" ref="AQ186" si="371">AP186*(1+$K$186)</f>
        <v>112.77509692643359</v>
      </c>
      <c r="AR186" s="186">
        <f t="shared" ref="AR186" si="372">AQ186*(1+$K$186)</f>
        <v>118.41385177275528</v>
      </c>
      <c r="AS186" s="186">
        <f t="shared" ref="AS186" si="373">AR186*(1+$K$186)</f>
        <v>124.33454436139304</v>
      </c>
    </row>
    <row r="187" spans="2:45" x14ac:dyDescent="0.2">
      <c r="B187" s="20" t="s">
        <v>395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>
        <v>7</v>
      </c>
      <c r="N187" s="20"/>
      <c r="O187" s="20"/>
      <c r="P187" s="181">
        <f>P167/P52</f>
        <v>10.06166982922201</v>
      </c>
      <c r="Q187" s="20"/>
      <c r="R187" s="20"/>
      <c r="S187" s="186">
        <f>P52*(1+$K$187)</f>
        <v>21.914851485148517</v>
      </c>
      <c r="T187" s="186">
        <f>S187*(1+$K$187)</f>
        <v>23.010594059405943</v>
      </c>
      <c r="U187" s="186">
        <f t="shared" ref="U187:AB187" si="374">T187*(1+$K$187)</f>
        <v>24.161123762376242</v>
      </c>
      <c r="V187" s="186">
        <f t="shared" si="374"/>
        <v>25.369179950495056</v>
      </c>
      <c r="W187" s="186">
        <f t="shared" si="374"/>
        <v>26.637638948019809</v>
      </c>
      <c r="X187" s="186">
        <f t="shared" si="374"/>
        <v>27.9695208954208</v>
      </c>
      <c r="Y187" s="186">
        <f t="shared" si="374"/>
        <v>29.367996940191841</v>
      </c>
      <c r="Z187" s="186">
        <f t="shared" si="374"/>
        <v>30.836396787201434</v>
      </c>
      <c r="AA187" s="186">
        <f t="shared" si="374"/>
        <v>32.378216626561503</v>
      </c>
      <c r="AB187" s="186">
        <f t="shared" si="374"/>
        <v>33.997127457889583</v>
      </c>
      <c r="AC187" s="186">
        <f t="shared" ref="AC187" si="375">AB187*(1+$K$187)</f>
        <v>35.696983830784063</v>
      </c>
      <c r="AD187" s="186">
        <f t="shared" ref="AD187" si="376">AC187*(1+$K$187)</f>
        <v>37.481833022323265</v>
      </c>
      <c r="AE187" s="186">
        <f t="shared" ref="AE187" si="377">AD187*(1+$K$187)</f>
        <v>39.355924673439432</v>
      </c>
      <c r="AF187" s="186">
        <f t="shared" ref="AF187" si="378">AE187*(1+$K$187)</f>
        <v>41.323720907111408</v>
      </c>
      <c r="AG187" s="186">
        <f t="shared" ref="AG187" si="379">AF187*(1+$K$187)</f>
        <v>43.38990695246698</v>
      </c>
      <c r="AH187" s="186">
        <f t="shared" ref="AH187" si="380">AG187*(1+$K$187)</f>
        <v>45.559402300090333</v>
      </c>
      <c r="AI187" s="186">
        <f t="shared" ref="AI187" si="381">AH187*(1+$K$187)</f>
        <v>47.837372415094855</v>
      </c>
      <c r="AJ187" s="186">
        <f t="shared" ref="AJ187" si="382">AI187*(1+$K$187)</f>
        <v>50.229241035849597</v>
      </c>
      <c r="AK187" s="186">
        <f t="shared" ref="AK187" si="383">AJ187*(1+$K$187)</f>
        <v>52.740703087642082</v>
      </c>
      <c r="AL187" s="186">
        <f t="shared" ref="AL187" si="384">AK187*(1+$K$187)</f>
        <v>55.377738242024186</v>
      </c>
      <c r="AM187" s="186">
        <f t="shared" ref="AM187" si="385">AL187*(1+$K$187)</f>
        <v>58.146625154125395</v>
      </c>
      <c r="AN187" s="186">
        <f t="shared" ref="AN187" si="386">AM187*(1+$K$187)</f>
        <v>61.05395641183167</v>
      </c>
      <c r="AO187" s="186">
        <f t="shared" ref="AO187" si="387">AN187*(1+$K$187)</f>
        <v>64.106654232423253</v>
      </c>
      <c r="AP187" s="186">
        <f t="shared" ref="AP187" si="388">AO187*(1+$K$187)</f>
        <v>67.311986944044421</v>
      </c>
      <c r="AQ187" s="186">
        <f t="shared" ref="AQ187" si="389">AP187*(1+$K$187)</f>
        <v>70.677586291246641</v>
      </c>
      <c r="AR187" s="186">
        <f t="shared" ref="AR187" si="390">AQ187*(1+$K$187)</f>
        <v>74.211465605808982</v>
      </c>
      <c r="AS187" s="186">
        <f t="shared" ref="AS187" si="391">AR187*(1+$K$187)</f>
        <v>77.922038886099429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188.08514851485148</v>
      </c>
      <c r="T188" s="185">
        <f>S188-T187</f>
        <v>165.07455445544554</v>
      </c>
      <c r="U188" s="185">
        <f t="shared" ref="U188:Z188" si="392">T188-U187</f>
        <v>140.9134306930693</v>
      </c>
      <c r="V188" s="185">
        <f t="shared" si="392"/>
        <v>115.54425074257425</v>
      </c>
      <c r="W188" s="185">
        <f t="shared" si="392"/>
        <v>88.906611794554436</v>
      </c>
      <c r="X188" s="185">
        <f t="shared" si="392"/>
        <v>60.937090899133636</v>
      </c>
      <c r="Y188" s="185">
        <f t="shared" si="392"/>
        <v>31.569093958941796</v>
      </c>
      <c r="Z188" s="185">
        <f t="shared" si="392"/>
        <v>0.73269717174036231</v>
      </c>
      <c r="AA188" s="185">
        <f>Z188-AA187</f>
        <v>-31.645519454821141</v>
      </c>
      <c r="AB188" s="185">
        <f t="shared" ref="AB188" si="393">AA188-AB187</f>
        <v>-65.642646912710717</v>
      </c>
      <c r="AC188" s="185">
        <f t="shared" ref="AC188" si="394">AB188-AC187</f>
        <v>-101.33963074349478</v>
      </c>
      <c r="AD188" s="185">
        <f t="shared" ref="AD188" si="395">AC188-AD187</f>
        <v>-138.82146376581804</v>
      </c>
      <c r="AE188" s="185">
        <f t="shared" ref="AE188" si="396">AD188-AE187</f>
        <v>-178.17738843925747</v>
      </c>
      <c r="AF188" s="185">
        <f t="shared" ref="AF188" si="397">AE188-AF187</f>
        <v>-219.50110934636888</v>
      </c>
      <c r="AG188" s="185">
        <f t="shared" ref="AG188" si="398">AF188-AG187</f>
        <v>-262.89101629883584</v>
      </c>
      <c r="AH188" s="185">
        <f t="shared" ref="AH188" si="399">AG188-AH187</f>
        <v>-308.45041859892615</v>
      </c>
      <c r="AI188" s="185">
        <f t="shared" ref="AI188" si="400">AH188-AI187</f>
        <v>-356.28779101402102</v>
      </c>
      <c r="AJ188" s="185">
        <f t="shared" ref="AJ188" si="401">AI188-AJ187</f>
        <v>-406.51703204987064</v>
      </c>
      <c r="AK188" s="185">
        <f t="shared" ref="AK188" si="402">AJ188-AK187</f>
        <v>-459.25773513751273</v>
      </c>
      <c r="AL188" s="185">
        <f t="shared" ref="AL188" si="403">AK188-AL187</f>
        <v>-514.63547337953696</v>
      </c>
      <c r="AM188" s="185">
        <f t="shared" ref="AM188" si="404">AL188-AM187</f>
        <v>-572.78209853366241</v>
      </c>
      <c r="AN188" s="185">
        <f t="shared" ref="AN188" si="405">AM188-AN187</f>
        <v>-633.83605494549408</v>
      </c>
      <c r="AO188" s="185">
        <f t="shared" ref="AO188" si="406">AN188-AO187</f>
        <v>-697.94270917791732</v>
      </c>
      <c r="AP188" s="185">
        <f t="shared" ref="AP188" si="407">AO188-AP187</f>
        <v>-765.25469612196173</v>
      </c>
      <c r="AQ188" s="185">
        <f t="shared" ref="AQ188" si="408">AP188-AQ187</f>
        <v>-835.93228241320833</v>
      </c>
      <c r="AR188" s="185">
        <f t="shared" ref="AR188" si="409">AQ188-AR187</f>
        <v>-910.14374801901727</v>
      </c>
      <c r="AS188" s="185">
        <f t="shared" ref="AS188" si="410">AR188-AS187</f>
        <v>-988.06578690511674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1">C10/C7</f>
        <v>#DIV/0!</v>
      </c>
      <c r="D190" s="25" t="e">
        <f t="shared" si="411"/>
        <v>#DIV/0!</v>
      </c>
      <c r="E190" s="25" t="e">
        <f t="shared" si="411"/>
        <v>#DIV/0!</v>
      </c>
      <c r="F190" s="25">
        <f t="shared" si="411"/>
        <v>8.5993031358885013</v>
      </c>
      <c r="G190" s="25">
        <f t="shared" si="411"/>
        <v>9.5494276795005195</v>
      </c>
      <c r="H190" s="25">
        <f t="shared" si="411"/>
        <v>9.129752066115703</v>
      </c>
      <c r="I190" s="25">
        <f t="shared" si="411"/>
        <v>10.117474302496328</v>
      </c>
      <c r="J190" s="25">
        <f t="shared" si="411"/>
        <v>10.455825864276569</v>
      </c>
      <c r="K190" s="25">
        <f t="shared" si="411"/>
        <v>10.973031283710895</v>
      </c>
      <c r="L190" s="25">
        <f t="shared" si="411"/>
        <v>11.238284703801945</v>
      </c>
      <c r="M190" s="25">
        <f t="shared" si="411"/>
        <v>10.098198721673446</v>
      </c>
      <c r="N190" s="25">
        <f t="shared" si="411"/>
        <v>10.775948460987831</v>
      </c>
      <c r="O190" s="25">
        <f t="shared" si="411"/>
        <v>8.383362521891419</v>
      </c>
      <c r="P190" s="25">
        <f t="shared" si="411"/>
        <v>8.9859176488596351</v>
      </c>
      <c r="Q190" s="118">
        <f t="shared" ref="Q190:Q192" si="412">((P190/G190)^(1/($H$2-$H$1) ))-1</f>
        <v>-6.7352798197887198E-3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>
        <f>F10/F12</f>
        <v>16.751131221719458</v>
      </c>
      <c r="G191" s="112">
        <f>G10/G12</f>
        <v>22.885286783042392</v>
      </c>
      <c r="H191" s="112">
        <f t="shared" ref="H191:P191" si="413">H10/H12</f>
        <v>48.240174672489083</v>
      </c>
      <c r="I191" s="112">
        <f t="shared" si="413"/>
        <v>28.648648648648649</v>
      </c>
      <c r="J191" s="112">
        <f t="shared" si="413"/>
        <v>20.938461538461539</v>
      </c>
      <c r="K191" s="112">
        <f t="shared" si="413"/>
        <v>56.044077134986225</v>
      </c>
      <c r="L191" s="112">
        <f t="shared" si="413"/>
        <v>194.05343511450383</v>
      </c>
      <c r="M191" s="112">
        <f t="shared" si="413"/>
        <v>128.73333333333332</v>
      </c>
      <c r="N191" s="112">
        <f t="shared" si="413"/>
        <v>103.10958904109589</v>
      </c>
      <c r="O191" s="112">
        <f t="shared" si="413"/>
        <v>146.38837920489297</v>
      </c>
      <c r="P191" s="112">
        <f t="shared" si="413"/>
        <v>38.545633617859487</v>
      </c>
      <c r="Q191" s="118">
        <f t="shared" si="412"/>
        <v>5.9638301336980337E-2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>
        <f>F10/(F12+F13)</f>
        <v>10.100954979536153</v>
      </c>
      <c r="G192" s="25">
        <f>G10/(G12+G13)</f>
        <v>17.153271028037384</v>
      </c>
      <c r="H192" s="25">
        <f t="shared" ref="H192:P192" si="414">H10/(H12+H13)</f>
        <v>34.648558793087226</v>
      </c>
      <c r="I192" s="25">
        <f t="shared" si="414"/>
        <v>17.03337453646477</v>
      </c>
      <c r="J192" s="25">
        <f t="shared" si="414"/>
        <v>16.315684315684315</v>
      </c>
      <c r="K192" s="25">
        <f t="shared" si="414"/>
        <v>17.598615916955016</v>
      </c>
      <c r="L192" s="25">
        <f t="shared" si="414"/>
        <v>19.875684128225174</v>
      </c>
      <c r="M192" s="25">
        <f t="shared" si="414"/>
        <v>20.409864944216089</v>
      </c>
      <c r="N192" s="25">
        <f t="shared" si="414"/>
        <v>24.372369131138694</v>
      </c>
      <c r="O192" s="25">
        <f t="shared" si="414"/>
        <v>95.92985971943888</v>
      </c>
      <c r="P192" s="25">
        <f t="shared" si="414"/>
        <v>34.170547147846335</v>
      </c>
      <c r="Q192" s="118">
        <f t="shared" si="412"/>
        <v>7.9583179140349181E-2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9" t="s">
        <v>337</v>
      </c>
      <c r="M195" s="200"/>
      <c r="N195" s="201"/>
      <c r="O195" s="23" t="s">
        <v>340</v>
      </c>
      <c r="P195" s="20"/>
      <c r="Q195" s="199" t="s">
        <v>338</v>
      </c>
      <c r="R195" s="200"/>
      <c r="S195" s="201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80</v>
      </c>
      <c r="E197" s="176" t="s">
        <v>384</v>
      </c>
      <c r="F197" s="22">
        <v>0</v>
      </c>
      <c r="G197" s="22">
        <v>1</v>
      </c>
      <c r="H197" s="167">
        <f>F197/G197</f>
        <v>0</v>
      </c>
      <c r="I197" s="167">
        <f>H197*D198</f>
        <v>0</v>
      </c>
      <c r="J197" s="177">
        <f>I197+D198</f>
        <v>1</v>
      </c>
      <c r="K197" s="20"/>
      <c r="L197" s="167" t="s">
        <v>341</v>
      </c>
      <c r="M197" s="167"/>
      <c r="N197" s="21">
        <v>15</v>
      </c>
      <c r="O197" s="173">
        <f>N197</f>
        <v>15</v>
      </c>
      <c r="P197" s="20"/>
      <c r="Q197" s="167" t="s">
        <v>341</v>
      </c>
      <c r="R197" s="167"/>
      <c r="S197" s="21">
        <v>80</v>
      </c>
      <c r="T197" s="173">
        <f>S197</f>
        <v>80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1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80</v>
      </c>
      <c r="E199" s="176" t="s">
        <v>397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1</v>
      </c>
      <c r="K199" s="20"/>
      <c r="L199" s="167" t="s">
        <v>343</v>
      </c>
      <c r="M199" s="167"/>
      <c r="N199" s="168">
        <f>N197*N198</f>
        <v>15</v>
      </c>
      <c r="O199" s="173">
        <f>N199</f>
        <v>15</v>
      </c>
      <c r="P199" s="20"/>
      <c r="Q199" s="167" t="s">
        <v>344</v>
      </c>
      <c r="R199" s="167"/>
      <c r="S199" s="168">
        <f>S197*S198</f>
        <v>80</v>
      </c>
      <c r="T199" s="173">
        <f>S199</f>
        <v>80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2</v>
      </c>
      <c r="H200" s="167">
        <f>F200/G200</f>
        <v>5</v>
      </c>
      <c r="I200" s="167">
        <f>H200*J199</f>
        <v>5</v>
      </c>
      <c r="J200" s="167">
        <f>I200</f>
        <v>5</v>
      </c>
      <c r="K200" s="20"/>
      <c r="L200" s="167" t="s">
        <v>345</v>
      </c>
      <c r="M200" s="167"/>
      <c r="N200" s="21">
        <v>200</v>
      </c>
      <c r="O200" s="21">
        <v>300</v>
      </c>
      <c r="P200" s="20"/>
      <c r="Q200" s="167" t="s">
        <v>345</v>
      </c>
      <c r="R200" s="167"/>
      <c r="S200" s="21">
        <v>200</v>
      </c>
      <c r="T200" s="21">
        <v>270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200</v>
      </c>
      <c r="E201" s="176"/>
      <c r="F201" s="167"/>
      <c r="G201" s="167"/>
      <c r="H201" s="169" t="s">
        <v>387</v>
      </c>
      <c r="I201" s="167"/>
      <c r="J201" s="167">
        <f>J200</f>
        <v>5</v>
      </c>
      <c r="K201" s="20"/>
      <c r="L201" s="167" t="s">
        <v>346</v>
      </c>
      <c r="M201" s="167"/>
      <c r="N201" s="168">
        <f>N200*N198</f>
        <v>200</v>
      </c>
      <c r="O201" s="168">
        <f>O200*O198</f>
        <v>300</v>
      </c>
      <c r="P201" s="20"/>
      <c r="Q201" s="167" t="s">
        <v>342</v>
      </c>
      <c r="R201" s="167"/>
      <c r="S201" s="21">
        <v>5</v>
      </c>
      <c r="T201" s="127">
        <f>S201</f>
        <v>5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5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1000</v>
      </c>
      <c r="T202" s="168">
        <f>T201*T200</f>
        <v>1350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1000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13.333333333333334</v>
      </c>
      <c r="O204" s="170">
        <f>O201/O199</f>
        <v>20</v>
      </c>
      <c r="P204" s="20"/>
      <c r="Q204" s="169" t="s">
        <v>347</v>
      </c>
      <c r="R204" s="169"/>
      <c r="S204" s="170">
        <f>S202/S199</f>
        <v>12.5</v>
      </c>
      <c r="T204" s="170">
        <f>T202/T199</f>
        <v>16.875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12.5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92" t="s">
        <v>27</v>
      </c>
      <c r="E208" s="193"/>
      <c r="F208" s="193"/>
      <c r="G208" s="194"/>
      <c r="H208" s="20"/>
      <c r="I208" s="192" t="s">
        <v>392</v>
      </c>
      <c r="J208" s="193"/>
      <c r="K208" s="194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80</v>
      </c>
      <c r="H209" s="20"/>
      <c r="I209" s="20" t="s">
        <v>28</v>
      </c>
      <c r="J209" s="127"/>
      <c r="K209" s="21">
        <f>G209</f>
        <v>80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1000</v>
      </c>
      <c r="H210" s="20"/>
      <c r="I210" s="20" t="s">
        <v>29</v>
      </c>
      <c r="J210" s="20"/>
      <c r="K210" s="21">
        <f>G210</f>
        <v>1000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11.5</v>
      </c>
      <c r="H212" s="20"/>
      <c r="I212" s="23" t="s">
        <v>393</v>
      </c>
      <c r="J212" s="23"/>
      <c r="K212" s="23">
        <f>(K210-K209)/K209</f>
        <v>11.5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394</v>
      </c>
      <c r="J213" s="23"/>
      <c r="K213" s="23">
        <f>K210/K209</f>
        <v>12.5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11.5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4" t="s">
        <v>27</v>
      </c>
      <c r="K5" s="204"/>
      <c r="M5" s="204" t="s">
        <v>65</v>
      </c>
      <c r="N5" s="204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4" t="s">
        <v>36</v>
      </c>
      <c r="K14" s="204"/>
      <c r="L14" s="204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4" t="s">
        <v>27</v>
      </c>
      <c r="S5" s="204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4" t="s">
        <v>36</v>
      </c>
      <c r="S14" s="204"/>
      <c r="T14" s="204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4" t="s">
        <v>27</v>
      </c>
      <c r="C2" s="204"/>
      <c r="E2" s="204" t="s">
        <v>65</v>
      </c>
      <c r="F2" s="204"/>
      <c r="H2" s="208" t="s">
        <v>36</v>
      </c>
      <c r="I2" s="20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5" t="s">
        <v>68</v>
      </c>
      <c r="E10" s="206"/>
      <c r="F10" s="206"/>
      <c r="G10" s="206"/>
      <c r="H10" s="207"/>
      <c r="I10" s="205" t="s">
        <v>72</v>
      </c>
      <c r="J10" s="206"/>
      <c r="K10" s="206"/>
      <c r="L10" s="207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2014-06-06T19:56:31Z</dcterms:modified>
</cp:coreProperties>
</file>
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G12" i="18" l="1"/>
  <c r="F12" i="18"/>
  <c r="K12" i="18"/>
  <c r="J12" i="18"/>
  <c r="I12" i="18"/>
  <c r="H12" i="18"/>
  <c r="P12" i="18"/>
  <c r="O12" i="18"/>
  <c r="N12" i="18"/>
  <c r="G230" i="18" l="1"/>
  <c r="G231" i="18"/>
  <c r="G232" i="18" s="1"/>
  <c r="K231" i="18"/>
  <c r="K230" i="18"/>
  <c r="H222" i="18"/>
  <c r="I220" i="18"/>
  <c r="J220" i="18" s="1"/>
  <c r="J221" i="18" s="1"/>
  <c r="H220" i="18"/>
  <c r="H218" i="18"/>
  <c r="H217" i="18"/>
  <c r="H216" i="18"/>
  <c r="I215" i="18"/>
  <c r="J215" i="18" s="1"/>
  <c r="H215" i="18"/>
  <c r="D221" i="18"/>
  <c r="D217" i="18"/>
  <c r="K204" i="18"/>
  <c r="AD64" i="18"/>
  <c r="R64" i="18"/>
  <c r="S64" i="18" s="1"/>
  <c r="T64" i="18" s="1"/>
  <c r="U64" i="18" s="1"/>
  <c r="V64" i="18" s="1"/>
  <c r="W64" i="18" s="1"/>
  <c r="X64" i="18" s="1"/>
  <c r="Y64" i="18" s="1"/>
  <c r="Z64" i="18" s="1"/>
  <c r="AA64" i="18" s="1"/>
  <c r="AB64" i="18" s="1"/>
  <c r="AC64" i="18" s="1"/>
  <c r="Q64" i="18"/>
  <c r="P65" i="18"/>
  <c r="O65" i="18"/>
  <c r="N65" i="18"/>
  <c r="M65" i="18"/>
  <c r="L65" i="18"/>
  <c r="K65" i="18"/>
  <c r="J65" i="18"/>
  <c r="I65" i="18"/>
  <c r="H65" i="18"/>
  <c r="G65" i="18"/>
  <c r="AD16" i="18"/>
  <c r="R16" i="18"/>
  <c r="S16" i="18" s="1"/>
  <c r="T16" i="18" s="1"/>
  <c r="Q16" i="18"/>
  <c r="I222" i="18" l="1"/>
  <c r="J222" i="18" s="1"/>
  <c r="J223" i="18" s="1"/>
  <c r="I218" i="18"/>
  <c r="J218" i="18" s="1"/>
  <c r="J219" i="18" s="1"/>
  <c r="I216" i="18"/>
  <c r="J216" i="18" s="1"/>
  <c r="I217" i="18" s="1"/>
  <c r="J217" i="18" s="1"/>
  <c r="AE64" i="18"/>
  <c r="U16" i="18"/>
  <c r="V16" i="18" s="1"/>
  <c r="W16" i="18" s="1"/>
  <c r="X16" i="18" s="1"/>
  <c r="Y16" i="18" s="1"/>
  <c r="Z16" i="18" s="1"/>
  <c r="AA16" i="18" s="1"/>
  <c r="AB16" i="18" s="1"/>
  <c r="AC16" i="18" s="1"/>
  <c r="AC150" i="18"/>
  <c r="H149" i="18"/>
  <c r="I149" i="18"/>
  <c r="J149" i="18"/>
  <c r="K149" i="18"/>
  <c r="L149" i="18"/>
  <c r="M149" i="18"/>
  <c r="N149" i="18"/>
  <c r="O149" i="18"/>
  <c r="P149" i="18"/>
  <c r="G149" i="18"/>
  <c r="H145" i="18"/>
  <c r="H146" i="18" s="1"/>
  <c r="I145" i="18"/>
  <c r="I146" i="18" s="1"/>
  <c r="J145" i="18"/>
  <c r="J146" i="18" s="1"/>
  <c r="K145" i="18"/>
  <c r="K146" i="18" s="1"/>
  <c r="L145" i="18"/>
  <c r="L146" i="18" s="1"/>
  <c r="M145" i="18"/>
  <c r="M146" i="18" s="1"/>
  <c r="N145" i="18"/>
  <c r="N146" i="18" s="1"/>
  <c r="O145" i="18"/>
  <c r="O146" i="18" s="1"/>
  <c r="P145" i="18"/>
  <c r="G145" i="18"/>
  <c r="G146" i="18" s="1"/>
  <c r="Q150" i="18"/>
  <c r="Q147" i="18"/>
  <c r="H114" i="18"/>
  <c r="I114" i="18"/>
  <c r="J114" i="18"/>
  <c r="K114" i="18"/>
  <c r="L114" i="18"/>
  <c r="M114" i="18"/>
  <c r="N114" i="18"/>
  <c r="O114" i="18"/>
  <c r="P114" i="18"/>
  <c r="G114" i="18"/>
  <c r="AD33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D32" i="18"/>
  <c r="S32" i="18"/>
  <c r="T32" i="18" s="1"/>
  <c r="U32" i="18" s="1"/>
  <c r="V32" i="18" s="1"/>
  <c r="W32" i="18" s="1"/>
  <c r="X32" i="18" s="1"/>
  <c r="Y32" i="18" s="1"/>
  <c r="Z32" i="18" s="1"/>
  <c r="AA32" i="18" s="1"/>
  <c r="AB32" i="18" s="1"/>
  <c r="AD31" i="18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AD30" i="18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AD92" i="18"/>
  <c r="AD60" i="18"/>
  <c r="S60" i="18"/>
  <c r="T60" i="18" s="1"/>
  <c r="U60" i="18" s="1"/>
  <c r="V60" i="18" s="1"/>
  <c r="W60" i="18" s="1"/>
  <c r="X60" i="18" s="1"/>
  <c r="Y60" i="18" s="1"/>
  <c r="Z60" i="18" s="1"/>
  <c r="AA60" i="18" s="1"/>
  <c r="AB60" i="18" s="1"/>
  <c r="AD59" i="18"/>
  <c r="S59" i="18"/>
  <c r="T59" i="18" s="1"/>
  <c r="U59" i="18" s="1"/>
  <c r="V59" i="18" s="1"/>
  <c r="W59" i="18" s="1"/>
  <c r="X59" i="18" s="1"/>
  <c r="Y59" i="18" s="1"/>
  <c r="Z59" i="18" s="1"/>
  <c r="AA59" i="18" s="1"/>
  <c r="AB59" i="18" s="1"/>
  <c r="AD58" i="18"/>
  <c r="S58" i="18"/>
  <c r="T58" i="18" s="1"/>
  <c r="U58" i="18" s="1"/>
  <c r="V58" i="18" s="1"/>
  <c r="W58" i="18" s="1"/>
  <c r="X58" i="18" s="1"/>
  <c r="Y58" i="18" s="1"/>
  <c r="Z58" i="18" s="1"/>
  <c r="AA58" i="18" s="1"/>
  <c r="AB58" i="18" s="1"/>
  <c r="AD57" i="18"/>
  <c r="S57" i="18"/>
  <c r="T57" i="18" s="1"/>
  <c r="U57" i="18" s="1"/>
  <c r="V57" i="18" s="1"/>
  <c r="W57" i="18" s="1"/>
  <c r="X57" i="18" s="1"/>
  <c r="Y57" i="18" s="1"/>
  <c r="Z57" i="18" s="1"/>
  <c r="AA57" i="18" s="1"/>
  <c r="AB57" i="18" s="1"/>
  <c r="S20" i="18"/>
  <c r="T20" i="18" s="1"/>
  <c r="U20" i="18" s="1"/>
  <c r="V20" i="18" s="1"/>
  <c r="W20" i="18" s="1"/>
  <c r="X20" i="18" s="1"/>
  <c r="Y20" i="18" s="1"/>
  <c r="Z20" i="18" s="1"/>
  <c r="AA20" i="18" s="1"/>
  <c r="AB20" i="18" s="1"/>
  <c r="AE20" i="18" s="1"/>
  <c r="Q20" i="18"/>
  <c r="S69" i="18"/>
  <c r="T69" i="18" s="1"/>
  <c r="U69" i="18" s="1"/>
  <c r="V69" i="18" s="1"/>
  <c r="W69" i="18" s="1"/>
  <c r="X69" i="18" s="1"/>
  <c r="Y69" i="18" s="1"/>
  <c r="Z69" i="18" s="1"/>
  <c r="AA69" i="18" s="1"/>
  <c r="AB69" i="18" s="1"/>
  <c r="AE69" i="18" s="1"/>
  <c r="Q69" i="18"/>
  <c r="Q60" i="18"/>
  <c r="Q59" i="18"/>
  <c r="Q58" i="18"/>
  <c r="Q57" i="18"/>
  <c r="P34" i="18"/>
  <c r="O34" i="18"/>
  <c r="N34" i="18"/>
  <c r="M34" i="18"/>
  <c r="L34" i="18"/>
  <c r="K34" i="18"/>
  <c r="J34" i="18"/>
  <c r="I34" i="18"/>
  <c r="H34" i="18"/>
  <c r="G34" i="18"/>
  <c r="Q33" i="18"/>
  <c r="Q32" i="18"/>
  <c r="Q31" i="18"/>
  <c r="Q30" i="18"/>
  <c r="P49" i="18"/>
  <c r="O49" i="18"/>
  <c r="N49" i="18"/>
  <c r="M49" i="18"/>
  <c r="L49" i="18"/>
  <c r="K49" i="18"/>
  <c r="J49" i="18"/>
  <c r="I49" i="18"/>
  <c r="H49" i="18"/>
  <c r="G49" i="18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AE48" i="18" s="1"/>
  <c r="Q48" i="18"/>
  <c r="P43" i="18"/>
  <c r="O43" i="18"/>
  <c r="N43" i="18"/>
  <c r="M43" i="18"/>
  <c r="L43" i="18"/>
  <c r="K43" i="18"/>
  <c r="J43" i="18"/>
  <c r="I43" i="18"/>
  <c r="H43" i="18"/>
  <c r="G43" i="18"/>
  <c r="S42" i="18"/>
  <c r="T42" i="18" s="1"/>
  <c r="U42" i="18" s="1"/>
  <c r="V42" i="18" s="1"/>
  <c r="W42" i="18" s="1"/>
  <c r="X42" i="18" s="1"/>
  <c r="Y42" i="18" s="1"/>
  <c r="Z42" i="18" s="1"/>
  <c r="AA42" i="18" s="1"/>
  <c r="AB42" i="18" s="1"/>
  <c r="AE42" i="18" s="1"/>
  <c r="Q42" i="18"/>
  <c r="P41" i="18"/>
  <c r="O41" i="18"/>
  <c r="N41" i="18"/>
  <c r="M41" i="18"/>
  <c r="L41" i="18"/>
  <c r="K41" i="18"/>
  <c r="J41" i="18"/>
  <c r="I41" i="18"/>
  <c r="H41" i="18"/>
  <c r="G41" i="18"/>
  <c r="S40" i="18"/>
  <c r="T40" i="18" s="1"/>
  <c r="U40" i="18" s="1"/>
  <c r="V40" i="18" s="1"/>
  <c r="W40" i="18" s="1"/>
  <c r="X40" i="18" s="1"/>
  <c r="Y40" i="18" s="1"/>
  <c r="Z40" i="18" s="1"/>
  <c r="AA40" i="18" s="1"/>
  <c r="AB40" i="18" s="1"/>
  <c r="AE40" i="18" s="1"/>
  <c r="Q40" i="18"/>
  <c r="P39" i="18"/>
  <c r="O39" i="18"/>
  <c r="N39" i="18"/>
  <c r="M39" i="18"/>
  <c r="L39" i="18"/>
  <c r="K39" i="18"/>
  <c r="J39" i="18"/>
  <c r="I39" i="18"/>
  <c r="H39" i="18"/>
  <c r="G39" i="18"/>
  <c r="S38" i="18"/>
  <c r="T38" i="18" s="1"/>
  <c r="U38" i="18" s="1"/>
  <c r="V38" i="18" s="1"/>
  <c r="W38" i="18" s="1"/>
  <c r="X38" i="18" s="1"/>
  <c r="Y38" i="18" s="1"/>
  <c r="Z38" i="18" s="1"/>
  <c r="AA38" i="18" s="1"/>
  <c r="AB38" i="18" s="1"/>
  <c r="AE38" i="18" s="1"/>
  <c r="Q38" i="18"/>
  <c r="P37" i="18"/>
  <c r="O37" i="18"/>
  <c r="N37" i="18"/>
  <c r="M37" i="18"/>
  <c r="L37" i="18"/>
  <c r="K37" i="18"/>
  <c r="J37" i="18"/>
  <c r="I37" i="18"/>
  <c r="H37" i="18"/>
  <c r="G37" i="18"/>
  <c r="S36" i="18"/>
  <c r="T36" i="18" s="1"/>
  <c r="U36" i="18" s="1"/>
  <c r="V36" i="18" s="1"/>
  <c r="W36" i="18" s="1"/>
  <c r="X36" i="18" s="1"/>
  <c r="Y36" i="18" s="1"/>
  <c r="Z36" i="18" s="1"/>
  <c r="AA36" i="18" s="1"/>
  <c r="AB36" i="18" s="1"/>
  <c r="AE36" i="18" s="1"/>
  <c r="Q36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E21" i="18" s="1"/>
  <c r="Q21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AE14" i="18" s="1"/>
  <c r="Q14" i="18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AE13" i="18" s="1"/>
  <c r="Q13" i="18"/>
  <c r="Q145" i="18" l="1"/>
  <c r="AE16" i="18"/>
  <c r="P146" i="18"/>
  <c r="Q146" i="18" s="1"/>
  <c r="Q114" i="18"/>
  <c r="Q149" i="18"/>
  <c r="AC33" i="18"/>
  <c r="AE33" i="18"/>
  <c r="AC32" i="18"/>
  <c r="AE32" i="18"/>
  <c r="AE31" i="18"/>
  <c r="AC31" i="18"/>
  <c r="AE30" i="18"/>
  <c r="AC30" i="18"/>
  <c r="AC60" i="18"/>
  <c r="AE60" i="18"/>
  <c r="AC59" i="18"/>
  <c r="AE59" i="18"/>
  <c r="AE58" i="18"/>
  <c r="AC58" i="18"/>
  <c r="AC57" i="18"/>
  <c r="AE57" i="18"/>
  <c r="AC20" i="18"/>
  <c r="AC69" i="18"/>
  <c r="AC48" i="18"/>
  <c r="AC36" i="18"/>
  <c r="AC42" i="18"/>
  <c r="AC38" i="18"/>
  <c r="AC40" i="18"/>
  <c r="AC21" i="18"/>
  <c r="AC14" i="18"/>
  <c r="AC13" i="18"/>
  <c r="P113" i="18" l="1"/>
  <c r="P112" i="18"/>
  <c r="C113" i="18"/>
  <c r="D113" i="18"/>
  <c r="E113" i="18"/>
  <c r="F113" i="18"/>
  <c r="H113" i="18"/>
  <c r="I113" i="18"/>
  <c r="J113" i="18"/>
  <c r="K113" i="18"/>
  <c r="L113" i="18"/>
  <c r="M113" i="18"/>
  <c r="N113" i="18"/>
  <c r="O113" i="18"/>
  <c r="G113" i="18"/>
  <c r="G112" i="18"/>
  <c r="H143" i="18"/>
  <c r="I143" i="18"/>
  <c r="J143" i="18"/>
  <c r="K143" i="18"/>
  <c r="L143" i="18"/>
  <c r="M143" i="18"/>
  <c r="N143" i="18"/>
  <c r="O143" i="18"/>
  <c r="P143" i="18"/>
  <c r="G143" i="18"/>
  <c r="H142" i="18"/>
  <c r="I142" i="18"/>
  <c r="J142" i="18"/>
  <c r="K142" i="18"/>
  <c r="L142" i="18"/>
  <c r="M142" i="18"/>
  <c r="N142" i="18"/>
  <c r="O142" i="18"/>
  <c r="P142" i="18"/>
  <c r="G142" i="18"/>
  <c r="H139" i="18"/>
  <c r="I139" i="18"/>
  <c r="J139" i="18"/>
  <c r="K139" i="18"/>
  <c r="L139" i="18"/>
  <c r="M139" i="18"/>
  <c r="N139" i="18"/>
  <c r="O139" i="18"/>
  <c r="P139" i="18"/>
  <c r="G139" i="18"/>
  <c r="H140" i="18"/>
  <c r="I140" i="18"/>
  <c r="J140" i="18"/>
  <c r="K140" i="18"/>
  <c r="L140" i="18"/>
  <c r="M140" i="18"/>
  <c r="N140" i="18"/>
  <c r="O140" i="18"/>
  <c r="P140" i="18"/>
  <c r="G140" i="18"/>
  <c r="H138" i="18"/>
  <c r="I138" i="18"/>
  <c r="J138" i="18"/>
  <c r="K138" i="18"/>
  <c r="L138" i="18"/>
  <c r="M138" i="18"/>
  <c r="N138" i="18"/>
  <c r="O138" i="18"/>
  <c r="P138" i="18"/>
  <c r="G138" i="18"/>
  <c r="H137" i="18"/>
  <c r="I137" i="18"/>
  <c r="J137" i="18"/>
  <c r="K137" i="18"/>
  <c r="L137" i="18"/>
  <c r="M137" i="18"/>
  <c r="N137" i="18"/>
  <c r="O137" i="18"/>
  <c r="P137" i="18"/>
  <c r="G137" i="18"/>
  <c r="R185" i="18"/>
  <c r="H134" i="18"/>
  <c r="I134" i="18"/>
  <c r="J134" i="18"/>
  <c r="K134" i="18"/>
  <c r="L134" i="18"/>
  <c r="M134" i="18"/>
  <c r="N134" i="18"/>
  <c r="O134" i="18"/>
  <c r="P134" i="18"/>
  <c r="G134" i="18"/>
  <c r="H133" i="18"/>
  <c r="I133" i="18"/>
  <c r="J133" i="18"/>
  <c r="K133" i="18"/>
  <c r="L133" i="18"/>
  <c r="M133" i="18"/>
  <c r="N133" i="18"/>
  <c r="O133" i="18"/>
  <c r="P133" i="18"/>
  <c r="G133" i="18"/>
  <c r="H132" i="18"/>
  <c r="I132" i="18"/>
  <c r="J132" i="18"/>
  <c r="K132" i="18"/>
  <c r="L132" i="18"/>
  <c r="M132" i="18"/>
  <c r="N132" i="18"/>
  <c r="O132" i="18"/>
  <c r="P132" i="18"/>
  <c r="G132" i="18"/>
  <c r="B134" i="18"/>
  <c r="B133" i="18"/>
  <c r="K200" i="18"/>
  <c r="K199" i="18"/>
  <c r="K198" i="18"/>
  <c r="S68" i="18"/>
  <c r="AD53" i="18"/>
  <c r="R53" i="18"/>
  <c r="S53" i="18" s="1"/>
  <c r="T53" i="18" s="1"/>
  <c r="U53" i="18" s="1"/>
  <c r="V53" i="18" s="1"/>
  <c r="W53" i="18" s="1"/>
  <c r="X53" i="18" s="1"/>
  <c r="Y53" i="18" s="1"/>
  <c r="Z53" i="18" s="1"/>
  <c r="AA53" i="18" s="1"/>
  <c r="AB53" i="18" s="1"/>
  <c r="Q53" i="18"/>
  <c r="G122" i="18"/>
  <c r="H122" i="18"/>
  <c r="I122" i="18"/>
  <c r="J122" i="18"/>
  <c r="K122" i="18"/>
  <c r="L122" i="18"/>
  <c r="M122" i="18"/>
  <c r="N122" i="18"/>
  <c r="O122" i="18"/>
  <c r="P122" i="18"/>
  <c r="F130" i="18"/>
  <c r="H130" i="18"/>
  <c r="I130" i="18"/>
  <c r="J130" i="18"/>
  <c r="K130" i="18"/>
  <c r="L130" i="18"/>
  <c r="M130" i="18"/>
  <c r="N130" i="18"/>
  <c r="O130" i="18"/>
  <c r="P130" i="18"/>
  <c r="G130" i="18"/>
  <c r="F129" i="18"/>
  <c r="H129" i="18"/>
  <c r="I129" i="18"/>
  <c r="J129" i="18"/>
  <c r="K129" i="18"/>
  <c r="L129" i="18"/>
  <c r="M129" i="18"/>
  <c r="N129" i="18"/>
  <c r="O129" i="18"/>
  <c r="P129" i="18"/>
  <c r="G129" i="18"/>
  <c r="Q137" i="18" l="1"/>
  <c r="Q113" i="18"/>
  <c r="Q142" i="18"/>
  <c r="Q138" i="18"/>
  <c r="Q139" i="18"/>
  <c r="Q143" i="18"/>
  <c r="Q140" i="18"/>
  <c r="Q132" i="18"/>
  <c r="Q133" i="18"/>
  <c r="Q134" i="18"/>
  <c r="Q122" i="18"/>
  <c r="AC53" i="18"/>
  <c r="AE53" i="18"/>
  <c r="Q130" i="18"/>
  <c r="Q129" i="18"/>
  <c r="R9" i="18"/>
  <c r="R10" i="18"/>
  <c r="R12" i="18"/>
  <c r="R15" i="18"/>
  <c r="R17" i="18"/>
  <c r="R18" i="18"/>
  <c r="R23" i="18"/>
  <c r="R25" i="18"/>
  <c r="R26" i="18"/>
  <c r="R27" i="18"/>
  <c r="R28" i="18"/>
  <c r="R44" i="18"/>
  <c r="R46" i="18"/>
  <c r="R50" i="18"/>
  <c r="R52" i="18"/>
  <c r="S52" i="18" s="1"/>
  <c r="T52" i="18" s="1"/>
  <c r="U52" i="18" s="1"/>
  <c r="V52" i="18" s="1"/>
  <c r="W52" i="18" s="1"/>
  <c r="X52" i="18" s="1"/>
  <c r="Y52" i="18" s="1"/>
  <c r="Z52" i="18" s="1"/>
  <c r="AA52" i="18" s="1"/>
  <c r="AB52" i="18" s="1"/>
  <c r="R54" i="18"/>
  <c r="R55" i="18"/>
  <c r="R62" i="18"/>
  <c r="R66" i="18"/>
  <c r="R7" i="18"/>
  <c r="R6" i="18"/>
  <c r="AD9" i="18"/>
  <c r="AD10" i="18"/>
  <c r="AD11" i="18"/>
  <c r="AD12" i="18"/>
  <c r="AD15" i="18"/>
  <c r="AD17" i="18"/>
  <c r="AD18" i="18"/>
  <c r="AD23" i="18"/>
  <c r="AD25" i="18"/>
  <c r="AD26" i="18"/>
  <c r="AD27" i="18"/>
  <c r="AD28" i="18"/>
  <c r="AD44" i="18"/>
  <c r="AD46" i="18"/>
  <c r="AD50" i="18"/>
  <c r="AD52" i="18"/>
  <c r="AD54" i="18"/>
  <c r="AD55" i="18"/>
  <c r="AD62" i="18"/>
  <c r="AD66" i="18"/>
  <c r="AD68" i="18"/>
  <c r="AD70" i="18"/>
  <c r="AD76" i="18"/>
  <c r="AD77" i="18"/>
  <c r="AD79" i="18"/>
  <c r="AD80" i="18"/>
  <c r="AD81" i="18"/>
  <c r="AD82" i="18"/>
  <c r="AD84" i="18"/>
  <c r="AD85" i="18"/>
  <c r="AD86" i="18"/>
  <c r="AD88" i="18"/>
  <c r="AD89" i="18"/>
  <c r="AD90" i="18"/>
  <c r="AD91" i="18"/>
  <c r="AD94" i="18"/>
  <c r="AD96" i="18"/>
  <c r="AD98" i="18"/>
  <c r="AD99" i="18"/>
  <c r="AD100" i="18"/>
  <c r="AD101" i="18"/>
  <c r="AD102" i="18"/>
  <c r="AD104" i="18"/>
  <c r="AD105" i="18"/>
  <c r="AD106" i="18"/>
  <c r="AD7" i="18"/>
  <c r="AD6" i="18"/>
  <c r="G119" i="18" l="1"/>
  <c r="F119" i="18"/>
  <c r="H119" i="18"/>
  <c r="I119" i="18"/>
  <c r="J119" i="18"/>
  <c r="K119" i="18"/>
  <c r="L119" i="18"/>
  <c r="M119" i="18"/>
  <c r="N119" i="18"/>
  <c r="O119" i="18"/>
  <c r="P119" i="18"/>
  <c r="Q119" i="18" l="1"/>
  <c r="H116" i="18"/>
  <c r="I116" i="18"/>
  <c r="J116" i="18"/>
  <c r="K116" i="18"/>
  <c r="L116" i="18"/>
  <c r="M116" i="18"/>
  <c r="N116" i="18"/>
  <c r="O116" i="18"/>
  <c r="P116" i="18"/>
  <c r="H117" i="18"/>
  <c r="I117" i="18"/>
  <c r="J117" i="18"/>
  <c r="K117" i="18"/>
  <c r="L117" i="18"/>
  <c r="M117" i="18"/>
  <c r="N117" i="18"/>
  <c r="O117" i="18"/>
  <c r="P117" i="18"/>
  <c r="G117" i="18"/>
  <c r="G116" i="18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Q50" i="18"/>
  <c r="P51" i="18"/>
  <c r="O51" i="18"/>
  <c r="N51" i="18"/>
  <c r="M51" i="18"/>
  <c r="L51" i="18"/>
  <c r="K51" i="18"/>
  <c r="J51" i="18"/>
  <c r="I51" i="18"/>
  <c r="H51" i="18"/>
  <c r="G51" i="18"/>
  <c r="Q117" i="18" l="1"/>
  <c r="Q116" i="18"/>
  <c r="AE50" i="18"/>
  <c r="AC5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Q120" i="18" l="1"/>
  <c r="Q121" i="18"/>
  <c r="AE93" i="18"/>
  <c r="C193" i="18" l="1"/>
  <c r="D193" i="18"/>
  <c r="E193" i="18"/>
  <c r="F193" i="18"/>
  <c r="G193" i="18"/>
  <c r="H193" i="18"/>
  <c r="I193" i="18"/>
  <c r="J193" i="18"/>
  <c r="K193" i="18"/>
  <c r="L193" i="18"/>
  <c r="M193" i="18"/>
  <c r="N193" i="18"/>
  <c r="O193" i="18"/>
  <c r="P193" i="18"/>
  <c r="C9" i="15"/>
  <c r="D94" i="18"/>
  <c r="E94" i="18"/>
  <c r="E124" i="18" s="1"/>
  <c r="E125" i="18" s="1"/>
  <c r="F94" i="18"/>
  <c r="F124" i="18" s="1"/>
  <c r="F125" i="18" s="1"/>
  <c r="G94" i="18"/>
  <c r="G124" i="18" s="1"/>
  <c r="G125" i="18" s="1"/>
  <c r="H94" i="18"/>
  <c r="H124" i="18" s="1"/>
  <c r="H125" i="18" s="1"/>
  <c r="I94" i="18"/>
  <c r="I124" i="18" s="1"/>
  <c r="I125" i="18" s="1"/>
  <c r="J94" i="18"/>
  <c r="J124" i="18" s="1"/>
  <c r="J125" i="18" s="1"/>
  <c r="K94" i="18"/>
  <c r="K124" i="18" s="1"/>
  <c r="K125" i="18" s="1"/>
  <c r="L94" i="18"/>
  <c r="L124" i="18" s="1"/>
  <c r="L125" i="18" s="1"/>
  <c r="M94" i="18"/>
  <c r="M124" i="18" s="1"/>
  <c r="M125" i="18" s="1"/>
  <c r="N94" i="18"/>
  <c r="N124" i="18" s="1"/>
  <c r="N125" i="18" s="1"/>
  <c r="O94" i="18"/>
  <c r="O124" i="18" s="1"/>
  <c r="O125" i="18" s="1"/>
  <c r="P94" i="18"/>
  <c r="P124" i="18" s="1"/>
  <c r="C94" i="18"/>
  <c r="S70" i="18"/>
  <c r="S94" i="18" s="1"/>
  <c r="S124" i="18" s="1"/>
  <c r="S125" i="18" s="1"/>
  <c r="Q70" i="18"/>
  <c r="N126" i="18" l="1"/>
  <c r="N127" i="18" s="1"/>
  <c r="J126" i="18"/>
  <c r="J127" i="18" s="1"/>
  <c r="L126" i="18"/>
  <c r="L127" i="18" s="1"/>
  <c r="H126" i="18"/>
  <c r="H127" i="18" s="1"/>
  <c r="M126" i="18"/>
  <c r="M127" i="18" s="1"/>
  <c r="I126" i="18"/>
  <c r="I127" i="18" s="1"/>
  <c r="F126" i="18"/>
  <c r="F127" i="18" s="1"/>
  <c r="O126" i="18"/>
  <c r="O127" i="18" s="1"/>
  <c r="K126" i="18"/>
  <c r="K127" i="18" s="1"/>
  <c r="G126" i="18"/>
  <c r="G127" i="18" s="1"/>
  <c r="P125" i="18"/>
  <c r="Q124" i="18"/>
  <c r="T70" i="18"/>
  <c r="U70" i="18" s="1"/>
  <c r="V70" i="18" s="1"/>
  <c r="W70" i="18" s="1"/>
  <c r="P126" i="18" l="1"/>
  <c r="Q125" i="18"/>
  <c r="U94" i="18"/>
  <c r="X70" i="18"/>
  <c r="W94" i="18"/>
  <c r="V94" i="18"/>
  <c r="T94" i="18"/>
  <c r="C104" i="18"/>
  <c r="D104" i="18"/>
  <c r="E104" i="18"/>
  <c r="F104" i="18"/>
  <c r="G104" i="18"/>
  <c r="H104" i="18"/>
  <c r="I104" i="18"/>
  <c r="J104" i="18"/>
  <c r="K104" i="18"/>
  <c r="L104" i="18"/>
  <c r="M104" i="18"/>
  <c r="N104" i="18"/>
  <c r="O104" i="18"/>
  <c r="C105" i="18"/>
  <c r="D105" i="18"/>
  <c r="E105" i="18"/>
  <c r="F105" i="18"/>
  <c r="G105" i="18"/>
  <c r="H105" i="18"/>
  <c r="I105" i="18"/>
  <c r="J105" i="18"/>
  <c r="K105" i="18"/>
  <c r="L105" i="18"/>
  <c r="M105" i="18"/>
  <c r="N105" i="18"/>
  <c r="O105" i="18"/>
  <c r="C106" i="18"/>
  <c r="D106" i="18"/>
  <c r="E106" i="18"/>
  <c r="F106" i="18"/>
  <c r="G106" i="18"/>
  <c r="H106" i="18"/>
  <c r="I106" i="18"/>
  <c r="J106" i="18"/>
  <c r="K106" i="18"/>
  <c r="L106" i="18"/>
  <c r="M106" i="18"/>
  <c r="N106" i="18"/>
  <c r="O106" i="18"/>
  <c r="P106" i="18"/>
  <c r="P105" i="18"/>
  <c r="P104" i="18"/>
  <c r="C112" i="18"/>
  <c r="D112" i="18"/>
  <c r="E112" i="18"/>
  <c r="F112" i="18"/>
  <c r="H112" i="18"/>
  <c r="I112" i="18"/>
  <c r="J112" i="18"/>
  <c r="K112" i="18"/>
  <c r="L112" i="18"/>
  <c r="M112" i="18"/>
  <c r="N112" i="18"/>
  <c r="O112" i="18"/>
  <c r="C110" i="18"/>
  <c r="D110" i="18"/>
  <c r="E110" i="18"/>
  <c r="C111" i="18"/>
  <c r="D111" i="18"/>
  <c r="E111" i="18"/>
  <c r="F111" i="18"/>
  <c r="G111" i="18"/>
  <c r="H111" i="18"/>
  <c r="I111" i="18"/>
  <c r="J111" i="18"/>
  <c r="K111" i="18"/>
  <c r="L111" i="18"/>
  <c r="M111" i="18"/>
  <c r="N111" i="18"/>
  <c r="O111" i="18"/>
  <c r="F110" i="18"/>
  <c r="G110" i="18"/>
  <c r="H110" i="18"/>
  <c r="I110" i="18"/>
  <c r="J110" i="18"/>
  <c r="K110" i="18"/>
  <c r="L110" i="18"/>
  <c r="M110" i="18"/>
  <c r="N110" i="18"/>
  <c r="O110" i="18"/>
  <c r="P111" i="18"/>
  <c r="G67" i="18"/>
  <c r="G63" i="18"/>
  <c r="G47" i="18"/>
  <c r="G11" i="18"/>
  <c r="G8" i="18"/>
  <c r="G45" i="18"/>
  <c r="Q106" i="18" l="1"/>
  <c r="Y70" i="18"/>
  <c r="X94" i="18"/>
  <c r="Q104" i="18"/>
  <c r="Q105" i="18"/>
  <c r="Q111" i="18"/>
  <c r="Q112" i="18"/>
  <c r="P110" i="18"/>
  <c r="Q110" i="18" s="1"/>
  <c r="C208" i="18"/>
  <c r="D208" i="18"/>
  <c r="E208" i="18"/>
  <c r="F208" i="18"/>
  <c r="C209" i="18"/>
  <c r="D209" i="18"/>
  <c r="E209" i="18"/>
  <c r="F209" i="18"/>
  <c r="C210" i="18"/>
  <c r="D210" i="18"/>
  <c r="E210" i="18"/>
  <c r="F210" i="18"/>
  <c r="H210" i="18"/>
  <c r="I210" i="18"/>
  <c r="J210" i="18"/>
  <c r="K210" i="18"/>
  <c r="L210" i="18"/>
  <c r="M210" i="18"/>
  <c r="N210" i="18"/>
  <c r="O210" i="18"/>
  <c r="P210" i="18"/>
  <c r="G210" i="18"/>
  <c r="H209" i="18"/>
  <c r="I209" i="18"/>
  <c r="J209" i="18"/>
  <c r="K209" i="18"/>
  <c r="L209" i="18"/>
  <c r="M209" i="18"/>
  <c r="N209" i="18"/>
  <c r="O209" i="18"/>
  <c r="P209" i="18"/>
  <c r="G209" i="18"/>
  <c r="H208" i="18"/>
  <c r="I208" i="18"/>
  <c r="J208" i="18"/>
  <c r="K208" i="18"/>
  <c r="L208" i="18"/>
  <c r="M208" i="18"/>
  <c r="N208" i="18"/>
  <c r="O208" i="18"/>
  <c r="P208" i="18"/>
  <c r="G208" i="18"/>
  <c r="H77" i="18"/>
  <c r="I77" i="18"/>
  <c r="J77" i="18"/>
  <c r="K77" i="18"/>
  <c r="L77" i="18"/>
  <c r="M77" i="18"/>
  <c r="N77" i="18"/>
  <c r="O77" i="18"/>
  <c r="P77" i="18"/>
  <c r="C77" i="18"/>
  <c r="D77" i="18"/>
  <c r="E77" i="18"/>
  <c r="F77" i="18"/>
  <c r="G77" i="18"/>
  <c r="G79" i="18"/>
  <c r="G192" i="18" s="1"/>
  <c r="H76" i="18"/>
  <c r="H186" i="18" s="1"/>
  <c r="I76" i="18"/>
  <c r="I186" i="18" s="1"/>
  <c r="J76" i="18"/>
  <c r="J186" i="18" s="1"/>
  <c r="K76" i="18"/>
  <c r="K186" i="18" s="1"/>
  <c r="L76" i="18"/>
  <c r="L186" i="18" s="1"/>
  <c r="M76" i="18"/>
  <c r="M186" i="18" s="1"/>
  <c r="N76" i="18"/>
  <c r="N186" i="18" s="1"/>
  <c r="O76" i="18"/>
  <c r="O186" i="18" s="1"/>
  <c r="P76" i="18"/>
  <c r="P186" i="18" s="1"/>
  <c r="C76" i="18"/>
  <c r="C186" i="18" s="1"/>
  <c r="D76" i="18"/>
  <c r="D186" i="18" s="1"/>
  <c r="E76" i="18"/>
  <c r="E186" i="18" s="1"/>
  <c r="F76" i="18"/>
  <c r="F186" i="18" s="1"/>
  <c r="G76" i="18"/>
  <c r="G186" i="18" s="1"/>
  <c r="P67" i="18"/>
  <c r="O67" i="18"/>
  <c r="N67" i="18"/>
  <c r="M67" i="18"/>
  <c r="L67" i="18"/>
  <c r="K67" i="18"/>
  <c r="J67" i="18"/>
  <c r="I67" i="18"/>
  <c r="H67" i="18"/>
  <c r="P63" i="18"/>
  <c r="O63" i="18"/>
  <c r="N63" i="18"/>
  <c r="M63" i="18"/>
  <c r="L63" i="18"/>
  <c r="K63" i="18"/>
  <c r="J63" i="18"/>
  <c r="I63" i="18"/>
  <c r="H63" i="18"/>
  <c r="P47" i="18"/>
  <c r="O47" i="18"/>
  <c r="N47" i="18"/>
  <c r="M47" i="18"/>
  <c r="L47" i="18"/>
  <c r="K47" i="18"/>
  <c r="J47" i="18"/>
  <c r="I47" i="18"/>
  <c r="H47" i="18"/>
  <c r="P45" i="18"/>
  <c r="O45" i="18"/>
  <c r="N45" i="18"/>
  <c r="M45" i="18"/>
  <c r="L45" i="18"/>
  <c r="K45" i="18"/>
  <c r="J45" i="18"/>
  <c r="I45" i="18"/>
  <c r="H4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68" i="18"/>
  <c r="S62" i="18"/>
  <c r="Q62" i="18"/>
  <c r="Q186" i="18" l="1"/>
  <c r="Z70" i="18"/>
  <c r="Y94" i="18"/>
  <c r="T62" i="18"/>
  <c r="Q210" i="18"/>
  <c r="Q77" i="18"/>
  <c r="Q76" i="18"/>
  <c r="Q209" i="18"/>
  <c r="Q208" i="18"/>
  <c r="Q52" i="18"/>
  <c r="Q55" i="18"/>
  <c r="AA70" i="18" l="1"/>
  <c r="Z94" i="18"/>
  <c r="U62" i="18"/>
  <c r="I101" i="18"/>
  <c r="J101" i="18"/>
  <c r="K101" i="18"/>
  <c r="L101" i="18"/>
  <c r="M101" i="18"/>
  <c r="N101" i="18"/>
  <c r="O101" i="18"/>
  <c r="P101" i="18"/>
  <c r="I102" i="18"/>
  <c r="J102" i="18"/>
  <c r="K102" i="18"/>
  <c r="L102" i="18"/>
  <c r="M102" i="18"/>
  <c r="N102" i="18"/>
  <c r="O102" i="18"/>
  <c r="P102" i="18"/>
  <c r="I96" i="18"/>
  <c r="I98" i="18" s="1"/>
  <c r="J96" i="18"/>
  <c r="J98" i="18" s="1"/>
  <c r="K96" i="18"/>
  <c r="K98" i="18" s="1"/>
  <c r="L96" i="18"/>
  <c r="L98" i="18" s="1"/>
  <c r="M96" i="18"/>
  <c r="M98" i="18" s="1"/>
  <c r="N96" i="18"/>
  <c r="N98" i="18" s="1"/>
  <c r="O96" i="18"/>
  <c r="O98" i="18" s="1"/>
  <c r="P96" i="18"/>
  <c r="P98" i="18" s="1"/>
  <c r="I99" i="18"/>
  <c r="J99" i="18"/>
  <c r="K99" i="18"/>
  <c r="L99" i="18"/>
  <c r="M99" i="18"/>
  <c r="N99" i="18"/>
  <c r="O99" i="18"/>
  <c r="P99" i="18"/>
  <c r="I100" i="18"/>
  <c r="J100" i="18"/>
  <c r="K100" i="18"/>
  <c r="L100" i="18"/>
  <c r="M100" i="18"/>
  <c r="N100" i="18"/>
  <c r="O100" i="18"/>
  <c r="P100" i="18"/>
  <c r="C99" i="18"/>
  <c r="D99" i="18"/>
  <c r="E99" i="18"/>
  <c r="F99" i="18"/>
  <c r="G99" i="18"/>
  <c r="C100" i="18"/>
  <c r="D100" i="18"/>
  <c r="E100" i="18"/>
  <c r="F100" i="18"/>
  <c r="G100" i="18"/>
  <c r="C101" i="18"/>
  <c r="D101" i="18"/>
  <c r="E101" i="18"/>
  <c r="F101" i="18"/>
  <c r="G101" i="18"/>
  <c r="C102" i="18"/>
  <c r="D102" i="18"/>
  <c r="E102" i="18"/>
  <c r="F102" i="18"/>
  <c r="G102" i="18"/>
  <c r="H102" i="18"/>
  <c r="H101" i="18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AE28" i="18" s="1"/>
  <c r="Q28" i="18"/>
  <c r="S27" i="18"/>
  <c r="T27" i="18" s="1"/>
  <c r="U27" i="18" s="1"/>
  <c r="V27" i="18" s="1"/>
  <c r="W27" i="18" s="1"/>
  <c r="X27" i="18" s="1"/>
  <c r="Y27" i="18" s="1"/>
  <c r="Z27" i="18" s="1"/>
  <c r="AA27" i="18" s="1"/>
  <c r="AB27" i="18" s="1"/>
  <c r="S26" i="18"/>
  <c r="Q25" i="18"/>
  <c r="C96" i="18"/>
  <c r="C98" i="18" s="1"/>
  <c r="D96" i="18"/>
  <c r="D98" i="18" s="1"/>
  <c r="E96" i="18"/>
  <c r="E98" i="18" s="1"/>
  <c r="F96" i="18"/>
  <c r="F98" i="18" s="1"/>
  <c r="G96" i="18"/>
  <c r="G98" i="18" s="1"/>
  <c r="H96" i="18"/>
  <c r="H98" i="18" s="1"/>
  <c r="H100" i="18"/>
  <c r="H99" i="18"/>
  <c r="AE52" i="18" l="1"/>
  <c r="AC52" i="18"/>
  <c r="AC27" i="18"/>
  <c r="AE27" i="18"/>
  <c r="AB70" i="18"/>
  <c r="AE70" i="18" s="1"/>
  <c r="AA94" i="18"/>
  <c r="V62" i="18"/>
  <c r="Q101" i="18"/>
  <c r="Q102" i="18"/>
  <c r="Q100" i="18"/>
  <c r="Q98" i="18"/>
  <c r="Q99" i="18"/>
  <c r="AC28" i="18"/>
  <c r="Q27" i="18"/>
  <c r="Q26" i="18"/>
  <c r="Q96" i="18"/>
  <c r="S25" i="18"/>
  <c r="T26" i="18"/>
  <c r="Q94" i="18"/>
  <c r="Q185" i="18"/>
  <c r="T25" i="18" l="1"/>
  <c r="S96" i="18"/>
  <c r="AB94" i="18"/>
  <c r="AC70" i="18"/>
  <c r="U26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66" i="18"/>
  <c r="Q54" i="18"/>
  <c r="Q46" i="18"/>
  <c r="Q44" i="18"/>
  <c r="Q23" i="18"/>
  <c r="Q18" i="18"/>
  <c r="Q17" i="18"/>
  <c r="Q15" i="18"/>
  <c r="Q12" i="18"/>
  <c r="Q10" i="18"/>
  <c r="Q9" i="18"/>
  <c r="Q7" i="18"/>
  <c r="Q6" i="18"/>
  <c r="S23" i="18"/>
  <c r="S44" i="18"/>
  <c r="S46" i="18"/>
  <c r="S140" i="18" s="1"/>
  <c r="S54" i="18"/>
  <c r="T54" i="18" s="1"/>
  <c r="U54" i="18" s="1"/>
  <c r="V54" i="18" s="1"/>
  <c r="W54" i="18" s="1"/>
  <c r="X54" i="18" s="1"/>
  <c r="Y54" i="18" s="1"/>
  <c r="Z54" i="18" s="1"/>
  <c r="AA54" i="18" s="1"/>
  <c r="AB54" i="18" s="1"/>
  <c r="AE54" i="18" s="1"/>
  <c r="S55" i="18"/>
  <c r="T55" i="18" s="1"/>
  <c r="U55" i="18" s="1"/>
  <c r="V55" i="18" s="1"/>
  <c r="W55" i="18" s="1"/>
  <c r="X55" i="18" s="1"/>
  <c r="Y55" i="18" s="1"/>
  <c r="Z55" i="18" s="1"/>
  <c r="AA55" i="18" s="1"/>
  <c r="AB55" i="18" s="1"/>
  <c r="AE55" i="18" s="1"/>
  <c r="W62" i="18"/>
  <c r="O92" i="18"/>
  <c r="O190" i="18" s="1"/>
  <c r="O91" i="18"/>
  <c r="O89" i="18"/>
  <c r="O88" i="18"/>
  <c r="O86" i="18"/>
  <c r="O191" i="18" s="1"/>
  <c r="O85" i="18"/>
  <c r="O84" i="18"/>
  <c r="O82" i="18"/>
  <c r="O81" i="18"/>
  <c r="O188" i="18" s="1"/>
  <c r="O80" i="18"/>
  <c r="O79" i="18"/>
  <c r="S139" i="18" l="1"/>
  <c r="S149" i="18"/>
  <c r="S114" i="18"/>
  <c r="T96" i="18"/>
  <c r="S133" i="18"/>
  <c r="S134" i="18"/>
  <c r="S132" i="18"/>
  <c r="S122" i="18"/>
  <c r="P127" i="18"/>
  <c r="Q127" i="18" s="1"/>
  <c r="Q126" i="18"/>
  <c r="S116" i="18"/>
  <c r="S130" i="18"/>
  <c r="S129" i="18"/>
  <c r="T23" i="18"/>
  <c r="S173" i="18"/>
  <c r="AE94" i="18"/>
  <c r="O187" i="18"/>
  <c r="O192" i="18"/>
  <c r="U25" i="18"/>
  <c r="AC94" i="18"/>
  <c r="T173" i="18" s="1"/>
  <c r="T46" i="18"/>
  <c r="T140" i="18" s="1"/>
  <c r="X62" i="18"/>
  <c r="T44" i="18"/>
  <c r="S110" i="18"/>
  <c r="V26" i="18"/>
  <c r="AC54" i="18"/>
  <c r="AC55" i="18"/>
  <c r="AC9" i="18"/>
  <c r="O90" i="18"/>
  <c r="O189" i="18" s="1"/>
  <c r="D86" i="18"/>
  <c r="E86" i="18"/>
  <c r="F86" i="18"/>
  <c r="G86" i="18"/>
  <c r="G191" i="18" s="1"/>
  <c r="H86" i="18"/>
  <c r="H191" i="18" s="1"/>
  <c r="I86" i="18"/>
  <c r="I191" i="18" s="1"/>
  <c r="J86" i="18"/>
  <c r="J191" i="18" s="1"/>
  <c r="K86" i="18"/>
  <c r="K191" i="18" s="1"/>
  <c r="L86" i="18"/>
  <c r="L191" i="18" s="1"/>
  <c r="M86" i="18"/>
  <c r="M191" i="18" s="1"/>
  <c r="N86" i="18"/>
  <c r="N191" i="18" s="1"/>
  <c r="P86" i="18"/>
  <c r="C86" i="18"/>
  <c r="C85" i="18"/>
  <c r="T139" i="18" l="1"/>
  <c r="T149" i="18"/>
  <c r="T114" i="18"/>
  <c r="T132" i="18"/>
  <c r="T134" i="18"/>
  <c r="T133" i="18"/>
  <c r="T122" i="18"/>
  <c r="T116" i="18"/>
  <c r="T130" i="18"/>
  <c r="T129" i="18"/>
  <c r="U23" i="18"/>
  <c r="R173" i="18"/>
  <c r="P197" i="18" s="1"/>
  <c r="V25" i="18"/>
  <c r="U96" i="18"/>
  <c r="U46" i="18"/>
  <c r="U140" i="18" s="1"/>
  <c r="U44" i="18"/>
  <c r="U114" i="18" s="1"/>
  <c r="T110" i="18"/>
  <c r="Y62" i="18"/>
  <c r="W26" i="18"/>
  <c r="P191" i="18"/>
  <c r="Q191" i="18" s="1"/>
  <c r="Q86" i="18"/>
  <c r="D85" i="18"/>
  <c r="E85" i="18"/>
  <c r="F85" i="18"/>
  <c r="G85" i="18"/>
  <c r="H85" i="18"/>
  <c r="I85" i="18"/>
  <c r="J85" i="18"/>
  <c r="K85" i="18"/>
  <c r="L85" i="18"/>
  <c r="M85" i="18"/>
  <c r="N85" i="18"/>
  <c r="P85" i="18"/>
  <c r="D84" i="18"/>
  <c r="E84" i="18"/>
  <c r="F84" i="18"/>
  <c r="G84" i="18"/>
  <c r="H84" i="18"/>
  <c r="I84" i="18"/>
  <c r="J84" i="18"/>
  <c r="K84" i="18"/>
  <c r="L84" i="18"/>
  <c r="M84" i="18"/>
  <c r="N84" i="18"/>
  <c r="P84" i="18"/>
  <c r="C84" i="18"/>
  <c r="U139" i="18" l="1"/>
  <c r="U149" i="18"/>
  <c r="U134" i="18"/>
  <c r="U133" i="18"/>
  <c r="U132" i="18"/>
  <c r="U122" i="18"/>
  <c r="U116" i="18"/>
  <c r="U130" i="18"/>
  <c r="U129" i="18"/>
  <c r="V23" i="18"/>
  <c r="W25" i="18"/>
  <c r="V96" i="18"/>
  <c r="V46" i="18"/>
  <c r="V140" i="18" s="1"/>
  <c r="V44" i="18"/>
  <c r="U110" i="18"/>
  <c r="Z62" i="18"/>
  <c r="X26" i="18"/>
  <c r="Q84" i="18"/>
  <c r="Q85" i="18"/>
  <c r="C46" i="15"/>
  <c r="V139" i="18" l="1"/>
  <c r="V149" i="18"/>
  <c r="V114" i="18"/>
  <c r="V122" i="18"/>
  <c r="V134" i="18"/>
  <c r="V133" i="18"/>
  <c r="V132" i="18"/>
  <c r="V116" i="18"/>
  <c r="V130" i="18"/>
  <c r="V129" i="18"/>
  <c r="W23" i="18"/>
  <c r="X25" i="18"/>
  <c r="W96" i="18"/>
  <c r="W46" i="18"/>
  <c r="W140" i="18" s="1"/>
  <c r="W44" i="18"/>
  <c r="V110" i="18"/>
  <c r="AA62" i="18"/>
  <c r="Y26" i="18"/>
  <c r="S185" i="18"/>
  <c r="C79" i="18"/>
  <c r="D79" i="18"/>
  <c r="E79" i="18"/>
  <c r="F79" i="18"/>
  <c r="H79" i="18"/>
  <c r="I79" i="18"/>
  <c r="J79" i="18"/>
  <c r="K79" i="18"/>
  <c r="L79" i="18"/>
  <c r="L192" i="18" s="1"/>
  <c r="M79" i="18"/>
  <c r="N79" i="18"/>
  <c r="N192" i="18" s="1"/>
  <c r="P79" i="18"/>
  <c r="D92" i="18"/>
  <c r="D190" i="18" s="1"/>
  <c r="E92" i="18"/>
  <c r="E190" i="18" s="1"/>
  <c r="F92" i="18"/>
  <c r="F190" i="18" s="1"/>
  <c r="G92" i="18"/>
  <c r="H92" i="18"/>
  <c r="H190" i="18" s="1"/>
  <c r="I92" i="18"/>
  <c r="I190" i="18" s="1"/>
  <c r="J92" i="18"/>
  <c r="J190" i="18" s="1"/>
  <c r="K92" i="18"/>
  <c r="K190" i="18" s="1"/>
  <c r="L92" i="18"/>
  <c r="L190" i="18" s="1"/>
  <c r="M92" i="18"/>
  <c r="M190" i="18" s="1"/>
  <c r="N92" i="18"/>
  <c r="P92" i="18"/>
  <c r="D91" i="18"/>
  <c r="E91" i="18"/>
  <c r="F91" i="18"/>
  <c r="G91" i="18"/>
  <c r="H91" i="18"/>
  <c r="I91" i="18"/>
  <c r="J91" i="18"/>
  <c r="K91" i="18"/>
  <c r="L91" i="18"/>
  <c r="M91" i="18"/>
  <c r="N91" i="18"/>
  <c r="P91" i="18"/>
  <c r="D89" i="18"/>
  <c r="E89" i="18"/>
  <c r="F89" i="18"/>
  <c r="G89" i="18"/>
  <c r="H89" i="18"/>
  <c r="I89" i="18"/>
  <c r="J89" i="18"/>
  <c r="K89" i="18"/>
  <c r="L89" i="18"/>
  <c r="M89" i="18"/>
  <c r="N89" i="18"/>
  <c r="P89" i="18"/>
  <c r="D88" i="18"/>
  <c r="D90" i="18" s="1"/>
  <c r="D189" i="18" s="1"/>
  <c r="E88" i="18"/>
  <c r="E90" i="18" s="1"/>
  <c r="E189" i="18" s="1"/>
  <c r="F88" i="18"/>
  <c r="G88" i="18"/>
  <c r="H88" i="18"/>
  <c r="I88" i="18"/>
  <c r="J88" i="18"/>
  <c r="K88" i="18"/>
  <c r="L88" i="18"/>
  <c r="M88" i="18"/>
  <c r="N88" i="18"/>
  <c r="P88" i="18"/>
  <c r="D82" i="18"/>
  <c r="E82" i="18"/>
  <c r="F82" i="18"/>
  <c r="G82" i="18"/>
  <c r="H82" i="18"/>
  <c r="I82" i="18"/>
  <c r="J82" i="18"/>
  <c r="K82" i="18"/>
  <c r="L82" i="18"/>
  <c r="M82" i="18"/>
  <c r="N82" i="18"/>
  <c r="P82" i="18"/>
  <c r="D81" i="18"/>
  <c r="D188" i="18" s="1"/>
  <c r="E81" i="18"/>
  <c r="E188" i="18" s="1"/>
  <c r="F81" i="18"/>
  <c r="F188" i="18" s="1"/>
  <c r="G81" i="18"/>
  <c r="H81" i="18"/>
  <c r="H188" i="18" s="1"/>
  <c r="I81" i="18"/>
  <c r="I188" i="18" s="1"/>
  <c r="J81" i="18"/>
  <c r="J188" i="18" s="1"/>
  <c r="K81" i="18"/>
  <c r="K188" i="18" s="1"/>
  <c r="L81" i="18"/>
  <c r="L188" i="18" s="1"/>
  <c r="M81" i="18"/>
  <c r="M188" i="18" s="1"/>
  <c r="N81" i="18"/>
  <c r="P81" i="18"/>
  <c r="C92" i="18"/>
  <c r="C190" i="18" s="1"/>
  <c r="C91" i="18"/>
  <c r="C89" i="18"/>
  <c r="C88" i="18"/>
  <c r="C82" i="18"/>
  <c r="C81" i="18"/>
  <c r="C188" i="18" s="1"/>
  <c r="D80" i="18"/>
  <c r="E80" i="18"/>
  <c r="F80" i="18"/>
  <c r="G80" i="18"/>
  <c r="H80" i="18"/>
  <c r="I80" i="18"/>
  <c r="J80" i="18"/>
  <c r="K80" i="18"/>
  <c r="L80" i="18"/>
  <c r="M80" i="18"/>
  <c r="N80" i="18"/>
  <c r="P80" i="18"/>
  <c r="C80" i="18"/>
  <c r="S17" i="18"/>
  <c r="S137" i="18" s="1"/>
  <c r="S18" i="18"/>
  <c r="S145" i="18" s="1"/>
  <c r="S146" i="18" s="1"/>
  <c r="S66" i="18"/>
  <c r="S10" i="18"/>
  <c r="S12" i="18"/>
  <c r="S15" i="18"/>
  <c r="S7" i="18"/>
  <c r="S6" i="18"/>
  <c r="S205" i="18" l="1"/>
  <c r="P205" i="18"/>
  <c r="M205" i="18"/>
  <c r="W139" i="18"/>
  <c r="W149" i="18"/>
  <c r="W114" i="18"/>
  <c r="S112" i="18"/>
  <c r="S113" i="18"/>
  <c r="S143" i="18"/>
  <c r="S142" i="18"/>
  <c r="S117" i="18"/>
  <c r="S138" i="18"/>
  <c r="H192" i="18"/>
  <c r="H187" i="18"/>
  <c r="W122" i="18"/>
  <c r="W133" i="18"/>
  <c r="W132" i="18"/>
  <c r="W134" i="18"/>
  <c r="S121" i="18"/>
  <c r="S126" i="18"/>
  <c r="S127" i="18" s="1"/>
  <c r="W116" i="18"/>
  <c r="W130" i="18"/>
  <c r="W129" i="18"/>
  <c r="S119" i="18"/>
  <c r="S120" i="18"/>
  <c r="X23" i="18"/>
  <c r="D187" i="18"/>
  <c r="D191" i="18" s="1"/>
  <c r="D192" i="18"/>
  <c r="E187" i="18"/>
  <c r="E191" i="18" s="1"/>
  <c r="E192" i="18"/>
  <c r="C187" i="18"/>
  <c r="C191" i="18" s="1"/>
  <c r="C192" i="18"/>
  <c r="P187" i="18"/>
  <c r="P192" i="18"/>
  <c r="K187" i="18"/>
  <c r="K192" i="18"/>
  <c r="F187" i="18"/>
  <c r="F191" i="18" s="1"/>
  <c r="F192" i="18"/>
  <c r="J187" i="18"/>
  <c r="J192" i="18"/>
  <c r="M187" i="18"/>
  <c r="M192" i="18"/>
  <c r="I187" i="18"/>
  <c r="I192" i="18"/>
  <c r="Q155" i="18"/>
  <c r="Y25" i="18"/>
  <c r="X96" i="18"/>
  <c r="H90" i="18"/>
  <c r="H189" i="18" s="1"/>
  <c r="X46" i="18"/>
  <c r="X140" i="18" s="1"/>
  <c r="T12" i="18"/>
  <c r="T17" i="18"/>
  <c r="T137" i="18" s="1"/>
  <c r="T15" i="18"/>
  <c r="T10" i="18"/>
  <c r="T18" i="18"/>
  <c r="T145" i="18" s="1"/>
  <c r="T146" i="18" s="1"/>
  <c r="T6" i="18"/>
  <c r="T7" i="18"/>
  <c r="X44" i="18"/>
  <c r="W110" i="18"/>
  <c r="T66" i="18"/>
  <c r="S111" i="18"/>
  <c r="AB62" i="18"/>
  <c r="AE62" i="18" s="1"/>
  <c r="F90" i="18"/>
  <c r="F189" i="18" s="1"/>
  <c r="L90" i="18"/>
  <c r="L189" i="18" s="1"/>
  <c r="K90" i="18"/>
  <c r="K189" i="18" s="1"/>
  <c r="J90" i="18"/>
  <c r="J189" i="18" s="1"/>
  <c r="Z26" i="18"/>
  <c r="C90" i="18"/>
  <c r="C189" i="18" s="1"/>
  <c r="T185" i="18"/>
  <c r="I90" i="18"/>
  <c r="I189" i="18" s="1"/>
  <c r="Q80" i="18"/>
  <c r="G188" i="18"/>
  <c r="Q81" i="18"/>
  <c r="Q82" i="18"/>
  <c r="Q89" i="18"/>
  <c r="Q91" i="18"/>
  <c r="G187" i="18"/>
  <c r="Q79" i="18"/>
  <c r="G190" i="18"/>
  <c r="Q92" i="18"/>
  <c r="G90" i="18"/>
  <c r="Q88" i="18"/>
  <c r="N188" i="18"/>
  <c r="N187" i="18"/>
  <c r="N190" i="18"/>
  <c r="P188" i="18"/>
  <c r="L187" i="18"/>
  <c r="N90" i="18"/>
  <c r="M90" i="18"/>
  <c r="M189" i="18" s="1"/>
  <c r="P190" i="18"/>
  <c r="P90" i="18"/>
  <c r="S89" i="18"/>
  <c r="C6" i="12"/>
  <c r="C26" i="15"/>
  <c r="C58" i="15"/>
  <c r="C57" i="15"/>
  <c r="C54" i="15"/>
  <c r="C53" i="15"/>
  <c r="C50" i="15"/>
  <c r="C49" i="15"/>
  <c r="C45" i="15"/>
  <c r="S204" i="18" l="1"/>
  <c r="P204" i="18"/>
  <c r="M204" i="18"/>
  <c r="T205" i="18"/>
  <c r="S206" i="18"/>
  <c r="X139" i="18"/>
  <c r="X149" i="18"/>
  <c r="X114" i="18"/>
  <c r="T143" i="18"/>
  <c r="T142" i="18"/>
  <c r="T117" i="18"/>
  <c r="T138" i="18"/>
  <c r="T113" i="18"/>
  <c r="X132" i="18"/>
  <c r="X133" i="18"/>
  <c r="X134" i="18"/>
  <c r="X122" i="18"/>
  <c r="X116" i="18"/>
  <c r="X130" i="18"/>
  <c r="X129" i="18"/>
  <c r="T119" i="18"/>
  <c r="T120" i="18"/>
  <c r="T121" i="18"/>
  <c r="Y23" i="18"/>
  <c r="Z25" i="18"/>
  <c r="Y96" i="18"/>
  <c r="S88" i="18"/>
  <c r="S105" i="18"/>
  <c r="S84" i="18"/>
  <c r="S86" i="18"/>
  <c r="S191" i="18" s="1"/>
  <c r="S92" i="18"/>
  <c r="S190" i="18" s="1"/>
  <c r="S102" i="18"/>
  <c r="S104" i="18"/>
  <c r="S77" i="18"/>
  <c r="S76" i="18"/>
  <c r="S186" i="18" s="1"/>
  <c r="S85" i="18"/>
  <c r="S81" i="18"/>
  <c r="S82" i="18"/>
  <c r="S91" i="18"/>
  <c r="S80" i="18"/>
  <c r="S106" i="18"/>
  <c r="S79" i="18"/>
  <c r="Y46" i="18"/>
  <c r="Y140" i="18" s="1"/>
  <c r="U17" i="18"/>
  <c r="U137" i="18" s="1"/>
  <c r="U15" i="18"/>
  <c r="U12" i="18"/>
  <c r="S90" i="18"/>
  <c r="U18" i="18"/>
  <c r="U145" i="18" s="1"/>
  <c r="U146" i="18" s="1"/>
  <c r="U10" i="18"/>
  <c r="U7" i="18"/>
  <c r="U6" i="18"/>
  <c r="AC62" i="18"/>
  <c r="Y44" i="18"/>
  <c r="X110" i="18"/>
  <c r="U66" i="18"/>
  <c r="T112" i="18"/>
  <c r="T111" i="18"/>
  <c r="T68" i="18"/>
  <c r="T124" i="18" s="1"/>
  <c r="T125" i="18" s="1"/>
  <c r="T126" i="18" s="1"/>
  <c r="T127" i="18" s="1"/>
  <c r="S99" i="18"/>
  <c r="S100" i="18"/>
  <c r="S101" i="18"/>
  <c r="S98" i="18"/>
  <c r="AA26" i="18"/>
  <c r="U185" i="18"/>
  <c r="Q188" i="18"/>
  <c r="Q187" i="18"/>
  <c r="Q190" i="18"/>
  <c r="G189" i="18"/>
  <c r="Q90" i="18"/>
  <c r="N189" i="18"/>
  <c r="P189" i="18"/>
  <c r="C16" i="15"/>
  <c r="C21" i="15"/>
  <c r="C10" i="15"/>
  <c r="U205" i="18" l="1"/>
  <c r="T206" i="18"/>
  <c r="S203" i="18"/>
  <c r="T204" i="18"/>
  <c r="Y139" i="18"/>
  <c r="Y149" i="18"/>
  <c r="Y114" i="18"/>
  <c r="U117" i="18"/>
  <c r="U138" i="18"/>
  <c r="U143" i="18"/>
  <c r="U142" i="18"/>
  <c r="U113" i="18"/>
  <c r="Y134" i="18"/>
  <c r="Y133" i="18"/>
  <c r="Y132" i="18"/>
  <c r="Y122" i="18"/>
  <c r="T88" i="18"/>
  <c r="Y116" i="18"/>
  <c r="Y130" i="18"/>
  <c r="Y129" i="18"/>
  <c r="U119" i="18"/>
  <c r="U120" i="18"/>
  <c r="U121" i="18"/>
  <c r="T84" i="18"/>
  <c r="Z23" i="18"/>
  <c r="AA25" i="18"/>
  <c r="Z96" i="18"/>
  <c r="T86" i="18"/>
  <c r="T191" i="18" s="1"/>
  <c r="T92" i="18"/>
  <c r="T190" i="18" s="1"/>
  <c r="T102" i="18"/>
  <c r="T104" i="18"/>
  <c r="T76" i="18"/>
  <c r="T186" i="18" s="1"/>
  <c r="T77" i="18"/>
  <c r="T81" i="18"/>
  <c r="T80" i="18"/>
  <c r="T91" i="18"/>
  <c r="T106" i="18"/>
  <c r="T85" i="18"/>
  <c r="T82" i="18"/>
  <c r="T79" i="18"/>
  <c r="T89" i="18"/>
  <c r="T105" i="18"/>
  <c r="Z46" i="18"/>
  <c r="Z140" i="18" s="1"/>
  <c r="V15" i="18"/>
  <c r="V12" i="18"/>
  <c r="V17" i="18"/>
  <c r="V137" i="18" s="1"/>
  <c r="V10" i="18"/>
  <c r="V18" i="18"/>
  <c r="V145" i="18" s="1"/>
  <c r="V146" i="18" s="1"/>
  <c r="V6" i="18"/>
  <c r="V7" i="18"/>
  <c r="V66" i="18"/>
  <c r="U112" i="18"/>
  <c r="U111" i="18"/>
  <c r="Z44" i="18"/>
  <c r="Y110" i="18"/>
  <c r="U68" i="18"/>
  <c r="U124" i="18" s="1"/>
  <c r="U125" i="18" s="1"/>
  <c r="U126" i="18" s="1"/>
  <c r="U127" i="18" s="1"/>
  <c r="T101" i="18"/>
  <c r="T100" i="18"/>
  <c r="T99" i="18"/>
  <c r="T98" i="18"/>
  <c r="AB26" i="18"/>
  <c r="AE26" i="18" s="1"/>
  <c r="S189" i="18"/>
  <c r="V185" i="18"/>
  <c r="S187" i="18"/>
  <c r="S188" i="18"/>
  <c r="Q189" i="18"/>
  <c r="D31" i="8"/>
  <c r="D29" i="8"/>
  <c r="D28" i="8"/>
  <c r="D13" i="8"/>
  <c r="D30" i="8" s="1"/>
  <c r="E14" i="8"/>
  <c r="F14" i="8" s="1"/>
  <c r="G14" i="8" s="1"/>
  <c r="H14" i="8" s="1"/>
  <c r="I14" i="8" s="1"/>
  <c r="T203" i="18" l="1"/>
  <c r="U204" i="18"/>
  <c r="V205" i="18"/>
  <c r="U206" i="18"/>
  <c r="Z139" i="18"/>
  <c r="Z149" i="18"/>
  <c r="Z114" i="18"/>
  <c r="V113" i="18"/>
  <c r="V142" i="18"/>
  <c r="V143" i="18"/>
  <c r="V117" i="18"/>
  <c r="V138" i="18"/>
  <c r="Z134" i="18"/>
  <c r="Z133" i="18"/>
  <c r="Z132" i="18"/>
  <c r="Z122" i="18"/>
  <c r="U88" i="18"/>
  <c r="T90" i="18"/>
  <c r="T189" i="18" s="1"/>
  <c r="Z116" i="18"/>
  <c r="Z130" i="18"/>
  <c r="Z129" i="18"/>
  <c r="V119" i="18"/>
  <c r="V121" i="18"/>
  <c r="V120" i="18"/>
  <c r="AA23" i="18"/>
  <c r="AB25" i="18"/>
  <c r="AA96" i="18"/>
  <c r="U106" i="18"/>
  <c r="U105" i="18"/>
  <c r="U84" i="18"/>
  <c r="U92" i="18"/>
  <c r="U190" i="18" s="1"/>
  <c r="U91" i="18"/>
  <c r="U86" i="18"/>
  <c r="U191" i="18" s="1"/>
  <c r="U89" i="18"/>
  <c r="U80" i="18"/>
  <c r="U102" i="18"/>
  <c r="U104" i="18"/>
  <c r="U77" i="18"/>
  <c r="U76" i="18"/>
  <c r="U186" i="18" s="1"/>
  <c r="U85" i="18"/>
  <c r="U81" i="18"/>
  <c r="U82" i="18"/>
  <c r="U79" i="18"/>
  <c r="AA46" i="18"/>
  <c r="AA140" i="18" s="1"/>
  <c r="W12" i="18"/>
  <c r="W17" i="18"/>
  <c r="W137" i="18" s="1"/>
  <c r="W15" i="18"/>
  <c r="W18" i="18"/>
  <c r="W145" i="18" s="1"/>
  <c r="W146" i="18" s="1"/>
  <c r="W10" i="18"/>
  <c r="W7" i="18"/>
  <c r="W6" i="18"/>
  <c r="AA44" i="18"/>
  <c r="AA114" i="18" s="1"/>
  <c r="Z110" i="18"/>
  <c r="W66" i="18"/>
  <c r="V111" i="18"/>
  <c r="V112" i="18"/>
  <c r="V68" i="18"/>
  <c r="V124" i="18" s="1"/>
  <c r="V125" i="18" s="1"/>
  <c r="V126" i="18" s="1"/>
  <c r="V127" i="18" s="1"/>
  <c r="U101" i="18"/>
  <c r="U99" i="18"/>
  <c r="U100" i="18"/>
  <c r="U98" i="18"/>
  <c r="AC26" i="18"/>
  <c r="W185" i="18"/>
  <c r="T187" i="18"/>
  <c r="T188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205" i="18" l="1"/>
  <c r="V206" i="18"/>
  <c r="V204" i="18"/>
  <c r="U203" i="18"/>
  <c r="AA139" i="18"/>
  <c r="AA149" i="18"/>
  <c r="AE25" i="18"/>
  <c r="W143" i="18"/>
  <c r="W142" i="18"/>
  <c r="W117" i="18"/>
  <c r="W138" i="18"/>
  <c r="W113" i="18"/>
  <c r="AA133" i="18"/>
  <c r="AA132" i="18"/>
  <c r="AA134" i="18"/>
  <c r="AA122" i="18"/>
  <c r="U90" i="18"/>
  <c r="U189" i="18" s="1"/>
  <c r="AA116" i="18"/>
  <c r="AA130" i="18"/>
  <c r="AA129" i="18"/>
  <c r="V91" i="18"/>
  <c r="W119" i="18"/>
  <c r="W121" i="18"/>
  <c r="W120" i="18"/>
  <c r="AB23" i="18"/>
  <c r="V106" i="18"/>
  <c r="V82" i="18"/>
  <c r="V89" i="18"/>
  <c r="AC25" i="18"/>
  <c r="AB96" i="18"/>
  <c r="V80" i="18"/>
  <c r="V88" i="18"/>
  <c r="V85" i="18"/>
  <c r="V105" i="18"/>
  <c r="V81" i="18"/>
  <c r="V86" i="18"/>
  <c r="V191" i="18" s="1"/>
  <c r="V102" i="18"/>
  <c r="V104" i="18"/>
  <c r="V76" i="18"/>
  <c r="V186" i="18" s="1"/>
  <c r="V77" i="18"/>
  <c r="V84" i="18"/>
  <c r="V92" i="18"/>
  <c r="V190" i="18" s="1"/>
  <c r="V79" i="18"/>
  <c r="AB46" i="18"/>
  <c r="X17" i="18"/>
  <c r="X137" i="18" s="1"/>
  <c r="X15" i="18"/>
  <c r="X12" i="18"/>
  <c r="X10" i="18"/>
  <c r="X18" i="18"/>
  <c r="X145" i="18" s="1"/>
  <c r="X146" i="18" s="1"/>
  <c r="X6" i="18"/>
  <c r="X7" i="18"/>
  <c r="X66" i="18"/>
  <c r="W112" i="18"/>
  <c r="W111" i="18"/>
  <c r="AB44" i="18"/>
  <c r="AA110" i="18"/>
  <c r="W68" i="18"/>
  <c r="W124" i="18" s="1"/>
  <c r="W125" i="18" s="1"/>
  <c r="W126" i="18" s="1"/>
  <c r="W127" i="18" s="1"/>
  <c r="V101" i="18"/>
  <c r="V99" i="18"/>
  <c r="V100" i="18"/>
  <c r="V98" i="18"/>
  <c r="X185" i="18"/>
  <c r="U187" i="18"/>
  <c r="U188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204" i="18" l="1"/>
  <c r="V203" i="18"/>
  <c r="X205" i="18"/>
  <c r="W206" i="18"/>
  <c r="AB139" i="18"/>
  <c r="AC139" i="18" s="1"/>
  <c r="AB149" i="18"/>
  <c r="AC149" i="18" s="1"/>
  <c r="AB114" i="18"/>
  <c r="AC114" i="18" s="1"/>
  <c r="X117" i="18"/>
  <c r="X138" i="18"/>
  <c r="X143" i="18"/>
  <c r="X142" i="18"/>
  <c r="AE46" i="18"/>
  <c r="AB140" i="18"/>
  <c r="AC140" i="18" s="1"/>
  <c r="X113" i="18"/>
  <c r="AB132" i="18"/>
  <c r="AC132" i="18" s="1"/>
  <c r="AB134" i="18"/>
  <c r="AC134" i="18" s="1"/>
  <c r="AB133" i="18"/>
  <c r="AC133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22" i="18"/>
  <c r="AC122" i="18" s="1"/>
  <c r="V90" i="18"/>
  <c r="V189" i="18" s="1"/>
  <c r="W89" i="18"/>
  <c r="AB116" i="18"/>
  <c r="AC116" i="18" s="1"/>
  <c r="AB130" i="18"/>
  <c r="AC130" i="18" s="1"/>
  <c r="AB129" i="18"/>
  <c r="AC129" i="18" s="1"/>
  <c r="X119" i="18"/>
  <c r="X121" i="18"/>
  <c r="X120" i="18"/>
  <c r="AE44" i="18"/>
  <c r="AE23" i="18"/>
  <c r="AC23" i="18"/>
  <c r="S175" i="18"/>
  <c r="AE96" i="18"/>
  <c r="AC96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92" i="18"/>
  <c r="W190" i="18" s="1"/>
  <c r="W91" i="18"/>
  <c r="W86" i="18"/>
  <c r="W191" i="18" s="1"/>
  <c r="W88" i="18"/>
  <c r="W85" i="18"/>
  <c r="W105" i="18"/>
  <c r="W84" i="18"/>
  <c r="W106" i="18"/>
  <c r="W102" i="18"/>
  <c r="W104" i="18"/>
  <c r="W77" i="18"/>
  <c r="W76" i="18"/>
  <c r="W186" i="18" s="1"/>
  <c r="W80" i="18"/>
  <c r="W81" i="18"/>
  <c r="W82" i="18"/>
  <c r="W79" i="18"/>
  <c r="AC46" i="18"/>
  <c r="Y12" i="18"/>
  <c r="Y17" i="18"/>
  <c r="Y137" i="18" s="1"/>
  <c r="Y15" i="18"/>
  <c r="Y10" i="18"/>
  <c r="Y18" i="18"/>
  <c r="Y145" i="18" s="1"/>
  <c r="Y146" i="18" s="1"/>
  <c r="Y7" i="18"/>
  <c r="Y6" i="18"/>
  <c r="AC44" i="18"/>
  <c r="AB110" i="18"/>
  <c r="AC110" i="18" s="1"/>
  <c r="Y66" i="18"/>
  <c r="X112" i="18"/>
  <c r="X111" i="18"/>
  <c r="O31" i="9"/>
  <c r="O32" i="9" s="1"/>
  <c r="X68" i="18"/>
  <c r="X124" i="18" s="1"/>
  <c r="X125" i="18" s="1"/>
  <c r="X126" i="18" s="1"/>
  <c r="X127" i="18" s="1"/>
  <c r="W101" i="18"/>
  <c r="W99" i="18"/>
  <c r="W100" i="18"/>
  <c r="W98" i="18"/>
  <c r="Y185" i="18"/>
  <c r="V187" i="18"/>
  <c r="V188" i="18"/>
  <c r="P31" i="11"/>
  <c r="N32" i="11"/>
  <c r="T19" i="9"/>
  <c r="D22" i="9"/>
  <c r="X204" i="18" l="1"/>
  <c r="W203" i="18"/>
  <c r="Y205" i="18"/>
  <c r="X206" i="18"/>
  <c r="Y143" i="18"/>
  <c r="Y142" i="18"/>
  <c r="Y117" i="18"/>
  <c r="Y138" i="18"/>
  <c r="Y113" i="18"/>
  <c r="W90" i="18"/>
  <c r="W189" i="18" s="1"/>
  <c r="X82" i="18"/>
  <c r="Y119" i="18"/>
  <c r="Y120" i="18"/>
  <c r="Y121" i="18"/>
  <c r="T175" i="18"/>
  <c r="R175" i="18" s="1"/>
  <c r="X84" i="18"/>
  <c r="X91" i="18"/>
  <c r="X79" i="18"/>
  <c r="X86" i="18"/>
  <c r="X191" i="18" s="1"/>
  <c r="X81" i="18"/>
  <c r="X80" i="18"/>
  <c r="X102" i="18"/>
  <c r="X104" i="18"/>
  <c r="X77" i="18"/>
  <c r="X76" i="18"/>
  <c r="X186" i="18" s="1"/>
  <c r="X106" i="18"/>
  <c r="X85" i="18"/>
  <c r="X92" i="18"/>
  <c r="X190" i="18" s="1"/>
  <c r="X89" i="18"/>
  <c r="X88" i="18"/>
  <c r="X105" i="18"/>
  <c r="Z15" i="18"/>
  <c r="Z12" i="18"/>
  <c r="Z17" i="18"/>
  <c r="Z137" i="18" s="1"/>
  <c r="Z10" i="18"/>
  <c r="Z18" i="18"/>
  <c r="Z145" i="18" s="1"/>
  <c r="Z146" i="18" s="1"/>
  <c r="Z6" i="18"/>
  <c r="Z7" i="18"/>
  <c r="Z66" i="18"/>
  <c r="Y112" i="18"/>
  <c r="Y111" i="18"/>
  <c r="Y68" i="18"/>
  <c r="Y124" i="18" s="1"/>
  <c r="Y125" i="18" s="1"/>
  <c r="Y126" i="18" s="1"/>
  <c r="Y127" i="18" s="1"/>
  <c r="X101" i="18"/>
  <c r="X99" i="18"/>
  <c r="X100" i="18"/>
  <c r="X98" i="18"/>
  <c r="Z185" i="18"/>
  <c r="W187" i="18"/>
  <c r="W188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204" i="18" l="1"/>
  <c r="X203" i="18"/>
  <c r="Z205" i="18"/>
  <c r="Y206" i="18"/>
  <c r="Z117" i="18"/>
  <c r="Z138" i="18"/>
  <c r="Z142" i="18"/>
  <c r="Z143" i="18"/>
  <c r="Z113" i="18"/>
  <c r="Z119" i="18"/>
  <c r="Z120" i="18"/>
  <c r="Z121" i="18"/>
  <c r="X90" i="18"/>
  <c r="X189" i="18" s="1"/>
  <c r="Y102" i="18"/>
  <c r="Y104" i="18"/>
  <c r="Y76" i="18"/>
  <c r="Y186" i="18" s="1"/>
  <c r="Y77" i="18"/>
  <c r="Y86" i="18"/>
  <c r="Y191" i="18" s="1"/>
  <c r="Y92" i="18"/>
  <c r="Y190" i="18" s="1"/>
  <c r="Y91" i="18"/>
  <c r="Y89" i="18"/>
  <c r="Y80" i="18"/>
  <c r="Y79" i="18"/>
  <c r="Y85" i="18"/>
  <c r="Y81" i="18"/>
  <c r="Y82" i="18"/>
  <c r="Y88" i="18"/>
  <c r="Y105" i="18"/>
  <c r="Y84" i="18"/>
  <c r="Y106" i="18"/>
  <c r="AA12" i="18"/>
  <c r="AA17" i="18"/>
  <c r="AA137" i="18" s="1"/>
  <c r="AA15" i="18"/>
  <c r="AA10" i="18"/>
  <c r="AA18" i="18"/>
  <c r="AA145" i="18" s="1"/>
  <c r="AA146" i="18" s="1"/>
  <c r="AA7" i="18"/>
  <c r="AA6" i="18"/>
  <c r="AA66" i="18"/>
  <c r="Z111" i="18"/>
  <c r="Z112" i="18"/>
  <c r="Z68" i="18"/>
  <c r="Z124" i="18" s="1"/>
  <c r="Z125" i="18" s="1"/>
  <c r="Z126" i="18" s="1"/>
  <c r="Z127" i="18" s="1"/>
  <c r="Y101" i="18"/>
  <c r="Y99" i="18"/>
  <c r="Y100" i="18"/>
  <c r="Y98" i="18"/>
  <c r="AA185" i="18"/>
  <c r="X187" i="18"/>
  <c r="X188" i="18"/>
  <c r="N34" i="11"/>
  <c r="O33" i="11"/>
  <c r="D25" i="8"/>
  <c r="D23" i="8"/>
  <c r="Z204" i="18" l="1"/>
  <c r="Y203" i="18"/>
  <c r="AA205" i="18"/>
  <c r="Z206" i="18"/>
  <c r="AA113" i="18"/>
  <c r="AA142" i="18"/>
  <c r="AA143" i="18"/>
  <c r="AA117" i="18"/>
  <c r="AA138" i="18"/>
  <c r="AA119" i="18"/>
  <c r="AA120" i="18"/>
  <c r="AA121" i="18"/>
  <c r="Y90" i="18"/>
  <c r="Y189" i="18" s="1"/>
  <c r="Z102" i="18"/>
  <c r="Z104" i="18"/>
  <c r="Z77" i="18"/>
  <c r="Z76" i="18"/>
  <c r="Z186" i="18" s="1"/>
  <c r="Z80" i="18"/>
  <c r="Z91" i="18"/>
  <c r="Z81" i="18"/>
  <c r="Z86" i="18"/>
  <c r="Z191" i="18" s="1"/>
  <c r="Z89" i="18"/>
  <c r="Z88" i="18"/>
  <c r="Z106" i="18"/>
  <c r="Z92" i="18"/>
  <c r="Z190" i="18" s="1"/>
  <c r="Z79" i="18"/>
  <c r="Z85" i="18"/>
  <c r="Z105" i="18"/>
  <c r="Z84" i="18"/>
  <c r="Z82" i="18"/>
  <c r="AB17" i="18"/>
  <c r="AE17" i="18" s="1"/>
  <c r="AB15" i="18"/>
  <c r="AE15" i="18" s="1"/>
  <c r="AB12" i="18"/>
  <c r="AB138" i="18" s="1"/>
  <c r="AC138" i="18" s="1"/>
  <c r="AB10" i="18"/>
  <c r="AB18" i="18"/>
  <c r="AB6" i="18"/>
  <c r="AE6" i="18" s="1"/>
  <c r="AB7" i="18"/>
  <c r="AE7" i="18" s="1"/>
  <c r="AB66" i="18"/>
  <c r="AA112" i="18"/>
  <c r="AA111" i="18"/>
  <c r="AA68" i="18"/>
  <c r="AA124" i="18" s="1"/>
  <c r="AA125" i="18" s="1"/>
  <c r="AA126" i="18" s="1"/>
  <c r="AA127" i="18" s="1"/>
  <c r="Z101" i="18"/>
  <c r="Z99" i="18"/>
  <c r="Z100" i="18"/>
  <c r="Z98" i="18"/>
  <c r="AB185" i="18"/>
  <c r="Y187" i="18"/>
  <c r="Y188" i="18"/>
  <c r="N35" i="11"/>
  <c r="O34" i="11"/>
  <c r="D35" i="8"/>
  <c r="E5" i="8"/>
  <c r="E18" i="8" s="1"/>
  <c r="D18" i="8"/>
  <c r="D19" i="8"/>
  <c r="D21" i="8"/>
  <c r="D20" i="8"/>
  <c r="AB205" i="18" l="1"/>
  <c r="AA206" i="18"/>
  <c r="AA204" i="18"/>
  <c r="Z203" i="18"/>
  <c r="AE18" i="18"/>
  <c r="AB145" i="18"/>
  <c r="AB143" i="18"/>
  <c r="AC143" i="18" s="1"/>
  <c r="AB142" i="18"/>
  <c r="AC142" i="18" s="1"/>
  <c r="AB137" i="18"/>
  <c r="AC137" i="18" s="1"/>
  <c r="AB113" i="18"/>
  <c r="AC113" i="18" s="1"/>
  <c r="AE10" i="18"/>
  <c r="AB119" i="18"/>
  <c r="AC119" i="18" s="1"/>
  <c r="AE12" i="18"/>
  <c r="AB117" i="18"/>
  <c r="AC117" i="18" s="1"/>
  <c r="AE66" i="18"/>
  <c r="AB120" i="18"/>
  <c r="AC120" i="18" s="1"/>
  <c r="AB121" i="18"/>
  <c r="AC121" i="18" s="1"/>
  <c r="Z90" i="18"/>
  <c r="Z189" i="18" s="1"/>
  <c r="AA102" i="18"/>
  <c r="AA104" i="18"/>
  <c r="AA76" i="18"/>
  <c r="AA186" i="18" s="1"/>
  <c r="AA77" i="18"/>
  <c r="AA84" i="18"/>
  <c r="AA92" i="18"/>
  <c r="AA190" i="18" s="1"/>
  <c r="AA79" i="18"/>
  <c r="AA86" i="18"/>
  <c r="AA191" i="18" s="1"/>
  <c r="AA89" i="18"/>
  <c r="AA105" i="18"/>
  <c r="AA80" i="18"/>
  <c r="AA81" i="18"/>
  <c r="AA82" i="18"/>
  <c r="AA85" i="18"/>
  <c r="AA106" i="18"/>
  <c r="AA88" i="18"/>
  <c r="AA91" i="18"/>
  <c r="AC17" i="18"/>
  <c r="AC15" i="18"/>
  <c r="S169" i="18"/>
  <c r="AC12" i="18"/>
  <c r="AC10" i="18"/>
  <c r="AC18" i="18"/>
  <c r="AC7" i="18"/>
  <c r="AC6" i="18"/>
  <c r="AB112" i="18"/>
  <c r="AC112" i="18" s="1"/>
  <c r="AB111" i="18"/>
  <c r="AC111" i="18" s="1"/>
  <c r="AC66" i="18"/>
  <c r="AB68" i="18"/>
  <c r="AB124" i="18" s="1"/>
  <c r="AB125" i="18" s="1"/>
  <c r="AB126" i="18" s="1"/>
  <c r="AB127" i="18" s="1"/>
  <c r="AA101" i="18"/>
  <c r="AA99" i="18"/>
  <c r="AA100" i="18"/>
  <c r="AA98" i="18"/>
  <c r="AC185" i="18"/>
  <c r="AE185" i="18" s="1"/>
  <c r="Z187" i="18"/>
  <c r="Z188" i="18"/>
  <c r="N36" i="11"/>
  <c r="O35" i="11"/>
  <c r="F5" i="8"/>
  <c r="G5" i="8" s="1"/>
  <c r="H5" i="8" s="1"/>
  <c r="I5" i="8" s="1"/>
  <c r="AB204" i="18" l="1"/>
  <c r="AA203" i="18"/>
  <c r="AC205" i="18"/>
  <c r="AB206" i="18"/>
  <c r="AB146" i="18"/>
  <c r="AC146" i="18" s="1"/>
  <c r="AC145" i="18"/>
  <c r="AE68" i="18"/>
  <c r="T169" i="18"/>
  <c r="T170" i="18" s="1"/>
  <c r="AA90" i="18"/>
  <c r="AA189" i="18" s="1"/>
  <c r="AB102" i="18"/>
  <c r="AB104" i="18"/>
  <c r="AE104" i="18" s="1"/>
  <c r="AB76" i="18"/>
  <c r="AB77" i="18"/>
  <c r="AB84" i="18"/>
  <c r="AB89" i="18"/>
  <c r="AB79" i="18"/>
  <c r="AE79" i="18" s="1"/>
  <c r="AB86" i="18"/>
  <c r="AB82" i="18"/>
  <c r="AB105" i="18"/>
  <c r="AB81" i="18"/>
  <c r="AE81" i="18" s="1"/>
  <c r="AB80" i="18"/>
  <c r="AB91" i="18"/>
  <c r="AB106" i="18"/>
  <c r="AB85" i="18"/>
  <c r="AB92" i="18"/>
  <c r="AB88" i="18"/>
  <c r="S170" i="18"/>
  <c r="AB101" i="18"/>
  <c r="AB99" i="18"/>
  <c r="AC68" i="18"/>
  <c r="AB100" i="18"/>
  <c r="AB98" i="18"/>
  <c r="AA187" i="18"/>
  <c r="AA188" i="18"/>
  <c r="N37" i="11"/>
  <c r="O36" i="11"/>
  <c r="F18" i="8"/>
  <c r="G18" i="8"/>
  <c r="AD205" i="18" l="1"/>
  <c r="AC206" i="18"/>
  <c r="AC204" i="18"/>
  <c r="AB203" i="18"/>
  <c r="AB186" i="18"/>
  <c r="AC186" i="18" s="1"/>
  <c r="AE186" i="18" s="1"/>
  <c r="AE76" i="18"/>
  <c r="AC124" i="18"/>
  <c r="R169" i="18"/>
  <c r="R170" i="18"/>
  <c r="AC105" i="18"/>
  <c r="AE105" i="18"/>
  <c r="AC77" i="18"/>
  <c r="AE77" i="18"/>
  <c r="S166" i="18"/>
  <c r="AE91" i="18"/>
  <c r="AB190" i="18"/>
  <c r="AC190" i="18" s="1"/>
  <c r="AE190" i="18" s="1"/>
  <c r="AE92" i="18"/>
  <c r="AC76" i="18"/>
  <c r="AC89" i="18"/>
  <c r="AE89" i="18"/>
  <c r="S160" i="18"/>
  <c r="AE88" i="18"/>
  <c r="S159" i="18"/>
  <c r="AE82" i="18"/>
  <c r="AB191" i="18"/>
  <c r="AC191" i="18" s="1"/>
  <c r="AE191" i="18" s="1"/>
  <c r="AE86" i="18"/>
  <c r="AC85" i="18"/>
  <c r="AE85" i="18"/>
  <c r="S157" i="18"/>
  <c r="AE80" i="18"/>
  <c r="S162" i="18"/>
  <c r="AE84" i="18"/>
  <c r="AC106" i="18"/>
  <c r="AE106" i="18"/>
  <c r="S182" i="18"/>
  <c r="AE102" i="18"/>
  <c r="S180" i="18"/>
  <c r="AE101" i="18"/>
  <c r="S179" i="18"/>
  <c r="AE100" i="18"/>
  <c r="S177" i="18"/>
  <c r="AE98" i="18"/>
  <c r="S178" i="18"/>
  <c r="AE99" i="18"/>
  <c r="AC91" i="18"/>
  <c r="S163" i="18"/>
  <c r="AC80" i="18"/>
  <c r="AC82" i="18"/>
  <c r="T159" i="18" s="1"/>
  <c r="AC84" i="18"/>
  <c r="S164" i="18"/>
  <c r="AC102" i="18"/>
  <c r="AC88" i="18"/>
  <c r="S167" i="18"/>
  <c r="AB90" i="18"/>
  <c r="AC86" i="18"/>
  <c r="AC92" i="18"/>
  <c r="AC104" i="18"/>
  <c r="AC100" i="18"/>
  <c r="AC99" i="18"/>
  <c r="AC98" i="18"/>
  <c r="AC101" i="18"/>
  <c r="S156" i="18"/>
  <c r="AC79" i="18"/>
  <c r="T156" i="18" s="1"/>
  <c r="AB187" i="18"/>
  <c r="AC81" i="18"/>
  <c r="T158" i="18" s="1"/>
  <c r="AB188" i="18"/>
  <c r="S158" i="18"/>
  <c r="N38" i="11"/>
  <c r="O37" i="11"/>
  <c r="H18" i="8"/>
  <c r="AD204" i="18" l="1"/>
  <c r="AC203" i="18"/>
  <c r="AE205" i="18"/>
  <c r="AD206" i="18"/>
  <c r="P200" i="18"/>
  <c r="M200" i="18"/>
  <c r="AC125" i="18"/>
  <c r="T167" i="18"/>
  <c r="R167" i="18" s="1"/>
  <c r="T157" i="18"/>
  <c r="R157" i="18" s="1"/>
  <c r="T166" i="18"/>
  <c r="R166" i="18" s="1"/>
  <c r="T162" i="18"/>
  <c r="R162" i="18" s="1"/>
  <c r="T164" i="18"/>
  <c r="R164" i="18" s="1"/>
  <c r="T182" i="18"/>
  <c r="R182" i="18" s="1"/>
  <c r="T179" i="18"/>
  <c r="R179" i="18" s="1"/>
  <c r="AC90" i="18"/>
  <c r="AE90" i="18"/>
  <c r="T160" i="18"/>
  <c r="R160" i="18" s="1"/>
  <c r="R159" i="18"/>
  <c r="T163" i="18"/>
  <c r="R163" i="18" s="1"/>
  <c r="T177" i="18"/>
  <c r="R177" i="18" s="1"/>
  <c r="AB189" i="18"/>
  <c r="AC189" i="18" s="1"/>
  <c r="AE189" i="18" s="1"/>
  <c r="T180" i="18"/>
  <c r="R180" i="18" s="1"/>
  <c r="T178" i="18"/>
  <c r="R178" i="18" s="1"/>
  <c r="R156" i="18"/>
  <c r="P201" i="18" s="1"/>
  <c r="P202" i="18" s="1"/>
  <c r="AC188" i="18"/>
  <c r="AE188" i="18" s="1"/>
  <c r="AC187" i="18"/>
  <c r="AE187" i="18" s="1"/>
  <c r="R158" i="18"/>
  <c r="N39" i="11"/>
  <c r="O38" i="11"/>
  <c r="I18" i="8"/>
  <c r="AE204" i="18" l="1"/>
  <c r="AD203" i="18"/>
  <c r="AE206" i="18"/>
  <c r="AF205" i="18"/>
  <c r="P199" i="18"/>
  <c r="M199" i="18"/>
  <c r="P198" i="18"/>
  <c r="M198" i="18"/>
  <c r="AC127" i="18"/>
  <c r="AC126" i="18"/>
  <c r="N40" i="11"/>
  <c r="O39" i="11"/>
  <c r="AF204" i="18" l="1"/>
  <c r="AE203" i="18"/>
  <c r="AG205" i="18"/>
  <c r="AF206" i="18"/>
  <c r="N41" i="11"/>
  <c r="O40" i="11"/>
  <c r="AF203" i="18" l="1"/>
  <c r="AG204" i="18"/>
  <c r="AH205" i="18"/>
  <c r="AG206" i="18"/>
  <c r="N42" i="11"/>
  <c r="O41" i="11"/>
  <c r="AI205" i="18" l="1"/>
  <c r="AH206" i="18"/>
  <c r="AG203" i="18"/>
  <c r="AH204" i="18"/>
  <c r="AJ205" i="18" l="1"/>
  <c r="AI206" i="18"/>
  <c r="AI204" i="18"/>
  <c r="AH203" i="18"/>
  <c r="AK205" i="18" l="1"/>
  <c r="AJ206" i="18"/>
  <c r="AJ204" i="18"/>
  <c r="AI203" i="18"/>
  <c r="AL205" i="18" l="1"/>
  <c r="AK206" i="18"/>
  <c r="AK204" i="18"/>
  <c r="AJ203" i="18"/>
  <c r="AK203" i="18" l="1"/>
  <c r="AL204" i="18"/>
  <c r="AL206" i="18"/>
  <c r="AM205" i="18"/>
  <c r="AN205" i="18" l="1"/>
  <c r="AM206" i="18"/>
  <c r="AM204" i="18"/>
  <c r="AL203" i="18"/>
  <c r="AO205" i="18" l="1"/>
  <c r="AN206" i="18"/>
  <c r="AN204" i="18"/>
  <c r="AM203" i="18"/>
  <c r="AP205" i="18" l="1"/>
  <c r="AO206" i="18"/>
  <c r="AO204" i="18"/>
  <c r="AN203" i="18"/>
  <c r="AQ205" i="18" l="1"/>
  <c r="AP206" i="18"/>
  <c r="AO203" i="18"/>
  <c r="AP204" i="18"/>
  <c r="AR205" i="18" l="1"/>
  <c r="AQ206" i="18"/>
  <c r="AQ204" i="18"/>
  <c r="AP203" i="18"/>
  <c r="AR204" i="18" l="1"/>
  <c r="AQ203" i="18"/>
  <c r="AR206" i="18"/>
  <c r="AS205" i="18"/>
  <c r="AT205" i="18" l="1"/>
  <c r="AS206" i="18"/>
  <c r="AR203" i="18"/>
  <c r="AS204" i="18"/>
  <c r="AU205" i="18" l="1"/>
  <c r="AT206" i="18"/>
  <c r="AS203" i="18"/>
  <c r="AT204" i="18"/>
  <c r="AU204" i="18" l="1"/>
  <c r="AT203" i="18"/>
  <c r="AU206" i="18"/>
  <c r="AV205" i="18"/>
  <c r="AV206" i="18" s="1"/>
  <c r="AV204" i="18" l="1"/>
  <c r="AV203" i="18" s="1"/>
  <c r="AU203" i="18"/>
</calcChain>
</file>

<file path=xl/comments1.xml><?xml version="1.0" encoding="utf-8"?>
<comments xmlns="http://schemas.openxmlformats.org/spreadsheetml/2006/main">
  <authors>
    <author>Author</author>
  </authors>
  <commentList>
    <comment ref="B14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</commentList>
</comments>
</file>

<file path=xl/sharedStrings.xml><?xml version="1.0" encoding="utf-8"?>
<sst xmlns="http://schemas.openxmlformats.org/spreadsheetml/2006/main" count="630" uniqueCount="440">
  <si>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</si>
  <si>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</si>
  <si>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</si>
  <si>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</si>
  <si>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</si>
  <si>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</si>
  <si>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</si>
  <si>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</si>
  <si>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</si>
  <si>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</si>
  <si>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</si>
  <si>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</si>
  <si>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</si>
  <si>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</si>
  <si>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</si>
  <si>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</si>
  <si>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</si>
  <si>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</si>
  <si>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</si>
  <si>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</si>
  <si>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</si>
  <si>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</si>
  <si>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</si>
  <si>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</si>
  <si>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</si>
  <si>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</si>
  <si>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</si>
  <si>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</si>
  <si>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</si>
  <si>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</si>
  <si>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</si>
  <si>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</si>
  <si>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</si>
  <si>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</si>
  <si>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</si>
  <si>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</si>
  <si>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</si>
  <si>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</si>
  <si>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</si>
  <si>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</si>
  <si>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</si>
  <si>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</si>
  <si>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</si>
  <si>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</si>
  <si>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</si>
  <si>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</si>
  <si>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</si>
  <si>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</si>
  <si>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</si>
  <si>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</si>
  <si>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</si>
  <si>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</si>
  <si>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</si>
  <si>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</si>
  <si>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</si>
  <si>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</si>
  <si>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</si>
  <si>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</si>
  <si>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</si>
  <si>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</si>
  <si>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</si>
  <si>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</si>
  <si>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</si>
  <si>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</si>
  <si>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</si>
  <si>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</si>
  <si>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</si>
  <si>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</si>
  <si>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</si>
  <si>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</si>
  <si>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</si>
  <si>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</si>
  <si>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</si>
  <si>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</si>
  <si>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</si>
  <si>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</si>
  <si>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</si>
  <si>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</si>
  <si>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</si>
  <si>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</si>
  <si>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</si>
  <si>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</si>
  <si>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</si>
  <si>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</si>
  <si>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</si>
  <si>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</si>
  <si>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</si>
  <si>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</si>
  <si>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</si>
  <si>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</si>
  <si>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</si>
  <si>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</si>
  <si>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</si>
  <si>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</si>
  <si>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</si>
  <si>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</si>
  <si>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</si>
  <si>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</si>
  <si>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</si>
  <si>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</si>
  <si>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</si>
  <si>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</si>
  <si>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</si>
  <si>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</si>
  <si>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</si>
  <si>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</si>
  <si>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</si>
  <si>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</si>
  <si>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</si>
  <si>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</si>
  <si>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</si>
  <si>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</si>
  <si>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</si>
  <si>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</si>
  <si>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</si>
  <si>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</si>
  <si>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</si>
  <si>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</si>
  <si>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</si>
  <si>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</si>
  <si>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</si>
  <si>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</si>
  <si>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</si>
  <si>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</si>
  <si>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</si>
  <si>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</si>
  <si>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</si>
  <si>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</si>
  <si>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</si>
  <si>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</si>
  <si>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</si>
  <si>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</si>
  <si>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</si>
  <si>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</si>
  <si>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</si>
  <si>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</si>
  <si>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</si>
  <si>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</si>
  <si>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</si>
  <si>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</si>
  <si>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</si>
  <si>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</si>
  <si>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</si>
  <si>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</si>
  <si>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</si>
  <si>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</si>
  <si>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</si>
  <si>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</si>
  <si>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</si>
  <si>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</si>
  <si>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</si>
  <si>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</si>
  <si>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</si>
  <si>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</si>
  <si>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</si>
  <si>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</si>
  <si>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</si>
  <si>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</si>
  <si>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</si>
  <si>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</si>
  <si>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</si>
  <si>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</si>
  <si>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</si>
  <si>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</si>
  <si>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</si>
  <si>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</si>
  <si>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</si>
  <si>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</si>
  <si>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</si>
  <si>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</si>
  <si>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</si>
  <si>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</si>
  <si>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</si>
  <si>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</si>
  <si>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</si>
  <si>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</si>
  <si>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</si>
  <si>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</si>
  <si>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</si>
  <si>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</si>
  <si>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</si>
  <si>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</si>
  <si>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</si>
  <si>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</si>
  <si>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</si>
  <si>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</si>
  <si>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</si>
  <si>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</si>
  <si>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</si>
  <si>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</si>
  <si>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</si>
  <si>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</si>
  <si>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</si>
  <si>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</si>
  <si>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</si>
  <si>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</si>
  <si>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</si>
  <si>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</si>
  <si>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</si>
  <si>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</si>
  <si>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</si>
  <si>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</si>
  <si>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</si>
  <si>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</si>
  <si>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</si>
  <si>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</si>
  <si>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</si>
  <si>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</si>
  <si>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</si>
  <si>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</si>
  <si>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</si>
  <si>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</si>
  <si>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</si>
  <si>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</si>
  <si>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</si>
  <si>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</si>
  <si>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</si>
  <si>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</si>
  <si>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</si>
  <si>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</si>
  <si>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</si>
  <si>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</si>
  <si>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</si>
  <si>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</si>
  <si>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</si>
  <si>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</si>
  <si>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</si>
  <si>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</si>
  <si>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</si>
  <si>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</si>
  <si>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</si>
  <si>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</si>
  <si>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</si>
  <si>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</si>
  <si>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</si>
  <si>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</si>
  <si>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</si>
  <si>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</si>
  <si>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</si>
  <si>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</si>
  <si>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</si>
  <si>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</si>
  <si>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</si>
  <si>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</si>
  <si>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</si>
  <si>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</si>
  <si>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</si>
  <si>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</si>
  <si>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</si>
  <si>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</si>
  <si>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</si>
  <si>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</si>
  <si>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</si>
  <si>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</si>
  <si>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</si>
  <si>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</si>
  <si>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</si>
  <si>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</si>
  <si>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</si>
  <si>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</si>
  <si>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</si>
  <si>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</si>
  <si>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</si>
  <si>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</si>
  <si>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</si>
  <si>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</si>
  <si>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</si>
  <si>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</si>
  <si>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</si>
  <si>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</si>
  <si>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</si>
  <si>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</si>
  <si>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</si>
  <si>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</si>
  <si>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</si>
  <si>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</si>
  <si>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</si>
  <si>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</si>
  <si>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</si>
  <si>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</si>
  <si>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</si>
  <si>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</si>
  <si>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</si>
  <si>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</si>
  <si>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</si>
  <si>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</si>
  <si>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</si>
  <si>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</si>
  <si>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</si>
  <si>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</si>
  <si>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</si>
  <si>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</si>
  <si>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</si>
  <si>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</si>
  <si>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</si>
  <si>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</si>
  <si>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</si>
  <si>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</si>
  <si>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</si>
  <si>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</si>
  <si>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</si>
  <si>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</si>
  <si>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</si>
  <si>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</si>
  <si>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</si>
  <si>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</si>
  <si>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</si>
  <si>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</si>
  <si>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</si>
  <si>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</si>
  <si>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</si>
  <si>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</si>
  <si>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</si>
  <si>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</si>
  <si>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</si>
  <si>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</si>
  <si>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</si>
  <si>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</si>
  <si>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</si>
  <si>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</si>
  <si>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</si>
  <si>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</si>
  <si>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</si>
  <si>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</si>
  <si>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</si>
  <si>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</si>
  <si>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</si>
  <si>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</si>
  <si>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</si>
  <si>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</si>
  <si>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</si>
  <si>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</si>
  <si>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</si>
  <si>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</si>
  <si>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</si>
  <si>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</si>
  <si>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</si>
  <si>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</si>
  <si>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</si>
  <si>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</si>
  <si>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</si>
  <si>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</si>
  <si>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</si>
  <si>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</si>
  <si>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</si>
  <si>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</si>
  <si>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</si>
  <si>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</si>
  <si>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</si>
  <si>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</si>
  <si>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</si>
  <si>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</si>
  <si>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</si>
  <si>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</si>
  <si>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</si>
  <si>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</si>
  <si>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</si>
  <si>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</si>
  <si>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</si>
  <si>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</si>
  <si>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</si>
  <si>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Cash &amp; Balance with RBI</t>
  </si>
  <si>
    <t>Balance with Banks. Money at call</t>
  </si>
  <si>
    <t>Contingent Liabilities</t>
  </si>
  <si>
    <t>Bills for Collection</t>
  </si>
  <si>
    <t>Gross Deposits</t>
  </si>
  <si>
    <t>Borrowings</t>
  </si>
  <si>
    <t>Other Liabilities &amp; Provisions</t>
  </si>
  <si>
    <t>Gross Advances</t>
  </si>
  <si>
    <t>Other Income</t>
  </si>
  <si>
    <t>Time deposists/FD or any other form</t>
  </si>
  <si>
    <t>Demand Deposits / Current Accounts</t>
  </si>
  <si>
    <t>Savings Deposits / Saving Accounts</t>
  </si>
  <si>
    <t>CASA Deposits</t>
  </si>
  <si>
    <t>Retail %</t>
  </si>
  <si>
    <t>Commercial %</t>
  </si>
  <si>
    <t>Corporate %</t>
  </si>
  <si>
    <t>Agri %</t>
  </si>
  <si>
    <t>Employee Base</t>
  </si>
  <si>
    <t>Peak</t>
  </si>
  <si>
    <t>Earnings yield/ratio (to compare with other investment options)</t>
  </si>
  <si>
    <t>Other Ratio's</t>
  </si>
  <si>
    <t>Cuurent Ratio (CA/CL) - preferred &gt;=1.25-1.33</t>
  </si>
  <si>
    <t>Debt to Equity Ratio &lt; 1/1 (For heaving ind &lt; 4/1)</t>
  </si>
  <si>
    <t>Avg Working Capital (CA-CL) i.e. Net Current Assets</t>
  </si>
  <si>
    <t>Days Working Capital (W.C*365/Sales)</t>
  </si>
  <si>
    <t>Interest Coverage ratio - EBITDA/Interest &gt; 1.5 to 2</t>
  </si>
  <si>
    <t>Other Income/Revenue</t>
  </si>
  <si>
    <t>Net Interest Margin</t>
  </si>
  <si>
    <t>Inventories</t>
  </si>
  <si>
    <t>Profit Before Tax (PBT)</t>
  </si>
  <si>
    <t>Avg growth rate</t>
  </si>
  <si>
    <t>Cash Profit Margin (Net cash from ops/Rev), higher better</t>
  </si>
  <si>
    <t>Price/Sales per share</t>
  </si>
  <si>
    <t>Current</t>
  </si>
  <si>
    <t>xxxx</t>
  </si>
  <si>
    <t>Preferred</t>
  </si>
  <si>
    <t>Payback Period -in years  with Avg EPS i.e. P/EPSavg</t>
  </si>
  <si>
    <t>Payback Period - with Last EPS i.e. P/EPSlast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</si>
  <si>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</si>
  <si>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</si>
  <si>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</si>
  <si>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</si>
  <si>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</si>
  <si>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</si>
  <si>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</si>
  <si>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</si>
  <si>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</si>
  <si>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B-3</t>
  </si>
  <si>
    <t>S-1</t>
  </si>
  <si>
    <t>Result Quantity</t>
  </si>
  <si>
    <t>Overall gains</t>
  </si>
  <si>
    <t>Total Gain</t>
  </si>
  <si>
    <t>Multiplication - x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</si>
  <si>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</si>
  <si>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</si>
  <si>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</si>
  <si>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</si>
  <si>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</si>
  <si>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</si>
  <si>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</si>
  <si>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</si>
  <si>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</si>
  <si>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</si>
  <si>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</si>
  <si>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</si>
  <si>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</si>
  <si>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</si>
  <si>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</si>
  <si>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</si>
  <si>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</si>
  <si>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</si>
  <si>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</si>
  <si>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</si>
  <si>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Stock Split</t>
  </si>
  <si>
    <t>Bonus Issue</t>
  </si>
  <si>
    <t>Rights issue</t>
  </si>
  <si>
    <t>Top Expenses ( Misc Exp )</t>
  </si>
  <si>
    <t>10x2</t>
  </si>
  <si>
    <t>29-12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</si>
</sst>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74" fontId="8" fillId="5" borderId="1" xfId="2" applyNumberFormat="1" applyFont="1" applyFill="1" applyBorder="1"/>
    <xf numFmtId="0" fontId="8" fillId="5" borderId="1" xfId="2" applyNumberFormat="1" applyFont="1" applyFill="1" applyBorder="1"/>
    <xf numFmtId="2" fontId="8" fillId="5" borderId="1" xfId="2" applyNumberFormat="1" applyFont="1" applyFill="1" applyBorder="1"/>
    <xf numFmtId="172" fontId="8" fillId="5" borderId="1" xfId="2" applyNumberFormat="1" applyFont="1" applyFill="1" applyBorder="1"/>
    <xf numFmtId="0" fontId="0" fillId="0" borderId="0" xfId="0"/>
    <xf numFmtId="0" fontId="4" fillId="5" borderId="1" xfId="0" applyFont="1" applyFill="1" applyBorder="1"/>
    <xf numFmtId="0" fontId="4" fillId="5" borderId="0" xfId="0" applyFont="1" applyFill="1"/>
    <xf numFmtId="9" fontId="4" fillId="6" borderId="0" xfId="0" applyNumberFormat="1" applyFont="1" applyFill="1"/>
    <xf numFmtId="0" fontId="4" fillId="5" borderId="1" xfId="0" applyFont="1" applyFill="1" applyBorder="1"/>
    <xf numFmtId="0" fontId="4" fillId="5" borderId="0" xfId="0" applyFont="1" applyFill="1"/>
    <xf numFmtId="10" fontId="4" fillId="11" borderId="1" xfId="1" applyNumberFormat="1" applyFont="1" applyFill="1" applyBorder="1"/>
    <xf numFmtId="10" fontId="4" fillId="11" borderId="4" xfId="1" applyNumberFormat="1" applyFont="1" applyFill="1" applyBorder="1"/>
    <xf numFmtId="175" fontId="4" fillId="5" borderId="1" xfId="2" applyNumberFormat="1" applyFont="1" applyFill="1" applyBorder="1"/>
    <xf numFmtId="9" fontId="4" fillId="5" borderId="1" xfId="1" applyFont="1" applyFill="1" applyBorder="1"/>
    <xf numFmtId="9" fontId="4" fillId="5" borderId="1" xfId="1" applyNumberFormat="1" applyFont="1" applyFill="1" applyBorder="1"/>
    <xf numFmtId="0" fontId="4" fillId="5" borderId="1" xfId="0" applyFont="1" applyFill="1" applyBorder="1"/>
    <xf numFmtId="0" fontId="4" fillId="5" borderId="1" xfId="0" applyFont="1" applyFill="1" applyBorder="1"/>
    <xf numFmtId="0" fontId="5" fillId="5" borderId="1" xfId="0" applyFont="1" applyFill="1" applyBorder="1"/>
    <xf numFmtId="2" fontId="4" fillId="5" borderId="1" xfId="0" applyNumberFormat="1" applyFont="1" applyFill="1" applyBorder="1"/>
    <xf numFmtId="0" fontId="4" fillId="5" borderId="0" xfId="0" applyFont="1" applyFill="1"/>
    <xf numFmtId="16" fontId="5" fillId="5" borderId="1" xfId="0" applyNumberFormat="1" applyFont="1" applyFill="1" applyBorder="1"/>
    <xf numFmtId="0" fontId="4" fillId="5" borderId="1" xfId="0" applyFont="1" applyFill="1" applyBorder="1"/>
    <xf numFmtId="9" fontId="4" fillId="6" borderId="1" xfId="0" applyNumberFormat="1" applyFont="1" applyFill="1" applyBorder="1" applyAlignment="1">
      <alignment horizontal="center"/>
    </xf>
    <xf numFmtId="0" fontId="0" fillId="0" borderId="0" xfId="0"/>
    <xf numFmtId="10" fontId="5" fillId="5" borderId="1" xfId="1" applyNumberFormat="1" applyFont="1" applyFill="1" applyBorder="1"/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164" fontId="4" fillId="5" borderId="1" xfId="2" applyNumberFormat="1" applyFont="1" applyFill="1" applyBorder="1"/>
    <xf numFmtId="0" fontId="4" fillId="5" borderId="4" xfId="0" applyFont="1" applyFill="1" applyBorder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4" fontId="5" fillId="5" borderId="1" xfId="0" applyNumberFormat="1" applyFont="1" applyFill="1" applyBorder="1"/>
    <xf numFmtId="0" fontId="4" fillId="5" borderId="1" xfId="0" applyFont="1" applyFill="1" applyBorder="1"/>
    <xf numFmtId="40" fontId="4" fillId="5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40" fontId="4" fillId="5" borderId="1" xfId="0" applyNumberFormat="1" applyFont="1" applyFill="1" applyBorder="1"/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04800"/>
        <c:axId val="51406336"/>
      </c:lineChart>
      <c:catAx>
        <c:axId val="51404800"/>
        <c:scaling>
          <c:orientation val="minMax"/>
        </c:scaling>
        <c:delete val="0"/>
        <c:axPos val="b"/>
        <c:majorTickMark val="out"/>
        <c:minorTickMark val="none"/>
        <c:tickLblPos val="nextTo"/>
        <c:crossAx val="51406336"/>
        <c:crosses val="autoZero"/>
        <c:auto val="1"/>
        <c:lblAlgn val="ctr"/>
        <c:lblOffset val="100"/>
        <c:noMultiLvlLbl val="0"/>
      </c:catAx>
      <c:valAx>
        <c:axId val="51406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40480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4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29">
        <v>14</v>
      </c>
      <c r="D7" s="20"/>
      <c r="E7" s="20"/>
      <c r="F7" s="20"/>
      <c r="G7" s="20"/>
    </row>
    <row r="8" spans="2:7" x14ac:dyDescent="0.2">
      <c r="B8" s="20" t="s">
        <v>25</v>
      </c>
      <c r="C8" s="129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29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29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29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29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29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29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29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0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1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1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1"/>
      <c r="D32" s="20"/>
      <c r="E32" s="20"/>
      <c r="F32" s="20"/>
      <c r="G32" s="20"/>
    </row>
    <row r="33" spans="2:7" x14ac:dyDescent="0.2">
      <c r="B33" s="20" t="s">
        <v>268</v>
      </c>
      <c r="C33" s="131">
        <v>3.44E-2</v>
      </c>
      <c r="D33" s="20"/>
      <c r="E33" s="20"/>
      <c r="F33" s="20"/>
      <c r="G33" s="20"/>
    </row>
    <row r="34" spans="2:7" x14ac:dyDescent="0.2">
      <c r="B34" s="20" t="s">
        <v>267</v>
      </c>
      <c r="C34" s="131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29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29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29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29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29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29">
        <v>281.95</v>
      </c>
      <c r="D44" s="20"/>
      <c r="E44" s="20"/>
      <c r="F44" s="20"/>
      <c r="G44" s="20"/>
    </row>
    <row r="45" spans="2:7" x14ac:dyDescent="0.2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29">
        <v>171.6</v>
      </c>
      <c r="D48" s="20"/>
      <c r="E48" s="20"/>
      <c r="F48" s="20"/>
      <c r="G48" s="20"/>
    </row>
    <row r="49" spans="2:7" x14ac:dyDescent="0.2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29">
        <v>110.33</v>
      </c>
      <c r="D52" s="20"/>
      <c r="E52" s="20"/>
      <c r="F52" s="20"/>
      <c r="G52" s="20"/>
    </row>
    <row r="53" spans="2:7" x14ac:dyDescent="0.2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29">
        <v>1320.99</v>
      </c>
      <c r="D56" s="20"/>
      <c r="E56" s="20"/>
      <c r="F56" s="20"/>
      <c r="G56" s="20"/>
    </row>
    <row r="57" spans="2:7" x14ac:dyDescent="0.2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V235"/>
  <sheetViews>
    <sheetView tabSelected="1" zoomScale="80" zoomScaleNormal="80" workbookViewId="0">
      <pane xSplit="2" ySplit="3" topLeftCell="C183" activePane="bottomRight" state="frozen"/>
      <selection pane="topRight" activeCell="C1" sqref="C1"/>
      <selection pane="bottomLeft" activeCell="A5" sqref="A5"/>
      <selection pane="bottomRight" activeCell="F206" sqref="F206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2" width="8.7109375" style="104" bestFit="1" customWidth="1"/>
    <col min="13" max="13" width="9.85546875" style="104" bestFit="1" customWidth="1"/>
    <col min="14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ht="15" x14ac:dyDescent="0.25">
      <c r="B1" s="122" t="s">
        <v>241</v>
      </c>
      <c r="C1" s="123">
        <v>0.17</v>
      </c>
      <c r="F1" s="104" t="s">
        <v>252</v>
      </c>
      <c r="H1" s="125">
        <v>2004</v>
      </c>
      <c r="J1" s="104" t="s">
        <v>327</v>
      </c>
      <c r="L1" s="164">
        <v>0.05</v>
      </c>
      <c r="N1" s="174" t="s">
        <v>391</v>
      </c>
      <c r="O1" s="172"/>
      <c r="P1" s="175">
        <v>0.05</v>
      </c>
    </row>
    <row r="2" spans="2:31" x14ac:dyDescent="0.2">
      <c r="B2" s="153" t="s">
        <v>316</v>
      </c>
      <c r="C2" s="120"/>
      <c r="F2" s="104" t="s">
        <v>253</v>
      </c>
      <c r="H2" s="125">
        <v>2013</v>
      </c>
      <c r="J2" s="104" t="s">
        <v>328</v>
      </c>
      <c r="L2" s="164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228" t="s">
        <v>292</v>
      </c>
      <c r="AE2" s="229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5" t="s">
        <v>1</v>
      </c>
      <c r="AD3" s="230" t="s">
        <v>293</v>
      </c>
      <c r="AE3" s="231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6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6"/>
      <c r="AD5" s="20"/>
      <c r="AE5" s="154"/>
    </row>
    <row r="6" spans="2:31" x14ac:dyDescent="0.2">
      <c r="B6" s="20" t="s">
        <v>16</v>
      </c>
      <c r="C6" s="140"/>
      <c r="D6" s="140"/>
      <c r="E6" s="146"/>
      <c r="F6" s="146">
        <v>786</v>
      </c>
      <c r="G6" s="146">
        <v>886</v>
      </c>
      <c r="H6" s="146">
        <v>1125</v>
      </c>
      <c r="I6" s="146">
        <v>1276</v>
      </c>
      <c r="J6" s="146">
        <v>1477</v>
      </c>
      <c r="K6" s="146">
        <v>1769</v>
      </c>
      <c r="L6" s="146">
        <v>2177</v>
      </c>
      <c r="M6" s="146">
        <v>3347</v>
      </c>
      <c r="N6" s="146">
        <v>4096</v>
      </c>
      <c r="O6" s="146">
        <v>5609</v>
      </c>
      <c r="P6" s="146">
        <v>6432</v>
      </c>
      <c r="Q6" s="118">
        <f>((P6/G6)^(1/($H$2-$H$1) ))-1</f>
        <v>0.24639851748350283</v>
      </c>
      <c r="R6" s="31">
        <f>$L$2</f>
        <v>0.12</v>
      </c>
      <c r="S6" s="154">
        <f>P6*(1+$R6)</f>
        <v>7203.8400000000011</v>
      </c>
      <c r="T6" s="154">
        <f>S6*(1+$R6)</f>
        <v>8068.3008000000018</v>
      </c>
      <c r="U6" s="154">
        <f t="shared" ref="U6:AB6" si="0">T6*(1+$R6)</f>
        <v>9036.4968960000024</v>
      </c>
      <c r="V6" s="154">
        <f t="shared" si="0"/>
        <v>10120.876523520004</v>
      </c>
      <c r="W6" s="154">
        <f t="shared" si="0"/>
        <v>11335.381706342407</v>
      </c>
      <c r="X6" s="154">
        <f t="shared" si="0"/>
        <v>12695.627511103497</v>
      </c>
      <c r="Y6" s="154">
        <f t="shared" si="0"/>
        <v>14219.102812435918</v>
      </c>
      <c r="Z6" s="154">
        <f t="shared" si="0"/>
        <v>15925.39514992823</v>
      </c>
      <c r="AA6" s="154">
        <f t="shared" si="0"/>
        <v>17836.442567919621</v>
      </c>
      <c r="AB6" s="154">
        <f t="shared" si="0"/>
        <v>19976.815676069979</v>
      </c>
      <c r="AC6" s="137">
        <f>((AB6/G6)^(1/($AB$3-$H$1) ))-1</f>
        <v>0.17819017517504121</v>
      </c>
      <c r="AD6" s="31">
        <f>$L$1</f>
        <v>0.05</v>
      </c>
      <c r="AE6" s="145">
        <f t="shared" ref="AE6:AE70" si="1">(AB6*(1+AD6))/($C$1-AD6)</f>
        <v>174797.13716561228</v>
      </c>
    </row>
    <row r="7" spans="2:31" x14ac:dyDescent="0.2">
      <c r="B7" s="20" t="s">
        <v>240</v>
      </c>
      <c r="C7" s="140"/>
      <c r="D7" s="140"/>
      <c r="E7" s="146"/>
      <c r="F7" s="146">
        <v>861</v>
      </c>
      <c r="G7" s="146">
        <v>961</v>
      </c>
      <c r="H7" s="146">
        <v>1210</v>
      </c>
      <c r="I7" s="146">
        <v>1362</v>
      </c>
      <c r="J7" s="146">
        <v>1562</v>
      </c>
      <c r="K7" s="146">
        <v>1854</v>
      </c>
      <c r="L7" s="146">
        <v>2262</v>
      </c>
      <c r="M7" s="146">
        <v>3442</v>
      </c>
      <c r="N7" s="146">
        <v>4191</v>
      </c>
      <c r="O7" s="146">
        <v>5710</v>
      </c>
      <c r="P7" s="146">
        <v>6533</v>
      </c>
      <c r="Q7" s="118">
        <f>((P7/G7)^(1/($H$2-$H$1) ))-1</f>
        <v>0.23733613652450458</v>
      </c>
      <c r="R7" s="31">
        <f>$L$2</f>
        <v>0.12</v>
      </c>
      <c r="S7" s="154">
        <f t="shared" ref="S7:S18" si="2">P7*(1+$R7)</f>
        <v>7316.9600000000009</v>
      </c>
      <c r="T7" s="154">
        <f t="shared" ref="T7:AB7" si="3">S7*(1+$R7)</f>
        <v>8194.9952000000012</v>
      </c>
      <c r="U7" s="154">
        <f t="shared" si="3"/>
        <v>9178.3946240000023</v>
      </c>
      <c r="V7" s="154">
        <f t="shared" si="3"/>
        <v>10279.801978880003</v>
      </c>
      <c r="W7" s="154">
        <f t="shared" si="3"/>
        <v>11513.378216345604</v>
      </c>
      <c r="X7" s="154">
        <f t="shared" si="3"/>
        <v>12894.983602307077</v>
      </c>
      <c r="Y7" s="154">
        <f t="shared" si="3"/>
        <v>14442.381634583928</v>
      </c>
      <c r="Z7" s="154">
        <f t="shared" si="3"/>
        <v>16175.467430734001</v>
      </c>
      <c r="AA7" s="154">
        <f t="shared" si="3"/>
        <v>18116.523522422081</v>
      </c>
      <c r="AB7" s="154">
        <f t="shared" si="3"/>
        <v>20290.506345112732</v>
      </c>
      <c r="AC7" s="137">
        <f>((AB7/G7)^(1/($AB$3-$H$1) ))-1</f>
        <v>0.17412459101044742</v>
      </c>
      <c r="AD7" s="31">
        <f>$L$1</f>
        <v>0.05</v>
      </c>
      <c r="AE7" s="145">
        <f t="shared" si="1"/>
        <v>177541.9305197364</v>
      </c>
    </row>
    <row r="8" spans="2:31" x14ac:dyDescent="0.2">
      <c r="B8" s="20"/>
      <c r="C8" s="140"/>
      <c r="D8" s="140"/>
      <c r="E8" s="146"/>
      <c r="F8" s="146"/>
      <c r="G8" s="148">
        <f>(G7-F7)/G7</f>
        <v>0.1040582726326743</v>
      </c>
      <c r="H8" s="151">
        <f>(H7-G7)/H7</f>
        <v>0.20578512396694215</v>
      </c>
      <c r="I8" s="151">
        <f t="shared" ref="I8:P8" si="4">(I7-H7)/I7</f>
        <v>0.11160058737151249</v>
      </c>
      <c r="J8" s="151">
        <f t="shared" si="4"/>
        <v>0.12804097311139565</v>
      </c>
      <c r="K8" s="151">
        <f t="shared" si="4"/>
        <v>0.1574973031283711</v>
      </c>
      <c r="L8" s="151">
        <f t="shared" si="4"/>
        <v>0.18037135278514588</v>
      </c>
      <c r="M8" s="151">
        <f t="shared" si="4"/>
        <v>0.34282393957001744</v>
      </c>
      <c r="N8" s="151">
        <f t="shared" si="4"/>
        <v>0.17871629682653303</v>
      </c>
      <c r="O8" s="151">
        <f t="shared" si="4"/>
        <v>0.2660245183887916</v>
      </c>
      <c r="P8" s="151">
        <f t="shared" si="4"/>
        <v>0.12597581509260677</v>
      </c>
      <c r="Q8" s="127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6"/>
      <c r="AD8" s="136"/>
      <c r="AE8" s="145"/>
    </row>
    <row r="9" spans="2:31" x14ac:dyDescent="0.2">
      <c r="B9" s="20" t="s">
        <v>270</v>
      </c>
      <c r="C9" s="140"/>
      <c r="D9" s="140"/>
      <c r="E9" s="146"/>
      <c r="F9" s="146">
        <v>270</v>
      </c>
      <c r="G9" s="169">
        <v>278</v>
      </c>
      <c r="H9" s="146">
        <v>416</v>
      </c>
      <c r="I9" s="169">
        <v>466</v>
      </c>
      <c r="J9" s="169">
        <v>635</v>
      </c>
      <c r="K9" s="169">
        <v>829</v>
      </c>
      <c r="L9" s="169">
        <v>1346</v>
      </c>
      <c r="M9" s="169">
        <v>1699</v>
      </c>
      <c r="N9" s="169">
        <v>3608</v>
      </c>
      <c r="O9" s="169">
        <v>10037</v>
      </c>
      <c r="P9" s="169">
        <v>14417</v>
      </c>
      <c r="Q9" s="118">
        <f t="shared" ref="Q9:Q18" si="5">((P9/G9)^(1/($H$2-$H$1) ))-1</f>
        <v>0.5507317473115001</v>
      </c>
      <c r="R9" s="31">
        <f t="shared" ref="R9:R66" si="6">$L$2</f>
        <v>0.12</v>
      </c>
      <c r="S9" s="154">
        <f t="shared" ref="S9" si="7">P9*(1+$R9)</f>
        <v>16147.04</v>
      </c>
      <c r="T9" s="154">
        <f t="shared" ref="T9" si="8">S9*(1+$R9)</f>
        <v>18084.684800000003</v>
      </c>
      <c r="U9" s="154">
        <f t="shared" ref="U9" si="9">T9*(1+$R9)</f>
        <v>20254.846976000004</v>
      </c>
      <c r="V9" s="154">
        <f t="shared" ref="V9" si="10">U9*(1+$R9)</f>
        <v>22685.428613120006</v>
      </c>
      <c r="W9" s="154">
        <f t="shared" ref="W9" si="11">V9*(1+$R9)</f>
        <v>25407.680046694408</v>
      </c>
      <c r="X9" s="154">
        <f t="shared" ref="X9" si="12">W9*(1+$R9)</f>
        <v>28456.601652297741</v>
      </c>
      <c r="Y9" s="154">
        <f t="shared" ref="Y9" si="13">X9*(1+$R9)</f>
        <v>31871.393850573473</v>
      </c>
      <c r="Z9" s="154">
        <f t="shared" ref="Z9" si="14">Y9*(1+$R9)</f>
        <v>35695.961112642297</v>
      </c>
      <c r="AA9" s="154">
        <f t="shared" ref="AA9" si="15">Z9*(1+$R9)</f>
        <v>39979.476446159373</v>
      </c>
      <c r="AB9" s="154">
        <f t="shared" ref="AB9" si="16">AA9*(1+$R9)</f>
        <v>44777.013619698504</v>
      </c>
      <c r="AC9" s="137">
        <f>((AB9/G9)^(1/($AB$3-$H$1) ))-1</f>
        <v>0.30664748952371101</v>
      </c>
      <c r="AD9" s="31">
        <f t="shared" ref="AD9:AD105" si="17">$L$1</f>
        <v>0.05</v>
      </c>
      <c r="AE9" s="145">
        <f t="shared" si="1"/>
        <v>391798.86917236191</v>
      </c>
    </row>
    <row r="10" spans="2:31" x14ac:dyDescent="0.2">
      <c r="B10" s="20" t="s">
        <v>4</v>
      </c>
      <c r="C10" s="140"/>
      <c r="D10" s="140"/>
      <c r="E10" s="146"/>
      <c r="F10" s="146">
        <v>7404</v>
      </c>
      <c r="G10" s="169">
        <v>9177</v>
      </c>
      <c r="H10" s="169">
        <v>11047</v>
      </c>
      <c r="I10" s="169">
        <v>13780</v>
      </c>
      <c r="J10" s="169">
        <v>16332</v>
      </c>
      <c r="K10" s="169">
        <v>20344</v>
      </c>
      <c r="L10" s="169">
        <v>25421</v>
      </c>
      <c r="M10" s="169">
        <v>34758</v>
      </c>
      <c r="N10" s="169">
        <v>45162</v>
      </c>
      <c r="O10" s="169">
        <v>47869</v>
      </c>
      <c r="P10" s="169">
        <v>58705</v>
      </c>
      <c r="Q10" s="118">
        <f t="shared" si="5"/>
        <v>0.2290023314138756</v>
      </c>
      <c r="R10" s="31">
        <f t="shared" si="6"/>
        <v>0.12</v>
      </c>
      <c r="S10" s="154">
        <f t="shared" si="2"/>
        <v>65749.600000000006</v>
      </c>
      <c r="T10" s="154">
        <f t="shared" ref="T10:AB10" si="18">S10*(1+$R10)</f>
        <v>73639.552000000011</v>
      </c>
      <c r="U10" s="154">
        <f t="shared" si="18"/>
        <v>82476.298240000018</v>
      </c>
      <c r="V10" s="154">
        <f t="shared" si="18"/>
        <v>92373.454028800028</v>
      </c>
      <c r="W10" s="154">
        <f t="shared" si="18"/>
        <v>103458.26851225604</v>
      </c>
      <c r="X10" s="154">
        <f t="shared" si="18"/>
        <v>115873.26073372677</v>
      </c>
      <c r="Y10" s="154">
        <f t="shared" si="18"/>
        <v>129778.052021774</v>
      </c>
      <c r="Z10" s="154">
        <f t="shared" si="18"/>
        <v>145351.41826438688</v>
      </c>
      <c r="AA10" s="154">
        <f t="shared" si="18"/>
        <v>162793.58845611333</v>
      </c>
      <c r="AB10" s="154">
        <f t="shared" si="18"/>
        <v>182328.81907084695</v>
      </c>
      <c r="AC10" s="137">
        <f t="shared" ref="AC10:AC69" si="19">((AB10/G10)^(1/($AB$3-$H$1) ))-1</f>
        <v>0.17037200668068908</v>
      </c>
      <c r="AD10" s="31">
        <f t="shared" si="17"/>
        <v>0.05</v>
      </c>
      <c r="AE10" s="145">
        <f t="shared" si="1"/>
        <v>1595377.1668699109</v>
      </c>
    </row>
    <row r="11" spans="2:31" x14ac:dyDescent="0.2">
      <c r="B11" s="20"/>
      <c r="C11" s="140"/>
      <c r="D11" s="140"/>
      <c r="E11" s="146"/>
      <c r="F11" s="146"/>
      <c r="G11" s="148">
        <f>(G10-F10)/G10</f>
        <v>0.19320039228506047</v>
      </c>
      <c r="H11" s="147">
        <f>(H10-G10)/H10</f>
        <v>0.16927672671313479</v>
      </c>
      <c r="I11" s="147">
        <f t="shared" ref="I11" si="20">(I10-H10)/I10</f>
        <v>0.19833091436865022</v>
      </c>
      <c r="J11" s="147">
        <f t="shared" ref="J11" si="21">(J10-I10)/J10</f>
        <v>0.15625765368601519</v>
      </c>
      <c r="K11" s="147">
        <f t="shared" ref="K11" si="22">(K10-J10)/K10</f>
        <v>0.19720802202123477</v>
      </c>
      <c r="L11" s="147">
        <f t="shared" ref="L11" si="23">(L10-K10)/L10</f>
        <v>0.19971676959993706</v>
      </c>
      <c r="M11" s="147">
        <f t="shared" ref="M11" si="24">(M10-L10)/M10</f>
        <v>0.26862880487945223</v>
      </c>
      <c r="N11" s="147">
        <f t="shared" ref="N11" si="25">(N10-M10)/N10</f>
        <v>0.23037066560382621</v>
      </c>
      <c r="O11" s="147">
        <f t="shared" ref="O11" si="26">(O10-N10)/O10</f>
        <v>5.6550168167289895E-2</v>
      </c>
      <c r="P11" s="147">
        <f t="shared" ref="P11" si="27">(P10-O10)/P10</f>
        <v>0.18458393663231412</v>
      </c>
      <c r="Q11" s="127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0"/>
      <c r="D12" s="140"/>
      <c r="E12" s="146"/>
      <c r="F12" s="146">
        <f>84+358</f>
        <v>442</v>
      </c>
      <c r="G12" s="169">
        <f>287+114</f>
        <v>401</v>
      </c>
      <c r="H12" s="169">
        <f>155+74</f>
        <v>229</v>
      </c>
      <c r="I12" s="169">
        <f>165+316</f>
        <v>481</v>
      </c>
      <c r="J12" s="169">
        <f>176+604</f>
        <v>780</v>
      </c>
      <c r="K12" s="169">
        <f>149+214</f>
        <v>363</v>
      </c>
      <c r="L12" s="169">
        <v>131</v>
      </c>
      <c r="M12" s="169">
        <v>270</v>
      </c>
      <c r="N12" s="169">
        <f>416+22</f>
        <v>438</v>
      </c>
      <c r="O12" s="169">
        <f>239+88</f>
        <v>327</v>
      </c>
      <c r="P12" s="169">
        <f>1523</f>
        <v>1523</v>
      </c>
      <c r="Q12" s="118">
        <f t="shared" si="5"/>
        <v>0.15983192553836822</v>
      </c>
      <c r="R12" s="31">
        <f t="shared" si="6"/>
        <v>0.12</v>
      </c>
      <c r="S12" s="154">
        <f t="shared" si="2"/>
        <v>1705.7600000000002</v>
      </c>
      <c r="T12" s="154">
        <f t="shared" ref="T12:AB14" si="28">S12*(1+$R12)</f>
        <v>1910.4512000000004</v>
      </c>
      <c r="U12" s="154">
        <f t="shared" si="28"/>
        <v>2139.7053440000009</v>
      </c>
      <c r="V12" s="154">
        <f t="shared" si="28"/>
        <v>2396.4699852800013</v>
      </c>
      <c r="W12" s="154">
        <f t="shared" si="28"/>
        <v>2684.0463835136015</v>
      </c>
      <c r="X12" s="154">
        <f t="shared" si="28"/>
        <v>3006.1319495352341</v>
      </c>
      <c r="Y12" s="154">
        <f t="shared" si="28"/>
        <v>3366.8677834794626</v>
      </c>
      <c r="Z12" s="154">
        <f t="shared" si="28"/>
        <v>3770.8919174969983</v>
      </c>
      <c r="AA12" s="154">
        <f t="shared" si="28"/>
        <v>4223.3989475966382</v>
      </c>
      <c r="AB12" s="154">
        <f t="shared" si="28"/>
        <v>4730.2068213082348</v>
      </c>
      <c r="AC12" s="137">
        <f t="shared" si="19"/>
        <v>0.13869429589468685</v>
      </c>
      <c r="AD12" s="31">
        <f t="shared" si="17"/>
        <v>0.05</v>
      </c>
      <c r="AE12" s="145">
        <f t="shared" si="1"/>
        <v>41389.30968644705</v>
      </c>
    </row>
    <row r="13" spans="2:31" x14ac:dyDescent="0.2">
      <c r="B13" s="20" t="s">
        <v>361</v>
      </c>
      <c r="C13" s="140"/>
      <c r="D13" s="140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18" t="e">
        <f t="shared" si="5"/>
        <v>#DIV/0!</v>
      </c>
      <c r="R13" s="31">
        <v>0.1</v>
      </c>
      <c r="S13" s="154">
        <f t="shared" si="2"/>
        <v>0</v>
      </c>
      <c r="T13" s="154">
        <f t="shared" si="28"/>
        <v>0</v>
      </c>
      <c r="U13" s="154">
        <f t="shared" si="28"/>
        <v>0</v>
      </c>
      <c r="V13" s="154">
        <f t="shared" si="28"/>
        <v>0</v>
      </c>
      <c r="W13" s="154">
        <f t="shared" si="28"/>
        <v>0</v>
      </c>
      <c r="X13" s="154">
        <f t="shared" si="28"/>
        <v>0</v>
      </c>
      <c r="Y13" s="154">
        <f t="shared" si="28"/>
        <v>0</v>
      </c>
      <c r="Z13" s="154">
        <f t="shared" si="28"/>
        <v>0</v>
      </c>
      <c r="AA13" s="154">
        <f t="shared" si="28"/>
        <v>0</v>
      </c>
      <c r="AB13" s="154">
        <f t="shared" si="28"/>
        <v>0</v>
      </c>
      <c r="AC13" s="137" t="e">
        <f>((AB13/G13)^(1/($AB$3-$H$1) ))-1</f>
        <v>#DIV/0!</v>
      </c>
      <c r="AD13" s="31">
        <v>0.08</v>
      </c>
      <c r="AE13" s="145">
        <f t="shared" si="1"/>
        <v>0</v>
      </c>
    </row>
    <row r="14" spans="2:31" x14ac:dyDescent="0.2">
      <c r="B14" s="20" t="s">
        <v>362</v>
      </c>
      <c r="C14" s="140"/>
      <c r="D14" s="140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18" t="e">
        <f t="shared" si="5"/>
        <v>#DIV/0!</v>
      </c>
      <c r="R14" s="31">
        <v>0.1</v>
      </c>
      <c r="S14" s="154">
        <f t="shared" si="2"/>
        <v>0</v>
      </c>
      <c r="T14" s="154">
        <f t="shared" si="28"/>
        <v>0</v>
      </c>
      <c r="U14" s="154">
        <f t="shared" si="28"/>
        <v>0</v>
      </c>
      <c r="V14" s="154">
        <f t="shared" si="28"/>
        <v>0</v>
      </c>
      <c r="W14" s="154">
        <f t="shared" si="28"/>
        <v>0</v>
      </c>
      <c r="X14" s="154">
        <f t="shared" si="28"/>
        <v>0</v>
      </c>
      <c r="Y14" s="154">
        <f t="shared" si="28"/>
        <v>0</v>
      </c>
      <c r="Z14" s="154">
        <f t="shared" si="28"/>
        <v>0</v>
      </c>
      <c r="AA14" s="154">
        <f t="shared" si="28"/>
        <v>0</v>
      </c>
      <c r="AB14" s="154">
        <f t="shared" si="28"/>
        <v>0</v>
      </c>
      <c r="AC14" s="137" t="e">
        <f t="shared" ref="AC14" si="29">((AB14/G14)^(1/($AB$3-$H$1) ))-1</f>
        <v>#DIV/0!</v>
      </c>
      <c r="AD14" s="31">
        <v>0.08</v>
      </c>
      <c r="AE14" s="145">
        <f t="shared" si="1"/>
        <v>0</v>
      </c>
    </row>
    <row r="15" spans="2:31" x14ac:dyDescent="0.2">
      <c r="B15" s="20" t="s">
        <v>218</v>
      </c>
      <c r="C15" s="140"/>
      <c r="D15" s="140"/>
      <c r="E15" s="146"/>
      <c r="F15" s="146">
        <v>291</v>
      </c>
      <c r="G15" s="169">
        <v>134</v>
      </c>
      <c r="H15" s="169">
        <v>89.83</v>
      </c>
      <c r="I15" s="169">
        <v>328</v>
      </c>
      <c r="J15" s="169">
        <v>221</v>
      </c>
      <c r="K15" s="169">
        <v>793</v>
      </c>
      <c r="L15" s="146">
        <v>1148</v>
      </c>
      <c r="M15" s="146">
        <v>1433</v>
      </c>
      <c r="N15" s="146">
        <v>1415</v>
      </c>
      <c r="O15" s="146">
        <v>172</v>
      </c>
      <c r="P15" s="146">
        <v>195</v>
      </c>
      <c r="Q15" s="118">
        <f t="shared" si="5"/>
        <v>4.2565411559509325E-2</v>
      </c>
      <c r="R15" s="31">
        <f t="shared" si="6"/>
        <v>0.12</v>
      </c>
      <c r="S15" s="154">
        <f t="shared" si="2"/>
        <v>218.40000000000003</v>
      </c>
      <c r="T15" s="154">
        <f t="shared" ref="T15:AB16" si="30">S15*(1+$R15)</f>
        <v>244.60800000000006</v>
      </c>
      <c r="U15" s="154">
        <f t="shared" si="30"/>
        <v>273.96096000000011</v>
      </c>
      <c r="V15" s="154">
        <f t="shared" si="30"/>
        <v>306.83627520000016</v>
      </c>
      <c r="W15" s="154">
        <f t="shared" si="30"/>
        <v>343.6566282240002</v>
      </c>
      <c r="X15" s="154">
        <f t="shared" si="30"/>
        <v>384.89542361088024</v>
      </c>
      <c r="Y15" s="154">
        <f t="shared" si="30"/>
        <v>431.0828744441859</v>
      </c>
      <c r="Z15" s="154">
        <f t="shared" si="30"/>
        <v>482.81281937748827</v>
      </c>
      <c r="AA15" s="154">
        <f t="shared" si="30"/>
        <v>540.75035770278691</v>
      </c>
      <c r="AB15" s="154">
        <f t="shared" si="30"/>
        <v>605.64040062712138</v>
      </c>
      <c r="AC15" s="137">
        <f t="shared" si="19"/>
        <v>8.2628550216416574E-2</v>
      </c>
      <c r="AD15" s="31">
        <f t="shared" si="17"/>
        <v>0.05</v>
      </c>
      <c r="AE15" s="145">
        <f t="shared" si="1"/>
        <v>5299.3535054873118</v>
      </c>
    </row>
    <row r="16" spans="2:31" x14ac:dyDescent="0.2">
      <c r="B16" s="20" t="s">
        <v>389</v>
      </c>
      <c r="C16" s="140"/>
      <c r="D16" s="140"/>
      <c r="E16" s="146"/>
      <c r="F16" s="146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  <c r="N16" s="169">
        <v>0</v>
      </c>
      <c r="O16" s="169">
        <v>0</v>
      </c>
      <c r="P16" s="169">
        <v>0.02</v>
      </c>
      <c r="Q16" s="118" t="e">
        <f t="shared" ref="Q16" si="31">((P16/G16)^(1/($H$2-$H$1) ))-1</f>
        <v>#DIV/0!</v>
      </c>
      <c r="R16" s="31">
        <f t="shared" si="6"/>
        <v>0.12</v>
      </c>
      <c r="S16" s="154">
        <f t="shared" ref="S16" si="32">P16*(1+$R16)</f>
        <v>2.2400000000000003E-2</v>
      </c>
      <c r="T16" s="154">
        <f t="shared" ref="T16" si="33">S16*(1+$R16)</f>
        <v>2.5088000000000006E-2</v>
      </c>
      <c r="U16" s="154">
        <f t="shared" ref="U16" si="34">T16*(1+$R16)</f>
        <v>2.8098560000000009E-2</v>
      </c>
      <c r="V16" s="154">
        <f t="shared" si="30"/>
        <v>3.1470387200000012E-2</v>
      </c>
      <c r="W16" s="154">
        <f t="shared" si="30"/>
        <v>3.524683366400002E-2</v>
      </c>
      <c r="X16" s="154">
        <f t="shared" si="30"/>
        <v>3.9476453703680026E-2</v>
      </c>
      <c r="Y16" s="154">
        <f t="shared" si="30"/>
        <v>4.4213628148121631E-2</v>
      </c>
      <c r="Z16" s="154">
        <f t="shared" si="30"/>
        <v>4.951926352589623E-2</v>
      </c>
      <c r="AA16" s="154">
        <f t="shared" si="30"/>
        <v>5.5461575149003781E-2</v>
      </c>
      <c r="AB16" s="154">
        <f t="shared" si="30"/>
        <v>6.2116964166884239E-2</v>
      </c>
      <c r="AC16" s="137" t="e">
        <f t="shared" ref="AC16" si="35">((AB16/G16)^(1/($AB$3-$H$1) ))-1</f>
        <v>#DIV/0!</v>
      </c>
      <c r="AD16" s="31">
        <f t="shared" si="17"/>
        <v>0.05</v>
      </c>
      <c r="AE16" s="145">
        <f t="shared" ref="AE16" si="36">(AB16*(1+AD16))/($C$1-AD16)</f>
        <v>0.54352343646023704</v>
      </c>
    </row>
    <row r="17" spans="2:31" x14ac:dyDescent="0.2">
      <c r="B17" s="20" t="s">
        <v>19</v>
      </c>
      <c r="C17" s="140"/>
      <c r="D17" s="140"/>
      <c r="E17" s="146"/>
      <c r="F17" s="146">
        <v>84</v>
      </c>
      <c r="G17" s="169">
        <v>114</v>
      </c>
      <c r="H17" s="169">
        <v>155</v>
      </c>
      <c r="I17" s="169">
        <v>166</v>
      </c>
      <c r="J17" s="169">
        <v>176</v>
      </c>
      <c r="K17" s="169">
        <v>149</v>
      </c>
      <c r="L17" s="169">
        <v>132</v>
      </c>
      <c r="M17" s="169">
        <v>264</v>
      </c>
      <c r="N17" s="169">
        <v>417</v>
      </c>
      <c r="O17" s="169">
        <v>312</v>
      </c>
      <c r="P17" s="169">
        <v>1588</v>
      </c>
      <c r="Q17" s="118">
        <f t="shared" si="5"/>
        <v>0.34000084386484963</v>
      </c>
      <c r="R17" s="31">
        <f t="shared" si="6"/>
        <v>0.12</v>
      </c>
      <c r="S17" s="154">
        <f t="shared" si="2"/>
        <v>1778.5600000000002</v>
      </c>
      <c r="T17" s="154">
        <f t="shared" ref="T17:AB17" si="37">S17*(1+$R17)</f>
        <v>1991.9872000000005</v>
      </c>
      <c r="U17" s="154">
        <f t="shared" si="37"/>
        <v>2231.0256640000007</v>
      </c>
      <c r="V17" s="154">
        <f t="shared" si="37"/>
        <v>2498.7487436800011</v>
      </c>
      <c r="W17" s="154">
        <f t="shared" si="37"/>
        <v>2798.5985929216017</v>
      </c>
      <c r="X17" s="154">
        <f t="shared" si="37"/>
        <v>3134.430424072194</v>
      </c>
      <c r="Y17" s="154">
        <f t="shared" si="37"/>
        <v>3510.5620749608574</v>
      </c>
      <c r="Z17" s="154">
        <f t="shared" si="37"/>
        <v>3931.8295239561608</v>
      </c>
      <c r="AA17" s="154">
        <f t="shared" si="37"/>
        <v>4403.6490668309007</v>
      </c>
      <c r="AB17" s="154">
        <f t="shared" si="37"/>
        <v>4932.0869548506089</v>
      </c>
      <c r="AC17" s="137">
        <f t="shared" si="19"/>
        <v>0.21930368988878857</v>
      </c>
      <c r="AD17" s="31">
        <f t="shared" si="17"/>
        <v>0.05</v>
      </c>
      <c r="AE17" s="145">
        <f t="shared" si="1"/>
        <v>43155.760854942826</v>
      </c>
    </row>
    <row r="18" spans="2:31" x14ac:dyDescent="0.2">
      <c r="B18" s="20" t="s">
        <v>23</v>
      </c>
      <c r="C18" s="140"/>
      <c r="D18" s="140"/>
      <c r="E18" s="146"/>
      <c r="F18" s="146">
        <v>7953</v>
      </c>
      <c r="G18" s="169">
        <v>9980</v>
      </c>
      <c r="H18" s="169">
        <v>12140</v>
      </c>
      <c r="I18" s="169">
        <v>14783</v>
      </c>
      <c r="J18" s="169">
        <v>17641</v>
      </c>
      <c r="K18" s="169">
        <v>21366</v>
      </c>
      <c r="L18" s="169">
        <v>26487</v>
      </c>
      <c r="M18" s="169">
        <v>36718</v>
      </c>
      <c r="N18" s="169">
        <v>47876</v>
      </c>
      <c r="O18" s="169">
        <v>53319</v>
      </c>
      <c r="P18" s="169">
        <v>64970</v>
      </c>
      <c r="Q18" s="118">
        <f t="shared" si="5"/>
        <v>0.23139684394148508</v>
      </c>
      <c r="R18" s="31">
        <f t="shared" si="6"/>
        <v>0.12</v>
      </c>
      <c r="S18" s="154">
        <f t="shared" si="2"/>
        <v>72766.400000000009</v>
      </c>
      <c r="T18" s="154">
        <f t="shared" ref="T18:AB18" si="38">S18*(1+$R18)</f>
        <v>81498.368000000017</v>
      </c>
      <c r="U18" s="154">
        <f t="shared" si="38"/>
        <v>91278.172160000031</v>
      </c>
      <c r="V18" s="154">
        <f t="shared" si="38"/>
        <v>102231.55281920005</v>
      </c>
      <c r="W18" s="154">
        <f t="shared" si="38"/>
        <v>114499.33915750407</v>
      </c>
      <c r="X18" s="154">
        <f t="shared" si="38"/>
        <v>128239.25985640458</v>
      </c>
      <c r="Y18" s="154">
        <f t="shared" si="38"/>
        <v>143627.97103917314</v>
      </c>
      <c r="Z18" s="154">
        <f t="shared" si="38"/>
        <v>160863.32756387393</v>
      </c>
      <c r="AA18" s="154">
        <f t="shared" si="38"/>
        <v>180166.92687153883</v>
      </c>
      <c r="AB18" s="154">
        <f t="shared" si="38"/>
        <v>201786.9580961235</v>
      </c>
      <c r="AC18" s="137">
        <f t="shared" si="19"/>
        <v>0.17145158643781477</v>
      </c>
      <c r="AD18" s="31">
        <f t="shared" si="17"/>
        <v>0.05</v>
      </c>
      <c r="AE18" s="145">
        <f t="shared" si="1"/>
        <v>1765635.8833410805</v>
      </c>
    </row>
    <row r="19" spans="2:31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27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8"/>
      <c r="AD19" s="136"/>
      <c r="AE19" s="154"/>
    </row>
    <row r="20" spans="2:31" x14ac:dyDescent="0.2">
      <c r="B20" s="20" t="s">
        <v>363</v>
      </c>
      <c r="C20" s="140"/>
      <c r="D20" s="140"/>
      <c r="E20" s="146"/>
      <c r="F20" s="146">
        <v>3.44</v>
      </c>
      <c r="G20" s="146">
        <v>0.65</v>
      </c>
      <c r="H20" s="146">
        <v>4.49</v>
      </c>
      <c r="I20" s="146">
        <v>0.84</v>
      </c>
      <c r="J20" s="146">
        <v>0.23</v>
      </c>
      <c r="K20" s="146">
        <v>2.69</v>
      </c>
      <c r="L20" s="146">
        <v>1.28</v>
      </c>
      <c r="M20" s="146">
        <v>1.43</v>
      </c>
      <c r="N20" s="146">
        <v>1</v>
      </c>
      <c r="O20" s="146">
        <v>178</v>
      </c>
      <c r="P20" s="146">
        <v>177</v>
      </c>
      <c r="Q20" s="118">
        <f>((P20/G20)^(1/($H$2-$H$1) ))-1</f>
        <v>0.86449924652165189</v>
      </c>
      <c r="R20" s="31">
        <v>0.1</v>
      </c>
      <c r="S20" s="154">
        <f t="shared" ref="S20" si="39">P20*(1+$R20)</f>
        <v>194.70000000000002</v>
      </c>
      <c r="T20" s="154">
        <f t="shared" ref="T20" si="40">S20*(1+$R20)</f>
        <v>214.17000000000004</v>
      </c>
      <c r="U20" s="154">
        <f t="shared" ref="U20" si="41">T20*(1+$R20)</f>
        <v>235.58700000000007</v>
      </c>
      <c r="V20" s="154">
        <f t="shared" ref="V20" si="42">U20*(1+$R20)</f>
        <v>259.14570000000009</v>
      </c>
      <c r="W20" s="154">
        <f t="shared" ref="W20" si="43">V20*(1+$R20)</f>
        <v>285.06027000000012</v>
      </c>
      <c r="X20" s="154">
        <f t="shared" ref="X20" si="44">W20*(1+$R20)</f>
        <v>313.56629700000013</v>
      </c>
      <c r="Y20" s="154">
        <f t="shared" ref="Y20" si="45">X20*(1+$R20)</f>
        <v>344.92292670000018</v>
      </c>
      <c r="Z20" s="154">
        <f t="shared" ref="Z20" si="46">Y20*(1+$R20)</f>
        <v>379.41521937000022</v>
      </c>
      <c r="AA20" s="154">
        <f t="shared" ref="AA20" si="47">Z20*(1+$R20)</f>
        <v>417.35674130700028</v>
      </c>
      <c r="AB20" s="154">
        <f t="shared" ref="AB20" si="48">AA20*(1+$R20)</f>
        <v>459.09241543770037</v>
      </c>
      <c r="AC20" s="137">
        <f t="shared" ref="AC20" si="49">((AB20/G20)^(1/($AB$3-$H$1) ))-1</f>
        <v>0.41236410545042523</v>
      </c>
      <c r="AD20" s="31">
        <v>0.08</v>
      </c>
      <c r="AE20" s="145">
        <f t="shared" si="1"/>
        <v>5509.1089852524037</v>
      </c>
    </row>
    <row r="21" spans="2:31" x14ac:dyDescent="0.2">
      <c r="B21" s="20" t="s">
        <v>364</v>
      </c>
      <c r="C21" s="140"/>
      <c r="D21" s="140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18" t="e">
        <f>((P21/G21)^(1/($H$2-$H$1) ))-1</f>
        <v>#DIV/0!</v>
      </c>
      <c r="R21" s="31">
        <v>0.1</v>
      </c>
      <c r="S21" s="154">
        <f t="shared" ref="S21" si="50">P21*(1+$R21)</f>
        <v>0</v>
      </c>
      <c r="T21" s="154">
        <f t="shared" ref="T21:AB21" si="51">S21*(1+$R21)</f>
        <v>0</v>
      </c>
      <c r="U21" s="154">
        <f t="shared" si="51"/>
        <v>0</v>
      </c>
      <c r="V21" s="154">
        <f t="shared" si="51"/>
        <v>0</v>
      </c>
      <c r="W21" s="154">
        <f t="shared" si="51"/>
        <v>0</v>
      </c>
      <c r="X21" s="154">
        <f t="shared" si="51"/>
        <v>0</v>
      </c>
      <c r="Y21" s="154">
        <f t="shared" si="51"/>
        <v>0</v>
      </c>
      <c r="Z21" s="154">
        <f t="shared" si="51"/>
        <v>0</v>
      </c>
      <c r="AA21" s="154">
        <f t="shared" si="51"/>
        <v>0</v>
      </c>
      <c r="AB21" s="154">
        <f t="shared" si="51"/>
        <v>0</v>
      </c>
      <c r="AC21" s="137" t="e">
        <f t="shared" ref="AC21" si="52">((AB21/G21)^(1/($AB$3-$H$1) ))-1</f>
        <v>#DIV/0!</v>
      </c>
      <c r="AD21" s="31">
        <v>0.08</v>
      </c>
      <c r="AE21" s="145">
        <f t="shared" si="1"/>
        <v>0</v>
      </c>
    </row>
    <row r="22" spans="2:31" x14ac:dyDescent="0.2">
      <c r="B22" s="20"/>
      <c r="C22" s="140"/>
      <c r="D22" s="140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27"/>
      <c r="R22" s="20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38"/>
      <c r="AD22" s="136"/>
      <c r="AE22" s="154"/>
    </row>
    <row r="23" spans="2:31" x14ac:dyDescent="0.2">
      <c r="B23" s="20" t="s">
        <v>278</v>
      </c>
      <c r="C23" s="140"/>
      <c r="D23" s="140"/>
      <c r="E23" s="146"/>
      <c r="F23" s="146">
        <v>18.309999999999999</v>
      </c>
      <c r="G23" s="169">
        <v>23.69</v>
      </c>
      <c r="H23" s="169">
        <v>24.74</v>
      </c>
      <c r="I23" s="169">
        <v>24.24</v>
      </c>
      <c r="J23" s="169">
        <v>30</v>
      </c>
      <c r="K23" s="169">
        <v>30</v>
      </c>
      <c r="L23" s="169">
        <v>44</v>
      </c>
      <c r="M23" s="169">
        <v>45</v>
      </c>
      <c r="N23" s="169">
        <v>45</v>
      </c>
      <c r="O23" s="169">
        <v>73</v>
      </c>
      <c r="P23" s="169">
        <v>73</v>
      </c>
      <c r="Q23" s="118">
        <f>((P23/G23)^(1/($H$2-$H$1) ))-1</f>
        <v>0.13319962506317373</v>
      </c>
      <c r="R23" s="31">
        <f t="shared" si="6"/>
        <v>0.12</v>
      </c>
      <c r="S23" s="154">
        <f t="shared" ref="S23:S55" si="53">P23*(1+$R23)</f>
        <v>81.760000000000005</v>
      </c>
      <c r="T23" s="154">
        <f t="shared" ref="T23:T55" si="54">S23*(1+$R23)</f>
        <v>91.571200000000019</v>
      </c>
      <c r="U23" s="154">
        <f t="shared" ref="U23:U55" si="55">T23*(1+$R23)</f>
        <v>102.55974400000004</v>
      </c>
      <c r="V23" s="154">
        <f t="shared" ref="V23:V55" si="56">U23*(1+$R23)</f>
        <v>114.86691328000005</v>
      </c>
      <c r="W23" s="154">
        <f t="shared" ref="W23:W62" si="57">V23*(1+$R23)</f>
        <v>128.65094287360006</v>
      </c>
      <c r="X23" s="154">
        <f t="shared" ref="X23:X62" si="58">W23*(1+$R23)</f>
        <v>144.08905601843207</v>
      </c>
      <c r="Y23" s="154">
        <f t="shared" ref="Y23:Y62" si="59">X23*(1+$R23)</f>
        <v>161.37974274064393</v>
      </c>
      <c r="Z23" s="154">
        <f t="shared" ref="Z23:Z62" si="60">Y23*(1+$R23)</f>
        <v>180.74531186952123</v>
      </c>
      <c r="AA23" s="154">
        <f t="shared" ref="AA23:AA62" si="61">Z23*(1+$R23)</f>
        <v>202.4347492938638</v>
      </c>
      <c r="AB23" s="154">
        <f t="shared" ref="AB23:AB62" si="62">AA23*(1+$R23)</f>
        <v>226.72691920912749</v>
      </c>
      <c r="AC23" s="137">
        <f t="shared" si="19"/>
        <v>0.12623317793281008</v>
      </c>
      <c r="AD23" s="31">
        <f t="shared" si="17"/>
        <v>0.05</v>
      </c>
      <c r="AE23" s="145">
        <f t="shared" si="1"/>
        <v>1983.8605430798655</v>
      </c>
    </row>
    <row r="24" spans="2:31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27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38"/>
      <c r="AD24" s="136"/>
      <c r="AE24" s="154"/>
    </row>
    <row r="25" spans="2:31" x14ac:dyDescent="0.2">
      <c r="B25" s="20" t="s">
        <v>284</v>
      </c>
      <c r="C25" s="140"/>
      <c r="D25" s="140"/>
      <c r="E25" s="146"/>
      <c r="F25" s="146"/>
      <c r="G25" s="146">
        <v>-1302</v>
      </c>
      <c r="H25" s="146">
        <v>-1557</v>
      </c>
      <c r="I25" s="146">
        <v>-2202</v>
      </c>
      <c r="J25" s="146">
        <v>-2273</v>
      </c>
      <c r="K25" s="146">
        <v>-3878</v>
      </c>
      <c r="L25" s="146">
        <v>-4909</v>
      </c>
      <c r="M25" s="146">
        <v>-9502</v>
      </c>
      <c r="N25" s="146">
        <v>-10267</v>
      </c>
      <c r="O25" s="146">
        <v>-11818</v>
      </c>
      <c r="P25" s="146">
        <v>-12585</v>
      </c>
      <c r="Q25" s="118">
        <f>((P25/G25)^(1/($H$2-$H$1) ))-1</f>
        <v>0.28668239719540578</v>
      </c>
      <c r="R25" s="31">
        <f t="shared" si="6"/>
        <v>0.12</v>
      </c>
      <c r="S25" s="154">
        <f t="shared" ref="S25:S27" si="63">P25*(1+$R25)</f>
        <v>-14095.2</v>
      </c>
      <c r="T25" s="154">
        <f t="shared" ref="T25:T27" si="64">S25*(1+$R25)</f>
        <v>-15786.624000000002</v>
      </c>
      <c r="U25" s="154">
        <f t="shared" ref="U25:U27" si="65">T25*(1+$R25)</f>
        <v>-17681.018880000003</v>
      </c>
      <c r="V25" s="154">
        <f t="shared" ref="V25:V27" si="66">U25*(1+$R25)</f>
        <v>-19802.741145600005</v>
      </c>
      <c r="W25" s="154">
        <f t="shared" ref="W25:W27" si="67">V25*(1+$R25)</f>
        <v>-22179.070083072009</v>
      </c>
      <c r="X25" s="154">
        <f t="shared" ref="X25:X27" si="68">W25*(1+$R25)</f>
        <v>-24840.558493040651</v>
      </c>
      <c r="Y25" s="154">
        <f t="shared" ref="Y25:Y27" si="69">X25*(1+$R25)</f>
        <v>-27821.425512205533</v>
      </c>
      <c r="Z25" s="154">
        <f t="shared" ref="Z25:Z27" si="70">Y25*(1+$R25)</f>
        <v>-31159.9965736702</v>
      </c>
      <c r="AA25" s="154">
        <f t="shared" ref="AA25:AA27" si="71">Z25*(1+$R25)</f>
        <v>-34899.196162510627</v>
      </c>
      <c r="AB25" s="154">
        <f t="shared" ref="AB25:AB27" si="72">AA25*(1+$R25)</f>
        <v>-39087.099702011903</v>
      </c>
      <c r="AC25" s="137">
        <f t="shared" ref="AC25:AC27" si="73">((AB25/G25)^(1/($AB$3-$H$1) ))-1</f>
        <v>0.19607682864994147</v>
      </c>
      <c r="AD25" s="31">
        <f t="shared" si="17"/>
        <v>0.05</v>
      </c>
      <c r="AE25" s="145">
        <f t="shared" si="1"/>
        <v>-342012.12239260413</v>
      </c>
    </row>
    <row r="26" spans="2:31" x14ac:dyDescent="0.2">
      <c r="B26" s="20" t="s">
        <v>285</v>
      </c>
      <c r="C26" s="140"/>
      <c r="D26" s="140"/>
      <c r="E26" s="146"/>
      <c r="F26" s="146"/>
      <c r="G26" s="146">
        <v>160</v>
      </c>
      <c r="H26" s="146">
        <v>84</v>
      </c>
      <c r="I26" s="146">
        <v>-230</v>
      </c>
      <c r="J26" s="146">
        <v>127</v>
      </c>
      <c r="K26" s="146">
        <v>-521</v>
      </c>
      <c r="L26" s="146">
        <v>-297</v>
      </c>
      <c r="M26" s="146">
        <v>-222</v>
      </c>
      <c r="N26" s="146">
        <v>197</v>
      </c>
      <c r="O26" s="146">
        <v>-35</v>
      </c>
      <c r="P26" s="146">
        <v>-27</v>
      </c>
      <c r="Q26" s="118">
        <f>((P26/G26)^(1/($H$2-$H$1) ))-1</f>
        <v>-1.8206126320066955</v>
      </c>
      <c r="R26" s="31">
        <f t="shared" si="6"/>
        <v>0.12</v>
      </c>
      <c r="S26" s="154">
        <f t="shared" si="63"/>
        <v>-30.240000000000002</v>
      </c>
      <c r="T26" s="154">
        <f t="shared" si="64"/>
        <v>-33.868800000000007</v>
      </c>
      <c r="U26" s="154">
        <f t="shared" si="65"/>
        <v>-37.933056000000015</v>
      </c>
      <c r="V26" s="154">
        <f t="shared" si="66"/>
        <v>-42.485022720000018</v>
      </c>
      <c r="W26" s="154">
        <f t="shared" si="67"/>
        <v>-47.583225446400021</v>
      </c>
      <c r="X26" s="154">
        <f t="shared" si="68"/>
        <v>-53.293212499968028</v>
      </c>
      <c r="Y26" s="154">
        <f t="shared" si="69"/>
        <v>-59.688397999964195</v>
      </c>
      <c r="Z26" s="154">
        <f t="shared" si="70"/>
        <v>-66.851005759959904</v>
      </c>
      <c r="AA26" s="154">
        <f t="shared" si="71"/>
        <v>-74.873126451155102</v>
      </c>
      <c r="AB26" s="154">
        <f t="shared" si="72"/>
        <v>-83.857901625293721</v>
      </c>
      <c r="AC26" s="137">
        <f t="shared" si="73"/>
        <v>-1.9665689561398016</v>
      </c>
      <c r="AD26" s="31">
        <f t="shared" si="17"/>
        <v>0.05</v>
      </c>
      <c r="AE26" s="145">
        <f t="shared" si="1"/>
        <v>-733.75663922132003</v>
      </c>
    </row>
    <row r="27" spans="2:31" x14ac:dyDescent="0.2">
      <c r="B27" s="20" t="s">
        <v>286</v>
      </c>
      <c r="C27" s="140"/>
      <c r="D27" s="140"/>
      <c r="E27" s="146"/>
      <c r="F27" s="146"/>
      <c r="G27" s="146">
        <v>1101</v>
      </c>
      <c r="H27" s="146">
        <v>1300</v>
      </c>
      <c r="I27" s="146">
        <v>2684</v>
      </c>
      <c r="J27" s="146">
        <v>2445</v>
      </c>
      <c r="K27" s="146">
        <v>3982</v>
      </c>
      <c r="L27" s="146">
        <v>4978</v>
      </c>
      <c r="M27" s="146">
        <v>9856</v>
      </c>
      <c r="N27" s="146">
        <v>10238</v>
      </c>
      <c r="O27" s="146">
        <v>11541</v>
      </c>
      <c r="P27" s="146">
        <v>12466</v>
      </c>
      <c r="Q27" s="118">
        <f>((P27/G27)^(1/($H$2-$H$1) ))-1</f>
        <v>0.30949674312556796</v>
      </c>
      <c r="R27" s="31">
        <f t="shared" si="6"/>
        <v>0.12</v>
      </c>
      <c r="S27" s="154">
        <f t="shared" si="63"/>
        <v>13961.920000000002</v>
      </c>
      <c r="T27" s="154">
        <f t="shared" si="64"/>
        <v>15637.350400000003</v>
      </c>
      <c r="U27" s="154">
        <f t="shared" si="65"/>
        <v>17513.832448000005</v>
      </c>
      <c r="V27" s="154">
        <f t="shared" si="66"/>
        <v>19615.492341760008</v>
      </c>
      <c r="W27" s="154">
        <f t="shared" si="67"/>
        <v>21969.351422771211</v>
      </c>
      <c r="X27" s="154">
        <f t="shared" si="68"/>
        <v>24605.673593503758</v>
      </c>
      <c r="Y27" s="154">
        <f t="shared" si="69"/>
        <v>27558.35442472421</v>
      </c>
      <c r="Z27" s="154">
        <f t="shared" si="70"/>
        <v>30865.356955691117</v>
      </c>
      <c r="AA27" s="154">
        <f t="shared" si="71"/>
        <v>34569.199790374056</v>
      </c>
      <c r="AB27" s="154">
        <f t="shared" si="72"/>
        <v>38717.503765218949</v>
      </c>
      <c r="AC27" s="137">
        <f t="shared" si="73"/>
        <v>0.20607617501095188</v>
      </c>
      <c r="AD27" s="31">
        <f t="shared" si="17"/>
        <v>0.05</v>
      </c>
      <c r="AE27" s="145">
        <f t="shared" si="1"/>
        <v>338778.15794566582</v>
      </c>
    </row>
    <row r="28" spans="2:31" x14ac:dyDescent="0.2">
      <c r="B28" s="20" t="s">
        <v>296</v>
      </c>
      <c r="C28" s="140"/>
      <c r="D28" s="140"/>
      <c r="E28" s="146"/>
      <c r="F28" s="146"/>
      <c r="G28" s="146">
        <v>401</v>
      </c>
      <c r="H28" s="146">
        <v>228</v>
      </c>
      <c r="I28" s="146">
        <v>479</v>
      </c>
      <c r="J28" s="146">
        <v>779</v>
      </c>
      <c r="K28" s="146">
        <v>361</v>
      </c>
      <c r="L28" s="146">
        <v>135</v>
      </c>
      <c r="M28" s="146">
        <v>267</v>
      </c>
      <c r="N28" s="146">
        <v>435</v>
      </c>
      <c r="O28" s="146">
        <v>248</v>
      </c>
      <c r="P28" s="146">
        <v>1407</v>
      </c>
      <c r="Q28" s="118">
        <f>((P28/G28)^(1/($H$2-$H$1) ))-1</f>
        <v>0.14966733375819352</v>
      </c>
      <c r="R28" s="31">
        <f t="shared" si="6"/>
        <v>0.12</v>
      </c>
      <c r="S28" s="154">
        <f t="shared" ref="S28" si="74">P28*(1+$R28)</f>
        <v>1575.8400000000001</v>
      </c>
      <c r="T28" s="154">
        <f t="shared" ref="T28" si="75">S28*(1+$R28)</f>
        <v>1764.9408000000003</v>
      </c>
      <c r="U28" s="154">
        <f t="shared" ref="U28" si="76">T28*(1+$R28)</f>
        <v>1976.7336960000005</v>
      </c>
      <c r="V28" s="154">
        <f t="shared" ref="V28" si="77">U28*(1+$R28)</f>
        <v>2213.9417395200007</v>
      </c>
      <c r="W28" s="154">
        <f t="shared" ref="W28" si="78">V28*(1+$R28)</f>
        <v>2479.614748262401</v>
      </c>
      <c r="X28" s="154">
        <f t="shared" ref="X28" si="79">W28*(1+$R28)</f>
        <v>2777.1685180538893</v>
      </c>
      <c r="Y28" s="154">
        <f t="shared" ref="Y28" si="80">X28*(1+$R28)</f>
        <v>3110.4287402203563</v>
      </c>
      <c r="Z28" s="154">
        <f t="shared" ref="Z28" si="81">Y28*(1+$R28)</f>
        <v>3483.6801890467996</v>
      </c>
      <c r="AA28" s="154">
        <f t="shared" ref="AA28" si="82">Z28*(1+$R28)</f>
        <v>3901.721811732416</v>
      </c>
      <c r="AB28" s="154">
        <f t="shared" ref="AB28" si="83">AA28*(1+$R28)</f>
        <v>4369.9284291403064</v>
      </c>
      <c r="AC28" s="137">
        <f t="shared" ref="AC28" si="84">((AB28/G28)^(1/($AB$3-$H$1) ))-1</f>
        <v>0.1339562870567399</v>
      </c>
      <c r="AD28" s="31">
        <f t="shared" si="17"/>
        <v>0.05</v>
      </c>
      <c r="AE28" s="145">
        <f t="shared" si="1"/>
        <v>38236.873754977678</v>
      </c>
    </row>
    <row r="29" spans="2:31" x14ac:dyDescent="0.2">
      <c r="B29" s="20"/>
      <c r="C29" s="140"/>
      <c r="D29" s="140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62"/>
      <c r="AD29" s="119"/>
      <c r="AE29" s="154"/>
    </row>
    <row r="30" spans="2:31" s="122" customFormat="1" x14ac:dyDescent="0.2">
      <c r="B30" s="20" t="s">
        <v>370</v>
      </c>
      <c r="C30" s="149"/>
      <c r="D30" s="149"/>
      <c r="E30" s="150"/>
      <c r="F30" s="146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v>0.1</v>
      </c>
      <c r="S30" s="154">
        <f t="shared" ref="S30:S33" si="85">P30*(1+$R30)</f>
        <v>0</v>
      </c>
      <c r="T30" s="154">
        <f t="shared" ref="T30:T33" si="86">S30*(1+$R30)</f>
        <v>0</v>
      </c>
      <c r="U30" s="154">
        <f t="shared" ref="U30:U33" si="87">T30*(1+$R30)</f>
        <v>0</v>
      </c>
      <c r="V30" s="154">
        <f t="shared" ref="V30:V33" si="88">U30*(1+$R30)</f>
        <v>0</v>
      </c>
      <c r="W30" s="154">
        <f t="shared" ref="W30:W33" si="89">V30*(1+$R30)</f>
        <v>0</v>
      </c>
      <c r="X30" s="154">
        <f t="shared" ref="X30:X33" si="90">W30*(1+$R30)</f>
        <v>0</v>
      </c>
      <c r="Y30" s="154">
        <f t="shared" ref="Y30:Y33" si="91">X30*(1+$R30)</f>
        <v>0</v>
      </c>
      <c r="Z30" s="154">
        <f t="shared" ref="Z30:Z33" si="92">Y30*(1+$R30)</f>
        <v>0</v>
      </c>
      <c r="AA30" s="154">
        <f t="shared" ref="AA30:AA33" si="93">Z30*(1+$R30)</f>
        <v>0</v>
      </c>
      <c r="AB30" s="154">
        <f t="shared" ref="AB30:AB33" si="94">AA30*(1+$R30)</f>
        <v>0</v>
      </c>
      <c r="AC30" s="137" t="e">
        <f t="shared" ref="AC30:AC33" si="95">((AB30/G30)^(1/($AB$3-$H$1) ))-1</f>
        <v>#DIV/0!</v>
      </c>
      <c r="AD30" s="31">
        <f t="shared" si="17"/>
        <v>0.05</v>
      </c>
      <c r="AE30" s="145">
        <f t="shared" ref="AE30:AE33" si="96">(AB30*(1+AD30))/($C$1-AD30)</f>
        <v>0</v>
      </c>
    </row>
    <row r="31" spans="2:31" s="122" customFormat="1" x14ac:dyDescent="0.2">
      <c r="B31" s="20" t="s">
        <v>371</v>
      </c>
      <c r="C31" s="149"/>
      <c r="D31" s="149"/>
      <c r="E31" s="150"/>
      <c r="F31" s="146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v>0.1</v>
      </c>
      <c r="S31" s="154">
        <f t="shared" si="85"/>
        <v>0</v>
      </c>
      <c r="T31" s="154">
        <f t="shared" si="86"/>
        <v>0</v>
      </c>
      <c r="U31" s="154">
        <f t="shared" si="87"/>
        <v>0</v>
      </c>
      <c r="V31" s="154">
        <f t="shared" si="88"/>
        <v>0</v>
      </c>
      <c r="W31" s="154">
        <f t="shared" si="89"/>
        <v>0</v>
      </c>
      <c r="X31" s="154">
        <f t="shared" si="90"/>
        <v>0</v>
      </c>
      <c r="Y31" s="154">
        <f t="shared" si="91"/>
        <v>0</v>
      </c>
      <c r="Z31" s="154">
        <f t="shared" si="92"/>
        <v>0</v>
      </c>
      <c r="AA31" s="154">
        <f t="shared" si="93"/>
        <v>0</v>
      </c>
      <c r="AB31" s="154">
        <f t="shared" si="94"/>
        <v>0</v>
      </c>
      <c r="AC31" s="137" t="e">
        <f t="shared" si="95"/>
        <v>#DIV/0!</v>
      </c>
      <c r="AD31" s="31">
        <f t="shared" si="17"/>
        <v>0.05</v>
      </c>
      <c r="AE31" s="145">
        <f t="shared" si="96"/>
        <v>0</v>
      </c>
    </row>
    <row r="32" spans="2:31" s="122" customFormat="1" x14ac:dyDescent="0.2">
      <c r="B32" s="20" t="s">
        <v>372</v>
      </c>
      <c r="C32" s="149"/>
      <c r="D32" s="149"/>
      <c r="E32" s="150"/>
      <c r="F32" s="146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v>0.1</v>
      </c>
      <c r="S32" s="154">
        <f t="shared" si="85"/>
        <v>0</v>
      </c>
      <c r="T32" s="154">
        <f t="shared" si="86"/>
        <v>0</v>
      </c>
      <c r="U32" s="154">
        <f t="shared" si="87"/>
        <v>0</v>
      </c>
      <c r="V32" s="154">
        <f t="shared" si="88"/>
        <v>0</v>
      </c>
      <c r="W32" s="154">
        <f t="shared" si="89"/>
        <v>0</v>
      </c>
      <c r="X32" s="154">
        <f t="shared" si="90"/>
        <v>0</v>
      </c>
      <c r="Y32" s="154">
        <f t="shared" si="91"/>
        <v>0</v>
      </c>
      <c r="Z32" s="154">
        <f t="shared" si="92"/>
        <v>0</v>
      </c>
      <c r="AA32" s="154">
        <f t="shared" si="93"/>
        <v>0</v>
      </c>
      <c r="AB32" s="154">
        <f t="shared" si="94"/>
        <v>0</v>
      </c>
      <c r="AC32" s="137" t="e">
        <f t="shared" si="95"/>
        <v>#DIV/0!</v>
      </c>
      <c r="AD32" s="31">
        <f t="shared" si="17"/>
        <v>0.05</v>
      </c>
      <c r="AE32" s="145">
        <f t="shared" si="96"/>
        <v>0</v>
      </c>
    </row>
    <row r="33" spans="2:31" x14ac:dyDescent="0.2">
      <c r="B33" s="20" t="s">
        <v>373</v>
      </c>
      <c r="C33" s="140"/>
      <c r="D33" s="140"/>
      <c r="E33" s="146"/>
      <c r="F33" s="146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18" t="e">
        <f>((P33/G33)^(1/($H$2-$H$1) ))-1</f>
        <v>#DIV/0!</v>
      </c>
      <c r="R33" s="31">
        <v>0.1</v>
      </c>
      <c r="S33" s="154">
        <f t="shared" si="85"/>
        <v>0</v>
      </c>
      <c r="T33" s="154">
        <f t="shared" si="86"/>
        <v>0</v>
      </c>
      <c r="U33" s="154">
        <f t="shared" si="87"/>
        <v>0</v>
      </c>
      <c r="V33" s="154">
        <f t="shared" si="88"/>
        <v>0</v>
      </c>
      <c r="W33" s="154">
        <f t="shared" si="89"/>
        <v>0</v>
      </c>
      <c r="X33" s="154">
        <f t="shared" si="90"/>
        <v>0</v>
      </c>
      <c r="Y33" s="154">
        <f t="shared" si="91"/>
        <v>0</v>
      </c>
      <c r="Z33" s="154">
        <f t="shared" si="92"/>
        <v>0</v>
      </c>
      <c r="AA33" s="154">
        <f t="shared" si="93"/>
        <v>0</v>
      </c>
      <c r="AB33" s="154">
        <f t="shared" si="94"/>
        <v>0</v>
      </c>
      <c r="AC33" s="137" t="e">
        <f t="shared" si="95"/>
        <v>#DIV/0!</v>
      </c>
      <c r="AD33" s="31">
        <f t="shared" si="17"/>
        <v>0.05</v>
      </c>
      <c r="AE33" s="145">
        <f t="shared" si="96"/>
        <v>0</v>
      </c>
    </row>
    <row r="34" spans="2:31" x14ac:dyDescent="0.2">
      <c r="B34" s="20"/>
      <c r="C34" s="140"/>
      <c r="D34" s="140"/>
      <c r="E34" s="146"/>
      <c r="F34" s="146"/>
      <c r="G34" s="148" t="e">
        <f>(G33-F33)/G33</f>
        <v>#DIV/0!</v>
      </c>
      <c r="H34" s="148" t="e">
        <f>(H33-G33)/H33</f>
        <v>#DIV/0!</v>
      </c>
      <c r="I34" s="148" t="e">
        <f t="shared" ref="I34:P34" si="97">(I33-H33)/I33</f>
        <v>#DIV/0!</v>
      </c>
      <c r="J34" s="148" t="e">
        <f t="shared" si="97"/>
        <v>#DIV/0!</v>
      </c>
      <c r="K34" s="148" t="e">
        <f t="shared" si="97"/>
        <v>#DIV/0!</v>
      </c>
      <c r="L34" s="148" t="e">
        <f t="shared" si="97"/>
        <v>#DIV/0!</v>
      </c>
      <c r="M34" s="148" t="e">
        <f t="shared" si="97"/>
        <v>#DIV/0!</v>
      </c>
      <c r="N34" s="148" t="e">
        <f t="shared" si="97"/>
        <v>#DIV/0!</v>
      </c>
      <c r="O34" s="148" t="e">
        <f t="shared" si="97"/>
        <v>#DIV/0!</v>
      </c>
      <c r="P34" s="148" t="e">
        <f t="shared" si="97"/>
        <v>#DIV/0!</v>
      </c>
      <c r="Q34" s="3"/>
      <c r="R34" s="3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45"/>
    </row>
    <row r="35" spans="2:31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27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19"/>
      <c r="AD35" s="136"/>
      <c r="AE35" s="154"/>
    </row>
    <row r="36" spans="2:31" x14ac:dyDescent="0.2">
      <c r="B36" s="20" t="s">
        <v>365</v>
      </c>
      <c r="C36" s="140"/>
      <c r="D36" s="140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18" t="e">
        <f>((P36/G36)^(1/($H$2-$H$1) ))-1</f>
        <v>#DIV/0!</v>
      </c>
      <c r="R36" s="31">
        <v>0.11</v>
      </c>
      <c r="S36" s="154">
        <f t="shared" ref="S36:S42" si="98">P36*(1+$R36)</f>
        <v>0</v>
      </c>
      <c r="T36" s="154">
        <f t="shared" ref="T36:AB42" si="99">S36*(1+$R36)</f>
        <v>0</v>
      </c>
      <c r="U36" s="154">
        <f t="shared" si="99"/>
        <v>0</v>
      </c>
      <c r="V36" s="154">
        <f t="shared" si="99"/>
        <v>0</v>
      </c>
      <c r="W36" s="154">
        <f t="shared" si="99"/>
        <v>0</v>
      </c>
      <c r="X36" s="154">
        <f t="shared" si="99"/>
        <v>0</v>
      </c>
      <c r="Y36" s="154">
        <f t="shared" si="99"/>
        <v>0</v>
      </c>
      <c r="Z36" s="154">
        <f t="shared" si="99"/>
        <v>0</v>
      </c>
      <c r="AA36" s="154">
        <f t="shared" si="99"/>
        <v>0</v>
      </c>
      <c r="AB36" s="154">
        <f t="shared" si="99"/>
        <v>0</v>
      </c>
      <c r="AC36" s="137" t="e">
        <f t="shared" ref="AC36:AC42" si="100">((AB36/G36)^(1/($AB$3-$H$1) ))-1</f>
        <v>#DIV/0!</v>
      </c>
      <c r="AD36" s="31">
        <v>0.05</v>
      </c>
      <c r="AE36" s="145">
        <f t="shared" si="1"/>
        <v>0</v>
      </c>
    </row>
    <row r="37" spans="2:31" x14ac:dyDescent="0.2">
      <c r="B37" s="20"/>
      <c r="C37" s="140"/>
      <c r="D37" s="140"/>
      <c r="E37" s="146"/>
      <c r="F37" s="146"/>
      <c r="G37" s="148" t="e">
        <f>(G36-F36)/G36</f>
        <v>#DIV/0!</v>
      </c>
      <c r="H37" s="148" t="e">
        <f>(H36-G36)/H36</f>
        <v>#DIV/0!</v>
      </c>
      <c r="I37" s="148" t="e">
        <f t="shared" ref="I37:P37" si="101">(I36-H36)/I36</f>
        <v>#DIV/0!</v>
      </c>
      <c r="J37" s="148" t="e">
        <f t="shared" si="101"/>
        <v>#DIV/0!</v>
      </c>
      <c r="K37" s="148" t="e">
        <f t="shared" si="101"/>
        <v>#DIV/0!</v>
      </c>
      <c r="L37" s="148" t="e">
        <f t="shared" si="101"/>
        <v>#DIV/0!</v>
      </c>
      <c r="M37" s="148" t="e">
        <f t="shared" si="101"/>
        <v>#DIV/0!</v>
      </c>
      <c r="N37" s="148" t="e">
        <f t="shared" si="101"/>
        <v>#DIV/0!</v>
      </c>
      <c r="O37" s="148" t="e">
        <f t="shared" si="101"/>
        <v>#DIV/0!</v>
      </c>
      <c r="P37" s="148" t="e">
        <f t="shared" si="101"/>
        <v>#DIV/0!</v>
      </c>
      <c r="Q37" s="3"/>
      <c r="R37" s="3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38"/>
      <c r="AD37" s="127"/>
      <c r="AE37" s="145"/>
    </row>
    <row r="38" spans="2:31" x14ac:dyDescent="0.2">
      <c r="B38" s="20" t="s">
        <v>366</v>
      </c>
      <c r="C38" s="140"/>
      <c r="D38" s="140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18" t="e">
        <f>((P38/G38)^(1/($H$2-$H$1) ))-1</f>
        <v>#DIV/0!</v>
      </c>
      <c r="R38" s="31">
        <v>0.1</v>
      </c>
      <c r="S38" s="154">
        <f t="shared" ref="S38" si="102">P38*(1+$R38)</f>
        <v>0</v>
      </c>
      <c r="T38" s="154">
        <f t="shared" ref="T38:AB38" si="103">S38*(1+$R38)</f>
        <v>0</v>
      </c>
      <c r="U38" s="154">
        <f t="shared" si="103"/>
        <v>0</v>
      </c>
      <c r="V38" s="154">
        <f t="shared" si="103"/>
        <v>0</v>
      </c>
      <c r="W38" s="154">
        <f t="shared" si="103"/>
        <v>0</v>
      </c>
      <c r="X38" s="154">
        <f t="shared" si="103"/>
        <v>0</v>
      </c>
      <c r="Y38" s="154">
        <f t="shared" si="103"/>
        <v>0</v>
      </c>
      <c r="Z38" s="154">
        <f t="shared" si="103"/>
        <v>0</v>
      </c>
      <c r="AA38" s="154">
        <f t="shared" si="103"/>
        <v>0</v>
      </c>
      <c r="AB38" s="154">
        <f t="shared" si="103"/>
        <v>0</v>
      </c>
      <c r="AC38" s="137" t="e">
        <f t="shared" ref="AC38" si="104">((AB38/G38)^(1/($AB$3-$H$1) ))-1</f>
        <v>#DIV/0!</v>
      </c>
      <c r="AD38" s="31">
        <v>0.05</v>
      </c>
      <c r="AE38" s="145">
        <f t="shared" si="1"/>
        <v>0</v>
      </c>
    </row>
    <row r="39" spans="2:31" x14ac:dyDescent="0.2">
      <c r="B39" s="20"/>
      <c r="C39" s="140"/>
      <c r="D39" s="140"/>
      <c r="E39" s="146"/>
      <c r="F39" s="146"/>
      <c r="G39" s="148" t="e">
        <f>(G38-F38)/G38</f>
        <v>#DIV/0!</v>
      </c>
      <c r="H39" s="148" t="e">
        <f>(H38-G38)/H38</f>
        <v>#DIV/0!</v>
      </c>
      <c r="I39" s="148" t="e">
        <f t="shared" ref="I39:P39" si="105">(I38-H38)/I38</f>
        <v>#DIV/0!</v>
      </c>
      <c r="J39" s="148" t="e">
        <f t="shared" si="105"/>
        <v>#DIV/0!</v>
      </c>
      <c r="K39" s="148" t="e">
        <f t="shared" si="105"/>
        <v>#DIV/0!</v>
      </c>
      <c r="L39" s="148" t="e">
        <f t="shared" si="105"/>
        <v>#DIV/0!</v>
      </c>
      <c r="M39" s="148" t="e">
        <f t="shared" si="105"/>
        <v>#DIV/0!</v>
      </c>
      <c r="N39" s="148" t="e">
        <f t="shared" si="105"/>
        <v>#DIV/0!</v>
      </c>
      <c r="O39" s="148" t="e">
        <f t="shared" si="105"/>
        <v>#DIV/0!</v>
      </c>
      <c r="P39" s="148" t="e">
        <f t="shared" si="105"/>
        <v>#DIV/0!</v>
      </c>
      <c r="Q39" s="3"/>
      <c r="R39" s="3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38"/>
      <c r="AD39" s="127"/>
      <c r="AE39" s="145"/>
    </row>
    <row r="40" spans="2:31" x14ac:dyDescent="0.2">
      <c r="B40" s="20" t="s">
        <v>367</v>
      </c>
      <c r="C40" s="140"/>
      <c r="D40" s="140"/>
      <c r="E40" s="146"/>
      <c r="F40" s="146">
        <v>62</v>
      </c>
      <c r="G40" s="146">
        <v>103</v>
      </c>
      <c r="H40" s="146">
        <v>93</v>
      </c>
      <c r="I40" s="146">
        <v>313</v>
      </c>
      <c r="J40" s="146">
        <v>281</v>
      </c>
      <c r="K40" s="146">
        <v>359</v>
      </c>
      <c r="L40" s="146">
        <v>391</v>
      </c>
      <c r="M40" s="146">
        <v>408</v>
      </c>
      <c r="N40" s="146">
        <v>700</v>
      </c>
      <c r="O40" s="146">
        <v>892</v>
      </c>
      <c r="P40" s="146">
        <v>991</v>
      </c>
      <c r="Q40" s="118">
        <f>((P40/G40)^(1/($H$2-$H$1) ))-1</f>
        <v>0.28602227853711715</v>
      </c>
      <c r="R40" s="31">
        <v>0.1</v>
      </c>
      <c r="S40" s="154">
        <f t="shared" ref="S40" si="106">P40*(1+$R40)</f>
        <v>1090.1000000000001</v>
      </c>
      <c r="T40" s="154">
        <f t="shared" ref="T40:AB40" si="107">S40*(1+$R40)</f>
        <v>1199.1100000000004</v>
      </c>
      <c r="U40" s="154">
        <f t="shared" si="107"/>
        <v>1319.0210000000004</v>
      </c>
      <c r="V40" s="154">
        <f t="shared" si="107"/>
        <v>1450.9231000000007</v>
      </c>
      <c r="W40" s="154">
        <f t="shared" si="107"/>
        <v>1596.0154100000009</v>
      </c>
      <c r="X40" s="154">
        <f t="shared" si="107"/>
        <v>1755.6169510000011</v>
      </c>
      <c r="Y40" s="154">
        <f t="shared" si="107"/>
        <v>1931.1786461000013</v>
      </c>
      <c r="Z40" s="154">
        <f t="shared" si="107"/>
        <v>2124.2965107100017</v>
      </c>
      <c r="AA40" s="154">
        <f t="shared" si="107"/>
        <v>2336.7261617810022</v>
      </c>
      <c r="AB40" s="154">
        <f t="shared" si="107"/>
        <v>2570.3987779591025</v>
      </c>
      <c r="AC40" s="137">
        <f t="shared" ref="AC40" si="108">((AB40/G40)^(1/($AB$3-$H$1) ))-1</f>
        <v>0.18449957585096466</v>
      </c>
      <c r="AD40" s="31">
        <v>0.05</v>
      </c>
      <c r="AE40" s="145">
        <f t="shared" si="1"/>
        <v>22490.989307142147</v>
      </c>
    </row>
    <row r="41" spans="2:31" x14ac:dyDescent="0.2">
      <c r="B41" s="20"/>
      <c r="C41" s="140"/>
      <c r="D41" s="140"/>
      <c r="E41" s="146"/>
      <c r="F41" s="146"/>
      <c r="G41" s="148">
        <f>(G40-F40)/G40</f>
        <v>0.39805825242718446</v>
      </c>
      <c r="H41" s="148">
        <f>(H40-G40)/H40</f>
        <v>-0.10752688172043011</v>
      </c>
      <c r="I41" s="148">
        <f t="shared" ref="I41:P41" si="109">(I40-H40)/I40</f>
        <v>0.70287539936102239</v>
      </c>
      <c r="J41" s="148">
        <f t="shared" si="109"/>
        <v>-0.11387900355871886</v>
      </c>
      <c r="K41" s="148">
        <f t="shared" si="109"/>
        <v>0.21727019498607242</v>
      </c>
      <c r="L41" s="148">
        <f t="shared" si="109"/>
        <v>8.1841432225063945E-2</v>
      </c>
      <c r="M41" s="148">
        <f t="shared" si="109"/>
        <v>4.1666666666666664E-2</v>
      </c>
      <c r="N41" s="148">
        <f t="shared" si="109"/>
        <v>0.41714285714285715</v>
      </c>
      <c r="O41" s="148">
        <f t="shared" si="109"/>
        <v>0.21524663677130046</v>
      </c>
      <c r="P41" s="148">
        <f t="shared" si="109"/>
        <v>9.9899091826437941E-2</v>
      </c>
      <c r="Q41" s="3"/>
      <c r="R41" s="3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127"/>
      <c r="AE41" s="145"/>
    </row>
    <row r="42" spans="2:31" x14ac:dyDescent="0.2">
      <c r="B42" s="20" t="s">
        <v>368</v>
      </c>
      <c r="C42" s="140"/>
      <c r="D42" s="140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18" t="e">
        <f>((P42/G42)^(1/($H$2-$H$1) ))-1</f>
        <v>#DIV/0!</v>
      </c>
      <c r="R42" s="31">
        <v>0.1</v>
      </c>
      <c r="S42" s="154">
        <f t="shared" si="98"/>
        <v>0</v>
      </c>
      <c r="T42" s="154">
        <f t="shared" si="99"/>
        <v>0</v>
      </c>
      <c r="U42" s="154">
        <f t="shared" si="99"/>
        <v>0</v>
      </c>
      <c r="V42" s="154">
        <f t="shared" si="99"/>
        <v>0</v>
      </c>
      <c r="W42" s="154">
        <f t="shared" si="99"/>
        <v>0</v>
      </c>
      <c r="X42" s="154">
        <f t="shared" si="99"/>
        <v>0</v>
      </c>
      <c r="Y42" s="154">
        <f t="shared" si="99"/>
        <v>0</v>
      </c>
      <c r="Z42" s="154">
        <f t="shared" si="99"/>
        <v>0</v>
      </c>
      <c r="AA42" s="154">
        <f t="shared" si="99"/>
        <v>0</v>
      </c>
      <c r="AB42" s="154">
        <f t="shared" si="99"/>
        <v>0</v>
      </c>
      <c r="AC42" s="137" t="e">
        <f t="shared" si="100"/>
        <v>#DIV/0!</v>
      </c>
      <c r="AD42" s="31">
        <v>0.05</v>
      </c>
      <c r="AE42" s="145">
        <f t="shared" si="1"/>
        <v>0</v>
      </c>
    </row>
    <row r="43" spans="2:31" x14ac:dyDescent="0.2">
      <c r="B43" s="20"/>
      <c r="C43" s="140"/>
      <c r="D43" s="140"/>
      <c r="E43" s="146"/>
      <c r="F43" s="146"/>
      <c r="G43" s="148" t="e">
        <f>(G42-F42)/G42</f>
        <v>#DIV/0!</v>
      </c>
      <c r="H43" s="148" t="e">
        <f>(H42-G42)/H42</f>
        <v>#DIV/0!</v>
      </c>
      <c r="I43" s="148" t="e">
        <f t="shared" ref="I43:P43" si="110">(I42-H42)/I42</f>
        <v>#DIV/0!</v>
      </c>
      <c r="J43" s="148" t="e">
        <f t="shared" si="110"/>
        <v>#DIV/0!</v>
      </c>
      <c r="K43" s="148" t="e">
        <f t="shared" si="110"/>
        <v>#DIV/0!</v>
      </c>
      <c r="L43" s="148" t="e">
        <f t="shared" si="110"/>
        <v>#DIV/0!</v>
      </c>
      <c r="M43" s="148" t="e">
        <f t="shared" si="110"/>
        <v>#DIV/0!</v>
      </c>
      <c r="N43" s="148" t="e">
        <f t="shared" si="110"/>
        <v>#DIV/0!</v>
      </c>
      <c r="O43" s="148" t="e">
        <f t="shared" si="110"/>
        <v>#DIV/0!</v>
      </c>
      <c r="P43" s="148" t="e">
        <f t="shared" si="110"/>
        <v>#DIV/0!</v>
      </c>
      <c r="Q43" s="3"/>
      <c r="R43" s="3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7"/>
      <c r="AD43" s="31"/>
      <c r="AE43" s="145"/>
    </row>
    <row r="44" spans="2:31" x14ac:dyDescent="0.2">
      <c r="B44" s="20" t="s">
        <v>89</v>
      </c>
      <c r="C44" s="140"/>
      <c r="D44" s="140"/>
      <c r="E44" s="146"/>
      <c r="F44" s="146">
        <v>1019</v>
      </c>
      <c r="G44" s="170">
        <v>978</v>
      </c>
      <c r="H44" s="170">
        <v>1047</v>
      </c>
      <c r="I44" s="170">
        <v>1273</v>
      </c>
      <c r="J44" s="142">
        <v>1589</v>
      </c>
      <c r="K44" s="142">
        <v>2184</v>
      </c>
      <c r="L44" s="171">
        <v>2903</v>
      </c>
      <c r="M44" s="171">
        <v>3480</v>
      </c>
      <c r="N44" s="171">
        <v>5029</v>
      </c>
      <c r="O44" s="171">
        <v>6244</v>
      </c>
      <c r="P44" s="171">
        <v>7746</v>
      </c>
      <c r="Q44" s="118">
        <f>((P44/G44)^(1/($H$2-$H$1) ))-1</f>
        <v>0.258519209009755</v>
      </c>
      <c r="R44" s="31">
        <f t="shared" si="6"/>
        <v>0.12</v>
      </c>
      <c r="S44" s="154">
        <f t="shared" si="53"/>
        <v>8675.52</v>
      </c>
      <c r="T44" s="154">
        <f t="shared" si="54"/>
        <v>9716.5824000000011</v>
      </c>
      <c r="U44" s="154">
        <f t="shared" si="55"/>
        <v>10882.572288000003</v>
      </c>
      <c r="V44" s="154">
        <f t="shared" si="56"/>
        <v>12188.480962560005</v>
      </c>
      <c r="W44" s="154">
        <f t="shared" si="57"/>
        <v>13651.098678067206</v>
      </c>
      <c r="X44" s="154">
        <f t="shared" si="58"/>
        <v>15289.230519435272</v>
      </c>
      <c r="Y44" s="154">
        <f t="shared" si="59"/>
        <v>17123.938181767506</v>
      </c>
      <c r="Z44" s="154">
        <f t="shared" si="60"/>
        <v>19178.810763579608</v>
      </c>
      <c r="AA44" s="154">
        <f t="shared" si="61"/>
        <v>21480.268055209162</v>
      </c>
      <c r="AB44" s="154">
        <f t="shared" si="62"/>
        <v>24057.900221834265</v>
      </c>
      <c r="AC44" s="137">
        <f t="shared" si="19"/>
        <v>0.1836035416962809</v>
      </c>
      <c r="AD44" s="31">
        <f t="shared" si="17"/>
        <v>0.05</v>
      </c>
      <c r="AE44" s="145">
        <f t="shared" si="1"/>
        <v>210506.62694104982</v>
      </c>
    </row>
    <row r="45" spans="2:31" s="122" customFormat="1" x14ac:dyDescent="0.2">
      <c r="B45" s="23"/>
      <c r="C45" s="149"/>
      <c r="D45" s="149"/>
      <c r="E45" s="150"/>
      <c r="F45" s="150"/>
      <c r="G45" s="148">
        <f>(G44-F44)/G44</f>
        <v>-4.1922290388548056E-2</v>
      </c>
      <c r="H45" s="148">
        <f>(H44-G44)/H44</f>
        <v>6.5902578796561598E-2</v>
      </c>
      <c r="I45" s="148">
        <f t="shared" ref="I45" si="111">(I44-H44)/I44</f>
        <v>0.17753338570306362</v>
      </c>
      <c r="J45" s="148">
        <f t="shared" ref="J45" si="112">(J44-I44)/J44</f>
        <v>0.19886721208307112</v>
      </c>
      <c r="K45" s="148">
        <f t="shared" ref="K45" si="113">(K44-J44)/K44</f>
        <v>0.27243589743589741</v>
      </c>
      <c r="L45" s="148">
        <f t="shared" ref="L45" si="114">(L44-K44)/L44</f>
        <v>0.24767481915260076</v>
      </c>
      <c r="M45" s="148">
        <f t="shared" ref="M45" si="115">(M44-L44)/M44</f>
        <v>0.16580459770114941</v>
      </c>
      <c r="N45" s="148">
        <f t="shared" ref="N45" si="116">(N44-M44)/N44</f>
        <v>0.30801352157486578</v>
      </c>
      <c r="O45" s="148">
        <f t="shared" ref="O45" si="117">(O44-N44)/O44</f>
        <v>0.19458680333119796</v>
      </c>
      <c r="P45" s="148">
        <f t="shared" ref="P45" si="118">(P44-O44)/P44</f>
        <v>0.19390653240382133</v>
      </c>
      <c r="Q45" s="127"/>
      <c r="R45" s="20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19"/>
      <c r="AD45" s="136"/>
      <c r="AE45" s="154"/>
    </row>
    <row r="46" spans="2:31" x14ac:dyDescent="0.2">
      <c r="B46" s="20" t="s">
        <v>262</v>
      </c>
      <c r="C46" s="140"/>
      <c r="D46" s="140"/>
      <c r="E46" s="146"/>
      <c r="F46" s="146">
        <v>64</v>
      </c>
      <c r="G46" s="170">
        <v>96</v>
      </c>
      <c r="H46" s="170">
        <v>159</v>
      </c>
      <c r="I46" s="170">
        <v>146</v>
      </c>
      <c r="J46" s="142">
        <v>124</v>
      </c>
      <c r="K46" s="142">
        <v>154</v>
      </c>
      <c r="L46" s="171">
        <v>155</v>
      </c>
      <c r="M46" s="171">
        <v>193</v>
      </c>
      <c r="N46" s="171">
        <v>480</v>
      </c>
      <c r="O46" s="171">
        <v>410</v>
      </c>
      <c r="P46" s="171">
        <v>396</v>
      </c>
      <c r="Q46" s="118">
        <f>((P46/G46)^(1/($H$2-$H$1) ))-1</f>
        <v>0.17052431391067202</v>
      </c>
      <c r="R46" s="31">
        <f t="shared" si="6"/>
        <v>0.12</v>
      </c>
      <c r="S46" s="154">
        <f t="shared" si="53"/>
        <v>443.52000000000004</v>
      </c>
      <c r="T46" s="154">
        <f t="shared" si="54"/>
        <v>496.74240000000009</v>
      </c>
      <c r="U46" s="154">
        <f t="shared" si="55"/>
        <v>556.35148800000013</v>
      </c>
      <c r="V46" s="154">
        <f t="shared" si="56"/>
        <v>623.11366656000018</v>
      </c>
      <c r="W46" s="154">
        <f t="shared" si="57"/>
        <v>697.8873065472003</v>
      </c>
      <c r="X46" s="154">
        <f t="shared" si="58"/>
        <v>781.63378333286437</v>
      </c>
      <c r="Y46" s="154">
        <f t="shared" si="59"/>
        <v>875.42983733280812</v>
      </c>
      <c r="Z46" s="154">
        <f t="shared" si="60"/>
        <v>980.48141781274524</v>
      </c>
      <c r="AA46" s="154">
        <f t="shared" si="61"/>
        <v>1098.1391879502748</v>
      </c>
      <c r="AB46" s="154">
        <f t="shared" si="62"/>
        <v>1229.915890504308</v>
      </c>
      <c r="AC46" s="137">
        <f t="shared" si="19"/>
        <v>0.14365479931461933</v>
      </c>
      <c r="AD46" s="31">
        <f t="shared" si="17"/>
        <v>0.05</v>
      </c>
      <c r="AE46" s="145">
        <f t="shared" si="1"/>
        <v>10761.764041912695</v>
      </c>
    </row>
    <row r="47" spans="2:31" s="122" customFormat="1" x14ac:dyDescent="0.2">
      <c r="B47" s="23"/>
      <c r="C47" s="149"/>
      <c r="D47" s="149"/>
      <c r="E47" s="150"/>
      <c r="F47" s="150"/>
      <c r="G47" s="148">
        <f t="shared" ref="G47:P47" si="119">(G46-F46)/G46</f>
        <v>0.33333333333333331</v>
      </c>
      <c r="H47" s="148">
        <f t="shared" si="119"/>
        <v>0.39622641509433965</v>
      </c>
      <c r="I47" s="148">
        <f t="shared" si="119"/>
        <v>-8.9041095890410954E-2</v>
      </c>
      <c r="J47" s="148">
        <f t="shared" si="119"/>
        <v>-0.17741935483870969</v>
      </c>
      <c r="K47" s="148">
        <f t="shared" si="119"/>
        <v>0.19480519480519481</v>
      </c>
      <c r="L47" s="148">
        <f t="shared" si="119"/>
        <v>6.4516129032258064E-3</v>
      </c>
      <c r="M47" s="148">
        <f t="shared" si="119"/>
        <v>0.19689119170984457</v>
      </c>
      <c r="N47" s="148">
        <f t="shared" si="119"/>
        <v>0.59791666666666665</v>
      </c>
      <c r="O47" s="148">
        <f t="shared" si="119"/>
        <v>-0.17073170731707318</v>
      </c>
      <c r="P47" s="148">
        <f t="shared" si="119"/>
        <v>-3.5353535353535352E-2</v>
      </c>
      <c r="Q47" s="127"/>
      <c r="R47" s="20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19"/>
      <c r="AD47" s="136"/>
      <c r="AE47" s="154"/>
    </row>
    <row r="48" spans="2:31" x14ac:dyDescent="0.2">
      <c r="B48" s="20" t="s">
        <v>369</v>
      </c>
      <c r="C48" s="140"/>
      <c r="D48" s="140"/>
      <c r="E48" s="146"/>
      <c r="F48" s="146">
        <v>54</v>
      </c>
      <c r="G48" s="146">
        <v>21</v>
      </c>
      <c r="H48" s="146">
        <v>24</v>
      </c>
      <c r="I48" s="146">
        <v>35</v>
      </c>
      <c r="J48" s="146">
        <v>42</v>
      </c>
      <c r="K48" s="146">
        <v>39.5</v>
      </c>
      <c r="L48" s="146">
        <v>23</v>
      </c>
      <c r="M48" s="146">
        <v>17</v>
      </c>
      <c r="N48" s="146">
        <v>400</v>
      </c>
      <c r="O48" s="146">
        <v>103</v>
      </c>
      <c r="P48" s="146">
        <v>87</v>
      </c>
      <c r="Q48" s="118">
        <f>((P48/G48)^(1/($H$2-$H$1) ))-1</f>
        <v>0.17108625635521579</v>
      </c>
      <c r="R48" s="31">
        <v>0.1</v>
      </c>
      <c r="S48" s="154">
        <f t="shared" ref="S48" si="120">P48*(1+$R48)</f>
        <v>95.7</v>
      </c>
      <c r="T48" s="154">
        <f t="shared" ref="T48:AB48" si="121">S48*(1+$R48)</f>
        <v>105.27000000000001</v>
      </c>
      <c r="U48" s="154">
        <f t="shared" si="121"/>
        <v>115.79700000000003</v>
      </c>
      <c r="V48" s="154">
        <f t="shared" si="121"/>
        <v>127.37670000000004</v>
      </c>
      <c r="W48" s="154">
        <f t="shared" si="121"/>
        <v>140.11437000000006</v>
      </c>
      <c r="X48" s="154">
        <f t="shared" si="121"/>
        <v>154.12580700000009</v>
      </c>
      <c r="Y48" s="154">
        <f t="shared" si="121"/>
        <v>169.53838770000013</v>
      </c>
      <c r="Z48" s="154">
        <f t="shared" si="121"/>
        <v>186.49222647000016</v>
      </c>
      <c r="AA48" s="154">
        <f t="shared" si="121"/>
        <v>205.14144911700021</v>
      </c>
      <c r="AB48" s="154">
        <f t="shared" si="121"/>
        <v>225.65559402870025</v>
      </c>
      <c r="AC48" s="137">
        <f t="shared" ref="AC48" si="122">((AB48/G48)^(1/($AB$3-$H$1) ))-1</f>
        <v>0.13311788703659433</v>
      </c>
      <c r="AD48" s="31">
        <v>0.05</v>
      </c>
      <c r="AE48" s="145">
        <f t="shared" si="1"/>
        <v>1974.4864477511271</v>
      </c>
    </row>
    <row r="49" spans="2:31" x14ac:dyDescent="0.2">
      <c r="B49" s="20"/>
      <c r="C49" s="140"/>
      <c r="D49" s="140"/>
      <c r="E49" s="146"/>
      <c r="F49" s="146"/>
      <c r="G49" s="148">
        <f>(G48-F48)/G48</f>
        <v>-1.5714285714285714</v>
      </c>
      <c r="H49" s="148">
        <f>(H48-G48)/H48</f>
        <v>0.125</v>
      </c>
      <c r="I49" s="148">
        <f t="shared" ref="I49:P49" si="123">(I48-H48)/I48</f>
        <v>0.31428571428571428</v>
      </c>
      <c r="J49" s="148">
        <f t="shared" si="123"/>
        <v>0.16666666666666666</v>
      </c>
      <c r="K49" s="148">
        <f t="shared" si="123"/>
        <v>-6.3291139240506333E-2</v>
      </c>
      <c r="L49" s="148">
        <f t="shared" si="123"/>
        <v>-0.71739130434782605</v>
      </c>
      <c r="M49" s="148">
        <f t="shared" si="123"/>
        <v>-0.35294117647058826</v>
      </c>
      <c r="N49" s="148">
        <f t="shared" si="123"/>
        <v>0.95750000000000002</v>
      </c>
      <c r="O49" s="148">
        <f t="shared" si="123"/>
        <v>-2.883495145631068</v>
      </c>
      <c r="P49" s="148">
        <f t="shared" si="123"/>
        <v>-0.18390804597701149</v>
      </c>
      <c r="Q49" s="3"/>
      <c r="R49" s="3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37"/>
      <c r="AD49" s="31"/>
      <c r="AE49" s="145"/>
    </row>
    <row r="50" spans="2:31" s="122" customFormat="1" x14ac:dyDescent="0.2">
      <c r="B50" s="20" t="s">
        <v>324</v>
      </c>
      <c r="C50" s="149"/>
      <c r="D50" s="149"/>
      <c r="E50" s="150"/>
      <c r="F50" s="146">
        <v>713</v>
      </c>
      <c r="G50" s="146">
        <v>655</v>
      </c>
      <c r="H50" s="146">
        <v>682</v>
      </c>
      <c r="I50" s="146">
        <v>859</v>
      </c>
      <c r="J50" s="146">
        <v>1107</v>
      </c>
      <c r="K50" s="146">
        <v>1494</v>
      </c>
      <c r="L50" s="146">
        <v>2017</v>
      </c>
      <c r="M50" s="146">
        <v>2401</v>
      </c>
      <c r="N50" s="146">
        <v>3253</v>
      </c>
      <c r="O50" s="146">
        <v>4591</v>
      </c>
      <c r="P50" s="146">
        <v>5924</v>
      </c>
      <c r="Q50" s="118">
        <f>((P50/G50)^(1/($H$2-$H$1) ))-1</f>
        <v>0.2772142341931898</v>
      </c>
      <c r="R50" s="31">
        <f t="shared" si="6"/>
        <v>0.12</v>
      </c>
      <c r="S50" s="154">
        <f t="shared" ref="S50" si="124">P50*(1+$R50)</f>
        <v>6634.880000000001</v>
      </c>
      <c r="T50" s="154">
        <f t="shared" ref="T50" si="125">S50*(1+$R50)</f>
        <v>7431.0656000000017</v>
      </c>
      <c r="U50" s="154">
        <f t="shared" ref="U50" si="126">T50*(1+$R50)</f>
        <v>8322.793472000003</v>
      </c>
      <c r="V50" s="154">
        <f t="shared" ref="V50" si="127">U50*(1+$R50)</f>
        <v>9321.5286886400045</v>
      </c>
      <c r="W50" s="154">
        <f t="shared" ref="W50" si="128">V50*(1+$R50)</f>
        <v>10440.112131276806</v>
      </c>
      <c r="X50" s="154">
        <f t="shared" ref="X50" si="129">W50*(1+$R50)</f>
        <v>11692.925587030024</v>
      </c>
      <c r="Y50" s="154">
        <f t="shared" ref="Y50" si="130">X50*(1+$R50)</f>
        <v>13096.076657473628</v>
      </c>
      <c r="Z50" s="154">
        <f t="shared" ref="Z50" si="131">Y50*(1+$R50)</f>
        <v>14667.605856370465</v>
      </c>
      <c r="AA50" s="154">
        <f t="shared" ref="AA50" si="132">Z50*(1+$R50)</f>
        <v>16427.718559134923</v>
      </c>
      <c r="AB50" s="154">
        <f t="shared" ref="AB50" si="133">AA50*(1+$R50)</f>
        <v>18399.044786231116</v>
      </c>
      <c r="AC50" s="137">
        <f t="shared" ref="AC50" si="134">((AB50/G50)^(1/($AB$3-$H$1) ))-1</f>
        <v>0.19189962456400989</v>
      </c>
      <c r="AD50" s="31">
        <f t="shared" si="17"/>
        <v>0.05</v>
      </c>
      <c r="AE50" s="145">
        <f t="shared" ref="AE50" si="135">(AB50*(1+AD50))/($C$1-AD50)</f>
        <v>160991.64187952224</v>
      </c>
    </row>
    <row r="51" spans="2:31" s="122" customFormat="1" x14ac:dyDescent="0.2">
      <c r="B51" s="23"/>
      <c r="C51" s="149"/>
      <c r="D51" s="149"/>
      <c r="E51" s="150"/>
      <c r="F51" s="150"/>
      <c r="G51" s="148">
        <f t="shared" ref="G51:P51" si="136">(G50-F50)/G50</f>
        <v>-8.8549618320610687E-2</v>
      </c>
      <c r="H51" s="148">
        <f t="shared" si="136"/>
        <v>3.9589442815249266E-2</v>
      </c>
      <c r="I51" s="148">
        <f t="shared" si="136"/>
        <v>0.20605355064027939</v>
      </c>
      <c r="J51" s="148">
        <f t="shared" si="136"/>
        <v>0.22402890695573621</v>
      </c>
      <c r="K51" s="148">
        <f t="shared" si="136"/>
        <v>0.25903614457831325</v>
      </c>
      <c r="L51" s="148">
        <f t="shared" si="136"/>
        <v>0.25929598413485372</v>
      </c>
      <c r="M51" s="148">
        <f t="shared" si="136"/>
        <v>0.15993336109954187</v>
      </c>
      <c r="N51" s="148">
        <f t="shared" si="136"/>
        <v>0.26191208115585612</v>
      </c>
      <c r="O51" s="148">
        <f t="shared" si="136"/>
        <v>0.2914397734698323</v>
      </c>
      <c r="P51" s="148">
        <f t="shared" si="136"/>
        <v>0.22501688048615801</v>
      </c>
      <c r="Q51" s="127"/>
      <c r="R51" s="20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  <c r="AC51" s="162"/>
      <c r="AD51" s="136"/>
      <c r="AE51" s="154"/>
    </row>
    <row r="52" spans="2:31" x14ac:dyDescent="0.2">
      <c r="B52" s="20" t="s">
        <v>332</v>
      </c>
      <c r="C52" s="140"/>
      <c r="D52" s="140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18" t="e">
        <f>((P52/G52)^(1/($H$2-$H$1) ))-1</f>
        <v>#DIV/0!</v>
      </c>
      <c r="R52" s="31">
        <f t="shared" si="6"/>
        <v>0.12</v>
      </c>
      <c r="S52" s="154">
        <f>P52*(1+$R52)</f>
        <v>0</v>
      </c>
      <c r="T52" s="154">
        <f>S52*(1+$R52)</f>
        <v>0</v>
      </c>
      <c r="U52" s="154">
        <f t="shared" ref="U52:AB53" si="137">T52*(1+$R52)</f>
        <v>0</v>
      </c>
      <c r="V52" s="154">
        <f t="shared" si="137"/>
        <v>0</v>
      </c>
      <c r="W52" s="154">
        <f t="shared" si="137"/>
        <v>0</v>
      </c>
      <c r="X52" s="154">
        <f t="shared" si="137"/>
        <v>0</v>
      </c>
      <c r="Y52" s="154">
        <f t="shared" si="137"/>
        <v>0</v>
      </c>
      <c r="Z52" s="154">
        <f t="shared" si="137"/>
        <v>0</v>
      </c>
      <c r="AA52" s="154">
        <f t="shared" si="137"/>
        <v>0</v>
      </c>
      <c r="AB52" s="154">
        <f t="shared" si="137"/>
        <v>0</v>
      </c>
      <c r="AC52" s="137" t="e">
        <f t="shared" ref="AC52" si="138">((AB52/G52)^(1/($AB$3-$H$1) ))-1</f>
        <v>#DIV/0!</v>
      </c>
      <c r="AD52" s="31">
        <f t="shared" si="17"/>
        <v>0.05</v>
      </c>
      <c r="AE52" s="145">
        <f t="shared" si="1"/>
        <v>0</v>
      </c>
    </row>
    <row r="53" spans="2:31" x14ac:dyDescent="0.2">
      <c r="B53" s="20" t="s">
        <v>331</v>
      </c>
      <c r="C53" s="140"/>
      <c r="D53" s="140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18" t="e">
        <f>((P53/G53)^(1/($H$2-$H$1) ))-1</f>
        <v>#DIV/0!</v>
      </c>
      <c r="R53" s="31">
        <f t="shared" si="6"/>
        <v>0.12</v>
      </c>
      <c r="S53" s="154">
        <f>P53*(1+$R53)</f>
        <v>0</v>
      </c>
      <c r="T53" s="154">
        <f>S53*(1+$R53)</f>
        <v>0</v>
      </c>
      <c r="U53" s="154">
        <f t="shared" si="137"/>
        <v>0</v>
      </c>
      <c r="V53" s="154">
        <f t="shared" si="137"/>
        <v>0</v>
      </c>
      <c r="W53" s="154">
        <f t="shared" si="137"/>
        <v>0</v>
      </c>
      <c r="X53" s="154">
        <f t="shared" si="137"/>
        <v>0</v>
      </c>
      <c r="Y53" s="154">
        <f t="shared" si="137"/>
        <v>0</v>
      </c>
      <c r="Z53" s="154">
        <f t="shared" si="137"/>
        <v>0</v>
      </c>
      <c r="AA53" s="154">
        <f t="shared" si="137"/>
        <v>0</v>
      </c>
      <c r="AB53" s="154">
        <f t="shared" si="137"/>
        <v>0</v>
      </c>
      <c r="AC53" s="137" t="e">
        <f t="shared" ref="AC53" si="139">((AB53/G53)^(1/($AB$3-$H$1) ))-1</f>
        <v>#DIV/0!</v>
      </c>
      <c r="AD53" s="31">
        <f t="shared" si="17"/>
        <v>0.05</v>
      </c>
      <c r="AE53" s="145">
        <f t="shared" si="1"/>
        <v>0</v>
      </c>
    </row>
    <row r="54" spans="2:31" x14ac:dyDescent="0.2">
      <c r="B54" s="20" t="s">
        <v>437</v>
      </c>
      <c r="C54" s="140"/>
      <c r="D54" s="140"/>
      <c r="E54" s="146"/>
      <c r="F54" s="146">
        <v>4.71</v>
      </c>
      <c r="G54" s="170">
        <v>9.41</v>
      </c>
      <c r="H54" s="170">
        <v>18.600000000000001</v>
      </c>
      <c r="I54" s="170">
        <v>14</v>
      </c>
      <c r="J54" s="142">
        <v>17.5</v>
      </c>
      <c r="K54" s="142">
        <v>18.5</v>
      </c>
      <c r="L54" s="171">
        <v>19</v>
      </c>
      <c r="M54" s="171">
        <v>32</v>
      </c>
      <c r="N54" s="171">
        <v>23</v>
      </c>
      <c r="O54" s="171">
        <v>36.5</v>
      </c>
      <c r="P54" s="171">
        <v>298</v>
      </c>
      <c r="Q54" s="118">
        <f>((P54/G54)^(1/($H$2-$H$1) ))-1</f>
        <v>0.468034606253241</v>
      </c>
      <c r="R54" s="31">
        <f t="shared" si="6"/>
        <v>0.12</v>
      </c>
      <c r="S54" s="154">
        <f t="shared" si="53"/>
        <v>333.76000000000005</v>
      </c>
      <c r="T54" s="154">
        <f t="shared" si="54"/>
        <v>373.8112000000001</v>
      </c>
      <c r="U54" s="154">
        <f t="shared" si="55"/>
        <v>418.66854400000017</v>
      </c>
      <c r="V54" s="154">
        <f t="shared" si="56"/>
        <v>468.90876928000023</v>
      </c>
      <c r="W54" s="154">
        <f t="shared" si="57"/>
        <v>525.17782159360036</v>
      </c>
      <c r="X54" s="154">
        <f t="shared" si="58"/>
        <v>588.19916018483241</v>
      </c>
      <c r="Y54" s="154">
        <f t="shared" si="59"/>
        <v>658.78305940701239</v>
      </c>
      <c r="Z54" s="154">
        <f t="shared" si="60"/>
        <v>737.83702653585397</v>
      </c>
      <c r="AA54" s="154">
        <f t="shared" si="61"/>
        <v>826.37746972015657</v>
      </c>
      <c r="AB54" s="154">
        <f t="shared" si="62"/>
        <v>925.5427660865754</v>
      </c>
      <c r="AC54" s="137">
        <f t="shared" si="19"/>
        <v>0.27316465068831608</v>
      </c>
      <c r="AD54" s="31">
        <f t="shared" si="17"/>
        <v>0.05</v>
      </c>
      <c r="AE54" s="145">
        <f t="shared" si="1"/>
        <v>8098.4992032575346</v>
      </c>
    </row>
    <row r="55" spans="2:31" x14ac:dyDescent="0.2">
      <c r="B55" s="20" t="s">
        <v>309</v>
      </c>
      <c r="C55" s="140"/>
      <c r="D55" s="140"/>
      <c r="E55" s="146"/>
      <c r="F55" s="146">
        <v>13.26</v>
      </c>
      <c r="G55" s="170">
        <v>16.600000000000001</v>
      </c>
      <c r="H55" s="170">
        <v>17.5</v>
      </c>
      <c r="I55" s="170">
        <v>25.2</v>
      </c>
      <c r="J55" s="142">
        <v>27</v>
      </c>
      <c r="K55" s="142">
        <v>35</v>
      </c>
      <c r="L55" s="171">
        <v>45</v>
      </c>
      <c r="M55" s="171">
        <v>52</v>
      </c>
      <c r="N55" s="171">
        <v>75</v>
      </c>
      <c r="O55" s="171">
        <v>81</v>
      </c>
      <c r="P55" s="171">
        <v>98</v>
      </c>
      <c r="Q55" s="118">
        <f>((P55/G55)^(1/($H$2-$H$1) ))-1</f>
        <v>0.21809111789000335</v>
      </c>
      <c r="R55" s="31">
        <f t="shared" si="6"/>
        <v>0.12</v>
      </c>
      <c r="S55" s="154">
        <f t="shared" si="53"/>
        <v>109.76</v>
      </c>
      <c r="T55" s="154">
        <f t="shared" si="54"/>
        <v>122.93120000000002</v>
      </c>
      <c r="U55" s="154">
        <f t="shared" si="55"/>
        <v>137.68294400000002</v>
      </c>
      <c r="V55" s="154">
        <f t="shared" si="56"/>
        <v>154.20489728000004</v>
      </c>
      <c r="W55" s="154">
        <f t="shared" si="57"/>
        <v>172.70948495360005</v>
      </c>
      <c r="X55" s="154">
        <f t="shared" si="58"/>
        <v>193.43462314803207</v>
      </c>
      <c r="Y55" s="154">
        <f t="shared" si="59"/>
        <v>216.64677792579593</v>
      </c>
      <c r="Z55" s="154">
        <f t="shared" si="60"/>
        <v>242.64439127689147</v>
      </c>
      <c r="AA55" s="154">
        <f t="shared" si="61"/>
        <v>271.76171823011845</v>
      </c>
      <c r="AB55" s="154">
        <f t="shared" si="62"/>
        <v>304.3731244177327</v>
      </c>
      <c r="AC55" s="137">
        <f t="shared" si="19"/>
        <v>0.16543855069370683</v>
      </c>
      <c r="AD55" s="31">
        <f t="shared" si="17"/>
        <v>0.05</v>
      </c>
      <c r="AE55" s="145">
        <f t="shared" si="1"/>
        <v>2663.2648386551609</v>
      </c>
    </row>
    <row r="56" spans="2:31" x14ac:dyDescent="0.2">
      <c r="B56" s="20"/>
      <c r="C56" s="140"/>
      <c r="D56" s="140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27"/>
      <c r="R56" s="20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8"/>
      <c r="AD56" s="136"/>
      <c r="AE56" s="154"/>
    </row>
    <row r="57" spans="2:31" x14ac:dyDescent="0.2">
      <c r="B57" s="20" t="s">
        <v>374</v>
      </c>
      <c r="C57" s="140"/>
      <c r="D57" s="140"/>
      <c r="E57" s="146"/>
      <c r="F57" s="146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18" t="e">
        <f>((P57/G57)^(1/($H$2-$H$1) ))-1</f>
        <v>#DIV/0!</v>
      </c>
      <c r="R57" s="31">
        <v>0.1</v>
      </c>
      <c r="S57" s="154">
        <f t="shared" ref="S57:S60" si="140">P57*(1+$R57)</f>
        <v>0</v>
      </c>
      <c r="T57" s="154">
        <f t="shared" ref="T57:T60" si="141">S57*(1+$R57)</f>
        <v>0</v>
      </c>
      <c r="U57" s="154">
        <f t="shared" ref="U57:U60" si="142">T57*(1+$R57)</f>
        <v>0</v>
      </c>
      <c r="V57" s="154">
        <f t="shared" ref="V57:V60" si="143">U57*(1+$R57)</f>
        <v>0</v>
      </c>
      <c r="W57" s="154">
        <f t="shared" ref="W57:W60" si="144">V57*(1+$R57)</f>
        <v>0</v>
      </c>
      <c r="X57" s="154">
        <f t="shared" ref="X57:X60" si="145">W57*(1+$R57)</f>
        <v>0</v>
      </c>
      <c r="Y57" s="154">
        <f t="shared" ref="Y57:Y60" si="146">X57*(1+$R57)</f>
        <v>0</v>
      </c>
      <c r="Z57" s="154">
        <f t="shared" ref="Z57:Z60" si="147">Y57*(1+$R57)</f>
        <v>0</v>
      </c>
      <c r="AA57" s="154">
        <f t="shared" ref="AA57:AA60" si="148">Z57*(1+$R57)</f>
        <v>0</v>
      </c>
      <c r="AB57" s="154">
        <f t="shared" ref="AB57:AB60" si="149">AA57*(1+$R57)</f>
        <v>0</v>
      </c>
      <c r="AC57" s="137" t="e">
        <f t="shared" ref="AC57:AC60" si="150">((AB57/G57)^(1/($AB$3-$H$1) ))-1</f>
        <v>#DIV/0!</v>
      </c>
      <c r="AD57" s="31">
        <f t="shared" si="17"/>
        <v>0.05</v>
      </c>
      <c r="AE57" s="145">
        <f t="shared" ref="AE57:AE60" si="151">(AB57*(1+AD57))/($C$1-AD57)</f>
        <v>0</v>
      </c>
    </row>
    <row r="58" spans="2:31" x14ac:dyDescent="0.2">
      <c r="B58" s="20" t="s">
        <v>375</v>
      </c>
      <c r="C58" s="140"/>
      <c r="D58" s="140"/>
      <c r="E58" s="146"/>
      <c r="F58" s="146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18" t="e">
        <f>((P58/G58)^(1/($H$2-$H$1) ))-1</f>
        <v>#DIV/0!</v>
      </c>
      <c r="R58" s="31">
        <v>0.1</v>
      </c>
      <c r="S58" s="154">
        <f t="shared" si="140"/>
        <v>0</v>
      </c>
      <c r="T58" s="154">
        <f t="shared" si="141"/>
        <v>0</v>
      </c>
      <c r="U58" s="154">
        <f t="shared" si="142"/>
        <v>0</v>
      </c>
      <c r="V58" s="154">
        <f t="shared" si="143"/>
        <v>0</v>
      </c>
      <c r="W58" s="154">
        <f t="shared" si="144"/>
        <v>0</v>
      </c>
      <c r="X58" s="154">
        <f t="shared" si="145"/>
        <v>0</v>
      </c>
      <c r="Y58" s="154">
        <f t="shared" si="146"/>
        <v>0</v>
      </c>
      <c r="Z58" s="154">
        <f t="shared" si="147"/>
        <v>0</v>
      </c>
      <c r="AA58" s="154">
        <f t="shared" si="148"/>
        <v>0</v>
      </c>
      <c r="AB58" s="154">
        <f t="shared" si="149"/>
        <v>0</v>
      </c>
      <c r="AC58" s="137" t="e">
        <f t="shared" si="150"/>
        <v>#DIV/0!</v>
      </c>
      <c r="AD58" s="31">
        <f t="shared" si="17"/>
        <v>0.05</v>
      </c>
      <c r="AE58" s="145">
        <f t="shared" si="151"/>
        <v>0</v>
      </c>
    </row>
    <row r="59" spans="2:31" x14ac:dyDescent="0.2">
      <c r="B59" s="20" t="s">
        <v>376</v>
      </c>
      <c r="C59" s="140"/>
      <c r="D59" s="140"/>
      <c r="E59" s="146"/>
      <c r="F59" s="146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18" t="e">
        <f>((P59/G59)^(1/($H$2-$H$1) ))-1</f>
        <v>#DIV/0!</v>
      </c>
      <c r="R59" s="31">
        <v>0.1</v>
      </c>
      <c r="S59" s="154">
        <f t="shared" si="140"/>
        <v>0</v>
      </c>
      <c r="T59" s="154">
        <f t="shared" si="141"/>
        <v>0</v>
      </c>
      <c r="U59" s="154">
        <f t="shared" si="142"/>
        <v>0</v>
      </c>
      <c r="V59" s="154">
        <f t="shared" si="143"/>
        <v>0</v>
      </c>
      <c r="W59" s="154">
        <f t="shared" si="144"/>
        <v>0</v>
      </c>
      <c r="X59" s="154">
        <f t="shared" si="145"/>
        <v>0</v>
      </c>
      <c r="Y59" s="154">
        <f t="shared" si="146"/>
        <v>0</v>
      </c>
      <c r="Z59" s="154">
        <f t="shared" si="147"/>
        <v>0</v>
      </c>
      <c r="AA59" s="154">
        <f t="shared" si="148"/>
        <v>0</v>
      </c>
      <c r="AB59" s="154">
        <f t="shared" si="149"/>
        <v>0</v>
      </c>
      <c r="AC59" s="137" t="e">
        <f t="shared" si="150"/>
        <v>#DIV/0!</v>
      </c>
      <c r="AD59" s="31">
        <f t="shared" si="17"/>
        <v>0.05</v>
      </c>
      <c r="AE59" s="145">
        <f t="shared" si="151"/>
        <v>0</v>
      </c>
    </row>
    <row r="60" spans="2:31" x14ac:dyDescent="0.2">
      <c r="B60" s="20" t="s">
        <v>377</v>
      </c>
      <c r="C60" s="140"/>
      <c r="D60" s="140"/>
      <c r="E60" s="146"/>
      <c r="F60" s="146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18" t="e">
        <f>((P60/G60)^(1/($H$2-$H$1) ))-1</f>
        <v>#DIV/0!</v>
      </c>
      <c r="R60" s="31">
        <v>0.1</v>
      </c>
      <c r="S60" s="154">
        <f t="shared" si="140"/>
        <v>0</v>
      </c>
      <c r="T60" s="154">
        <f t="shared" si="141"/>
        <v>0</v>
      </c>
      <c r="U60" s="154">
        <f t="shared" si="142"/>
        <v>0</v>
      </c>
      <c r="V60" s="154">
        <f t="shared" si="143"/>
        <v>0</v>
      </c>
      <c r="W60" s="154">
        <f t="shared" si="144"/>
        <v>0</v>
      </c>
      <c r="X60" s="154">
        <f t="shared" si="145"/>
        <v>0</v>
      </c>
      <c r="Y60" s="154">
        <f t="shared" si="146"/>
        <v>0</v>
      </c>
      <c r="Z60" s="154">
        <f t="shared" si="147"/>
        <v>0</v>
      </c>
      <c r="AA60" s="154">
        <f t="shared" si="148"/>
        <v>0</v>
      </c>
      <c r="AB60" s="154">
        <f t="shared" si="149"/>
        <v>0</v>
      </c>
      <c r="AC60" s="137" t="e">
        <f t="shared" si="150"/>
        <v>#DIV/0!</v>
      </c>
      <c r="AD60" s="31">
        <f t="shared" si="17"/>
        <v>0.05</v>
      </c>
      <c r="AE60" s="145">
        <f t="shared" si="151"/>
        <v>0</v>
      </c>
    </row>
    <row r="61" spans="2:31" x14ac:dyDescent="0.2">
      <c r="B61" s="20"/>
      <c r="C61" s="140"/>
      <c r="D61" s="140"/>
      <c r="E61" s="146"/>
      <c r="F61" s="146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3"/>
      <c r="R61" s="3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3"/>
      <c r="AD61" s="3"/>
      <c r="AE61" s="145"/>
    </row>
    <row r="62" spans="2:31" x14ac:dyDescent="0.2">
      <c r="B62" s="20" t="s">
        <v>279</v>
      </c>
      <c r="C62" s="140"/>
      <c r="D62" s="140"/>
      <c r="E62" s="146"/>
      <c r="F62" s="146">
        <v>901.66</v>
      </c>
      <c r="G62" s="170">
        <v>861</v>
      </c>
      <c r="H62" s="170">
        <v>864</v>
      </c>
      <c r="I62" s="170">
        <v>1092</v>
      </c>
      <c r="J62" s="142">
        <v>1423</v>
      </c>
      <c r="K62" s="142">
        <v>1989</v>
      </c>
      <c r="L62" s="171">
        <v>2725</v>
      </c>
      <c r="M62" s="171">
        <v>3270</v>
      </c>
      <c r="N62" s="171">
        <v>4148</v>
      </c>
      <c r="O62" s="171">
        <v>5731</v>
      </c>
      <c r="P62" s="171">
        <v>7263</v>
      </c>
      <c r="Q62" s="118">
        <f>((P62/G62)^(1/($H$2-$H$1) ))-1</f>
        <v>0.26736419223299968</v>
      </c>
      <c r="R62" s="31">
        <f t="shared" si="6"/>
        <v>0.12</v>
      </c>
      <c r="S62" s="154">
        <f t="shared" ref="S62" si="152">P62*(1+$R62)</f>
        <v>8134.56</v>
      </c>
      <c r="T62" s="154">
        <f t="shared" ref="T62" si="153">S62*(1+$R62)</f>
        <v>9110.7072000000007</v>
      </c>
      <c r="U62" s="154">
        <f t="shared" ref="U62" si="154">T62*(1+$R62)</f>
        <v>10203.992064000002</v>
      </c>
      <c r="V62" s="154">
        <f t="shared" ref="V62" si="155">U62*(1+$R62)</f>
        <v>11428.471111680003</v>
      </c>
      <c r="W62" s="154">
        <f t="shared" si="57"/>
        <v>12799.887645081604</v>
      </c>
      <c r="X62" s="154">
        <f t="shared" si="58"/>
        <v>14335.874162491398</v>
      </c>
      <c r="Y62" s="154">
        <f t="shared" si="59"/>
        <v>16056.179061990368</v>
      </c>
      <c r="Z62" s="154">
        <f t="shared" si="60"/>
        <v>17982.920549429215</v>
      </c>
      <c r="AA62" s="154">
        <f t="shared" si="61"/>
        <v>20140.871015360721</v>
      </c>
      <c r="AB62" s="154">
        <f t="shared" si="62"/>
        <v>22557.775537204008</v>
      </c>
      <c r="AC62" s="137">
        <f t="shared" si="19"/>
        <v>0.18753660760436963</v>
      </c>
      <c r="AD62" s="31">
        <f t="shared" si="17"/>
        <v>0.05</v>
      </c>
      <c r="AE62" s="145">
        <f t="shared" si="1"/>
        <v>197380.53595053506</v>
      </c>
    </row>
    <row r="63" spans="2:31" s="122" customFormat="1" x14ac:dyDescent="0.2">
      <c r="B63" s="23"/>
      <c r="C63" s="149"/>
      <c r="D63" s="149"/>
      <c r="E63" s="150"/>
      <c r="F63" s="150"/>
      <c r="G63" s="148">
        <f>(G62-F62)/G62</f>
        <v>-4.7224157955865237E-2</v>
      </c>
      <c r="H63" s="148">
        <f>(H62-G62)/H62</f>
        <v>3.472222222222222E-3</v>
      </c>
      <c r="I63" s="148">
        <f t="shared" ref="I63" si="156">(I62-H62)/I62</f>
        <v>0.2087912087912088</v>
      </c>
      <c r="J63" s="148">
        <f t="shared" ref="J63" si="157">(J62-I62)/J62</f>
        <v>0.23260716795502459</v>
      </c>
      <c r="K63" s="148">
        <f t="shared" ref="K63" si="158">(K62-J62)/K62</f>
        <v>0.28456510809451985</v>
      </c>
      <c r="L63" s="148">
        <f t="shared" ref="L63" si="159">(L62-K62)/L62</f>
        <v>0.27009174311926604</v>
      </c>
      <c r="M63" s="148">
        <f t="shared" ref="M63" si="160">(M62-L62)/M62</f>
        <v>0.16666666666666666</v>
      </c>
      <c r="N63" s="148">
        <f t="shared" ref="N63" si="161">(N62-M62)/N62</f>
        <v>0.21166827386692383</v>
      </c>
      <c r="O63" s="148">
        <f t="shared" ref="O63" si="162">(O62-N62)/O62</f>
        <v>0.27621706508462746</v>
      </c>
      <c r="P63" s="148">
        <f t="shared" ref="P63" si="163">(P62-O62)/P62</f>
        <v>0.21093212171279085</v>
      </c>
      <c r="Q63" s="127"/>
      <c r="R63" s="20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38"/>
      <c r="AD63" s="136"/>
      <c r="AE63" s="156"/>
    </row>
    <row r="64" spans="2:31" s="122" customFormat="1" x14ac:dyDescent="0.2">
      <c r="B64" s="173" t="s">
        <v>390</v>
      </c>
      <c r="C64" s="149"/>
      <c r="D64" s="149"/>
      <c r="E64" s="150"/>
      <c r="F64" s="146">
        <v>241</v>
      </c>
      <c r="G64" s="170">
        <v>223</v>
      </c>
      <c r="H64" s="170">
        <v>203</v>
      </c>
      <c r="I64" s="170">
        <v>263</v>
      </c>
      <c r="J64" s="142">
        <v>353</v>
      </c>
      <c r="K64" s="142">
        <v>531</v>
      </c>
      <c r="L64" s="171">
        <v>721</v>
      </c>
      <c r="M64" s="171">
        <v>909</v>
      </c>
      <c r="N64" s="171">
        <v>1289</v>
      </c>
      <c r="O64" s="171">
        <v>1235</v>
      </c>
      <c r="P64" s="171">
        <v>1418</v>
      </c>
      <c r="Q64" s="118">
        <f>((P64/G64)^(1/($H$2-$H$1) ))-1</f>
        <v>0.22818414123101549</v>
      </c>
      <c r="R64" s="31">
        <f t="shared" si="6"/>
        <v>0.12</v>
      </c>
      <c r="S64" s="154">
        <f t="shared" ref="S64" si="164">P64*(1+$R64)</f>
        <v>1588.16</v>
      </c>
      <c r="T64" s="154">
        <f t="shared" ref="T64" si="165">S64*(1+$R64)</f>
        <v>1778.7392000000002</v>
      </c>
      <c r="U64" s="154">
        <f t="shared" ref="U64" si="166">T64*(1+$R64)</f>
        <v>1992.1879040000003</v>
      </c>
      <c r="V64" s="154">
        <f t="shared" ref="V64" si="167">U64*(1+$R64)</f>
        <v>2231.2504524800006</v>
      </c>
      <c r="W64" s="154">
        <f t="shared" ref="W64" si="168">V64*(1+$R64)</f>
        <v>2499.000506777601</v>
      </c>
      <c r="X64" s="154">
        <f t="shared" ref="X64" si="169">W64*(1+$R64)</f>
        <v>2798.8805675909134</v>
      </c>
      <c r="Y64" s="154">
        <f t="shared" ref="Y64" si="170">X64*(1+$R64)</f>
        <v>3134.7462357018235</v>
      </c>
      <c r="Z64" s="154">
        <f t="shared" ref="Z64" si="171">Y64*(1+$R64)</f>
        <v>3510.9157839860427</v>
      </c>
      <c r="AA64" s="154">
        <f t="shared" ref="AA64" si="172">Z64*(1+$R64)</f>
        <v>3932.2256780643684</v>
      </c>
      <c r="AB64" s="154">
        <f t="shared" ref="AB64" si="173">AA64*(1+$R64)</f>
        <v>4404.0927594320929</v>
      </c>
      <c r="AC64" s="137">
        <f t="shared" ref="AC64" si="174">((AB64/G64)^(1/($AB$3-$H$1) ))-1</f>
        <v>0.17000286720048563</v>
      </c>
      <c r="AD64" s="31">
        <f t="shared" si="17"/>
        <v>0.05</v>
      </c>
      <c r="AE64" s="145">
        <f t="shared" ref="AE64" si="175">(AB64*(1+AD64))/($C$1-AD64)</f>
        <v>38535.811645030808</v>
      </c>
    </row>
    <row r="65" spans="2:31" s="122" customFormat="1" x14ac:dyDescent="0.2">
      <c r="B65" s="23"/>
      <c r="C65" s="149"/>
      <c r="D65" s="149"/>
      <c r="E65" s="150"/>
      <c r="F65" s="150"/>
      <c r="G65" s="148">
        <f>(G64-F64)/G64</f>
        <v>-8.0717488789237665E-2</v>
      </c>
      <c r="H65" s="148">
        <f>(H64-G64)/H64</f>
        <v>-9.8522167487684734E-2</v>
      </c>
      <c r="I65" s="148">
        <f t="shared" ref="I65" si="176">(I64-H64)/I64</f>
        <v>0.22813688212927757</v>
      </c>
      <c r="J65" s="148">
        <f t="shared" ref="J65" si="177">(J64-I64)/J64</f>
        <v>0.25495750708215298</v>
      </c>
      <c r="K65" s="148">
        <f t="shared" ref="K65" si="178">(K64-J64)/K64</f>
        <v>0.3352165725047081</v>
      </c>
      <c r="L65" s="148">
        <f t="shared" ref="L65" si="179">(L64-K64)/L64</f>
        <v>0.26352288488210818</v>
      </c>
      <c r="M65" s="148">
        <f t="shared" ref="M65" si="180">(M64-L64)/M64</f>
        <v>0.20682068206820681</v>
      </c>
      <c r="N65" s="148">
        <f t="shared" ref="N65" si="181">(N64-M64)/N64</f>
        <v>0.29480217222653221</v>
      </c>
      <c r="O65" s="148">
        <f t="shared" ref="O65" si="182">(O64-N64)/O64</f>
        <v>-4.3724696356275301E-2</v>
      </c>
      <c r="P65" s="148">
        <f t="shared" ref="P65" si="183">(P64-O64)/P64</f>
        <v>0.12905500705218617</v>
      </c>
      <c r="Q65" s="127"/>
      <c r="R65" s="20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38"/>
      <c r="AD65" s="136"/>
      <c r="AE65" s="156"/>
    </row>
    <row r="66" spans="2:31" x14ac:dyDescent="0.2">
      <c r="B66" s="20" t="s">
        <v>257</v>
      </c>
      <c r="C66" s="140"/>
      <c r="D66" s="140"/>
      <c r="E66" s="146"/>
      <c r="F66" s="146">
        <v>179</v>
      </c>
      <c r="G66" s="170">
        <v>167</v>
      </c>
      <c r="H66" s="170">
        <v>142</v>
      </c>
      <c r="I66" s="170">
        <v>208</v>
      </c>
      <c r="J66" s="142">
        <v>278</v>
      </c>
      <c r="K66" s="142">
        <v>386</v>
      </c>
      <c r="L66" s="171">
        <v>529</v>
      </c>
      <c r="M66" s="171">
        <v>660</v>
      </c>
      <c r="N66" s="171">
        <v>969</v>
      </c>
      <c r="O66" s="171">
        <v>916</v>
      </c>
      <c r="P66" s="171">
        <v>1054</v>
      </c>
      <c r="Q66" s="118">
        <f>((P66/G66)^(1/($H$2-$H$1) ))-1</f>
        <v>0.22716421427986511</v>
      </c>
      <c r="R66" s="31">
        <f t="shared" si="6"/>
        <v>0.12</v>
      </c>
      <c r="S66" s="154">
        <f>P66*(1+$R66)</f>
        <v>1180.48</v>
      </c>
      <c r="T66" s="154">
        <f t="shared" ref="T66:AB66" si="184">S66*(1+$R66)</f>
        <v>1322.1376000000002</v>
      </c>
      <c r="U66" s="154">
        <f t="shared" si="184"/>
        <v>1480.7941120000005</v>
      </c>
      <c r="V66" s="154">
        <f t="shared" si="184"/>
        <v>1658.4894054400006</v>
      </c>
      <c r="W66" s="154">
        <f t="shared" si="184"/>
        <v>1857.5081340928009</v>
      </c>
      <c r="X66" s="154">
        <f t="shared" si="184"/>
        <v>2080.4091101839372</v>
      </c>
      <c r="Y66" s="154">
        <f t="shared" si="184"/>
        <v>2330.0582034060099</v>
      </c>
      <c r="Z66" s="154">
        <f t="shared" si="184"/>
        <v>2609.6651878147313</v>
      </c>
      <c r="AA66" s="154">
        <f t="shared" si="184"/>
        <v>2922.8250103524992</v>
      </c>
      <c r="AB66" s="154">
        <f t="shared" si="184"/>
        <v>3273.5640115947995</v>
      </c>
      <c r="AC66" s="137">
        <f t="shared" si="19"/>
        <v>0.16954252969955985</v>
      </c>
      <c r="AD66" s="31">
        <f t="shared" si="17"/>
        <v>0.05</v>
      </c>
      <c r="AE66" s="145">
        <f t="shared" si="1"/>
        <v>28643.685101454492</v>
      </c>
    </row>
    <row r="67" spans="2:31" s="122" customFormat="1" x14ac:dyDescent="0.2">
      <c r="B67" s="23"/>
      <c r="C67" s="149"/>
      <c r="D67" s="149"/>
      <c r="E67" s="150"/>
      <c r="F67" s="150"/>
      <c r="G67" s="148">
        <f>(G66-F66)/G66</f>
        <v>-7.1856287425149698E-2</v>
      </c>
      <c r="H67" s="148">
        <f>(H66-G66)/H66</f>
        <v>-0.176056338028169</v>
      </c>
      <c r="I67" s="148">
        <f t="shared" ref="I67" si="185">(I66-H66)/I66</f>
        <v>0.31730769230769229</v>
      </c>
      <c r="J67" s="148">
        <f t="shared" ref="J67" si="186">(J66-I66)/J66</f>
        <v>0.25179856115107913</v>
      </c>
      <c r="K67" s="148">
        <f t="shared" ref="K67" si="187">(K66-J66)/K66</f>
        <v>0.27979274611398963</v>
      </c>
      <c r="L67" s="148">
        <f t="shared" ref="L67" si="188">(L66-K66)/L66</f>
        <v>0.27032136105860116</v>
      </c>
      <c r="M67" s="148">
        <f t="shared" ref="M67" si="189">(M66-L66)/M66</f>
        <v>0.19848484848484849</v>
      </c>
      <c r="N67" s="148">
        <f t="shared" ref="N67" si="190">(N66-M66)/N66</f>
        <v>0.31888544891640869</v>
      </c>
      <c r="O67" s="148">
        <f t="shared" ref="O67" si="191">(O66-N66)/O66</f>
        <v>-5.7860262008733628E-2</v>
      </c>
      <c r="P67" s="148">
        <f t="shared" ref="P67" si="192">(P66-O66)/P66</f>
        <v>0.13092979127134724</v>
      </c>
      <c r="Q67" s="127"/>
      <c r="R67" s="20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  <c r="AC67" s="138"/>
      <c r="AD67" s="136"/>
      <c r="AE67" s="156"/>
    </row>
    <row r="68" spans="2:31" x14ac:dyDescent="0.2">
      <c r="B68" s="20" t="s">
        <v>239</v>
      </c>
      <c r="C68" s="141">
        <v>1</v>
      </c>
      <c r="D68" s="141">
        <v>1</v>
      </c>
      <c r="E68" s="142">
        <v>1</v>
      </c>
      <c r="F68" s="168">
        <v>7.49</v>
      </c>
      <c r="G68" s="170">
        <v>7.49</v>
      </c>
      <c r="H68" s="170">
        <v>8.49</v>
      </c>
      <c r="I68" s="170">
        <v>8.49</v>
      </c>
      <c r="J68" s="171">
        <v>8.49</v>
      </c>
      <c r="K68" s="171">
        <v>8.49</v>
      </c>
      <c r="L68" s="171">
        <v>8.49</v>
      </c>
      <c r="M68" s="171">
        <v>9.49</v>
      </c>
      <c r="N68" s="171">
        <v>47.46</v>
      </c>
      <c r="O68" s="171">
        <v>50.46</v>
      </c>
      <c r="P68" s="171">
        <v>50.46</v>
      </c>
      <c r="Q68" s="118">
        <f>((P68/G68)^(1/($H$2-$H$1) ))-1</f>
        <v>0.23609461452716696</v>
      </c>
      <c r="R68" s="31">
        <v>0.15</v>
      </c>
      <c r="S68" s="154">
        <f>P68*(1+$R68)</f>
        <v>58.028999999999996</v>
      </c>
      <c r="T68" s="154">
        <f t="shared" ref="T68:AB69" si="193">S68*(1+$R68)</f>
        <v>66.733349999999987</v>
      </c>
      <c r="U68" s="154">
        <f t="shared" si="193"/>
        <v>76.743352499999986</v>
      </c>
      <c r="V68" s="154">
        <f t="shared" si="193"/>
        <v>88.254855374999977</v>
      </c>
      <c r="W68" s="154">
        <f t="shared" si="193"/>
        <v>101.49308368124997</v>
      </c>
      <c r="X68" s="154">
        <f t="shared" si="193"/>
        <v>116.71704623343746</v>
      </c>
      <c r="Y68" s="154">
        <f t="shared" si="193"/>
        <v>134.22460316845306</v>
      </c>
      <c r="Z68" s="154">
        <f t="shared" si="193"/>
        <v>154.358293643721</v>
      </c>
      <c r="AA68" s="154">
        <f t="shared" si="193"/>
        <v>177.51203769027913</v>
      </c>
      <c r="AB68" s="154">
        <f t="shared" si="193"/>
        <v>204.13884334382098</v>
      </c>
      <c r="AC68" s="137">
        <f t="shared" si="19"/>
        <v>0.19000743652677055</v>
      </c>
      <c r="AD68" s="31">
        <f t="shared" si="17"/>
        <v>0.05</v>
      </c>
      <c r="AE68" s="145">
        <f t="shared" si="1"/>
        <v>1786.2148792584335</v>
      </c>
    </row>
    <row r="69" spans="2:31" x14ac:dyDescent="0.2">
      <c r="B69" s="20" t="s">
        <v>378</v>
      </c>
      <c r="C69" s="146">
        <v>1</v>
      </c>
      <c r="D69" s="146">
        <v>1</v>
      </c>
      <c r="E69" s="146">
        <v>1</v>
      </c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18" t="e">
        <f>((P69/G69)^(1/($H$2-$H$1) ))-1</f>
        <v>#DIV/0!</v>
      </c>
      <c r="R69" s="31">
        <v>0.1</v>
      </c>
      <c r="S69" s="154">
        <f t="shared" ref="S69" si="194">P69*(1+$R69)</f>
        <v>0</v>
      </c>
      <c r="T69" s="154">
        <f t="shared" si="193"/>
        <v>0</v>
      </c>
      <c r="U69" s="154">
        <f t="shared" si="193"/>
        <v>0</v>
      </c>
      <c r="V69" s="154">
        <f t="shared" si="193"/>
        <v>0</v>
      </c>
      <c r="W69" s="154">
        <f t="shared" si="193"/>
        <v>0</v>
      </c>
      <c r="X69" s="154">
        <f t="shared" si="193"/>
        <v>0</v>
      </c>
      <c r="Y69" s="154">
        <f t="shared" si="193"/>
        <v>0</v>
      </c>
      <c r="Z69" s="154">
        <f t="shared" si="193"/>
        <v>0</v>
      </c>
      <c r="AA69" s="154">
        <f t="shared" si="193"/>
        <v>0</v>
      </c>
      <c r="AB69" s="154">
        <f t="shared" si="193"/>
        <v>0</v>
      </c>
      <c r="AC69" s="137" t="e">
        <f t="shared" si="19"/>
        <v>#DIV/0!</v>
      </c>
      <c r="AD69" s="31">
        <v>0.08</v>
      </c>
      <c r="AE69" s="145">
        <f t="shared" si="1"/>
        <v>0</v>
      </c>
    </row>
    <row r="70" spans="2:31" x14ac:dyDescent="0.2">
      <c r="B70" s="20" t="s">
        <v>283</v>
      </c>
      <c r="C70" s="144">
        <v>1</v>
      </c>
      <c r="D70" s="144">
        <v>1</v>
      </c>
      <c r="E70" s="144">
        <v>1</v>
      </c>
      <c r="F70" s="146">
        <v>5.5</v>
      </c>
      <c r="G70" s="146">
        <v>5</v>
      </c>
      <c r="H70" s="146">
        <v>5</v>
      </c>
      <c r="I70" s="146">
        <v>6</v>
      </c>
      <c r="J70" s="146">
        <v>8</v>
      </c>
      <c r="K70" s="146">
        <v>10</v>
      </c>
      <c r="L70" s="146">
        <v>13</v>
      </c>
      <c r="M70" s="146">
        <v>15</v>
      </c>
      <c r="N70" s="146">
        <v>3.5</v>
      </c>
      <c r="O70" s="146">
        <v>3.6</v>
      </c>
      <c r="P70" s="146">
        <v>3.8</v>
      </c>
      <c r="Q70" s="118">
        <f>((P70/G70)^(1/($H$2-$H$1) ))-1</f>
        <v>-3.0032761556641363E-2</v>
      </c>
      <c r="R70" s="31">
        <v>0.05</v>
      </c>
      <c r="S70" s="154">
        <f t="shared" ref="S70" si="195">P70*(1+$R70)</f>
        <v>3.9899999999999998</v>
      </c>
      <c r="T70" s="154">
        <f t="shared" ref="T70" si="196">S70*(1+$R70)</f>
        <v>4.1894999999999998</v>
      </c>
      <c r="U70" s="154">
        <f t="shared" ref="U70" si="197">T70*(1+$R70)</f>
        <v>4.3989750000000001</v>
      </c>
      <c r="V70" s="154">
        <f t="shared" ref="V70" si="198">U70*(1+$R70)</f>
        <v>4.6189237500000004</v>
      </c>
      <c r="W70" s="154">
        <f t="shared" ref="W70" si="199">V70*(1+$R70)</f>
        <v>4.8498699375000003</v>
      </c>
      <c r="X70" s="154">
        <f t="shared" ref="X70" si="200">W70*(1+$R70)</f>
        <v>5.0923634343750006</v>
      </c>
      <c r="Y70" s="154">
        <f t="shared" ref="Y70" si="201">X70*(1+$R70)</f>
        <v>5.3469816060937507</v>
      </c>
      <c r="Z70" s="154">
        <f t="shared" ref="Z70" si="202">Y70*(1+$R70)</f>
        <v>5.6143306863984384</v>
      </c>
      <c r="AA70" s="154">
        <f t="shared" ref="AA70" si="203">Z70*(1+$R70)</f>
        <v>5.8950472207183608</v>
      </c>
      <c r="AB70" s="154">
        <f t="shared" ref="AB70" si="204">AA70*(1+$R70)</f>
        <v>6.1897995817542792</v>
      </c>
      <c r="AC70" s="137">
        <f t="shared" ref="AC70" si="205">((AB70/G70)^(1/($AB$3-$H$1) ))-1</f>
        <v>1.1298338776048578E-2</v>
      </c>
      <c r="AD70" s="31">
        <f t="shared" si="17"/>
        <v>0.05</v>
      </c>
      <c r="AE70" s="145">
        <f t="shared" si="1"/>
        <v>54.160746340349938</v>
      </c>
    </row>
    <row r="71" spans="2:31" x14ac:dyDescent="0.2">
      <c r="B71" s="20" t="s">
        <v>434</v>
      </c>
      <c r="C71" s="20"/>
      <c r="D71" s="20"/>
      <c r="E71" s="126"/>
      <c r="F71" s="146">
        <v>0</v>
      </c>
      <c r="G71" s="146">
        <v>0</v>
      </c>
      <c r="H71" s="146">
        <v>0</v>
      </c>
      <c r="I71" s="146">
        <v>0</v>
      </c>
      <c r="J71" s="146">
        <v>0</v>
      </c>
      <c r="K71" s="146">
        <v>0</v>
      </c>
      <c r="L71" s="146">
        <v>0</v>
      </c>
      <c r="M71" s="146">
        <v>0</v>
      </c>
      <c r="N71" s="146" t="s">
        <v>438</v>
      </c>
      <c r="O71" s="146">
        <v>0</v>
      </c>
      <c r="P71" s="146">
        <v>0</v>
      </c>
      <c r="Q71" s="127"/>
      <c r="R71" s="127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38"/>
      <c r="AD71" s="136"/>
      <c r="AE71" s="154"/>
    </row>
    <row r="72" spans="2:31" s="187" customFormat="1" x14ac:dyDescent="0.2">
      <c r="B72" s="219" t="s">
        <v>435</v>
      </c>
      <c r="C72" s="219"/>
      <c r="D72" s="219"/>
      <c r="E72" s="199"/>
      <c r="F72" s="146">
        <v>0</v>
      </c>
      <c r="G72" s="146">
        <v>0</v>
      </c>
      <c r="H72" s="146">
        <v>0</v>
      </c>
      <c r="I72" s="146">
        <v>0</v>
      </c>
      <c r="J72" s="146">
        <v>0</v>
      </c>
      <c r="K72" s="146">
        <v>0</v>
      </c>
      <c r="L72" s="146">
        <v>0</v>
      </c>
      <c r="M72" s="146">
        <v>0</v>
      </c>
      <c r="N72" s="146">
        <v>0</v>
      </c>
      <c r="O72" s="146">
        <v>0</v>
      </c>
      <c r="P72" s="146">
        <v>0</v>
      </c>
      <c r="Q72" s="127"/>
      <c r="R72" s="127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38"/>
      <c r="AD72" s="200"/>
      <c r="AE72" s="154"/>
    </row>
    <row r="73" spans="2:31" s="187" customFormat="1" x14ac:dyDescent="0.2">
      <c r="B73" s="219" t="s">
        <v>436</v>
      </c>
      <c r="C73" s="219"/>
      <c r="D73" s="219"/>
      <c r="E73" s="199"/>
      <c r="F73" s="146">
        <v>0</v>
      </c>
      <c r="G73" s="146">
        <v>0</v>
      </c>
      <c r="H73" s="146">
        <v>0</v>
      </c>
      <c r="I73" s="146">
        <v>0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27"/>
      <c r="R73" s="127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38"/>
      <c r="AD73" s="200"/>
      <c r="AE73" s="154"/>
    </row>
    <row r="74" spans="2:31" s="187" customFormat="1" x14ac:dyDescent="0.2">
      <c r="B74" s="219"/>
      <c r="C74" s="219"/>
      <c r="D74" s="219"/>
      <c r="E74" s="199"/>
      <c r="F74" s="199"/>
      <c r="G74" s="199"/>
      <c r="H74" s="219"/>
      <c r="I74" s="219"/>
      <c r="J74" s="219"/>
      <c r="K74" s="219"/>
      <c r="L74" s="219"/>
      <c r="M74" s="219"/>
      <c r="N74" s="219"/>
      <c r="O74" s="219"/>
      <c r="P74" s="219"/>
      <c r="Q74" s="127"/>
      <c r="R74" s="127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38"/>
      <c r="AD74" s="200"/>
      <c r="AE74" s="154"/>
    </row>
    <row r="75" spans="2:31" x14ac:dyDescent="0.2">
      <c r="B75" s="108" t="s">
        <v>243</v>
      </c>
      <c r="C75" s="20"/>
      <c r="D75" s="20"/>
      <c r="E75" s="126"/>
      <c r="F75" s="126"/>
      <c r="G75" s="126"/>
      <c r="H75" s="20"/>
      <c r="I75" s="20"/>
      <c r="J75" s="20"/>
      <c r="K75" s="20"/>
      <c r="L75" s="20"/>
      <c r="M75" s="20"/>
      <c r="N75" s="20"/>
      <c r="O75" s="20"/>
      <c r="P75" s="20"/>
      <c r="Q75" s="127"/>
      <c r="R75" s="127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38"/>
      <c r="AD75" s="136"/>
      <c r="AE75" s="154"/>
    </row>
    <row r="76" spans="2:31" x14ac:dyDescent="0.2">
      <c r="B76" s="20" t="s">
        <v>304</v>
      </c>
      <c r="C76" s="132">
        <f t="shared" ref="C76:P76" si="206">C44/C68</f>
        <v>0</v>
      </c>
      <c r="D76" s="132">
        <f t="shared" si="206"/>
        <v>0</v>
      </c>
      <c r="E76" s="132">
        <f t="shared" si="206"/>
        <v>0</v>
      </c>
      <c r="F76" s="132">
        <f t="shared" si="206"/>
        <v>136.04806408544727</v>
      </c>
      <c r="G76" s="132">
        <f t="shared" si="206"/>
        <v>130.57409879839787</v>
      </c>
      <c r="H76" s="132">
        <f t="shared" si="206"/>
        <v>123.32155477031802</v>
      </c>
      <c r="I76" s="132">
        <f t="shared" si="206"/>
        <v>149.94110718492342</v>
      </c>
      <c r="J76" s="132">
        <f t="shared" si="206"/>
        <v>187.16136631330977</v>
      </c>
      <c r="K76" s="132">
        <f t="shared" si="206"/>
        <v>257.24381625441697</v>
      </c>
      <c r="L76" s="132">
        <f t="shared" si="206"/>
        <v>341.9316843345112</v>
      </c>
      <c r="M76" s="132">
        <f t="shared" si="206"/>
        <v>366.70179135932563</v>
      </c>
      <c r="N76" s="132">
        <f t="shared" si="206"/>
        <v>105.96291613990729</v>
      </c>
      <c r="O76" s="132">
        <f t="shared" si="206"/>
        <v>123.74157748711851</v>
      </c>
      <c r="P76" s="132">
        <f t="shared" si="206"/>
        <v>153.5077288941736</v>
      </c>
      <c r="Q76" s="118">
        <f>((P76/G76)^(1/($H$2-$H$1) ))-1</f>
        <v>1.814148708282004E-2</v>
      </c>
      <c r="R76" s="127"/>
      <c r="S76" s="158">
        <f t="shared" ref="S76:AB76" si="207">S44/S68</f>
        <v>149.50317944476041</v>
      </c>
      <c r="T76" s="158">
        <f t="shared" si="207"/>
        <v>145.60309650272319</v>
      </c>
      <c r="U76" s="158">
        <f t="shared" si="207"/>
        <v>141.80475485482609</v>
      </c>
      <c r="V76" s="158">
        <f t="shared" si="207"/>
        <v>138.1055003803524</v>
      </c>
      <c r="W76" s="158">
        <f t="shared" si="207"/>
        <v>134.50274819651713</v>
      </c>
      <c r="X76" s="158">
        <f t="shared" si="207"/>
        <v>130.99398085226017</v>
      </c>
      <c r="Y76" s="158">
        <f t="shared" si="207"/>
        <v>127.57674656915776</v>
      </c>
      <c r="Z76" s="158">
        <f t="shared" si="207"/>
        <v>124.24865752822323</v>
      </c>
      <c r="AA76" s="158">
        <f t="shared" si="207"/>
        <v>121.00738820140005</v>
      </c>
      <c r="AB76" s="158">
        <f t="shared" si="207"/>
        <v>117.85067372658094</v>
      </c>
      <c r="AC76" s="137">
        <f t="shared" ref="AC76" si="208">((AB76/G76)^(1/($AB$3-$H$1) ))-1</f>
        <v>-5.3813905980121257E-3</v>
      </c>
      <c r="AD76" s="31">
        <f t="shared" si="17"/>
        <v>0.05</v>
      </c>
      <c r="AE76" s="145">
        <f t="shared" ref="AE76" si="209">(AB76*(1+AD76))/($C$1-AD76)</f>
        <v>1031.193395107583</v>
      </c>
    </row>
    <row r="77" spans="2:31" x14ac:dyDescent="0.2">
      <c r="B77" s="20" t="s">
        <v>305</v>
      </c>
      <c r="C77" s="132">
        <f t="shared" ref="C77:P77" si="210">C46/C68</f>
        <v>0</v>
      </c>
      <c r="D77" s="132">
        <f t="shared" si="210"/>
        <v>0</v>
      </c>
      <c r="E77" s="132">
        <f t="shared" si="210"/>
        <v>0</v>
      </c>
      <c r="F77" s="132">
        <f t="shared" si="210"/>
        <v>8.544726301735647</v>
      </c>
      <c r="G77" s="132">
        <f t="shared" si="210"/>
        <v>12.81708945260347</v>
      </c>
      <c r="H77" s="132">
        <f t="shared" si="210"/>
        <v>18.727915194346288</v>
      </c>
      <c r="I77" s="132">
        <f t="shared" si="210"/>
        <v>17.19670200235571</v>
      </c>
      <c r="J77" s="132">
        <f t="shared" si="210"/>
        <v>14.605418138987043</v>
      </c>
      <c r="K77" s="132">
        <f t="shared" si="210"/>
        <v>18.138987043580684</v>
      </c>
      <c r="L77" s="132">
        <f t="shared" si="210"/>
        <v>18.256772673733803</v>
      </c>
      <c r="M77" s="132">
        <f t="shared" si="210"/>
        <v>20.337197049525816</v>
      </c>
      <c r="N77" s="132">
        <f t="shared" si="210"/>
        <v>10.11378002528445</v>
      </c>
      <c r="O77" s="132">
        <f t="shared" si="210"/>
        <v>8.1252477209671028</v>
      </c>
      <c r="P77" s="132">
        <f t="shared" si="210"/>
        <v>7.8478002378121285</v>
      </c>
      <c r="Q77" s="118">
        <f>((P77/G77)^(1/($H$2-$H$1) ))-1</f>
        <v>-5.3046344386491029E-2</v>
      </c>
      <c r="R77" s="127"/>
      <c r="S77" s="158">
        <f t="shared" ref="S77:AB77" si="211">S46/S68</f>
        <v>7.6430750142170307</v>
      </c>
      <c r="T77" s="158">
        <f t="shared" si="211"/>
        <v>7.4436904486287618</v>
      </c>
      <c r="U77" s="158">
        <f t="shared" si="211"/>
        <v>7.2495072195340988</v>
      </c>
      <c r="V77" s="158">
        <f t="shared" si="211"/>
        <v>7.0603896398940797</v>
      </c>
      <c r="W77" s="158">
        <f t="shared" si="211"/>
        <v>6.8762055623316263</v>
      </c>
      <c r="X77" s="158">
        <f t="shared" si="211"/>
        <v>6.6968262867925414</v>
      </c>
      <c r="Y77" s="158">
        <f t="shared" si="211"/>
        <v>6.5221264706153459</v>
      </c>
      <c r="Z77" s="158">
        <f t="shared" si="211"/>
        <v>6.3519840409471211</v>
      </c>
      <c r="AA77" s="158">
        <f t="shared" si="211"/>
        <v>6.1862801094441542</v>
      </c>
      <c r="AB77" s="158">
        <f t="shared" si="211"/>
        <v>6.0248988891977868</v>
      </c>
      <c r="AC77" s="137">
        <f t="shared" ref="AC77" si="212">((AB77/G77)^(1/($AB$3-$H$1) ))-1</f>
        <v>-3.8951552561250269E-2</v>
      </c>
      <c r="AD77" s="31">
        <f t="shared" si="17"/>
        <v>0.05</v>
      </c>
      <c r="AE77" s="145">
        <f t="shared" ref="AE77" si="213">(AB77*(1+AD77))/($C$1-AD77)</f>
        <v>52.71786528048063</v>
      </c>
    </row>
    <row r="78" spans="2:31" x14ac:dyDescent="0.2">
      <c r="B78" s="20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27"/>
      <c r="R78" s="127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19"/>
      <c r="AD78" s="136"/>
      <c r="AE78" s="145"/>
    </row>
    <row r="79" spans="2:31" x14ac:dyDescent="0.2">
      <c r="B79" s="20" t="s">
        <v>258</v>
      </c>
      <c r="C79" s="25">
        <f t="shared" ref="C79:P79" si="214">C66/C68</f>
        <v>0</v>
      </c>
      <c r="D79" s="25">
        <f t="shared" si="214"/>
        <v>0</v>
      </c>
      <c r="E79" s="25">
        <f t="shared" si="214"/>
        <v>0</v>
      </c>
      <c r="F79" s="132">
        <f t="shared" si="214"/>
        <v>23.89853137516689</v>
      </c>
      <c r="G79" s="132">
        <f t="shared" si="214"/>
        <v>22.296395193591454</v>
      </c>
      <c r="H79" s="132">
        <f t="shared" si="214"/>
        <v>16.725559481743225</v>
      </c>
      <c r="I79" s="132">
        <f t="shared" si="214"/>
        <v>24.499411071849234</v>
      </c>
      <c r="J79" s="132">
        <f t="shared" si="214"/>
        <v>32.744405182567725</v>
      </c>
      <c r="K79" s="132">
        <f t="shared" si="214"/>
        <v>45.465253239104825</v>
      </c>
      <c r="L79" s="132">
        <f t="shared" si="214"/>
        <v>62.308598351001173</v>
      </c>
      <c r="M79" s="132">
        <f t="shared" si="214"/>
        <v>69.546891464699684</v>
      </c>
      <c r="N79" s="132">
        <f t="shared" si="214"/>
        <v>20.417193426042981</v>
      </c>
      <c r="O79" s="132">
        <f t="shared" si="214"/>
        <v>18.152992469282601</v>
      </c>
      <c r="P79" s="132">
        <f t="shared" si="214"/>
        <v>20.887831946095918</v>
      </c>
      <c r="Q79" s="118">
        <f>((P79/G79)^(1/($H$2-$H$1) ))-1</f>
        <v>-7.2246898759589229E-3</v>
      </c>
      <c r="R79" s="127"/>
      <c r="S79" s="158">
        <f t="shared" ref="S79:AB79" si="215">S66/S68</f>
        <v>20.342931982284721</v>
      </c>
      <c r="T79" s="158">
        <f t="shared" si="215"/>
        <v>19.812246800138169</v>
      </c>
      <c r="U79" s="158">
        <f t="shared" si="215"/>
        <v>19.295405579265001</v>
      </c>
      <c r="V79" s="158">
        <f t="shared" si="215"/>
        <v>18.792047172849397</v>
      </c>
      <c r="W79" s="158">
        <f t="shared" si="215"/>
        <v>18.301819855296806</v>
      </c>
      <c r="X79" s="158">
        <f t="shared" si="215"/>
        <v>17.824381076462977</v>
      </c>
      <c r="Y79" s="158">
        <f t="shared" si="215"/>
        <v>17.359397222294383</v>
      </c>
      <c r="Z79" s="158">
        <f t="shared" si="215"/>
        <v>16.906543381712794</v>
      </c>
      <c r="AA79" s="158">
        <f t="shared" si="215"/>
        <v>16.465503119581157</v>
      </c>
      <c r="AB79" s="158">
        <f t="shared" si="215"/>
        <v>16.035968255592088</v>
      </c>
      <c r="AC79" s="137">
        <f t="shared" ref="AC79:AC92" si="216">((AB79/G79)^(1/($AB$3-$H$1) ))-1</f>
        <v>-1.7197293226116961E-2</v>
      </c>
      <c r="AD79" s="31">
        <f t="shared" si="17"/>
        <v>0.05</v>
      </c>
      <c r="AE79" s="145">
        <f t="shared" ref="AE79:AE106" si="217">(AB79*(1+AD79))/($C$1-AD79)</f>
        <v>140.31472223643075</v>
      </c>
    </row>
    <row r="80" spans="2:31" x14ac:dyDescent="0.2">
      <c r="B80" s="20" t="s">
        <v>245</v>
      </c>
      <c r="C80" s="25">
        <f t="shared" ref="C80:P80" si="218">C7/C68</f>
        <v>0</v>
      </c>
      <c r="D80" s="25">
        <f t="shared" si="218"/>
        <v>0</v>
      </c>
      <c r="E80" s="25">
        <f t="shared" si="218"/>
        <v>0</v>
      </c>
      <c r="F80" s="132">
        <f t="shared" si="218"/>
        <v>114.95327102803738</v>
      </c>
      <c r="G80" s="132">
        <f t="shared" si="218"/>
        <v>128.30440587449934</v>
      </c>
      <c r="H80" s="132">
        <f t="shared" si="218"/>
        <v>142.52061248527679</v>
      </c>
      <c r="I80" s="132">
        <f t="shared" si="218"/>
        <v>160.42402826855124</v>
      </c>
      <c r="J80" s="132">
        <f t="shared" si="218"/>
        <v>183.9811542991755</v>
      </c>
      <c r="K80" s="132">
        <f t="shared" si="218"/>
        <v>218.37455830388691</v>
      </c>
      <c r="L80" s="132">
        <f t="shared" si="218"/>
        <v>266.43109540636044</v>
      </c>
      <c r="M80" s="132">
        <f t="shared" si="218"/>
        <v>362.6975763962065</v>
      </c>
      <c r="N80" s="132">
        <f t="shared" si="218"/>
        <v>88.305941845764849</v>
      </c>
      <c r="O80" s="132">
        <f t="shared" si="218"/>
        <v>113.15893777249306</v>
      </c>
      <c r="P80" s="132">
        <f t="shared" si="218"/>
        <v>129.46888624653189</v>
      </c>
      <c r="Q80" s="118">
        <f>((P80/G80)^(1/($H$2-$H$1) ))-1</f>
        <v>1.0043907503087812E-3</v>
      </c>
      <c r="R80" s="127"/>
      <c r="S80" s="158">
        <f t="shared" ref="S80:AB80" si="219">S7/S68</f>
        <v>126.09143704010066</v>
      </c>
      <c r="T80" s="158">
        <f t="shared" si="219"/>
        <v>122.80209520427196</v>
      </c>
      <c r="U80" s="158">
        <f t="shared" si="219"/>
        <v>119.59856228589966</v>
      </c>
      <c r="V80" s="158">
        <f t="shared" si="219"/>
        <v>116.47859979148491</v>
      </c>
      <c r="W80" s="158">
        <f t="shared" si="219"/>
        <v>113.44002762301139</v>
      </c>
      <c r="X80" s="158">
        <f t="shared" si="219"/>
        <v>110.48072255458503</v>
      </c>
      <c r="Y80" s="158">
        <f t="shared" si="219"/>
        <v>107.59861674881327</v>
      </c>
      <c r="Z80" s="158">
        <f t="shared" si="219"/>
        <v>104.79169631188773</v>
      </c>
      <c r="AA80" s="158">
        <f t="shared" si="219"/>
        <v>102.05799988636024</v>
      </c>
      <c r="AB80" s="158">
        <f t="shared" si="219"/>
        <v>99.395617280629111</v>
      </c>
      <c r="AC80" s="137">
        <f t="shared" si="216"/>
        <v>-1.3346845598444124E-2</v>
      </c>
      <c r="AD80" s="31">
        <f t="shared" si="17"/>
        <v>0.05</v>
      </c>
      <c r="AE80" s="145">
        <f t="shared" si="217"/>
        <v>869.71165120550472</v>
      </c>
    </row>
    <row r="81" spans="2:31" x14ac:dyDescent="0.2">
      <c r="B81" s="20" t="s">
        <v>246</v>
      </c>
      <c r="C81" s="126">
        <f t="shared" ref="C81:P81" si="220">C6/C68</f>
        <v>0</v>
      </c>
      <c r="D81" s="126">
        <f t="shared" si="220"/>
        <v>0</v>
      </c>
      <c r="E81" s="126">
        <f t="shared" si="220"/>
        <v>0</v>
      </c>
      <c r="F81" s="143">
        <f t="shared" si="220"/>
        <v>104.93991989319092</v>
      </c>
      <c r="G81" s="143">
        <f t="shared" si="220"/>
        <v>118.29105473965286</v>
      </c>
      <c r="H81" s="143">
        <f t="shared" si="220"/>
        <v>132.50883392226149</v>
      </c>
      <c r="I81" s="143">
        <f t="shared" si="220"/>
        <v>150.29446407538279</v>
      </c>
      <c r="J81" s="143">
        <f t="shared" si="220"/>
        <v>173.96937573616017</v>
      </c>
      <c r="K81" s="143">
        <f t="shared" si="220"/>
        <v>208.36277974087162</v>
      </c>
      <c r="L81" s="143">
        <f t="shared" si="220"/>
        <v>256.41931684334509</v>
      </c>
      <c r="M81" s="143">
        <f t="shared" si="220"/>
        <v>352.68703898840886</v>
      </c>
      <c r="N81" s="143">
        <f t="shared" si="220"/>
        <v>86.304256215760645</v>
      </c>
      <c r="O81" s="143">
        <f t="shared" si="220"/>
        <v>111.1573523583036</v>
      </c>
      <c r="P81" s="143">
        <f t="shared" si="220"/>
        <v>127.46730083234245</v>
      </c>
      <c r="Q81" s="118">
        <f>((P81/G81)^(1/($H$2-$H$1) ))-1</f>
        <v>8.3358529640364942E-3</v>
      </c>
      <c r="R81" s="127"/>
      <c r="S81" s="157">
        <f t="shared" ref="S81:AB81" si="221">S6/S68</f>
        <v>124.14206689758572</v>
      </c>
      <c r="T81" s="157">
        <f t="shared" si="221"/>
        <v>120.90357819590959</v>
      </c>
      <c r="U81" s="157">
        <f t="shared" si="221"/>
        <v>117.74957180819021</v>
      </c>
      <c r="V81" s="157">
        <f t="shared" si="221"/>
        <v>114.67784384797659</v>
      </c>
      <c r="W81" s="157">
        <f t="shared" si="221"/>
        <v>111.68624792150766</v>
      </c>
      <c r="X81" s="157">
        <f t="shared" si="221"/>
        <v>108.77269362790312</v>
      </c>
      <c r="Y81" s="157">
        <f t="shared" si="221"/>
        <v>105.93514509847959</v>
      </c>
      <c r="Z81" s="157">
        <f t="shared" si="221"/>
        <v>103.17161957417146</v>
      </c>
      <c r="AA81" s="157">
        <f t="shared" si="221"/>
        <v>100.48018602006266</v>
      </c>
      <c r="AB81" s="157">
        <f t="shared" si="221"/>
        <v>97.858963776061046</v>
      </c>
      <c r="AC81" s="137">
        <f t="shared" si="216"/>
        <v>-9.930409667203377E-3</v>
      </c>
      <c r="AD81" s="31">
        <f t="shared" si="17"/>
        <v>0.05</v>
      </c>
      <c r="AE81" s="145">
        <f t="shared" si="217"/>
        <v>856.26593304053415</v>
      </c>
    </row>
    <row r="82" spans="2:31" x14ac:dyDescent="0.2">
      <c r="B82" s="20" t="s">
        <v>247</v>
      </c>
      <c r="C82" s="126">
        <f t="shared" ref="C82:P82" si="222">C10/C68</f>
        <v>0</v>
      </c>
      <c r="D82" s="126">
        <f t="shared" si="222"/>
        <v>0</v>
      </c>
      <c r="E82" s="126">
        <f t="shared" si="222"/>
        <v>0</v>
      </c>
      <c r="F82" s="143">
        <f t="shared" si="222"/>
        <v>988.51802403204272</v>
      </c>
      <c r="G82" s="143">
        <f t="shared" si="222"/>
        <v>1225.233644859813</v>
      </c>
      <c r="H82" s="143">
        <f t="shared" si="222"/>
        <v>1301.1778563015312</v>
      </c>
      <c r="I82" s="143">
        <f t="shared" si="222"/>
        <v>1623.0859835100118</v>
      </c>
      <c r="J82" s="143">
        <f t="shared" si="222"/>
        <v>1923.6749116607773</v>
      </c>
      <c r="K82" s="143">
        <f t="shared" si="222"/>
        <v>2396.2308598351001</v>
      </c>
      <c r="L82" s="143">
        <f t="shared" si="222"/>
        <v>2994.2285041224968</v>
      </c>
      <c r="M82" s="143">
        <f t="shared" si="222"/>
        <v>3662.5922023182297</v>
      </c>
      <c r="N82" s="143">
        <f t="shared" si="222"/>
        <v>951.58027812895068</v>
      </c>
      <c r="O82" s="143">
        <f t="shared" si="222"/>
        <v>948.65239793896149</v>
      </c>
      <c r="P82" s="143">
        <f t="shared" si="222"/>
        <v>1163.3967499009116</v>
      </c>
      <c r="Q82" s="118">
        <f>((P82/G82)^(1/($H$2-$H$1) ))-1</f>
        <v>-5.7376539222316891E-3</v>
      </c>
      <c r="R82" s="127"/>
      <c r="S82" s="157">
        <f t="shared" ref="S82:AB82" si="223">S10/S68</f>
        <v>1133.0472694687141</v>
      </c>
      <c r="T82" s="157">
        <f t="shared" si="223"/>
        <v>1103.4895146130086</v>
      </c>
      <c r="U82" s="157">
        <f t="shared" si="223"/>
        <v>1074.7028316231042</v>
      </c>
      <c r="V82" s="157">
        <f t="shared" si="223"/>
        <v>1046.6671055807626</v>
      </c>
      <c r="W82" s="157">
        <f t="shared" si="223"/>
        <v>1019.3627463047427</v>
      </c>
      <c r="X82" s="157">
        <f t="shared" si="223"/>
        <v>992.77067466201049</v>
      </c>
      <c r="Y82" s="157">
        <f t="shared" si="223"/>
        <v>966.87230923604523</v>
      </c>
      <c r="Z82" s="157">
        <f t="shared" si="223"/>
        <v>941.64955334293109</v>
      </c>
      <c r="AA82" s="157">
        <f t="shared" si="223"/>
        <v>917.08478238615919</v>
      </c>
      <c r="AB82" s="157">
        <f t="shared" si="223"/>
        <v>893.16083154130308</v>
      </c>
      <c r="AC82" s="137">
        <f t="shared" si="216"/>
        <v>-1.6500258102076004E-2</v>
      </c>
      <c r="AD82" s="31">
        <f t="shared" si="17"/>
        <v>0.05</v>
      </c>
      <c r="AE82" s="145">
        <f t="shared" si="217"/>
        <v>7815.1572759864021</v>
      </c>
    </row>
    <row r="83" spans="2:31" x14ac:dyDescent="0.2">
      <c r="B83" s="20"/>
      <c r="C83" s="126"/>
      <c r="D83" s="126"/>
      <c r="E83" s="126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27"/>
      <c r="R83" s="12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38"/>
      <c r="AD83" s="136"/>
      <c r="AE83" s="145"/>
    </row>
    <row r="84" spans="2:31" x14ac:dyDescent="0.2">
      <c r="B84" s="20" t="s">
        <v>271</v>
      </c>
      <c r="C84" s="126">
        <f t="shared" ref="C84:P84" si="224">(C7-C10)/C68</f>
        <v>0</v>
      </c>
      <c r="D84" s="126">
        <f t="shared" si="224"/>
        <v>0</v>
      </c>
      <c r="E84" s="126">
        <f t="shared" si="224"/>
        <v>0</v>
      </c>
      <c r="F84" s="143">
        <f t="shared" si="224"/>
        <v>-873.5647530040053</v>
      </c>
      <c r="G84" s="143">
        <f t="shared" si="224"/>
        <v>-1096.9292389853138</v>
      </c>
      <c r="H84" s="143">
        <f t="shared" si="224"/>
        <v>-1158.6572438162543</v>
      </c>
      <c r="I84" s="143">
        <f t="shared" si="224"/>
        <v>-1462.6619552414604</v>
      </c>
      <c r="J84" s="143">
        <f t="shared" si="224"/>
        <v>-1739.6937573616019</v>
      </c>
      <c r="K84" s="143">
        <f t="shared" si="224"/>
        <v>-2177.8563015312129</v>
      </c>
      <c r="L84" s="143">
        <f t="shared" si="224"/>
        <v>-2727.7974087161365</v>
      </c>
      <c r="M84" s="143">
        <f t="shared" si="224"/>
        <v>-3299.8946259220229</v>
      </c>
      <c r="N84" s="143">
        <f t="shared" si="224"/>
        <v>-863.27433628318579</v>
      </c>
      <c r="O84" s="143">
        <f t="shared" si="224"/>
        <v>-835.49346016646848</v>
      </c>
      <c r="P84" s="143">
        <f t="shared" si="224"/>
        <v>-1033.9278636543797</v>
      </c>
      <c r="Q84" s="118">
        <f>((P84/G84)^(1/($H$2-$H$1) ))-1</f>
        <v>-6.5506355157946006E-3</v>
      </c>
      <c r="R84" s="127"/>
      <c r="S84" s="157">
        <f t="shared" ref="S84:AB84" si="225">(S7-S10)/S68</f>
        <v>-1006.9558324286135</v>
      </c>
      <c r="T84" s="157">
        <f t="shared" si="225"/>
        <v>-980.68741940873667</v>
      </c>
      <c r="U84" s="157">
        <f t="shared" si="225"/>
        <v>-955.10426933720441</v>
      </c>
      <c r="V84" s="157">
        <f t="shared" si="225"/>
        <v>-930.18850578927766</v>
      </c>
      <c r="W84" s="157">
        <f t="shared" si="225"/>
        <v>-905.92271868173134</v>
      </c>
      <c r="X84" s="157">
        <f t="shared" si="225"/>
        <v>-882.28995210742539</v>
      </c>
      <c r="Y84" s="157">
        <f t="shared" si="225"/>
        <v>-859.27369248723187</v>
      </c>
      <c r="Z84" s="157">
        <f t="shared" si="225"/>
        <v>-836.85785703104341</v>
      </c>
      <c r="AA84" s="157">
        <f t="shared" si="225"/>
        <v>-815.02678249979886</v>
      </c>
      <c r="AB84" s="157">
        <f t="shared" si="225"/>
        <v>-793.76521426067404</v>
      </c>
      <c r="AC84" s="137">
        <f t="shared" si="216"/>
        <v>-1.6881268088075996E-2</v>
      </c>
      <c r="AD84" s="31">
        <f t="shared" si="17"/>
        <v>0.05</v>
      </c>
      <c r="AE84" s="145">
        <f t="shared" si="217"/>
        <v>-6945.4456247808976</v>
      </c>
    </row>
    <row r="85" spans="2:31" x14ac:dyDescent="0.2">
      <c r="B85" s="20" t="s">
        <v>272</v>
      </c>
      <c r="C85" s="126">
        <f t="shared" ref="C85:P85" si="226">(C7-C10-C9)/C68</f>
        <v>0</v>
      </c>
      <c r="D85" s="126">
        <f t="shared" si="226"/>
        <v>0</v>
      </c>
      <c r="E85" s="126">
        <f t="shared" si="226"/>
        <v>0</v>
      </c>
      <c r="F85" s="143">
        <f t="shared" si="226"/>
        <v>-909.61281708945262</v>
      </c>
      <c r="G85" s="143">
        <f t="shared" si="226"/>
        <v>-1134.0453938584778</v>
      </c>
      <c r="H85" s="143">
        <f t="shared" si="226"/>
        <v>-1207.6560659599529</v>
      </c>
      <c r="I85" s="143">
        <f t="shared" si="226"/>
        <v>-1517.5500588928151</v>
      </c>
      <c r="J85" s="143">
        <f t="shared" si="226"/>
        <v>-1814.4876325088339</v>
      </c>
      <c r="K85" s="143">
        <f t="shared" si="226"/>
        <v>-2275.5005889281506</v>
      </c>
      <c r="L85" s="143">
        <f t="shared" si="226"/>
        <v>-2886.3368669022379</v>
      </c>
      <c r="M85" s="143">
        <f t="shared" si="226"/>
        <v>-3478.9251844046362</v>
      </c>
      <c r="N85" s="143">
        <f t="shared" si="226"/>
        <v>-939.29624947324055</v>
      </c>
      <c r="O85" s="143">
        <f t="shared" si="226"/>
        <v>-1034.4034879112169</v>
      </c>
      <c r="P85" s="143">
        <f t="shared" si="226"/>
        <v>-1319.6393182718984</v>
      </c>
      <c r="Q85" s="118">
        <f>((P85/G85)^(1/($H$2-$H$1) ))-1</f>
        <v>1.6983408070444961E-2</v>
      </c>
      <c r="R85" s="127"/>
      <c r="S85" s="157">
        <f t="shared" ref="S85:AB85" si="227">(S7-S10-S9)/S68</f>
        <v>-1285.2139447517623</v>
      </c>
      <c r="T85" s="157">
        <f t="shared" si="227"/>
        <v>-1251.6866244538903</v>
      </c>
      <c r="U85" s="157">
        <f t="shared" si="227"/>
        <v>-1219.0339299029192</v>
      </c>
      <c r="V85" s="157">
        <f t="shared" si="227"/>
        <v>-1187.2330447750173</v>
      </c>
      <c r="W85" s="157">
        <f t="shared" si="227"/>
        <v>-1156.2617479547996</v>
      </c>
      <c r="X85" s="157">
        <f t="shared" si="227"/>
        <v>-1126.0983980081528</v>
      </c>
      <c r="Y85" s="157">
        <f t="shared" si="227"/>
        <v>-1096.7219180601144</v>
      </c>
      <c r="Z85" s="157">
        <f t="shared" si="227"/>
        <v>-1068.111781067242</v>
      </c>
      <c r="AA85" s="157">
        <f t="shared" si="227"/>
        <v>-1040.2479954741837</v>
      </c>
      <c r="AB85" s="157">
        <f t="shared" si="227"/>
        <v>-1013.1110912444227</v>
      </c>
      <c r="AC85" s="137">
        <f t="shared" si="216"/>
        <v>-5.9174409652436033E-3</v>
      </c>
      <c r="AD85" s="31">
        <f t="shared" si="17"/>
        <v>0.05</v>
      </c>
      <c r="AE85" s="145">
        <f t="shared" si="217"/>
        <v>-8864.7220483886995</v>
      </c>
    </row>
    <row r="86" spans="2:31" x14ac:dyDescent="0.2">
      <c r="B86" s="20" t="s">
        <v>277</v>
      </c>
      <c r="C86" s="126">
        <f t="shared" ref="C86:P86" si="228">(C7+C17-C10-C9)/C68</f>
        <v>0</v>
      </c>
      <c r="D86" s="126">
        <f t="shared" si="228"/>
        <v>0</v>
      </c>
      <c r="E86" s="126">
        <f t="shared" si="228"/>
        <v>0</v>
      </c>
      <c r="F86" s="143">
        <f t="shared" si="228"/>
        <v>-898.39786381842453</v>
      </c>
      <c r="G86" s="143">
        <f t="shared" si="228"/>
        <v>-1118.8251001335113</v>
      </c>
      <c r="H86" s="143">
        <f t="shared" si="228"/>
        <v>-1189.3992932862191</v>
      </c>
      <c r="I86" s="143">
        <f t="shared" si="228"/>
        <v>-1497.997644287397</v>
      </c>
      <c r="J86" s="143">
        <f t="shared" si="228"/>
        <v>-1793.7573616018844</v>
      </c>
      <c r="K86" s="143">
        <f t="shared" si="228"/>
        <v>-2257.9505300353358</v>
      </c>
      <c r="L86" s="143">
        <f t="shared" si="228"/>
        <v>-2870.7891637220259</v>
      </c>
      <c r="M86" s="143">
        <f t="shared" si="228"/>
        <v>-3451.1064278187564</v>
      </c>
      <c r="N86" s="143">
        <f t="shared" si="228"/>
        <v>-930.50990307627478</v>
      </c>
      <c r="O86" s="143">
        <f t="shared" si="228"/>
        <v>-1028.2203725723346</v>
      </c>
      <c r="P86" s="143">
        <f t="shared" si="228"/>
        <v>-1288.1688466111771</v>
      </c>
      <c r="Q86" s="118">
        <f>((P86/G86)^(1/($H$2-$H$1) ))-1</f>
        <v>1.5783553174244958E-2</v>
      </c>
      <c r="R86" s="127"/>
      <c r="S86" s="157">
        <f t="shared" ref="S86:AB86" si="229">(S7+S17-S10-S9)/S68</f>
        <v>-1254.5644419169726</v>
      </c>
      <c r="T86" s="157">
        <f t="shared" si="229"/>
        <v>-1221.8366738669649</v>
      </c>
      <c r="U86" s="157">
        <f t="shared" si="229"/>
        <v>-1189.9626736791311</v>
      </c>
      <c r="V86" s="157">
        <f t="shared" si="229"/>
        <v>-1158.9201691483715</v>
      </c>
      <c r="W86" s="157">
        <f t="shared" si="229"/>
        <v>-1128.6874690836314</v>
      </c>
      <c r="X86" s="157">
        <f t="shared" si="229"/>
        <v>-1099.2434481510152</v>
      </c>
      <c r="Y86" s="157">
        <f t="shared" si="229"/>
        <v>-1070.5675321122933</v>
      </c>
      <c r="Z86" s="157">
        <f t="shared" si="229"/>
        <v>-1042.6396834484945</v>
      </c>
      <c r="AA86" s="157">
        <f t="shared" si="229"/>
        <v>-1015.4403873585339</v>
      </c>
      <c r="AB86" s="157">
        <f t="shared" si="229"/>
        <v>-988.95063812309411</v>
      </c>
      <c r="AC86" s="137">
        <f t="shared" si="216"/>
        <v>-6.4731674851787879E-3</v>
      </c>
      <c r="AD86" s="31">
        <f t="shared" si="17"/>
        <v>0.05</v>
      </c>
      <c r="AE86" s="145">
        <f t="shared" si="217"/>
        <v>-8653.3180835770727</v>
      </c>
    </row>
    <row r="87" spans="2:31" x14ac:dyDescent="0.2">
      <c r="B87" s="20"/>
      <c r="C87" s="126"/>
      <c r="D87" s="126"/>
      <c r="E87" s="126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27"/>
      <c r="R87" s="127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38"/>
      <c r="AD87" s="136"/>
      <c r="AE87" s="154"/>
    </row>
    <row r="88" spans="2:31" x14ac:dyDescent="0.2">
      <c r="B88" s="20" t="s">
        <v>248</v>
      </c>
      <c r="C88" s="126">
        <f t="shared" ref="C88:P88" si="230">C12/C68</f>
        <v>0</v>
      </c>
      <c r="D88" s="126">
        <f t="shared" si="230"/>
        <v>0</v>
      </c>
      <c r="E88" s="126">
        <f t="shared" si="230"/>
        <v>0</v>
      </c>
      <c r="F88" s="143">
        <f t="shared" si="230"/>
        <v>59.012016021361816</v>
      </c>
      <c r="G88" s="143">
        <f t="shared" si="230"/>
        <v>53.538050734312414</v>
      </c>
      <c r="H88" s="143">
        <f t="shared" si="230"/>
        <v>26.972909305064782</v>
      </c>
      <c r="I88" s="143">
        <f t="shared" si="230"/>
        <v>56.654888103651352</v>
      </c>
      <c r="J88" s="143">
        <f t="shared" si="230"/>
        <v>91.872791519434628</v>
      </c>
      <c r="K88" s="143">
        <f t="shared" si="230"/>
        <v>42.756183745583037</v>
      </c>
      <c r="L88" s="143">
        <f t="shared" si="230"/>
        <v>15.429917550058892</v>
      </c>
      <c r="M88" s="143">
        <f t="shared" si="230"/>
        <v>28.451001053740779</v>
      </c>
      <c r="N88" s="143">
        <f t="shared" si="230"/>
        <v>9.2288242730720604</v>
      </c>
      <c r="O88" s="143">
        <f t="shared" si="230"/>
        <v>6.4803804994054692</v>
      </c>
      <c r="P88" s="143">
        <f t="shared" si="230"/>
        <v>30.182322631787553</v>
      </c>
      <c r="Q88" s="118">
        <f>((P88/G88)^(1/($H$2-$H$1) ))-1</f>
        <v>-6.1696481881341136E-2</v>
      </c>
      <c r="R88" s="127"/>
      <c r="S88" s="157">
        <f t="shared" ref="S88:AB88" si="231">S12/S68</f>
        <v>29.394957693567015</v>
      </c>
      <c r="T88" s="157">
        <f t="shared" si="231"/>
        <v>28.628132710256576</v>
      </c>
      <c r="U88" s="157">
        <f t="shared" si="231"/>
        <v>27.88131185694554</v>
      </c>
      <c r="V88" s="157">
        <f t="shared" si="231"/>
        <v>27.153973286764359</v>
      </c>
      <c r="W88" s="157">
        <f t="shared" si="231"/>
        <v>26.445608766240074</v>
      </c>
      <c r="X88" s="157">
        <f t="shared" si="231"/>
        <v>25.75572332016425</v>
      </c>
      <c r="Y88" s="157">
        <f t="shared" si="231"/>
        <v>25.083834885725189</v>
      </c>
      <c r="Z88" s="157">
        <f t="shared" si="231"/>
        <v>24.429473975662798</v>
      </c>
      <c r="AA88" s="157">
        <f t="shared" si="231"/>
        <v>23.792183350210728</v>
      </c>
      <c r="AB88" s="157">
        <f t="shared" si="231"/>
        <v>23.171517697596535</v>
      </c>
      <c r="AC88" s="137">
        <f t="shared" si="216"/>
        <v>-4.3120016780608839E-2</v>
      </c>
      <c r="AD88" s="31">
        <f t="shared" si="17"/>
        <v>0.05</v>
      </c>
      <c r="AE88" s="145">
        <f t="shared" si="217"/>
        <v>202.75077985396968</v>
      </c>
    </row>
    <row r="89" spans="2:31" x14ac:dyDescent="0.2">
      <c r="B89" s="20" t="s">
        <v>255</v>
      </c>
      <c r="C89" s="126">
        <f t="shared" ref="C89:P89" si="232">C15/C68</f>
        <v>0</v>
      </c>
      <c r="D89" s="126">
        <f t="shared" si="232"/>
        <v>0</v>
      </c>
      <c r="E89" s="126">
        <f t="shared" si="232"/>
        <v>0</v>
      </c>
      <c r="F89" s="143">
        <f t="shared" si="232"/>
        <v>38.851802403204275</v>
      </c>
      <c r="G89" s="143">
        <f t="shared" si="232"/>
        <v>17.89052069425901</v>
      </c>
      <c r="H89" s="143">
        <f t="shared" si="232"/>
        <v>10.580683156654887</v>
      </c>
      <c r="I89" s="143">
        <f t="shared" si="232"/>
        <v>38.63368669022379</v>
      </c>
      <c r="J89" s="143">
        <f t="shared" si="232"/>
        <v>26.030624263839812</v>
      </c>
      <c r="K89" s="143">
        <f t="shared" si="232"/>
        <v>93.404004711425202</v>
      </c>
      <c r="L89" s="143">
        <f t="shared" si="232"/>
        <v>135.21790341578327</v>
      </c>
      <c r="M89" s="143">
        <f t="shared" si="232"/>
        <v>151.00105374077975</v>
      </c>
      <c r="N89" s="143">
        <f t="shared" si="232"/>
        <v>29.81458069953645</v>
      </c>
      <c r="O89" s="143">
        <f t="shared" si="232"/>
        <v>3.4086405073325405</v>
      </c>
      <c r="P89" s="143">
        <f t="shared" si="232"/>
        <v>3.8644470868014267</v>
      </c>
      <c r="Q89" s="118">
        <f>((P89/G89)^(1/($H$2-$H$1) ))-1</f>
        <v>-0.15656504016214556</v>
      </c>
      <c r="R89" s="127"/>
      <c r="S89" s="157">
        <f t="shared" ref="S89:AB89" si="233">S15/S68</f>
        <v>3.7636354236674774</v>
      </c>
      <c r="T89" s="157">
        <f t="shared" si="233"/>
        <v>3.6654536300065876</v>
      </c>
      <c r="U89" s="157">
        <f t="shared" si="233"/>
        <v>3.5698331005281552</v>
      </c>
      <c r="V89" s="157">
        <f t="shared" si="233"/>
        <v>3.4767070196448127</v>
      </c>
      <c r="W89" s="157">
        <f t="shared" si="233"/>
        <v>3.3860103147845138</v>
      </c>
      <c r="X89" s="157">
        <f t="shared" si="233"/>
        <v>3.2976796109205702</v>
      </c>
      <c r="Y89" s="157">
        <f t="shared" si="233"/>
        <v>3.2116531862878603</v>
      </c>
      <c r="Z89" s="157">
        <f t="shared" si="233"/>
        <v>3.1278709292542648</v>
      </c>
      <c r="AA89" s="157">
        <f t="shared" si="233"/>
        <v>3.0462742963171978</v>
      </c>
      <c r="AB89" s="157">
        <f t="shared" si="233"/>
        <v>2.96680627119588</v>
      </c>
      <c r="AC89" s="137">
        <f t="shared" si="216"/>
        <v>-9.0233794356576968E-2</v>
      </c>
      <c r="AD89" s="31">
        <f t="shared" si="17"/>
        <v>0.05</v>
      </c>
      <c r="AE89" s="145">
        <f t="shared" si="217"/>
        <v>25.959554872963949</v>
      </c>
    </row>
    <row r="90" spans="2:31" x14ac:dyDescent="0.2">
      <c r="B90" s="20" t="s">
        <v>256</v>
      </c>
      <c r="C90" s="126">
        <f>(C88+C89)</f>
        <v>0</v>
      </c>
      <c r="D90" s="126">
        <f t="shared" ref="D90:P90" si="234">(D88+D89)</f>
        <v>0</v>
      </c>
      <c r="E90" s="126">
        <f t="shared" si="234"/>
        <v>0</v>
      </c>
      <c r="F90" s="143">
        <f t="shared" si="234"/>
        <v>97.863818424566091</v>
      </c>
      <c r="G90" s="143">
        <f t="shared" si="234"/>
        <v>71.428571428571416</v>
      </c>
      <c r="H90" s="143">
        <f t="shared" si="234"/>
        <v>37.553592461719667</v>
      </c>
      <c r="I90" s="143">
        <f t="shared" si="234"/>
        <v>95.288574793875142</v>
      </c>
      <c r="J90" s="143">
        <f t="shared" si="234"/>
        <v>117.90341578327444</v>
      </c>
      <c r="K90" s="143">
        <f t="shared" si="234"/>
        <v>136.16018845700825</v>
      </c>
      <c r="L90" s="143">
        <f t="shared" si="234"/>
        <v>150.64782096584216</v>
      </c>
      <c r="M90" s="143">
        <f t="shared" si="234"/>
        <v>179.45205479452054</v>
      </c>
      <c r="N90" s="143">
        <f t="shared" si="234"/>
        <v>39.043404972608514</v>
      </c>
      <c r="O90" s="143">
        <f t="shared" ref="O90" si="235">(O88+O89)</f>
        <v>9.8890210067380089</v>
      </c>
      <c r="P90" s="143">
        <f t="shared" si="234"/>
        <v>34.046769718588976</v>
      </c>
      <c r="Q90" s="118">
        <f>((P90/G90)^(1/($H$2-$H$1) ))-1</f>
        <v>-7.9031273097937782E-2</v>
      </c>
      <c r="R90" s="127"/>
      <c r="S90" s="157">
        <f t="shared" ref="S90:AB90" si="236">(S88+S89)</f>
        <v>33.158593117234496</v>
      </c>
      <c r="T90" s="157">
        <f t="shared" si="236"/>
        <v>32.293586340263161</v>
      </c>
      <c r="U90" s="157">
        <f t="shared" si="236"/>
        <v>31.451144957473694</v>
      </c>
      <c r="V90" s="157">
        <f t="shared" si="236"/>
        <v>30.630680306409172</v>
      </c>
      <c r="W90" s="157">
        <f t="shared" si="236"/>
        <v>29.831619081024588</v>
      </c>
      <c r="X90" s="157">
        <f t="shared" si="236"/>
        <v>29.053402931084822</v>
      </c>
      <c r="Y90" s="157">
        <f t="shared" si="236"/>
        <v>28.29548807201305</v>
      </c>
      <c r="Z90" s="157">
        <f t="shared" si="236"/>
        <v>27.557344904917063</v>
      </c>
      <c r="AA90" s="157">
        <f t="shared" si="236"/>
        <v>26.838457646527925</v>
      </c>
      <c r="AB90" s="157">
        <f t="shared" si="236"/>
        <v>26.138323968792413</v>
      </c>
      <c r="AC90" s="137">
        <f t="shared" si="216"/>
        <v>-5.1534897078358566E-2</v>
      </c>
      <c r="AD90" s="31">
        <f t="shared" si="17"/>
        <v>0.05</v>
      </c>
      <c r="AE90" s="145">
        <f t="shared" si="217"/>
        <v>228.71033472693361</v>
      </c>
    </row>
    <row r="91" spans="2:31" x14ac:dyDescent="0.2">
      <c r="B91" s="20" t="s">
        <v>249</v>
      </c>
      <c r="C91" s="126">
        <f t="shared" ref="C91:P91" si="237">C17/C68</f>
        <v>0</v>
      </c>
      <c r="D91" s="126">
        <f t="shared" si="237"/>
        <v>0</v>
      </c>
      <c r="E91" s="126">
        <f t="shared" si="237"/>
        <v>0</v>
      </c>
      <c r="F91" s="143">
        <f t="shared" si="237"/>
        <v>11.214953271028037</v>
      </c>
      <c r="G91" s="143">
        <f t="shared" si="237"/>
        <v>15.220293724966622</v>
      </c>
      <c r="H91" s="143">
        <f t="shared" si="237"/>
        <v>18.256772673733803</v>
      </c>
      <c r="I91" s="143">
        <f t="shared" si="237"/>
        <v>19.552414605418139</v>
      </c>
      <c r="J91" s="143">
        <f t="shared" si="237"/>
        <v>20.73027090694935</v>
      </c>
      <c r="K91" s="143">
        <f t="shared" si="237"/>
        <v>17.550058892815077</v>
      </c>
      <c r="L91" s="143">
        <f t="shared" si="237"/>
        <v>15.547703180212014</v>
      </c>
      <c r="M91" s="143">
        <f t="shared" si="237"/>
        <v>27.818756585879871</v>
      </c>
      <c r="N91" s="143">
        <f t="shared" si="237"/>
        <v>8.7863463969658664</v>
      </c>
      <c r="O91" s="143">
        <f t="shared" si="237"/>
        <v>6.183115338882283</v>
      </c>
      <c r="P91" s="143">
        <f t="shared" si="237"/>
        <v>31.470471660721362</v>
      </c>
      <c r="Q91" s="118">
        <f>((P91/G91)^(1/($H$2-$H$1) ))-1</f>
        <v>8.4060093876737074E-2</v>
      </c>
      <c r="R91" s="127"/>
      <c r="S91" s="157">
        <f t="shared" ref="S91:AB91" si="238">S17/S68</f>
        <v>30.649502834789505</v>
      </c>
      <c r="T91" s="157">
        <f t="shared" si="238"/>
        <v>29.849950586925441</v>
      </c>
      <c r="U91" s="157">
        <f t="shared" si="238"/>
        <v>29.071256223788257</v>
      </c>
      <c r="V91" s="157">
        <f t="shared" si="238"/>
        <v>28.312875626645962</v>
      </c>
      <c r="W91" s="157">
        <f t="shared" si="238"/>
        <v>27.574278871168246</v>
      </c>
      <c r="X91" s="157">
        <f t="shared" si="238"/>
        <v>26.854949857137772</v>
      </c>
      <c r="Y91" s="157">
        <f t="shared" si="238"/>
        <v>26.15438594782114</v>
      </c>
      <c r="Z91" s="157">
        <f t="shared" si="238"/>
        <v>25.472097618747551</v>
      </c>
      <c r="AA91" s="157">
        <f t="shared" si="238"/>
        <v>24.807608115649796</v>
      </c>
      <c r="AB91" s="157">
        <f t="shared" si="238"/>
        <v>24.160453121328498</v>
      </c>
      <c r="AC91" s="137">
        <f t="shared" si="216"/>
        <v>2.4618546458435642E-2</v>
      </c>
      <c r="AD91" s="31">
        <f t="shared" si="17"/>
        <v>0.05</v>
      </c>
      <c r="AE91" s="145">
        <f t="shared" si="217"/>
        <v>211.40396481162435</v>
      </c>
    </row>
    <row r="92" spans="2:31" x14ac:dyDescent="0.2">
      <c r="B92" s="20" t="s">
        <v>250</v>
      </c>
      <c r="C92" s="126">
        <f t="shared" ref="C92:P92" si="239">C18/C68</f>
        <v>0</v>
      </c>
      <c r="D92" s="126">
        <f t="shared" si="239"/>
        <v>0</v>
      </c>
      <c r="E92" s="126">
        <f t="shared" si="239"/>
        <v>0</v>
      </c>
      <c r="F92" s="143">
        <f t="shared" si="239"/>
        <v>1061.8157543391187</v>
      </c>
      <c r="G92" s="143">
        <f t="shared" si="239"/>
        <v>1332.4432576769025</v>
      </c>
      <c r="H92" s="143">
        <f t="shared" si="239"/>
        <v>1429.9175500588929</v>
      </c>
      <c r="I92" s="143">
        <f t="shared" si="239"/>
        <v>1741.2249705535924</v>
      </c>
      <c r="J92" s="143">
        <f t="shared" si="239"/>
        <v>2077.8563015312129</v>
      </c>
      <c r="K92" s="143">
        <f t="shared" si="239"/>
        <v>2516.6077738515901</v>
      </c>
      <c r="L92" s="143">
        <f t="shared" si="239"/>
        <v>3119.7879858657243</v>
      </c>
      <c r="M92" s="143">
        <f t="shared" si="239"/>
        <v>3869.1253951527924</v>
      </c>
      <c r="N92" s="143">
        <f t="shared" si="239"/>
        <v>1008.7652760219132</v>
      </c>
      <c r="O92" s="143">
        <f t="shared" si="239"/>
        <v>1056.6587395957195</v>
      </c>
      <c r="P92" s="143">
        <f t="shared" si="239"/>
        <v>1287.5544986127625</v>
      </c>
      <c r="Q92" s="118">
        <f>((P92/G92)^(1/($H$2-$H$1) ))-1</f>
        <v>-3.8004943395688606E-3</v>
      </c>
      <c r="R92" s="127"/>
      <c r="S92" s="157">
        <f t="shared" ref="S92:AB92" si="240">S18/S68</f>
        <v>1253.9661203880821</v>
      </c>
      <c r="T92" s="157">
        <f t="shared" si="240"/>
        <v>1221.2539607257845</v>
      </c>
      <c r="U92" s="157">
        <f t="shared" si="240"/>
        <v>1189.3951617503294</v>
      </c>
      <c r="V92" s="157">
        <f t="shared" si="240"/>
        <v>1158.3674618785819</v>
      </c>
      <c r="W92" s="157">
        <f t="shared" si="240"/>
        <v>1128.1491802643584</v>
      </c>
      <c r="X92" s="157">
        <f t="shared" si="240"/>
        <v>1098.7192016487666</v>
      </c>
      <c r="Y92" s="157">
        <f t="shared" si="240"/>
        <v>1070.0569616057555</v>
      </c>
      <c r="Z92" s="157">
        <f t="shared" si="240"/>
        <v>1042.1424321725622</v>
      </c>
      <c r="AA92" s="157">
        <f t="shared" si="240"/>
        <v>1014.9561078550173</v>
      </c>
      <c r="AB92" s="157">
        <f t="shared" si="240"/>
        <v>988.47899199793005</v>
      </c>
      <c r="AC92" s="137">
        <f t="shared" si="216"/>
        <v>-1.5593053891422848E-2</v>
      </c>
      <c r="AD92" s="31">
        <f t="shared" si="17"/>
        <v>0.05</v>
      </c>
      <c r="AE92" s="145">
        <f t="shared" si="217"/>
        <v>8649.1911799818881</v>
      </c>
    </row>
    <row r="93" spans="2:31" x14ac:dyDescent="0.2">
      <c r="B93" s="20"/>
      <c r="C93" s="126"/>
      <c r="D93" s="126"/>
      <c r="E93" s="126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27"/>
      <c r="R93" s="127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38"/>
      <c r="AD93" s="138"/>
      <c r="AE93" s="145">
        <f t="shared" si="217"/>
        <v>0</v>
      </c>
    </row>
    <row r="94" spans="2:31" x14ac:dyDescent="0.2">
      <c r="B94" s="20" t="s">
        <v>283</v>
      </c>
      <c r="C94" s="159">
        <f>C70</f>
        <v>1</v>
      </c>
      <c r="D94" s="159">
        <f t="shared" ref="D94:P94" si="241">D70</f>
        <v>1</v>
      </c>
      <c r="E94" s="159">
        <f t="shared" si="241"/>
        <v>1</v>
      </c>
      <c r="F94" s="159">
        <f t="shared" si="241"/>
        <v>5.5</v>
      </c>
      <c r="G94" s="159">
        <f t="shared" si="241"/>
        <v>5</v>
      </c>
      <c r="H94" s="159">
        <f t="shared" si="241"/>
        <v>5</v>
      </c>
      <c r="I94" s="159">
        <f t="shared" si="241"/>
        <v>6</v>
      </c>
      <c r="J94" s="159">
        <f t="shared" si="241"/>
        <v>8</v>
      </c>
      <c r="K94" s="159">
        <f t="shared" si="241"/>
        <v>10</v>
      </c>
      <c r="L94" s="159">
        <f t="shared" si="241"/>
        <v>13</v>
      </c>
      <c r="M94" s="159">
        <f t="shared" si="241"/>
        <v>15</v>
      </c>
      <c r="N94" s="159">
        <f t="shared" si="241"/>
        <v>3.5</v>
      </c>
      <c r="O94" s="159">
        <f t="shared" si="241"/>
        <v>3.6</v>
      </c>
      <c r="P94" s="159">
        <f t="shared" si="241"/>
        <v>3.8</v>
      </c>
      <c r="Q94" s="118">
        <f>((P94/G94)^(1/($H$2-$H$1) ))-1</f>
        <v>-3.0032761556641363E-2</v>
      </c>
      <c r="R94" s="127"/>
      <c r="S94" s="159">
        <f t="shared" ref="S94:AB94" si="242">S70</f>
        <v>3.9899999999999998</v>
      </c>
      <c r="T94" s="159">
        <f t="shared" si="242"/>
        <v>4.1894999999999998</v>
      </c>
      <c r="U94" s="159">
        <f t="shared" si="242"/>
        <v>4.3989750000000001</v>
      </c>
      <c r="V94" s="159">
        <f t="shared" si="242"/>
        <v>4.6189237500000004</v>
      </c>
      <c r="W94" s="159">
        <f t="shared" si="242"/>
        <v>4.8498699375000003</v>
      </c>
      <c r="X94" s="159">
        <f t="shared" si="242"/>
        <v>5.0923634343750006</v>
      </c>
      <c r="Y94" s="159">
        <f t="shared" si="242"/>
        <v>5.3469816060937507</v>
      </c>
      <c r="Z94" s="159">
        <f t="shared" si="242"/>
        <v>5.6143306863984384</v>
      </c>
      <c r="AA94" s="159">
        <f t="shared" si="242"/>
        <v>5.8950472207183608</v>
      </c>
      <c r="AB94" s="159">
        <f t="shared" si="242"/>
        <v>6.1897995817542792</v>
      </c>
      <c r="AC94" s="137">
        <f t="shared" ref="AC94" si="243">((AB94/G94)^(1/($AB$3-$H$1) ))-1</f>
        <v>1.1298338776048578E-2</v>
      </c>
      <c r="AD94" s="31">
        <f t="shared" si="17"/>
        <v>0.05</v>
      </c>
      <c r="AE94" s="145">
        <f t="shared" si="217"/>
        <v>54.160746340349938</v>
      </c>
    </row>
    <row r="95" spans="2:31" x14ac:dyDescent="0.2">
      <c r="B95" s="20"/>
      <c r="C95" s="126"/>
      <c r="D95" s="126"/>
      <c r="E95" s="126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27"/>
      <c r="R95" s="127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38"/>
      <c r="AD95" s="136"/>
      <c r="AE95" s="154"/>
    </row>
    <row r="96" spans="2:31" x14ac:dyDescent="0.2">
      <c r="B96" s="20" t="s">
        <v>317</v>
      </c>
      <c r="C96" s="126">
        <f t="shared" ref="C96:P96" si="244">C25+C26</f>
        <v>0</v>
      </c>
      <c r="D96" s="126">
        <f t="shared" si="244"/>
        <v>0</v>
      </c>
      <c r="E96" s="126">
        <f t="shared" si="244"/>
        <v>0</v>
      </c>
      <c r="F96" s="143">
        <f t="shared" si="244"/>
        <v>0</v>
      </c>
      <c r="G96" s="143">
        <f t="shared" si="244"/>
        <v>-1142</v>
      </c>
      <c r="H96" s="143">
        <f t="shared" si="244"/>
        <v>-1473</v>
      </c>
      <c r="I96" s="143">
        <f t="shared" si="244"/>
        <v>-2432</v>
      </c>
      <c r="J96" s="143">
        <f t="shared" si="244"/>
        <v>-2146</v>
      </c>
      <c r="K96" s="143">
        <f t="shared" si="244"/>
        <v>-4399</v>
      </c>
      <c r="L96" s="143">
        <f t="shared" si="244"/>
        <v>-5206</v>
      </c>
      <c r="M96" s="143">
        <f t="shared" si="244"/>
        <v>-9724</v>
      </c>
      <c r="N96" s="143">
        <f t="shared" si="244"/>
        <v>-10070</v>
      </c>
      <c r="O96" s="143">
        <f t="shared" si="244"/>
        <v>-11853</v>
      </c>
      <c r="P96" s="143">
        <f t="shared" si="244"/>
        <v>-12612</v>
      </c>
      <c r="Q96" s="118">
        <f>((P96/G96)^(1/($H$2-$H$1) ))-1</f>
        <v>0.30587613217513421</v>
      </c>
      <c r="R96" s="127"/>
      <c r="S96" s="143">
        <f t="shared" ref="S96:AB96" si="245">S25+S26</f>
        <v>-14125.44</v>
      </c>
      <c r="T96" s="143">
        <f t="shared" si="245"/>
        <v>-15820.492800000002</v>
      </c>
      <c r="U96" s="143">
        <f t="shared" si="245"/>
        <v>-17718.951936000005</v>
      </c>
      <c r="V96" s="143">
        <f t="shared" si="245"/>
        <v>-19845.226168320005</v>
      </c>
      <c r="W96" s="143">
        <f t="shared" si="245"/>
        <v>-22226.653308518409</v>
      </c>
      <c r="X96" s="143">
        <f t="shared" si="245"/>
        <v>-24893.851705540619</v>
      </c>
      <c r="Y96" s="143">
        <f t="shared" si="245"/>
        <v>-27881.113910205499</v>
      </c>
      <c r="Z96" s="143">
        <f t="shared" si="245"/>
        <v>-31226.847579430159</v>
      </c>
      <c r="AA96" s="143">
        <f t="shared" si="245"/>
        <v>-34974.069288961779</v>
      </c>
      <c r="AB96" s="143">
        <f t="shared" si="245"/>
        <v>-39170.957603637195</v>
      </c>
      <c r="AC96" s="137">
        <f t="shared" ref="AC96:AC101" si="246">((AB96/G96)^(1/($AB$3-$H$1) ))-1</f>
        <v>0.20449544605631176</v>
      </c>
      <c r="AD96" s="31">
        <f t="shared" si="17"/>
        <v>0.05</v>
      </c>
      <c r="AE96" s="145">
        <f t="shared" si="217"/>
        <v>-342745.87903182546</v>
      </c>
    </row>
    <row r="97" spans="2:31" x14ac:dyDescent="0.2">
      <c r="B97" s="20"/>
      <c r="C97" s="126"/>
      <c r="D97" s="126"/>
      <c r="E97" s="126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27"/>
      <c r="R97" s="127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38"/>
      <c r="AD97" s="136"/>
      <c r="AE97" s="145"/>
    </row>
    <row r="98" spans="2:31" x14ac:dyDescent="0.2">
      <c r="B98" s="20" t="s">
        <v>318</v>
      </c>
      <c r="C98" s="126">
        <f t="shared" ref="C98:P98" si="247">C96/C68</f>
        <v>0</v>
      </c>
      <c r="D98" s="126">
        <f t="shared" si="247"/>
        <v>0</v>
      </c>
      <c r="E98" s="126">
        <f t="shared" si="247"/>
        <v>0</v>
      </c>
      <c r="F98" s="143">
        <f t="shared" si="247"/>
        <v>0</v>
      </c>
      <c r="G98" s="143">
        <f t="shared" si="247"/>
        <v>-152.46995994659545</v>
      </c>
      <c r="H98" s="143">
        <f t="shared" si="247"/>
        <v>-173.49823321554769</v>
      </c>
      <c r="I98" s="143">
        <f t="shared" si="247"/>
        <v>-286.45465253239104</v>
      </c>
      <c r="J98" s="143">
        <f t="shared" si="247"/>
        <v>-252.76796230859836</v>
      </c>
      <c r="K98" s="143">
        <f t="shared" si="247"/>
        <v>-518.13898704358064</v>
      </c>
      <c r="L98" s="143">
        <f t="shared" si="247"/>
        <v>-613.19199057714957</v>
      </c>
      <c r="M98" s="143">
        <f t="shared" si="247"/>
        <v>-1024.6575342465753</v>
      </c>
      <c r="N98" s="143">
        <f t="shared" si="247"/>
        <v>-212.17867678044669</v>
      </c>
      <c r="O98" s="143">
        <f t="shared" si="247"/>
        <v>-234.89892984542212</v>
      </c>
      <c r="P98" s="143">
        <f t="shared" si="247"/>
        <v>-249.94054696789536</v>
      </c>
      <c r="Q98" s="118">
        <f>((P98/G98)^(1/($H$2-$H$1) ))-1</f>
        <v>5.6453217114500687E-2</v>
      </c>
      <c r="R98" s="127"/>
      <c r="S98" s="145">
        <f t="shared" ref="S98:AB98" si="248">S96/S68</f>
        <v>-243.42035878612421</v>
      </c>
      <c r="T98" s="145">
        <f t="shared" si="248"/>
        <v>-237.07026246996449</v>
      </c>
      <c r="U98" s="145">
        <f t="shared" si="248"/>
        <v>-230.88582084031327</v>
      </c>
      <c r="V98" s="145">
        <f t="shared" si="248"/>
        <v>-224.86271247056598</v>
      </c>
      <c r="W98" s="145">
        <f t="shared" si="248"/>
        <v>-218.99672866698606</v>
      </c>
      <c r="X98" s="145">
        <f t="shared" si="248"/>
        <v>-213.28377052784731</v>
      </c>
      <c r="Y98" s="145">
        <f t="shared" si="248"/>
        <v>-207.71984607929483</v>
      </c>
      <c r="Z98" s="145">
        <f t="shared" si="248"/>
        <v>-202.30106748592195</v>
      </c>
      <c r="AA98" s="145">
        <f t="shared" si="248"/>
        <v>-197.02364833411531</v>
      </c>
      <c r="AB98" s="145">
        <f t="shared" si="248"/>
        <v>-191.88390098626886</v>
      </c>
      <c r="AC98" s="137">
        <f t="shared" si="246"/>
        <v>1.2174721841929692E-2</v>
      </c>
      <c r="AD98" s="31">
        <f t="shared" si="17"/>
        <v>0.05</v>
      </c>
      <c r="AE98" s="145">
        <f t="shared" si="217"/>
        <v>-1678.9841336298523</v>
      </c>
    </row>
    <row r="99" spans="2:31" x14ac:dyDescent="0.2">
      <c r="B99" s="20" t="s">
        <v>288</v>
      </c>
      <c r="C99" s="126">
        <f t="shared" ref="C99:P99" si="249">C25/C68</f>
        <v>0</v>
      </c>
      <c r="D99" s="126">
        <f t="shared" si="249"/>
        <v>0</v>
      </c>
      <c r="E99" s="126">
        <f t="shared" si="249"/>
        <v>0</v>
      </c>
      <c r="F99" s="143">
        <f t="shared" si="249"/>
        <v>0</v>
      </c>
      <c r="G99" s="143">
        <f t="shared" si="249"/>
        <v>-173.83177570093457</v>
      </c>
      <c r="H99" s="143">
        <f t="shared" si="249"/>
        <v>-183.39222614840989</v>
      </c>
      <c r="I99" s="143">
        <f t="shared" si="249"/>
        <v>-259.36395759717311</v>
      </c>
      <c r="J99" s="143">
        <f t="shared" si="249"/>
        <v>-267.72673733804476</v>
      </c>
      <c r="K99" s="143">
        <f t="shared" si="249"/>
        <v>-456.77267373380448</v>
      </c>
      <c r="L99" s="143">
        <f t="shared" si="249"/>
        <v>-578.20965842167254</v>
      </c>
      <c r="M99" s="143">
        <f t="shared" si="249"/>
        <v>-1001.2644889357218</v>
      </c>
      <c r="N99" s="143">
        <f t="shared" si="249"/>
        <v>-216.32954066582386</v>
      </c>
      <c r="O99" s="143">
        <f t="shared" si="249"/>
        <v>-234.20531113753466</v>
      </c>
      <c r="P99" s="143">
        <f t="shared" si="249"/>
        <v>-249.40546967895364</v>
      </c>
      <c r="Q99" s="118">
        <f>((P99/G99)^(1/($H$2-$H$1) ))-1</f>
        <v>4.0925493949821812E-2</v>
      </c>
      <c r="R99" s="127"/>
      <c r="S99" s="145">
        <f t="shared" ref="S99:AB99" si="250">S25/S68</f>
        <v>-242.89924003515486</v>
      </c>
      <c r="T99" s="145">
        <f t="shared" si="250"/>
        <v>-236.56273812119434</v>
      </c>
      <c r="U99" s="145">
        <f t="shared" si="250"/>
        <v>-230.39153625716321</v>
      </c>
      <c r="V99" s="145">
        <f t="shared" si="250"/>
        <v>-224.38132226784595</v>
      </c>
      <c r="W99" s="145">
        <f t="shared" si="250"/>
        <v>-218.52789646955435</v>
      </c>
      <c r="X99" s="145">
        <f t="shared" si="250"/>
        <v>-212.827168735566</v>
      </c>
      <c r="Y99" s="145">
        <f t="shared" si="250"/>
        <v>-207.2751556381165</v>
      </c>
      <c r="Z99" s="145">
        <f t="shared" si="250"/>
        <v>-201.86797766494828</v>
      </c>
      <c r="AA99" s="145">
        <f t="shared" si="250"/>
        <v>-196.60185650847143</v>
      </c>
      <c r="AB99" s="145">
        <f t="shared" si="250"/>
        <v>-191.47311242564174</v>
      </c>
      <c r="AC99" s="137">
        <f t="shared" si="246"/>
        <v>5.1002976425806867E-3</v>
      </c>
      <c r="AD99" s="31">
        <f t="shared" si="17"/>
        <v>0.05</v>
      </c>
      <c r="AE99" s="145">
        <f t="shared" si="217"/>
        <v>-1675.3897337243652</v>
      </c>
    </row>
    <row r="100" spans="2:31" x14ac:dyDescent="0.2">
      <c r="B100" s="20" t="s">
        <v>289</v>
      </c>
      <c r="C100" s="126">
        <f t="shared" ref="C100:P100" si="251">C26/C68</f>
        <v>0</v>
      </c>
      <c r="D100" s="126">
        <f t="shared" si="251"/>
        <v>0</v>
      </c>
      <c r="E100" s="126">
        <f t="shared" si="251"/>
        <v>0</v>
      </c>
      <c r="F100" s="143">
        <f t="shared" si="251"/>
        <v>0</v>
      </c>
      <c r="G100" s="143">
        <f t="shared" si="251"/>
        <v>21.361815754339119</v>
      </c>
      <c r="H100" s="143">
        <f t="shared" si="251"/>
        <v>9.8939929328621901</v>
      </c>
      <c r="I100" s="143">
        <f t="shared" si="251"/>
        <v>-27.090694935217904</v>
      </c>
      <c r="J100" s="143">
        <f t="shared" si="251"/>
        <v>14.958775029446407</v>
      </c>
      <c r="K100" s="143">
        <f t="shared" si="251"/>
        <v>-61.366313309776203</v>
      </c>
      <c r="L100" s="143">
        <f t="shared" si="251"/>
        <v>-34.982332155477032</v>
      </c>
      <c r="M100" s="143">
        <f t="shared" si="251"/>
        <v>-23.39304531085353</v>
      </c>
      <c r="N100" s="143">
        <f t="shared" si="251"/>
        <v>4.1508638853771593</v>
      </c>
      <c r="O100" s="143">
        <f t="shared" si="251"/>
        <v>-0.69361870788743563</v>
      </c>
      <c r="P100" s="143">
        <f t="shared" si="251"/>
        <v>-0.53507728894173601</v>
      </c>
      <c r="Q100" s="118">
        <f>((P100/G100)^(1/($H$2-$H$1) ))-1</f>
        <v>-1.6638752587079249</v>
      </c>
      <c r="R100" s="127"/>
      <c r="S100" s="145">
        <f t="shared" ref="S100:AB100" si="252">S26/S68</f>
        <v>-0.52111875096934301</v>
      </c>
      <c r="T100" s="145">
        <f t="shared" si="252"/>
        <v>-0.50752434877014285</v>
      </c>
      <c r="U100" s="145">
        <f t="shared" si="252"/>
        <v>-0.49428458315005225</v>
      </c>
      <c r="V100" s="145">
        <f t="shared" si="252"/>
        <v>-0.48139020272005095</v>
      </c>
      <c r="W100" s="145">
        <f t="shared" si="252"/>
        <v>-0.46883219743170185</v>
      </c>
      <c r="X100" s="145">
        <f t="shared" si="252"/>
        <v>-0.4566017922813097</v>
      </c>
      <c r="Y100" s="145">
        <f t="shared" si="252"/>
        <v>-0.44469044117831907</v>
      </c>
      <c r="Z100" s="145">
        <f t="shared" si="252"/>
        <v>-0.43308982097366738</v>
      </c>
      <c r="AA100" s="145">
        <f t="shared" si="252"/>
        <v>-0.42179182564391959</v>
      </c>
      <c r="AB100" s="145">
        <f t="shared" si="252"/>
        <v>-0.41078856062712177</v>
      </c>
      <c r="AC100" s="137">
        <f t="shared" si="246"/>
        <v>-1.812237744463925</v>
      </c>
      <c r="AD100" s="31">
        <f t="shared" si="17"/>
        <v>0.05</v>
      </c>
      <c r="AE100" s="145">
        <f t="shared" si="217"/>
        <v>-3.5943999054873155</v>
      </c>
    </row>
    <row r="101" spans="2:31" x14ac:dyDescent="0.2">
      <c r="B101" s="20" t="s">
        <v>290</v>
      </c>
      <c r="C101" s="126">
        <f t="shared" ref="C101:P101" si="253">C27/C68</f>
        <v>0</v>
      </c>
      <c r="D101" s="126">
        <f t="shared" si="253"/>
        <v>0</v>
      </c>
      <c r="E101" s="126">
        <f t="shared" si="253"/>
        <v>0</v>
      </c>
      <c r="F101" s="143">
        <f t="shared" si="253"/>
        <v>0</v>
      </c>
      <c r="G101" s="143">
        <f t="shared" si="253"/>
        <v>146.99599465954606</v>
      </c>
      <c r="H101" s="143">
        <f t="shared" si="253"/>
        <v>153.12131919905772</v>
      </c>
      <c r="I101" s="143">
        <f t="shared" si="253"/>
        <v>316.13663133097759</v>
      </c>
      <c r="J101" s="143">
        <f t="shared" si="253"/>
        <v>287.9858657243816</v>
      </c>
      <c r="K101" s="143">
        <f t="shared" si="253"/>
        <v>469.02237926972907</v>
      </c>
      <c r="L101" s="143">
        <f t="shared" si="253"/>
        <v>586.33686690223794</v>
      </c>
      <c r="M101" s="143">
        <f t="shared" si="253"/>
        <v>1038.5669125395152</v>
      </c>
      <c r="N101" s="143">
        <f t="shared" si="253"/>
        <v>215.71849978929623</v>
      </c>
      <c r="O101" s="143">
        <f t="shared" si="253"/>
        <v>228.71581450653983</v>
      </c>
      <c r="P101" s="143">
        <f t="shared" si="253"/>
        <v>247.04716607213635</v>
      </c>
      <c r="Q101" s="118">
        <f>((P101/G101)^(1/($H$2-$H$1) ))-1</f>
        <v>5.9382289782468733E-2</v>
      </c>
      <c r="R101" s="127"/>
      <c r="S101" s="145">
        <f t="shared" ref="S101:AB101" si="254">S27/S68</f>
        <v>240.60245739199371</v>
      </c>
      <c r="T101" s="145">
        <f t="shared" si="254"/>
        <v>234.32587154698521</v>
      </c>
      <c r="U101" s="145">
        <f t="shared" si="254"/>
        <v>228.21302272402039</v>
      </c>
      <c r="V101" s="145">
        <f t="shared" si="254"/>
        <v>222.25963952252425</v>
      </c>
      <c r="W101" s="145">
        <f t="shared" si="254"/>
        <v>216.46156196976278</v>
      </c>
      <c r="X101" s="145">
        <f t="shared" si="254"/>
        <v>210.81473861402986</v>
      </c>
      <c r="Y101" s="145">
        <f t="shared" si="254"/>
        <v>205.31522369366391</v>
      </c>
      <c r="Z101" s="145">
        <f t="shared" si="254"/>
        <v>199.95917437991619</v>
      </c>
      <c r="AA101" s="145">
        <f t="shared" si="254"/>
        <v>194.74284809174452</v>
      </c>
      <c r="AB101" s="145">
        <f t="shared" si="254"/>
        <v>189.66259988065559</v>
      </c>
      <c r="AC101" s="137">
        <f t="shared" si="246"/>
        <v>1.3503057200281443E-2</v>
      </c>
      <c r="AD101" s="31">
        <f t="shared" si="17"/>
        <v>0.05</v>
      </c>
      <c r="AE101" s="145">
        <f t="shared" si="217"/>
        <v>1659.5477489557363</v>
      </c>
    </row>
    <row r="102" spans="2:31" x14ac:dyDescent="0.2">
      <c r="B102" s="20" t="s">
        <v>297</v>
      </c>
      <c r="C102" s="126">
        <f t="shared" ref="C102:P102" si="255">C28/C68</f>
        <v>0</v>
      </c>
      <c r="D102" s="126">
        <f t="shared" si="255"/>
        <v>0</v>
      </c>
      <c r="E102" s="126">
        <f t="shared" si="255"/>
        <v>0</v>
      </c>
      <c r="F102" s="143">
        <f t="shared" si="255"/>
        <v>0</v>
      </c>
      <c r="G102" s="143">
        <f t="shared" si="255"/>
        <v>53.538050734312414</v>
      </c>
      <c r="H102" s="143">
        <f t="shared" si="255"/>
        <v>26.85512367491166</v>
      </c>
      <c r="I102" s="143">
        <f t="shared" si="255"/>
        <v>56.419316843345108</v>
      </c>
      <c r="J102" s="143">
        <f t="shared" si="255"/>
        <v>91.755005889281506</v>
      </c>
      <c r="K102" s="143">
        <f t="shared" si="255"/>
        <v>42.520612485276793</v>
      </c>
      <c r="L102" s="143">
        <f t="shared" si="255"/>
        <v>15.901060070671377</v>
      </c>
      <c r="M102" s="143">
        <f t="shared" si="255"/>
        <v>28.134878819810325</v>
      </c>
      <c r="N102" s="143">
        <f t="shared" si="255"/>
        <v>9.1656131479140335</v>
      </c>
      <c r="O102" s="143">
        <f t="shared" si="255"/>
        <v>4.9147839873166861</v>
      </c>
      <c r="P102" s="143">
        <f t="shared" si="255"/>
        <v>27.883472057074911</v>
      </c>
      <c r="Q102" s="118">
        <f>((P102/G102)^(1/($H$2-$H$1) ))-1</f>
        <v>-6.9919632165078016E-2</v>
      </c>
      <c r="R102" s="127"/>
      <c r="S102" s="145">
        <f t="shared" ref="S102:AB102" si="256">S28/S68</f>
        <v>27.156077133846875</v>
      </c>
      <c r="T102" s="145">
        <f t="shared" si="256"/>
        <v>26.447657730355221</v>
      </c>
      <c r="U102" s="145">
        <f t="shared" si="256"/>
        <v>25.757718833041608</v>
      </c>
      <c r="V102" s="145">
        <f t="shared" si="256"/>
        <v>25.085778341744877</v>
      </c>
      <c r="W102" s="145">
        <f t="shared" si="256"/>
        <v>24.431366732829794</v>
      </c>
      <c r="X102" s="145">
        <f t="shared" si="256"/>
        <v>23.794026731103802</v>
      </c>
      <c r="Y102" s="145">
        <f t="shared" si="256"/>
        <v>23.173312990292406</v>
      </c>
      <c r="Z102" s="145">
        <f t="shared" si="256"/>
        <v>22.568791781849999</v>
      </c>
      <c r="AA102" s="145">
        <f t="shared" si="256"/>
        <v>21.9800406918887</v>
      </c>
      <c r="AB102" s="145">
        <f t="shared" si="256"/>
        <v>21.406648326013347</v>
      </c>
      <c r="AC102" s="137">
        <f t="shared" ref="AC102" si="257">((AB102/G102)^(1/($AB$3-$H$1) ))-1</f>
        <v>-4.7101511931408657E-2</v>
      </c>
      <c r="AD102" s="31">
        <f t="shared" si="17"/>
        <v>0.05</v>
      </c>
      <c r="AE102" s="145">
        <f t="shared" si="217"/>
        <v>187.30817285261679</v>
      </c>
    </row>
    <row r="103" spans="2:31" x14ac:dyDescent="0.2">
      <c r="B103" s="20"/>
      <c r="C103" s="126"/>
      <c r="D103" s="126"/>
      <c r="E103" s="126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27"/>
      <c r="R103" s="127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38"/>
      <c r="AD103" s="136"/>
      <c r="AE103" s="154"/>
    </row>
    <row r="104" spans="2:31" x14ac:dyDescent="0.2">
      <c r="B104" s="20" t="s">
        <v>312</v>
      </c>
      <c r="C104" s="143">
        <f t="shared" ref="C104:P104" si="258">C62/C68</f>
        <v>0</v>
      </c>
      <c r="D104" s="143">
        <f t="shared" si="258"/>
        <v>0</v>
      </c>
      <c r="E104" s="143">
        <f t="shared" si="258"/>
        <v>0</v>
      </c>
      <c r="F104" s="143">
        <f t="shared" si="258"/>
        <v>120.38184245660881</v>
      </c>
      <c r="G104" s="143">
        <f t="shared" si="258"/>
        <v>114.95327102803738</v>
      </c>
      <c r="H104" s="143">
        <f t="shared" si="258"/>
        <v>101.76678445229682</v>
      </c>
      <c r="I104" s="143">
        <f t="shared" si="258"/>
        <v>128.62190812720848</v>
      </c>
      <c r="J104" s="143">
        <f t="shared" si="258"/>
        <v>167.60895170789163</v>
      </c>
      <c r="K104" s="143">
        <f t="shared" si="258"/>
        <v>234.27561837455829</v>
      </c>
      <c r="L104" s="143">
        <f t="shared" si="258"/>
        <v>320.96584216725557</v>
      </c>
      <c r="M104" s="143">
        <f t="shared" si="258"/>
        <v>344.5732349841939</v>
      </c>
      <c r="N104" s="143">
        <f t="shared" si="258"/>
        <v>87.399915718499784</v>
      </c>
      <c r="O104" s="143">
        <f t="shared" si="258"/>
        <v>113.57510899722553</v>
      </c>
      <c r="P104" s="143">
        <f t="shared" si="258"/>
        <v>143.935790725327</v>
      </c>
      <c r="Q104" s="118">
        <f>((P104/G104)^(1/($H$2-$H$1) ))-1</f>
        <v>2.5297074623849891E-2</v>
      </c>
      <c r="R104" s="127"/>
      <c r="S104" s="143">
        <f t="shared" ref="S104:AB104" si="259">S62/S68</f>
        <v>140.18094401075325</v>
      </c>
      <c r="T104" s="143">
        <f t="shared" si="259"/>
        <v>136.52404981916843</v>
      </c>
      <c r="U104" s="143">
        <f t="shared" si="259"/>
        <v>132.96255286736402</v>
      </c>
      <c r="V104" s="143">
        <f t="shared" si="259"/>
        <v>129.49396453169368</v>
      </c>
      <c r="W104" s="143">
        <f t="shared" si="259"/>
        <v>126.11586110912778</v>
      </c>
      <c r="X104" s="143">
        <f t="shared" si="259"/>
        <v>122.82588212367229</v>
      </c>
      <c r="Y104" s="143">
        <f t="shared" si="259"/>
        <v>119.62172867696782</v>
      </c>
      <c r="Z104" s="143">
        <f t="shared" si="259"/>
        <v>116.50116184191653</v>
      </c>
      <c r="AA104" s="143">
        <f t="shared" si="259"/>
        <v>113.46200109821437</v>
      </c>
      <c r="AB104" s="143">
        <f t="shared" si="259"/>
        <v>110.50212280869574</v>
      </c>
      <c r="AC104" s="137">
        <f t="shared" ref="AC104:AC106" si="260">((AB104/G104)^(1/($AB$3-$H$1) ))-1</f>
        <v>-2.0763138502835066E-3</v>
      </c>
      <c r="AD104" s="31">
        <f t="shared" si="17"/>
        <v>0.05</v>
      </c>
      <c r="AE104" s="145">
        <f t="shared" si="217"/>
        <v>966.89357457608764</v>
      </c>
    </row>
    <row r="105" spans="2:31" x14ac:dyDescent="0.2">
      <c r="B105" s="20" t="s">
        <v>313</v>
      </c>
      <c r="C105" s="143">
        <f t="shared" ref="C105:P105" si="261">C66/C68</f>
        <v>0</v>
      </c>
      <c r="D105" s="143">
        <f t="shared" si="261"/>
        <v>0</v>
      </c>
      <c r="E105" s="143">
        <f t="shared" si="261"/>
        <v>0</v>
      </c>
      <c r="F105" s="143">
        <f t="shared" si="261"/>
        <v>23.89853137516689</v>
      </c>
      <c r="G105" s="143">
        <f t="shared" si="261"/>
        <v>22.296395193591454</v>
      </c>
      <c r="H105" s="143">
        <f t="shared" si="261"/>
        <v>16.725559481743225</v>
      </c>
      <c r="I105" s="143">
        <f t="shared" si="261"/>
        <v>24.499411071849234</v>
      </c>
      <c r="J105" s="143">
        <f t="shared" si="261"/>
        <v>32.744405182567725</v>
      </c>
      <c r="K105" s="143">
        <f t="shared" si="261"/>
        <v>45.465253239104825</v>
      </c>
      <c r="L105" s="143">
        <f t="shared" si="261"/>
        <v>62.308598351001173</v>
      </c>
      <c r="M105" s="143">
        <f t="shared" si="261"/>
        <v>69.546891464699684</v>
      </c>
      <c r="N105" s="143">
        <f t="shared" si="261"/>
        <v>20.417193426042981</v>
      </c>
      <c r="O105" s="143">
        <f t="shared" si="261"/>
        <v>18.152992469282601</v>
      </c>
      <c r="P105" s="143">
        <f t="shared" si="261"/>
        <v>20.887831946095918</v>
      </c>
      <c r="Q105" s="118">
        <f>((P105/G105)^(1/($H$2-$H$1) ))-1</f>
        <v>-7.2246898759589229E-3</v>
      </c>
      <c r="R105" s="127"/>
      <c r="S105" s="143">
        <f t="shared" ref="S105:AB105" si="262">S66/S68</f>
        <v>20.342931982284721</v>
      </c>
      <c r="T105" s="143">
        <f t="shared" si="262"/>
        <v>19.812246800138169</v>
      </c>
      <c r="U105" s="143">
        <f t="shared" si="262"/>
        <v>19.295405579265001</v>
      </c>
      <c r="V105" s="143">
        <f t="shared" si="262"/>
        <v>18.792047172849397</v>
      </c>
      <c r="W105" s="143">
        <f t="shared" si="262"/>
        <v>18.301819855296806</v>
      </c>
      <c r="X105" s="143">
        <f t="shared" si="262"/>
        <v>17.824381076462977</v>
      </c>
      <c r="Y105" s="143">
        <f t="shared" si="262"/>
        <v>17.359397222294383</v>
      </c>
      <c r="Z105" s="143">
        <f t="shared" si="262"/>
        <v>16.906543381712794</v>
      </c>
      <c r="AA105" s="143">
        <f t="shared" si="262"/>
        <v>16.465503119581157</v>
      </c>
      <c r="AB105" s="143">
        <f t="shared" si="262"/>
        <v>16.035968255592088</v>
      </c>
      <c r="AC105" s="137">
        <f t="shared" si="260"/>
        <v>-1.7197293226116961E-2</v>
      </c>
      <c r="AD105" s="31">
        <f t="shared" si="17"/>
        <v>0.05</v>
      </c>
      <c r="AE105" s="145">
        <f t="shared" si="217"/>
        <v>140.31472223643075</v>
      </c>
    </row>
    <row r="106" spans="2:31" x14ac:dyDescent="0.2">
      <c r="B106" s="20" t="s">
        <v>314</v>
      </c>
      <c r="C106" s="143">
        <f t="shared" ref="C106:P106" si="263">C6/C68</f>
        <v>0</v>
      </c>
      <c r="D106" s="143">
        <f t="shared" si="263"/>
        <v>0</v>
      </c>
      <c r="E106" s="143">
        <f t="shared" si="263"/>
        <v>0</v>
      </c>
      <c r="F106" s="143">
        <f t="shared" si="263"/>
        <v>104.93991989319092</v>
      </c>
      <c r="G106" s="143">
        <f t="shared" si="263"/>
        <v>118.29105473965286</v>
      </c>
      <c r="H106" s="143">
        <f t="shared" si="263"/>
        <v>132.50883392226149</v>
      </c>
      <c r="I106" s="143">
        <f t="shared" si="263"/>
        <v>150.29446407538279</v>
      </c>
      <c r="J106" s="143">
        <f t="shared" si="263"/>
        <v>173.96937573616017</v>
      </c>
      <c r="K106" s="143">
        <f t="shared" si="263"/>
        <v>208.36277974087162</v>
      </c>
      <c r="L106" s="143">
        <f t="shared" si="263"/>
        <v>256.41931684334509</v>
      </c>
      <c r="M106" s="143">
        <f t="shared" si="263"/>
        <v>352.68703898840886</v>
      </c>
      <c r="N106" s="143">
        <f t="shared" si="263"/>
        <v>86.304256215760645</v>
      </c>
      <c r="O106" s="143">
        <f t="shared" si="263"/>
        <v>111.1573523583036</v>
      </c>
      <c r="P106" s="143">
        <f t="shared" si="263"/>
        <v>127.46730083234245</v>
      </c>
      <c r="Q106" s="118">
        <f>((P106/G106)^(1/($H$2-$H$1) ))-1</f>
        <v>8.3358529640364942E-3</v>
      </c>
      <c r="R106" s="127"/>
      <c r="S106" s="143">
        <f t="shared" ref="S106:AB106" si="264">S6/S68</f>
        <v>124.14206689758572</v>
      </c>
      <c r="T106" s="143">
        <f t="shared" si="264"/>
        <v>120.90357819590959</v>
      </c>
      <c r="U106" s="143">
        <f t="shared" si="264"/>
        <v>117.74957180819021</v>
      </c>
      <c r="V106" s="143">
        <f t="shared" si="264"/>
        <v>114.67784384797659</v>
      </c>
      <c r="W106" s="143">
        <f t="shared" si="264"/>
        <v>111.68624792150766</v>
      </c>
      <c r="X106" s="143">
        <f t="shared" si="264"/>
        <v>108.77269362790312</v>
      </c>
      <c r="Y106" s="143">
        <f t="shared" si="264"/>
        <v>105.93514509847959</v>
      </c>
      <c r="Z106" s="143">
        <f t="shared" si="264"/>
        <v>103.17161957417146</v>
      </c>
      <c r="AA106" s="143">
        <f t="shared" si="264"/>
        <v>100.48018602006266</v>
      </c>
      <c r="AB106" s="143">
        <f t="shared" si="264"/>
        <v>97.858963776061046</v>
      </c>
      <c r="AC106" s="137">
        <f t="shared" si="260"/>
        <v>-9.930409667203377E-3</v>
      </c>
      <c r="AD106" s="31">
        <f t="shared" ref="AD106" si="265">$L$1</f>
        <v>0.05</v>
      </c>
      <c r="AE106" s="145">
        <f t="shared" si="217"/>
        <v>856.26593304053415</v>
      </c>
    </row>
    <row r="107" spans="2:31" x14ac:dyDescent="0.2">
      <c r="B107" s="20"/>
      <c r="C107" s="126"/>
      <c r="D107" s="126"/>
      <c r="E107" s="126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27"/>
      <c r="R107" s="127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38"/>
      <c r="AD107" s="20"/>
      <c r="AE107" s="154"/>
    </row>
    <row r="108" spans="2:31" x14ac:dyDescent="0.2">
      <c r="B108" s="20"/>
      <c r="C108" s="126"/>
      <c r="D108" s="126"/>
      <c r="E108" s="126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27"/>
      <c r="R108" s="127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38"/>
      <c r="AD108" s="20"/>
      <c r="AE108" s="154"/>
    </row>
    <row r="109" spans="2:31" x14ac:dyDescent="0.2">
      <c r="B109" s="108" t="s">
        <v>311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</row>
    <row r="110" spans="2:31" x14ac:dyDescent="0.2">
      <c r="B110" s="20" t="s">
        <v>310</v>
      </c>
      <c r="C110" s="152" t="e">
        <f t="shared" ref="C110:P110" si="266">C62/C44</f>
        <v>#DIV/0!</v>
      </c>
      <c r="D110" s="152" t="e">
        <f t="shared" si="266"/>
        <v>#DIV/0!</v>
      </c>
      <c r="E110" s="152" t="e">
        <f t="shared" si="266"/>
        <v>#DIV/0!</v>
      </c>
      <c r="F110" s="152">
        <f t="shared" si="266"/>
        <v>0.88484789008832188</v>
      </c>
      <c r="G110" s="152">
        <f t="shared" si="266"/>
        <v>0.88036809815950923</v>
      </c>
      <c r="H110" s="152">
        <f t="shared" si="266"/>
        <v>0.82521489971346706</v>
      </c>
      <c r="I110" s="152">
        <f t="shared" si="266"/>
        <v>0.85781618224666145</v>
      </c>
      <c r="J110" s="152">
        <f t="shared" si="266"/>
        <v>0.89553178099433606</v>
      </c>
      <c r="K110" s="152">
        <f t="shared" si="266"/>
        <v>0.9107142857142857</v>
      </c>
      <c r="L110" s="152">
        <f t="shared" si="266"/>
        <v>0.93868411987599032</v>
      </c>
      <c r="M110" s="152">
        <f t="shared" si="266"/>
        <v>0.93965517241379315</v>
      </c>
      <c r="N110" s="152">
        <f t="shared" si="266"/>
        <v>0.82481606681248754</v>
      </c>
      <c r="O110" s="152">
        <f t="shared" si="266"/>
        <v>0.91784112748238311</v>
      </c>
      <c r="P110" s="152">
        <f t="shared" si="266"/>
        <v>0.93764523625096829</v>
      </c>
      <c r="Q110" s="118">
        <f t="shared" ref="Q110:Q150" si="267">((P110/G110)^(1/($H$2-$H$1) ))-1</f>
        <v>7.0280875809629606E-3</v>
      </c>
      <c r="R110" s="152"/>
      <c r="S110" s="152">
        <f t="shared" ref="S110:AB110" si="268">S62/S44</f>
        <v>0.93764523625096829</v>
      </c>
      <c r="T110" s="152">
        <f t="shared" si="268"/>
        <v>0.93764523625096818</v>
      </c>
      <c r="U110" s="152">
        <f t="shared" si="268"/>
        <v>0.93764523625096818</v>
      </c>
      <c r="V110" s="152">
        <f t="shared" si="268"/>
        <v>0.93764523625096807</v>
      </c>
      <c r="W110" s="152">
        <f t="shared" si="268"/>
        <v>0.93764523625096807</v>
      </c>
      <c r="X110" s="152">
        <f t="shared" si="268"/>
        <v>0.93764523625096818</v>
      </c>
      <c r="Y110" s="152">
        <f t="shared" si="268"/>
        <v>0.93764523625096818</v>
      </c>
      <c r="Z110" s="152">
        <f t="shared" si="268"/>
        <v>0.93764523625096829</v>
      </c>
      <c r="AA110" s="152">
        <f t="shared" si="268"/>
        <v>0.93764523625096818</v>
      </c>
      <c r="AB110" s="152">
        <f t="shared" si="268"/>
        <v>0.93764523625096818</v>
      </c>
      <c r="AC110" s="137">
        <f t="shared" ref="AC110:AC137" si="269">((AB110/G110)^(1/($AB$3-$H$1) ))-1</f>
        <v>3.3229588874430505E-3</v>
      </c>
      <c r="AD110" s="145"/>
      <c r="AE110" s="145"/>
    </row>
    <row r="111" spans="2:31" x14ac:dyDescent="0.2">
      <c r="B111" s="20" t="s">
        <v>267</v>
      </c>
      <c r="C111" s="152" t="e">
        <f t="shared" ref="C111:P111" si="270">C66/C44</f>
        <v>#DIV/0!</v>
      </c>
      <c r="D111" s="152" t="e">
        <f t="shared" si="270"/>
        <v>#DIV/0!</v>
      </c>
      <c r="E111" s="152" t="e">
        <f t="shared" si="270"/>
        <v>#DIV/0!</v>
      </c>
      <c r="F111" s="152">
        <f t="shared" si="270"/>
        <v>0.17566241413150147</v>
      </c>
      <c r="G111" s="152">
        <f t="shared" si="270"/>
        <v>0.17075664621676892</v>
      </c>
      <c r="H111" s="152">
        <f t="shared" si="270"/>
        <v>0.13562559694364851</v>
      </c>
      <c r="I111" s="152">
        <f t="shared" si="270"/>
        <v>0.16339355852317361</v>
      </c>
      <c r="J111" s="152">
        <f t="shared" si="270"/>
        <v>0.17495280050346129</v>
      </c>
      <c r="K111" s="152">
        <f t="shared" si="270"/>
        <v>0.17673992673992675</v>
      </c>
      <c r="L111" s="152">
        <f t="shared" si="270"/>
        <v>0.18222528418877024</v>
      </c>
      <c r="M111" s="152">
        <f t="shared" si="270"/>
        <v>0.18965517241379309</v>
      </c>
      <c r="N111" s="152">
        <f t="shared" si="270"/>
        <v>0.1926824418373434</v>
      </c>
      <c r="O111" s="152">
        <f t="shared" si="270"/>
        <v>0.14670083279948751</v>
      </c>
      <c r="P111" s="152">
        <f t="shared" si="270"/>
        <v>0.13607022979602376</v>
      </c>
      <c r="Q111" s="118">
        <f t="shared" si="267"/>
        <v>-2.4914196386847998E-2</v>
      </c>
      <c r="R111" s="152"/>
      <c r="S111" s="152">
        <f t="shared" ref="S111:AB111" si="271">S66/S44</f>
        <v>0.13607022979602376</v>
      </c>
      <c r="T111" s="152">
        <f t="shared" si="271"/>
        <v>0.13607022979602376</v>
      </c>
      <c r="U111" s="152">
        <f t="shared" si="271"/>
        <v>0.13607022979602376</v>
      </c>
      <c r="V111" s="152">
        <f t="shared" si="271"/>
        <v>0.13607022979602376</v>
      </c>
      <c r="W111" s="152">
        <f t="shared" si="271"/>
        <v>0.13607022979602376</v>
      </c>
      <c r="X111" s="152">
        <f t="shared" si="271"/>
        <v>0.13607022979602376</v>
      </c>
      <c r="Y111" s="152">
        <f t="shared" si="271"/>
        <v>0.13607022979602376</v>
      </c>
      <c r="Z111" s="152">
        <f t="shared" si="271"/>
        <v>0.13607022979602376</v>
      </c>
      <c r="AA111" s="152">
        <f t="shared" si="271"/>
        <v>0.13607022979602376</v>
      </c>
      <c r="AB111" s="152">
        <f t="shared" si="271"/>
        <v>0.13607022979602376</v>
      </c>
      <c r="AC111" s="137">
        <f t="shared" si="269"/>
        <v>-1.1879832647821775E-2</v>
      </c>
      <c r="AD111" s="145"/>
      <c r="AE111" s="145"/>
    </row>
    <row r="112" spans="2:31" x14ac:dyDescent="0.2">
      <c r="B112" s="20" t="s">
        <v>359</v>
      </c>
      <c r="C112" s="152" t="e">
        <f t="shared" ref="C112:P112" si="272">C66/C7</f>
        <v>#DIV/0!</v>
      </c>
      <c r="D112" s="152" t="e">
        <f t="shared" si="272"/>
        <v>#DIV/0!</v>
      </c>
      <c r="E112" s="152" t="e">
        <f t="shared" si="272"/>
        <v>#DIV/0!</v>
      </c>
      <c r="F112" s="152">
        <f t="shared" si="272"/>
        <v>0.20789779326364694</v>
      </c>
      <c r="G112" s="152">
        <f t="shared" si="272"/>
        <v>0.17377731529656607</v>
      </c>
      <c r="H112" s="152">
        <f t="shared" si="272"/>
        <v>0.11735537190082644</v>
      </c>
      <c r="I112" s="152">
        <f t="shared" si="272"/>
        <v>0.1527165932452276</v>
      </c>
      <c r="J112" s="152">
        <f t="shared" si="272"/>
        <v>0.17797695262483995</v>
      </c>
      <c r="K112" s="152">
        <f t="shared" si="272"/>
        <v>0.20819848975188782</v>
      </c>
      <c r="L112" s="152">
        <f t="shared" si="272"/>
        <v>0.23386383731211319</v>
      </c>
      <c r="M112" s="152">
        <f t="shared" si="272"/>
        <v>0.19174898314933178</v>
      </c>
      <c r="N112" s="152">
        <f t="shared" si="272"/>
        <v>0.23120973514674303</v>
      </c>
      <c r="O112" s="152">
        <f t="shared" si="272"/>
        <v>0.16042031523642733</v>
      </c>
      <c r="P112" s="152">
        <f t="shared" si="272"/>
        <v>0.16133476197765192</v>
      </c>
      <c r="Q112" s="118">
        <f t="shared" si="267"/>
        <v>-8.2208237069764101E-3</v>
      </c>
      <c r="R112" s="20"/>
      <c r="S112" s="152">
        <f t="shared" ref="S112:AB112" si="273">S66/S7</f>
        <v>0.1613347619776519</v>
      </c>
      <c r="T112" s="152">
        <f t="shared" si="273"/>
        <v>0.16133476197765192</v>
      </c>
      <c r="U112" s="152">
        <f t="shared" si="273"/>
        <v>0.16133476197765192</v>
      </c>
      <c r="V112" s="152">
        <f t="shared" si="273"/>
        <v>0.16133476197765192</v>
      </c>
      <c r="W112" s="152">
        <f t="shared" si="273"/>
        <v>0.16133476197765195</v>
      </c>
      <c r="X112" s="152">
        <f t="shared" si="273"/>
        <v>0.16133476197765195</v>
      </c>
      <c r="Y112" s="152">
        <f t="shared" si="273"/>
        <v>0.16133476197765195</v>
      </c>
      <c r="Z112" s="152">
        <f t="shared" si="273"/>
        <v>0.16133476197765195</v>
      </c>
      <c r="AA112" s="152">
        <f t="shared" si="273"/>
        <v>0.16133476197765195</v>
      </c>
      <c r="AB112" s="152">
        <f t="shared" si="273"/>
        <v>0.16133476197765195</v>
      </c>
      <c r="AC112" s="137">
        <f t="shared" si="269"/>
        <v>-3.9025341483940323E-3</v>
      </c>
      <c r="AD112" s="145"/>
      <c r="AE112" s="145"/>
    </row>
    <row r="113" spans="2:31" x14ac:dyDescent="0.2">
      <c r="B113" s="20" t="s">
        <v>360</v>
      </c>
      <c r="C113" s="152" t="e">
        <f t="shared" ref="C113:P113" si="274">(C66)/(C7+C10)</f>
        <v>#DIV/0!</v>
      </c>
      <c r="D113" s="152" t="e">
        <f t="shared" si="274"/>
        <v>#DIV/0!</v>
      </c>
      <c r="E113" s="152" t="e">
        <f t="shared" si="274"/>
        <v>#DIV/0!</v>
      </c>
      <c r="F113" s="152">
        <f t="shared" si="274"/>
        <v>2.1657592256503329E-2</v>
      </c>
      <c r="G113" s="152">
        <f t="shared" si="274"/>
        <v>1.6472677056618663E-2</v>
      </c>
      <c r="H113" s="152">
        <f t="shared" si="274"/>
        <v>1.1585216610916211E-2</v>
      </c>
      <c r="I113" s="152">
        <f t="shared" si="274"/>
        <v>1.3736626601505746E-2</v>
      </c>
      <c r="J113" s="152">
        <f t="shared" si="274"/>
        <v>1.5535933832569576E-2</v>
      </c>
      <c r="K113" s="152">
        <f t="shared" si="274"/>
        <v>1.7388953959816201E-2</v>
      </c>
      <c r="L113" s="152">
        <f t="shared" si="274"/>
        <v>1.9109200592421341E-2</v>
      </c>
      <c r="M113" s="152">
        <f t="shared" si="274"/>
        <v>1.7277486910994764E-2</v>
      </c>
      <c r="N113" s="152">
        <f t="shared" si="274"/>
        <v>1.9634064798492494E-2</v>
      </c>
      <c r="O113" s="152">
        <f t="shared" si="274"/>
        <v>1.7096250396610613E-2</v>
      </c>
      <c r="P113" s="152">
        <f t="shared" si="274"/>
        <v>1.61562279652963E-2</v>
      </c>
      <c r="Q113" s="118">
        <f t="shared" si="267"/>
        <v>-2.1529528993943226E-3</v>
      </c>
      <c r="R113" s="20"/>
      <c r="S113" s="152">
        <f t="shared" ref="S113:AB113" si="275">(S66)/(S7+S10)</f>
        <v>1.6156227965296296E-2</v>
      </c>
      <c r="T113" s="152">
        <f t="shared" si="275"/>
        <v>1.61562279652963E-2</v>
      </c>
      <c r="U113" s="152">
        <f t="shared" si="275"/>
        <v>1.61562279652963E-2</v>
      </c>
      <c r="V113" s="152">
        <f t="shared" si="275"/>
        <v>1.61562279652963E-2</v>
      </c>
      <c r="W113" s="152">
        <f t="shared" si="275"/>
        <v>1.6156227965296303E-2</v>
      </c>
      <c r="X113" s="152">
        <f t="shared" si="275"/>
        <v>1.61562279652963E-2</v>
      </c>
      <c r="Y113" s="152">
        <f t="shared" si="275"/>
        <v>1.61562279652963E-2</v>
      </c>
      <c r="Z113" s="152">
        <f t="shared" si="275"/>
        <v>1.6156227965296303E-2</v>
      </c>
      <c r="AA113" s="152">
        <f t="shared" si="275"/>
        <v>1.61562279652963E-2</v>
      </c>
      <c r="AB113" s="152">
        <f t="shared" si="275"/>
        <v>1.6156227965296303E-2</v>
      </c>
      <c r="AC113" s="137">
        <f t="shared" si="269"/>
        <v>-1.0203982239924692E-3</v>
      </c>
      <c r="AD113" s="145"/>
      <c r="AE113" s="145"/>
    </row>
    <row r="114" spans="2:31" x14ac:dyDescent="0.2">
      <c r="B114" s="176" t="s">
        <v>392</v>
      </c>
      <c r="C114" s="152"/>
      <c r="D114" s="152"/>
      <c r="E114" s="152"/>
      <c r="F114" s="152"/>
      <c r="G114" s="152">
        <f>G25/G44</f>
        <v>-1.3312883435582823</v>
      </c>
      <c r="H114" s="152">
        <f t="shared" ref="H114:P114" si="276">H25/H44</f>
        <v>-1.487106017191977</v>
      </c>
      <c r="I114" s="152">
        <f t="shared" si="276"/>
        <v>-1.7297721916732129</v>
      </c>
      <c r="J114" s="152">
        <f t="shared" si="276"/>
        <v>-1.4304594084329767</v>
      </c>
      <c r="K114" s="152">
        <f t="shared" si="276"/>
        <v>-1.7756410256410255</v>
      </c>
      <c r="L114" s="152">
        <f t="shared" si="276"/>
        <v>-1.6910093007233895</v>
      </c>
      <c r="M114" s="152">
        <f t="shared" si="276"/>
        <v>-2.7304597701149427</v>
      </c>
      <c r="N114" s="152">
        <f t="shared" si="276"/>
        <v>-2.0415589580433484</v>
      </c>
      <c r="O114" s="152">
        <f t="shared" si="276"/>
        <v>-1.8926969891095451</v>
      </c>
      <c r="P114" s="152">
        <f t="shared" si="276"/>
        <v>-1.6247095274980634</v>
      </c>
      <c r="Q114" s="118">
        <f t="shared" si="267"/>
        <v>2.2378036015684444E-2</v>
      </c>
      <c r="R114" s="20"/>
      <c r="S114" s="152">
        <f t="shared" ref="S114:AB114" si="277">S25/S44</f>
        <v>-1.6247095274980634</v>
      </c>
      <c r="T114" s="152">
        <f t="shared" si="277"/>
        <v>-1.6247095274980634</v>
      </c>
      <c r="U114" s="152">
        <f t="shared" si="277"/>
        <v>-1.6247095274980634</v>
      </c>
      <c r="V114" s="152">
        <f t="shared" si="277"/>
        <v>-1.6247095274980632</v>
      </c>
      <c r="W114" s="152">
        <f t="shared" si="277"/>
        <v>-1.6247095274980634</v>
      </c>
      <c r="X114" s="152">
        <f t="shared" si="277"/>
        <v>-1.6247095274980634</v>
      </c>
      <c r="Y114" s="152">
        <f t="shared" si="277"/>
        <v>-1.6247095274980634</v>
      </c>
      <c r="Z114" s="152">
        <f t="shared" si="277"/>
        <v>-1.6247095274980636</v>
      </c>
      <c r="AA114" s="152">
        <f t="shared" si="277"/>
        <v>-1.6247095274980636</v>
      </c>
      <c r="AB114" s="152">
        <f t="shared" si="277"/>
        <v>-1.6247095274980634</v>
      </c>
      <c r="AC114" s="137">
        <f t="shared" si="269"/>
        <v>1.0538399484496752E-2</v>
      </c>
      <c r="AD114" s="145"/>
      <c r="AE114" s="145"/>
    </row>
    <row r="115" spans="2:31" x14ac:dyDescent="0.2">
      <c r="B115" s="20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45"/>
      <c r="AE115" s="145"/>
    </row>
    <row r="116" spans="2:31" x14ac:dyDescent="0.2">
      <c r="B116" s="20" t="s">
        <v>323</v>
      </c>
      <c r="C116" s="152"/>
      <c r="D116" s="152"/>
      <c r="E116" s="152"/>
      <c r="F116" s="152"/>
      <c r="G116" s="152">
        <f>G50/G44</f>
        <v>0.6697341513292433</v>
      </c>
      <c r="H116" s="152">
        <f t="shared" ref="H116:P116" si="278">H50/H44</f>
        <v>0.65138490926456538</v>
      </c>
      <c r="I116" s="152">
        <f t="shared" si="278"/>
        <v>0.6747839748625295</v>
      </c>
      <c r="J116" s="152">
        <f t="shared" si="278"/>
        <v>0.69666456891126494</v>
      </c>
      <c r="K116" s="152">
        <f t="shared" si="278"/>
        <v>0.68406593406593408</v>
      </c>
      <c r="L116" s="152">
        <f t="shared" si="278"/>
        <v>0.69479848432655877</v>
      </c>
      <c r="M116" s="152">
        <f t="shared" si="278"/>
        <v>0.68994252873563222</v>
      </c>
      <c r="N116" s="152">
        <f t="shared" si="278"/>
        <v>0.64684827997613836</v>
      </c>
      <c r="O116" s="152">
        <f t="shared" si="278"/>
        <v>0.73526585522101218</v>
      </c>
      <c r="P116" s="152">
        <f t="shared" si="278"/>
        <v>0.76478182287632324</v>
      </c>
      <c r="Q116" s="118">
        <f t="shared" si="267"/>
        <v>1.4854779370546689E-2</v>
      </c>
      <c r="R116" s="20"/>
      <c r="S116" s="152">
        <f t="shared" ref="S116:AB116" si="279">S50/S44</f>
        <v>0.76478182287632335</v>
      </c>
      <c r="T116" s="152">
        <f t="shared" si="279"/>
        <v>0.76478182287632335</v>
      </c>
      <c r="U116" s="152">
        <f t="shared" si="279"/>
        <v>0.76478182287632335</v>
      </c>
      <c r="V116" s="152">
        <f t="shared" si="279"/>
        <v>0.76478182287632335</v>
      </c>
      <c r="W116" s="152">
        <f t="shared" si="279"/>
        <v>0.76478182287632335</v>
      </c>
      <c r="X116" s="152">
        <f t="shared" si="279"/>
        <v>0.76478182287632335</v>
      </c>
      <c r="Y116" s="152">
        <f t="shared" si="279"/>
        <v>0.76478182287632346</v>
      </c>
      <c r="Z116" s="152">
        <f t="shared" si="279"/>
        <v>0.76478182287632346</v>
      </c>
      <c r="AA116" s="152">
        <f t="shared" si="279"/>
        <v>0.76478182287632346</v>
      </c>
      <c r="AB116" s="152">
        <f t="shared" si="279"/>
        <v>0.76478182287632346</v>
      </c>
      <c r="AC116" s="137">
        <f t="shared" si="269"/>
        <v>7.0091737439714752E-3</v>
      </c>
      <c r="AD116" s="145"/>
      <c r="AE116" s="145"/>
    </row>
    <row r="117" spans="2:31" x14ac:dyDescent="0.2">
      <c r="B117" s="20" t="s">
        <v>325</v>
      </c>
      <c r="C117" s="152"/>
      <c r="D117" s="152"/>
      <c r="E117" s="152"/>
      <c r="F117" s="152"/>
      <c r="G117" s="166">
        <f t="shared" ref="G117:P117" si="280">G50/G12</f>
        <v>1.6334164588528679</v>
      </c>
      <c r="H117" s="166">
        <f t="shared" si="280"/>
        <v>2.9781659388646289</v>
      </c>
      <c r="I117" s="166">
        <f t="shared" si="280"/>
        <v>1.7858627858627858</v>
      </c>
      <c r="J117" s="166">
        <f t="shared" si="280"/>
        <v>1.4192307692307693</v>
      </c>
      <c r="K117" s="166">
        <f t="shared" si="280"/>
        <v>4.115702479338843</v>
      </c>
      <c r="L117" s="166">
        <f t="shared" si="280"/>
        <v>15.396946564885496</v>
      </c>
      <c r="M117" s="166">
        <f t="shared" si="280"/>
        <v>8.8925925925925924</v>
      </c>
      <c r="N117" s="166">
        <f t="shared" si="280"/>
        <v>7.4269406392694064</v>
      </c>
      <c r="O117" s="166">
        <f t="shared" si="280"/>
        <v>14.039755351681958</v>
      </c>
      <c r="P117" s="166">
        <f t="shared" si="280"/>
        <v>3.8896913985554824</v>
      </c>
      <c r="Q117" s="118">
        <f t="shared" si="267"/>
        <v>0.10120630935412067</v>
      </c>
      <c r="R117" s="20"/>
      <c r="S117" s="152">
        <f t="shared" ref="S117:AB117" si="281">S50/S12</f>
        <v>3.8896913985554828</v>
      </c>
      <c r="T117" s="152">
        <f t="shared" si="281"/>
        <v>3.8896913985554828</v>
      </c>
      <c r="U117" s="152">
        <f t="shared" si="281"/>
        <v>3.8896913985554824</v>
      </c>
      <c r="V117" s="152">
        <f t="shared" si="281"/>
        <v>3.8896913985554824</v>
      </c>
      <c r="W117" s="152">
        <f t="shared" si="281"/>
        <v>3.8896913985554828</v>
      </c>
      <c r="X117" s="152">
        <f t="shared" si="281"/>
        <v>3.8896913985554824</v>
      </c>
      <c r="Y117" s="152">
        <f t="shared" si="281"/>
        <v>3.8896913985554824</v>
      </c>
      <c r="Z117" s="152">
        <f t="shared" si="281"/>
        <v>3.8896913985554824</v>
      </c>
      <c r="AA117" s="152">
        <f t="shared" si="281"/>
        <v>3.8896913985554828</v>
      </c>
      <c r="AB117" s="152">
        <f t="shared" si="281"/>
        <v>3.8896913985554833</v>
      </c>
      <c r="AC117" s="137">
        <f t="shared" si="269"/>
        <v>4.6724857462747682E-2</v>
      </c>
      <c r="AD117" s="145"/>
      <c r="AE117" s="145"/>
    </row>
    <row r="118" spans="2:31" s="177" customFormat="1" x14ac:dyDescent="0.2">
      <c r="B118" s="176"/>
      <c r="C118" s="181"/>
      <c r="D118" s="181"/>
      <c r="E118" s="181"/>
      <c r="F118" s="181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78"/>
      <c r="R118" s="176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1"/>
      <c r="AC118" s="179"/>
      <c r="AD118" s="180"/>
      <c r="AE118" s="180"/>
    </row>
    <row r="119" spans="2:31" x14ac:dyDescent="0.2">
      <c r="B119" s="20" t="s">
        <v>326</v>
      </c>
      <c r="C119" s="152"/>
      <c r="D119" s="152"/>
      <c r="E119" s="152"/>
      <c r="F119" s="163">
        <f t="shared" ref="F119:P119" si="282">F12+F15-F10</f>
        <v>-6671</v>
      </c>
      <c r="G119" s="163">
        <f t="shared" si="282"/>
        <v>-8642</v>
      </c>
      <c r="H119" s="163">
        <f t="shared" si="282"/>
        <v>-10728.17</v>
      </c>
      <c r="I119" s="163">
        <f t="shared" si="282"/>
        <v>-12971</v>
      </c>
      <c r="J119" s="163">
        <f t="shared" si="282"/>
        <v>-15331</v>
      </c>
      <c r="K119" s="163">
        <f t="shared" si="282"/>
        <v>-19188</v>
      </c>
      <c r="L119" s="163">
        <f t="shared" si="282"/>
        <v>-24142</v>
      </c>
      <c r="M119" s="163">
        <f t="shared" si="282"/>
        <v>-33055</v>
      </c>
      <c r="N119" s="163">
        <f t="shared" si="282"/>
        <v>-43309</v>
      </c>
      <c r="O119" s="163">
        <f t="shared" si="282"/>
        <v>-47370</v>
      </c>
      <c r="P119" s="163">
        <f t="shared" si="282"/>
        <v>-56987</v>
      </c>
      <c r="Q119" s="118">
        <f t="shared" si="267"/>
        <v>0.23315579480200332</v>
      </c>
      <c r="R119" s="20"/>
      <c r="S119" s="163">
        <f t="shared" ref="S119:AB119" si="283">S12+S15-S10</f>
        <v>-63825.440000000002</v>
      </c>
      <c r="T119" s="163">
        <f t="shared" si="283"/>
        <v>-71484.492800000007</v>
      </c>
      <c r="U119" s="163">
        <f t="shared" si="283"/>
        <v>-80062.63193600002</v>
      </c>
      <c r="V119" s="163">
        <f t="shared" si="283"/>
        <v>-89670.147768320021</v>
      </c>
      <c r="W119" s="163">
        <f t="shared" si="283"/>
        <v>-100430.56550051844</v>
      </c>
      <c r="X119" s="163">
        <f t="shared" si="283"/>
        <v>-112482.23336058065</v>
      </c>
      <c r="Y119" s="163">
        <f t="shared" si="283"/>
        <v>-125980.10136385035</v>
      </c>
      <c r="Z119" s="163">
        <f t="shared" si="283"/>
        <v>-141097.71352751239</v>
      </c>
      <c r="AA119" s="163">
        <f t="shared" si="283"/>
        <v>-158029.43915081391</v>
      </c>
      <c r="AB119" s="163">
        <f t="shared" si="283"/>
        <v>-176992.97184891161</v>
      </c>
      <c r="AC119" s="137">
        <f t="shared" si="269"/>
        <v>0.17224391581888288</v>
      </c>
      <c r="AD119" s="145"/>
      <c r="AE119" s="145"/>
    </row>
    <row r="120" spans="2:31" ht="12" customHeight="1" x14ac:dyDescent="0.2">
      <c r="B120" s="20" t="s">
        <v>321</v>
      </c>
      <c r="C120" s="20"/>
      <c r="D120" s="20"/>
      <c r="E120" s="20"/>
      <c r="F120" s="20"/>
      <c r="G120" s="152">
        <f t="shared" ref="G120:P120" si="284">G66/G23</f>
        <v>7.0493879273955251</v>
      </c>
      <c r="H120" s="152">
        <f t="shared" si="284"/>
        <v>5.7396928051738083</v>
      </c>
      <c r="I120" s="152">
        <f t="shared" si="284"/>
        <v>8.5808580858085808</v>
      </c>
      <c r="J120" s="152">
        <f t="shared" si="284"/>
        <v>9.2666666666666675</v>
      </c>
      <c r="K120" s="152">
        <f t="shared" si="284"/>
        <v>12.866666666666667</v>
      </c>
      <c r="L120" s="152">
        <f t="shared" si="284"/>
        <v>12.022727272727273</v>
      </c>
      <c r="M120" s="152">
        <f t="shared" si="284"/>
        <v>14.666666666666666</v>
      </c>
      <c r="N120" s="152">
        <f t="shared" si="284"/>
        <v>21.533333333333335</v>
      </c>
      <c r="O120" s="152">
        <f t="shared" si="284"/>
        <v>12.547945205479452</v>
      </c>
      <c r="P120" s="152">
        <f t="shared" si="284"/>
        <v>14.438356164383562</v>
      </c>
      <c r="Q120" s="118">
        <f t="shared" si="267"/>
        <v>8.2919714354346974E-2</v>
      </c>
      <c r="R120" s="20"/>
      <c r="S120" s="152">
        <f t="shared" ref="S120:AB120" si="285">S66/S23</f>
        <v>14.438356164383562</v>
      </c>
      <c r="T120" s="152">
        <f t="shared" si="285"/>
        <v>14.438356164383562</v>
      </c>
      <c r="U120" s="152">
        <f t="shared" si="285"/>
        <v>14.438356164383562</v>
      </c>
      <c r="V120" s="152">
        <f t="shared" si="285"/>
        <v>14.438356164383562</v>
      </c>
      <c r="W120" s="152">
        <f t="shared" si="285"/>
        <v>14.438356164383562</v>
      </c>
      <c r="X120" s="152">
        <f t="shared" si="285"/>
        <v>14.438356164383562</v>
      </c>
      <c r="Y120" s="152">
        <f t="shared" si="285"/>
        <v>14.438356164383563</v>
      </c>
      <c r="Z120" s="152">
        <f t="shared" si="285"/>
        <v>14.438356164383562</v>
      </c>
      <c r="AA120" s="152">
        <f t="shared" si="285"/>
        <v>14.438356164383562</v>
      </c>
      <c r="AB120" s="152">
        <f t="shared" si="285"/>
        <v>14.438356164383562</v>
      </c>
      <c r="AC120" s="137">
        <f t="shared" si="269"/>
        <v>3.8455048754862498E-2</v>
      </c>
      <c r="AD120" s="20"/>
      <c r="AE120" s="20"/>
    </row>
    <row r="121" spans="2:31" x14ac:dyDescent="0.2">
      <c r="B121" s="20" t="s">
        <v>322</v>
      </c>
      <c r="C121" s="20"/>
      <c r="D121" s="20"/>
      <c r="E121" s="20"/>
      <c r="F121" s="20"/>
      <c r="G121" s="152">
        <f t="shared" ref="G121:P121" si="286">G66/G44</f>
        <v>0.17075664621676892</v>
      </c>
      <c r="H121" s="152">
        <f t="shared" si="286"/>
        <v>0.13562559694364851</v>
      </c>
      <c r="I121" s="152">
        <f t="shared" si="286"/>
        <v>0.16339355852317361</v>
      </c>
      <c r="J121" s="152">
        <f t="shared" si="286"/>
        <v>0.17495280050346129</v>
      </c>
      <c r="K121" s="152">
        <f t="shared" si="286"/>
        <v>0.17673992673992675</v>
      </c>
      <c r="L121" s="152">
        <f t="shared" si="286"/>
        <v>0.18222528418877024</v>
      </c>
      <c r="M121" s="152">
        <f t="shared" si="286"/>
        <v>0.18965517241379309</v>
      </c>
      <c r="N121" s="152">
        <f t="shared" si="286"/>
        <v>0.1926824418373434</v>
      </c>
      <c r="O121" s="152">
        <f t="shared" si="286"/>
        <v>0.14670083279948751</v>
      </c>
      <c r="P121" s="152">
        <f t="shared" si="286"/>
        <v>0.13607022979602376</v>
      </c>
      <c r="Q121" s="118">
        <f t="shared" si="267"/>
        <v>-2.4914196386847998E-2</v>
      </c>
      <c r="R121" s="20"/>
      <c r="S121" s="152">
        <f t="shared" ref="S121:AB121" si="287">S66/S44</f>
        <v>0.13607022979602376</v>
      </c>
      <c r="T121" s="152">
        <f t="shared" si="287"/>
        <v>0.13607022979602376</v>
      </c>
      <c r="U121" s="152">
        <f t="shared" si="287"/>
        <v>0.13607022979602376</v>
      </c>
      <c r="V121" s="152">
        <f t="shared" si="287"/>
        <v>0.13607022979602376</v>
      </c>
      <c r="W121" s="152">
        <f t="shared" si="287"/>
        <v>0.13607022979602376</v>
      </c>
      <c r="X121" s="152">
        <f t="shared" si="287"/>
        <v>0.13607022979602376</v>
      </c>
      <c r="Y121" s="152">
        <f t="shared" si="287"/>
        <v>0.13607022979602376</v>
      </c>
      <c r="Z121" s="152">
        <f t="shared" si="287"/>
        <v>0.13607022979602376</v>
      </c>
      <c r="AA121" s="152">
        <f t="shared" si="287"/>
        <v>0.13607022979602376</v>
      </c>
      <c r="AB121" s="152">
        <f t="shared" si="287"/>
        <v>0.13607022979602376</v>
      </c>
      <c r="AC121" s="137">
        <f t="shared" si="269"/>
        <v>-1.1879832647821775E-2</v>
      </c>
      <c r="AD121" s="20"/>
      <c r="AE121" s="20"/>
    </row>
    <row r="122" spans="2:31" x14ac:dyDescent="0.2">
      <c r="B122" s="20" t="s">
        <v>348</v>
      </c>
      <c r="C122" s="20"/>
      <c r="D122" s="20"/>
      <c r="E122" s="152"/>
      <c r="F122" s="152"/>
      <c r="G122" s="152">
        <f t="shared" ref="G122:P122" si="288">G44/G23</f>
        <v>41.283241874208528</v>
      </c>
      <c r="H122" s="152">
        <f t="shared" si="288"/>
        <v>42.320129345189976</v>
      </c>
      <c r="I122" s="152">
        <f t="shared" si="288"/>
        <v>52.516501650165019</v>
      </c>
      <c r="J122" s="152">
        <f t="shared" si="288"/>
        <v>52.966666666666669</v>
      </c>
      <c r="K122" s="152">
        <f t="shared" si="288"/>
        <v>72.8</v>
      </c>
      <c r="L122" s="152">
        <f t="shared" si="288"/>
        <v>65.977272727272734</v>
      </c>
      <c r="M122" s="152">
        <f t="shared" si="288"/>
        <v>77.333333333333329</v>
      </c>
      <c r="N122" s="152">
        <f t="shared" si="288"/>
        <v>111.75555555555556</v>
      </c>
      <c r="O122" s="152">
        <f t="shared" si="288"/>
        <v>85.534246575342465</v>
      </c>
      <c r="P122" s="152">
        <f t="shared" si="288"/>
        <v>106.10958904109589</v>
      </c>
      <c r="Q122" s="118">
        <f t="shared" si="267"/>
        <v>0.11058915055641205</v>
      </c>
      <c r="R122" s="20"/>
      <c r="S122" s="152">
        <f t="shared" ref="S122:AB122" si="289">S44/S23</f>
        <v>106.10958904109589</v>
      </c>
      <c r="T122" s="152">
        <f t="shared" si="289"/>
        <v>106.10958904109589</v>
      </c>
      <c r="U122" s="152">
        <f t="shared" si="289"/>
        <v>106.10958904109589</v>
      </c>
      <c r="V122" s="152">
        <f t="shared" si="289"/>
        <v>106.10958904109589</v>
      </c>
      <c r="W122" s="152">
        <f t="shared" si="289"/>
        <v>106.10958904109589</v>
      </c>
      <c r="X122" s="152">
        <f t="shared" si="289"/>
        <v>106.10958904109589</v>
      </c>
      <c r="Y122" s="152">
        <f t="shared" si="289"/>
        <v>106.10958904109589</v>
      </c>
      <c r="Z122" s="152">
        <f t="shared" si="289"/>
        <v>106.10958904109589</v>
      </c>
      <c r="AA122" s="152">
        <f t="shared" si="289"/>
        <v>106.10958904109587</v>
      </c>
      <c r="AB122" s="152">
        <f t="shared" si="289"/>
        <v>106.10958904109587</v>
      </c>
      <c r="AC122" s="137">
        <f t="shared" si="269"/>
        <v>5.0940040559605659E-2</v>
      </c>
      <c r="AD122" s="20"/>
      <c r="AE122" s="20"/>
    </row>
    <row r="123" spans="2:31" x14ac:dyDescent="0.2">
      <c r="B123" s="20"/>
      <c r="C123" s="20"/>
      <c r="D123" s="20"/>
      <c r="E123" s="20"/>
      <c r="F123" s="20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27"/>
      <c r="R123" s="20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27"/>
      <c r="AD123" s="20"/>
      <c r="AE123" s="20"/>
    </row>
    <row r="124" spans="2:31" x14ac:dyDescent="0.2">
      <c r="B124" s="20" t="s">
        <v>334</v>
      </c>
      <c r="C124" s="20"/>
      <c r="D124" s="20"/>
      <c r="E124" s="165">
        <f t="shared" ref="E124:P124" si="290">E94*E68</f>
        <v>1</v>
      </c>
      <c r="F124" s="165">
        <f t="shared" si="290"/>
        <v>41.195</v>
      </c>
      <c r="G124" s="165">
        <f t="shared" si="290"/>
        <v>37.450000000000003</v>
      </c>
      <c r="H124" s="165">
        <f t="shared" si="290"/>
        <v>42.45</v>
      </c>
      <c r="I124" s="165">
        <f t="shared" si="290"/>
        <v>50.94</v>
      </c>
      <c r="J124" s="165">
        <f t="shared" si="290"/>
        <v>67.92</v>
      </c>
      <c r="K124" s="165">
        <f t="shared" si="290"/>
        <v>84.9</v>
      </c>
      <c r="L124" s="165">
        <f t="shared" si="290"/>
        <v>110.37</v>
      </c>
      <c r="M124" s="165">
        <f t="shared" si="290"/>
        <v>142.35</v>
      </c>
      <c r="N124" s="165">
        <f t="shared" si="290"/>
        <v>166.11</v>
      </c>
      <c r="O124" s="165">
        <f t="shared" si="290"/>
        <v>181.65600000000001</v>
      </c>
      <c r="P124" s="165">
        <f t="shared" si="290"/>
        <v>191.74799999999999</v>
      </c>
      <c r="Q124" s="118">
        <f t="shared" si="267"/>
        <v>0.19897127970762396</v>
      </c>
      <c r="R124" s="20"/>
      <c r="S124" s="165">
        <f t="shared" ref="S124:AB124" si="291">S94*S68</f>
        <v>231.53570999999997</v>
      </c>
      <c r="T124" s="165">
        <f t="shared" si="291"/>
        <v>279.57936982499996</v>
      </c>
      <c r="U124" s="165">
        <f t="shared" si="291"/>
        <v>337.59208906368747</v>
      </c>
      <c r="V124" s="165">
        <f t="shared" si="291"/>
        <v>407.64244754440261</v>
      </c>
      <c r="W124" s="165">
        <f t="shared" si="291"/>
        <v>492.22825540986611</v>
      </c>
      <c r="X124" s="165">
        <f t="shared" si="291"/>
        <v>594.36561840741331</v>
      </c>
      <c r="Y124" s="165">
        <f t="shared" si="291"/>
        <v>717.6964842269515</v>
      </c>
      <c r="Z124" s="165">
        <f t="shared" si="291"/>
        <v>866.61850470404386</v>
      </c>
      <c r="AA124" s="165">
        <f t="shared" si="291"/>
        <v>1046.441844430133</v>
      </c>
      <c r="AB124" s="165">
        <f t="shared" si="291"/>
        <v>1263.5785271493855</v>
      </c>
      <c r="AC124" s="137">
        <f t="shared" si="269"/>
        <v>0.20345254369066712</v>
      </c>
      <c r="AD124" s="20"/>
      <c r="AE124" s="20"/>
    </row>
    <row r="125" spans="2:31" x14ac:dyDescent="0.2">
      <c r="B125" s="20" t="s">
        <v>335</v>
      </c>
      <c r="C125" s="20"/>
      <c r="D125" s="20"/>
      <c r="E125" s="165">
        <f>(E124*0.17)+E124</f>
        <v>1.17</v>
      </c>
      <c r="F125" s="165">
        <f>(F124*0.17)+F124</f>
        <v>48.198149999999998</v>
      </c>
      <c r="G125" s="165">
        <f t="shared" ref="G125:P125" si="292">(G124*0.17)+G124</f>
        <v>43.816500000000005</v>
      </c>
      <c r="H125" s="165">
        <f t="shared" si="292"/>
        <v>49.666500000000006</v>
      </c>
      <c r="I125" s="165">
        <f t="shared" si="292"/>
        <v>59.599800000000002</v>
      </c>
      <c r="J125" s="165">
        <f t="shared" si="292"/>
        <v>79.466400000000007</v>
      </c>
      <c r="K125" s="165">
        <f t="shared" si="292"/>
        <v>99.333000000000013</v>
      </c>
      <c r="L125" s="165">
        <f t="shared" si="292"/>
        <v>129.13290000000001</v>
      </c>
      <c r="M125" s="165">
        <f t="shared" si="292"/>
        <v>166.54949999999999</v>
      </c>
      <c r="N125" s="165">
        <f t="shared" si="292"/>
        <v>194.34870000000001</v>
      </c>
      <c r="O125" s="165">
        <f t="shared" si="292"/>
        <v>212.53752</v>
      </c>
      <c r="P125" s="165">
        <f t="shared" si="292"/>
        <v>224.34515999999999</v>
      </c>
      <c r="Q125" s="118">
        <f t="shared" si="267"/>
        <v>0.19897127970762396</v>
      </c>
      <c r="R125" s="20"/>
      <c r="S125" s="165">
        <f t="shared" ref="S125:AB125" si="293">(S124*0.17)+S124</f>
        <v>270.89678069999997</v>
      </c>
      <c r="T125" s="165">
        <f t="shared" si="293"/>
        <v>327.10786269524993</v>
      </c>
      <c r="U125" s="165">
        <f t="shared" si="293"/>
        <v>394.98274420451435</v>
      </c>
      <c r="V125" s="165">
        <f t="shared" si="293"/>
        <v>476.94166362695108</v>
      </c>
      <c r="W125" s="165">
        <f t="shared" si="293"/>
        <v>575.9070588295433</v>
      </c>
      <c r="X125" s="165">
        <f t="shared" si="293"/>
        <v>695.40777353667363</v>
      </c>
      <c r="Y125" s="165">
        <f t="shared" si="293"/>
        <v>839.70488654553321</v>
      </c>
      <c r="Z125" s="165">
        <f t="shared" si="293"/>
        <v>1013.9436505037313</v>
      </c>
      <c r="AA125" s="165">
        <f t="shared" si="293"/>
        <v>1224.3369579832556</v>
      </c>
      <c r="AB125" s="165">
        <f t="shared" si="293"/>
        <v>1478.3868767647812</v>
      </c>
      <c r="AC125" s="137">
        <f t="shared" si="269"/>
        <v>0.20345254369066712</v>
      </c>
      <c r="AD125" s="20"/>
      <c r="AE125" s="20"/>
    </row>
    <row r="126" spans="2:31" x14ac:dyDescent="0.2">
      <c r="B126" s="20" t="s">
        <v>336</v>
      </c>
      <c r="C126" s="20"/>
      <c r="D126" s="20"/>
      <c r="E126" s="20"/>
      <c r="F126" s="152">
        <f t="shared" ref="F126:P126" si="294">F125/F66</f>
        <v>0.26926340782122904</v>
      </c>
      <c r="G126" s="152">
        <f t="shared" si="294"/>
        <v>0.26237425149700599</v>
      </c>
      <c r="H126" s="152">
        <f t="shared" si="294"/>
        <v>0.34976408450704227</v>
      </c>
      <c r="I126" s="152">
        <f t="shared" si="294"/>
        <v>0.2865375</v>
      </c>
      <c r="J126" s="152">
        <f t="shared" si="294"/>
        <v>0.28585035971223022</v>
      </c>
      <c r="K126" s="152">
        <f t="shared" si="294"/>
        <v>0.25733937823834202</v>
      </c>
      <c r="L126" s="152">
        <f t="shared" si="294"/>
        <v>0.24410756143667298</v>
      </c>
      <c r="M126" s="152">
        <f t="shared" si="294"/>
        <v>0.25234772727272725</v>
      </c>
      <c r="N126" s="152">
        <f t="shared" si="294"/>
        <v>0.20056625386996904</v>
      </c>
      <c r="O126" s="152">
        <f t="shared" si="294"/>
        <v>0.23202786026200872</v>
      </c>
      <c r="P126" s="152">
        <f t="shared" si="294"/>
        <v>0.21285119544592029</v>
      </c>
      <c r="Q126" s="118">
        <f t="shared" si="267"/>
        <v>-2.2974052082170182E-2</v>
      </c>
      <c r="R126" s="20"/>
      <c r="S126" s="152">
        <f t="shared" ref="S126:AB126" si="295">S125/S66</f>
        <v>0.22948019509013279</v>
      </c>
      <c r="T126" s="152">
        <f t="shared" si="295"/>
        <v>0.24740833533154935</v>
      </c>
      <c r="U126" s="152">
        <f t="shared" si="295"/>
        <v>0.26673711152932666</v>
      </c>
      <c r="V126" s="152">
        <f t="shared" si="295"/>
        <v>0.28757594836755529</v>
      </c>
      <c r="W126" s="152">
        <f t="shared" si="295"/>
        <v>0.31004281933377043</v>
      </c>
      <c r="X126" s="152">
        <f t="shared" si="295"/>
        <v>0.33426491459422125</v>
      </c>
      <c r="Y126" s="152">
        <f t="shared" si="295"/>
        <v>0.36037936104689466</v>
      </c>
      <c r="Z126" s="152">
        <f t="shared" si="295"/>
        <v>0.38853399862868326</v>
      </c>
      <c r="AA126" s="152">
        <f t="shared" si="295"/>
        <v>0.41888821727154918</v>
      </c>
      <c r="AB126" s="152">
        <f t="shared" si="295"/>
        <v>0.45161385924588887</v>
      </c>
      <c r="AC126" s="137">
        <f t="shared" si="269"/>
        <v>2.8994254702151112E-2</v>
      </c>
      <c r="AD126" s="20"/>
      <c r="AE126" s="20"/>
    </row>
    <row r="127" spans="2:31" x14ac:dyDescent="0.2">
      <c r="B127" s="20" t="s">
        <v>329</v>
      </c>
      <c r="C127" s="20"/>
      <c r="D127" s="20"/>
      <c r="E127" s="20"/>
      <c r="F127" s="152">
        <f>1-F126</f>
        <v>0.73073659217877096</v>
      </c>
      <c r="G127" s="152">
        <f>1-G126</f>
        <v>0.73762574850299401</v>
      </c>
      <c r="H127" s="152">
        <f t="shared" ref="H127:P127" si="296">1-H126</f>
        <v>0.65023591549295778</v>
      </c>
      <c r="I127" s="152">
        <f t="shared" si="296"/>
        <v>0.7134625</v>
      </c>
      <c r="J127" s="152">
        <f t="shared" si="296"/>
        <v>0.71414964028776984</v>
      </c>
      <c r="K127" s="152">
        <f t="shared" si="296"/>
        <v>0.74266062176165804</v>
      </c>
      <c r="L127" s="152">
        <f t="shared" si="296"/>
        <v>0.755892438563327</v>
      </c>
      <c r="M127" s="152">
        <f t="shared" si="296"/>
        <v>0.74765227272727275</v>
      </c>
      <c r="N127" s="152">
        <f t="shared" si="296"/>
        <v>0.79943374613003093</v>
      </c>
      <c r="O127" s="152">
        <f t="shared" si="296"/>
        <v>0.76797213973799128</v>
      </c>
      <c r="P127" s="152">
        <f t="shared" si="296"/>
        <v>0.78714880455407976</v>
      </c>
      <c r="Q127" s="118">
        <f t="shared" si="267"/>
        <v>7.2462085871847215E-3</v>
      </c>
      <c r="R127" s="20"/>
      <c r="S127" s="152">
        <f t="shared" ref="S127:AB127" si="297">1-S126</f>
        <v>0.77051980490986716</v>
      </c>
      <c r="T127" s="152">
        <f t="shared" si="297"/>
        <v>0.75259166466845062</v>
      </c>
      <c r="U127" s="152">
        <f t="shared" si="297"/>
        <v>0.73326288847067334</v>
      </c>
      <c r="V127" s="152">
        <f t="shared" si="297"/>
        <v>0.71242405163244471</v>
      </c>
      <c r="W127" s="152">
        <f t="shared" si="297"/>
        <v>0.68995718066622957</v>
      </c>
      <c r="X127" s="152">
        <f t="shared" si="297"/>
        <v>0.66573508540577875</v>
      </c>
      <c r="Y127" s="152">
        <f t="shared" si="297"/>
        <v>0.63962063895310539</v>
      </c>
      <c r="Z127" s="152">
        <f t="shared" si="297"/>
        <v>0.61146600137131668</v>
      </c>
      <c r="AA127" s="152">
        <f t="shared" si="297"/>
        <v>0.58111178272845088</v>
      </c>
      <c r="AB127" s="152">
        <f t="shared" si="297"/>
        <v>0.54838614075411107</v>
      </c>
      <c r="AC127" s="137">
        <f t="shared" si="269"/>
        <v>-1.5481898907120817E-2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27"/>
      <c r="R128" s="20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27"/>
      <c r="AD128" s="20"/>
      <c r="AE128" s="20"/>
    </row>
    <row r="129" spans="2:31" x14ac:dyDescent="0.2">
      <c r="B129" s="20" t="s">
        <v>333</v>
      </c>
      <c r="C129" s="152"/>
      <c r="D129" s="152"/>
      <c r="E129" s="152"/>
      <c r="F129" s="152">
        <f t="shared" ref="F129:P129" si="298">F52/F44</f>
        <v>0</v>
      </c>
      <c r="G129" s="152">
        <f t="shared" si="298"/>
        <v>0</v>
      </c>
      <c r="H129" s="152">
        <f t="shared" si="298"/>
        <v>0</v>
      </c>
      <c r="I129" s="152">
        <f t="shared" si="298"/>
        <v>0</v>
      </c>
      <c r="J129" s="152">
        <f t="shared" si="298"/>
        <v>0</v>
      </c>
      <c r="K129" s="152">
        <f t="shared" si="298"/>
        <v>0</v>
      </c>
      <c r="L129" s="152">
        <f t="shared" si="298"/>
        <v>0</v>
      </c>
      <c r="M129" s="152">
        <f t="shared" si="298"/>
        <v>0</v>
      </c>
      <c r="N129" s="152">
        <f t="shared" si="298"/>
        <v>0</v>
      </c>
      <c r="O129" s="152">
        <f t="shared" si="298"/>
        <v>0</v>
      </c>
      <c r="P129" s="152">
        <f t="shared" si="298"/>
        <v>0</v>
      </c>
      <c r="Q129" s="118" t="e">
        <f t="shared" si="267"/>
        <v>#DIV/0!</v>
      </c>
      <c r="R129" s="20"/>
      <c r="S129" s="152">
        <f t="shared" ref="S129:AB129" si="299">S52/S44</f>
        <v>0</v>
      </c>
      <c r="T129" s="152">
        <f t="shared" si="299"/>
        <v>0</v>
      </c>
      <c r="U129" s="152">
        <f t="shared" si="299"/>
        <v>0</v>
      </c>
      <c r="V129" s="152">
        <f t="shared" si="299"/>
        <v>0</v>
      </c>
      <c r="W129" s="152">
        <f t="shared" si="299"/>
        <v>0</v>
      </c>
      <c r="X129" s="152">
        <f t="shared" si="299"/>
        <v>0</v>
      </c>
      <c r="Y129" s="152">
        <f t="shared" si="299"/>
        <v>0</v>
      </c>
      <c r="Z129" s="152">
        <f t="shared" si="299"/>
        <v>0</v>
      </c>
      <c r="AA129" s="152">
        <f t="shared" si="299"/>
        <v>0</v>
      </c>
      <c r="AB129" s="152">
        <f t="shared" si="299"/>
        <v>0</v>
      </c>
      <c r="AC129" s="137" t="e">
        <f t="shared" si="269"/>
        <v>#DIV/0!</v>
      </c>
      <c r="AD129" s="20"/>
      <c r="AE129" s="20"/>
    </row>
    <row r="130" spans="2:31" x14ac:dyDescent="0.2">
      <c r="B130" s="20" t="s">
        <v>330</v>
      </c>
      <c r="C130" s="152"/>
      <c r="D130" s="152"/>
      <c r="E130" s="152"/>
      <c r="F130" s="152">
        <f t="shared" ref="F130:P130" si="300">F53/F44</f>
        <v>0</v>
      </c>
      <c r="G130" s="152">
        <f t="shared" si="300"/>
        <v>0</v>
      </c>
      <c r="H130" s="152">
        <f t="shared" si="300"/>
        <v>0</v>
      </c>
      <c r="I130" s="152">
        <f t="shared" si="300"/>
        <v>0</v>
      </c>
      <c r="J130" s="152">
        <f t="shared" si="300"/>
        <v>0</v>
      </c>
      <c r="K130" s="152">
        <f t="shared" si="300"/>
        <v>0</v>
      </c>
      <c r="L130" s="152">
        <f t="shared" si="300"/>
        <v>0</v>
      </c>
      <c r="M130" s="152">
        <f t="shared" si="300"/>
        <v>0</v>
      </c>
      <c r="N130" s="152">
        <f t="shared" si="300"/>
        <v>0</v>
      </c>
      <c r="O130" s="152">
        <f t="shared" si="300"/>
        <v>0</v>
      </c>
      <c r="P130" s="152">
        <f t="shared" si="300"/>
        <v>0</v>
      </c>
      <c r="Q130" s="118" t="e">
        <f t="shared" si="267"/>
        <v>#DIV/0!</v>
      </c>
      <c r="R130" s="20"/>
      <c r="S130" s="152">
        <f t="shared" ref="S130:AB130" si="301">S53/S44</f>
        <v>0</v>
      </c>
      <c r="T130" s="152">
        <f t="shared" si="301"/>
        <v>0</v>
      </c>
      <c r="U130" s="152">
        <f t="shared" si="301"/>
        <v>0</v>
      </c>
      <c r="V130" s="152">
        <f t="shared" si="301"/>
        <v>0</v>
      </c>
      <c r="W130" s="152">
        <f t="shared" si="301"/>
        <v>0</v>
      </c>
      <c r="X130" s="152">
        <f t="shared" si="301"/>
        <v>0</v>
      </c>
      <c r="Y130" s="152">
        <f t="shared" si="301"/>
        <v>0</v>
      </c>
      <c r="Z130" s="152">
        <f t="shared" si="301"/>
        <v>0</v>
      </c>
      <c r="AA130" s="152">
        <f t="shared" si="301"/>
        <v>0</v>
      </c>
      <c r="AB130" s="152">
        <f t="shared" si="301"/>
        <v>0</v>
      </c>
      <c r="AC130" s="137" t="e">
        <f t="shared" si="269"/>
        <v>#DIV/0!</v>
      </c>
      <c r="AD130" s="20"/>
      <c r="AE130" s="20"/>
    </row>
    <row r="131" spans="2:31" x14ac:dyDescent="0.2">
      <c r="B131" s="20"/>
      <c r="C131" s="20"/>
      <c r="D131" s="20"/>
      <c r="E131" s="20"/>
      <c r="F131" s="20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27"/>
      <c r="R131" s="20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27"/>
      <c r="AD131" s="20"/>
      <c r="AE131" s="20"/>
    </row>
    <row r="132" spans="2:31" x14ac:dyDescent="0.2">
      <c r="B132" s="20" t="s">
        <v>354</v>
      </c>
      <c r="C132" s="20"/>
      <c r="D132" s="20"/>
      <c r="E132" s="20"/>
      <c r="F132" s="20"/>
      <c r="G132" s="152">
        <f t="shared" ref="G132:P132" si="302">G46/G44</f>
        <v>9.815950920245399E-2</v>
      </c>
      <c r="H132" s="152">
        <f t="shared" si="302"/>
        <v>0.15186246418338109</v>
      </c>
      <c r="I132" s="152">
        <f t="shared" si="302"/>
        <v>0.11468970934799685</v>
      </c>
      <c r="J132" s="152">
        <f t="shared" si="302"/>
        <v>7.8036500943989937E-2</v>
      </c>
      <c r="K132" s="152">
        <f t="shared" si="302"/>
        <v>7.0512820512820512E-2</v>
      </c>
      <c r="L132" s="152">
        <f t="shared" si="302"/>
        <v>5.3393041681019632E-2</v>
      </c>
      <c r="M132" s="152">
        <f t="shared" si="302"/>
        <v>5.5459770114942526E-2</v>
      </c>
      <c r="N132" s="152">
        <f t="shared" si="302"/>
        <v>9.5446410817259894E-2</v>
      </c>
      <c r="O132" s="152">
        <f t="shared" si="302"/>
        <v>6.5663036515054451E-2</v>
      </c>
      <c r="P132" s="152">
        <f t="shared" si="302"/>
        <v>5.1123160340821067E-2</v>
      </c>
      <c r="Q132" s="118">
        <f t="shared" si="267"/>
        <v>-6.9919389763085316E-2</v>
      </c>
      <c r="R132" s="20"/>
      <c r="S132" s="152">
        <f t="shared" ref="S132:AB132" si="303">S46/S44</f>
        <v>5.1123160340821074E-2</v>
      </c>
      <c r="T132" s="152">
        <f t="shared" si="303"/>
        <v>5.1123160340821074E-2</v>
      </c>
      <c r="U132" s="152">
        <f t="shared" si="303"/>
        <v>5.1123160340821067E-2</v>
      </c>
      <c r="V132" s="152">
        <f t="shared" si="303"/>
        <v>5.1123160340821067E-2</v>
      </c>
      <c r="W132" s="152">
        <f t="shared" si="303"/>
        <v>5.1123160340821067E-2</v>
      </c>
      <c r="X132" s="152">
        <f t="shared" si="303"/>
        <v>5.1123160340821067E-2</v>
      </c>
      <c r="Y132" s="152">
        <f t="shared" si="303"/>
        <v>5.1123160340821067E-2</v>
      </c>
      <c r="Z132" s="152">
        <f t="shared" si="303"/>
        <v>5.1123160340821067E-2</v>
      </c>
      <c r="AA132" s="152">
        <f t="shared" si="303"/>
        <v>5.1123160340821074E-2</v>
      </c>
      <c r="AB132" s="152">
        <f t="shared" si="303"/>
        <v>5.1123160340821074E-2</v>
      </c>
      <c r="AC132" s="137">
        <f t="shared" si="269"/>
        <v>-3.3751793547701858E-2</v>
      </c>
      <c r="AD132" s="20"/>
      <c r="AE132" s="20"/>
    </row>
    <row r="133" spans="2:31" x14ac:dyDescent="0.2">
      <c r="B133" s="20" t="str">
        <f>B54</f>
        <v>Top Expenses ( Misc Exp )</v>
      </c>
      <c r="C133" s="20"/>
      <c r="D133" s="20"/>
      <c r="E133" s="20"/>
      <c r="F133" s="20"/>
      <c r="G133" s="152">
        <f t="shared" ref="G133:P133" si="304">G54/G44</f>
        <v>9.6216768916155427E-3</v>
      </c>
      <c r="H133" s="152">
        <f t="shared" si="304"/>
        <v>1.7765042979942695E-2</v>
      </c>
      <c r="I133" s="152">
        <f t="shared" si="304"/>
        <v>1.0997643362136685E-2</v>
      </c>
      <c r="J133" s="152">
        <f t="shared" si="304"/>
        <v>1.1013215859030838E-2</v>
      </c>
      <c r="K133" s="152">
        <f t="shared" si="304"/>
        <v>8.4706959706959701E-3</v>
      </c>
      <c r="L133" s="152">
        <f t="shared" si="304"/>
        <v>6.5449534963830519E-3</v>
      </c>
      <c r="M133" s="152">
        <f t="shared" si="304"/>
        <v>9.1954022988505746E-3</v>
      </c>
      <c r="N133" s="152">
        <f t="shared" si="304"/>
        <v>4.5734738516603696E-3</v>
      </c>
      <c r="O133" s="152">
        <f t="shared" si="304"/>
        <v>5.8456117873158233E-3</v>
      </c>
      <c r="P133" s="152">
        <f t="shared" si="304"/>
        <v>3.8471469145365353E-2</v>
      </c>
      <c r="Q133" s="118">
        <f t="shared" si="267"/>
        <v>0.16647771106198683</v>
      </c>
      <c r="R133" s="20"/>
      <c r="S133" s="152">
        <f t="shared" ref="S133:AB133" si="305">S54/S44</f>
        <v>3.8471469145365353E-2</v>
      </c>
      <c r="T133" s="152">
        <f t="shared" si="305"/>
        <v>3.8471469145365353E-2</v>
      </c>
      <c r="U133" s="152">
        <f t="shared" si="305"/>
        <v>3.8471469145365353E-2</v>
      </c>
      <c r="V133" s="152">
        <f t="shared" si="305"/>
        <v>3.8471469145365353E-2</v>
      </c>
      <c r="W133" s="152">
        <f t="shared" si="305"/>
        <v>3.847146914536536E-2</v>
      </c>
      <c r="X133" s="152">
        <f t="shared" si="305"/>
        <v>3.8471469145365353E-2</v>
      </c>
      <c r="Y133" s="152">
        <f t="shared" si="305"/>
        <v>3.847146914536536E-2</v>
      </c>
      <c r="Z133" s="152">
        <f t="shared" si="305"/>
        <v>3.847146914536536E-2</v>
      </c>
      <c r="AA133" s="152">
        <f t="shared" si="305"/>
        <v>3.8471469145365367E-2</v>
      </c>
      <c r="AB133" s="152">
        <f t="shared" si="305"/>
        <v>3.847146914536536E-2</v>
      </c>
      <c r="AC133" s="137">
        <f t="shared" si="269"/>
        <v>7.5668165764087414E-2</v>
      </c>
      <c r="AD133" s="20"/>
      <c r="AE133" s="20"/>
    </row>
    <row r="134" spans="2:31" x14ac:dyDescent="0.2">
      <c r="B134" s="20" t="str">
        <f>B55</f>
        <v>2nd highest Expenses Comp. ( Empl )</v>
      </c>
      <c r="C134" s="20"/>
      <c r="D134" s="20"/>
      <c r="E134" s="20"/>
      <c r="F134" s="20"/>
      <c r="G134" s="152">
        <f t="shared" ref="G134:P134" si="306">G55/G44</f>
        <v>1.6973415132924337E-2</v>
      </c>
      <c r="H134" s="152">
        <f t="shared" si="306"/>
        <v>1.6714422158548233E-2</v>
      </c>
      <c r="I134" s="152">
        <f t="shared" si="306"/>
        <v>1.9795758051846031E-2</v>
      </c>
      <c r="J134" s="152">
        <f t="shared" si="306"/>
        <v>1.6991818753933293E-2</v>
      </c>
      <c r="K134" s="152">
        <f t="shared" si="306"/>
        <v>1.6025641025641024E-2</v>
      </c>
      <c r="L134" s="152">
        <f t="shared" si="306"/>
        <v>1.5501205649328281E-2</v>
      </c>
      <c r="M134" s="152">
        <f t="shared" si="306"/>
        <v>1.4942528735632184E-2</v>
      </c>
      <c r="N134" s="152">
        <f t="shared" si="306"/>
        <v>1.4913501690196859E-2</v>
      </c>
      <c r="O134" s="152">
        <f t="shared" si="306"/>
        <v>1.2972453555413196E-2</v>
      </c>
      <c r="P134" s="152">
        <f t="shared" si="306"/>
        <v>1.2651691195455719E-2</v>
      </c>
      <c r="Q134" s="118">
        <f t="shared" si="267"/>
        <v>-3.2123539180273553E-2</v>
      </c>
      <c r="R134" s="20"/>
      <c r="S134" s="152">
        <f t="shared" ref="S134:AB134" si="307">S55/S44</f>
        <v>1.2651691195455719E-2</v>
      </c>
      <c r="T134" s="152">
        <f t="shared" si="307"/>
        <v>1.2651691195455719E-2</v>
      </c>
      <c r="U134" s="152">
        <f t="shared" si="307"/>
        <v>1.2651691195455717E-2</v>
      </c>
      <c r="V134" s="152">
        <f t="shared" si="307"/>
        <v>1.2651691195455717E-2</v>
      </c>
      <c r="W134" s="152">
        <f t="shared" si="307"/>
        <v>1.2651691195455717E-2</v>
      </c>
      <c r="X134" s="152">
        <f t="shared" si="307"/>
        <v>1.2651691195455717E-2</v>
      </c>
      <c r="Y134" s="152">
        <f t="shared" si="307"/>
        <v>1.2651691195455717E-2</v>
      </c>
      <c r="Z134" s="152">
        <f t="shared" si="307"/>
        <v>1.2651691195455717E-2</v>
      </c>
      <c r="AA134" s="152">
        <f t="shared" si="307"/>
        <v>1.2651691195455717E-2</v>
      </c>
      <c r="AB134" s="152">
        <f t="shared" si="307"/>
        <v>1.2651691195455717E-2</v>
      </c>
      <c r="AC134" s="137">
        <f t="shared" si="269"/>
        <v>-1.5347192165833468E-2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7"/>
      <c r="R135" s="127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8"/>
      <c r="AD135" s="20"/>
      <c r="AE135" s="20"/>
    </row>
    <row r="136" spans="2:31" x14ac:dyDescent="0.2">
      <c r="B136" s="108" t="s">
        <v>381</v>
      </c>
      <c r="C136" s="20"/>
      <c r="D136" s="20"/>
      <c r="E136" s="20"/>
      <c r="F136" s="20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127"/>
      <c r="R136" s="127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127"/>
      <c r="AD136" s="20"/>
      <c r="AE136" s="20"/>
    </row>
    <row r="137" spans="2:31" x14ac:dyDescent="0.2">
      <c r="B137" s="20" t="s">
        <v>382</v>
      </c>
      <c r="C137" s="20"/>
      <c r="D137" s="20"/>
      <c r="E137" s="20"/>
      <c r="F137" s="20"/>
      <c r="G137" s="20">
        <f t="shared" ref="G137:P137" si="308">G17/G9</f>
        <v>0.41007194244604317</v>
      </c>
      <c r="H137" s="20">
        <f t="shared" si="308"/>
        <v>0.37259615384615385</v>
      </c>
      <c r="I137" s="20">
        <f t="shared" si="308"/>
        <v>0.35622317596566522</v>
      </c>
      <c r="J137" s="20">
        <f t="shared" si="308"/>
        <v>0.27716535433070866</v>
      </c>
      <c r="K137" s="20">
        <f t="shared" si="308"/>
        <v>0.17973462002412546</v>
      </c>
      <c r="L137" s="20">
        <f t="shared" si="308"/>
        <v>9.8068350668647844E-2</v>
      </c>
      <c r="M137" s="20">
        <f t="shared" si="308"/>
        <v>0.15538552089464391</v>
      </c>
      <c r="N137" s="20">
        <f t="shared" si="308"/>
        <v>0.11557649667405764</v>
      </c>
      <c r="O137" s="20">
        <f t="shared" si="308"/>
        <v>3.1084985553452227E-2</v>
      </c>
      <c r="P137" s="20">
        <f t="shared" si="308"/>
        <v>0.11014774224873414</v>
      </c>
      <c r="Q137" s="118">
        <f t="shared" si="267"/>
        <v>-0.13589126798493301</v>
      </c>
      <c r="R137" s="20"/>
      <c r="S137" s="20">
        <f t="shared" ref="S137:AB137" si="309">S17/S9</f>
        <v>0.11014774224873414</v>
      </c>
      <c r="T137" s="20">
        <f t="shared" si="309"/>
        <v>0.11014774224873414</v>
      </c>
      <c r="U137" s="20">
        <f t="shared" si="309"/>
        <v>0.11014774224873414</v>
      </c>
      <c r="V137" s="20">
        <f t="shared" si="309"/>
        <v>0.11014774224873415</v>
      </c>
      <c r="W137" s="20">
        <f t="shared" si="309"/>
        <v>0.11014774224873417</v>
      </c>
      <c r="X137" s="20">
        <f t="shared" si="309"/>
        <v>0.11014774224873415</v>
      </c>
      <c r="Y137" s="20">
        <f t="shared" si="309"/>
        <v>0.11014774224873415</v>
      </c>
      <c r="Z137" s="20">
        <f t="shared" si="309"/>
        <v>0.11014774224873414</v>
      </c>
      <c r="AA137" s="20">
        <f t="shared" si="309"/>
        <v>0.11014774224873415</v>
      </c>
      <c r="AB137" s="20">
        <f t="shared" si="309"/>
        <v>0.11014774224873414</v>
      </c>
      <c r="AC137" s="137">
        <f t="shared" si="269"/>
        <v>-6.6845725672162959E-2</v>
      </c>
      <c r="AD137" s="20"/>
      <c r="AE137" s="20"/>
    </row>
    <row r="138" spans="2:31" x14ac:dyDescent="0.2">
      <c r="B138" s="20" t="s">
        <v>355</v>
      </c>
      <c r="C138" s="20"/>
      <c r="D138" s="20"/>
      <c r="E138" s="20"/>
      <c r="F138" s="20"/>
      <c r="G138" s="20">
        <f t="shared" ref="G138:P138" si="310">G12/G9</f>
        <v>1.4424460431654675</v>
      </c>
      <c r="H138" s="20">
        <f t="shared" si="310"/>
        <v>0.55048076923076927</v>
      </c>
      <c r="I138" s="20">
        <f t="shared" si="310"/>
        <v>1.0321888412017168</v>
      </c>
      <c r="J138" s="20">
        <f t="shared" si="310"/>
        <v>1.2283464566929134</v>
      </c>
      <c r="K138" s="20">
        <f t="shared" si="310"/>
        <v>0.43787696019300359</v>
      </c>
      <c r="L138" s="20">
        <f t="shared" si="310"/>
        <v>9.7325408618127787E-2</v>
      </c>
      <c r="M138" s="20">
        <f t="shared" si="310"/>
        <v>0.15891701000588582</v>
      </c>
      <c r="N138" s="20">
        <f t="shared" si="310"/>
        <v>0.12139689578713969</v>
      </c>
      <c r="O138" s="20">
        <f t="shared" si="310"/>
        <v>3.2579456012752812E-2</v>
      </c>
      <c r="P138" s="20">
        <f t="shared" si="310"/>
        <v>0.10563917597280988</v>
      </c>
      <c r="Q138" s="118">
        <f t="shared" si="267"/>
        <v>-0.2520744303138398</v>
      </c>
      <c r="R138" s="127"/>
      <c r="S138" s="20">
        <f t="shared" ref="S138:AB138" si="311">S12/S9</f>
        <v>0.10563917597280989</v>
      </c>
      <c r="T138" s="20">
        <f t="shared" si="311"/>
        <v>0.10563917597280989</v>
      </c>
      <c r="U138" s="20">
        <f t="shared" si="311"/>
        <v>0.1056391759728099</v>
      </c>
      <c r="V138" s="20">
        <f t="shared" si="311"/>
        <v>0.1056391759728099</v>
      </c>
      <c r="W138" s="20">
        <f t="shared" si="311"/>
        <v>0.1056391759728099</v>
      </c>
      <c r="X138" s="20">
        <f t="shared" si="311"/>
        <v>0.1056391759728099</v>
      </c>
      <c r="Y138" s="20">
        <f t="shared" si="311"/>
        <v>0.1056391759728099</v>
      </c>
      <c r="Z138" s="20">
        <f t="shared" si="311"/>
        <v>0.10563917597280989</v>
      </c>
      <c r="AA138" s="20">
        <f t="shared" si="311"/>
        <v>0.10563917597280989</v>
      </c>
      <c r="AB138" s="20">
        <f t="shared" si="311"/>
        <v>0.10563917597280988</v>
      </c>
      <c r="AC138" s="118">
        <f t="shared" ref="AC138" si="312">((AB138/S138)^(1/($H$2-$H$1) ))-1</f>
        <v>0</v>
      </c>
      <c r="AD138" s="20"/>
      <c r="AE138" s="20"/>
    </row>
    <row r="139" spans="2:31" x14ac:dyDescent="0.2">
      <c r="B139" s="20" t="s">
        <v>357</v>
      </c>
      <c r="C139" s="20"/>
      <c r="D139" s="20"/>
      <c r="E139" s="20"/>
      <c r="F139" s="20"/>
      <c r="G139" s="25">
        <f t="shared" ref="G139:P139" si="313">G44/360</f>
        <v>2.7166666666666668</v>
      </c>
      <c r="H139" s="25">
        <f t="shared" si="313"/>
        <v>2.9083333333333332</v>
      </c>
      <c r="I139" s="25">
        <f t="shared" si="313"/>
        <v>3.536111111111111</v>
      </c>
      <c r="J139" s="25">
        <f t="shared" si="313"/>
        <v>4.4138888888888888</v>
      </c>
      <c r="K139" s="25">
        <f t="shared" si="313"/>
        <v>6.0666666666666664</v>
      </c>
      <c r="L139" s="25">
        <f t="shared" si="313"/>
        <v>8.0638888888888882</v>
      </c>
      <c r="M139" s="25">
        <f t="shared" si="313"/>
        <v>9.6666666666666661</v>
      </c>
      <c r="N139" s="25">
        <f t="shared" si="313"/>
        <v>13.969444444444445</v>
      </c>
      <c r="O139" s="25">
        <f t="shared" si="313"/>
        <v>17.344444444444445</v>
      </c>
      <c r="P139" s="25">
        <f t="shared" si="313"/>
        <v>21.516666666666666</v>
      </c>
      <c r="Q139" s="118">
        <f t="shared" si="267"/>
        <v>0.258519209009755</v>
      </c>
      <c r="R139" s="127"/>
      <c r="S139" s="25">
        <f t="shared" ref="S139:AB139" si="314">S44/360</f>
        <v>24.098666666666666</v>
      </c>
      <c r="T139" s="25">
        <f t="shared" si="314"/>
        <v>26.990506666666668</v>
      </c>
      <c r="U139" s="25">
        <f t="shared" si="314"/>
        <v>30.229367466666677</v>
      </c>
      <c r="V139" s="25">
        <f t="shared" si="314"/>
        <v>33.856891562666682</v>
      </c>
      <c r="W139" s="25">
        <f t="shared" si="314"/>
        <v>37.919718550186687</v>
      </c>
      <c r="X139" s="25">
        <f t="shared" si="314"/>
        <v>42.470084776209092</v>
      </c>
      <c r="Y139" s="25">
        <f t="shared" si="314"/>
        <v>47.56649494935418</v>
      </c>
      <c r="Z139" s="25">
        <f t="shared" si="314"/>
        <v>53.274474343276687</v>
      </c>
      <c r="AA139" s="25">
        <f t="shared" si="314"/>
        <v>59.667411264469898</v>
      </c>
      <c r="AB139" s="25">
        <f t="shared" si="314"/>
        <v>66.827500616206294</v>
      </c>
      <c r="AC139" s="118">
        <f t="shared" ref="AC139:AC146" si="315">((AB139/S139)^(1/($H$2-$H$1) ))-1</f>
        <v>0.12000000000000011</v>
      </c>
      <c r="AD139" s="20"/>
      <c r="AE139" s="20"/>
    </row>
    <row r="140" spans="2:31" x14ac:dyDescent="0.2">
      <c r="B140" s="20" t="s">
        <v>356</v>
      </c>
      <c r="C140" s="20"/>
      <c r="D140" s="20"/>
      <c r="E140" s="20"/>
      <c r="F140" s="20"/>
      <c r="G140" s="25">
        <f t="shared" ref="G140:P140" si="316">G46/360</f>
        <v>0.26666666666666666</v>
      </c>
      <c r="H140" s="25">
        <f t="shared" si="316"/>
        <v>0.44166666666666665</v>
      </c>
      <c r="I140" s="25">
        <f t="shared" si="316"/>
        <v>0.40555555555555556</v>
      </c>
      <c r="J140" s="25">
        <f t="shared" si="316"/>
        <v>0.34444444444444444</v>
      </c>
      <c r="K140" s="25">
        <f t="shared" si="316"/>
        <v>0.42777777777777776</v>
      </c>
      <c r="L140" s="25">
        <f t="shared" si="316"/>
        <v>0.43055555555555558</v>
      </c>
      <c r="M140" s="25">
        <f t="shared" si="316"/>
        <v>0.53611111111111109</v>
      </c>
      <c r="N140" s="25">
        <f t="shared" si="316"/>
        <v>1.3333333333333333</v>
      </c>
      <c r="O140" s="25">
        <f t="shared" si="316"/>
        <v>1.1388888888888888</v>
      </c>
      <c r="P140" s="25">
        <f t="shared" si="316"/>
        <v>1.1000000000000001</v>
      </c>
      <c r="Q140" s="118">
        <f t="shared" si="267"/>
        <v>0.17052431391067202</v>
      </c>
      <c r="R140" s="127"/>
      <c r="S140" s="25">
        <f t="shared" ref="S140:AB140" si="317">S46/360</f>
        <v>1.2320000000000002</v>
      </c>
      <c r="T140" s="25">
        <f t="shared" si="317"/>
        <v>1.3798400000000002</v>
      </c>
      <c r="U140" s="25">
        <f t="shared" si="317"/>
        <v>1.5454208000000003</v>
      </c>
      <c r="V140" s="25">
        <f t="shared" si="317"/>
        <v>1.7308712960000006</v>
      </c>
      <c r="W140" s="25">
        <f t="shared" si="317"/>
        <v>1.9385758515200009</v>
      </c>
      <c r="X140" s="25">
        <f t="shared" si="317"/>
        <v>2.171204953702401</v>
      </c>
      <c r="Y140" s="25">
        <f t="shared" si="317"/>
        <v>2.4317495481466893</v>
      </c>
      <c r="Z140" s="25">
        <f t="shared" si="317"/>
        <v>2.7235594939242924</v>
      </c>
      <c r="AA140" s="25">
        <f t="shared" si="317"/>
        <v>3.0503866331952079</v>
      </c>
      <c r="AB140" s="25">
        <f t="shared" si="317"/>
        <v>3.4164330291786333</v>
      </c>
      <c r="AC140" s="118">
        <f t="shared" si="315"/>
        <v>0.12000000000000011</v>
      </c>
      <c r="AD140" s="20"/>
      <c r="AE140" s="20"/>
    </row>
    <row r="141" spans="2:31" x14ac:dyDescent="0.2">
      <c r="B141" s="20"/>
      <c r="C141" s="20"/>
      <c r="D141" s="20"/>
      <c r="E141" s="20"/>
      <c r="F141" s="20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127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127"/>
      <c r="AD141" s="20"/>
      <c r="AE141" s="20"/>
    </row>
    <row r="142" spans="2:31" x14ac:dyDescent="0.2">
      <c r="B142" s="20" t="s">
        <v>383</v>
      </c>
      <c r="C142" s="20"/>
      <c r="D142" s="20"/>
      <c r="E142" s="20"/>
      <c r="F142" s="20"/>
      <c r="G142" s="25">
        <f t="shared" ref="G142:P142" si="318">G10/G7</f>
        <v>9.5494276795005195</v>
      </c>
      <c r="H142" s="25">
        <f t="shared" si="318"/>
        <v>9.129752066115703</v>
      </c>
      <c r="I142" s="25">
        <f t="shared" si="318"/>
        <v>10.117474302496328</v>
      </c>
      <c r="J142" s="25">
        <f t="shared" si="318"/>
        <v>10.455825864276569</v>
      </c>
      <c r="K142" s="25">
        <f t="shared" si="318"/>
        <v>10.973031283710895</v>
      </c>
      <c r="L142" s="25">
        <f t="shared" si="318"/>
        <v>11.238284703801945</v>
      </c>
      <c r="M142" s="25">
        <f t="shared" si="318"/>
        <v>10.098198721673446</v>
      </c>
      <c r="N142" s="25">
        <f t="shared" si="318"/>
        <v>10.775948460987831</v>
      </c>
      <c r="O142" s="25">
        <f t="shared" si="318"/>
        <v>8.383362521891419</v>
      </c>
      <c r="P142" s="25">
        <f t="shared" si="318"/>
        <v>8.9859176488596351</v>
      </c>
      <c r="Q142" s="118">
        <f t="shared" si="267"/>
        <v>-6.7352798197887198E-3</v>
      </c>
      <c r="R142" s="127"/>
      <c r="S142" s="25">
        <f t="shared" ref="S142:AB142" si="319">S10/S7</f>
        <v>8.9859176488596351</v>
      </c>
      <c r="T142" s="25">
        <f t="shared" si="319"/>
        <v>8.9859176488596351</v>
      </c>
      <c r="U142" s="25">
        <f t="shared" si="319"/>
        <v>8.9859176488596351</v>
      </c>
      <c r="V142" s="25">
        <f t="shared" si="319"/>
        <v>8.9859176488596351</v>
      </c>
      <c r="W142" s="25">
        <f t="shared" si="319"/>
        <v>8.9859176488596368</v>
      </c>
      <c r="X142" s="25">
        <f t="shared" si="319"/>
        <v>8.9859176488596368</v>
      </c>
      <c r="Y142" s="25">
        <f t="shared" si="319"/>
        <v>8.9859176488596368</v>
      </c>
      <c r="Z142" s="25">
        <f t="shared" si="319"/>
        <v>8.9859176488596351</v>
      </c>
      <c r="AA142" s="25">
        <f t="shared" si="319"/>
        <v>8.9859176488596368</v>
      </c>
      <c r="AB142" s="25">
        <f t="shared" si="319"/>
        <v>8.9859176488596368</v>
      </c>
      <c r="AC142" s="118">
        <f t="shared" si="315"/>
        <v>0</v>
      </c>
      <c r="AD142" s="20"/>
      <c r="AE142" s="20"/>
    </row>
    <row r="143" spans="2:31" x14ac:dyDescent="0.2">
      <c r="B143" s="20" t="s">
        <v>358</v>
      </c>
      <c r="C143" s="20"/>
      <c r="D143" s="20"/>
      <c r="E143" s="20"/>
      <c r="F143" s="20"/>
      <c r="G143" s="25">
        <f t="shared" ref="G143:P143" si="320">G10/(G10+G7)</f>
        <v>0.90520812783586502</v>
      </c>
      <c r="H143" s="25">
        <f t="shared" si="320"/>
        <v>0.90128090070979849</v>
      </c>
      <c r="I143" s="25">
        <f t="shared" si="320"/>
        <v>0.91005151234975568</v>
      </c>
      <c r="J143" s="25">
        <f t="shared" si="320"/>
        <v>0.91270817033642559</v>
      </c>
      <c r="K143" s="25">
        <f t="shared" si="320"/>
        <v>0.91647896206865487</v>
      </c>
      <c r="L143" s="25">
        <f t="shared" si="320"/>
        <v>0.91828920275981651</v>
      </c>
      <c r="M143" s="25">
        <f t="shared" si="320"/>
        <v>0.90989528795811514</v>
      </c>
      <c r="N143" s="25">
        <f t="shared" si="320"/>
        <v>0.91508115008206192</v>
      </c>
      <c r="O143" s="25">
        <f t="shared" si="320"/>
        <v>0.89342839545344255</v>
      </c>
      <c r="P143" s="25">
        <f t="shared" si="320"/>
        <v>0.89985897789631808</v>
      </c>
      <c r="Q143" s="118">
        <f t="shared" si="267"/>
        <v>-6.5832020634948307E-4</v>
      </c>
      <c r="R143" s="127"/>
      <c r="S143" s="25">
        <f t="shared" ref="S143:AB143" si="321">S10/(S10+S7)</f>
        <v>0.89985897789631808</v>
      </c>
      <c r="T143" s="25">
        <f t="shared" si="321"/>
        <v>0.89985897789631808</v>
      </c>
      <c r="U143" s="25">
        <f t="shared" si="321"/>
        <v>0.89985897789631808</v>
      </c>
      <c r="V143" s="25">
        <f t="shared" si="321"/>
        <v>0.89985897789631808</v>
      </c>
      <c r="W143" s="25">
        <f t="shared" si="321"/>
        <v>0.89985897789631808</v>
      </c>
      <c r="X143" s="25">
        <f t="shared" si="321"/>
        <v>0.89985897789631808</v>
      </c>
      <c r="Y143" s="25">
        <f t="shared" si="321"/>
        <v>0.89985897789631808</v>
      </c>
      <c r="Z143" s="25">
        <f t="shared" si="321"/>
        <v>0.89985897789631819</v>
      </c>
      <c r="AA143" s="25">
        <f t="shared" si="321"/>
        <v>0.89985897789631808</v>
      </c>
      <c r="AB143" s="25">
        <f t="shared" si="321"/>
        <v>0.89985897789631819</v>
      </c>
      <c r="AC143" s="118">
        <f t="shared" si="315"/>
        <v>0</v>
      </c>
      <c r="AD143" s="20"/>
      <c r="AE143" s="20"/>
    </row>
    <row r="144" spans="2:31" x14ac:dyDescent="0.2">
      <c r="B144" s="20"/>
      <c r="C144" s="20"/>
      <c r="D144" s="20"/>
      <c r="E144" s="20"/>
      <c r="F144" s="20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127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127"/>
      <c r="AD144" s="20"/>
      <c r="AE144" s="20"/>
    </row>
    <row r="145" spans="2:31" x14ac:dyDescent="0.2">
      <c r="B145" s="20" t="s">
        <v>384</v>
      </c>
      <c r="C145" s="20"/>
      <c r="D145" s="20"/>
      <c r="E145" s="20"/>
      <c r="F145" s="20"/>
      <c r="G145" s="25">
        <f t="shared" ref="G145:P145" si="322">G18</f>
        <v>9980</v>
      </c>
      <c r="H145" s="25">
        <f t="shared" si="322"/>
        <v>12140</v>
      </c>
      <c r="I145" s="25">
        <f t="shared" si="322"/>
        <v>14783</v>
      </c>
      <c r="J145" s="25">
        <f t="shared" si="322"/>
        <v>17641</v>
      </c>
      <c r="K145" s="25">
        <f t="shared" si="322"/>
        <v>21366</v>
      </c>
      <c r="L145" s="25">
        <f t="shared" si="322"/>
        <v>26487</v>
      </c>
      <c r="M145" s="25">
        <f t="shared" si="322"/>
        <v>36718</v>
      </c>
      <c r="N145" s="25">
        <f t="shared" si="322"/>
        <v>47876</v>
      </c>
      <c r="O145" s="25">
        <f t="shared" si="322"/>
        <v>53319</v>
      </c>
      <c r="P145" s="25">
        <f t="shared" si="322"/>
        <v>64970</v>
      </c>
      <c r="Q145" s="118">
        <f t="shared" si="267"/>
        <v>0.23139684394148508</v>
      </c>
      <c r="R145" s="127"/>
      <c r="S145" s="25">
        <f t="shared" ref="S145:AB145" si="323">S18</f>
        <v>72766.400000000009</v>
      </c>
      <c r="T145" s="25">
        <f t="shared" si="323"/>
        <v>81498.368000000017</v>
      </c>
      <c r="U145" s="25">
        <f t="shared" si="323"/>
        <v>91278.172160000031</v>
      </c>
      <c r="V145" s="25">
        <f t="shared" si="323"/>
        <v>102231.55281920005</v>
      </c>
      <c r="W145" s="25">
        <f t="shared" si="323"/>
        <v>114499.33915750407</v>
      </c>
      <c r="X145" s="25">
        <f t="shared" si="323"/>
        <v>128239.25985640458</v>
      </c>
      <c r="Y145" s="25">
        <f t="shared" si="323"/>
        <v>143627.97103917314</v>
      </c>
      <c r="Z145" s="25">
        <f t="shared" si="323"/>
        <v>160863.32756387393</v>
      </c>
      <c r="AA145" s="25">
        <f t="shared" si="323"/>
        <v>180166.92687153883</v>
      </c>
      <c r="AB145" s="25">
        <f t="shared" si="323"/>
        <v>201786.9580961235</v>
      </c>
      <c r="AC145" s="118">
        <f t="shared" si="315"/>
        <v>0.12000000000000011</v>
      </c>
      <c r="AD145" s="20"/>
      <c r="AE145" s="20"/>
    </row>
    <row r="146" spans="2:31" x14ac:dyDescent="0.2">
      <c r="B146" s="20" t="s">
        <v>385</v>
      </c>
      <c r="C146" s="20"/>
      <c r="D146" s="20"/>
      <c r="E146" s="20"/>
      <c r="F146" s="20"/>
      <c r="G146" s="119">
        <f t="shared" ref="G146:P146" si="324">G145*365/G48</f>
        <v>173461.90476190476</v>
      </c>
      <c r="H146" s="119">
        <f t="shared" si="324"/>
        <v>184629.16666666666</v>
      </c>
      <c r="I146" s="119">
        <f t="shared" si="324"/>
        <v>154165.57142857142</v>
      </c>
      <c r="J146" s="119">
        <f t="shared" si="324"/>
        <v>153308.69047619047</v>
      </c>
      <c r="K146" s="119">
        <f t="shared" si="324"/>
        <v>197432.65822784809</v>
      </c>
      <c r="L146" s="119">
        <f t="shared" si="324"/>
        <v>420337.17391304346</v>
      </c>
      <c r="M146" s="119">
        <f t="shared" si="324"/>
        <v>788357.0588235294</v>
      </c>
      <c r="N146" s="119">
        <f t="shared" si="324"/>
        <v>43686.85</v>
      </c>
      <c r="O146" s="119">
        <f t="shared" si="324"/>
        <v>188945.9708737864</v>
      </c>
      <c r="P146" s="119">
        <f t="shared" si="324"/>
        <v>272575.28735632182</v>
      </c>
      <c r="Q146" s="118">
        <f t="shared" si="267"/>
        <v>5.1499697190516391E-2</v>
      </c>
      <c r="R146" s="127"/>
      <c r="S146" s="119">
        <f t="shared" ref="S146:AB146" si="325">S145*365/S48</f>
        <v>277531.20167189138</v>
      </c>
      <c r="T146" s="119">
        <f t="shared" si="325"/>
        <v>282577.22352047119</v>
      </c>
      <c r="U146" s="119">
        <f t="shared" si="325"/>
        <v>287714.9912208434</v>
      </c>
      <c r="V146" s="119">
        <f t="shared" si="325"/>
        <v>292946.17287940421</v>
      </c>
      <c r="W146" s="119">
        <f t="shared" si="325"/>
        <v>298272.46693175699</v>
      </c>
      <c r="X146" s="119">
        <f t="shared" si="325"/>
        <v>303695.60269415256</v>
      </c>
      <c r="Y146" s="119">
        <f t="shared" si="325"/>
        <v>309217.34092495532</v>
      </c>
      <c r="Z146" s="119">
        <f t="shared" si="325"/>
        <v>314839.4743963182</v>
      </c>
      <c r="AA146" s="119">
        <f t="shared" si="325"/>
        <v>320563.82847625122</v>
      </c>
      <c r="AB146" s="119">
        <f t="shared" si="325"/>
        <v>326392.261721274</v>
      </c>
      <c r="AC146" s="118">
        <f t="shared" si="315"/>
        <v>1.8181818181818077E-2</v>
      </c>
      <c r="AD146" s="20"/>
      <c r="AE146" s="20"/>
    </row>
    <row r="147" spans="2:31" x14ac:dyDescent="0.2">
      <c r="B147" s="20" t="s">
        <v>386</v>
      </c>
      <c r="C147" s="20"/>
      <c r="D147" s="20"/>
      <c r="E147" s="20"/>
      <c r="F147" s="20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118" t="e">
        <f t="shared" si="267"/>
        <v>#DIV/0!</v>
      </c>
      <c r="R147" s="127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137"/>
      <c r="AD147" s="20"/>
      <c r="AE147" s="20"/>
    </row>
    <row r="148" spans="2:31" x14ac:dyDescent="0.2">
      <c r="B148" s="20"/>
      <c r="C148" s="20"/>
      <c r="D148" s="20"/>
      <c r="E148" s="20"/>
      <c r="F148" s="20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127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127"/>
      <c r="AD148" s="20"/>
      <c r="AE148" s="20"/>
    </row>
    <row r="149" spans="2:31" x14ac:dyDescent="0.2">
      <c r="B149" s="20" t="s">
        <v>387</v>
      </c>
      <c r="C149" s="20"/>
      <c r="D149" s="20"/>
      <c r="E149" s="20"/>
      <c r="F149" s="20"/>
      <c r="G149" s="25">
        <f t="shared" ref="G149:P149" si="326">G48/G44</f>
        <v>2.1472392638036811E-2</v>
      </c>
      <c r="H149" s="25">
        <f t="shared" si="326"/>
        <v>2.2922636103151862E-2</v>
      </c>
      <c r="I149" s="25">
        <f t="shared" si="326"/>
        <v>2.7494108405341711E-2</v>
      </c>
      <c r="J149" s="25">
        <f t="shared" si="326"/>
        <v>2.643171806167401E-2</v>
      </c>
      <c r="K149" s="25">
        <f t="shared" si="326"/>
        <v>1.8086080586080588E-2</v>
      </c>
      <c r="L149" s="25">
        <f t="shared" si="326"/>
        <v>7.9228384429900107E-3</v>
      </c>
      <c r="M149" s="25">
        <f t="shared" si="326"/>
        <v>4.8850574712643677E-3</v>
      </c>
      <c r="N149" s="25">
        <f t="shared" si="326"/>
        <v>7.9538675681049914E-2</v>
      </c>
      <c r="O149" s="25">
        <f t="shared" si="326"/>
        <v>1.649583600256246E-2</v>
      </c>
      <c r="P149" s="25">
        <f t="shared" si="326"/>
        <v>1.1231603408210689E-2</v>
      </c>
      <c r="Q149" s="118">
        <f t="shared" si="267"/>
        <v>-6.9472878942653749E-2</v>
      </c>
      <c r="R149" s="127"/>
      <c r="S149" s="25">
        <f t="shared" ref="S149:AB149" si="327">S48/S44</f>
        <v>1.1031039061635498E-2</v>
      </c>
      <c r="T149" s="25">
        <f t="shared" si="327"/>
        <v>1.0834056221249151E-2</v>
      </c>
      <c r="U149" s="25">
        <f t="shared" si="327"/>
        <v>1.0640590931583987E-2</v>
      </c>
      <c r="V149" s="25">
        <f t="shared" si="327"/>
        <v>1.0450580379234272E-2</v>
      </c>
      <c r="W149" s="25">
        <f t="shared" si="327"/>
        <v>1.0263962872462232E-2</v>
      </c>
      <c r="X149" s="25">
        <f t="shared" si="327"/>
        <v>1.0080677821168265E-2</v>
      </c>
      <c r="Y149" s="25">
        <f t="shared" si="327"/>
        <v>9.9006657172188324E-3</v>
      </c>
      <c r="Z149" s="25">
        <f t="shared" si="327"/>
        <v>9.72386811512564E-3</v>
      </c>
      <c r="AA149" s="25">
        <f t="shared" si="327"/>
        <v>9.5502276130698255E-3</v>
      </c>
      <c r="AB149" s="25">
        <f t="shared" si="327"/>
        <v>9.3796878342650054E-3</v>
      </c>
      <c r="AC149" s="118">
        <f t="shared" ref="AC149:AC150" si="328">((AB149/S149)^(1/($H$2-$H$1) ))-1</f>
        <v>-1.7857142857142794E-2</v>
      </c>
      <c r="AD149" s="20"/>
      <c r="AE149" s="20"/>
    </row>
    <row r="150" spans="2:31" x14ac:dyDescent="0.2">
      <c r="B150" s="20" t="s">
        <v>388</v>
      </c>
      <c r="C150" s="20"/>
      <c r="D150" s="20"/>
      <c r="E150" s="20"/>
      <c r="F150" s="20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118" t="e">
        <f t="shared" si="267"/>
        <v>#DIV/0!</v>
      </c>
      <c r="R150" s="127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118" t="e">
        <f t="shared" si="328"/>
        <v>#DIV/0!</v>
      </c>
      <c r="AD150" s="20"/>
      <c r="AE150" s="20"/>
    </row>
    <row r="151" spans="2:31" x14ac:dyDescent="0.2">
      <c r="B151" s="20"/>
      <c r="C151" s="20"/>
      <c r="D151" s="20"/>
      <c r="E151" s="20"/>
      <c r="F151" s="20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127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127"/>
      <c r="AD151" s="20"/>
      <c r="AE151" s="20"/>
    </row>
    <row r="152" spans="2:31" x14ac:dyDescent="0.2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127"/>
      <c r="R152" s="127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38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127"/>
      <c r="R153" s="127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38"/>
      <c r="AD153" s="20"/>
      <c r="AE153" s="20"/>
    </row>
    <row r="154" spans="2:31" x14ac:dyDescent="0.2">
      <c r="B154" s="108" t="s">
        <v>244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3"/>
      <c r="R154" s="23"/>
      <c r="S154" s="121" t="s">
        <v>66</v>
      </c>
      <c r="T154" s="20"/>
      <c r="U154" s="20"/>
      <c r="V154" s="20"/>
      <c r="W154" s="20"/>
      <c r="X154" s="20"/>
      <c r="Y154" s="20"/>
      <c r="Z154" s="20"/>
      <c r="AA154" s="20"/>
      <c r="AB154" s="20"/>
      <c r="AC154" s="136"/>
      <c r="AD154" s="20"/>
      <c r="AE154" s="20"/>
    </row>
    <row r="155" spans="2:31" x14ac:dyDescent="0.2">
      <c r="B155" s="23" t="s">
        <v>281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5"/>
      <c r="Q155" s="160">
        <f>AVERAGE(G79:P79)</f>
        <v>33.304453182597875</v>
      </c>
      <c r="R155" s="23"/>
      <c r="S155" s="133"/>
      <c r="T155" s="20"/>
      <c r="U155" s="20"/>
      <c r="V155" s="20"/>
      <c r="W155" s="20"/>
      <c r="X155" s="20"/>
      <c r="Y155" s="20"/>
      <c r="Z155" s="20"/>
      <c r="AA155" s="20"/>
      <c r="AB155" s="20"/>
      <c r="AC155" s="136"/>
      <c r="AD155" s="20"/>
      <c r="AE155" s="20"/>
    </row>
    <row r="156" spans="2:31" x14ac:dyDescent="0.2">
      <c r="B156" s="20" t="s">
        <v>25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39">
        <f>S156+T156</f>
        <v>38.056342574028832</v>
      </c>
      <c r="S156" s="132">
        <f>PV($C$1, ($AB$3-$S$3), 0, -AB79)</f>
        <v>3.9032146229773166</v>
      </c>
      <c r="T156" s="132">
        <f>PV($C$1, ($AB$3-$S$3), 0, -AE79)</f>
        <v>34.153127951051516</v>
      </c>
      <c r="U156" s="20"/>
      <c r="V156" s="20"/>
      <c r="W156" s="20"/>
      <c r="X156" s="20"/>
      <c r="Y156" s="20"/>
      <c r="Z156" s="20"/>
      <c r="AA156" s="20"/>
      <c r="AB156" s="20"/>
      <c r="AC156" s="136"/>
      <c r="AD156" s="20"/>
      <c r="AE156" s="20"/>
    </row>
    <row r="157" spans="2:31" x14ac:dyDescent="0.2">
      <c r="B157" s="20" t="s">
        <v>273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39">
        <f t="shared" ref="R157:R175" si="329">S157+T157</f>
        <v>235.88433210259043</v>
      </c>
      <c r="S157" s="132">
        <f>PV($C$1, ($AB$3-$S$3), 0, -AB80)</f>
        <v>24.193264831034917</v>
      </c>
      <c r="T157" s="132">
        <f>PV($C$1, ($AB$3-$S$3), 0, -AE80)</f>
        <v>211.69106727155551</v>
      </c>
      <c r="U157" s="20"/>
      <c r="V157" s="20"/>
      <c r="W157" s="20"/>
      <c r="X157" s="20"/>
      <c r="Y157" s="20"/>
      <c r="Z157" s="20"/>
      <c r="AA157" s="20"/>
      <c r="AB157" s="20"/>
      <c r="AC157" s="136"/>
      <c r="AD157" s="20"/>
      <c r="AE157" s="20"/>
    </row>
    <row r="158" spans="2:31" x14ac:dyDescent="0.2">
      <c r="B158" s="20" t="s">
        <v>274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39">
        <f t="shared" si="329"/>
        <v>232.23756682747015</v>
      </c>
      <c r="S158" s="132">
        <f>PV($C$1, ($AB$3-$S$3), 0, -AB81)</f>
        <v>23.81923762333027</v>
      </c>
      <c r="T158" s="132">
        <f>PV($C$1, ($AB$3-$S$3), 0, -AE81)</f>
        <v>208.41832920413987</v>
      </c>
      <c r="U158" s="20"/>
      <c r="V158" s="20"/>
      <c r="W158" s="20"/>
      <c r="X158" s="20"/>
      <c r="Y158" s="20"/>
      <c r="Z158" s="20"/>
      <c r="AA158" s="20"/>
      <c r="AB158" s="20"/>
      <c r="AC158" s="136"/>
      <c r="AD158" s="20"/>
      <c r="AE158" s="20"/>
    </row>
    <row r="159" spans="2:31" x14ac:dyDescent="0.2">
      <c r="B159" s="20" t="s">
        <v>275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39">
        <f t="shared" si="329"/>
        <v>2119.6371829301352</v>
      </c>
      <c r="S159" s="132">
        <f>PV($C$1, ($AB$3-$S$3), 0, -AB82)</f>
        <v>217.39868542873182</v>
      </c>
      <c r="T159" s="132">
        <f>PV($C$1, ($AB$3-$S$3), 0, -AE82)</f>
        <v>1902.2384975014033</v>
      </c>
      <c r="U159" s="20"/>
      <c r="V159" s="20"/>
      <c r="W159" s="20"/>
      <c r="X159" s="20"/>
      <c r="Y159" s="20"/>
      <c r="Z159" s="20"/>
      <c r="AA159" s="20"/>
      <c r="AB159" s="20"/>
      <c r="AC159" s="136"/>
      <c r="AD159" s="20"/>
      <c r="AE159" s="20"/>
    </row>
    <row r="160" spans="2:31" x14ac:dyDescent="0.2">
      <c r="B160" s="20" t="s">
        <v>276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39">
        <f t="shared" si="329"/>
        <v>54.99033182186519</v>
      </c>
      <c r="S160" s="132">
        <f>PV($C$1, ($AB$3-$S$3), 0, -AB88)</f>
        <v>5.6400340330118146</v>
      </c>
      <c r="T160" s="132">
        <f>PV($C$1, ($AB$3-$S$3), 0, -AE88)</f>
        <v>49.350297788853375</v>
      </c>
      <c r="U160" s="20"/>
      <c r="V160" s="20"/>
      <c r="W160" s="20"/>
      <c r="X160" s="20"/>
      <c r="Y160" s="20"/>
      <c r="Z160" s="20"/>
      <c r="AA160" s="20"/>
      <c r="AB160" s="20"/>
      <c r="AC160" s="136"/>
      <c r="AD160" s="20"/>
      <c r="AE160" s="20"/>
    </row>
    <row r="161" spans="2:31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39"/>
      <c r="S161" s="132"/>
      <c r="T161" s="20"/>
      <c r="U161" s="20"/>
      <c r="V161" s="20"/>
      <c r="W161" s="20"/>
      <c r="X161" s="20"/>
      <c r="Y161" s="20"/>
      <c r="Z161" s="20"/>
      <c r="AA161" s="20"/>
      <c r="AB161" s="20"/>
      <c r="AC161" s="136"/>
      <c r="AD161" s="20"/>
      <c r="AE161" s="20"/>
    </row>
    <row r="162" spans="2:31" x14ac:dyDescent="0.2">
      <c r="B162" s="20" t="s">
        <v>271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39">
        <f t="shared" si="329"/>
        <v>-1883.752850827545</v>
      </c>
      <c r="S162" s="132">
        <f>PV($C$1, ($AB$3-$S$3), 0, -AB84)</f>
        <v>-193.20542059769693</v>
      </c>
      <c r="T162" s="132">
        <f>PV($C$1, ($AB$3-$S$3), 0, -$AE$84)</f>
        <v>-1690.547430229848</v>
      </c>
      <c r="U162" s="20"/>
      <c r="V162" s="20"/>
      <c r="W162" s="20"/>
      <c r="X162" s="20"/>
      <c r="Y162" s="20"/>
      <c r="Z162" s="20"/>
      <c r="AA162" s="20"/>
      <c r="AB162" s="20"/>
      <c r="AC162" s="136"/>
      <c r="AD162" s="20"/>
      <c r="AE162" s="20"/>
    </row>
    <row r="163" spans="2:31" x14ac:dyDescent="0.2">
      <c r="B163" s="20" t="s">
        <v>272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39">
        <f t="shared" si="329"/>
        <v>-2404.301513910822</v>
      </c>
      <c r="S163" s="132">
        <f>PV($C$1, ($AB$3-$S$3), 0, -AB85)</f>
        <v>-246.59502706777658</v>
      </c>
      <c r="T163" s="132">
        <f>PV($C$1, ($AB$3-$S$3), 0, -$AE$85)</f>
        <v>-2157.7064868430452</v>
      </c>
      <c r="U163" s="20"/>
      <c r="V163" s="20"/>
      <c r="W163" s="20"/>
      <c r="X163" s="20"/>
      <c r="Y163" s="20"/>
      <c r="Z163" s="20"/>
      <c r="AA163" s="20"/>
      <c r="AB163" s="20"/>
      <c r="AC163" s="136"/>
      <c r="AD163" s="20"/>
      <c r="AE163" s="20"/>
    </row>
    <row r="164" spans="2:31" x14ac:dyDescent="0.2">
      <c r="B164" s="20" t="s">
        <v>277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39">
        <f t="shared" si="329"/>
        <v>-2346.9642539416013</v>
      </c>
      <c r="S164" s="132">
        <f>PV($C$1, ($AB$3-$S$3), 0, -AB86)</f>
        <v>-240.71428245554887</v>
      </c>
      <c r="T164" s="132">
        <f>PV($C$1, ($AB$3-$S$3), 0, -$AE$86)</f>
        <v>-2106.2499714860523</v>
      </c>
      <c r="U164" s="20"/>
      <c r="V164" s="20"/>
      <c r="W164" s="20"/>
      <c r="X164" s="20"/>
      <c r="Y164" s="20"/>
      <c r="Z164" s="20"/>
      <c r="AA164" s="20"/>
      <c r="AB164" s="20"/>
      <c r="AC164" s="136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39"/>
      <c r="S165" s="132"/>
      <c r="T165" s="20"/>
      <c r="U165" s="20"/>
      <c r="V165" s="20"/>
      <c r="W165" s="20"/>
      <c r="X165" s="20"/>
      <c r="Y165" s="20"/>
      <c r="Z165" s="20"/>
      <c r="AA165" s="20"/>
      <c r="AB165" s="20"/>
      <c r="AC165" s="136"/>
      <c r="AD165" s="20"/>
      <c r="AE165" s="20"/>
    </row>
    <row r="166" spans="2:31" x14ac:dyDescent="0.2">
      <c r="B166" s="20" t="s">
        <v>249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39">
        <f t="shared" si="329"/>
        <v>57.337259969219915</v>
      </c>
      <c r="S166" s="132">
        <f>PV($C$1, ($AB$3-$S$3), 0, -AB91)</f>
        <v>5.8807446122276836</v>
      </c>
      <c r="T166" s="132">
        <f>PV($C$1, ($AB$3-$S$3), 0, -AE91)</f>
        <v>51.456515356992227</v>
      </c>
      <c r="U166" s="20"/>
      <c r="V166" s="20"/>
      <c r="W166" s="20"/>
      <c r="X166" s="20"/>
      <c r="Y166" s="20"/>
      <c r="Z166" s="20"/>
      <c r="AA166" s="20"/>
      <c r="AB166" s="20"/>
      <c r="AC166" s="136"/>
      <c r="AD166" s="20"/>
      <c r="AE166" s="20"/>
    </row>
    <row r="167" spans="2:31" x14ac:dyDescent="0.2">
      <c r="B167" s="20" t="s">
        <v>250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39">
        <f t="shared" si="329"/>
        <v>2345.8449497482488</v>
      </c>
      <c r="S167" s="132">
        <f>PV($C$1, ($AB$3-$S$3), 0, -AB92)</f>
        <v>240.59948202546141</v>
      </c>
      <c r="T167" s="132">
        <f>PV($C$1, ($AB$3-$S$3), 0, -AE92)</f>
        <v>2105.2454677227875</v>
      </c>
      <c r="U167" s="20"/>
      <c r="V167" s="20"/>
      <c r="W167" s="20"/>
      <c r="X167" s="20"/>
      <c r="Y167" s="20"/>
      <c r="Z167" s="20"/>
      <c r="AA167" s="20"/>
      <c r="AB167" s="20"/>
      <c r="AC167" s="136"/>
      <c r="AD167" s="20"/>
      <c r="AE167" s="20"/>
    </row>
    <row r="168" spans="2:31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39"/>
      <c r="S168" s="132"/>
      <c r="T168" s="132"/>
      <c r="U168" s="20"/>
      <c r="V168" s="20"/>
      <c r="W168" s="20"/>
      <c r="X168" s="20"/>
      <c r="Y168" s="20"/>
      <c r="Z168" s="20"/>
      <c r="AA168" s="20"/>
      <c r="AB168" s="20"/>
      <c r="AC168" s="136"/>
      <c r="AD168" s="20"/>
      <c r="AE168" s="20"/>
    </row>
    <row r="169" spans="2:31" x14ac:dyDescent="0.2">
      <c r="B169" s="20" t="s">
        <v>294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39">
        <f t="shared" ref="R169" si="330">S169+T169</f>
        <v>11225.662733208472</v>
      </c>
      <c r="S169" s="132">
        <f>PV($C$1, ($AB$3-$S$3), 0, -AB12)</f>
        <v>1151.3500239188177</v>
      </c>
      <c r="T169" s="132">
        <f>PV($C$1, ($AB$3-$S$3), 0, -AE12)</f>
        <v>10074.312709289654</v>
      </c>
      <c r="U169" s="20"/>
      <c r="V169" s="20"/>
      <c r="W169" s="20"/>
      <c r="X169" s="20"/>
      <c r="Y169" s="20"/>
      <c r="Z169" s="20"/>
      <c r="AA169" s="20"/>
      <c r="AB169" s="20"/>
      <c r="AC169" s="136"/>
      <c r="AD169" s="20"/>
      <c r="AE169" s="20"/>
    </row>
    <row r="170" spans="2:31" x14ac:dyDescent="0.2">
      <c r="B170" s="20" t="s">
        <v>295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39">
        <f>S170+T170</f>
        <v>222.46656229109138</v>
      </c>
      <c r="S170" s="139">
        <f>S169/P68</f>
        <v>22.81708331190681</v>
      </c>
      <c r="T170" s="139">
        <f>T169/P68</f>
        <v>199.64947897918458</v>
      </c>
      <c r="U170" s="20"/>
      <c r="V170" s="20"/>
      <c r="W170" s="20"/>
      <c r="X170" s="20"/>
      <c r="Y170" s="20"/>
      <c r="Z170" s="20"/>
      <c r="AA170" s="20"/>
      <c r="AB170" s="20"/>
      <c r="AC170" s="136"/>
      <c r="AD170" s="20"/>
      <c r="AE170" s="20"/>
    </row>
    <row r="171" spans="2:31" x14ac:dyDescent="0.2"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39"/>
      <c r="S171" s="139"/>
      <c r="T171" s="139"/>
      <c r="U171" s="20"/>
      <c r="V171" s="20"/>
      <c r="W171" s="20"/>
      <c r="X171" s="20"/>
      <c r="Y171" s="20"/>
      <c r="Z171" s="20"/>
      <c r="AA171" s="20"/>
      <c r="AB171" s="20"/>
      <c r="AC171" s="136"/>
      <c r="AD171" s="20"/>
      <c r="AE171" s="20"/>
    </row>
    <row r="172" spans="2:31" x14ac:dyDescent="0.2">
      <c r="B172" s="108" t="s">
        <v>298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39"/>
      <c r="S172" s="132"/>
      <c r="T172" s="132"/>
      <c r="U172" s="20"/>
      <c r="V172" s="20"/>
      <c r="W172" s="20"/>
      <c r="X172" s="20"/>
      <c r="Y172" s="20"/>
      <c r="Z172" s="20"/>
      <c r="AA172" s="20"/>
      <c r="AB172" s="20"/>
      <c r="AC172" s="136"/>
      <c r="AD172" s="20"/>
      <c r="AE172" s="20"/>
    </row>
    <row r="173" spans="2:31" x14ac:dyDescent="0.2">
      <c r="B173" s="20" t="s">
        <v>283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39">
        <f t="shared" ref="R173" si="331">S173+T173</f>
        <v>46.920840796357339</v>
      </c>
      <c r="S173" s="132">
        <f>PV($C$1, ($AB$3-$S$3), 0, -AB94)+PV($C$1, ($AA$3-$S$3), 0, -AB94)+PV($C$1, ($Z$3-$S$3), 0, -AB94)+PV($C$1, ($Y$3-$S$3), 0, -AB94)+PV($C$1, ($X$3-$S$3), 0, -AB94)+PV($C$1, ($W$3-$S$3), 0, -AB94)+PV($C$1, ($V$3-$S$3), 0, -AB94)+PV($C$1, ($U$3-$S$3), 0, -AB94)+PV($C$1, ($T$3-$S$3), 0, -AB94)+PV($C$1, ($S$3-$S$3), 0, -AB94)</f>
        <v>33.737912660209467</v>
      </c>
      <c r="T173" s="132">
        <f>PV($C$1, ($AB$3-$S$3), 0, -AE94)</f>
        <v>13.182928136147872</v>
      </c>
      <c r="U173" s="20"/>
      <c r="V173" s="20"/>
      <c r="W173" s="20"/>
      <c r="X173" s="20"/>
      <c r="Y173" s="20"/>
      <c r="Z173" s="20"/>
      <c r="AA173" s="20"/>
      <c r="AB173" s="20"/>
      <c r="AC173" s="136"/>
      <c r="AD173" s="20"/>
      <c r="AE173" s="20"/>
    </row>
    <row r="174" spans="2:31" x14ac:dyDescent="0.2">
      <c r="B174" s="23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39"/>
      <c r="S174" s="132"/>
      <c r="T174" s="132"/>
      <c r="U174" s="20"/>
      <c r="V174" s="20"/>
      <c r="W174" s="20"/>
      <c r="X174" s="20"/>
      <c r="Y174" s="20"/>
      <c r="Z174" s="20"/>
      <c r="AA174" s="20"/>
      <c r="AB174" s="20"/>
      <c r="AC174" s="136"/>
      <c r="AD174" s="20"/>
      <c r="AE174" s="20"/>
    </row>
    <row r="175" spans="2:31" x14ac:dyDescent="0.2">
      <c r="B175" s="20" t="s">
        <v>291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39">
        <f t="shared" si="329"/>
        <v>-296929.52756965137</v>
      </c>
      <c r="S175" s="132">
        <f>PV($C$1, ($AB$3-$S$3), 0, -AB96)+PV($C$1, ($AA$3-$S$3), 0, -AB96)+PV($C$1, ($Z$3-$S$3), 0, -AB96)+PV($C$1, ($Y$3-$S$3), 0, -AB96)+PV($C$1, ($X$3-$S$3), 0, -AB96)+PV($C$1, ($W$3-$S$3), 0, -AB96)+PV($C$1, ($V$3-$S$3), 0, -AB96)+PV($C$1, ($U$3-$S$3), 0, -AB96)+PV($C$1, ($T$3-$S$3), 0, -AB96)+PV($C$1, ($S$3-$S$3), 0, -AB96)</f>
        <v>-213503.8992770965</v>
      </c>
      <c r="T175" s="132">
        <f>PV($C$1, ($AB$3-$S$3), 0, -AE96)</f>
        <v>-83425.628292554902</v>
      </c>
      <c r="U175" s="20"/>
      <c r="V175" s="20"/>
      <c r="W175" s="20"/>
      <c r="X175" s="20"/>
      <c r="Y175" s="20"/>
      <c r="Z175" s="20"/>
      <c r="AA175" s="20"/>
      <c r="AB175" s="20"/>
      <c r="AC175" s="136"/>
      <c r="AD175" s="20"/>
      <c r="AE175" s="20"/>
    </row>
    <row r="176" spans="2:31" x14ac:dyDescent="0.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39"/>
      <c r="S176" s="132"/>
      <c r="T176" s="132"/>
      <c r="U176" s="20"/>
      <c r="V176" s="20"/>
      <c r="W176" s="20"/>
      <c r="X176" s="20"/>
      <c r="Y176" s="20"/>
      <c r="Z176" s="20"/>
      <c r="AA176" s="20"/>
      <c r="AB176" s="20"/>
      <c r="AC176" s="136"/>
      <c r="AD176" s="20"/>
      <c r="AE176" s="20"/>
    </row>
    <row r="177" spans="2:31" x14ac:dyDescent="0.2">
      <c r="B177" s="20" t="s">
        <v>287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39">
        <f t="shared" ref="R177:R180" si="332">S177+T177</f>
        <v>-1454.546928482139</v>
      </c>
      <c r="S177" s="132">
        <f>PV($C$1, ($AB$3-$S$3), 0, -AB98)+PV($C$1, ($AA$3-$S$3), 0, -AB98)+PV($C$1, ($Z$3-$S$3), 0, -AB98)+PV($C$1, ($Y$3-$S$3), 0, -AB98)+PV($C$1, ($X$3-$S$3), 0, -AB98)+PV($C$1, ($W$3-$S$3), 0, -AB98)+PV($C$1, ($V$3-$S$3), 0, -AB98)+PV($C$1, ($U$3-$S$3), 0, -AB98)+PV($C$1, ($T$3-$S$3), 0, -AB98)+PV($C$1, ($S$3-$S$3), 0, -AB98)</f>
        <v>-1045.8759135687978</v>
      </c>
      <c r="T177" s="132">
        <f>PV($C$1, ($AB$3-$S$3), 0, -AE98)</f>
        <v>-408.6710149133412</v>
      </c>
      <c r="U177" s="20"/>
      <c r="V177" s="20"/>
      <c r="W177" s="20"/>
      <c r="X177" s="20"/>
      <c r="Y177" s="20"/>
      <c r="Z177" s="20"/>
      <c r="AA177" s="20"/>
      <c r="AB177" s="20"/>
      <c r="AC177" s="136"/>
      <c r="AD177" s="20"/>
      <c r="AE177" s="20"/>
    </row>
    <row r="178" spans="2:31" x14ac:dyDescent="0.2">
      <c r="B178" s="20" t="s">
        <v>288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39">
        <f t="shared" si="332"/>
        <v>-1451.4330078455218</v>
      </c>
      <c r="S178" s="132">
        <f>PV($C$1, ($AB$3-$S$3), 0, -AB99)+PV($C$1, ($AA$3-$S$3), 0, -AB99)+PV($C$1, ($Z$3-$S$3), 0, -AB99)+PV($C$1, ($Y$3-$S$3), 0, -AB99)+PV($C$1, ($X$3-$S$3), 0, -AB99)+PV($C$1, ($W$3-$S$3), 0, -AB99)+PV($C$1, ($V$3-$S$3), 0, -AB99)+PV($C$1, ($U$3-$S$3), 0, -AB99)+PV($C$1, ($T$3-$S$3), 0, -AB99)+PV($C$1, ($S$3-$S$3), 0, -AB99)</f>
        <v>-1043.6368833066383</v>
      </c>
      <c r="T178" s="132">
        <f>PV($C$1, ($AB$3-$S$3), 0, -AE99)</f>
        <v>-407.79612453888353</v>
      </c>
      <c r="U178" s="20"/>
      <c r="V178" s="20"/>
      <c r="W178" s="20"/>
      <c r="X178" s="20"/>
      <c r="Y178" s="20"/>
      <c r="Z178" s="20"/>
      <c r="AA178" s="20"/>
      <c r="AB178" s="20"/>
      <c r="AC178" s="136"/>
      <c r="AD178" s="20"/>
      <c r="AE178" s="20"/>
    </row>
    <row r="179" spans="2:31" x14ac:dyDescent="0.2">
      <c r="B179" s="20" t="s">
        <v>289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39">
        <f t="shared" si="332"/>
        <v>-3.1139206366173298</v>
      </c>
      <c r="S179" s="132">
        <f>PV($C$1, ($AB$3-$S$3), 0, -AB100)+PV($C$1, ($AA$3-$S$3), 0, -AB100)+PV($C$1, ($Z$3-$S$3), 0, -AB100)+PV($C$1, ($Y$3-$S$3), 0, -AB100)+PV($C$1, ($X$3-$S$3), 0, -AB100)+PV($C$1, ($W$3-$S$3), 0, -AB100)+PV($C$1, ($V$3-$S$3), 0, -AB100)+PV($C$1, ($U$3-$S$3), 0, -AB100)+PV($C$1, ($T$3-$S$3), 0, -AB100)+PV($C$1, ($S$3-$S$3), 0, -AB100)</f>
        <v>-2.2390302621596532</v>
      </c>
      <c r="T179" s="132">
        <f>PV($C$1, ($AB$3-$S$3), 0, -AE100)</f>
        <v>-0.87489037445767637</v>
      </c>
      <c r="U179" s="20"/>
      <c r="V179" s="20"/>
      <c r="W179" s="20"/>
      <c r="X179" s="20"/>
      <c r="Y179" s="20"/>
      <c r="Z179" s="20"/>
      <c r="AA179" s="20"/>
      <c r="AB179" s="20"/>
      <c r="AC179" s="136"/>
      <c r="AD179" s="20"/>
      <c r="AE179" s="20"/>
    </row>
    <row r="180" spans="2:31" x14ac:dyDescent="0.2">
      <c r="B180" s="20" t="s">
        <v>290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39">
        <f t="shared" si="332"/>
        <v>1437.7086909656164</v>
      </c>
      <c r="S180" s="132">
        <f>PV($C$1, ($AB$3-$S$3), 0, -AB101)+PV($C$1, ($AA$3-$S$3), 0, -AB101)+PV($C$1, ($Z$3-$S$3), 0, -AB101)+PV($C$1, ($Y$3-$S$3), 0, -AB101)+PV($C$1, ($X$3-$S$3), 0, -AB101)+PV($C$1, ($W$3-$S$3), 0, -AB101)+PV($C$1, ($V$3-$S$3), 0, -AB101)+PV($C$1, ($U$3-$S$3), 0, -AB101)+PV($C$1, ($T$3-$S$3), 0, -AB101)+PV($C$1, ($S$3-$S$3), 0, -AB101)</f>
        <v>1033.7685647437868</v>
      </c>
      <c r="T180" s="132">
        <f>PV($C$1, ($AB$3-$S$3), 0, -AE101)</f>
        <v>403.94012622182947</v>
      </c>
      <c r="U180" s="20"/>
      <c r="V180" s="20"/>
      <c r="W180" s="20"/>
      <c r="X180" s="20"/>
      <c r="Y180" s="20"/>
      <c r="Z180" s="20"/>
      <c r="AA180" s="20"/>
      <c r="AB180" s="20"/>
      <c r="AC180" s="136"/>
      <c r="AD180" s="20"/>
      <c r="AE180" s="20"/>
    </row>
    <row r="181" spans="2:31" x14ac:dyDescent="0.2"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39"/>
      <c r="S181" s="132"/>
      <c r="T181" s="132"/>
      <c r="U181" s="20"/>
      <c r="V181" s="20"/>
      <c r="W181" s="20"/>
      <c r="X181" s="20"/>
      <c r="Y181" s="20"/>
      <c r="Z181" s="20"/>
      <c r="AA181" s="20"/>
      <c r="AB181" s="20"/>
      <c r="AC181" s="136"/>
      <c r="AD181" s="20"/>
      <c r="AE181" s="20"/>
    </row>
    <row r="182" spans="2:31" x14ac:dyDescent="0.2">
      <c r="B182" s="20" t="s">
        <v>299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39">
        <f>S182+T182</f>
        <v>162.26986428594751</v>
      </c>
      <c r="S182" s="132">
        <f>PV($C$1, ($AB$3-$S$3), 0, -AB102)+PV($C$1, ($AA$3-$S$3), 0, -AB102)+PV($C$1, ($Z$3-$S$3), 0, -AB102)+PV($C$1, ($Y$3-$S$3), 0, -AB102)+PV($C$1, ($X$3-$S$3), 0, -AB102)+PV($C$1, ($W$3-$S$3), 0, -AB102)+PV($C$1, ($V$3-$S$3), 0, -AB102)+PV($C$1, ($U$3-$S$3), 0, -AB102)+PV($C$1, ($T$3-$S$3), 0, -AB102)+PV($C$1, ($S$3-$S$3), 0, -AB102)</f>
        <v>116.67835477254192</v>
      </c>
      <c r="T182" s="132">
        <f>PV($C$1, ($AB$3-$S$3), 0, -AE102)</f>
        <v>45.591509513405583</v>
      </c>
      <c r="U182" s="20"/>
      <c r="V182" s="20"/>
      <c r="W182" s="20"/>
      <c r="X182" s="20"/>
      <c r="Y182" s="20"/>
      <c r="Z182" s="20"/>
      <c r="AA182" s="20"/>
      <c r="AB182" s="20"/>
      <c r="AC182" s="136"/>
      <c r="AD182" s="20"/>
      <c r="AE182" s="20"/>
    </row>
    <row r="183" spans="2:31" x14ac:dyDescent="0.2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88">
        <v>41729</v>
      </c>
      <c r="Q183" s="184">
        <v>0</v>
      </c>
      <c r="R183" s="184"/>
      <c r="S183" s="184"/>
      <c r="T183" s="20"/>
      <c r="U183" s="20"/>
      <c r="V183" s="20"/>
      <c r="W183" s="20"/>
      <c r="X183" s="20"/>
      <c r="Y183" s="20"/>
      <c r="Z183" s="20"/>
      <c r="AA183" s="20"/>
      <c r="AB183" s="20"/>
      <c r="AC183" s="136"/>
      <c r="AD183" s="20"/>
      <c r="AE183" s="20"/>
    </row>
    <row r="184" spans="2:31" x14ac:dyDescent="0.2">
      <c r="B184" s="108" t="s">
        <v>251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185" t="s">
        <v>394</v>
      </c>
      <c r="Q184" s="184" t="s">
        <v>395</v>
      </c>
      <c r="R184" s="184" t="s">
        <v>395</v>
      </c>
      <c r="S184" s="185" t="s">
        <v>396</v>
      </c>
      <c r="T184" s="20"/>
      <c r="U184" s="20"/>
      <c r="V184" s="20"/>
      <c r="W184" s="20"/>
      <c r="X184" s="20"/>
      <c r="Y184" s="20"/>
      <c r="Z184" s="20"/>
      <c r="AA184" s="20"/>
      <c r="AB184" s="20"/>
      <c r="AC184" s="136"/>
      <c r="AD184" s="20"/>
      <c r="AE184" s="20"/>
    </row>
    <row r="185" spans="2:31" x14ac:dyDescent="0.2">
      <c r="B185" s="20" t="s">
        <v>204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 s="22">
        <v>0</v>
      </c>
      <c r="K185" s="22">
        <v>0</v>
      </c>
      <c r="L185" s="22">
        <v>0</v>
      </c>
      <c r="M185" s="22">
        <v>0</v>
      </c>
      <c r="N185" s="22">
        <v>0</v>
      </c>
      <c r="O185" s="22">
        <v>0</v>
      </c>
      <c r="P185" s="22">
        <v>200</v>
      </c>
      <c r="Q185" s="118" t="e">
        <f t="shared" ref="Q185:Q190" si="333">((P185/G185)^(1/($H$2-$H$1) ))-1</f>
        <v>#DIV/0!</v>
      </c>
      <c r="R185" s="31">
        <f>L2-3%</f>
        <v>0.09</v>
      </c>
      <c r="S185" s="119">
        <f t="shared" ref="S185" si="334">P185*(1+$R185)</f>
        <v>218.00000000000003</v>
      </c>
      <c r="T185" s="119">
        <f t="shared" ref="T185:AB185" si="335">S185*(1+$R185)</f>
        <v>237.62000000000006</v>
      </c>
      <c r="U185" s="119">
        <f t="shared" si="335"/>
        <v>259.00580000000008</v>
      </c>
      <c r="V185" s="119">
        <f t="shared" si="335"/>
        <v>282.31632200000013</v>
      </c>
      <c r="W185" s="119">
        <f t="shared" si="335"/>
        <v>307.72479098000014</v>
      </c>
      <c r="X185" s="119">
        <f t="shared" si="335"/>
        <v>335.42002216820015</v>
      </c>
      <c r="Y185" s="119">
        <f t="shared" si="335"/>
        <v>365.60782416333819</v>
      </c>
      <c r="Z185" s="119">
        <f t="shared" si="335"/>
        <v>398.51252833803863</v>
      </c>
      <c r="AA185" s="119">
        <f t="shared" si="335"/>
        <v>434.37865588846216</v>
      </c>
      <c r="AB185" s="119">
        <f t="shared" si="335"/>
        <v>473.47273491842378</v>
      </c>
      <c r="AC185" s="137" t="e">
        <f t="shared" ref="AC185:AC190" si="336">((AB185/G185)^(1/($AB$3-$H$1) ))-1</f>
        <v>#DIV/0!</v>
      </c>
      <c r="AD185" s="31">
        <v>0.08</v>
      </c>
      <c r="AE185" s="126" t="e">
        <f t="shared" ref="AE185:AE191" si="337">(AB185*(1+AC185))/($C$1-AD185)</f>
        <v>#DIV/0!</v>
      </c>
    </row>
    <row r="186" spans="2:31" x14ac:dyDescent="0.2">
      <c r="B186" s="20" t="s">
        <v>393</v>
      </c>
      <c r="C186" s="25" t="e">
        <f t="shared" ref="C186:P186" si="338">C185/C76</f>
        <v>#DIV/0!</v>
      </c>
      <c r="D186" s="25" t="e">
        <f t="shared" si="338"/>
        <v>#DIV/0!</v>
      </c>
      <c r="E186" s="25" t="e">
        <f t="shared" si="338"/>
        <v>#DIV/0!</v>
      </c>
      <c r="F186" s="25">
        <f t="shared" si="338"/>
        <v>0</v>
      </c>
      <c r="G186" s="25">
        <f t="shared" si="338"/>
        <v>0</v>
      </c>
      <c r="H186" s="25">
        <f t="shared" si="338"/>
        <v>0</v>
      </c>
      <c r="I186" s="25">
        <f t="shared" si="338"/>
        <v>0</v>
      </c>
      <c r="J186" s="25">
        <f t="shared" si="338"/>
        <v>0</v>
      </c>
      <c r="K186" s="25">
        <f t="shared" si="338"/>
        <v>0</v>
      </c>
      <c r="L186" s="25">
        <f t="shared" si="338"/>
        <v>0</v>
      </c>
      <c r="M186" s="25">
        <f t="shared" si="338"/>
        <v>0</v>
      </c>
      <c r="N186" s="25">
        <f t="shared" si="338"/>
        <v>0</v>
      </c>
      <c r="O186" s="25">
        <f t="shared" si="338"/>
        <v>0</v>
      </c>
      <c r="P186" s="25">
        <f t="shared" si="338"/>
        <v>1.30286599535244</v>
      </c>
      <c r="Q186" s="118" t="e">
        <f t="shared" ref="Q186" si="339">((P186/G186)^(1/($H$2-$H$1) ))-1</f>
        <v>#DIV/0!</v>
      </c>
      <c r="R186" s="127"/>
      <c r="S186" s="25">
        <f t="shared" ref="S186:AB186" si="340">S185/S76</f>
        <v>1.4581629689056101</v>
      </c>
      <c r="T186" s="25">
        <f t="shared" si="340"/>
        <v>1.6319707870742701</v>
      </c>
      <c r="U186" s="25">
        <f t="shared" si="340"/>
        <v>1.8264958764264261</v>
      </c>
      <c r="V186" s="25">
        <f t="shared" si="340"/>
        <v>2.0442076616968974</v>
      </c>
      <c r="W186" s="25">
        <f t="shared" si="340"/>
        <v>2.287869914229518</v>
      </c>
      <c r="X186" s="25">
        <f t="shared" si="340"/>
        <v>2.5605758370416973</v>
      </c>
      <c r="Y186" s="25">
        <f t="shared" si="340"/>
        <v>2.8657873319033635</v>
      </c>
      <c r="Z186" s="25">
        <f t="shared" si="340"/>
        <v>3.2073789469114868</v>
      </c>
      <c r="AA186" s="25">
        <f t="shared" si="340"/>
        <v>3.5896870624585255</v>
      </c>
      <c r="AB186" s="25">
        <f t="shared" si="340"/>
        <v>4.0175649399926439</v>
      </c>
      <c r="AC186" s="137" t="e">
        <f t="shared" ref="AC186" si="341">((AB186/G186)^(1/($AB$3-$H$1) ))-1</f>
        <v>#DIV/0!</v>
      </c>
      <c r="AD186" s="31">
        <v>0.08</v>
      </c>
      <c r="AE186" s="126" t="e">
        <f t="shared" ref="AE186" si="342">(AB186*(1+AC186))/($C$1-AD186)</f>
        <v>#DIV/0!</v>
      </c>
    </row>
    <row r="187" spans="2:31" x14ac:dyDescent="0.2">
      <c r="B187" s="20" t="s">
        <v>42</v>
      </c>
      <c r="C187" s="25" t="e">
        <f t="shared" ref="C187:P187" si="343">C185/C79</f>
        <v>#DIV/0!</v>
      </c>
      <c r="D187" s="25" t="e">
        <f t="shared" si="343"/>
        <v>#DIV/0!</v>
      </c>
      <c r="E187" s="25" t="e">
        <f t="shared" si="343"/>
        <v>#DIV/0!</v>
      </c>
      <c r="F187" s="25">
        <f t="shared" si="343"/>
        <v>0</v>
      </c>
      <c r="G187" s="25">
        <f t="shared" si="343"/>
        <v>0</v>
      </c>
      <c r="H187" s="25">
        <f t="shared" si="343"/>
        <v>0</v>
      </c>
      <c r="I187" s="25">
        <f t="shared" si="343"/>
        <v>0</v>
      </c>
      <c r="J187" s="25">
        <f t="shared" si="343"/>
        <v>0</v>
      </c>
      <c r="K187" s="25">
        <f t="shared" si="343"/>
        <v>0</v>
      </c>
      <c r="L187" s="25">
        <f t="shared" si="343"/>
        <v>0</v>
      </c>
      <c r="M187" s="25">
        <f t="shared" si="343"/>
        <v>0</v>
      </c>
      <c r="N187" s="25">
        <f t="shared" si="343"/>
        <v>0</v>
      </c>
      <c r="O187" s="25">
        <f t="shared" si="343"/>
        <v>0</v>
      </c>
      <c r="P187" s="25">
        <f t="shared" si="343"/>
        <v>9.5749525616698286</v>
      </c>
      <c r="Q187" s="118" t="e">
        <f t="shared" si="333"/>
        <v>#DIV/0!</v>
      </c>
      <c r="R187" s="127"/>
      <c r="S187" s="119">
        <f t="shared" ref="S187:AB187" si="344">S185/S79</f>
        <v>10.716252710761724</v>
      </c>
      <c r="T187" s="119">
        <f t="shared" si="344"/>
        <v>11.993591761553411</v>
      </c>
      <c r="U187" s="119">
        <f t="shared" si="344"/>
        <v>13.423185065274286</v>
      </c>
      <c r="V187" s="119">
        <f t="shared" si="344"/>
        <v>15.023180785108316</v>
      </c>
      <c r="W187" s="119">
        <f t="shared" si="344"/>
        <v>16.813890280476137</v>
      </c>
      <c r="X187" s="119">
        <f t="shared" si="344"/>
        <v>18.818045952300746</v>
      </c>
      <c r="Y187" s="119">
        <f t="shared" si="344"/>
        <v>21.061089822508016</v>
      </c>
      <c r="Z187" s="119">
        <f t="shared" si="344"/>
        <v>23.571496511173031</v>
      </c>
      <c r="AA187" s="119">
        <f t="shared" si="344"/>
        <v>26.381134711388746</v>
      </c>
      <c r="AB187" s="119">
        <f t="shared" si="344"/>
        <v>29.525671750648023</v>
      </c>
      <c r="AC187" s="137" t="e">
        <f t="shared" si="336"/>
        <v>#DIV/0!</v>
      </c>
      <c r="AD187" s="31">
        <v>0.08</v>
      </c>
      <c r="AE187" s="126" t="e">
        <f t="shared" si="337"/>
        <v>#DIV/0!</v>
      </c>
    </row>
    <row r="188" spans="2:31" x14ac:dyDescent="0.2">
      <c r="B188" s="20" t="s">
        <v>259</v>
      </c>
      <c r="C188" s="25" t="e">
        <f t="shared" ref="C188:P188" si="345">C185/C81</f>
        <v>#DIV/0!</v>
      </c>
      <c r="D188" s="25" t="e">
        <f t="shared" si="345"/>
        <v>#DIV/0!</v>
      </c>
      <c r="E188" s="25" t="e">
        <f t="shared" si="345"/>
        <v>#DIV/0!</v>
      </c>
      <c r="F188" s="25">
        <f t="shared" si="345"/>
        <v>0</v>
      </c>
      <c r="G188" s="25">
        <f t="shared" si="345"/>
        <v>0</v>
      </c>
      <c r="H188" s="25">
        <f t="shared" si="345"/>
        <v>0</v>
      </c>
      <c r="I188" s="25">
        <f t="shared" si="345"/>
        <v>0</v>
      </c>
      <c r="J188" s="25">
        <f t="shared" si="345"/>
        <v>0</v>
      </c>
      <c r="K188" s="25">
        <f t="shared" si="345"/>
        <v>0</v>
      </c>
      <c r="L188" s="25">
        <f t="shared" si="345"/>
        <v>0</v>
      </c>
      <c r="M188" s="25">
        <f t="shared" si="345"/>
        <v>0</v>
      </c>
      <c r="N188" s="25">
        <f t="shared" si="345"/>
        <v>0</v>
      </c>
      <c r="O188" s="25">
        <f t="shared" si="345"/>
        <v>0</v>
      </c>
      <c r="P188" s="25">
        <f t="shared" si="345"/>
        <v>1.5690298507462688</v>
      </c>
      <c r="Q188" s="118" t="e">
        <f t="shared" si="333"/>
        <v>#DIV/0!</v>
      </c>
      <c r="R188" s="127"/>
      <c r="S188" s="119">
        <f t="shared" ref="S188:AB188" si="346">S185/S81</f>
        <v>1.7560526052771852</v>
      </c>
      <c r="T188" s="119">
        <f t="shared" si="346"/>
        <v>1.9653678042097784</v>
      </c>
      <c r="U188" s="119">
        <f t="shared" si="346"/>
        <v>2.1996326273008546</v>
      </c>
      <c r="V188" s="119">
        <f t="shared" si="346"/>
        <v>2.4618209806443043</v>
      </c>
      <c r="W188" s="119">
        <f t="shared" si="346"/>
        <v>2.7552612493193167</v>
      </c>
      <c r="X188" s="119">
        <f t="shared" si="346"/>
        <v>3.0836785500194313</v>
      </c>
      <c r="Y188" s="119">
        <f t="shared" si="346"/>
        <v>3.4512420200440683</v>
      </c>
      <c r="Z188" s="119">
        <f t="shared" si="346"/>
        <v>3.862617742968963</v>
      </c>
      <c r="AA188" s="119">
        <f t="shared" si="346"/>
        <v>4.3230279828674947</v>
      </c>
      <c r="AB188" s="119">
        <f t="shared" si="346"/>
        <v>4.838317479039647</v>
      </c>
      <c r="AC188" s="137" t="e">
        <f t="shared" si="336"/>
        <v>#DIV/0!</v>
      </c>
      <c r="AD188" s="31">
        <v>0.08</v>
      </c>
      <c r="AE188" s="126" t="e">
        <f t="shared" si="337"/>
        <v>#DIV/0!</v>
      </c>
    </row>
    <row r="189" spans="2:31" x14ac:dyDescent="0.2">
      <c r="B189" s="20" t="s">
        <v>260</v>
      </c>
      <c r="C189" s="25" t="e">
        <f t="shared" ref="C189:P189" si="347">C185/C90</f>
        <v>#DIV/0!</v>
      </c>
      <c r="D189" s="25" t="e">
        <f t="shared" si="347"/>
        <v>#DIV/0!</v>
      </c>
      <c r="E189" s="25" t="e">
        <f t="shared" si="347"/>
        <v>#DIV/0!</v>
      </c>
      <c r="F189" s="25">
        <f t="shared" si="347"/>
        <v>0</v>
      </c>
      <c r="G189" s="25">
        <f t="shared" si="347"/>
        <v>0</v>
      </c>
      <c r="H189" s="25">
        <f t="shared" si="347"/>
        <v>0</v>
      </c>
      <c r="I189" s="25">
        <f t="shared" si="347"/>
        <v>0</v>
      </c>
      <c r="J189" s="25">
        <f t="shared" si="347"/>
        <v>0</v>
      </c>
      <c r="K189" s="25">
        <f t="shared" si="347"/>
        <v>0</v>
      </c>
      <c r="L189" s="25">
        <f t="shared" si="347"/>
        <v>0</v>
      </c>
      <c r="M189" s="25">
        <f t="shared" si="347"/>
        <v>0</v>
      </c>
      <c r="N189" s="25">
        <f t="shared" si="347"/>
        <v>0</v>
      </c>
      <c r="O189" s="25">
        <f t="shared" si="347"/>
        <v>0</v>
      </c>
      <c r="P189" s="25">
        <f t="shared" si="347"/>
        <v>5.874272409778813</v>
      </c>
      <c r="Q189" s="118" t="e">
        <f t="shared" si="333"/>
        <v>#DIV/0!</v>
      </c>
      <c r="R189" s="127"/>
      <c r="S189" s="119">
        <f t="shared" ref="S189:AB189" si="348">S185/S90</f>
        <v>6.5744647014801254</v>
      </c>
      <c r="T189" s="119">
        <f t="shared" si="348"/>
        <v>7.3581174136654806</v>
      </c>
      <c r="U189" s="119">
        <f t="shared" si="348"/>
        <v>8.235178730383641</v>
      </c>
      <c r="V189" s="119">
        <f t="shared" si="348"/>
        <v>9.2167826236927617</v>
      </c>
      <c r="W189" s="119">
        <f t="shared" si="348"/>
        <v>10.315390195356139</v>
      </c>
      <c r="X189" s="119">
        <f t="shared" si="348"/>
        <v>11.544947865963319</v>
      </c>
      <c r="Y189" s="119">
        <f t="shared" si="348"/>
        <v>12.921064419629481</v>
      </c>
      <c r="Z189" s="119">
        <f t="shared" si="348"/>
        <v>14.461209151790671</v>
      </c>
      <c r="AA189" s="119">
        <f t="shared" si="348"/>
        <v>16.184933635508578</v>
      </c>
      <c r="AB189" s="119">
        <f t="shared" si="348"/>
        <v>18.114119921526786</v>
      </c>
      <c r="AC189" s="137" t="e">
        <f t="shared" si="336"/>
        <v>#DIV/0!</v>
      </c>
      <c r="AD189" s="31">
        <v>0.08</v>
      </c>
      <c r="AE189" s="126" t="e">
        <f t="shared" si="337"/>
        <v>#DIV/0!</v>
      </c>
    </row>
    <row r="190" spans="2:31" x14ac:dyDescent="0.2">
      <c r="B190" s="20" t="s">
        <v>261</v>
      </c>
      <c r="C190" s="25" t="e">
        <f t="shared" ref="C190:P190" si="349">C185/C92</f>
        <v>#DIV/0!</v>
      </c>
      <c r="D190" s="25" t="e">
        <f t="shared" si="349"/>
        <v>#DIV/0!</v>
      </c>
      <c r="E190" s="25" t="e">
        <f t="shared" si="349"/>
        <v>#DIV/0!</v>
      </c>
      <c r="F190" s="25">
        <f t="shared" si="349"/>
        <v>0</v>
      </c>
      <c r="G190" s="25">
        <f t="shared" si="349"/>
        <v>0</v>
      </c>
      <c r="H190" s="25">
        <f t="shared" si="349"/>
        <v>0</v>
      </c>
      <c r="I190" s="25">
        <f t="shared" si="349"/>
        <v>0</v>
      </c>
      <c r="J190" s="25">
        <f t="shared" si="349"/>
        <v>0</v>
      </c>
      <c r="K190" s="25">
        <f t="shared" si="349"/>
        <v>0</v>
      </c>
      <c r="L190" s="25">
        <f t="shared" si="349"/>
        <v>0</v>
      </c>
      <c r="M190" s="25">
        <f t="shared" si="349"/>
        <v>0</v>
      </c>
      <c r="N190" s="25">
        <f t="shared" si="349"/>
        <v>0</v>
      </c>
      <c r="O190" s="25">
        <f t="shared" si="349"/>
        <v>0</v>
      </c>
      <c r="P190" s="25">
        <f t="shared" si="349"/>
        <v>0.15533323072187163</v>
      </c>
      <c r="Q190" s="118" t="e">
        <f t="shared" si="333"/>
        <v>#DIV/0!</v>
      </c>
      <c r="R190" s="127"/>
      <c r="S190" s="119">
        <f t="shared" ref="S190:AB190" si="350">S185/S92</f>
        <v>0.17384839706238042</v>
      </c>
      <c r="T190" s="119">
        <f t="shared" si="350"/>
        <v>0.19457050510508381</v>
      </c>
      <c r="U190" s="119">
        <f t="shared" si="350"/>
        <v>0.21776261441894867</v>
      </c>
      <c r="V190" s="119">
        <f t="shared" si="350"/>
        <v>0.24371914033406442</v>
      </c>
      <c r="W190" s="119">
        <f t="shared" si="350"/>
        <v>0.27276959143638363</v>
      </c>
      <c r="X190" s="119">
        <f t="shared" si="350"/>
        <v>0.30528275255848825</v>
      </c>
      <c r="Y190" s="119">
        <f t="shared" si="350"/>
        <v>0.34167136636791512</v>
      </c>
      <c r="Z190" s="119">
        <f t="shared" si="350"/>
        <v>0.38239737298409066</v>
      </c>
      <c r="AA190" s="119">
        <f t="shared" si="350"/>
        <v>0.42797777413889065</v>
      </c>
      <c r="AB190" s="119">
        <f t="shared" si="350"/>
        <v>0.4789911963241959</v>
      </c>
      <c r="AC190" s="137" t="e">
        <f t="shared" si="336"/>
        <v>#DIV/0!</v>
      </c>
      <c r="AD190" s="31">
        <v>0.08</v>
      </c>
      <c r="AE190" s="126" t="e">
        <f t="shared" si="337"/>
        <v>#DIV/0!</v>
      </c>
    </row>
    <row r="191" spans="2:31" x14ac:dyDescent="0.2">
      <c r="B191" s="20" t="s">
        <v>282</v>
      </c>
      <c r="C191" s="25" t="e">
        <f>C187/C135</f>
        <v>#DIV/0!</v>
      </c>
      <c r="D191" s="25" t="e">
        <f>D187/D135</f>
        <v>#DIV/0!</v>
      </c>
      <c r="E191" s="25" t="e">
        <f>E187/E135</f>
        <v>#DIV/0!</v>
      </c>
      <c r="F191" s="25" t="e">
        <f>F187/F135</f>
        <v>#DIV/0!</v>
      </c>
      <c r="G191" s="25">
        <f t="shared" ref="G191:P191" si="351">G185/G86</f>
        <v>0</v>
      </c>
      <c r="H191" s="25">
        <f t="shared" si="351"/>
        <v>0</v>
      </c>
      <c r="I191" s="25">
        <f t="shared" si="351"/>
        <v>0</v>
      </c>
      <c r="J191" s="25">
        <f t="shared" si="351"/>
        <v>0</v>
      </c>
      <c r="K191" s="25">
        <f t="shared" si="351"/>
        <v>0</v>
      </c>
      <c r="L191" s="25">
        <f t="shared" si="351"/>
        <v>0</v>
      </c>
      <c r="M191" s="25">
        <f t="shared" si="351"/>
        <v>0</v>
      </c>
      <c r="N191" s="25">
        <f t="shared" si="351"/>
        <v>0</v>
      </c>
      <c r="O191" s="25">
        <f t="shared" si="351"/>
        <v>0</v>
      </c>
      <c r="P191" s="25">
        <f t="shared" si="351"/>
        <v>-0.15525914985923295</v>
      </c>
      <c r="Q191" s="118" t="e">
        <f t="shared" ref="Q191" si="352">((P191/G191)^(1/($H$2-$H$1) ))-1</f>
        <v>#DIV/0!</v>
      </c>
      <c r="R191" s="127"/>
      <c r="S191" s="134">
        <f t="shared" ref="S191:AB191" si="353">S185/S86</f>
        <v>-0.17376548602548975</v>
      </c>
      <c r="T191" s="134">
        <f t="shared" si="353"/>
        <v>-0.19447771136870656</v>
      </c>
      <c r="U191" s="134">
        <f t="shared" si="353"/>
        <v>-0.2176587600006015</v>
      </c>
      <c r="V191" s="134">
        <f t="shared" si="353"/>
        <v>-0.24360290683995886</v>
      </c>
      <c r="W191" s="134">
        <f t="shared" si="353"/>
        <v>-0.27263950332490039</v>
      </c>
      <c r="X191" s="134">
        <f t="shared" si="353"/>
        <v>-0.30513715840871658</v>
      </c>
      <c r="Y191" s="134">
        <f t="shared" si="353"/>
        <v>-0.34150841791546982</v>
      </c>
      <c r="Z191" s="134">
        <f t="shared" si="353"/>
        <v>-0.38221500165807265</v>
      </c>
      <c r="AA191" s="134">
        <f t="shared" si="353"/>
        <v>-0.42777366480213752</v>
      </c>
      <c r="AB191" s="134">
        <f t="shared" si="353"/>
        <v>-0.47876275788346367</v>
      </c>
      <c r="AC191" s="137" t="e">
        <f t="shared" ref="AC191" si="354">((AB191/G191)^(1/($AB$3-$H$1) ))-1</f>
        <v>#DIV/0!</v>
      </c>
      <c r="AD191" s="31">
        <v>0.08</v>
      </c>
      <c r="AE191" s="126" t="e">
        <f t="shared" si="337"/>
        <v>#DIV/0!</v>
      </c>
    </row>
    <row r="192" spans="2:31" x14ac:dyDescent="0.2">
      <c r="B192" s="183" t="s">
        <v>380</v>
      </c>
      <c r="C192" s="161" t="e">
        <f t="shared" ref="C192:P192" si="355">C79/C185</f>
        <v>#DIV/0!</v>
      </c>
      <c r="D192" s="161" t="e">
        <f t="shared" si="355"/>
        <v>#DIV/0!</v>
      </c>
      <c r="E192" s="161" t="e">
        <f t="shared" si="355"/>
        <v>#DIV/0!</v>
      </c>
      <c r="F192" s="161" t="e">
        <f t="shared" si="355"/>
        <v>#DIV/0!</v>
      </c>
      <c r="G192" s="161" t="e">
        <f t="shared" si="355"/>
        <v>#DIV/0!</v>
      </c>
      <c r="H192" s="161" t="e">
        <f t="shared" si="355"/>
        <v>#DIV/0!</v>
      </c>
      <c r="I192" s="161" t="e">
        <f t="shared" si="355"/>
        <v>#DIV/0!</v>
      </c>
      <c r="J192" s="161" t="e">
        <f t="shared" si="355"/>
        <v>#DIV/0!</v>
      </c>
      <c r="K192" s="161" t="e">
        <f t="shared" si="355"/>
        <v>#DIV/0!</v>
      </c>
      <c r="L192" s="161" t="e">
        <f t="shared" si="355"/>
        <v>#DIV/0!</v>
      </c>
      <c r="M192" s="161" t="e">
        <f t="shared" si="355"/>
        <v>#DIV/0!</v>
      </c>
      <c r="N192" s="161" t="e">
        <f t="shared" si="355"/>
        <v>#DIV/0!</v>
      </c>
      <c r="O192" s="161" t="e">
        <f t="shared" si="355"/>
        <v>#DIV/0!</v>
      </c>
      <c r="P192" s="161">
        <f t="shared" si="355"/>
        <v>0.1044391597304796</v>
      </c>
      <c r="Q192" s="127"/>
      <c r="R192" s="127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7"/>
      <c r="AD192" s="31"/>
      <c r="AE192" s="126"/>
    </row>
    <row r="193" spans="2:48" x14ac:dyDescent="0.2">
      <c r="B193" s="20" t="s">
        <v>320</v>
      </c>
      <c r="C193" s="152" t="e">
        <f t="shared" ref="C193:P193" si="356">C70/C185</f>
        <v>#DIV/0!</v>
      </c>
      <c r="D193" s="152" t="e">
        <f t="shared" si="356"/>
        <v>#DIV/0!</v>
      </c>
      <c r="E193" s="152" t="e">
        <f t="shared" si="356"/>
        <v>#DIV/0!</v>
      </c>
      <c r="F193" s="152" t="e">
        <f t="shared" si="356"/>
        <v>#DIV/0!</v>
      </c>
      <c r="G193" s="152" t="e">
        <f t="shared" si="356"/>
        <v>#DIV/0!</v>
      </c>
      <c r="H193" s="152" t="e">
        <f t="shared" si="356"/>
        <v>#DIV/0!</v>
      </c>
      <c r="I193" s="152" t="e">
        <f t="shared" si="356"/>
        <v>#DIV/0!</v>
      </c>
      <c r="J193" s="152" t="e">
        <f t="shared" si="356"/>
        <v>#DIV/0!</v>
      </c>
      <c r="K193" s="152" t="e">
        <f t="shared" si="356"/>
        <v>#DIV/0!</v>
      </c>
      <c r="L193" s="152" t="e">
        <f t="shared" si="356"/>
        <v>#DIV/0!</v>
      </c>
      <c r="M193" s="152" t="e">
        <f t="shared" si="356"/>
        <v>#DIV/0!</v>
      </c>
      <c r="N193" s="152" t="e">
        <f t="shared" si="356"/>
        <v>#DIV/0!</v>
      </c>
      <c r="O193" s="152" t="e">
        <f t="shared" si="356"/>
        <v>#DIV/0!</v>
      </c>
      <c r="P193" s="152">
        <f t="shared" si="356"/>
        <v>1.9E-2</v>
      </c>
      <c r="Q193" s="127"/>
      <c r="R193" s="127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7"/>
      <c r="AD193" s="31"/>
      <c r="AE193" s="126"/>
    </row>
    <row r="194" spans="2:48" x14ac:dyDescent="0.2">
      <c r="B194" s="20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27"/>
      <c r="R194" s="127"/>
      <c r="S194" s="134"/>
      <c r="T194" s="134"/>
      <c r="U194" s="134"/>
      <c r="V194" s="134"/>
      <c r="W194" s="134"/>
      <c r="X194" s="134"/>
      <c r="Y194" s="134"/>
      <c r="Z194" s="134"/>
      <c r="AA194" s="134"/>
      <c r="AB194" s="134"/>
      <c r="AC194" s="137"/>
      <c r="AD194" s="31"/>
      <c r="AE194" s="126"/>
    </row>
    <row r="195" spans="2:48" x14ac:dyDescent="0.2">
      <c r="B195" s="20"/>
      <c r="C195" s="128"/>
      <c r="D195" s="128"/>
      <c r="E195" s="128"/>
      <c r="F195" s="128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27"/>
      <c r="R195" s="127"/>
      <c r="S195" s="134"/>
      <c r="T195" s="134"/>
      <c r="U195" s="134"/>
      <c r="V195" s="134"/>
      <c r="W195" s="134"/>
      <c r="X195" s="134"/>
      <c r="Y195" s="134"/>
      <c r="Z195" s="134"/>
      <c r="AA195" s="134"/>
      <c r="AB195" s="134"/>
      <c r="AC195" s="136"/>
      <c r="AD195" s="20"/>
      <c r="AE195" s="126"/>
    </row>
    <row r="196" spans="2:48" x14ac:dyDescent="0.2">
      <c r="B196" s="108" t="s">
        <v>302</v>
      </c>
      <c r="C196" s="20"/>
      <c r="D196" s="20"/>
      <c r="E196" s="20"/>
      <c r="F196" s="20"/>
      <c r="G196" s="20"/>
      <c r="H196" s="20"/>
      <c r="I196" s="20"/>
      <c r="J196" s="20"/>
      <c r="K196" s="232" t="s">
        <v>351</v>
      </c>
      <c r="L196" s="233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136"/>
      <c r="AD196" s="20"/>
      <c r="AE196" s="20"/>
    </row>
    <row r="197" spans="2:48" x14ac:dyDescent="0.2">
      <c r="B197" s="20" t="s">
        <v>300</v>
      </c>
      <c r="C197" s="20" t="s">
        <v>315</v>
      </c>
      <c r="D197" s="20"/>
      <c r="E197" s="20"/>
      <c r="F197" s="20"/>
      <c r="G197" s="20"/>
      <c r="H197" s="20"/>
      <c r="I197" s="20"/>
      <c r="J197" s="20"/>
      <c r="K197" s="20" t="s">
        <v>352</v>
      </c>
      <c r="L197" s="22">
        <v>1</v>
      </c>
      <c r="M197" s="20"/>
      <c r="N197" s="20"/>
      <c r="O197" s="20"/>
      <c r="P197" s="127">
        <f>(P185-R173)/P185</f>
        <v>0.76539579601821328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136"/>
      <c r="AD197" s="20"/>
      <c r="AE197" s="20"/>
    </row>
    <row r="198" spans="2:48" x14ac:dyDescent="0.2">
      <c r="B198" s="20" t="s">
        <v>349</v>
      </c>
      <c r="C198" s="20" t="s">
        <v>315</v>
      </c>
      <c r="D198" s="20"/>
      <c r="E198" s="20"/>
      <c r="F198" s="20"/>
      <c r="G198" s="20"/>
      <c r="H198" s="20"/>
      <c r="I198" s="20"/>
      <c r="J198" s="20"/>
      <c r="K198" s="167">
        <f>L197</f>
        <v>1</v>
      </c>
      <c r="L198" s="20"/>
      <c r="M198" s="127">
        <f>(P185-(K198*R164))/P185</f>
        <v>12.734821269708007</v>
      </c>
      <c r="N198" s="20"/>
      <c r="O198" s="20"/>
      <c r="P198" s="127">
        <f>(P185-R164)/P185</f>
        <v>12.734821269708007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136"/>
      <c r="AD198" s="20"/>
      <c r="AE198" s="20"/>
    </row>
    <row r="199" spans="2:48" x14ac:dyDescent="0.2">
      <c r="B199" s="20" t="s">
        <v>350</v>
      </c>
      <c r="C199" s="20" t="s">
        <v>315</v>
      </c>
      <c r="D199" s="20"/>
      <c r="E199" s="20"/>
      <c r="F199" s="20"/>
      <c r="G199" s="20"/>
      <c r="H199" s="20"/>
      <c r="I199" s="20"/>
      <c r="J199" s="20"/>
      <c r="K199" s="167">
        <f>L197</f>
        <v>1</v>
      </c>
      <c r="L199" s="20"/>
      <c r="M199" s="127">
        <f>(P185-(K198*R157))/P185</f>
        <v>-0.17942166051295216</v>
      </c>
      <c r="N199" s="20"/>
      <c r="O199" s="20"/>
      <c r="P199" s="127">
        <f>(P185-R157)/P185</f>
        <v>-0.17942166051295216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136"/>
      <c r="AD199" s="20"/>
      <c r="AE199" s="20"/>
    </row>
    <row r="200" spans="2:48" x14ac:dyDescent="0.2">
      <c r="B200" s="20" t="s">
        <v>353</v>
      </c>
      <c r="C200" s="20" t="s">
        <v>315</v>
      </c>
      <c r="D200" s="20"/>
      <c r="E200" s="20"/>
      <c r="F200" s="20"/>
      <c r="G200" s="20"/>
      <c r="H200" s="20"/>
      <c r="I200" s="20"/>
      <c r="J200" s="20"/>
      <c r="K200" s="167">
        <f>L197</f>
        <v>1</v>
      </c>
      <c r="L200" s="20"/>
      <c r="M200" s="127">
        <f>(P185-(K198*R170))/P185</f>
        <v>-0.11233281145545689</v>
      </c>
      <c r="N200" s="20"/>
      <c r="O200" s="20"/>
      <c r="P200" s="127">
        <f>(P185-R170)/P185</f>
        <v>-0.11233281145545689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136"/>
      <c r="AD200" s="20"/>
      <c r="AE200" s="20"/>
    </row>
    <row r="201" spans="2:48" x14ac:dyDescent="0.2">
      <c r="B201" s="20" t="s">
        <v>301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5">
        <f>P185/R156</f>
        <v>5.2553657675051513</v>
      </c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136"/>
      <c r="AD201" s="20"/>
      <c r="AE201" s="20"/>
    </row>
    <row r="202" spans="2:48" x14ac:dyDescent="0.2">
      <c r="B202" s="20" t="s">
        <v>380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152">
        <f>1/P201</f>
        <v>0.19028171287014417</v>
      </c>
      <c r="Q202" s="20"/>
      <c r="R202" s="20"/>
      <c r="S202" s="220" t="s">
        <v>11</v>
      </c>
      <c r="T202" s="220" t="s">
        <v>12</v>
      </c>
      <c r="U202" s="220" t="s">
        <v>13</v>
      </c>
      <c r="V202" s="220" t="s">
        <v>14</v>
      </c>
      <c r="W202" s="220" t="s">
        <v>15</v>
      </c>
      <c r="X202" s="220" t="s">
        <v>234</v>
      </c>
      <c r="Y202" s="220" t="s">
        <v>235</v>
      </c>
      <c r="Z202" s="220" t="s">
        <v>236</v>
      </c>
      <c r="AA202" s="220" t="s">
        <v>237</v>
      </c>
      <c r="AB202" s="220" t="s">
        <v>238</v>
      </c>
      <c r="AC202" s="220" t="s">
        <v>414</v>
      </c>
      <c r="AD202" s="220" t="s">
        <v>415</v>
      </c>
      <c r="AE202" s="220" t="s">
        <v>416</v>
      </c>
      <c r="AF202" s="220" t="s">
        <v>417</v>
      </c>
      <c r="AG202" s="220" t="s">
        <v>418</v>
      </c>
      <c r="AH202" s="220" t="s">
        <v>419</v>
      </c>
      <c r="AI202" s="220" t="s">
        <v>420</v>
      </c>
      <c r="AJ202" s="220" t="s">
        <v>421</v>
      </c>
      <c r="AK202" s="220" t="s">
        <v>422</v>
      </c>
      <c r="AL202" s="220" t="s">
        <v>423</v>
      </c>
      <c r="AM202" s="220" t="s">
        <v>424</v>
      </c>
      <c r="AN202" s="220" t="s">
        <v>425</v>
      </c>
      <c r="AO202" s="220" t="s">
        <v>426</v>
      </c>
      <c r="AP202" s="220" t="s">
        <v>427</v>
      </c>
      <c r="AQ202" s="220" t="s">
        <v>428</v>
      </c>
      <c r="AR202" s="220" t="s">
        <v>429</v>
      </c>
      <c r="AS202" s="220" t="s">
        <v>430</v>
      </c>
      <c r="AT202" s="220" t="s">
        <v>431</v>
      </c>
      <c r="AU202" s="220" t="s">
        <v>432</v>
      </c>
      <c r="AV202" s="220" t="s">
        <v>433</v>
      </c>
    </row>
    <row r="203" spans="2:48" x14ac:dyDescent="0.2"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5"/>
      <c r="Q203" s="20"/>
      <c r="R203" s="20"/>
      <c r="S203" s="20">
        <f>$P$185-S204</f>
        <v>165.03032415827224</v>
      </c>
      <c r="T203" s="215">
        <f t="shared" ref="T203:AE203" si="357">$P$185-T204</f>
        <v>163.28184036618583</v>
      </c>
      <c r="U203" s="215">
        <f t="shared" si="357"/>
        <v>161.44593238449514</v>
      </c>
      <c r="V203" s="215">
        <f t="shared" si="357"/>
        <v>159.51822900371988</v>
      </c>
      <c r="W203" s="215">
        <f t="shared" si="357"/>
        <v>157.49414045390589</v>
      </c>
      <c r="X203" s="215">
        <f t="shared" si="357"/>
        <v>155.36884747660116</v>
      </c>
      <c r="Y203" s="215">
        <f t="shared" si="357"/>
        <v>153.13728985043122</v>
      </c>
      <c r="Z203" s="215">
        <f t="shared" si="357"/>
        <v>150.79415434295277</v>
      </c>
      <c r="AA203" s="215">
        <f t="shared" si="357"/>
        <v>148.33386206010042</v>
      </c>
      <c r="AB203" s="215">
        <f t="shared" si="357"/>
        <v>145.75055516310545</v>
      </c>
      <c r="AC203" s="215">
        <f t="shared" si="357"/>
        <v>143.0380829212607</v>
      </c>
      <c r="AD203" s="215">
        <f t="shared" si="357"/>
        <v>140.18998706732373</v>
      </c>
      <c r="AE203" s="215">
        <f t="shared" si="357"/>
        <v>137.19948642068991</v>
      </c>
      <c r="AF203" s="219">
        <f t="shared" ref="AF203" si="358">$P$185-AF204</f>
        <v>134.05946074172442</v>
      </c>
      <c r="AG203" s="219">
        <f t="shared" ref="AG203" si="359">$P$185-AG204</f>
        <v>130.76243377881065</v>
      </c>
      <c r="AH203" s="219">
        <f t="shared" ref="AH203" si="360">$P$185-AH204</f>
        <v>127.30055546775117</v>
      </c>
      <c r="AI203" s="219">
        <f t="shared" ref="AI203" si="361">$P$185-AI204</f>
        <v>123.66558324113872</v>
      </c>
      <c r="AJ203" s="219">
        <f t="shared" ref="AJ203" si="362">$P$185-AJ204</f>
        <v>119.84886240319565</v>
      </c>
      <c r="AK203" s="219">
        <f t="shared" ref="AK203" si="363">$P$185-AK204</f>
        <v>115.84130552335543</v>
      </c>
      <c r="AL203" s="219">
        <f t="shared" ref="AL203" si="364">$P$185-AL204</f>
        <v>111.63337079952319</v>
      </c>
      <c r="AM203" s="219">
        <f t="shared" ref="AM203" si="365">$P$185-AM204</f>
        <v>107.21503933949934</v>
      </c>
      <c r="AN203" s="219">
        <f t="shared" ref="AN203" si="366">$P$185-AN204</f>
        <v>102.5757913064743</v>
      </c>
      <c r="AO203" s="219">
        <f t="shared" ref="AO203" si="367">$P$185-AO204</f>
        <v>97.704580871798015</v>
      </c>
      <c r="AP203" s="219">
        <f t="shared" ref="AP203" si="368">$P$185-AP204</f>
        <v>92.589809915387917</v>
      </c>
      <c r="AQ203" s="219">
        <f t="shared" ref="AQ203" si="369">$P$185-AQ204</f>
        <v>87.219300411157306</v>
      </c>
      <c r="AR203" s="219">
        <f t="shared" ref="AR203" si="370">$P$185-AR204</f>
        <v>81.580265431715162</v>
      </c>
      <c r="AS203" s="219">
        <f t="shared" ref="AS203" si="371">$P$185-AS204</f>
        <v>75.659278703300913</v>
      </c>
      <c r="AT203" s="219">
        <f t="shared" ref="AT203" si="372">$P$185-AT204</f>
        <v>69.442242638465956</v>
      </c>
      <c r="AU203" s="219">
        <f t="shared" ref="AU203" si="373">$P$185-AU204</f>
        <v>62.914354770389252</v>
      </c>
      <c r="AV203" s="219">
        <f t="shared" ref="AV203" si="374">$P$185-AV204</f>
        <v>56.060072508908718</v>
      </c>
    </row>
    <row r="204" spans="2:48" s="187" customFormat="1" x14ac:dyDescent="0.2">
      <c r="B204" s="189" t="s">
        <v>397</v>
      </c>
      <c r="C204" s="189"/>
      <c r="D204" s="189"/>
      <c r="E204" s="189"/>
      <c r="F204" s="189"/>
      <c r="G204" s="189"/>
      <c r="H204" s="189"/>
      <c r="I204" s="189"/>
      <c r="J204" s="189"/>
      <c r="K204" s="190">
        <f>P1</f>
        <v>0.05</v>
      </c>
      <c r="L204" s="184"/>
      <c r="M204" s="184">
        <f>P185/(Q155*(1+K204)^L204)</f>
        <v>6.0052029349787759</v>
      </c>
      <c r="N204" s="184"/>
      <c r="O204" s="184"/>
      <c r="P204" s="186">
        <f>P185/Q155</f>
        <v>6.0052029349787759</v>
      </c>
      <c r="Q204" s="184"/>
      <c r="R204" s="184"/>
      <c r="S204" s="184">
        <f>Q155*(1+$K$204)</f>
        <v>34.969675841727771</v>
      </c>
      <c r="T204" s="215">
        <f>S204*(1+$K$204)</f>
        <v>36.71815963381416</v>
      </c>
      <c r="U204" s="215">
        <f t="shared" ref="U204:AE204" si="375">T204*(1+$K$204)</f>
        <v>38.55406761550487</v>
      </c>
      <c r="V204" s="215">
        <f t="shared" si="375"/>
        <v>40.481770996280112</v>
      </c>
      <c r="W204" s="215">
        <f t="shared" si="375"/>
        <v>42.505859546094122</v>
      </c>
      <c r="X204" s="215">
        <f t="shared" si="375"/>
        <v>44.631152523398832</v>
      </c>
      <c r="Y204" s="215">
        <f t="shared" si="375"/>
        <v>46.862710149568777</v>
      </c>
      <c r="Z204" s="215">
        <f t="shared" si="375"/>
        <v>49.20584565704722</v>
      </c>
      <c r="AA204" s="215">
        <f t="shared" si="375"/>
        <v>51.666137939899585</v>
      </c>
      <c r="AB204" s="215">
        <f t="shared" si="375"/>
        <v>54.249444836894568</v>
      </c>
      <c r="AC204" s="215">
        <f t="shared" si="375"/>
        <v>56.961917078739297</v>
      </c>
      <c r="AD204" s="215">
        <f t="shared" si="375"/>
        <v>59.810012932676266</v>
      </c>
      <c r="AE204" s="215">
        <f t="shared" si="375"/>
        <v>62.800513579310085</v>
      </c>
      <c r="AF204" s="219">
        <f t="shared" ref="AF204:AV204" si="376">AE204*(1+$K$204)</f>
        <v>65.940539258275592</v>
      </c>
      <c r="AG204" s="219">
        <f t="shared" si="376"/>
        <v>69.237566221189368</v>
      </c>
      <c r="AH204" s="219">
        <f t="shared" si="376"/>
        <v>72.699444532248833</v>
      </c>
      <c r="AI204" s="219">
        <f t="shared" si="376"/>
        <v>76.334416758861281</v>
      </c>
      <c r="AJ204" s="219">
        <f t="shared" si="376"/>
        <v>80.151137596804347</v>
      </c>
      <c r="AK204" s="219">
        <f t="shared" si="376"/>
        <v>84.15869447664457</v>
      </c>
      <c r="AL204" s="219">
        <f t="shared" si="376"/>
        <v>88.366629200476808</v>
      </c>
      <c r="AM204" s="219">
        <f t="shared" si="376"/>
        <v>92.784960660500658</v>
      </c>
      <c r="AN204" s="219">
        <f t="shared" si="376"/>
        <v>97.424208693525699</v>
      </c>
      <c r="AO204" s="219">
        <f t="shared" si="376"/>
        <v>102.29541912820198</v>
      </c>
      <c r="AP204" s="219">
        <f t="shared" si="376"/>
        <v>107.41019008461208</v>
      </c>
      <c r="AQ204" s="219">
        <f t="shared" si="376"/>
        <v>112.78069958884269</v>
      </c>
      <c r="AR204" s="219">
        <f t="shared" si="376"/>
        <v>118.41973456828484</v>
      </c>
      <c r="AS204" s="219">
        <f t="shared" si="376"/>
        <v>124.34072129669909</v>
      </c>
      <c r="AT204" s="219">
        <f t="shared" si="376"/>
        <v>130.55775736153404</v>
      </c>
      <c r="AU204" s="219">
        <f t="shared" si="376"/>
        <v>137.08564522961075</v>
      </c>
      <c r="AV204" s="219">
        <f t="shared" si="376"/>
        <v>143.93992749109128</v>
      </c>
    </row>
    <row r="205" spans="2:48" s="187" customFormat="1" x14ac:dyDescent="0.2">
      <c r="B205" s="189" t="s">
        <v>398</v>
      </c>
      <c r="C205" s="189"/>
      <c r="D205" s="189"/>
      <c r="E205" s="189"/>
      <c r="F205" s="189"/>
      <c r="G205" s="189"/>
      <c r="H205" s="189"/>
      <c r="I205" s="189"/>
      <c r="J205" s="189"/>
      <c r="K205" s="190">
        <v>0.12</v>
      </c>
      <c r="L205" s="184"/>
      <c r="M205" s="184">
        <f>P185/(P79*(1+K205)^L205)</f>
        <v>9.5749525616698286</v>
      </c>
      <c r="N205" s="184"/>
      <c r="O205" s="184"/>
      <c r="P205" s="186">
        <f>P185/P79</f>
        <v>9.5749525616698286</v>
      </c>
      <c r="Q205" s="184" t="s">
        <v>439</v>
      </c>
      <c r="R205" s="184"/>
      <c r="S205" s="216">
        <f>P79*(1+$K$205)</f>
        <v>23.394371779627431</v>
      </c>
      <c r="T205" s="184">
        <f>S205*(1+$K$205)</f>
        <v>26.201696393182726</v>
      </c>
      <c r="U205" s="215">
        <f t="shared" ref="U205:AE205" si="377">T205*(1+$K$205)</f>
        <v>29.345899960364655</v>
      </c>
      <c r="V205" s="215">
        <f t="shared" si="377"/>
        <v>32.867407955608414</v>
      </c>
      <c r="W205" s="215">
        <f t="shared" si="377"/>
        <v>36.811496910281427</v>
      </c>
      <c r="X205" s="215">
        <f t="shared" si="377"/>
        <v>41.228876539515205</v>
      </c>
      <c r="Y205" s="215">
        <f t="shared" si="377"/>
        <v>46.176341724257036</v>
      </c>
      <c r="Z205" s="215">
        <f t="shared" si="377"/>
        <v>51.717502731167883</v>
      </c>
      <c r="AA205" s="215">
        <f t="shared" si="377"/>
        <v>57.923603058908036</v>
      </c>
      <c r="AB205" s="215">
        <f t="shared" si="377"/>
        <v>64.874435425977012</v>
      </c>
      <c r="AC205" s="215">
        <f t="shared" si="377"/>
        <v>72.659367677094266</v>
      </c>
      <c r="AD205" s="215">
        <f t="shared" si="377"/>
        <v>81.378491798345593</v>
      </c>
      <c r="AE205" s="215">
        <f t="shared" si="377"/>
        <v>91.143910814147077</v>
      </c>
      <c r="AF205" s="219">
        <f t="shared" ref="AF205:AV205" si="378">AE205*(1+$K$205)</f>
        <v>102.08118011184473</v>
      </c>
      <c r="AG205" s="219">
        <f t="shared" si="378"/>
        <v>114.33092172526611</v>
      </c>
      <c r="AH205" s="219">
        <f t="shared" si="378"/>
        <v>128.05063233229805</v>
      </c>
      <c r="AI205" s="219">
        <f t="shared" si="378"/>
        <v>143.41670821217383</v>
      </c>
      <c r="AJ205" s="219">
        <f t="shared" si="378"/>
        <v>160.6267131976347</v>
      </c>
      <c r="AK205" s="219">
        <f t="shared" si="378"/>
        <v>179.90191878135087</v>
      </c>
      <c r="AL205" s="219">
        <f t="shared" si="378"/>
        <v>201.49014903511301</v>
      </c>
      <c r="AM205" s="219">
        <f t="shared" si="378"/>
        <v>225.66896691932658</v>
      </c>
      <c r="AN205" s="219">
        <f t="shared" si="378"/>
        <v>252.7492429496458</v>
      </c>
      <c r="AO205" s="219">
        <f t="shared" si="378"/>
        <v>283.07915210360335</v>
      </c>
      <c r="AP205" s="219">
        <f t="shared" si="378"/>
        <v>317.04865035603581</v>
      </c>
      <c r="AQ205" s="219">
        <f t="shared" si="378"/>
        <v>355.09448839876012</v>
      </c>
      <c r="AR205" s="219">
        <f t="shared" si="378"/>
        <v>397.7058270066114</v>
      </c>
      <c r="AS205" s="219">
        <f t="shared" si="378"/>
        <v>445.43052624740483</v>
      </c>
      <c r="AT205" s="219">
        <f t="shared" si="378"/>
        <v>498.88218939709344</v>
      </c>
      <c r="AU205" s="219">
        <f t="shared" si="378"/>
        <v>558.74805212474473</v>
      </c>
      <c r="AV205" s="219">
        <f t="shared" si="378"/>
        <v>625.79781837971416</v>
      </c>
    </row>
    <row r="206" spans="2:48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16">
        <f>$P$185-S205</f>
        <v>176.60562822037258</v>
      </c>
      <c r="T206" s="216">
        <f t="shared" ref="T206:AE206" si="379">$P$185-T205</f>
        <v>173.79830360681729</v>
      </c>
      <c r="U206" s="216">
        <f t="shared" si="379"/>
        <v>170.65410003963535</v>
      </c>
      <c r="V206" s="216">
        <f t="shared" si="379"/>
        <v>167.13259204439157</v>
      </c>
      <c r="W206" s="216">
        <f t="shared" si="379"/>
        <v>163.18850308971858</v>
      </c>
      <c r="X206" s="216">
        <f t="shared" si="379"/>
        <v>158.7711234604848</v>
      </c>
      <c r="Y206" s="216">
        <f t="shared" si="379"/>
        <v>153.82365827574296</v>
      </c>
      <c r="Z206" s="216">
        <f t="shared" si="379"/>
        <v>148.28249726883212</v>
      </c>
      <c r="AA206" s="216">
        <f t="shared" si="379"/>
        <v>142.07639694109196</v>
      </c>
      <c r="AB206" s="216">
        <f t="shared" si="379"/>
        <v>135.12556457402297</v>
      </c>
      <c r="AC206" s="216">
        <f t="shared" si="379"/>
        <v>127.34063232290573</v>
      </c>
      <c r="AD206" s="216">
        <f t="shared" si="379"/>
        <v>118.62150820165441</v>
      </c>
      <c r="AE206" s="216">
        <f t="shared" si="379"/>
        <v>108.85608918585292</v>
      </c>
      <c r="AF206" s="221">
        <f t="shared" ref="AF206" si="380">$P$185-AF205</f>
        <v>97.918819888155269</v>
      </c>
      <c r="AG206" s="221">
        <f t="shared" ref="AG206" si="381">$P$185-AG205</f>
        <v>85.669078274733891</v>
      </c>
      <c r="AH206" s="221">
        <f t="shared" ref="AH206" si="382">$P$185-AH205</f>
        <v>71.949367667701949</v>
      </c>
      <c r="AI206" s="221">
        <f t="shared" ref="AI206" si="383">$P$185-AI205</f>
        <v>56.58329178782617</v>
      </c>
      <c r="AJ206" s="221">
        <f t="shared" ref="AJ206" si="384">$P$185-AJ205</f>
        <v>39.3732868023653</v>
      </c>
      <c r="AK206" s="221">
        <f t="shared" ref="AK206" si="385">$P$185-AK205</f>
        <v>20.098081218649128</v>
      </c>
      <c r="AL206" s="221">
        <f t="shared" ref="AL206" si="386">$P$185-AL205</f>
        <v>-1.4901490351130064</v>
      </c>
      <c r="AM206" s="221">
        <f t="shared" ref="AM206" si="387">$P$185-AM205</f>
        <v>-25.668966919326579</v>
      </c>
      <c r="AN206" s="221">
        <f t="shared" ref="AN206" si="388">$P$185-AN205</f>
        <v>-52.749242949645804</v>
      </c>
      <c r="AO206" s="221">
        <f t="shared" ref="AO206" si="389">$P$185-AO205</f>
        <v>-83.079152103603349</v>
      </c>
      <c r="AP206" s="221">
        <f t="shared" ref="AP206" si="390">$P$185-AP205</f>
        <v>-117.04865035603581</v>
      </c>
      <c r="AQ206" s="221">
        <f t="shared" ref="AQ206" si="391">$P$185-AQ205</f>
        <v>-155.09448839876012</v>
      </c>
      <c r="AR206" s="221">
        <f t="shared" ref="AR206" si="392">$P$185-AR205</f>
        <v>-197.7058270066114</v>
      </c>
      <c r="AS206" s="221">
        <f t="shared" ref="AS206" si="393">$P$185-AS205</f>
        <v>-245.43052624740483</v>
      </c>
      <c r="AT206" s="221">
        <f t="shared" ref="AT206" si="394">$P$185-AT205</f>
        <v>-298.88218939709344</v>
      </c>
      <c r="AU206" s="221">
        <f t="shared" ref="AU206" si="395">$P$185-AU205</f>
        <v>-358.74805212474473</v>
      </c>
      <c r="AV206" s="221">
        <f t="shared" ref="AV206" si="396">$P$185-AV205</f>
        <v>-425.79781837971416</v>
      </c>
    </row>
    <row r="207" spans="2:48" x14ac:dyDescent="0.2">
      <c r="B207" s="108" t="s">
        <v>303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48" x14ac:dyDescent="0.2">
      <c r="B208" s="20" t="s">
        <v>306</v>
      </c>
      <c r="C208" s="25" t="e">
        <f t="shared" ref="C208:P208" si="397">C10/C7</f>
        <v>#DIV/0!</v>
      </c>
      <c r="D208" s="25" t="e">
        <f t="shared" si="397"/>
        <v>#DIV/0!</v>
      </c>
      <c r="E208" s="25" t="e">
        <f t="shared" si="397"/>
        <v>#DIV/0!</v>
      </c>
      <c r="F208" s="25">
        <f t="shared" si="397"/>
        <v>8.5993031358885013</v>
      </c>
      <c r="G208" s="25">
        <f t="shared" si="397"/>
        <v>9.5494276795005195</v>
      </c>
      <c r="H208" s="25">
        <f t="shared" si="397"/>
        <v>9.129752066115703</v>
      </c>
      <c r="I208" s="25">
        <f t="shared" si="397"/>
        <v>10.117474302496328</v>
      </c>
      <c r="J208" s="25">
        <f t="shared" si="397"/>
        <v>10.455825864276569</v>
      </c>
      <c r="K208" s="25">
        <f t="shared" si="397"/>
        <v>10.973031283710895</v>
      </c>
      <c r="L208" s="25">
        <f t="shared" si="397"/>
        <v>11.238284703801945</v>
      </c>
      <c r="M208" s="25">
        <f t="shared" si="397"/>
        <v>10.098198721673446</v>
      </c>
      <c r="N208" s="25">
        <f t="shared" si="397"/>
        <v>10.775948460987831</v>
      </c>
      <c r="O208" s="25">
        <f t="shared" si="397"/>
        <v>8.383362521891419</v>
      </c>
      <c r="P208" s="25">
        <f t="shared" si="397"/>
        <v>8.9859176488596351</v>
      </c>
      <c r="Q208" s="118">
        <f t="shared" ref="Q208:Q210" si="398">((P208/G208)^(1/($H$2-$H$1) ))-1</f>
        <v>-6.7352798197887198E-3</v>
      </c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 t="s">
        <v>307</v>
      </c>
      <c r="C209" s="112" t="e">
        <f>C10/C12</f>
        <v>#DIV/0!</v>
      </c>
      <c r="D209" s="112" t="e">
        <f>D10/D12</f>
        <v>#DIV/0!</v>
      </c>
      <c r="E209" s="112" t="e">
        <f>E10/E12</f>
        <v>#DIV/0!</v>
      </c>
      <c r="F209" s="112">
        <f>F10/F12</f>
        <v>16.751131221719458</v>
      </c>
      <c r="G209" s="112">
        <f>G10/G12</f>
        <v>22.885286783042392</v>
      </c>
      <c r="H209" s="112">
        <f t="shared" ref="H209:P209" si="399">H10/H12</f>
        <v>48.240174672489083</v>
      </c>
      <c r="I209" s="112">
        <f t="shared" si="399"/>
        <v>28.648648648648649</v>
      </c>
      <c r="J209" s="112">
        <f t="shared" si="399"/>
        <v>20.938461538461539</v>
      </c>
      <c r="K209" s="112">
        <f t="shared" si="399"/>
        <v>56.044077134986225</v>
      </c>
      <c r="L209" s="112">
        <f t="shared" si="399"/>
        <v>194.05343511450383</v>
      </c>
      <c r="M209" s="112">
        <f t="shared" si="399"/>
        <v>128.73333333333332</v>
      </c>
      <c r="N209" s="112">
        <f t="shared" si="399"/>
        <v>103.10958904109589</v>
      </c>
      <c r="O209" s="112">
        <f t="shared" si="399"/>
        <v>146.38837920489297</v>
      </c>
      <c r="P209" s="112">
        <f t="shared" si="399"/>
        <v>38.545633617859487</v>
      </c>
      <c r="Q209" s="118">
        <f t="shared" si="398"/>
        <v>5.9638301336980337E-2</v>
      </c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 t="s">
        <v>308</v>
      </c>
      <c r="C210" s="25" t="e">
        <f>C10/(C12+C15)</f>
        <v>#DIV/0!</v>
      </c>
      <c r="D210" s="25" t="e">
        <f>D10/(D12+D15)</f>
        <v>#DIV/0!</v>
      </c>
      <c r="E210" s="25" t="e">
        <f>E10/(E12+E15)</f>
        <v>#DIV/0!</v>
      </c>
      <c r="F210" s="25">
        <f>F10/(F12+F15)</f>
        <v>10.100954979536153</v>
      </c>
      <c r="G210" s="25">
        <f>G10/(G12+G15)</f>
        <v>17.153271028037384</v>
      </c>
      <c r="H210" s="25">
        <f t="shared" ref="H210:P210" si="400">H10/(H12+H15)</f>
        <v>34.648558793087226</v>
      </c>
      <c r="I210" s="25">
        <f t="shared" si="400"/>
        <v>17.03337453646477</v>
      </c>
      <c r="J210" s="25">
        <f t="shared" si="400"/>
        <v>16.315684315684315</v>
      </c>
      <c r="K210" s="25">
        <f t="shared" si="400"/>
        <v>17.598615916955016</v>
      </c>
      <c r="L210" s="25">
        <f t="shared" si="400"/>
        <v>19.875684128225174</v>
      </c>
      <c r="M210" s="25">
        <f t="shared" si="400"/>
        <v>20.409864944216089</v>
      </c>
      <c r="N210" s="25">
        <f t="shared" si="400"/>
        <v>24.372369131138694</v>
      </c>
      <c r="O210" s="25">
        <f t="shared" si="400"/>
        <v>95.92985971943888</v>
      </c>
      <c r="P210" s="25">
        <f t="shared" si="400"/>
        <v>34.170547147846335</v>
      </c>
      <c r="Q210" s="118">
        <f t="shared" si="398"/>
        <v>7.9583179140349181E-2</v>
      </c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8" t="s">
        <v>399</v>
      </c>
      <c r="D213" s="209"/>
      <c r="E213" s="209"/>
      <c r="F213" s="209"/>
      <c r="G213" s="209"/>
      <c r="H213" s="209"/>
      <c r="I213" s="209"/>
      <c r="J213" s="209"/>
      <c r="K213" s="193"/>
      <c r="L213" s="225" t="s">
        <v>337</v>
      </c>
      <c r="M213" s="226"/>
      <c r="N213" s="227"/>
      <c r="O213" s="196" t="s">
        <v>340</v>
      </c>
      <c r="P213" s="193"/>
      <c r="Q213" s="225" t="s">
        <v>338</v>
      </c>
      <c r="R213" s="226"/>
      <c r="S213" s="227"/>
      <c r="T213" s="196" t="s">
        <v>340</v>
      </c>
      <c r="U213" s="193"/>
      <c r="V213" s="193"/>
      <c r="W213" s="193"/>
      <c r="X213" s="193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2" t="s">
        <v>339</v>
      </c>
      <c r="D214" s="202" t="s">
        <v>0</v>
      </c>
      <c r="E214" s="202" t="s">
        <v>400</v>
      </c>
      <c r="F214" s="202" t="s">
        <v>401</v>
      </c>
      <c r="G214" s="202" t="s">
        <v>402</v>
      </c>
      <c r="H214" s="202" t="s">
        <v>403</v>
      </c>
      <c r="I214" s="202" t="s">
        <v>404</v>
      </c>
      <c r="J214" s="202" t="s">
        <v>405</v>
      </c>
      <c r="K214" s="193"/>
      <c r="L214" s="202" t="s">
        <v>339</v>
      </c>
      <c r="M214" s="202"/>
      <c r="N214" s="202" t="s">
        <v>0</v>
      </c>
      <c r="O214" s="202" t="s">
        <v>379</v>
      </c>
      <c r="P214" s="193"/>
      <c r="Q214" s="202" t="s">
        <v>339</v>
      </c>
      <c r="R214" s="202"/>
      <c r="S214" s="202" t="s">
        <v>0</v>
      </c>
      <c r="T214" s="202" t="s">
        <v>379</v>
      </c>
      <c r="U214" s="193"/>
      <c r="V214" s="193"/>
      <c r="W214" s="193"/>
      <c r="X214" s="193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3" t="s">
        <v>341</v>
      </c>
      <c r="D215" s="194">
        <v>1</v>
      </c>
      <c r="E215" s="210" t="s">
        <v>406</v>
      </c>
      <c r="F215" s="195">
        <v>1</v>
      </c>
      <c r="G215" s="195">
        <v>1</v>
      </c>
      <c r="H215" s="217">
        <f>F215/G215</f>
        <v>1</v>
      </c>
      <c r="I215" s="218">
        <f>D216*H215</f>
        <v>1</v>
      </c>
      <c r="J215" s="218">
        <f>SUM(H215:I215)</f>
        <v>2</v>
      </c>
      <c r="K215" s="193"/>
      <c r="L215" s="203" t="s">
        <v>341</v>
      </c>
      <c r="M215" s="203"/>
      <c r="N215" s="194">
        <v>1</v>
      </c>
      <c r="O215" s="207">
        <v>1</v>
      </c>
      <c r="P215" s="193"/>
      <c r="Q215" s="203" t="s">
        <v>341</v>
      </c>
      <c r="R215" s="203"/>
      <c r="S215" s="194">
        <v>1</v>
      </c>
      <c r="T215" s="207">
        <v>1</v>
      </c>
      <c r="U215" s="193"/>
      <c r="V215" s="193"/>
      <c r="W215" s="193"/>
      <c r="X215" s="193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3" t="s">
        <v>342</v>
      </c>
      <c r="D216" s="194">
        <v>1</v>
      </c>
      <c r="E216" s="210" t="s">
        <v>407</v>
      </c>
      <c r="F216" s="195">
        <v>1</v>
      </c>
      <c r="G216" s="195">
        <v>1</v>
      </c>
      <c r="H216" s="217">
        <f>F216/G216</f>
        <v>1</v>
      </c>
      <c r="I216" s="218">
        <f>H216*J215</f>
        <v>2</v>
      </c>
      <c r="J216" s="218">
        <f>I216+J215</f>
        <v>4</v>
      </c>
      <c r="K216" s="193"/>
      <c r="L216" s="203" t="s">
        <v>342</v>
      </c>
      <c r="M216" s="203"/>
      <c r="N216" s="194">
        <v>1</v>
      </c>
      <c r="O216" s="207">
        <v>1</v>
      </c>
      <c r="P216" s="193"/>
      <c r="Q216" s="203" t="s">
        <v>342</v>
      </c>
      <c r="R216" s="203"/>
      <c r="S216" s="194">
        <v>1</v>
      </c>
      <c r="T216" s="207">
        <v>1</v>
      </c>
      <c r="U216" s="193"/>
      <c r="V216" s="193"/>
      <c r="W216" s="193"/>
      <c r="X216" s="193"/>
      <c r="Y216" s="20"/>
      <c r="Z216" s="20"/>
      <c r="AA216" s="20"/>
      <c r="AB216" s="20"/>
      <c r="AC216" s="20"/>
      <c r="AD216" s="20"/>
      <c r="AE216" s="20"/>
    </row>
    <row r="217" spans="2:31" x14ac:dyDescent="0.2">
      <c r="B217" s="20"/>
      <c r="C217" s="203" t="s">
        <v>344</v>
      </c>
      <c r="D217" s="204">
        <f>D215*D216</f>
        <v>1</v>
      </c>
      <c r="E217" s="210" t="s">
        <v>408</v>
      </c>
      <c r="F217" s="195">
        <v>0</v>
      </c>
      <c r="G217" s="195">
        <v>2</v>
      </c>
      <c r="H217" s="217">
        <f>F217/G217</f>
        <v>0</v>
      </c>
      <c r="I217" s="218">
        <f>H217*J216</f>
        <v>0</v>
      </c>
      <c r="J217" s="218">
        <f>I217+J216</f>
        <v>4</v>
      </c>
      <c r="K217" s="193"/>
      <c r="L217" s="203" t="s">
        <v>343</v>
      </c>
      <c r="M217" s="203"/>
      <c r="N217" s="204">
        <v>1</v>
      </c>
      <c r="O217" s="207">
        <v>1</v>
      </c>
      <c r="P217" s="193"/>
      <c r="Q217" s="203" t="s">
        <v>344</v>
      </c>
      <c r="R217" s="203"/>
      <c r="S217" s="204">
        <v>1</v>
      </c>
      <c r="T217" s="207">
        <v>1</v>
      </c>
      <c r="U217" s="193"/>
      <c r="V217" s="193"/>
      <c r="W217" s="193"/>
      <c r="X217" s="193"/>
      <c r="Y217" s="20"/>
      <c r="Z217" s="20"/>
      <c r="AA217" s="20"/>
      <c r="AB217" s="20"/>
      <c r="AC217" s="20"/>
      <c r="AD217" s="20"/>
      <c r="AE217" s="20"/>
    </row>
    <row r="218" spans="2:31" x14ac:dyDescent="0.2">
      <c r="B218" s="20"/>
      <c r="C218" s="203"/>
      <c r="D218" s="204"/>
      <c r="E218" s="210" t="s">
        <v>409</v>
      </c>
      <c r="F218" s="195">
        <v>10</v>
      </c>
      <c r="G218" s="195">
        <v>2</v>
      </c>
      <c r="H218" s="217">
        <f>F218/G218</f>
        <v>5</v>
      </c>
      <c r="I218" s="218">
        <f>H218*J217</f>
        <v>20</v>
      </c>
      <c r="J218" s="218">
        <f>I218</f>
        <v>20</v>
      </c>
      <c r="K218" s="193"/>
      <c r="L218" s="203" t="s">
        <v>345</v>
      </c>
      <c r="M218" s="203"/>
      <c r="N218" s="194">
        <v>1</v>
      </c>
      <c r="O218" s="194">
        <v>1565</v>
      </c>
      <c r="P218" s="193"/>
      <c r="Q218" s="203" t="s">
        <v>345</v>
      </c>
      <c r="R218" s="203"/>
      <c r="S218" s="194">
        <v>1</v>
      </c>
      <c r="T218" s="194">
        <v>1</v>
      </c>
      <c r="U218" s="193"/>
      <c r="V218" s="193"/>
      <c r="W218" s="193"/>
      <c r="X218" s="193"/>
      <c r="Y218" s="20"/>
      <c r="Z218" s="20"/>
      <c r="AA218" s="20"/>
      <c r="AB218" s="20"/>
      <c r="AC218" s="20"/>
      <c r="AD218" s="20"/>
      <c r="AE218" s="20"/>
    </row>
    <row r="219" spans="2:31" x14ac:dyDescent="0.2">
      <c r="B219" s="20"/>
      <c r="C219" s="203" t="s">
        <v>345</v>
      </c>
      <c r="D219" s="194">
        <v>1</v>
      </c>
      <c r="E219" s="210"/>
      <c r="F219" s="203"/>
      <c r="G219" s="203"/>
      <c r="H219" s="205" t="s">
        <v>410</v>
      </c>
      <c r="I219" s="203"/>
      <c r="J219" s="218">
        <f>J218</f>
        <v>20</v>
      </c>
      <c r="K219" s="193"/>
      <c r="L219" s="203" t="s">
        <v>346</v>
      </c>
      <c r="M219" s="203"/>
      <c r="N219" s="204">
        <v>1</v>
      </c>
      <c r="O219" s="204">
        <v>1565</v>
      </c>
      <c r="P219" s="193"/>
      <c r="Q219" s="203" t="s">
        <v>342</v>
      </c>
      <c r="R219" s="203"/>
      <c r="S219" s="194">
        <v>1</v>
      </c>
      <c r="T219" s="199">
        <v>1</v>
      </c>
      <c r="U219" s="193"/>
      <c r="V219" s="193"/>
      <c r="W219" s="193"/>
      <c r="X219" s="193"/>
      <c r="Y219" s="20"/>
      <c r="Z219" s="20"/>
      <c r="AA219" s="20"/>
      <c r="AB219" s="20"/>
      <c r="AC219" s="20"/>
      <c r="AD219" s="20"/>
      <c r="AE219" s="20"/>
    </row>
    <row r="220" spans="2:31" x14ac:dyDescent="0.2">
      <c r="B220" s="20"/>
      <c r="C220" s="203" t="s">
        <v>342</v>
      </c>
      <c r="D220" s="194">
        <v>1</v>
      </c>
      <c r="E220" s="210" t="s">
        <v>409</v>
      </c>
      <c r="F220" s="195">
        <v>10</v>
      </c>
      <c r="G220" s="195">
        <v>2</v>
      </c>
      <c r="H220" s="203">
        <f>F220/G220</f>
        <v>5</v>
      </c>
      <c r="I220" s="211">
        <f>H220*D216</f>
        <v>5</v>
      </c>
      <c r="J220" s="211">
        <f>I220</f>
        <v>5</v>
      </c>
      <c r="K220" s="193"/>
      <c r="L220" s="203"/>
      <c r="M220" s="203"/>
      <c r="N220" s="204"/>
      <c r="O220" s="204"/>
      <c r="P220" s="193"/>
      <c r="Q220" s="203" t="s">
        <v>344</v>
      </c>
      <c r="R220" s="203"/>
      <c r="S220" s="204">
        <v>1</v>
      </c>
      <c r="T220" s="204">
        <v>1</v>
      </c>
      <c r="U220" s="193"/>
      <c r="V220" s="193"/>
      <c r="W220" s="193"/>
      <c r="X220" s="193"/>
      <c r="Y220" s="20"/>
      <c r="Z220" s="20"/>
      <c r="AA220" s="20"/>
      <c r="AB220" s="20"/>
      <c r="AC220" s="20"/>
      <c r="AD220" s="20"/>
      <c r="AE220" s="20"/>
    </row>
    <row r="221" spans="2:31" x14ac:dyDescent="0.2">
      <c r="B221" s="20"/>
      <c r="C221" s="203" t="s">
        <v>344</v>
      </c>
      <c r="D221" s="204">
        <f>D219*D220</f>
        <v>1</v>
      </c>
      <c r="E221" s="203"/>
      <c r="F221" s="203"/>
      <c r="G221" s="203"/>
      <c r="H221" s="205" t="s">
        <v>410</v>
      </c>
      <c r="I221" s="203"/>
      <c r="J221" s="218">
        <f>J220</f>
        <v>5</v>
      </c>
      <c r="K221" s="193"/>
      <c r="L221" s="203"/>
      <c r="M221" s="203"/>
      <c r="N221" s="204"/>
      <c r="O221" s="204"/>
      <c r="P221" s="193"/>
      <c r="Q221" s="203"/>
      <c r="R221" s="203"/>
      <c r="S221" s="204"/>
      <c r="T221" s="204"/>
      <c r="U221" s="193"/>
      <c r="V221" s="193"/>
      <c r="W221" s="193"/>
      <c r="X221" s="193"/>
      <c r="Y221" s="20"/>
      <c r="Z221" s="20"/>
      <c r="AA221" s="20"/>
      <c r="AB221" s="20"/>
      <c r="AC221" s="20"/>
      <c r="AD221" s="20"/>
      <c r="AE221" s="20"/>
    </row>
    <row r="222" spans="2:31" x14ac:dyDescent="0.2">
      <c r="B222" s="20"/>
      <c r="C222" s="203"/>
      <c r="D222" s="204"/>
      <c r="E222" s="210" t="s">
        <v>409</v>
      </c>
      <c r="F222" s="195">
        <v>10</v>
      </c>
      <c r="G222" s="195">
        <v>2</v>
      </c>
      <c r="H222" s="203">
        <f>F222/G222</f>
        <v>5</v>
      </c>
      <c r="I222" s="218">
        <f>H222*J221</f>
        <v>25</v>
      </c>
      <c r="J222" s="218">
        <f>I222</f>
        <v>25</v>
      </c>
      <c r="K222" s="193"/>
      <c r="L222" s="205" t="s">
        <v>347</v>
      </c>
      <c r="M222" s="205"/>
      <c r="N222" s="206">
        <v>1</v>
      </c>
      <c r="O222" s="206">
        <v>1565</v>
      </c>
      <c r="P222" s="193"/>
      <c r="Q222" s="205" t="s">
        <v>347</v>
      </c>
      <c r="R222" s="205"/>
      <c r="S222" s="206">
        <v>1</v>
      </c>
      <c r="T222" s="206">
        <v>1</v>
      </c>
      <c r="U222" s="193"/>
      <c r="V222" s="193"/>
      <c r="W222" s="193"/>
      <c r="X222" s="193"/>
      <c r="Y222" s="20"/>
      <c r="Z222" s="20"/>
      <c r="AA222" s="20"/>
      <c r="AB222" s="20"/>
      <c r="AC222" s="20"/>
      <c r="AD222" s="20"/>
      <c r="AE222" s="20"/>
    </row>
    <row r="223" spans="2:31" x14ac:dyDescent="0.2">
      <c r="B223" s="20"/>
      <c r="C223" s="205" t="s">
        <v>347</v>
      </c>
      <c r="D223" s="206">
        <v>1</v>
      </c>
      <c r="E223" s="210"/>
      <c r="F223" s="203"/>
      <c r="G223" s="203"/>
      <c r="H223" s="205" t="s">
        <v>410</v>
      </c>
      <c r="I223" s="203"/>
      <c r="J223" s="218">
        <f>J222</f>
        <v>25</v>
      </c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20"/>
      <c r="Z223" s="20"/>
      <c r="AA223" s="20"/>
      <c r="AB223" s="20"/>
      <c r="AC223" s="20"/>
      <c r="AD223" s="20"/>
      <c r="AE223" s="20"/>
    </row>
    <row r="224" spans="2:31" x14ac:dyDescent="0.2"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</row>
    <row r="225" spans="2:24" x14ac:dyDescent="0.2">
      <c r="B225" s="193"/>
      <c r="C225" s="193"/>
      <c r="D225" s="200"/>
      <c r="E225" s="212"/>
      <c r="F225" s="212"/>
      <c r="G225" s="213"/>
      <c r="H225" s="193"/>
      <c r="I225" s="200"/>
      <c r="J225" s="212"/>
      <c r="K225" s="213"/>
      <c r="L225" s="193"/>
      <c r="M225" s="193">
        <v>8</v>
      </c>
      <c r="N225" s="193">
        <v>12</v>
      </c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</row>
    <row r="226" spans="2:24" ht="14.25" x14ac:dyDescent="0.2">
      <c r="B226" s="193"/>
      <c r="C226" s="193"/>
      <c r="D226" s="222" t="s">
        <v>27</v>
      </c>
      <c r="E226" s="223"/>
      <c r="F226" s="223"/>
      <c r="G226" s="224"/>
      <c r="H226" s="193"/>
      <c r="I226" s="222" t="s">
        <v>411</v>
      </c>
      <c r="J226" s="223"/>
      <c r="K226" s="224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</row>
    <row r="227" spans="2:24" x14ac:dyDescent="0.2">
      <c r="B227" s="193"/>
      <c r="C227" s="193"/>
      <c r="D227" s="193" t="s">
        <v>28</v>
      </c>
      <c r="E227" s="199"/>
      <c r="F227" s="199"/>
      <c r="G227" s="194">
        <v>1</v>
      </c>
      <c r="H227" s="193"/>
      <c r="I227" s="193" t="s">
        <v>28</v>
      </c>
      <c r="J227" s="199"/>
      <c r="K227" s="194">
        <v>1</v>
      </c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</row>
    <row r="228" spans="2:24" x14ac:dyDescent="0.2">
      <c r="B228" s="193"/>
      <c r="C228" s="193"/>
      <c r="D228" s="193" t="s">
        <v>29</v>
      </c>
      <c r="E228" s="199"/>
      <c r="F228" s="199"/>
      <c r="G228" s="194">
        <v>1</v>
      </c>
      <c r="H228" s="193"/>
      <c r="I228" s="193" t="s">
        <v>29</v>
      </c>
      <c r="J228" s="193"/>
      <c r="K228" s="194">
        <v>1</v>
      </c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</row>
    <row r="229" spans="2:24" x14ac:dyDescent="0.2">
      <c r="B229" s="193"/>
      <c r="C229" s="193"/>
      <c r="D229" s="193" t="s">
        <v>30</v>
      </c>
      <c r="E229" s="193"/>
      <c r="F229" s="193"/>
      <c r="G229" s="195">
        <v>1</v>
      </c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</row>
    <row r="230" spans="2:24" x14ac:dyDescent="0.2">
      <c r="B230" s="193"/>
      <c r="C230" s="193"/>
      <c r="D230" s="196" t="s">
        <v>31</v>
      </c>
      <c r="E230" s="192"/>
      <c r="F230" s="192"/>
      <c r="G230" s="192">
        <f>((G228/G227)^(1/G229))-1</f>
        <v>0</v>
      </c>
      <c r="H230" s="193"/>
      <c r="I230" s="196" t="s">
        <v>412</v>
      </c>
      <c r="J230" s="196"/>
      <c r="K230" s="214">
        <f>(K228-K227)/K227</f>
        <v>0</v>
      </c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</row>
    <row r="231" spans="2:24" x14ac:dyDescent="0.2">
      <c r="B231" s="193"/>
      <c r="C231" s="193"/>
      <c r="D231" s="196" t="s">
        <v>32</v>
      </c>
      <c r="E231" s="201"/>
      <c r="F231" s="201"/>
      <c r="G231" s="197">
        <f>G229*12</f>
        <v>12</v>
      </c>
      <c r="H231" s="193"/>
      <c r="I231" s="196" t="s">
        <v>413</v>
      </c>
      <c r="J231" s="196"/>
      <c r="K231" s="196">
        <f>K228/K227</f>
        <v>1</v>
      </c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</row>
    <row r="232" spans="2:24" x14ac:dyDescent="0.2">
      <c r="B232" s="193"/>
      <c r="C232" s="193"/>
      <c r="D232" s="193" t="s">
        <v>30</v>
      </c>
      <c r="E232" s="198"/>
      <c r="F232" s="198"/>
      <c r="G232" s="198">
        <f>G231/12</f>
        <v>1</v>
      </c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</row>
    <row r="233" spans="2:24" x14ac:dyDescent="0.2">
      <c r="B233" s="193"/>
      <c r="C233" s="193"/>
      <c r="D233" s="196" t="s">
        <v>33</v>
      </c>
      <c r="E233" s="192"/>
      <c r="F233" s="192"/>
      <c r="G233" s="192">
        <v>0</v>
      </c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</row>
    <row r="234" spans="2:24" x14ac:dyDescent="0.2"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</row>
    <row r="235" spans="2:24" ht="15" x14ac:dyDescent="0.25"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91"/>
      <c r="X235" s="191"/>
    </row>
  </sheetData>
  <mergeCells count="7">
    <mergeCell ref="D226:G226"/>
    <mergeCell ref="I226:K226"/>
    <mergeCell ref="L213:N213"/>
    <mergeCell ref="Q213:S213"/>
    <mergeCell ref="AD2:AE2"/>
    <mergeCell ref="AD3:AE3"/>
    <mergeCell ref="K196:L196"/>
  </mergeCells>
  <pageMargins left="0.7" right="0.7" top="0.75" bottom="0.75" header="0.3" footer="0.3"/>
  <pageSetup orientation="portrait" r:id="rId1"/>
  <ignoredErrors>
    <ignoredError sqref="C187" evalError="1"/>
    <ignoredError sqref="T52 J221 J219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34" t="s">
        <v>27</v>
      </c>
      <c r="K5" s="234"/>
      <c r="M5" s="234" t="s">
        <v>65</v>
      </c>
      <c r="N5" s="23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34" t="s">
        <v>36</v>
      </c>
      <c r="K14" s="234"/>
      <c r="L14" s="23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34" t="s">
        <v>27</v>
      </c>
      <c r="S5" s="234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34" t="s">
        <v>36</v>
      </c>
      <c r="S14" s="234"/>
      <c r="T14" s="234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34" t="s">
        <v>27</v>
      </c>
      <c r="C2" s="234"/>
      <c r="E2" s="234" t="s">
        <v>65</v>
      </c>
      <c r="F2" s="234"/>
      <c r="H2" s="238" t="s">
        <v>36</v>
      </c>
      <c r="I2" s="23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35" t="s">
        <v>68</v>
      </c>
      <c r="E10" s="236"/>
      <c r="F10" s="236"/>
      <c r="G10" s="236"/>
      <c r="H10" s="237"/>
      <c r="I10" s="235" t="s">
        <v>72</v>
      </c>
      <c r="J10" s="236"/>
      <c r="K10" s="236"/>
      <c r="L10" s="23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2014-04-18T07:45:26Z</dcterms:modified>
</cp:coreProperties>
</file>
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R21" i="18" l="1"/>
  <c r="B191" i="18" l="1"/>
  <c r="AE203" i="18"/>
  <c r="AE200" i="18"/>
  <c r="AE202" i="18"/>
  <c r="AE201" i="18"/>
  <c r="AE198" i="18"/>
  <c r="AE197" i="18"/>
  <c r="AE196" i="18"/>
  <c r="AE195" i="18"/>
  <c r="AE190" i="18"/>
  <c r="AE193" i="18"/>
  <c r="AE192" i="18"/>
  <c r="AE191" i="18"/>
  <c r="AE188" i="18"/>
  <c r="AE187" i="18"/>
  <c r="AE184" i="18"/>
  <c r="AE183" i="18"/>
  <c r="AE186" i="18"/>
  <c r="AE185" i="18"/>
  <c r="AE182" i="18"/>
  <c r="AE181" i="18"/>
  <c r="AE180" i="18"/>
  <c r="AE179" i="18"/>
  <c r="AE178" i="18"/>
  <c r="AE177" i="18"/>
  <c r="AF200" i="18"/>
  <c r="AF201" i="18" l="1"/>
  <c r="T42" i="18"/>
  <c r="Q188" i="18"/>
  <c r="P188" i="18"/>
  <c r="O188" i="18"/>
  <c r="N188" i="18"/>
  <c r="M188" i="18"/>
  <c r="L188" i="18"/>
  <c r="K188" i="18"/>
  <c r="J188" i="18"/>
  <c r="I188" i="18"/>
  <c r="H188" i="18"/>
  <c r="G188" i="18"/>
  <c r="R188" i="18" l="1"/>
  <c r="Q45" i="18"/>
  <c r="P45" i="18"/>
  <c r="O45" i="18"/>
  <c r="N45" i="18"/>
  <c r="M45" i="18"/>
  <c r="L45" i="18"/>
  <c r="K45" i="18"/>
  <c r="J45" i="18"/>
  <c r="I45" i="18"/>
  <c r="H45" i="18"/>
  <c r="G45" i="18"/>
  <c r="Q43" i="18"/>
  <c r="P43" i="18"/>
  <c r="O43" i="18"/>
  <c r="N43" i="18"/>
  <c r="M43" i="18"/>
  <c r="L43" i="18"/>
  <c r="K43" i="18"/>
  <c r="J43" i="18"/>
  <c r="I43" i="18"/>
  <c r="H43" i="18"/>
  <c r="G43" i="18"/>
  <c r="Q41" i="18"/>
  <c r="P41" i="18"/>
  <c r="O41" i="18"/>
  <c r="N41" i="18"/>
  <c r="M41" i="18"/>
  <c r="L41" i="18"/>
  <c r="K41" i="18"/>
  <c r="J41" i="18"/>
  <c r="I41" i="18"/>
  <c r="H41" i="18"/>
  <c r="G41" i="18"/>
  <c r="Q39" i="18"/>
  <c r="P39" i="18"/>
  <c r="O39" i="18"/>
  <c r="N39" i="18"/>
  <c r="M39" i="18"/>
  <c r="L39" i="18"/>
  <c r="K39" i="18"/>
  <c r="J39" i="18"/>
  <c r="I39" i="18"/>
  <c r="H39" i="18"/>
  <c r="G39" i="18"/>
  <c r="Q37" i="18"/>
  <c r="P37" i="18"/>
  <c r="O37" i="18"/>
  <c r="N37" i="18"/>
  <c r="M37" i="18"/>
  <c r="L37" i="18"/>
  <c r="K37" i="18"/>
  <c r="J37" i="18"/>
  <c r="I37" i="18"/>
  <c r="H37" i="18"/>
  <c r="G37" i="18"/>
  <c r="Q30" i="18"/>
  <c r="P30" i="18"/>
  <c r="O30" i="18"/>
  <c r="N30" i="18"/>
  <c r="M30" i="18"/>
  <c r="L30" i="18"/>
  <c r="K30" i="18"/>
  <c r="J30" i="18"/>
  <c r="I30" i="18"/>
  <c r="H30" i="18"/>
  <c r="G30" i="18"/>
  <c r="Q28" i="18"/>
  <c r="P28" i="18"/>
  <c r="O28" i="18"/>
  <c r="N28" i="18"/>
  <c r="M28" i="18"/>
  <c r="L28" i="18"/>
  <c r="K28" i="18"/>
  <c r="J28" i="18"/>
  <c r="I28" i="18"/>
  <c r="H28" i="18"/>
  <c r="G28" i="18"/>
  <c r="Q26" i="18"/>
  <c r="P26" i="18"/>
  <c r="O26" i="18"/>
  <c r="N26" i="18"/>
  <c r="M26" i="18"/>
  <c r="L26" i="18"/>
  <c r="K26" i="18"/>
  <c r="J26" i="18"/>
  <c r="I26" i="18"/>
  <c r="H26" i="18"/>
  <c r="G26" i="18"/>
  <c r="Q11" i="18"/>
  <c r="P11" i="18"/>
  <c r="O11" i="18"/>
  <c r="N11" i="18"/>
  <c r="M11" i="18"/>
  <c r="L11" i="18"/>
  <c r="K11" i="18"/>
  <c r="J11" i="18"/>
  <c r="I11" i="18"/>
  <c r="H11" i="18"/>
  <c r="G11" i="18"/>
  <c r="Q8" i="18"/>
  <c r="P8" i="18"/>
  <c r="O8" i="18"/>
  <c r="N8" i="18"/>
  <c r="M8" i="18"/>
  <c r="L8" i="18"/>
  <c r="K8" i="18"/>
  <c r="J8" i="18"/>
  <c r="I8" i="18"/>
  <c r="H8" i="18"/>
  <c r="G8" i="18"/>
  <c r="Q87" i="18" l="1"/>
  <c r="P87" i="18"/>
  <c r="O87" i="18"/>
  <c r="N87" i="18"/>
  <c r="M87" i="18"/>
  <c r="L87" i="18"/>
  <c r="K87" i="18"/>
  <c r="J87" i="18"/>
  <c r="I87" i="18"/>
  <c r="H87" i="18"/>
  <c r="G87" i="18"/>
  <c r="S146" i="18" l="1"/>
  <c r="T196" i="18" s="1"/>
  <c r="Q146" i="18"/>
  <c r="T201" i="18" s="1"/>
  <c r="R87" i="18"/>
  <c r="C1" i="18"/>
  <c r="K201" i="18" l="1"/>
  <c r="K202" i="18" s="1"/>
  <c r="K203" i="18" s="1"/>
  <c r="T197" i="18"/>
  <c r="T198" i="18" s="1"/>
  <c r="T195" i="18"/>
  <c r="Q201" i="18"/>
  <c r="P201" i="18"/>
  <c r="P200" i="18" s="1"/>
  <c r="T202" i="18"/>
  <c r="T203" i="18" s="1"/>
  <c r="T200" i="18"/>
  <c r="O201" i="18"/>
  <c r="J201" i="18"/>
  <c r="I201" i="18"/>
  <c r="N201" i="18"/>
  <c r="H201" i="18"/>
  <c r="M201" i="18"/>
  <c r="G201" i="18"/>
  <c r="L201" i="18"/>
  <c r="P213" i="18"/>
  <c r="M196" i="18"/>
  <c r="P196" i="18"/>
  <c r="P195" i="18" s="1"/>
  <c r="L196" i="18"/>
  <c r="H196" i="18"/>
  <c r="O196" i="18"/>
  <c r="K196" i="18"/>
  <c r="G196" i="18"/>
  <c r="N196" i="18"/>
  <c r="J196" i="18"/>
  <c r="Q196" i="18"/>
  <c r="I196" i="18"/>
  <c r="AE56" i="18"/>
  <c r="AE55" i="18"/>
  <c r="AE53" i="18"/>
  <c r="G56" i="18"/>
  <c r="G181" i="18" s="1"/>
  <c r="H56" i="18"/>
  <c r="H181" i="18" s="1"/>
  <c r="I56" i="18"/>
  <c r="I181" i="18" s="1"/>
  <c r="J56" i="18"/>
  <c r="J181" i="18" s="1"/>
  <c r="K56" i="18"/>
  <c r="K181" i="18" s="1"/>
  <c r="L56" i="18"/>
  <c r="L181" i="18" s="1"/>
  <c r="M56" i="18"/>
  <c r="M181" i="18" s="1"/>
  <c r="N56" i="18"/>
  <c r="N181" i="18" s="1"/>
  <c r="O56" i="18"/>
  <c r="O181" i="18" s="1"/>
  <c r="P56" i="18"/>
  <c r="Q56" i="18"/>
  <c r="Q181" i="18" s="1"/>
  <c r="G55" i="18"/>
  <c r="G180" i="18" s="1"/>
  <c r="H55" i="18"/>
  <c r="H180" i="18" s="1"/>
  <c r="I55" i="18"/>
  <c r="I180" i="18" s="1"/>
  <c r="J55" i="18"/>
  <c r="J180" i="18" s="1"/>
  <c r="K55" i="18"/>
  <c r="K180" i="18" s="1"/>
  <c r="L55" i="18"/>
  <c r="L180" i="18" s="1"/>
  <c r="M55" i="18"/>
  <c r="M180" i="18" s="1"/>
  <c r="N55" i="18"/>
  <c r="N180" i="18" s="1"/>
  <c r="O55" i="18"/>
  <c r="O180" i="18" s="1"/>
  <c r="P55" i="18"/>
  <c r="P180" i="18" s="1"/>
  <c r="Q55" i="18"/>
  <c r="Q180" i="18" s="1"/>
  <c r="K200" i="18" l="1"/>
  <c r="P202" i="18"/>
  <c r="P203" i="18" s="1"/>
  <c r="J197" i="18"/>
  <c r="J198" i="18" s="1"/>
  <c r="J195" i="18"/>
  <c r="O197" i="18"/>
  <c r="O198" i="18" s="1"/>
  <c r="O195" i="18"/>
  <c r="M197" i="18"/>
  <c r="M198" i="18" s="1"/>
  <c r="M195" i="18"/>
  <c r="L202" i="18"/>
  <c r="L203" i="18" s="1"/>
  <c r="L200" i="18"/>
  <c r="N202" i="18"/>
  <c r="N203" i="18" s="1"/>
  <c r="N200" i="18"/>
  <c r="N197" i="18"/>
  <c r="N198" i="18" s="1"/>
  <c r="N195" i="18"/>
  <c r="H197" i="18"/>
  <c r="H198" i="18" s="1"/>
  <c r="H195" i="18"/>
  <c r="G202" i="18"/>
  <c r="G203" i="18" s="1"/>
  <c r="G200" i="18"/>
  <c r="R200" i="18" s="1"/>
  <c r="I202" i="18"/>
  <c r="I203" i="18" s="1"/>
  <c r="I200" i="18"/>
  <c r="I197" i="18"/>
  <c r="I198" i="18" s="1"/>
  <c r="I195" i="18"/>
  <c r="G197" i="18"/>
  <c r="G198" i="18" s="1"/>
  <c r="G195" i="18"/>
  <c r="L197" i="18"/>
  <c r="L198" i="18" s="1"/>
  <c r="L195" i="18"/>
  <c r="R201" i="18"/>
  <c r="M202" i="18"/>
  <c r="M203" i="18" s="1"/>
  <c r="M200" i="18"/>
  <c r="J202" i="18"/>
  <c r="J203" i="18" s="1"/>
  <c r="J200" i="18"/>
  <c r="Q197" i="18"/>
  <c r="Q198" i="18" s="1"/>
  <c r="Q195" i="18"/>
  <c r="K197" i="18"/>
  <c r="K198" i="18" s="1"/>
  <c r="K195" i="18"/>
  <c r="R195" i="18"/>
  <c r="H202" i="18"/>
  <c r="H203" i="18" s="1"/>
  <c r="H200" i="18"/>
  <c r="O202" i="18"/>
  <c r="O203" i="18" s="1"/>
  <c r="O200" i="18"/>
  <c r="Q202" i="18"/>
  <c r="Q203" i="18" s="1"/>
  <c r="Q200" i="18"/>
  <c r="P197" i="18"/>
  <c r="R196" i="18"/>
  <c r="R180" i="18"/>
  <c r="R56" i="18"/>
  <c r="P181" i="18"/>
  <c r="R181" i="18" s="1"/>
  <c r="R55" i="18"/>
  <c r="R203" i="18" l="1"/>
  <c r="R202" i="18"/>
  <c r="P198" i="18"/>
  <c r="R198" i="18" s="1"/>
  <c r="R197" i="18"/>
  <c r="G123" i="18"/>
  <c r="H123" i="18"/>
  <c r="I123" i="18"/>
  <c r="J123" i="18"/>
  <c r="K123" i="18"/>
  <c r="L123" i="18"/>
  <c r="M123" i="18"/>
  <c r="N123" i="18"/>
  <c r="O123" i="18"/>
  <c r="P123" i="18"/>
  <c r="Q123" i="18"/>
  <c r="Q122" i="18"/>
  <c r="R123" i="18" l="1"/>
  <c r="H230" i="18"/>
  <c r="H227" i="18"/>
  <c r="H228" i="18"/>
  <c r="H229" i="18"/>
  <c r="Q219" i="18" l="1"/>
  <c r="Q218" i="18"/>
  <c r="Q217" i="18"/>
  <c r="Q187" i="18"/>
  <c r="Q51" i="18"/>
  <c r="Q178" i="18" s="1"/>
  <c r="Q52" i="18"/>
  <c r="Q53" i="18"/>
  <c r="Q95" i="18" s="1"/>
  <c r="Q57" i="18"/>
  <c r="Q190" i="18" s="1"/>
  <c r="Q58" i="18"/>
  <c r="Q59" i="18"/>
  <c r="Q60" i="18"/>
  <c r="Q182" i="18" s="1"/>
  <c r="Q61" i="18"/>
  <c r="Q63" i="18"/>
  <c r="Q64" i="18"/>
  <c r="Q65" i="18"/>
  <c r="Q185" i="18" s="1"/>
  <c r="Q67" i="18"/>
  <c r="Q68" i="18"/>
  <c r="Q70" i="18"/>
  <c r="Q71" i="18"/>
  <c r="Q184" i="18" s="1"/>
  <c r="Q73" i="18"/>
  <c r="Q115" i="18" s="1"/>
  <c r="Q116" i="18" s="1"/>
  <c r="Q75" i="18"/>
  <c r="Q77" i="18" s="1"/>
  <c r="Q78" i="18"/>
  <c r="Q79" i="18"/>
  <c r="Q80" i="18"/>
  <c r="Q81" i="18"/>
  <c r="Q83" i="18"/>
  <c r="Q140" i="18" s="1"/>
  <c r="Q84" i="18"/>
  <c r="Q85" i="18"/>
  <c r="Q90" i="18"/>
  <c r="Q91" i="18"/>
  <c r="Q92" i="18"/>
  <c r="Q93" i="18"/>
  <c r="Q94" i="18"/>
  <c r="Q97" i="18"/>
  <c r="Q103" i="18" s="1"/>
  <c r="Q98" i="18"/>
  <c r="Q104" i="18" s="1"/>
  <c r="Q99" i="18"/>
  <c r="Q105" i="18" s="1"/>
  <c r="Q100" i="18"/>
  <c r="Q106" i="18" s="1"/>
  <c r="Q101" i="18"/>
  <c r="Q107" i="18" s="1"/>
  <c r="Q110" i="18"/>
  <c r="Q111" i="18"/>
  <c r="Q112" i="18"/>
  <c r="Q113" i="18"/>
  <c r="Q121" i="18"/>
  <c r="Q125" i="18"/>
  <c r="Q126" i="18"/>
  <c r="Q127" i="18"/>
  <c r="Q130" i="18"/>
  <c r="Q131" i="18"/>
  <c r="Q132" i="18"/>
  <c r="Q133" i="18"/>
  <c r="Q135" i="18"/>
  <c r="Q136" i="18"/>
  <c r="Q138" i="18"/>
  <c r="Q139" i="18" s="1"/>
  <c r="Q142" i="18"/>
  <c r="Q143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0" i="18"/>
  <c r="R18" i="18"/>
  <c r="R16" i="18"/>
  <c r="R15" i="18"/>
  <c r="R14" i="18"/>
  <c r="R13" i="18"/>
  <c r="R12" i="18"/>
  <c r="R10" i="18"/>
  <c r="R9" i="18"/>
  <c r="R7" i="18"/>
  <c r="R6" i="18"/>
  <c r="P214" i="18" l="1"/>
  <c r="Q179" i="18"/>
  <c r="Q69" i="18"/>
  <c r="Q183" i="18" s="1"/>
  <c r="Q117" i="18"/>
  <c r="Q118" i="18" s="1"/>
  <c r="Q119" i="18"/>
  <c r="H53" i="18"/>
  <c r="H95" i="18" s="1"/>
  <c r="I53" i="18"/>
  <c r="I95" i="18" s="1"/>
  <c r="J53" i="18"/>
  <c r="J95" i="18" s="1"/>
  <c r="K53" i="18"/>
  <c r="K95" i="18" s="1"/>
  <c r="L53" i="18"/>
  <c r="L95" i="18" s="1"/>
  <c r="M53" i="18"/>
  <c r="M95" i="18" s="1"/>
  <c r="N53" i="18"/>
  <c r="N95" i="18" s="1"/>
  <c r="O53" i="18"/>
  <c r="O95" i="18" s="1"/>
  <c r="P53" i="18"/>
  <c r="P95" i="18" s="1"/>
  <c r="G53" i="18"/>
  <c r="G95" i="18" s="1"/>
  <c r="Q192" i="18" l="1"/>
  <c r="Q193" i="18" s="1"/>
  <c r="Q191" i="18"/>
  <c r="H214" i="18"/>
  <c r="R95" i="18"/>
  <c r="R53" i="18"/>
  <c r="S44" i="18"/>
  <c r="T44" i="18" s="1"/>
  <c r="K210" i="18" l="1"/>
  <c r="K209" i="18"/>
  <c r="K208" i="18"/>
  <c r="K207" i="18"/>
  <c r="AE38" i="18" l="1"/>
  <c r="S38" i="18"/>
  <c r="T38" i="18" l="1"/>
  <c r="U38" i="18" l="1"/>
  <c r="K214" i="18"/>
  <c r="T214" i="18" s="1"/>
  <c r="T215" i="18" s="1"/>
  <c r="K213" i="18"/>
  <c r="V38" i="18" l="1"/>
  <c r="U228" i="18"/>
  <c r="U229" i="18" s="1"/>
  <c r="D226" i="18"/>
  <c r="G240" i="18" s="1"/>
  <c r="K240" i="18" s="1"/>
  <c r="H226" i="18"/>
  <c r="L110" i="18"/>
  <c r="J110" i="18"/>
  <c r="H110" i="18"/>
  <c r="G110" i="18"/>
  <c r="I110" i="18"/>
  <c r="K110" i="18"/>
  <c r="M110" i="18"/>
  <c r="N110" i="18"/>
  <c r="O110" i="18"/>
  <c r="P110" i="18"/>
  <c r="H143" i="18"/>
  <c r="I143" i="18"/>
  <c r="J143" i="18"/>
  <c r="K143" i="18"/>
  <c r="L143" i="18"/>
  <c r="M143" i="18"/>
  <c r="N143" i="18"/>
  <c r="O143" i="18"/>
  <c r="P143" i="18"/>
  <c r="H142" i="18"/>
  <c r="I142" i="18"/>
  <c r="J142" i="18"/>
  <c r="K142" i="18"/>
  <c r="L142" i="18"/>
  <c r="M142" i="18"/>
  <c r="N142" i="18"/>
  <c r="O142" i="18"/>
  <c r="P142" i="18"/>
  <c r="G244" i="18"/>
  <c r="G245" i="18" s="1"/>
  <c r="AE58" i="18"/>
  <c r="H58" i="18"/>
  <c r="I58" i="18"/>
  <c r="J58" i="18"/>
  <c r="K58" i="18"/>
  <c r="L58" i="18"/>
  <c r="M58" i="18"/>
  <c r="N58" i="18"/>
  <c r="O58" i="18"/>
  <c r="P58" i="18"/>
  <c r="G58" i="18"/>
  <c r="H235" i="18"/>
  <c r="D234" i="18"/>
  <c r="G241" i="18" s="1"/>
  <c r="K241" i="18" s="1"/>
  <c r="H233" i="18"/>
  <c r="I233" i="18" s="1"/>
  <c r="J233" i="18" s="1"/>
  <c r="J234" i="18" s="1"/>
  <c r="H231" i="18"/>
  <c r="H225" i="18"/>
  <c r="H224" i="18"/>
  <c r="I224" i="18" s="1"/>
  <c r="J224" i="18" s="1"/>
  <c r="W38" i="18" l="1"/>
  <c r="G246" i="18"/>
  <c r="G243" i="18"/>
  <c r="D236" i="18"/>
  <c r="K244" i="18"/>
  <c r="R58" i="18"/>
  <c r="K243" i="18"/>
  <c r="I225" i="18"/>
  <c r="J225" i="18" s="1"/>
  <c r="I235" i="18"/>
  <c r="J235" i="18" s="1"/>
  <c r="J236" i="18" s="1"/>
  <c r="H94" i="18"/>
  <c r="I94" i="18"/>
  <c r="J94" i="18"/>
  <c r="K94" i="18"/>
  <c r="L94" i="18"/>
  <c r="M94" i="18"/>
  <c r="N94" i="18"/>
  <c r="O94" i="18"/>
  <c r="P94" i="18"/>
  <c r="G94" i="18"/>
  <c r="G143" i="18"/>
  <c r="G142" i="18"/>
  <c r="AE14" i="18"/>
  <c r="S14" i="18"/>
  <c r="U225" i="18"/>
  <c r="U224" i="18"/>
  <c r="O225" i="18"/>
  <c r="O228" i="18" s="1"/>
  <c r="O224" i="18"/>
  <c r="H101" i="18"/>
  <c r="H107" i="18" s="1"/>
  <c r="I101" i="18"/>
  <c r="I107" i="18" s="1"/>
  <c r="J101" i="18"/>
  <c r="J107" i="18" s="1"/>
  <c r="K101" i="18"/>
  <c r="K107" i="18" s="1"/>
  <c r="L101" i="18"/>
  <c r="L107" i="18" s="1"/>
  <c r="M101" i="18"/>
  <c r="M107" i="18" s="1"/>
  <c r="N101" i="18"/>
  <c r="N107" i="18" s="1"/>
  <c r="O101" i="18"/>
  <c r="O107" i="18" s="1"/>
  <c r="P101" i="18"/>
  <c r="P107" i="18" s="1"/>
  <c r="G101" i="18"/>
  <c r="G107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H138" i="18"/>
  <c r="H139" i="18" s="1"/>
  <c r="I138" i="18"/>
  <c r="I139" i="18" s="1"/>
  <c r="J138" i="18"/>
  <c r="J139" i="18" s="1"/>
  <c r="K138" i="18"/>
  <c r="K139" i="18" s="1"/>
  <c r="L138" i="18"/>
  <c r="L139" i="18" s="1"/>
  <c r="M138" i="18"/>
  <c r="M139" i="18" s="1"/>
  <c r="N138" i="18"/>
  <c r="N139" i="18" s="1"/>
  <c r="O138" i="18"/>
  <c r="O139" i="18" s="1"/>
  <c r="P138" i="18"/>
  <c r="P139" i="18" s="1"/>
  <c r="G138" i="18"/>
  <c r="G139" i="18" s="1"/>
  <c r="X38" i="18" l="1"/>
  <c r="R107" i="18"/>
  <c r="R104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5" i="18"/>
  <c r="I226" i="18"/>
  <c r="J226" i="18" s="1"/>
  <c r="R142" i="18"/>
  <c r="R143" i="18"/>
  <c r="R94" i="18"/>
  <c r="R101" i="18"/>
  <c r="R98" i="18"/>
  <c r="R139" i="18"/>
  <c r="R138" i="18"/>
  <c r="R99" i="18"/>
  <c r="P93" i="18"/>
  <c r="P92" i="18"/>
  <c r="H93" i="18"/>
  <c r="I93" i="18"/>
  <c r="J93" i="18"/>
  <c r="K93" i="18"/>
  <c r="L93" i="18"/>
  <c r="M93" i="18"/>
  <c r="N93" i="18"/>
  <c r="O93" i="18"/>
  <c r="G93" i="18"/>
  <c r="G92" i="18"/>
  <c r="H136" i="18"/>
  <c r="I136" i="18"/>
  <c r="J136" i="18"/>
  <c r="K136" i="18"/>
  <c r="L136" i="18"/>
  <c r="M136" i="18"/>
  <c r="N136" i="18"/>
  <c r="O136" i="18"/>
  <c r="P136" i="18"/>
  <c r="G136" i="18"/>
  <c r="H135" i="18"/>
  <c r="I135" i="18"/>
  <c r="J135" i="18"/>
  <c r="K135" i="18"/>
  <c r="L135" i="18"/>
  <c r="M135" i="18"/>
  <c r="N135" i="18"/>
  <c r="O135" i="18"/>
  <c r="P135" i="18"/>
  <c r="G135" i="18"/>
  <c r="H132" i="18"/>
  <c r="I132" i="18"/>
  <c r="J132" i="18"/>
  <c r="K132" i="18"/>
  <c r="L132" i="18"/>
  <c r="M132" i="18"/>
  <c r="N132" i="18"/>
  <c r="O132" i="18"/>
  <c r="P132" i="18"/>
  <c r="G132" i="18"/>
  <c r="H133" i="18"/>
  <c r="I133" i="18"/>
  <c r="J133" i="18"/>
  <c r="K133" i="18"/>
  <c r="L133" i="18"/>
  <c r="M133" i="18"/>
  <c r="N133" i="18"/>
  <c r="O133" i="18"/>
  <c r="P133" i="18"/>
  <c r="G133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B127" i="18"/>
  <c r="B126" i="18"/>
  <c r="AE32" i="18"/>
  <c r="S32" i="18"/>
  <c r="G113" i="18"/>
  <c r="H113" i="18"/>
  <c r="I113" i="18"/>
  <c r="J113" i="18"/>
  <c r="K113" i="18"/>
  <c r="L113" i="18"/>
  <c r="M113" i="18"/>
  <c r="N113" i="18"/>
  <c r="O113" i="18"/>
  <c r="P113" i="18"/>
  <c r="T229" i="18"/>
  <c r="N228" i="18"/>
  <c r="T226" i="18"/>
  <c r="U226" i="18" s="1"/>
  <c r="U231" i="18" s="1"/>
  <c r="N226" i="18"/>
  <c r="O226" i="18" s="1"/>
  <c r="O231" i="18" s="1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I227" i="18" l="1"/>
  <c r="J227" i="18" s="1"/>
  <c r="I228" i="18" s="1"/>
  <c r="J228" i="18" s="1"/>
  <c r="I229" i="18" s="1"/>
  <c r="J229" i="18" s="1"/>
  <c r="I230" i="18" s="1"/>
  <c r="J230" i="18" s="1"/>
  <c r="I231" i="18" s="1"/>
  <c r="J231" i="18" s="1"/>
  <c r="J232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3" i="18"/>
  <c r="R93" i="18"/>
  <c r="R130" i="18"/>
  <c r="R136" i="18"/>
  <c r="R135" i="18"/>
  <c r="R131" i="18"/>
  <c r="R132" i="18"/>
  <c r="R125" i="18"/>
  <c r="R126" i="18"/>
  <c r="R127" i="18"/>
  <c r="R113" i="18"/>
  <c r="N231" i="18"/>
  <c r="T231" i="18"/>
  <c r="R122" i="18"/>
  <c r="R121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1" i="18"/>
  <c r="AE52" i="18"/>
  <c r="AE57" i="18"/>
  <c r="AE59" i="18"/>
  <c r="AE60" i="18"/>
  <c r="AE61" i="18"/>
  <c r="AE63" i="18"/>
  <c r="AE64" i="18"/>
  <c r="AE65" i="18"/>
  <c r="AE67" i="18"/>
  <c r="AE68" i="18"/>
  <c r="AE69" i="18"/>
  <c r="AE70" i="18"/>
  <c r="AE72" i="18"/>
  <c r="AE73" i="18"/>
  <c r="AE75" i="18"/>
  <c r="AE77" i="18"/>
  <c r="AE78" i="18"/>
  <c r="AE79" i="18"/>
  <c r="AE80" i="18"/>
  <c r="AE81" i="18"/>
  <c r="AE83" i="18"/>
  <c r="AE84" i="18"/>
  <c r="AE85" i="18"/>
  <c r="AE7" i="18"/>
  <c r="AE6" i="18"/>
  <c r="T53" i="18" l="1"/>
  <c r="T95" i="18" s="1"/>
  <c r="Z38" i="18"/>
  <c r="AF32" i="18"/>
  <c r="T31" i="18"/>
  <c r="R110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H100" i="18"/>
  <c r="H106" i="18" s="1"/>
  <c r="I100" i="18"/>
  <c r="I106" i="18" s="1"/>
  <c r="J100" i="18"/>
  <c r="J106" i="18" s="1"/>
  <c r="K100" i="18"/>
  <c r="K106" i="18" s="1"/>
  <c r="L100" i="18"/>
  <c r="L106" i="18" s="1"/>
  <c r="M100" i="18"/>
  <c r="M106" i="18" s="1"/>
  <c r="N100" i="18"/>
  <c r="N106" i="18" s="1"/>
  <c r="O100" i="18"/>
  <c r="O106" i="18" s="1"/>
  <c r="P100" i="18"/>
  <c r="P106" i="18" s="1"/>
  <c r="G100" i="18"/>
  <c r="G106" i="18" s="1"/>
  <c r="G97" i="18"/>
  <c r="G103" i="18" s="1"/>
  <c r="AA38" i="18" l="1"/>
  <c r="U31" i="18"/>
  <c r="T123" i="18"/>
  <c r="R103" i="18"/>
  <c r="R106" i="18"/>
  <c r="U29" i="18"/>
  <c r="R100" i="18"/>
  <c r="R97" i="18"/>
  <c r="H112" i="18"/>
  <c r="I112" i="18"/>
  <c r="J112" i="18"/>
  <c r="K112" i="18"/>
  <c r="L112" i="18"/>
  <c r="M112" i="18"/>
  <c r="N112" i="18"/>
  <c r="O112" i="18"/>
  <c r="P112" i="18"/>
  <c r="G112" i="18"/>
  <c r="H111" i="18"/>
  <c r="I111" i="18"/>
  <c r="J111" i="18"/>
  <c r="K111" i="18"/>
  <c r="L111" i="18"/>
  <c r="M111" i="18"/>
  <c r="N111" i="18"/>
  <c r="O111" i="18"/>
  <c r="P111" i="18"/>
  <c r="G111" i="18"/>
  <c r="AB38" i="18" l="1"/>
  <c r="V31" i="18"/>
  <c r="V29" i="18"/>
  <c r="R111" i="18"/>
  <c r="R112" i="18"/>
  <c r="AF72" i="18"/>
  <c r="AC38" i="18" l="1"/>
  <c r="W31" i="18"/>
  <c r="W29" i="18"/>
  <c r="G187" i="18"/>
  <c r="H187" i="18"/>
  <c r="I187" i="18"/>
  <c r="J187" i="18"/>
  <c r="K187" i="18"/>
  <c r="L187" i="18"/>
  <c r="M187" i="18"/>
  <c r="N187" i="18"/>
  <c r="O187" i="18"/>
  <c r="P187" i="18"/>
  <c r="C9" i="15"/>
  <c r="G73" i="18"/>
  <c r="G115" i="18" s="1"/>
  <c r="G116" i="18" s="1"/>
  <c r="G119" i="18" s="1"/>
  <c r="H73" i="18"/>
  <c r="H115" i="18" s="1"/>
  <c r="H116" i="18" s="1"/>
  <c r="H119" i="18" s="1"/>
  <c r="I73" i="18"/>
  <c r="I115" i="18" s="1"/>
  <c r="I116" i="18" s="1"/>
  <c r="I119" i="18" s="1"/>
  <c r="J73" i="18"/>
  <c r="J115" i="18" s="1"/>
  <c r="J116" i="18" s="1"/>
  <c r="J119" i="18" s="1"/>
  <c r="K73" i="18"/>
  <c r="K115" i="18" s="1"/>
  <c r="K116" i="18" s="1"/>
  <c r="K119" i="18" s="1"/>
  <c r="L73" i="18"/>
  <c r="L115" i="18" s="1"/>
  <c r="L116" i="18" s="1"/>
  <c r="L119" i="18" s="1"/>
  <c r="M73" i="18"/>
  <c r="M115" i="18" s="1"/>
  <c r="M116" i="18" s="1"/>
  <c r="M119" i="18" s="1"/>
  <c r="N73" i="18"/>
  <c r="N115" i="18" s="1"/>
  <c r="N116" i="18" s="1"/>
  <c r="N119" i="18" s="1"/>
  <c r="O73" i="18"/>
  <c r="O115" i="18" s="1"/>
  <c r="O116" i="18" s="1"/>
  <c r="O119" i="18" s="1"/>
  <c r="P73" i="18"/>
  <c r="P115" i="18" s="1"/>
  <c r="AD38" i="18" l="1"/>
  <c r="AF38" i="18"/>
  <c r="X31" i="18"/>
  <c r="T73" i="18"/>
  <c r="X29" i="18"/>
  <c r="R187" i="18"/>
  <c r="N117" i="18"/>
  <c r="N118" i="18" s="1"/>
  <c r="J117" i="18"/>
  <c r="J118" i="18" s="1"/>
  <c r="L117" i="18"/>
  <c r="L118" i="18" s="1"/>
  <c r="H117" i="18"/>
  <c r="H118" i="18" s="1"/>
  <c r="M117" i="18"/>
  <c r="M118" i="18" s="1"/>
  <c r="I117" i="18"/>
  <c r="I118" i="18" s="1"/>
  <c r="O117" i="18"/>
  <c r="O118" i="18" s="1"/>
  <c r="K117" i="18"/>
  <c r="K118" i="18" s="1"/>
  <c r="G117" i="18"/>
  <c r="G118" i="18" s="1"/>
  <c r="P116" i="18"/>
  <c r="P119" i="18" s="1"/>
  <c r="R119" i="18" s="1"/>
  <c r="R115" i="18"/>
  <c r="U44" i="18"/>
  <c r="Y31" i="18" l="1"/>
  <c r="V44" i="18"/>
  <c r="Y29" i="18"/>
  <c r="P117" i="18"/>
  <c r="R116" i="18"/>
  <c r="U73" i="18"/>
  <c r="G83" i="18"/>
  <c r="G140" i="18" s="1"/>
  <c r="H83" i="18"/>
  <c r="H140" i="18" s="1"/>
  <c r="I83" i="18"/>
  <c r="I140" i="18" s="1"/>
  <c r="J83" i="18"/>
  <c r="J140" i="18" s="1"/>
  <c r="K83" i="18"/>
  <c r="K140" i="18" s="1"/>
  <c r="L83" i="18"/>
  <c r="L140" i="18" s="1"/>
  <c r="M83" i="18"/>
  <c r="M140" i="18" s="1"/>
  <c r="N83" i="18"/>
  <c r="N140" i="18" s="1"/>
  <c r="O83" i="18"/>
  <c r="O140" i="18" s="1"/>
  <c r="G84" i="18"/>
  <c r="H84" i="18"/>
  <c r="I84" i="18"/>
  <c r="J84" i="18"/>
  <c r="K84" i="18"/>
  <c r="L84" i="18"/>
  <c r="M84" i="18"/>
  <c r="N84" i="18"/>
  <c r="O84" i="18"/>
  <c r="G85" i="18"/>
  <c r="H85" i="18"/>
  <c r="I85" i="18"/>
  <c r="J85" i="18"/>
  <c r="K85" i="18"/>
  <c r="L85" i="18"/>
  <c r="M85" i="18"/>
  <c r="N85" i="18"/>
  <c r="O85" i="18"/>
  <c r="P85" i="18"/>
  <c r="P84" i="18"/>
  <c r="P83" i="18"/>
  <c r="P140" i="18" s="1"/>
  <c r="H92" i="18"/>
  <c r="I92" i="18"/>
  <c r="J92" i="18"/>
  <c r="K92" i="18"/>
  <c r="L92" i="18"/>
  <c r="M92" i="18"/>
  <c r="N92" i="18"/>
  <c r="O92" i="18"/>
  <c r="G91" i="18"/>
  <c r="H91" i="18"/>
  <c r="I91" i="18"/>
  <c r="J91" i="18"/>
  <c r="K91" i="18"/>
  <c r="L91" i="18"/>
  <c r="M91" i="18"/>
  <c r="N91" i="18"/>
  <c r="O91" i="18"/>
  <c r="G90" i="18"/>
  <c r="H90" i="18"/>
  <c r="I90" i="18"/>
  <c r="J90" i="18"/>
  <c r="K90" i="18"/>
  <c r="L90" i="18"/>
  <c r="M90" i="18"/>
  <c r="N90" i="18"/>
  <c r="O90" i="18"/>
  <c r="P91" i="18"/>
  <c r="Z31" i="18" l="1"/>
  <c r="W44" i="18"/>
  <c r="V73" i="18"/>
  <c r="R140" i="18"/>
  <c r="Z29" i="18"/>
  <c r="R85" i="18"/>
  <c r="R83" i="18"/>
  <c r="R84" i="18"/>
  <c r="R91" i="18"/>
  <c r="R92" i="18"/>
  <c r="P90" i="18"/>
  <c r="R90" i="18" s="1"/>
  <c r="H219" i="18"/>
  <c r="I219" i="18"/>
  <c r="J219" i="18"/>
  <c r="K219" i="18"/>
  <c r="L219" i="18"/>
  <c r="M219" i="18"/>
  <c r="N219" i="18"/>
  <c r="O219" i="18"/>
  <c r="P219" i="18"/>
  <c r="G219" i="18"/>
  <c r="H218" i="18"/>
  <c r="I218" i="18"/>
  <c r="J218" i="18"/>
  <c r="K218" i="18"/>
  <c r="L218" i="18"/>
  <c r="M218" i="18"/>
  <c r="N218" i="18"/>
  <c r="O218" i="18"/>
  <c r="P218" i="18"/>
  <c r="G218" i="18"/>
  <c r="H217" i="18"/>
  <c r="I217" i="18"/>
  <c r="J217" i="18"/>
  <c r="K217" i="18"/>
  <c r="L217" i="18"/>
  <c r="M217" i="18"/>
  <c r="N217" i="18"/>
  <c r="O217" i="18"/>
  <c r="P217" i="18"/>
  <c r="G217" i="18"/>
  <c r="H52" i="18"/>
  <c r="I52" i="18"/>
  <c r="J52" i="18"/>
  <c r="K52" i="18"/>
  <c r="L52" i="18"/>
  <c r="M52" i="18"/>
  <c r="N52" i="18"/>
  <c r="O52" i="18"/>
  <c r="P52" i="18"/>
  <c r="G52" i="18"/>
  <c r="G57" i="18"/>
  <c r="G190" i="18" s="1"/>
  <c r="H51" i="18"/>
  <c r="H178" i="18" s="1"/>
  <c r="I51" i="18"/>
  <c r="I178" i="18" s="1"/>
  <c r="J51" i="18"/>
  <c r="J178" i="18" s="1"/>
  <c r="K51" i="18"/>
  <c r="K178" i="18" s="1"/>
  <c r="L51" i="18"/>
  <c r="L178" i="18" s="1"/>
  <c r="M51" i="18"/>
  <c r="M178" i="18" s="1"/>
  <c r="N51" i="18"/>
  <c r="N178" i="18" s="1"/>
  <c r="O51" i="18"/>
  <c r="O178" i="18" s="1"/>
  <c r="P51" i="18"/>
  <c r="P178" i="18" s="1"/>
  <c r="G51" i="18"/>
  <c r="G178" i="18" s="1"/>
  <c r="T98" i="18"/>
  <c r="T104" i="18" s="1"/>
  <c r="AA31" i="18" l="1"/>
  <c r="X44" i="18"/>
  <c r="W73" i="18"/>
  <c r="R178" i="18"/>
  <c r="AA29" i="18"/>
  <c r="U36" i="18"/>
  <c r="R219" i="18"/>
  <c r="R52" i="18"/>
  <c r="R51" i="18"/>
  <c r="R218" i="18"/>
  <c r="R217" i="18"/>
  <c r="U98" i="18" l="1"/>
  <c r="U104" i="18" s="1"/>
  <c r="AB31" i="18"/>
  <c r="Y44" i="18"/>
  <c r="X73" i="18"/>
  <c r="AB29" i="18"/>
  <c r="V36" i="18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I75" i="18"/>
  <c r="I77" i="18" s="1"/>
  <c r="J75" i="18"/>
  <c r="J77" i="18" s="1"/>
  <c r="K75" i="18"/>
  <c r="K77" i="18" s="1"/>
  <c r="L75" i="18"/>
  <c r="L77" i="18" s="1"/>
  <c r="M75" i="18"/>
  <c r="M77" i="18" s="1"/>
  <c r="N75" i="18"/>
  <c r="N77" i="18" s="1"/>
  <c r="O75" i="18"/>
  <c r="O77" i="18" s="1"/>
  <c r="P75" i="18"/>
  <c r="P77" i="18" s="1"/>
  <c r="I78" i="18"/>
  <c r="J78" i="18"/>
  <c r="K78" i="18"/>
  <c r="L78" i="18"/>
  <c r="M78" i="18"/>
  <c r="N78" i="18"/>
  <c r="O78" i="18"/>
  <c r="P78" i="18"/>
  <c r="I79" i="18"/>
  <c r="J79" i="18"/>
  <c r="K79" i="18"/>
  <c r="L79" i="18"/>
  <c r="M79" i="18"/>
  <c r="N79" i="18"/>
  <c r="O79" i="18"/>
  <c r="P79" i="18"/>
  <c r="G78" i="18"/>
  <c r="G79" i="18"/>
  <c r="G80" i="18"/>
  <c r="G81" i="18"/>
  <c r="H81" i="18"/>
  <c r="H80" i="18"/>
  <c r="U22" i="18"/>
  <c r="V22" i="18" s="1"/>
  <c r="W22" i="18" s="1"/>
  <c r="X22" i="18" s="1"/>
  <c r="Y22" i="18" s="1"/>
  <c r="Z22" i="18" s="1"/>
  <c r="AA22" i="18" s="1"/>
  <c r="AB22" i="18" s="1"/>
  <c r="AC22" i="18" s="1"/>
  <c r="G75" i="18"/>
  <c r="G77" i="18" s="1"/>
  <c r="H75" i="18"/>
  <c r="H77" i="18" s="1"/>
  <c r="H79" i="18"/>
  <c r="H78" i="18"/>
  <c r="R78" i="18" l="1"/>
  <c r="V98" i="18"/>
  <c r="V104" i="18" s="1"/>
  <c r="AC31" i="18"/>
  <c r="AD31" i="18" s="1"/>
  <c r="Z44" i="18"/>
  <c r="Y73" i="18"/>
  <c r="U23" i="18"/>
  <c r="T101" i="18"/>
  <c r="T107" i="18" s="1"/>
  <c r="AC29" i="18"/>
  <c r="AD22" i="18"/>
  <c r="AF22" i="18"/>
  <c r="W36" i="18"/>
  <c r="R80" i="18"/>
  <c r="R81" i="18"/>
  <c r="R79" i="18"/>
  <c r="R77" i="18"/>
  <c r="R75" i="18"/>
  <c r="U21" i="18"/>
  <c r="R73" i="18"/>
  <c r="R177" i="18"/>
  <c r="AF31" i="18" l="1"/>
  <c r="W98" i="18"/>
  <c r="W104" i="18" s="1"/>
  <c r="Z73" i="18"/>
  <c r="AA44" i="18"/>
  <c r="V23" i="18"/>
  <c r="U101" i="18"/>
  <c r="U107" i="18" s="1"/>
  <c r="AF29" i="18"/>
  <c r="AD29" i="18"/>
  <c r="U20" i="18"/>
  <c r="T75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4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1" i="18"/>
  <c r="O184" i="18" s="1"/>
  <c r="O70" i="18"/>
  <c r="O68" i="18"/>
  <c r="O67" i="18"/>
  <c r="O65" i="18"/>
  <c r="O185" i="18" s="1"/>
  <c r="O64" i="18"/>
  <c r="O63" i="18"/>
  <c r="O61" i="18"/>
  <c r="O60" i="18"/>
  <c r="O182" i="18" s="1"/>
  <c r="O59" i="18"/>
  <c r="O57" i="18"/>
  <c r="O190" i="18" s="1"/>
  <c r="X98" i="18" l="1"/>
  <c r="X104" i="18" s="1"/>
  <c r="AA73" i="18"/>
  <c r="AB44" i="18"/>
  <c r="U75" i="18"/>
  <c r="T132" i="18"/>
  <c r="T142" i="18"/>
  <c r="T133" i="18"/>
  <c r="T143" i="18"/>
  <c r="W23" i="18"/>
  <c r="V101" i="18"/>
  <c r="V107" i="18" s="1"/>
  <c r="T126" i="18"/>
  <c r="T127" i="18"/>
  <c r="T125" i="18"/>
  <c r="T113" i="18"/>
  <c r="P118" i="18"/>
  <c r="R118" i="18" s="1"/>
  <c r="R117" i="18"/>
  <c r="T97" i="18"/>
  <c r="T103" i="18" s="1"/>
  <c r="T122" i="18"/>
  <c r="T121" i="18"/>
  <c r="U18" i="18"/>
  <c r="O179" i="18"/>
  <c r="V20" i="18"/>
  <c r="U27" i="18"/>
  <c r="Y36" i="18"/>
  <c r="U25" i="18"/>
  <c r="T90" i="18"/>
  <c r="W21" i="18"/>
  <c r="AD33" i="18"/>
  <c r="AD34" i="18"/>
  <c r="AD9" i="18"/>
  <c r="O69" i="18"/>
  <c r="O183" i="18" s="1"/>
  <c r="G65" i="18"/>
  <c r="G185" i="18" s="1"/>
  <c r="H65" i="18"/>
  <c r="H185" i="18" s="1"/>
  <c r="I65" i="18"/>
  <c r="I185" i="18" s="1"/>
  <c r="J65" i="18"/>
  <c r="J185" i="18" s="1"/>
  <c r="K65" i="18"/>
  <c r="K185" i="18" s="1"/>
  <c r="L65" i="18"/>
  <c r="L185" i="18" s="1"/>
  <c r="M65" i="18"/>
  <c r="M185" i="18" s="1"/>
  <c r="N65" i="18"/>
  <c r="N185" i="18" s="1"/>
  <c r="P65" i="18"/>
  <c r="O192" i="18" l="1"/>
  <c r="O193" i="18" s="1"/>
  <c r="O191" i="18"/>
  <c r="Y98" i="18"/>
  <c r="Y104" i="18" s="1"/>
  <c r="U94" i="18"/>
  <c r="U123" i="18"/>
  <c r="AC44" i="18"/>
  <c r="AB73" i="18"/>
  <c r="U133" i="18"/>
  <c r="U143" i="18"/>
  <c r="U132" i="18"/>
  <c r="U142" i="18"/>
  <c r="X23" i="18"/>
  <c r="W101" i="18"/>
  <c r="W107" i="18" s="1"/>
  <c r="U125" i="18"/>
  <c r="U127" i="18"/>
  <c r="U126" i="18"/>
  <c r="U113" i="18"/>
  <c r="U97" i="18"/>
  <c r="U103" i="18" s="1"/>
  <c r="U122" i="18"/>
  <c r="U121" i="18"/>
  <c r="V18" i="18"/>
  <c r="W20" i="18"/>
  <c r="V75" i="18"/>
  <c r="V27" i="18"/>
  <c r="V25" i="18"/>
  <c r="V123" i="18" s="1"/>
  <c r="U90" i="18"/>
  <c r="Z36" i="18"/>
  <c r="X21" i="18"/>
  <c r="P185" i="18"/>
  <c r="R185" i="18" s="1"/>
  <c r="R65" i="18"/>
  <c r="G64" i="18"/>
  <c r="H64" i="18"/>
  <c r="I64" i="18"/>
  <c r="J64" i="18"/>
  <c r="K64" i="18"/>
  <c r="L64" i="18"/>
  <c r="M64" i="18"/>
  <c r="N64" i="18"/>
  <c r="P64" i="18"/>
  <c r="G63" i="18"/>
  <c r="H63" i="18"/>
  <c r="I63" i="18"/>
  <c r="J63" i="18"/>
  <c r="K63" i="18"/>
  <c r="L63" i="18"/>
  <c r="M63" i="18"/>
  <c r="N63" i="18"/>
  <c r="P63" i="18"/>
  <c r="Z98" i="18" l="1"/>
  <c r="Z104" i="18" s="1"/>
  <c r="AF44" i="18"/>
  <c r="AC73" i="18"/>
  <c r="AD44" i="18"/>
  <c r="V132" i="18"/>
  <c r="V142" i="18"/>
  <c r="V133" i="18"/>
  <c r="V143" i="18"/>
  <c r="V94" i="18"/>
  <c r="Y23" i="18"/>
  <c r="X101" i="18"/>
  <c r="X107" i="18" s="1"/>
  <c r="V127" i="18"/>
  <c r="V126" i="18"/>
  <c r="V125" i="18"/>
  <c r="V113" i="18"/>
  <c r="V97" i="18"/>
  <c r="V103" i="18" s="1"/>
  <c r="V122" i="18"/>
  <c r="V121" i="18"/>
  <c r="W18" i="18"/>
  <c r="X20" i="18"/>
  <c r="W75" i="18"/>
  <c r="W27" i="18"/>
  <c r="W25" i="18"/>
  <c r="V90" i="18"/>
  <c r="AA36" i="18"/>
  <c r="Y21" i="18"/>
  <c r="R63" i="18"/>
  <c r="R64" i="18"/>
  <c r="C46" i="15"/>
  <c r="AA98" i="18" l="1"/>
  <c r="AA104" i="18" s="1"/>
  <c r="W94" i="18"/>
  <c r="W123" i="18"/>
  <c r="T164" i="18"/>
  <c r="Q206" i="18" s="1"/>
  <c r="AF73" i="18"/>
  <c r="U164" i="18" s="1"/>
  <c r="AD73" i="18"/>
  <c r="W133" i="18"/>
  <c r="W143" i="18"/>
  <c r="W132" i="18"/>
  <c r="W142" i="18"/>
  <c r="Z23" i="18"/>
  <c r="Y101" i="18"/>
  <c r="Y107" i="18" s="1"/>
  <c r="W113" i="18"/>
  <c r="W127" i="18"/>
  <c r="W126" i="18"/>
  <c r="W125" i="18"/>
  <c r="W97" i="18"/>
  <c r="W103" i="18" s="1"/>
  <c r="W122" i="18"/>
  <c r="W121" i="18"/>
  <c r="X18" i="18"/>
  <c r="Y20" i="18"/>
  <c r="X75" i="18"/>
  <c r="X27" i="18"/>
  <c r="X25" i="18"/>
  <c r="X123" i="18" s="1"/>
  <c r="W90" i="18"/>
  <c r="AB36" i="18"/>
  <c r="Z21" i="18"/>
  <c r="H57" i="18"/>
  <c r="H190" i="18" s="1"/>
  <c r="I57" i="18"/>
  <c r="I190" i="18" s="1"/>
  <c r="J57" i="18"/>
  <c r="J190" i="18" s="1"/>
  <c r="K57" i="18"/>
  <c r="K190" i="18" s="1"/>
  <c r="L57" i="18"/>
  <c r="L190" i="18" s="1"/>
  <c r="M57" i="18"/>
  <c r="M190" i="18" s="1"/>
  <c r="N57" i="18"/>
  <c r="N190" i="18" s="1"/>
  <c r="P57" i="18"/>
  <c r="P190" i="18" s="1"/>
  <c r="R190" i="18" s="1"/>
  <c r="G71" i="18"/>
  <c r="H71" i="18"/>
  <c r="H184" i="18" s="1"/>
  <c r="I71" i="18"/>
  <c r="I184" i="18" s="1"/>
  <c r="J71" i="18"/>
  <c r="J184" i="18" s="1"/>
  <c r="K71" i="18"/>
  <c r="K184" i="18" s="1"/>
  <c r="L71" i="18"/>
  <c r="L184" i="18" s="1"/>
  <c r="M71" i="18"/>
  <c r="M184" i="18" s="1"/>
  <c r="N71" i="18"/>
  <c r="P71" i="18"/>
  <c r="G70" i="18"/>
  <c r="H70" i="18"/>
  <c r="I70" i="18"/>
  <c r="J70" i="18"/>
  <c r="K70" i="18"/>
  <c r="L70" i="18"/>
  <c r="M70" i="18"/>
  <c r="N70" i="18"/>
  <c r="P70" i="18"/>
  <c r="G68" i="18"/>
  <c r="H68" i="18"/>
  <c r="I68" i="18"/>
  <c r="J68" i="18"/>
  <c r="K68" i="18"/>
  <c r="L68" i="18"/>
  <c r="M68" i="18"/>
  <c r="N68" i="18"/>
  <c r="P68" i="18"/>
  <c r="G67" i="18"/>
  <c r="H67" i="18"/>
  <c r="I67" i="18"/>
  <c r="J67" i="18"/>
  <c r="K67" i="18"/>
  <c r="L67" i="18"/>
  <c r="M67" i="18"/>
  <c r="N67" i="18"/>
  <c r="P67" i="18"/>
  <c r="G61" i="18"/>
  <c r="H61" i="18"/>
  <c r="I61" i="18"/>
  <c r="J61" i="18"/>
  <c r="K61" i="18"/>
  <c r="L61" i="18"/>
  <c r="M61" i="18"/>
  <c r="N61" i="18"/>
  <c r="P61" i="18"/>
  <c r="G60" i="18"/>
  <c r="H60" i="18"/>
  <c r="H182" i="18" s="1"/>
  <c r="I60" i="18"/>
  <c r="I182" i="18" s="1"/>
  <c r="J60" i="18"/>
  <c r="J182" i="18" s="1"/>
  <c r="K60" i="18"/>
  <c r="K182" i="18" s="1"/>
  <c r="L60" i="18"/>
  <c r="L182" i="18" s="1"/>
  <c r="M60" i="18"/>
  <c r="M182" i="18" s="1"/>
  <c r="N60" i="18"/>
  <c r="P60" i="18"/>
  <c r="G59" i="18"/>
  <c r="H59" i="18"/>
  <c r="I59" i="18"/>
  <c r="J59" i="18"/>
  <c r="K59" i="18"/>
  <c r="L59" i="18"/>
  <c r="M59" i="18"/>
  <c r="N59" i="18"/>
  <c r="P59" i="18"/>
  <c r="T130" i="18"/>
  <c r="T138" i="18"/>
  <c r="T139" i="18" s="1"/>
  <c r="T99" i="18"/>
  <c r="T105" i="18" s="1"/>
  <c r="R146" i="18" l="1"/>
  <c r="T213" i="18" s="1"/>
  <c r="T212" i="18" s="1"/>
  <c r="T187" i="18"/>
  <c r="AB98" i="18"/>
  <c r="AB104" i="18" s="1"/>
  <c r="T110" i="18"/>
  <c r="S164" i="18"/>
  <c r="P206" i="18" s="1"/>
  <c r="X132" i="18"/>
  <c r="X142" i="18"/>
  <c r="X94" i="18"/>
  <c r="X133" i="18"/>
  <c r="X143" i="18"/>
  <c r="AA23" i="18"/>
  <c r="Z101" i="18"/>
  <c r="Z107" i="18" s="1"/>
  <c r="T92" i="18"/>
  <c r="T93" i="18"/>
  <c r="T136" i="18"/>
  <c r="T135" i="18"/>
  <c r="T100" i="18"/>
  <c r="T106" i="18" s="1"/>
  <c r="T131" i="18"/>
  <c r="H179" i="18"/>
  <c r="X113" i="18"/>
  <c r="X126" i="18"/>
  <c r="X125" i="18"/>
  <c r="X127" i="18"/>
  <c r="T112" i="18"/>
  <c r="X97" i="18"/>
  <c r="X103" i="18" s="1"/>
  <c r="X122" i="18"/>
  <c r="X121" i="18"/>
  <c r="T111" i="18"/>
  <c r="Y18" i="18"/>
  <c r="P179" i="18"/>
  <c r="K179" i="18"/>
  <c r="J179" i="18"/>
  <c r="M179" i="18"/>
  <c r="I179" i="18"/>
  <c r="Z20" i="18"/>
  <c r="Y75" i="18"/>
  <c r="H69" i="18"/>
  <c r="H183" i="18" s="1"/>
  <c r="Y27" i="18"/>
  <c r="U12" i="18"/>
  <c r="U15" i="18"/>
  <c r="U130" i="18" s="1"/>
  <c r="U13" i="18"/>
  <c r="U10" i="18"/>
  <c r="U16" i="18"/>
  <c r="U138" i="18" s="1"/>
  <c r="U139" i="18" s="1"/>
  <c r="U6" i="18"/>
  <c r="U7" i="18"/>
  <c r="Y25" i="18"/>
  <c r="X90" i="18"/>
  <c r="U40" i="18"/>
  <c r="T91" i="18"/>
  <c r="AC36" i="18"/>
  <c r="L69" i="18"/>
  <c r="L183" i="18" s="1"/>
  <c r="K69" i="18"/>
  <c r="K183" i="18" s="1"/>
  <c r="J69" i="18"/>
  <c r="J183" i="18" s="1"/>
  <c r="AA21" i="18"/>
  <c r="U177" i="18"/>
  <c r="I69" i="18"/>
  <c r="I183" i="18" s="1"/>
  <c r="R59" i="18"/>
  <c r="G182" i="18"/>
  <c r="R60" i="18"/>
  <c r="R61" i="18"/>
  <c r="R68" i="18"/>
  <c r="R70" i="18"/>
  <c r="G179" i="18"/>
  <c r="R57" i="18"/>
  <c r="G184" i="18"/>
  <c r="R71" i="18"/>
  <c r="G69" i="18"/>
  <c r="R67" i="18"/>
  <c r="N182" i="18"/>
  <c r="N179" i="18"/>
  <c r="N184" i="18"/>
  <c r="P182" i="18"/>
  <c r="L179" i="18"/>
  <c r="N69" i="18"/>
  <c r="M69" i="18"/>
  <c r="M183" i="18" s="1"/>
  <c r="P184" i="18"/>
  <c r="P69" i="18"/>
  <c r="C6" i="12"/>
  <c r="C26" i="15"/>
  <c r="C58" i="15"/>
  <c r="C57" i="15"/>
  <c r="C54" i="15"/>
  <c r="C53" i="15"/>
  <c r="C50" i="15"/>
  <c r="C49" i="15"/>
  <c r="C45" i="15"/>
  <c r="U187" i="18" l="1"/>
  <c r="U196" i="18"/>
  <c r="U201" i="18"/>
  <c r="G192" i="18"/>
  <c r="G193" i="18" s="1"/>
  <c r="G191" i="18"/>
  <c r="M192" i="18"/>
  <c r="M193" i="18" s="1"/>
  <c r="M191" i="18"/>
  <c r="K192" i="18"/>
  <c r="K193" i="18" s="1"/>
  <c r="K191" i="18"/>
  <c r="N192" i="18"/>
  <c r="N193" i="18" s="1"/>
  <c r="N191" i="18"/>
  <c r="H192" i="18"/>
  <c r="H193" i="18" s="1"/>
  <c r="H191" i="18"/>
  <c r="I192" i="18"/>
  <c r="I193" i="18" s="1"/>
  <c r="I191" i="18"/>
  <c r="J192" i="18"/>
  <c r="J193" i="18" s="1"/>
  <c r="J191" i="18"/>
  <c r="P192" i="18"/>
  <c r="P193" i="18" s="1"/>
  <c r="P191" i="18"/>
  <c r="L192" i="18"/>
  <c r="L193" i="18" s="1"/>
  <c r="L191" i="18"/>
  <c r="Y94" i="18"/>
  <c r="Y123" i="18"/>
  <c r="U99" i="18"/>
  <c r="U105" i="18" s="1"/>
  <c r="U53" i="18"/>
  <c r="U95" i="18" s="1"/>
  <c r="U214" i="18"/>
  <c r="V214" i="18" s="1"/>
  <c r="W214" i="18" s="1"/>
  <c r="X214" i="18" s="1"/>
  <c r="Y214" i="18" s="1"/>
  <c r="Z214" i="18" s="1"/>
  <c r="AA214" i="18" s="1"/>
  <c r="AB214" i="18" s="1"/>
  <c r="AC214" i="18" s="1"/>
  <c r="AD214" i="18" s="1"/>
  <c r="AE214" i="18" s="1"/>
  <c r="AF214" i="18" s="1"/>
  <c r="AG214" i="18" s="1"/>
  <c r="AH214" i="18" s="1"/>
  <c r="AI214" i="18" s="1"/>
  <c r="AJ214" i="18" s="1"/>
  <c r="AK214" i="18" s="1"/>
  <c r="AL214" i="18" s="1"/>
  <c r="AM214" i="18" s="1"/>
  <c r="AN214" i="18" s="1"/>
  <c r="AO214" i="18" s="1"/>
  <c r="AP214" i="18" s="1"/>
  <c r="AQ214" i="18" s="1"/>
  <c r="AR214" i="18" s="1"/>
  <c r="AS214" i="18" s="1"/>
  <c r="AT214" i="18" s="1"/>
  <c r="U110" i="18"/>
  <c r="Y132" i="18"/>
  <c r="Y142" i="18"/>
  <c r="Y133" i="18"/>
  <c r="Y143" i="18"/>
  <c r="AF36" i="18"/>
  <c r="AC98" i="18"/>
  <c r="AB23" i="18"/>
  <c r="AA101" i="18"/>
  <c r="AA107" i="18" s="1"/>
  <c r="U136" i="18"/>
  <c r="U135" i="18"/>
  <c r="U100" i="18"/>
  <c r="U106" i="18" s="1"/>
  <c r="U131" i="18"/>
  <c r="U93" i="18"/>
  <c r="Y125" i="18"/>
  <c r="Y126" i="18"/>
  <c r="Y127" i="18"/>
  <c r="Y113" i="18"/>
  <c r="Y97" i="18"/>
  <c r="Y103" i="18" s="1"/>
  <c r="Y122" i="18"/>
  <c r="Y121" i="18"/>
  <c r="U111" i="18"/>
  <c r="U112" i="18"/>
  <c r="Z18" i="18"/>
  <c r="AA20" i="18"/>
  <c r="Z75" i="18"/>
  <c r="Z27" i="18"/>
  <c r="V15" i="18"/>
  <c r="V130" i="18" s="1"/>
  <c r="V13" i="18"/>
  <c r="V12" i="18"/>
  <c r="V16" i="18"/>
  <c r="V138" i="18" s="1"/>
  <c r="V139" i="18" s="1"/>
  <c r="V10" i="18"/>
  <c r="V7" i="18"/>
  <c r="V6" i="18"/>
  <c r="AD36" i="18"/>
  <c r="Z25" i="18"/>
  <c r="Y90" i="18"/>
  <c r="V40" i="18"/>
  <c r="U92" i="18"/>
  <c r="U91" i="18"/>
  <c r="AB21" i="18"/>
  <c r="V177" i="18"/>
  <c r="R182" i="18"/>
  <c r="R179" i="18"/>
  <c r="R184" i="18"/>
  <c r="G183" i="18"/>
  <c r="R69" i="18"/>
  <c r="N183" i="18"/>
  <c r="P183" i="18"/>
  <c r="C16" i="15"/>
  <c r="C21" i="15"/>
  <c r="C10" i="15"/>
  <c r="R193" i="18" l="1"/>
  <c r="R191" i="18"/>
  <c r="U202" i="18"/>
  <c r="U203" i="18" s="1"/>
  <c r="U200" i="18"/>
  <c r="U197" i="18"/>
  <c r="U198" i="18" s="1"/>
  <c r="U195" i="18"/>
  <c r="V187" i="18"/>
  <c r="V201" i="18"/>
  <c r="V196" i="18"/>
  <c r="R192" i="18"/>
  <c r="Z94" i="18"/>
  <c r="Z123" i="18"/>
  <c r="V99" i="18"/>
  <c r="V105" i="18" s="1"/>
  <c r="V53" i="18"/>
  <c r="V95" i="18" s="1"/>
  <c r="U215" i="18"/>
  <c r="V215" i="18" s="1"/>
  <c r="W215" i="18" s="1"/>
  <c r="X215" i="18" s="1"/>
  <c r="Y215" i="18" s="1"/>
  <c r="Z215" i="18" s="1"/>
  <c r="AA215" i="18" s="1"/>
  <c r="AB215" i="18" s="1"/>
  <c r="AC215" i="18" s="1"/>
  <c r="AD215" i="18" s="1"/>
  <c r="AE215" i="18" s="1"/>
  <c r="AF215" i="18" s="1"/>
  <c r="AG215" i="18" s="1"/>
  <c r="AH215" i="18" s="1"/>
  <c r="AI215" i="18" s="1"/>
  <c r="AJ215" i="18" s="1"/>
  <c r="AK215" i="18" s="1"/>
  <c r="AL215" i="18" s="1"/>
  <c r="AM215" i="18" s="1"/>
  <c r="AN215" i="18" s="1"/>
  <c r="AO215" i="18" s="1"/>
  <c r="AP215" i="18" s="1"/>
  <c r="AQ215" i="18" s="1"/>
  <c r="AR215" i="18" s="1"/>
  <c r="AS215" i="18" s="1"/>
  <c r="AT215" i="18" s="1"/>
  <c r="AD98" i="18"/>
  <c r="AC104" i="18"/>
  <c r="AD104" i="18" s="1"/>
  <c r="U213" i="18"/>
  <c r="V213" i="18" s="1"/>
  <c r="W213" i="18" s="1"/>
  <c r="X213" i="18" s="1"/>
  <c r="Y213" i="18" s="1"/>
  <c r="Z213" i="18" s="1"/>
  <c r="AA213" i="18" s="1"/>
  <c r="AB213" i="18" s="1"/>
  <c r="AC213" i="18" s="1"/>
  <c r="AD213" i="18" s="1"/>
  <c r="V110" i="18"/>
  <c r="Z132" i="18"/>
  <c r="Z142" i="18"/>
  <c r="Z133" i="18"/>
  <c r="Z143" i="18"/>
  <c r="AC23" i="18"/>
  <c r="AB101" i="18"/>
  <c r="AB107" i="18" s="1"/>
  <c r="V100" i="18"/>
  <c r="V106" i="18" s="1"/>
  <c r="V131" i="18"/>
  <c r="V136" i="18"/>
  <c r="V135" i="18"/>
  <c r="V93" i="18"/>
  <c r="Z127" i="18"/>
  <c r="Z126" i="18"/>
  <c r="Z125" i="18"/>
  <c r="Z113" i="18"/>
  <c r="Z97" i="18"/>
  <c r="Z103" i="18" s="1"/>
  <c r="Z122" i="18"/>
  <c r="Z121" i="18"/>
  <c r="V111" i="18"/>
  <c r="V112" i="18"/>
  <c r="AA18" i="18"/>
  <c r="AB20" i="18"/>
  <c r="AA75" i="18"/>
  <c r="AA27" i="18"/>
  <c r="W13" i="18"/>
  <c r="W12" i="18"/>
  <c r="W15" i="18"/>
  <c r="W130" i="18" s="1"/>
  <c r="W10" i="18"/>
  <c r="W16" i="18"/>
  <c r="W138" i="18" s="1"/>
  <c r="W139" i="18" s="1"/>
  <c r="W6" i="18"/>
  <c r="W7" i="18"/>
  <c r="W40" i="18"/>
  <c r="V92" i="18"/>
  <c r="V91" i="18"/>
  <c r="AA25" i="18"/>
  <c r="Z90" i="18"/>
  <c r="AC21" i="18"/>
  <c r="AF21" i="18" s="1"/>
  <c r="W177" i="18"/>
  <c r="R183" i="18"/>
  <c r="D31" i="8"/>
  <c r="D29" i="8"/>
  <c r="D28" i="8"/>
  <c r="D13" i="8"/>
  <c r="D30" i="8" s="1"/>
  <c r="E14" i="8"/>
  <c r="F14" i="8" s="1"/>
  <c r="G14" i="8" s="1"/>
  <c r="H14" i="8" s="1"/>
  <c r="I14" i="8" s="1"/>
  <c r="V197" i="18" l="1"/>
  <c r="V198" i="18" s="1"/>
  <c r="V195" i="18"/>
  <c r="V202" i="18"/>
  <c r="V203" i="18" s="1"/>
  <c r="V200" i="18"/>
  <c r="W187" i="18"/>
  <c r="W196" i="18"/>
  <c r="W201" i="18"/>
  <c r="AA94" i="18"/>
  <c r="AA123" i="18"/>
  <c r="W99" i="18"/>
  <c r="W105" i="18" s="1"/>
  <c r="W53" i="18"/>
  <c r="W95" i="18" s="1"/>
  <c r="U212" i="18"/>
  <c r="V212" i="18" s="1"/>
  <c r="W212" i="18" s="1"/>
  <c r="X212" i="18" s="1"/>
  <c r="Y212" i="18" s="1"/>
  <c r="Z212" i="18" s="1"/>
  <c r="AA212" i="18" s="1"/>
  <c r="AB212" i="18" s="1"/>
  <c r="AC212" i="18" s="1"/>
  <c r="AD212" i="18" s="1"/>
  <c r="AE213" i="18"/>
  <c r="AF213" i="18" s="1"/>
  <c r="AG213" i="18" s="1"/>
  <c r="AH213" i="18" s="1"/>
  <c r="AI213" i="18" s="1"/>
  <c r="AJ213" i="18" s="1"/>
  <c r="AK213" i="18" s="1"/>
  <c r="AL213" i="18" s="1"/>
  <c r="AM213" i="18" s="1"/>
  <c r="AN213" i="18" s="1"/>
  <c r="AO213" i="18" s="1"/>
  <c r="AP213" i="18" s="1"/>
  <c r="AQ213" i="18" s="1"/>
  <c r="AR213" i="18" s="1"/>
  <c r="AS213" i="18" s="1"/>
  <c r="AT213" i="18" s="1"/>
  <c r="W110" i="18"/>
  <c r="AA132" i="18"/>
  <c r="AA142" i="18"/>
  <c r="AA133" i="18"/>
  <c r="AA143" i="18"/>
  <c r="AF23" i="18"/>
  <c r="AC101" i="18"/>
  <c r="AD23" i="18"/>
  <c r="W93" i="18"/>
  <c r="W135" i="18"/>
  <c r="W136" i="18"/>
  <c r="W100" i="18"/>
  <c r="W106" i="18" s="1"/>
  <c r="W131" i="18"/>
  <c r="AA127" i="18"/>
  <c r="AA126" i="18"/>
  <c r="AA125" i="18"/>
  <c r="AA113" i="18"/>
  <c r="AA97" i="18"/>
  <c r="AA103" i="18" s="1"/>
  <c r="AA122" i="18"/>
  <c r="AA121" i="18"/>
  <c r="W112" i="18"/>
  <c r="W111" i="18"/>
  <c r="AB18" i="18"/>
  <c r="AC20" i="18"/>
  <c r="AB75" i="18"/>
  <c r="AB27" i="18"/>
  <c r="X12" i="18"/>
  <c r="X15" i="18"/>
  <c r="X130" i="18" s="1"/>
  <c r="X13" i="18"/>
  <c r="X16" i="18"/>
  <c r="X138" i="18" s="1"/>
  <c r="X139" i="18" s="1"/>
  <c r="X10" i="18"/>
  <c r="X7" i="18"/>
  <c r="X6" i="18"/>
  <c r="AB25" i="18"/>
  <c r="AB123" i="18" s="1"/>
  <c r="AA90" i="18"/>
  <c r="X40" i="18"/>
  <c r="W91" i="18"/>
  <c r="W92" i="18"/>
  <c r="AD21" i="18"/>
  <c r="X177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202" i="18" l="1"/>
  <c r="W203" i="18" s="1"/>
  <c r="W200" i="18"/>
  <c r="W197" i="18"/>
  <c r="W198" i="18" s="1"/>
  <c r="W195" i="18"/>
  <c r="X187" i="18"/>
  <c r="X201" i="18"/>
  <c r="X196" i="18"/>
  <c r="X99" i="18"/>
  <c r="X105" i="18" s="1"/>
  <c r="X53" i="18"/>
  <c r="X95" i="18" s="1"/>
  <c r="AE212" i="18"/>
  <c r="AF212" i="18" s="1"/>
  <c r="AG212" i="18" s="1"/>
  <c r="AH212" i="18" s="1"/>
  <c r="AI212" i="18" s="1"/>
  <c r="AJ212" i="18" s="1"/>
  <c r="AK212" i="18" s="1"/>
  <c r="AL212" i="18" s="1"/>
  <c r="AM212" i="18" s="1"/>
  <c r="AN212" i="18" s="1"/>
  <c r="AO212" i="18" s="1"/>
  <c r="AP212" i="18" s="1"/>
  <c r="AQ212" i="18" s="1"/>
  <c r="AR212" i="18" s="1"/>
  <c r="AS212" i="18" s="1"/>
  <c r="AT212" i="18" s="1"/>
  <c r="AD101" i="18"/>
  <c r="AC107" i="18"/>
  <c r="AD107" i="18" s="1"/>
  <c r="X110" i="18"/>
  <c r="AB132" i="18"/>
  <c r="AB142" i="18"/>
  <c r="AB133" i="18"/>
  <c r="AB143" i="18"/>
  <c r="AF20" i="18"/>
  <c r="AB94" i="18"/>
  <c r="X136" i="18"/>
  <c r="X135" i="18"/>
  <c r="X100" i="18"/>
  <c r="X106" i="18" s="1"/>
  <c r="X131" i="18"/>
  <c r="X93" i="18"/>
  <c r="AB126" i="18"/>
  <c r="AB125" i="18"/>
  <c r="AB127" i="18"/>
  <c r="AB113" i="18"/>
  <c r="AB97" i="18"/>
  <c r="AB103" i="18" s="1"/>
  <c r="AB122" i="18"/>
  <c r="AB121" i="18"/>
  <c r="X112" i="18"/>
  <c r="X111" i="18"/>
  <c r="AC18" i="18"/>
  <c r="AD20" i="18"/>
  <c r="AC75" i="18"/>
  <c r="AC27" i="18"/>
  <c r="AC143" i="18" s="1"/>
  <c r="AD143" i="18" s="1"/>
  <c r="Y15" i="18"/>
  <c r="Y130" i="18" s="1"/>
  <c r="Y13" i="18"/>
  <c r="Y12" i="18"/>
  <c r="Y10" i="18"/>
  <c r="Y16" i="18"/>
  <c r="Y138" i="18" s="1"/>
  <c r="Y139" i="18" s="1"/>
  <c r="Y6" i="18"/>
  <c r="Y7" i="18"/>
  <c r="Y40" i="18"/>
  <c r="X92" i="18"/>
  <c r="X91" i="18"/>
  <c r="AC25" i="18"/>
  <c r="AB90" i="18"/>
  <c r="Y177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97" i="18" l="1"/>
  <c r="X198" i="18" s="1"/>
  <c r="X195" i="18"/>
  <c r="X202" i="18"/>
  <c r="X203" i="18" s="1"/>
  <c r="X200" i="18"/>
  <c r="Y187" i="18"/>
  <c r="Y201" i="18"/>
  <c r="Y196" i="18"/>
  <c r="AC94" i="18"/>
  <c r="AD94" i="18" s="1"/>
  <c r="AC123" i="18"/>
  <c r="AD123" i="18" s="1"/>
  <c r="Y99" i="18"/>
  <c r="Y105" i="18" s="1"/>
  <c r="Y53" i="18"/>
  <c r="Y95" i="18" s="1"/>
  <c r="Y110" i="18"/>
  <c r="AC132" i="18"/>
  <c r="AD132" i="18" s="1"/>
  <c r="AC142" i="18"/>
  <c r="AD142" i="18" s="1"/>
  <c r="Y100" i="18"/>
  <c r="Y106" i="18" s="1"/>
  <c r="Y131" i="18"/>
  <c r="Y136" i="18"/>
  <c r="Y135" i="18"/>
  <c r="AF27" i="18"/>
  <c r="AC133" i="18"/>
  <c r="AD133" i="18" s="1"/>
  <c r="Y93" i="18"/>
  <c r="AC125" i="18"/>
  <c r="AD125" i="18" s="1"/>
  <c r="AC127" i="18"/>
  <c r="AD127" i="18" s="1"/>
  <c r="AC126" i="18"/>
  <c r="AD126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3" i="18"/>
  <c r="AD113" i="18" s="1"/>
  <c r="AC97" i="18"/>
  <c r="AC122" i="18"/>
  <c r="AD122" i="18" s="1"/>
  <c r="AC121" i="18"/>
  <c r="AD121" i="18" s="1"/>
  <c r="Y112" i="18"/>
  <c r="Y111" i="18"/>
  <c r="AF25" i="18"/>
  <c r="AF18" i="18"/>
  <c r="AD18" i="18"/>
  <c r="T166" i="18"/>
  <c r="AF75" i="18"/>
  <c r="AD7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D27" i="18"/>
  <c r="Z12" i="18"/>
  <c r="Z15" i="18"/>
  <c r="Z130" i="18" s="1"/>
  <c r="Z13" i="18"/>
  <c r="Z10" i="18"/>
  <c r="Z16" i="18"/>
  <c r="Z138" i="18" s="1"/>
  <c r="Z139" i="18" s="1"/>
  <c r="Z7" i="18"/>
  <c r="Z6" i="18"/>
  <c r="AD25" i="18"/>
  <c r="AC90" i="18"/>
  <c r="AD90" i="18" s="1"/>
  <c r="Z40" i="18"/>
  <c r="Y92" i="18"/>
  <c r="Y91" i="18"/>
  <c r="O31" i="9"/>
  <c r="O32" i="9" s="1"/>
  <c r="Z177" i="18"/>
  <c r="P31" i="11"/>
  <c r="N32" i="11"/>
  <c r="T19" i="9"/>
  <c r="D22" i="9"/>
  <c r="Y197" i="18" l="1"/>
  <c r="Y198" i="18" s="1"/>
  <c r="Y195" i="18"/>
  <c r="Y202" i="18"/>
  <c r="Y203" i="18" s="1"/>
  <c r="Y200" i="18"/>
  <c r="Z187" i="18"/>
  <c r="Z196" i="18"/>
  <c r="Z201" i="18"/>
  <c r="Z99" i="18"/>
  <c r="Z105" i="18" s="1"/>
  <c r="Z53" i="18"/>
  <c r="Z95" i="18" s="1"/>
  <c r="AD97" i="18"/>
  <c r="AC103" i="18"/>
  <c r="AD103" i="18" s="1"/>
  <c r="Z110" i="18"/>
  <c r="Z136" i="18"/>
  <c r="Z135" i="18"/>
  <c r="Z100" i="18"/>
  <c r="Z106" i="18" s="1"/>
  <c r="Z131" i="18"/>
  <c r="Z93" i="18"/>
  <c r="Z111" i="18"/>
  <c r="Z112" i="18"/>
  <c r="U166" i="18"/>
  <c r="S166" i="18" s="1"/>
  <c r="AA13" i="18"/>
  <c r="AA12" i="18"/>
  <c r="AA15" i="18"/>
  <c r="AA130" i="18" s="1"/>
  <c r="AA10" i="18"/>
  <c r="AA16" i="18"/>
  <c r="AA138" i="18" s="1"/>
  <c r="AA139" i="18" s="1"/>
  <c r="AA6" i="18"/>
  <c r="AA7" i="18"/>
  <c r="AA40" i="18"/>
  <c r="Z92" i="18"/>
  <c r="Z91" i="18"/>
  <c r="AA177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202" i="18" l="1"/>
  <c r="Z203" i="18" s="1"/>
  <c r="Z200" i="18"/>
  <c r="Z197" i="18"/>
  <c r="Z198" i="18" s="1"/>
  <c r="Z195" i="18"/>
  <c r="AA187" i="18"/>
  <c r="AA201" i="18"/>
  <c r="AA196" i="18"/>
  <c r="AA99" i="18"/>
  <c r="AA105" i="18" s="1"/>
  <c r="AA53" i="18"/>
  <c r="AA95" i="18" s="1"/>
  <c r="AA110" i="18"/>
  <c r="AA100" i="18"/>
  <c r="AA106" i="18" s="1"/>
  <c r="AA131" i="18"/>
  <c r="AA135" i="18"/>
  <c r="AA136" i="18"/>
  <c r="AA93" i="18"/>
  <c r="AA111" i="18"/>
  <c r="AA112" i="18"/>
  <c r="AB12" i="18"/>
  <c r="AB15" i="18"/>
  <c r="AB130" i="18" s="1"/>
  <c r="AB13" i="18"/>
  <c r="AB10" i="18"/>
  <c r="AB16" i="18"/>
  <c r="AB138" i="18" s="1"/>
  <c r="AB139" i="18" s="1"/>
  <c r="AB7" i="18"/>
  <c r="AB6" i="18"/>
  <c r="AB40" i="18"/>
  <c r="AA91" i="18"/>
  <c r="AA92" i="18"/>
  <c r="AB177" i="18"/>
  <c r="N34" i="11"/>
  <c r="O33" i="11"/>
  <c r="D25" i="8"/>
  <c r="D23" i="8"/>
  <c r="AA197" i="18" l="1"/>
  <c r="AA198" i="18" s="1"/>
  <c r="AA195" i="18"/>
  <c r="AA202" i="18"/>
  <c r="AA203" i="18" s="1"/>
  <c r="AA200" i="18"/>
  <c r="AB187" i="18"/>
  <c r="AB201" i="18"/>
  <c r="AB196" i="18"/>
  <c r="AB99" i="18"/>
  <c r="AB105" i="18" s="1"/>
  <c r="AB53" i="18"/>
  <c r="AB95" i="18" s="1"/>
  <c r="AB110" i="18"/>
  <c r="AB93" i="18"/>
  <c r="AB135" i="18"/>
  <c r="AB136" i="18"/>
  <c r="AB100" i="18"/>
  <c r="AB106" i="18" s="1"/>
  <c r="AB131" i="18"/>
  <c r="AB111" i="18"/>
  <c r="AB112" i="18"/>
  <c r="AC15" i="18"/>
  <c r="AC13" i="18"/>
  <c r="AF13" i="18" s="1"/>
  <c r="AC12" i="18"/>
  <c r="AC131" i="18" s="1"/>
  <c r="AD131" i="18" s="1"/>
  <c r="AC10" i="18"/>
  <c r="AC16" i="18"/>
  <c r="AC6" i="18"/>
  <c r="AF6" i="18" s="1"/>
  <c r="AC7" i="18"/>
  <c r="AF7" i="18" s="1"/>
  <c r="AC40" i="18"/>
  <c r="AB92" i="18"/>
  <c r="AB91" i="18"/>
  <c r="AC177" i="18"/>
  <c r="N35" i="11"/>
  <c r="O34" i="11"/>
  <c r="D35" i="8"/>
  <c r="E5" i="8"/>
  <c r="E18" i="8" s="1"/>
  <c r="D18" i="8"/>
  <c r="D19" i="8"/>
  <c r="D21" i="8"/>
  <c r="D20" i="8"/>
  <c r="AB197" i="18" l="1"/>
  <c r="AB198" i="18" s="1"/>
  <c r="AB195" i="18"/>
  <c r="AB202" i="18"/>
  <c r="AB203" i="18" s="1"/>
  <c r="AB200" i="18"/>
  <c r="AC187" i="18"/>
  <c r="AD187" i="18" s="1"/>
  <c r="AF187" i="18" s="1"/>
  <c r="AF203" i="18" s="1"/>
  <c r="AC201" i="18"/>
  <c r="AC200" i="18" s="1"/>
  <c r="AD200" i="18" s="1"/>
  <c r="AC196" i="18"/>
  <c r="AC195" i="18" s="1"/>
  <c r="AD195" i="18" s="1"/>
  <c r="AC99" i="18"/>
  <c r="AC105" i="18" s="1"/>
  <c r="AD105" i="18" s="1"/>
  <c r="AC53" i="18"/>
  <c r="AC110" i="18"/>
  <c r="AD110" i="18" s="1"/>
  <c r="AF16" i="18"/>
  <c r="AC138" i="18"/>
  <c r="AC136" i="18"/>
  <c r="AD136" i="18" s="1"/>
  <c r="AC135" i="18"/>
  <c r="AD135" i="18" s="1"/>
  <c r="AF15" i="18"/>
  <c r="AC130" i="18"/>
  <c r="AD130" i="18" s="1"/>
  <c r="AC93" i="18"/>
  <c r="AD93" i="18" s="1"/>
  <c r="AF10" i="18"/>
  <c r="AF12" i="18"/>
  <c r="AC100" i="18"/>
  <c r="AF40" i="18"/>
  <c r="AC111" i="18"/>
  <c r="AD111" i="18" s="1"/>
  <c r="AC112" i="18"/>
  <c r="AD112" i="18" s="1"/>
  <c r="AD15" i="18"/>
  <c r="AD13" i="18"/>
  <c r="T160" i="18"/>
  <c r="AD12" i="18"/>
  <c r="AD10" i="18"/>
  <c r="AD16" i="18"/>
  <c r="AD7" i="18"/>
  <c r="AD6" i="18"/>
  <c r="AC92" i="18"/>
  <c r="AD92" i="18" s="1"/>
  <c r="AC91" i="18"/>
  <c r="AD91" i="18" s="1"/>
  <c r="AD40" i="18"/>
  <c r="AD177" i="18"/>
  <c r="AF177" i="18" s="1"/>
  <c r="N36" i="11"/>
  <c r="O35" i="11"/>
  <c r="F5" i="8"/>
  <c r="G5" i="8" s="1"/>
  <c r="H5" i="8" s="1"/>
  <c r="I5" i="8" s="1"/>
  <c r="AC197" i="18" l="1"/>
  <c r="AD196" i="18"/>
  <c r="AD201" i="18"/>
  <c r="AC202" i="18"/>
  <c r="AD53" i="18"/>
  <c r="AF53" i="18"/>
  <c r="AD99" i="18"/>
  <c r="AC95" i="18"/>
  <c r="AD95" i="18" s="1"/>
  <c r="AD100" i="18"/>
  <c r="AC106" i="18"/>
  <c r="AD106" i="18" s="1"/>
  <c r="AD138" i="18"/>
  <c r="AC139" i="18"/>
  <c r="AD139" i="18" s="1"/>
  <c r="U160" i="18"/>
  <c r="U161" i="18" s="1"/>
  <c r="T161" i="18"/>
  <c r="Q209" i="18" s="1"/>
  <c r="N37" i="11"/>
  <c r="O36" i="11"/>
  <c r="F18" i="8"/>
  <c r="G18" i="8"/>
  <c r="AD197" i="18" l="1"/>
  <c r="AC198" i="18"/>
  <c r="AD198" i="18" s="1"/>
  <c r="AC203" i="18"/>
  <c r="AD203" i="18" s="1"/>
  <c r="AD202" i="18"/>
  <c r="S160" i="18"/>
  <c r="S161" i="18"/>
  <c r="N38" i="11"/>
  <c r="O37" i="11"/>
  <c r="H18" i="8"/>
  <c r="M209" i="18" l="1"/>
  <c r="P209" i="18"/>
  <c r="N39" i="11"/>
  <c r="O38" i="11"/>
  <c r="I18" i="8"/>
  <c r="N40" i="11" l="1"/>
  <c r="O39" i="11"/>
  <c r="N41" i="11" l="1"/>
  <c r="O40" i="11"/>
  <c r="N42" i="11" l="1"/>
  <c r="O41" i="11"/>
  <c r="T188" i="18"/>
  <c r="T78" i="18"/>
  <c r="T59" i="18"/>
  <c r="T64" i="18"/>
  <c r="T85" i="18"/>
  <c r="T87" i="18"/>
  <c r="T80" i="18"/>
  <c r="T77" i="18"/>
  <c r="T63" i="18"/>
  <c r="T58" i="18"/>
  <c r="T52" i="18"/>
  <c r="T70" i="18"/>
  <c r="T84" i="18"/>
  <c r="T68" i="18"/>
  <c r="T61" i="18"/>
  <c r="T79" i="18"/>
  <c r="T81" i="18"/>
  <c r="T65" i="18"/>
  <c r="T185" i="18" s="1"/>
  <c r="T51" i="18"/>
  <c r="T178" i="18" s="1"/>
  <c r="T56" i="18"/>
  <c r="T181" i="18" s="1"/>
  <c r="T71" i="18"/>
  <c r="T184" i="18" s="1"/>
  <c r="T83" i="18"/>
  <c r="T140" i="18" s="1"/>
  <c r="T55" i="18"/>
  <c r="T180" i="18" s="1"/>
  <c r="T67" i="18"/>
  <c r="T115" i="18"/>
  <c r="T116" i="18" s="1"/>
  <c r="T57" i="18"/>
  <c r="T190" i="18" s="1"/>
  <c r="T60" i="18"/>
  <c r="T182" i="18" s="1"/>
  <c r="U42" i="18"/>
  <c r="T69" i="18" l="1"/>
  <c r="T183" i="18" s="1"/>
  <c r="U61" i="18"/>
  <c r="U84" i="18"/>
  <c r="U68" i="18"/>
  <c r="U80" i="18"/>
  <c r="U64" i="18"/>
  <c r="U63" i="18"/>
  <c r="U188" i="18"/>
  <c r="U79" i="18"/>
  <c r="U59" i="18"/>
  <c r="U83" i="18"/>
  <c r="U140" i="18" s="1"/>
  <c r="U71" i="18"/>
  <c r="U184" i="18" s="1"/>
  <c r="U55" i="18"/>
  <c r="U180" i="18" s="1"/>
  <c r="U115" i="18"/>
  <c r="U116" i="18" s="1"/>
  <c r="U77" i="18"/>
  <c r="U58" i="18"/>
  <c r="U87" i="18"/>
  <c r="U70" i="18"/>
  <c r="U85" i="18"/>
  <c r="U78" i="18"/>
  <c r="U81" i="18"/>
  <c r="U52" i="18"/>
  <c r="U60" i="18"/>
  <c r="U182" i="18" s="1"/>
  <c r="U51" i="18"/>
  <c r="U178" i="18" s="1"/>
  <c r="U65" i="18"/>
  <c r="U185" i="18" s="1"/>
  <c r="U56" i="18"/>
  <c r="U181" i="18" s="1"/>
  <c r="U57" i="18"/>
  <c r="U190" i="18" s="1"/>
  <c r="V42" i="18"/>
  <c r="U67" i="18"/>
  <c r="T117" i="18"/>
  <c r="T118" i="18" s="1"/>
  <c r="T119" i="18"/>
  <c r="T179" i="18"/>
  <c r="U69" i="18" l="1"/>
  <c r="U183" i="18" s="1"/>
  <c r="T192" i="18"/>
  <c r="T193" i="18" s="1"/>
  <c r="T191" i="18"/>
  <c r="V78" i="18"/>
  <c r="V55" i="18"/>
  <c r="V180" i="18" s="1"/>
  <c r="V79" i="18"/>
  <c r="V80" i="18"/>
  <c r="V84" i="18"/>
  <c r="V64" i="18"/>
  <c r="V61" i="18"/>
  <c r="V87" i="18"/>
  <c r="V70" i="18"/>
  <c r="V68" i="18"/>
  <c r="V51" i="18"/>
  <c r="V178" i="18" s="1"/>
  <c r="V60" i="18"/>
  <c r="V182" i="18" s="1"/>
  <c r="V56" i="18"/>
  <c r="V181" i="18" s="1"/>
  <c r="V59" i="18"/>
  <c r="V58" i="18"/>
  <c r="V77" i="18"/>
  <c r="V81" i="18"/>
  <c r="V52" i="18"/>
  <c r="V65" i="18"/>
  <c r="V185" i="18" s="1"/>
  <c r="V85" i="18"/>
  <c r="V63" i="18"/>
  <c r="V188" i="18"/>
  <c r="V83" i="18"/>
  <c r="V140" i="18" s="1"/>
  <c r="V71" i="18"/>
  <c r="V184" i="18" s="1"/>
  <c r="V67" i="18"/>
  <c r="V115" i="18"/>
  <c r="V116" i="18" s="1"/>
  <c r="V57" i="18"/>
  <c r="V190" i="18" s="1"/>
  <c r="W42" i="18"/>
  <c r="U179" i="18"/>
  <c r="U119" i="18"/>
  <c r="U117" i="18"/>
  <c r="U118" i="18" s="1"/>
  <c r="U192" i="18" l="1"/>
  <c r="U193" i="18" s="1"/>
  <c r="U191" i="18"/>
  <c r="W78" i="18"/>
  <c r="W188" i="18"/>
  <c r="W52" i="18"/>
  <c r="W79" i="18"/>
  <c r="W64" i="18"/>
  <c r="W59" i="18"/>
  <c r="W63" i="18"/>
  <c r="W77" i="18"/>
  <c r="W83" i="18"/>
  <c r="W140" i="18" s="1"/>
  <c r="W55" i="18"/>
  <c r="W180" i="18" s="1"/>
  <c r="W56" i="18"/>
  <c r="W181" i="18" s="1"/>
  <c r="W71" i="18"/>
  <c r="W184" i="18" s="1"/>
  <c r="W87" i="18"/>
  <c r="W58" i="18"/>
  <c r="W81" i="18"/>
  <c r="W85" i="18"/>
  <c r="W84" i="18"/>
  <c r="W61" i="18"/>
  <c r="W80" i="18"/>
  <c r="W70" i="18"/>
  <c r="W68" i="18"/>
  <c r="W65" i="18"/>
  <c r="W185" i="18" s="1"/>
  <c r="W51" i="18"/>
  <c r="W178" i="18" s="1"/>
  <c r="W115" i="18"/>
  <c r="W116" i="18" s="1"/>
  <c r="W57" i="18"/>
  <c r="W190" i="18" s="1"/>
  <c r="W60" i="18"/>
  <c r="W182" i="18" s="1"/>
  <c r="X42" i="18"/>
  <c r="W67" i="18"/>
  <c r="V179" i="18"/>
  <c r="V117" i="18"/>
  <c r="V118" i="18" s="1"/>
  <c r="V119" i="18"/>
  <c r="V69" i="18"/>
  <c r="V183" i="18" s="1"/>
  <c r="V192" i="18" l="1"/>
  <c r="V193" i="18" s="1"/>
  <c r="V191" i="18"/>
  <c r="W179" i="18"/>
  <c r="W69" i="18"/>
  <c r="W183" i="18" s="1"/>
  <c r="W119" i="18"/>
  <c r="W117" i="18"/>
  <c r="W118" i="18" s="1"/>
  <c r="X58" i="18"/>
  <c r="X79" i="18"/>
  <c r="X68" i="18"/>
  <c r="X78" i="18"/>
  <c r="X77" i="18"/>
  <c r="X63" i="18"/>
  <c r="X52" i="18"/>
  <c r="X61" i="18"/>
  <c r="X60" i="18"/>
  <c r="X182" i="18" s="1"/>
  <c r="X51" i="18"/>
  <c r="X178" i="18" s="1"/>
  <c r="X83" i="18"/>
  <c r="X140" i="18" s="1"/>
  <c r="X188" i="18"/>
  <c r="X81" i="18"/>
  <c r="X59" i="18"/>
  <c r="X87" i="18"/>
  <c r="X80" i="18"/>
  <c r="X64" i="18"/>
  <c r="X70" i="18"/>
  <c r="X84" i="18"/>
  <c r="X85" i="18"/>
  <c r="X55" i="18"/>
  <c r="X180" i="18" s="1"/>
  <c r="X56" i="18"/>
  <c r="X181" i="18" s="1"/>
  <c r="X71" i="18"/>
  <c r="X184" i="18" s="1"/>
  <c r="X65" i="18"/>
  <c r="X185" i="18" s="1"/>
  <c r="X67" i="18"/>
  <c r="X69" i="18" s="1"/>
  <c r="X183" i="18" s="1"/>
  <c r="X57" i="18"/>
  <c r="X190" i="18" s="1"/>
  <c r="X115" i="18"/>
  <c r="X116" i="18" s="1"/>
  <c r="Y42" i="18"/>
  <c r="W192" i="18" l="1"/>
  <c r="W193" i="18" s="1"/>
  <c r="W191" i="18"/>
  <c r="Y58" i="18"/>
  <c r="Y61" i="18"/>
  <c r="Y63" i="18"/>
  <c r="Y52" i="18"/>
  <c r="Y65" i="18"/>
  <c r="Y185" i="18" s="1"/>
  <c r="Y77" i="18"/>
  <c r="Y70" i="18"/>
  <c r="Y78" i="18"/>
  <c r="Y68" i="18"/>
  <c r="Y56" i="18"/>
  <c r="Y181" i="18" s="1"/>
  <c r="Y51" i="18"/>
  <c r="Y178" i="18" s="1"/>
  <c r="Y60" i="18"/>
  <c r="Y182" i="18" s="1"/>
  <c r="Y80" i="18"/>
  <c r="Y79" i="18"/>
  <c r="Y59" i="18"/>
  <c r="Y85" i="18"/>
  <c r="Y71" i="18"/>
  <c r="Y184" i="18" s="1"/>
  <c r="Y87" i="18"/>
  <c r="Y188" i="18"/>
  <c r="Y84" i="18"/>
  <c r="Y81" i="18"/>
  <c r="Y64" i="18"/>
  <c r="Y83" i="18"/>
  <c r="Y140" i="18" s="1"/>
  <c r="Y55" i="18"/>
  <c r="Y180" i="18" s="1"/>
  <c r="Z42" i="18"/>
  <c r="Y115" i="18"/>
  <c r="Y116" i="18" s="1"/>
  <c r="Y67" i="18"/>
  <c r="Y57" i="18"/>
  <c r="Y190" i="18" s="1"/>
  <c r="X117" i="18"/>
  <c r="X118" i="18" s="1"/>
  <c r="X119" i="18"/>
  <c r="X179" i="18"/>
  <c r="X192" i="18" l="1"/>
  <c r="X193" i="18" s="1"/>
  <c r="X191" i="18"/>
  <c r="Y69" i="18"/>
  <c r="Y183" i="18" s="1"/>
  <c r="Z77" i="18"/>
  <c r="Z64" i="18"/>
  <c r="Z188" i="18"/>
  <c r="Z63" i="18"/>
  <c r="Z65" i="18"/>
  <c r="Z185" i="18" s="1"/>
  <c r="Z80" i="18"/>
  <c r="Z52" i="18"/>
  <c r="Z68" i="18"/>
  <c r="Z85" i="18"/>
  <c r="Z83" i="18"/>
  <c r="Z140" i="18" s="1"/>
  <c r="Z51" i="18"/>
  <c r="Z178" i="18" s="1"/>
  <c r="Z84" i="18"/>
  <c r="Z59" i="18"/>
  <c r="Z61" i="18"/>
  <c r="Z81" i="18"/>
  <c r="Z71" i="18"/>
  <c r="Z184" i="18" s="1"/>
  <c r="Z58" i="18"/>
  <c r="Z87" i="18"/>
  <c r="Z79" i="18"/>
  <c r="Z78" i="18"/>
  <c r="Z70" i="18"/>
  <c r="Z55" i="18"/>
  <c r="Z180" i="18" s="1"/>
  <c r="Z56" i="18"/>
  <c r="Z181" i="18" s="1"/>
  <c r="Z60" i="18"/>
  <c r="Z182" i="18" s="1"/>
  <c r="Z115" i="18"/>
  <c r="Z116" i="18" s="1"/>
  <c r="Z57" i="18"/>
  <c r="Z190" i="18" s="1"/>
  <c r="Z67" i="18"/>
  <c r="AA42" i="18"/>
  <c r="Y179" i="18"/>
  <c r="Y117" i="18"/>
  <c r="Y118" i="18" s="1"/>
  <c r="Y119" i="18"/>
  <c r="Y192" i="18" l="1"/>
  <c r="Y193" i="18" s="1"/>
  <c r="Y191" i="18"/>
  <c r="Z69" i="18"/>
  <c r="Z183" i="18" s="1"/>
  <c r="Z119" i="18"/>
  <c r="Z117" i="18"/>
  <c r="Z118" i="18" s="1"/>
  <c r="AA77" i="18"/>
  <c r="AA79" i="18"/>
  <c r="AA61" i="18"/>
  <c r="AA81" i="18"/>
  <c r="AA51" i="18"/>
  <c r="AA178" i="18" s="1"/>
  <c r="AA59" i="18"/>
  <c r="AA68" i="18"/>
  <c r="AA85" i="18"/>
  <c r="AA80" i="18"/>
  <c r="AA55" i="18"/>
  <c r="AA180" i="18" s="1"/>
  <c r="AA65" i="18"/>
  <c r="AA185" i="18" s="1"/>
  <c r="AA70" i="18"/>
  <c r="AA64" i="18"/>
  <c r="AA188" i="18"/>
  <c r="AA84" i="18"/>
  <c r="AA87" i="18"/>
  <c r="AA78" i="18"/>
  <c r="AA52" i="18"/>
  <c r="AA58" i="18"/>
  <c r="AA63" i="18"/>
  <c r="AA56" i="18"/>
  <c r="AA181" i="18" s="1"/>
  <c r="AA71" i="18"/>
  <c r="AA184" i="18" s="1"/>
  <c r="AA83" i="18"/>
  <c r="AA140" i="18" s="1"/>
  <c r="AA60" i="18"/>
  <c r="AA182" i="18" s="1"/>
  <c r="AA115" i="18"/>
  <c r="AA116" i="18" s="1"/>
  <c r="AA67" i="18"/>
  <c r="AA57" i="18"/>
  <c r="AA190" i="18" s="1"/>
  <c r="AB42" i="18"/>
  <c r="Z179" i="18"/>
  <c r="Z192" i="18" l="1"/>
  <c r="Z193" i="18" s="1"/>
  <c r="Z191" i="18"/>
  <c r="AA179" i="18"/>
  <c r="AA69" i="18"/>
  <c r="AA183" i="18" s="1"/>
  <c r="AA117" i="18"/>
  <c r="AA118" i="18" s="1"/>
  <c r="AA119" i="18"/>
  <c r="AB64" i="18"/>
  <c r="AB77" i="18"/>
  <c r="AB68" i="18"/>
  <c r="AB58" i="18"/>
  <c r="AB83" i="18"/>
  <c r="AB140" i="18" s="1"/>
  <c r="AB85" i="18"/>
  <c r="AB78" i="18"/>
  <c r="AB84" i="18"/>
  <c r="AB61" i="18"/>
  <c r="AB51" i="18"/>
  <c r="AB178" i="18" s="1"/>
  <c r="AB71" i="18"/>
  <c r="AB184" i="18" s="1"/>
  <c r="AB81" i="18"/>
  <c r="AB56" i="18"/>
  <c r="AB181" i="18" s="1"/>
  <c r="AB87" i="18"/>
  <c r="AB79" i="18"/>
  <c r="AB80" i="18"/>
  <c r="AB70" i="18"/>
  <c r="AB63" i="18"/>
  <c r="AB52" i="18"/>
  <c r="AB188" i="18"/>
  <c r="AB59" i="18"/>
  <c r="AB55" i="18"/>
  <c r="AB180" i="18" s="1"/>
  <c r="AB65" i="18"/>
  <c r="AB185" i="18" s="1"/>
  <c r="AB60" i="18"/>
  <c r="AB182" i="18" s="1"/>
  <c r="AB115" i="18"/>
  <c r="AB116" i="18" s="1"/>
  <c r="AB57" i="18"/>
  <c r="AB190" i="18" s="1"/>
  <c r="AC42" i="18"/>
  <c r="AB67" i="18"/>
  <c r="AA192" i="18" l="1"/>
  <c r="AA193" i="18" s="1"/>
  <c r="AA191" i="18"/>
  <c r="AB69" i="18"/>
  <c r="AB183" i="18" s="1"/>
  <c r="AB179" i="18"/>
  <c r="AC188" i="18"/>
  <c r="AC84" i="18"/>
  <c r="AC85" i="18"/>
  <c r="AC52" i="18"/>
  <c r="AD42" i="18"/>
  <c r="AC58" i="18"/>
  <c r="AF42" i="18"/>
  <c r="AC87" i="18"/>
  <c r="AC83" i="18"/>
  <c r="AC55" i="18"/>
  <c r="AC51" i="18"/>
  <c r="AC56" i="18"/>
  <c r="AC60" i="18"/>
  <c r="AC70" i="18"/>
  <c r="AC57" i="18"/>
  <c r="AC190" i="18" s="1"/>
  <c r="AC71" i="18"/>
  <c r="AC78" i="18"/>
  <c r="AC80" i="18"/>
  <c r="AC65" i="18"/>
  <c r="AC67" i="18"/>
  <c r="AC63" i="18"/>
  <c r="AC68" i="18"/>
  <c r="AC79" i="18"/>
  <c r="AC77" i="18"/>
  <c r="AC61" i="18"/>
  <c r="AC81" i="18"/>
  <c r="AC115" i="18"/>
  <c r="AC59" i="18"/>
  <c r="AC64" i="18"/>
  <c r="AB119" i="18"/>
  <c r="AB117" i="18"/>
  <c r="AB118" i="18" s="1"/>
  <c r="AB192" i="18" l="1"/>
  <c r="AB193" i="18" s="1"/>
  <c r="AB191" i="18"/>
  <c r="AC116" i="18"/>
  <c r="AD115" i="18"/>
  <c r="AD79" i="18"/>
  <c r="T170" i="18"/>
  <c r="AF79" i="18"/>
  <c r="U170" i="18" s="1"/>
  <c r="AF65" i="18"/>
  <c r="U155" i="18" s="1"/>
  <c r="AC185" i="18"/>
  <c r="AD65" i="18"/>
  <c r="T155" i="18"/>
  <c r="AD57" i="18"/>
  <c r="AF57" i="18"/>
  <c r="U147" i="18" s="1"/>
  <c r="T147" i="18"/>
  <c r="AC179" i="18"/>
  <c r="AC191" i="18" s="1"/>
  <c r="AD191" i="18" s="1"/>
  <c r="AF51" i="18"/>
  <c r="AD51" i="18"/>
  <c r="AC178" i="18"/>
  <c r="AD85" i="18"/>
  <c r="AF85" i="18"/>
  <c r="T174" i="18"/>
  <c r="AF81" i="18"/>
  <c r="U174" i="18" s="1"/>
  <c r="AD81" i="18"/>
  <c r="AF68" i="18"/>
  <c r="AD68" i="18"/>
  <c r="AF80" i="18"/>
  <c r="U171" i="18" s="1"/>
  <c r="AD80" i="18"/>
  <c r="T171" i="18"/>
  <c r="AD70" i="18"/>
  <c r="T157" i="18"/>
  <c r="AF70" i="18"/>
  <c r="U157" i="18" s="1"/>
  <c r="AD55" i="18"/>
  <c r="AF55" i="18"/>
  <c r="AC180" i="18"/>
  <c r="AD58" i="18"/>
  <c r="AF58" i="18"/>
  <c r="AF84" i="18"/>
  <c r="AD84" i="18"/>
  <c r="AD64" i="18"/>
  <c r="AF64" i="18"/>
  <c r="U154" i="18" s="1"/>
  <c r="T154" i="18"/>
  <c r="AD61" i="18"/>
  <c r="T150" i="18"/>
  <c r="AF61" i="18"/>
  <c r="U150" i="18" s="1"/>
  <c r="T153" i="18"/>
  <c r="AD63" i="18"/>
  <c r="AF63" i="18"/>
  <c r="U153" i="18" s="1"/>
  <c r="AD78" i="18"/>
  <c r="T169" i="18"/>
  <c r="AF78" i="18"/>
  <c r="U169" i="18" s="1"/>
  <c r="AD60" i="18"/>
  <c r="AF60" i="18"/>
  <c r="U149" i="18" s="1"/>
  <c r="AC182" i="18"/>
  <c r="T149" i="18"/>
  <c r="AF83" i="18"/>
  <c r="AD83" i="18"/>
  <c r="AC140" i="18"/>
  <c r="AD140" i="18" s="1"/>
  <c r="AD188" i="18"/>
  <c r="AF188" i="18" s="1"/>
  <c r="T148" i="18"/>
  <c r="AF59" i="18"/>
  <c r="U148" i="18" s="1"/>
  <c r="AD59" i="18"/>
  <c r="AD77" i="18"/>
  <c r="T168" i="18"/>
  <c r="AF77" i="18"/>
  <c r="U168" i="18" s="1"/>
  <c r="AD67" i="18"/>
  <c r="AF67" i="18"/>
  <c r="U151" i="18" s="1"/>
  <c r="T151" i="18"/>
  <c r="AC69" i="18"/>
  <c r="AD71" i="18"/>
  <c r="AC184" i="18"/>
  <c r="T158" i="18"/>
  <c r="AF71" i="18"/>
  <c r="U158" i="18" s="1"/>
  <c r="AD56" i="18"/>
  <c r="AF56" i="18"/>
  <c r="AC181" i="18"/>
  <c r="AD52" i="18"/>
  <c r="AF52" i="18"/>
  <c r="S151" i="18" l="1"/>
  <c r="U172" i="18"/>
  <c r="AD190" i="18"/>
  <c r="AF190" i="18" s="1"/>
  <c r="S168" i="18"/>
  <c r="S153" i="18"/>
  <c r="S149" i="18"/>
  <c r="S157" i="18"/>
  <c r="AF69" i="18"/>
  <c r="AC183" i="18"/>
  <c r="AD69" i="18"/>
  <c r="AD182" i="18"/>
  <c r="AF182" i="18" s="1"/>
  <c r="T172" i="18"/>
  <c r="S169" i="18"/>
  <c r="S154" i="18"/>
  <c r="Q210" i="18"/>
  <c r="S174" i="18"/>
  <c r="AF202" i="18"/>
  <c r="S170" i="18"/>
  <c r="AD181" i="18"/>
  <c r="AF181" i="18" s="1"/>
  <c r="S158" i="18"/>
  <c r="Q208" i="18"/>
  <c r="S148" i="18"/>
  <c r="S171" i="18"/>
  <c r="AD185" i="18"/>
  <c r="AF185" i="18" s="1"/>
  <c r="AD184" i="18"/>
  <c r="AF184" i="18" s="1"/>
  <c r="AF198" i="18" s="1"/>
  <c r="S150" i="18"/>
  <c r="AC192" i="18"/>
  <c r="AD179" i="18"/>
  <c r="AF179" i="18" s="1"/>
  <c r="AF192" i="18" s="1"/>
  <c r="AD180" i="18"/>
  <c r="AF180" i="18" s="1"/>
  <c r="AF193" i="18" s="1"/>
  <c r="AD178" i="18"/>
  <c r="AF178" i="18" s="1"/>
  <c r="AF191" i="18" s="1"/>
  <c r="S147" i="18"/>
  <c r="P211" i="18" s="1"/>
  <c r="P212" i="18" s="1"/>
  <c r="Q211" i="18"/>
  <c r="Q212" i="18" s="1"/>
  <c r="S155" i="18"/>
  <c r="Q207" i="18"/>
  <c r="AC119" i="18"/>
  <c r="AD116" i="18"/>
  <c r="AC117" i="18"/>
  <c r="AF196" i="18" l="1"/>
  <c r="AF195" i="18"/>
  <c r="AD192" i="18"/>
  <c r="AC193" i="18"/>
  <c r="AD193" i="18" s="1"/>
  <c r="S172" i="18"/>
  <c r="AD117" i="18"/>
  <c r="AC118" i="18"/>
  <c r="AD118" i="18" s="1"/>
  <c r="P207" i="18"/>
  <c r="M207" i="18"/>
  <c r="M208" i="18"/>
  <c r="P208" i="18"/>
  <c r="M210" i="18"/>
  <c r="P210" i="18"/>
  <c r="AD183" i="18"/>
  <c r="AF183" i="18" s="1"/>
  <c r="AF197" i="18" s="1"/>
</calcChain>
</file>

<file path=xl/comments1.xml><?xml version="1.0" encoding="utf-8"?>
<comments xmlns="http://schemas.openxmlformats.org/spreadsheetml/2006/main">
  <authors>
    <author>Author</author>
  </authors>
  <commentList>
    <comment ref="B14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Q14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S146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17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9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19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0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<sst xmlns="http://schemas.openxmlformats.org/spreadsheetml/2006/main" count="677" uniqueCount="477">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</sst>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174" fontId="8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18272"/>
        <c:axId val="134519808"/>
      </c:lineChart>
      <c:catAx>
        <c:axId val="134518272"/>
        <c:scaling>
          <c:orientation val="minMax"/>
        </c:scaling>
        <c:delete val="0"/>
        <c:axPos val="b"/>
        <c:majorTickMark val="out"/>
        <c:minorTickMark val="none"/>
        <c:tickLblPos val="nextTo"/>
        <c:crossAx val="134519808"/>
        <c:crosses val="autoZero"/>
        <c:auto val="1"/>
        <c:lblAlgn val="ctr"/>
        <c:lblOffset val="100"/>
        <c:noMultiLvlLbl val="0"/>
      </c:catAx>
      <c:valAx>
        <c:axId val="134519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5182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0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48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P6" sqref="P6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8" width="11.28515625" style="104" bestFit="1" customWidth="1"/>
    <col min="9" max="16" width="12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0.15</v>
      </c>
      <c r="F1" s="104" t="s">
        <v>252</v>
      </c>
      <c r="H1" s="126">
        <v>2004</v>
      </c>
      <c r="J1" s="104" t="s">
        <v>326</v>
      </c>
      <c r="L1" s="162">
        <v>0.05</v>
      </c>
      <c r="N1" s="104" t="s">
        <v>397</v>
      </c>
      <c r="P1" s="162">
        <v>0.05</v>
      </c>
    </row>
    <row r="2" spans="2:32" x14ac:dyDescent="0.2">
      <c r="B2" s="151" t="s">
        <v>314</v>
      </c>
      <c r="C2" s="120"/>
      <c r="F2" s="104" t="s">
        <v>253</v>
      </c>
      <c r="H2" s="126">
        <v>2014</v>
      </c>
      <c r="J2" s="104" t="s">
        <v>327</v>
      </c>
      <c r="L2" s="162">
        <v>0.22</v>
      </c>
      <c r="N2" s="104" t="s">
        <v>465</v>
      </c>
      <c r="P2" s="162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4" t="s">
        <v>290</v>
      </c>
      <c r="AF2" s="205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6" t="s">
        <v>291</v>
      </c>
      <c r="AF3" s="207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20"/>
      <c r="S5" s="20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36"/>
      <c r="AE5" s="20"/>
      <c r="AF5" s="152"/>
    </row>
    <row r="6" spans="2:32" x14ac:dyDescent="0.2">
      <c r="B6" s="20" t="s">
        <v>16</v>
      </c>
      <c r="C6" s="140"/>
      <c r="D6" s="140"/>
      <c r="E6" s="146"/>
      <c r="F6" s="146"/>
      <c r="G6" s="146">
        <v>27</v>
      </c>
      <c r="H6" s="146">
        <v>29</v>
      </c>
      <c r="I6" s="146">
        <v>33</v>
      </c>
      <c r="J6" s="146">
        <v>41</v>
      </c>
      <c r="K6" s="146">
        <v>55</v>
      </c>
      <c r="L6" s="146">
        <v>71</v>
      </c>
      <c r="M6" s="146">
        <v>110</v>
      </c>
      <c r="N6" s="146">
        <v>178</v>
      </c>
      <c r="O6" s="146">
        <v>272</v>
      </c>
      <c r="P6" s="146">
        <v>384</v>
      </c>
      <c r="Q6" s="146">
        <v>573</v>
      </c>
      <c r="R6" s="118">
        <f>((Q6/G6)^(1/($H$2-$H$1) ))-1</f>
        <v>0.35731011565426352</v>
      </c>
      <c r="S6" s="31">
        <f>$L$2</f>
        <v>0.22</v>
      </c>
      <c r="T6" s="152">
        <f>Q6*(1+$S6)</f>
        <v>699.06</v>
      </c>
      <c r="U6" s="152">
        <f>T6*(1+$S6)</f>
        <v>852.8531999999999</v>
      </c>
      <c r="V6" s="152">
        <f t="shared" ref="V6:AC6" si="0">U6*(1+$S6)</f>
        <v>1040.4809039999998</v>
      </c>
      <c r="W6" s="152">
        <f t="shared" si="0"/>
        <v>1269.3867028799998</v>
      </c>
      <c r="X6" s="152">
        <f t="shared" si="0"/>
        <v>1548.6517775135997</v>
      </c>
      <c r="Y6" s="152">
        <f t="shared" si="0"/>
        <v>1889.3551685665916</v>
      </c>
      <c r="Z6" s="152">
        <f t="shared" si="0"/>
        <v>2305.0133056512418</v>
      </c>
      <c r="AA6" s="152">
        <f t="shared" si="0"/>
        <v>2812.1162328945147</v>
      </c>
      <c r="AB6" s="152">
        <f t="shared" si="0"/>
        <v>3430.781804131308</v>
      </c>
      <c r="AC6" s="152">
        <f t="shared" si="0"/>
        <v>4185.553801040196</v>
      </c>
      <c r="AD6" s="137">
        <f>((AC6/G6)^(1/($AC$3-$H$1) ))-1</f>
        <v>0.28682490693108731</v>
      </c>
      <c r="AE6" s="31">
        <f>$L$1</f>
        <v>0.05</v>
      </c>
      <c r="AF6" s="145">
        <f t="shared" ref="AF6:AF44" si="1">(AC6*(1+AE6))/($C$1-AE6)</f>
        <v>43948.314910922069</v>
      </c>
    </row>
    <row r="7" spans="2:32" x14ac:dyDescent="0.2">
      <c r="B7" s="20" t="s">
        <v>240</v>
      </c>
      <c r="C7" s="140"/>
      <c r="D7" s="140"/>
      <c r="E7" s="146"/>
      <c r="F7" s="146"/>
      <c r="G7" s="146">
        <v>42</v>
      </c>
      <c r="H7" s="146">
        <v>65</v>
      </c>
      <c r="I7" s="146">
        <v>57</v>
      </c>
      <c r="J7" s="146">
        <v>73</v>
      </c>
      <c r="K7" s="146">
        <v>47</v>
      </c>
      <c r="L7" s="146">
        <v>21</v>
      </c>
      <c r="M7" s="146">
        <v>124</v>
      </c>
      <c r="N7" s="146">
        <v>192</v>
      </c>
      <c r="O7" s="146">
        <v>285</v>
      </c>
      <c r="P7" s="146">
        <v>395</v>
      </c>
      <c r="Q7" s="146">
        <v>585</v>
      </c>
      <c r="R7" s="118">
        <f>((Q7/G7)^(1/($H$2-$H$1) ))-1</f>
        <v>0.30133963572169042</v>
      </c>
      <c r="S7" s="31">
        <f>$L$2</f>
        <v>0.22</v>
      </c>
      <c r="T7" s="152">
        <f t="shared" ref="T7:T44" si="2">Q7*(1+$S7)</f>
        <v>713.69999999999993</v>
      </c>
      <c r="U7" s="152">
        <f t="shared" ref="U7:AC7" si="3">T7*(1+$S7)</f>
        <v>870.71399999999994</v>
      </c>
      <c r="V7" s="152">
        <f t="shared" si="3"/>
        <v>1062.27108</v>
      </c>
      <c r="W7" s="152">
        <f t="shared" si="3"/>
        <v>1295.9707175999999</v>
      </c>
      <c r="X7" s="152">
        <f t="shared" si="3"/>
        <v>1581.0842754719999</v>
      </c>
      <c r="Y7" s="152">
        <f t="shared" si="3"/>
        <v>1928.9228160758398</v>
      </c>
      <c r="Z7" s="152">
        <f t="shared" si="3"/>
        <v>2353.2858356125244</v>
      </c>
      <c r="AA7" s="152">
        <f t="shared" si="3"/>
        <v>2871.0087194472799</v>
      </c>
      <c r="AB7" s="152">
        <f t="shared" si="3"/>
        <v>3502.6306377256815</v>
      </c>
      <c r="AC7" s="152">
        <f t="shared" si="3"/>
        <v>4273.2093780253317</v>
      </c>
      <c r="AD7" s="137">
        <f>((AC7/G7)^(1/($AC$3-$H$1) ))-1</f>
        <v>0.26001363309309555</v>
      </c>
      <c r="AE7" s="31">
        <f>$L$1</f>
        <v>0.05</v>
      </c>
      <c r="AF7" s="145">
        <f t="shared" si="1"/>
        <v>44868.69846926599</v>
      </c>
    </row>
    <row r="8" spans="2:32" x14ac:dyDescent="0.2">
      <c r="B8" s="20"/>
      <c r="C8" s="140"/>
      <c r="D8" s="140"/>
      <c r="E8" s="146"/>
      <c r="F8" s="146"/>
      <c r="G8" s="149" t="e">
        <f t="shared" ref="G8:Q8" si="4">(G7-F7)/F7</f>
        <v>#DIV/0!</v>
      </c>
      <c r="H8" s="149">
        <f t="shared" si="4"/>
        <v>0.54761904761904767</v>
      </c>
      <c r="I8" s="149">
        <f t="shared" si="4"/>
        <v>-0.12307692307692308</v>
      </c>
      <c r="J8" s="149">
        <f t="shared" si="4"/>
        <v>0.2807017543859649</v>
      </c>
      <c r="K8" s="149">
        <f t="shared" si="4"/>
        <v>-0.35616438356164382</v>
      </c>
      <c r="L8" s="149">
        <f t="shared" si="4"/>
        <v>-0.55319148936170215</v>
      </c>
      <c r="M8" s="149">
        <f t="shared" si="4"/>
        <v>4.9047619047619051</v>
      </c>
      <c r="N8" s="149">
        <f t="shared" si="4"/>
        <v>0.54838709677419351</v>
      </c>
      <c r="O8" s="149">
        <f t="shared" si="4"/>
        <v>0.484375</v>
      </c>
      <c r="P8" s="149">
        <f t="shared" si="4"/>
        <v>0.38596491228070173</v>
      </c>
      <c r="Q8" s="149">
        <f t="shared" si="4"/>
        <v>0.48101265822784811</v>
      </c>
      <c r="R8" s="128"/>
      <c r="S8" s="20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37</v>
      </c>
      <c r="H9" s="146">
        <v>38</v>
      </c>
      <c r="I9" s="146">
        <v>39</v>
      </c>
      <c r="J9" s="146">
        <v>57</v>
      </c>
      <c r="K9" s="146">
        <v>62</v>
      </c>
      <c r="L9" s="146">
        <v>63</v>
      </c>
      <c r="M9" s="146">
        <v>95</v>
      </c>
      <c r="N9" s="146">
        <v>147</v>
      </c>
      <c r="O9" s="146">
        <v>238</v>
      </c>
      <c r="P9" s="146">
        <v>230</v>
      </c>
      <c r="Q9" s="146">
        <v>225</v>
      </c>
      <c r="R9" s="118">
        <f>((Q9/G9)^(1/($H$2-$H$1) ))-1</f>
        <v>0.1978379805736592</v>
      </c>
      <c r="S9" s="31">
        <f t="shared" ref="S9:S40" si="5">$L$2</f>
        <v>0.22</v>
      </c>
      <c r="T9" s="152">
        <f t="shared" si="2"/>
        <v>274.5</v>
      </c>
      <c r="U9" s="152">
        <f t="shared" ref="U9" si="6">T9*(1+$S9)</f>
        <v>334.89</v>
      </c>
      <c r="V9" s="152">
        <f t="shared" ref="V9" si="7">U9*(1+$S9)</f>
        <v>408.56579999999997</v>
      </c>
      <c r="W9" s="152">
        <f t="shared" ref="W9" si="8">V9*(1+$S9)</f>
        <v>498.45027599999997</v>
      </c>
      <c r="X9" s="152">
        <f t="shared" ref="X9" si="9">W9*(1+$S9)</f>
        <v>608.10933671999999</v>
      </c>
      <c r="Y9" s="152">
        <f t="shared" ref="Y9" si="10">X9*(1+$S9)</f>
        <v>741.89339079839999</v>
      </c>
      <c r="Z9" s="152">
        <f t="shared" ref="Z9" si="11">Y9*(1+$S9)</f>
        <v>905.10993677404792</v>
      </c>
      <c r="AA9" s="152">
        <f t="shared" ref="AA9" si="12">Z9*(1+$S9)</f>
        <v>1104.2341228643384</v>
      </c>
      <c r="AB9" s="152">
        <f t="shared" ref="AB9" si="13">AA9*(1+$S9)</f>
        <v>1347.1656298944927</v>
      </c>
      <c r="AC9" s="152">
        <f t="shared" ref="AC9" si="14">AB9*(1+$S9)</f>
        <v>1643.542068471281</v>
      </c>
      <c r="AD9" s="137">
        <f>((AC9/G9)^(1/($AC$3-$H$1) ))-1</f>
        <v>0.2088682046856325</v>
      </c>
      <c r="AE9" s="31">
        <f t="shared" ref="AE9:AE84" si="15">$L$1</f>
        <v>0.05</v>
      </c>
      <c r="AF9" s="145">
        <f t="shared" si="1"/>
        <v>17257.191718948452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77</v>
      </c>
      <c r="H10" s="146">
        <v>65</v>
      </c>
      <c r="I10" s="146">
        <v>57</v>
      </c>
      <c r="J10" s="146">
        <v>73</v>
      </c>
      <c r="K10" s="146">
        <v>47</v>
      </c>
      <c r="L10" s="146">
        <v>21</v>
      </c>
      <c r="M10" s="146">
        <v>3</v>
      </c>
      <c r="N10" s="146">
        <v>2</v>
      </c>
      <c r="O10" s="146">
        <v>17</v>
      </c>
      <c r="P10" s="146">
        <v>115</v>
      </c>
      <c r="Q10" s="146">
        <v>26</v>
      </c>
      <c r="R10" s="118">
        <f>((Q10/G10)^(1/($H$2-$H$1) ))-1</f>
        <v>-0.10288470249016013</v>
      </c>
      <c r="S10" s="31">
        <f t="shared" si="5"/>
        <v>0.22</v>
      </c>
      <c r="T10" s="152">
        <f t="shared" si="2"/>
        <v>31.72</v>
      </c>
      <c r="U10" s="152">
        <f t="shared" ref="U10:AC10" si="16">T10*(1+$S10)</f>
        <v>38.698399999999999</v>
      </c>
      <c r="V10" s="152">
        <f t="shared" si="16"/>
        <v>47.212047999999996</v>
      </c>
      <c r="W10" s="152">
        <f t="shared" si="16"/>
        <v>57.598698559999995</v>
      </c>
      <c r="X10" s="152">
        <f t="shared" si="16"/>
        <v>70.270412243199999</v>
      </c>
      <c r="Y10" s="152">
        <f t="shared" si="16"/>
        <v>85.729902936703994</v>
      </c>
      <c r="Z10" s="152">
        <f t="shared" si="16"/>
        <v>104.59048158277886</v>
      </c>
      <c r="AA10" s="152">
        <f t="shared" si="16"/>
        <v>127.6003875309902</v>
      </c>
      <c r="AB10" s="152">
        <f t="shared" si="16"/>
        <v>155.67247278780803</v>
      </c>
      <c r="AC10" s="152">
        <f t="shared" si="16"/>
        <v>189.92041680112578</v>
      </c>
      <c r="AD10" s="137">
        <f t="shared" ref="AD10:AD42" si="17">((AC10/G10)^(1/($AC$3-$H$1) ))-1</f>
        <v>4.6174298557369653E-2</v>
      </c>
      <c r="AE10" s="31">
        <f t="shared" si="15"/>
        <v>0.05</v>
      </c>
      <c r="AF10" s="145">
        <f t="shared" si="1"/>
        <v>1994.164376411821</v>
      </c>
    </row>
    <row r="11" spans="2:32" x14ac:dyDescent="0.2">
      <c r="B11" s="20"/>
      <c r="C11" s="140"/>
      <c r="D11" s="140"/>
      <c r="E11" s="146"/>
      <c r="F11" s="146"/>
      <c r="G11" s="149" t="e">
        <f t="shared" ref="G11:Q11" si="18">(G10-F10)/F10</f>
        <v>#DIV/0!</v>
      </c>
      <c r="H11" s="149">
        <f t="shared" si="18"/>
        <v>-0.15584415584415584</v>
      </c>
      <c r="I11" s="149">
        <f t="shared" si="18"/>
        <v>-0.12307692307692308</v>
      </c>
      <c r="J11" s="149">
        <f t="shared" si="18"/>
        <v>0.2807017543859649</v>
      </c>
      <c r="K11" s="149">
        <f t="shared" si="18"/>
        <v>-0.35616438356164382</v>
      </c>
      <c r="L11" s="149">
        <f t="shared" si="18"/>
        <v>-0.55319148936170215</v>
      </c>
      <c r="M11" s="149">
        <f t="shared" si="18"/>
        <v>-0.8571428571428571</v>
      </c>
      <c r="N11" s="149">
        <f t="shared" si="18"/>
        <v>-0.33333333333333331</v>
      </c>
      <c r="O11" s="149">
        <f t="shared" si="18"/>
        <v>7.5</v>
      </c>
      <c r="P11" s="149">
        <f t="shared" si="18"/>
        <v>5.7647058823529411</v>
      </c>
      <c r="Q11" s="149">
        <f t="shared" si="18"/>
        <v>-0.77391304347826084</v>
      </c>
      <c r="R11" s="128"/>
      <c r="S11" s="20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19"/>
      <c r="AE11" s="31">
        <f t="shared" si="15"/>
        <v>0.05</v>
      </c>
      <c r="AF11" s="152"/>
    </row>
    <row r="12" spans="2:32" x14ac:dyDescent="0.2">
      <c r="B12" s="20" t="s">
        <v>2</v>
      </c>
      <c r="C12" s="140"/>
      <c r="D12" s="140"/>
      <c r="E12" s="146"/>
      <c r="F12" s="146"/>
      <c r="G12" s="146">
        <v>6</v>
      </c>
      <c r="H12" s="146">
        <v>9</v>
      </c>
      <c r="I12" s="146">
        <v>9</v>
      </c>
      <c r="J12" s="146">
        <v>7</v>
      </c>
      <c r="K12" s="146">
        <v>11</v>
      </c>
      <c r="L12" s="146">
        <v>12</v>
      </c>
      <c r="M12" s="146">
        <v>44</v>
      </c>
      <c r="N12" s="146">
        <v>53</v>
      </c>
      <c r="O12" s="146">
        <v>22</v>
      </c>
      <c r="P12" s="146">
        <v>33</v>
      </c>
      <c r="Q12" s="146">
        <v>30</v>
      </c>
      <c r="R12" s="118">
        <f>((Q12/G12)^(1/($H$2-$H$1) ))-1</f>
        <v>0.17461894308801895</v>
      </c>
      <c r="S12" s="31">
        <f t="shared" si="5"/>
        <v>0.22</v>
      </c>
      <c r="T12" s="152">
        <f t="shared" si="2"/>
        <v>36.6</v>
      </c>
      <c r="U12" s="152">
        <f t="shared" ref="U12:AC12" si="19">T12*(1+$S12)</f>
        <v>44.652000000000001</v>
      </c>
      <c r="V12" s="152">
        <f t="shared" si="19"/>
        <v>54.475439999999999</v>
      </c>
      <c r="W12" s="152">
        <f t="shared" si="19"/>
        <v>66.460036799999997</v>
      </c>
      <c r="X12" s="152">
        <f t="shared" si="19"/>
        <v>81.081244896000001</v>
      </c>
      <c r="Y12" s="152">
        <f t="shared" si="19"/>
        <v>98.919118773120005</v>
      </c>
      <c r="Z12" s="152">
        <f t="shared" si="19"/>
        <v>120.6813249032064</v>
      </c>
      <c r="AA12" s="152">
        <f t="shared" si="19"/>
        <v>147.23121638191182</v>
      </c>
      <c r="AB12" s="152">
        <f t="shared" si="19"/>
        <v>179.62208398593242</v>
      </c>
      <c r="AC12" s="152">
        <f t="shared" si="19"/>
        <v>219.13894246283755</v>
      </c>
      <c r="AD12" s="137">
        <f t="shared" si="17"/>
        <v>0.19709444513262331</v>
      </c>
      <c r="AE12" s="31">
        <f t="shared" si="15"/>
        <v>0.05</v>
      </c>
      <c r="AF12" s="145">
        <f t="shared" si="1"/>
        <v>2300.9588958597942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15</v>
      </c>
      <c r="H13" s="146">
        <v>15</v>
      </c>
      <c r="I13" s="146">
        <v>18</v>
      </c>
      <c r="J13" s="146">
        <v>18</v>
      </c>
      <c r="K13" s="146">
        <v>0.39</v>
      </c>
      <c r="L13" s="146">
        <v>0.39</v>
      </c>
      <c r="M13" s="146">
        <v>0.39</v>
      </c>
      <c r="N13" s="146">
        <v>23</v>
      </c>
      <c r="O13" s="146">
        <v>0.39</v>
      </c>
      <c r="P13" s="146">
        <v>0.02</v>
      </c>
      <c r="Q13" s="146">
        <v>9</v>
      </c>
      <c r="R13" s="118">
        <f>((Q13/G13)^(1/($H$2-$H$1) ))-1</f>
        <v>-4.9799783494323568E-2</v>
      </c>
      <c r="S13" s="31">
        <f t="shared" si="5"/>
        <v>0.22</v>
      </c>
      <c r="T13" s="152">
        <f t="shared" si="2"/>
        <v>10.98</v>
      </c>
      <c r="U13" s="152">
        <f t="shared" ref="U13:AC13" si="20">T13*(1+$S13)</f>
        <v>13.3956</v>
      </c>
      <c r="V13" s="152">
        <f t="shared" si="20"/>
        <v>16.342631999999998</v>
      </c>
      <c r="W13" s="152">
        <f t="shared" si="20"/>
        <v>19.938011039999996</v>
      </c>
      <c r="X13" s="152">
        <f t="shared" si="20"/>
        <v>24.324373468799994</v>
      </c>
      <c r="Y13" s="152">
        <f t="shared" si="20"/>
        <v>29.675735631935993</v>
      </c>
      <c r="Z13" s="152">
        <f t="shared" si="20"/>
        <v>36.204397470961908</v>
      </c>
      <c r="AA13" s="152">
        <f t="shared" si="20"/>
        <v>44.169364914573528</v>
      </c>
      <c r="AB13" s="152">
        <f t="shared" si="20"/>
        <v>53.8866251957797</v>
      </c>
      <c r="AC13" s="152">
        <f t="shared" si="20"/>
        <v>65.741682738851239</v>
      </c>
      <c r="AD13" s="137">
        <f t="shared" si="17"/>
        <v>7.6682062698606224E-2</v>
      </c>
      <c r="AE13" s="31">
        <f t="shared" si="15"/>
        <v>0.05</v>
      </c>
      <c r="AF13" s="145">
        <f t="shared" si="1"/>
        <v>690.28766875793815</v>
      </c>
    </row>
    <row r="14" spans="2:32" x14ac:dyDescent="0.2">
      <c r="B14" s="20" t="s">
        <v>372</v>
      </c>
      <c r="C14" s="140"/>
      <c r="D14" s="140"/>
      <c r="E14" s="146"/>
      <c r="F14" s="146"/>
      <c r="G14" s="146">
        <v>54</v>
      </c>
      <c r="H14" s="146">
        <v>55</v>
      </c>
      <c r="I14" s="146">
        <v>57</v>
      </c>
      <c r="J14" s="146">
        <v>74</v>
      </c>
      <c r="K14" s="146">
        <v>61</v>
      </c>
      <c r="L14" s="146">
        <v>50</v>
      </c>
      <c r="M14" s="146">
        <v>61</v>
      </c>
      <c r="N14" s="146">
        <v>105</v>
      </c>
      <c r="O14" s="146">
        <v>175</v>
      </c>
      <c r="P14" s="146">
        <v>235</v>
      </c>
      <c r="Q14" s="146">
        <v>267</v>
      </c>
      <c r="R14" s="118">
        <f>((Q14/G14)^(1/($H$2-$H$1) ))-1</f>
        <v>0.17330723897376354</v>
      </c>
      <c r="S14" s="31">
        <f t="shared" si="5"/>
        <v>0.22</v>
      </c>
      <c r="T14" s="152">
        <f t="shared" si="2"/>
        <v>325.74</v>
      </c>
      <c r="U14" s="152">
        <f t="shared" ref="U14" si="21">T14*(1+$S14)</f>
        <v>397.40280000000001</v>
      </c>
      <c r="V14" s="152">
        <f t="shared" ref="V14" si="22">U14*(1+$S14)</f>
        <v>484.83141599999999</v>
      </c>
      <c r="W14" s="152">
        <f t="shared" ref="W14" si="23">V14*(1+$S14)</f>
        <v>591.49432751999996</v>
      </c>
      <c r="X14" s="152">
        <f t="shared" ref="X14" si="24">W14*(1+$S14)</f>
        <v>721.62307957439998</v>
      </c>
      <c r="Y14" s="152">
        <f t="shared" ref="Y14" si="25">X14*(1+$S14)</f>
        <v>880.38015708076796</v>
      </c>
      <c r="Z14" s="152">
        <f t="shared" ref="Z14" si="26">Y14*(1+$S14)</f>
        <v>1074.0637916385369</v>
      </c>
      <c r="AA14" s="152">
        <f t="shared" ref="AA14" si="27">Z14*(1+$S14)</f>
        <v>1310.357825799015</v>
      </c>
      <c r="AB14" s="152">
        <f t="shared" ref="AB14" si="28">AA14*(1+$S14)</f>
        <v>1598.6365474747984</v>
      </c>
      <c r="AC14" s="152">
        <f t="shared" ref="AC14" si="29">AB14*(1+$S14)</f>
        <v>1950.336587919254</v>
      </c>
      <c r="AD14" s="137">
        <f t="shared" ref="AD14" si="30">((AC14/G14)^(1/($AC$3-$H$1) ))-1</f>
        <v>0.19642585710439731</v>
      </c>
      <c r="AE14" s="31">
        <f t="shared" si="15"/>
        <v>0.05</v>
      </c>
      <c r="AF14" s="145">
        <f t="shared" ref="AF14" si="31">(AC14*(1+AE14))/($C$1-AE14)</f>
        <v>20478.534173152169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93</v>
      </c>
      <c r="H15" s="146">
        <v>94</v>
      </c>
      <c r="I15" s="146">
        <v>91</v>
      </c>
      <c r="J15" s="146">
        <v>119</v>
      </c>
      <c r="K15" s="146">
        <v>116</v>
      </c>
      <c r="L15" s="146">
        <v>108</v>
      </c>
      <c r="M15" s="146">
        <v>134</v>
      </c>
      <c r="N15" s="146">
        <v>200</v>
      </c>
      <c r="O15" s="146">
        <v>299</v>
      </c>
      <c r="P15" s="146">
        <v>411</v>
      </c>
      <c r="Q15" s="146">
        <v>445</v>
      </c>
      <c r="R15" s="118">
        <f>((Q15/G15)^(1/($H$2-$H$1) ))-1</f>
        <v>0.16946628597529512</v>
      </c>
      <c r="S15" s="31">
        <f t="shared" si="5"/>
        <v>0.22</v>
      </c>
      <c r="T15" s="152">
        <f t="shared" si="2"/>
        <v>542.9</v>
      </c>
      <c r="U15" s="152">
        <f t="shared" ref="U15:AC15" si="32">T15*(1+$S15)</f>
        <v>662.33799999999997</v>
      </c>
      <c r="V15" s="152">
        <f t="shared" si="32"/>
        <v>808.05235999999991</v>
      </c>
      <c r="W15" s="152">
        <f t="shared" si="32"/>
        <v>985.82387919999985</v>
      </c>
      <c r="X15" s="152">
        <f t="shared" si="32"/>
        <v>1202.7051326239998</v>
      </c>
      <c r="Y15" s="152">
        <f t="shared" si="32"/>
        <v>1467.3002618012797</v>
      </c>
      <c r="Z15" s="152">
        <f t="shared" si="32"/>
        <v>1790.1063193975613</v>
      </c>
      <c r="AA15" s="152">
        <f t="shared" si="32"/>
        <v>2183.9297096650248</v>
      </c>
      <c r="AB15" s="152">
        <f t="shared" si="32"/>
        <v>2664.3942457913304</v>
      </c>
      <c r="AC15" s="152">
        <f t="shared" si="32"/>
        <v>3250.5609798654232</v>
      </c>
      <c r="AD15" s="137">
        <f t="shared" si="17"/>
        <v>0.19446593458744577</v>
      </c>
      <c r="AE15" s="31">
        <f t="shared" si="15"/>
        <v>0.05</v>
      </c>
      <c r="AF15" s="145">
        <f t="shared" si="1"/>
        <v>34130.890288586947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76</v>
      </c>
      <c r="H16" s="146">
        <v>68</v>
      </c>
      <c r="I16" s="146">
        <v>61</v>
      </c>
      <c r="J16" s="146">
        <v>75</v>
      </c>
      <c r="K16" s="146">
        <v>59</v>
      </c>
      <c r="L16" s="146">
        <v>45</v>
      </c>
      <c r="M16" s="146">
        <v>63</v>
      </c>
      <c r="N16" s="146">
        <v>80</v>
      </c>
      <c r="O16" s="146">
        <v>65</v>
      </c>
      <c r="P16" s="146">
        <v>202</v>
      </c>
      <c r="Q16" s="146">
        <v>238</v>
      </c>
      <c r="R16" s="118">
        <f>((Q16/G16)^(1/($H$2-$H$1) ))-1</f>
        <v>0.1209244350945311</v>
      </c>
      <c r="S16" s="31">
        <f t="shared" si="5"/>
        <v>0.22</v>
      </c>
      <c r="T16" s="152">
        <f t="shared" si="2"/>
        <v>290.36</v>
      </c>
      <c r="U16" s="152">
        <f t="shared" ref="U16:AC16" si="33">T16*(1+$S16)</f>
        <v>354.23919999999998</v>
      </c>
      <c r="V16" s="152">
        <f t="shared" si="33"/>
        <v>432.17182399999996</v>
      </c>
      <c r="W16" s="152">
        <f t="shared" si="33"/>
        <v>527.24962527999992</v>
      </c>
      <c r="X16" s="152">
        <f t="shared" si="33"/>
        <v>643.24454284159992</v>
      </c>
      <c r="Y16" s="152">
        <f t="shared" si="33"/>
        <v>784.75834226675192</v>
      </c>
      <c r="Z16" s="152">
        <f t="shared" si="33"/>
        <v>957.40517756543727</v>
      </c>
      <c r="AA16" s="152">
        <f t="shared" si="33"/>
        <v>1168.0343166298335</v>
      </c>
      <c r="AB16" s="152">
        <f t="shared" si="33"/>
        <v>1425.0018662883967</v>
      </c>
      <c r="AC16" s="152">
        <f t="shared" si="33"/>
        <v>1738.5022768718441</v>
      </c>
      <c r="AD16" s="137">
        <f t="shared" si="17"/>
        <v>0.16941344733816366</v>
      </c>
      <c r="AE16" s="31">
        <f t="shared" si="15"/>
        <v>0.05</v>
      </c>
      <c r="AF16" s="145">
        <f t="shared" si="1"/>
        <v>18254.273907154366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2">
        <f t="shared" si="2"/>
        <v>0</v>
      </c>
      <c r="U17" s="152"/>
      <c r="V17" s="152"/>
      <c r="W17" s="152"/>
      <c r="X17" s="152"/>
      <c r="Y17" s="152"/>
      <c r="Z17" s="152"/>
      <c r="AA17" s="152"/>
      <c r="AB17" s="152"/>
      <c r="AC17" s="152"/>
      <c r="AD17" s="138"/>
      <c r="AE17" s="136"/>
      <c r="AF17" s="152"/>
    </row>
    <row r="18" spans="2:32" x14ac:dyDescent="0.2">
      <c r="B18" s="20" t="s">
        <v>277</v>
      </c>
      <c r="C18" s="140"/>
      <c r="D18" s="140"/>
      <c r="E18" s="146"/>
      <c r="F18" s="146"/>
      <c r="G18" s="146">
        <v>27</v>
      </c>
      <c r="H18" s="146">
        <v>25</v>
      </c>
      <c r="I18" s="146">
        <v>24</v>
      </c>
      <c r="J18" s="146">
        <v>30</v>
      </c>
      <c r="K18" s="146">
        <v>31</v>
      </c>
      <c r="L18" s="146">
        <v>36</v>
      </c>
      <c r="M18" s="146">
        <v>41</v>
      </c>
      <c r="N18" s="146">
        <v>42</v>
      </c>
      <c r="O18" s="146">
        <v>150</v>
      </c>
      <c r="P18" s="146">
        <v>168</v>
      </c>
      <c r="Q18" s="146">
        <v>339</v>
      </c>
      <c r="R18" s="118">
        <f>((Q18/G18)^(1/($H$2-$H$1) ))-1</f>
        <v>0.28790430059006678</v>
      </c>
      <c r="S18" s="31">
        <f t="shared" si="5"/>
        <v>0.22</v>
      </c>
      <c r="T18" s="152">
        <f t="shared" si="2"/>
        <v>413.58</v>
      </c>
      <c r="U18" s="152">
        <f t="shared" ref="U18:U34" si="34">T18*(1+$S18)</f>
        <v>504.56759999999997</v>
      </c>
      <c r="V18" s="152">
        <f t="shared" ref="V18:V34" si="35">U18*(1+$S18)</f>
        <v>615.57247199999995</v>
      </c>
      <c r="W18" s="152">
        <f t="shared" ref="W18:W34" si="36">V18*(1+$S18)</f>
        <v>750.99841583999989</v>
      </c>
      <c r="X18" s="152">
        <f t="shared" ref="X18:X36" si="37">W18*(1+$S18)</f>
        <v>916.2180673247999</v>
      </c>
      <c r="Y18" s="152">
        <f t="shared" ref="Y18:Y36" si="38">X18*(1+$S18)</f>
        <v>1117.7860421362559</v>
      </c>
      <c r="Z18" s="152">
        <f t="shared" ref="Z18:Z36" si="39">Y18*(1+$S18)</f>
        <v>1363.6989714062322</v>
      </c>
      <c r="AA18" s="152">
        <f t="shared" ref="AA18:AA36" si="40">Z18*(1+$S18)</f>
        <v>1663.7127451156032</v>
      </c>
      <c r="AB18" s="152">
        <f t="shared" ref="AB18:AB36" si="41">AA18*(1+$S18)</f>
        <v>2029.7295490410359</v>
      </c>
      <c r="AC18" s="152">
        <f t="shared" ref="AC18:AC36" si="42">AB18*(1+$S18)</f>
        <v>2476.2700498300637</v>
      </c>
      <c r="AD18" s="137">
        <f t="shared" si="17"/>
        <v>0.2534924198892794</v>
      </c>
      <c r="AE18" s="31">
        <f t="shared" si="15"/>
        <v>0.05</v>
      </c>
      <c r="AF18" s="145">
        <f t="shared" si="1"/>
        <v>26000.835523215672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2">
        <f t="shared" si="2"/>
        <v>0</v>
      </c>
      <c r="U19" s="152"/>
      <c r="V19" s="152"/>
      <c r="W19" s="152"/>
      <c r="X19" s="152"/>
      <c r="Y19" s="152"/>
      <c r="Z19" s="152"/>
      <c r="AA19" s="152"/>
      <c r="AB19" s="152"/>
      <c r="AC19" s="152"/>
      <c r="AD19" s="138"/>
      <c r="AE19" s="136"/>
      <c r="AF19" s="152"/>
    </row>
    <row r="20" spans="2:32" x14ac:dyDescent="0.2">
      <c r="B20" s="20" t="s">
        <v>283</v>
      </c>
      <c r="C20" s="140"/>
      <c r="D20" s="140"/>
      <c r="E20" s="146"/>
      <c r="F20" s="146"/>
      <c r="G20" s="146">
        <v>13</v>
      </c>
      <c r="H20" s="146">
        <v>15</v>
      </c>
      <c r="I20" s="146">
        <v>22</v>
      </c>
      <c r="J20" s="146">
        <v>4</v>
      </c>
      <c r="K20" s="146">
        <v>46</v>
      </c>
      <c r="L20" s="146">
        <v>43</v>
      </c>
      <c r="M20" s="146">
        <v>62</v>
      </c>
      <c r="N20" s="146">
        <v>74</v>
      </c>
      <c r="O20" s="146">
        <v>61</v>
      </c>
      <c r="P20" s="146">
        <v>97</v>
      </c>
      <c r="Q20" s="146">
        <v>85</v>
      </c>
      <c r="R20" s="118">
        <f>((Q20/G20)^(1/($H$2-$H$1) ))-1</f>
        <v>0.20655620468784819</v>
      </c>
      <c r="S20" s="31">
        <f t="shared" si="5"/>
        <v>0.22</v>
      </c>
      <c r="T20" s="152">
        <f t="shared" si="2"/>
        <v>103.7</v>
      </c>
      <c r="U20" s="152">
        <f t="shared" ref="U20:U22" si="43">T20*(1+$S20)</f>
        <v>126.514</v>
      </c>
      <c r="V20" s="152">
        <f t="shared" ref="V20:V22" si="44">U20*(1+$S20)</f>
        <v>154.34708000000001</v>
      </c>
      <c r="W20" s="152">
        <f t="shared" ref="W20:W22" si="45">V20*(1+$S20)</f>
        <v>188.3034376</v>
      </c>
      <c r="X20" s="152">
        <f t="shared" ref="X20:X22" si="46">W20*(1+$S20)</f>
        <v>229.730193872</v>
      </c>
      <c r="Y20" s="152">
        <f t="shared" ref="Y20:Y22" si="47">X20*(1+$S20)</f>
        <v>280.27083652383999</v>
      </c>
      <c r="Z20" s="152">
        <f t="shared" ref="Z20:Z22" si="48">Y20*(1+$S20)</f>
        <v>341.93042055908478</v>
      </c>
      <c r="AA20" s="152">
        <f t="shared" ref="AA20:AA22" si="49">Z20*(1+$S20)</f>
        <v>417.1551130820834</v>
      </c>
      <c r="AB20" s="152">
        <f t="shared" ref="AB20:AB22" si="50">AA20*(1+$S20)</f>
        <v>508.92923796014173</v>
      </c>
      <c r="AC20" s="152">
        <f t="shared" ref="AC20:AC22" si="51">AB20*(1+$S20)</f>
        <v>620.89367031137294</v>
      </c>
      <c r="AD20" s="137">
        <f t="shared" ref="AD20:AD22" si="52">((AC20/G20)^(1/($AC$3-$H$1) ))-1</f>
        <v>0.21325948161107511</v>
      </c>
      <c r="AE20" s="31">
        <f t="shared" si="15"/>
        <v>0.05</v>
      </c>
      <c r="AF20" s="145">
        <f t="shared" si="1"/>
        <v>6519.383538269416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2</v>
      </c>
      <c r="H21" s="146">
        <v>6</v>
      </c>
      <c r="I21" s="146">
        <v>-5</v>
      </c>
      <c r="J21" s="146">
        <v>-13</v>
      </c>
      <c r="K21" s="146">
        <v>-4</v>
      </c>
      <c r="L21" s="146">
        <v>-6</v>
      </c>
      <c r="M21" s="146">
        <v>-3</v>
      </c>
      <c r="N21" s="146">
        <v>-50</v>
      </c>
      <c r="O21" s="146">
        <v>-128</v>
      </c>
      <c r="P21" s="146">
        <v>-89</v>
      </c>
      <c r="Q21" s="146">
        <v>-73</v>
      </c>
      <c r="R21" s="118" t="e">
        <f>((Q21/G21)^(1/($H$2-$H$1) ))-1</f>
        <v>#NUM!</v>
      </c>
      <c r="S21" s="31">
        <f t="shared" si="5"/>
        <v>0.22</v>
      </c>
      <c r="T21" s="152">
        <f t="shared" si="2"/>
        <v>-89.06</v>
      </c>
      <c r="U21" s="152">
        <f t="shared" si="43"/>
        <v>-108.6532</v>
      </c>
      <c r="V21" s="152">
        <f t="shared" si="44"/>
        <v>-132.556904</v>
      </c>
      <c r="W21" s="152">
        <f t="shared" si="45"/>
        <v>-161.71942288</v>
      </c>
      <c r="X21" s="152">
        <f t="shared" si="46"/>
        <v>-197.29769591359999</v>
      </c>
      <c r="Y21" s="152">
        <f t="shared" si="47"/>
        <v>-240.703189014592</v>
      </c>
      <c r="Z21" s="152">
        <f t="shared" si="48"/>
        <v>-293.65789059780224</v>
      </c>
      <c r="AA21" s="152">
        <f t="shared" si="49"/>
        <v>-358.26262652931871</v>
      </c>
      <c r="AB21" s="152">
        <f t="shared" si="50"/>
        <v>-437.0804043657688</v>
      </c>
      <c r="AC21" s="152">
        <f t="shared" si="51"/>
        <v>-533.23809332623796</v>
      </c>
      <c r="AD21" s="137" t="e">
        <f t="shared" si="52"/>
        <v>#NUM!</v>
      </c>
      <c r="AE21" s="31">
        <f t="shared" si="15"/>
        <v>0.05</v>
      </c>
      <c r="AF21" s="145">
        <f t="shared" si="1"/>
        <v>-5598.9999799254992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-14</v>
      </c>
      <c r="H22" s="146">
        <v>-18</v>
      </c>
      <c r="I22" s="146">
        <v>-16</v>
      </c>
      <c r="J22" s="146">
        <v>6</v>
      </c>
      <c r="K22" s="146">
        <v>-38</v>
      </c>
      <c r="L22" s="146">
        <v>-36</v>
      </c>
      <c r="M22" s="146">
        <v>-26</v>
      </c>
      <c r="N22" s="146">
        <v>-15</v>
      </c>
      <c r="O22" s="146">
        <v>35</v>
      </c>
      <c r="P22" s="146">
        <v>1.2</v>
      </c>
      <c r="Q22" s="146">
        <v>-15</v>
      </c>
      <c r="R22" s="118">
        <f>((Q22/G22)^(1/($H$2-$H$1) ))-1</f>
        <v>6.9231420593451887E-3</v>
      </c>
      <c r="S22" s="31">
        <f t="shared" si="5"/>
        <v>0.22</v>
      </c>
      <c r="T22" s="152">
        <f t="shared" si="2"/>
        <v>-18.3</v>
      </c>
      <c r="U22" s="152">
        <f t="shared" si="43"/>
        <v>-22.326000000000001</v>
      </c>
      <c r="V22" s="152">
        <f t="shared" si="44"/>
        <v>-27.237719999999999</v>
      </c>
      <c r="W22" s="152">
        <f t="shared" si="45"/>
        <v>-33.230018399999999</v>
      </c>
      <c r="X22" s="152">
        <f t="shared" si="46"/>
        <v>-40.540622448000001</v>
      </c>
      <c r="Y22" s="152">
        <f t="shared" si="47"/>
        <v>-49.459559386560002</v>
      </c>
      <c r="Z22" s="152">
        <f t="shared" si="48"/>
        <v>-60.340662451603201</v>
      </c>
      <c r="AA22" s="152">
        <f t="shared" si="49"/>
        <v>-73.615608190955911</v>
      </c>
      <c r="AB22" s="152">
        <f t="shared" si="50"/>
        <v>-89.81104199296621</v>
      </c>
      <c r="AC22" s="152">
        <f t="shared" si="51"/>
        <v>-109.56947123141877</v>
      </c>
      <c r="AD22" s="137">
        <f t="shared" si="52"/>
        <v>0.10835293716054251</v>
      </c>
      <c r="AE22" s="31">
        <f t="shared" si="15"/>
        <v>0.05</v>
      </c>
      <c r="AF22" s="145">
        <f t="shared" si="1"/>
        <v>-1150.4794479298971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6</v>
      </c>
      <c r="H23" s="146">
        <v>9</v>
      </c>
      <c r="I23" s="146">
        <v>9</v>
      </c>
      <c r="J23" s="146">
        <v>7</v>
      </c>
      <c r="K23" s="146">
        <v>11</v>
      </c>
      <c r="L23" s="146">
        <v>11</v>
      </c>
      <c r="M23" s="146">
        <v>44</v>
      </c>
      <c r="N23" s="146">
        <v>53</v>
      </c>
      <c r="O23" s="146">
        <v>22</v>
      </c>
      <c r="P23" s="146">
        <v>32</v>
      </c>
      <c r="Q23" s="146">
        <v>29</v>
      </c>
      <c r="R23" s="118">
        <f>((Q23/G23)^(1/($H$2-$H$1) ))-1</f>
        <v>0.17064354502381818</v>
      </c>
      <c r="S23" s="31">
        <f t="shared" si="5"/>
        <v>0.22</v>
      </c>
      <c r="T23" s="152">
        <f t="shared" si="2"/>
        <v>35.380000000000003</v>
      </c>
      <c r="U23" s="152">
        <f t="shared" ref="U23" si="53">T23*(1+$S23)</f>
        <v>43.163600000000002</v>
      </c>
      <c r="V23" s="152">
        <f t="shared" ref="V23" si="54">U23*(1+$S23)</f>
        <v>52.659592000000004</v>
      </c>
      <c r="W23" s="152">
        <f t="shared" ref="W23" si="55">V23*(1+$S23)</f>
        <v>64.244702240000009</v>
      </c>
      <c r="X23" s="152">
        <f t="shared" ref="X23" si="56">W23*(1+$S23)</f>
        <v>78.378536732800015</v>
      </c>
      <c r="Y23" s="152">
        <f t="shared" ref="Y23" si="57">X23*(1+$S23)</f>
        <v>95.62181481401602</v>
      </c>
      <c r="Z23" s="152">
        <f t="shared" ref="Z23" si="58">Y23*(1+$S23)</f>
        <v>116.65861407309954</v>
      </c>
      <c r="AA23" s="152">
        <f t="shared" ref="AA23" si="59">Z23*(1+$S23)</f>
        <v>142.32350916918145</v>
      </c>
      <c r="AB23" s="152">
        <f t="shared" ref="AB23" si="60">AA23*(1+$S23)</f>
        <v>173.63468118640137</v>
      </c>
      <c r="AC23" s="152">
        <f t="shared" ref="AC23" si="61">AB23*(1+$S23)</f>
        <v>211.83431104740967</v>
      </c>
      <c r="AD23" s="137">
        <f t="shared" ref="AD23" si="62">((AC23/G23)^(1/($AC$3-$H$1) ))-1</f>
        <v>0.19506699600024868</v>
      </c>
      <c r="AE23" s="31">
        <f t="shared" si="15"/>
        <v>0.05</v>
      </c>
      <c r="AF23" s="145">
        <f t="shared" si="1"/>
        <v>2224.260265997802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2">
        <f t="shared" si="2"/>
        <v>0</v>
      </c>
      <c r="U24" s="152"/>
      <c r="V24" s="152"/>
      <c r="W24" s="152"/>
      <c r="X24" s="152"/>
      <c r="Y24" s="152"/>
      <c r="Z24" s="152"/>
      <c r="AA24" s="152"/>
      <c r="AB24" s="152"/>
      <c r="AC24" s="152"/>
      <c r="AD24" s="119"/>
      <c r="AE24" s="136"/>
      <c r="AF24" s="152"/>
    </row>
    <row r="25" spans="2:32" x14ac:dyDescent="0.2">
      <c r="B25" s="20" t="s">
        <v>89</v>
      </c>
      <c r="C25" s="140"/>
      <c r="D25" s="140"/>
      <c r="E25" s="146"/>
      <c r="F25" s="146"/>
      <c r="G25" s="146">
        <v>141</v>
      </c>
      <c r="H25" s="146">
        <v>185</v>
      </c>
      <c r="I25" s="146">
        <v>222</v>
      </c>
      <c r="J25" s="146">
        <v>290</v>
      </c>
      <c r="K25" s="146">
        <v>326</v>
      </c>
      <c r="L25" s="146">
        <v>399</v>
      </c>
      <c r="M25" s="146">
        <v>518</v>
      </c>
      <c r="N25" s="146">
        <v>798</v>
      </c>
      <c r="O25" s="146">
        <v>1162</v>
      </c>
      <c r="P25" s="146">
        <v>1411</v>
      </c>
      <c r="Q25" s="146">
        <v>1325</v>
      </c>
      <c r="R25" s="118">
        <f>((Q25/G25)^(1/($H$2-$H$1) ))-1</f>
        <v>0.25112204515547942</v>
      </c>
      <c r="S25" s="31">
        <f t="shared" si="5"/>
        <v>0.22</v>
      </c>
      <c r="T25" s="152">
        <f t="shared" si="2"/>
        <v>1616.5</v>
      </c>
      <c r="U25" s="152">
        <f t="shared" si="34"/>
        <v>1972.1299999999999</v>
      </c>
      <c r="V25" s="152">
        <f t="shared" si="35"/>
        <v>2405.9985999999999</v>
      </c>
      <c r="W25" s="152">
        <f t="shared" si="36"/>
        <v>2935.3182919999999</v>
      </c>
      <c r="X25" s="152">
        <f t="shared" si="37"/>
        <v>3581.08831624</v>
      </c>
      <c r="Y25" s="152">
        <f t="shared" si="38"/>
        <v>4368.9277458127999</v>
      </c>
      <c r="Z25" s="152">
        <f t="shared" si="39"/>
        <v>5330.0918498916162</v>
      </c>
      <c r="AA25" s="152">
        <f t="shared" si="40"/>
        <v>6502.7120568677719</v>
      </c>
      <c r="AB25" s="152">
        <f t="shared" si="41"/>
        <v>7933.3087093786817</v>
      </c>
      <c r="AC25" s="152">
        <f t="shared" si="42"/>
        <v>9678.6366254419918</v>
      </c>
      <c r="AD25" s="137">
        <f t="shared" si="17"/>
        <v>0.23546302862112589</v>
      </c>
      <c r="AE25" s="31">
        <f t="shared" si="15"/>
        <v>0.05</v>
      </c>
      <c r="AF25" s="145">
        <f t="shared" si="1"/>
        <v>101625.68456714094</v>
      </c>
    </row>
    <row r="26" spans="2:32" s="123" customFormat="1" x14ac:dyDescent="0.2">
      <c r="B26" s="23"/>
      <c r="C26" s="147"/>
      <c r="D26" s="147"/>
      <c r="E26" s="148"/>
      <c r="F26" s="148"/>
      <c r="G26" s="149" t="e">
        <f t="shared" ref="G26:Q26" si="63">(G25-F25)/F25</f>
        <v>#DIV/0!</v>
      </c>
      <c r="H26" s="149">
        <f t="shared" si="63"/>
        <v>0.31205673758865249</v>
      </c>
      <c r="I26" s="149">
        <f t="shared" si="63"/>
        <v>0.2</v>
      </c>
      <c r="J26" s="149">
        <f t="shared" si="63"/>
        <v>0.30630630630630629</v>
      </c>
      <c r="K26" s="149">
        <f t="shared" si="63"/>
        <v>0.12413793103448276</v>
      </c>
      <c r="L26" s="149">
        <f t="shared" si="63"/>
        <v>0.22392638036809817</v>
      </c>
      <c r="M26" s="149">
        <f t="shared" si="63"/>
        <v>0.2982456140350877</v>
      </c>
      <c r="N26" s="149">
        <f t="shared" si="63"/>
        <v>0.54054054054054057</v>
      </c>
      <c r="O26" s="149">
        <f t="shared" si="63"/>
        <v>0.45614035087719296</v>
      </c>
      <c r="P26" s="149">
        <f t="shared" si="63"/>
        <v>0.21428571428571427</v>
      </c>
      <c r="Q26" s="149">
        <f t="shared" si="63"/>
        <v>-6.0949681077250177E-2</v>
      </c>
      <c r="R26" s="128"/>
      <c r="S26" s="20"/>
      <c r="T26" s="152"/>
      <c r="U26" s="153"/>
      <c r="V26" s="153"/>
      <c r="W26" s="153"/>
      <c r="X26" s="153"/>
      <c r="Y26" s="153"/>
      <c r="Z26" s="153"/>
      <c r="AA26" s="153"/>
      <c r="AB26" s="153"/>
      <c r="AC26" s="153"/>
      <c r="AD26" s="119"/>
      <c r="AE26" s="136"/>
      <c r="AF26" s="152"/>
    </row>
    <row r="27" spans="2:32" x14ac:dyDescent="0.2">
      <c r="B27" s="20" t="s">
        <v>261</v>
      </c>
      <c r="C27" s="140"/>
      <c r="D27" s="140"/>
      <c r="E27" s="146"/>
      <c r="F27" s="146"/>
      <c r="G27" s="146">
        <v>129</v>
      </c>
      <c r="H27" s="146">
        <v>172</v>
      </c>
      <c r="I27" s="146">
        <v>202</v>
      </c>
      <c r="J27" s="146">
        <v>264</v>
      </c>
      <c r="K27" s="146">
        <v>289</v>
      </c>
      <c r="L27" s="146">
        <v>359</v>
      </c>
      <c r="M27" s="146">
        <v>435</v>
      </c>
      <c r="N27" s="146">
        <v>669</v>
      </c>
      <c r="O27" s="146">
        <v>982</v>
      </c>
      <c r="P27" s="146">
        <v>1203</v>
      </c>
      <c r="Q27" s="146">
        <v>1150</v>
      </c>
      <c r="R27" s="118">
        <f>((Q27/G27)^(1/($H$2-$H$1) ))-1</f>
        <v>0.24454559791408159</v>
      </c>
      <c r="S27" s="31">
        <f t="shared" si="5"/>
        <v>0.22</v>
      </c>
      <c r="T27" s="152">
        <f t="shared" si="2"/>
        <v>1403</v>
      </c>
      <c r="U27" s="152">
        <f t="shared" si="34"/>
        <v>1711.6599999999999</v>
      </c>
      <c r="V27" s="152">
        <f t="shared" si="35"/>
        <v>2088.2251999999999</v>
      </c>
      <c r="W27" s="152">
        <f t="shared" si="36"/>
        <v>2547.634744</v>
      </c>
      <c r="X27" s="152">
        <f t="shared" si="37"/>
        <v>3108.1143876799997</v>
      </c>
      <c r="Y27" s="152">
        <f t="shared" si="38"/>
        <v>3791.8995529695994</v>
      </c>
      <c r="Z27" s="152">
        <f t="shared" si="39"/>
        <v>4626.1174546229113</v>
      </c>
      <c r="AA27" s="152">
        <f t="shared" si="40"/>
        <v>5643.8632946399521</v>
      </c>
      <c r="AB27" s="152">
        <f t="shared" si="41"/>
        <v>6885.5132194607413</v>
      </c>
      <c r="AC27" s="152">
        <f t="shared" si="42"/>
        <v>8400.3261277421043</v>
      </c>
      <c r="AD27" s="137">
        <f t="shared" si="17"/>
        <v>0.23221168208030707</v>
      </c>
      <c r="AE27" s="31">
        <f t="shared" si="15"/>
        <v>0.05</v>
      </c>
      <c r="AF27" s="145">
        <f t="shared" si="1"/>
        <v>88203.424341292106</v>
      </c>
    </row>
    <row r="28" spans="2:32" s="123" customFormat="1" x14ac:dyDescent="0.2">
      <c r="B28" s="23"/>
      <c r="C28" s="147"/>
      <c r="D28" s="147"/>
      <c r="E28" s="148"/>
      <c r="F28" s="148"/>
      <c r="G28" s="149" t="e">
        <f t="shared" ref="G28:Q28" si="64">(G27-F27)/F27</f>
        <v>#DIV/0!</v>
      </c>
      <c r="H28" s="149">
        <f t="shared" si="64"/>
        <v>0.33333333333333331</v>
      </c>
      <c r="I28" s="149">
        <f t="shared" si="64"/>
        <v>0.1744186046511628</v>
      </c>
      <c r="J28" s="149">
        <f t="shared" si="64"/>
        <v>0.30693069306930693</v>
      </c>
      <c r="K28" s="149">
        <f t="shared" si="64"/>
        <v>9.4696969696969696E-2</v>
      </c>
      <c r="L28" s="149">
        <f t="shared" si="64"/>
        <v>0.24221453287197231</v>
      </c>
      <c r="M28" s="149">
        <f t="shared" si="64"/>
        <v>0.2116991643454039</v>
      </c>
      <c r="N28" s="149">
        <f t="shared" si="64"/>
        <v>0.53793103448275859</v>
      </c>
      <c r="O28" s="149">
        <f t="shared" si="64"/>
        <v>0.46786248131539609</v>
      </c>
      <c r="P28" s="149">
        <f t="shared" si="64"/>
        <v>0.225050916496945</v>
      </c>
      <c r="Q28" s="149">
        <f t="shared" si="64"/>
        <v>-4.4056525353283457E-2</v>
      </c>
      <c r="R28" s="128"/>
      <c r="S28" s="20"/>
      <c r="T28" s="152"/>
      <c r="U28" s="153"/>
      <c r="V28" s="153"/>
      <c r="W28" s="153"/>
      <c r="X28" s="153"/>
      <c r="Y28" s="153"/>
      <c r="Z28" s="153"/>
      <c r="AA28" s="153"/>
      <c r="AB28" s="153"/>
      <c r="AC28" s="153"/>
      <c r="AD28" s="119"/>
      <c r="AE28" s="136"/>
      <c r="AF28" s="152"/>
    </row>
    <row r="29" spans="2:32" s="123" customFormat="1" x14ac:dyDescent="0.2">
      <c r="B29" s="20" t="s">
        <v>323</v>
      </c>
      <c r="C29" s="147"/>
      <c r="D29" s="147"/>
      <c r="E29" s="148"/>
      <c r="F29" s="146"/>
      <c r="G29" s="146">
        <v>10</v>
      </c>
      <c r="H29" s="146">
        <v>11</v>
      </c>
      <c r="I29" s="146">
        <v>21</v>
      </c>
      <c r="J29" s="146">
        <v>26</v>
      </c>
      <c r="K29" s="146">
        <v>33</v>
      </c>
      <c r="L29" s="146">
        <v>39</v>
      </c>
      <c r="M29" s="146">
        <v>3</v>
      </c>
      <c r="N29" s="146">
        <v>4</v>
      </c>
      <c r="O29" s="146">
        <v>10</v>
      </c>
      <c r="P29" s="146">
        <v>14</v>
      </c>
      <c r="Q29" s="146">
        <v>9</v>
      </c>
      <c r="R29" s="118">
        <f>((Q29/G29)^(1/($H$2-$H$1) ))-1</f>
        <v>-1.0480741793785553E-2</v>
      </c>
      <c r="S29" s="31">
        <f t="shared" si="5"/>
        <v>0.22</v>
      </c>
      <c r="T29" s="152">
        <f t="shared" si="2"/>
        <v>10.98</v>
      </c>
      <c r="U29" s="152">
        <f t="shared" ref="U29" si="65">T29*(1+$S29)</f>
        <v>13.3956</v>
      </c>
      <c r="V29" s="152">
        <f t="shared" ref="V29" si="66">U29*(1+$S29)</f>
        <v>16.342631999999998</v>
      </c>
      <c r="W29" s="152">
        <f t="shared" ref="W29" si="67">V29*(1+$S29)</f>
        <v>19.938011039999996</v>
      </c>
      <c r="X29" s="152">
        <f t="shared" ref="X29" si="68">W29*(1+$S29)</f>
        <v>24.324373468799994</v>
      </c>
      <c r="Y29" s="152">
        <f t="shared" ref="Y29" si="69">X29*(1+$S29)</f>
        <v>29.675735631935993</v>
      </c>
      <c r="Z29" s="152">
        <f t="shared" ref="Z29" si="70">Y29*(1+$S29)</f>
        <v>36.204397470961908</v>
      </c>
      <c r="AA29" s="152">
        <f t="shared" ref="AA29" si="71">Z29*(1+$S29)</f>
        <v>44.169364914573528</v>
      </c>
      <c r="AB29" s="152">
        <f t="shared" ref="AB29" si="72">AA29*(1+$S29)</f>
        <v>53.8866251957797</v>
      </c>
      <c r="AC29" s="152">
        <f t="shared" ref="AC29" si="73">AB29*(1+$S29)</f>
        <v>65.741682738851239</v>
      </c>
      <c r="AD29" s="137">
        <f t="shared" ref="AD29" si="74">((AC29/G29)^(1/($AC$3-$H$1) ))-1</f>
        <v>9.8732676774283323E-2</v>
      </c>
      <c r="AE29" s="31">
        <f t="shared" si="15"/>
        <v>0.05</v>
      </c>
      <c r="AF29" s="145">
        <f t="shared" ref="AF29" si="75">(AC29*(1+AE29))/($C$1-AE29)</f>
        <v>690.28766875793815</v>
      </c>
    </row>
    <row r="30" spans="2:32" s="123" customFormat="1" x14ac:dyDescent="0.2">
      <c r="B30" s="23"/>
      <c r="C30" s="147"/>
      <c r="D30" s="147"/>
      <c r="E30" s="148"/>
      <c r="F30" s="148"/>
      <c r="G30" s="149" t="e">
        <f t="shared" ref="G30:Q30" si="76">(G29-F29)/F29</f>
        <v>#DIV/0!</v>
      </c>
      <c r="H30" s="149">
        <f t="shared" si="76"/>
        <v>0.1</v>
      </c>
      <c r="I30" s="149">
        <f t="shared" si="76"/>
        <v>0.90909090909090906</v>
      </c>
      <c r="J30" s="149">
        <f t="shared" si="76"/>
        <v>0.23809523809523808</v>
      </c>
      <c r="K30" s="149">
        <f t="shared" si="76"/>
        <v>0.26923076923076922</v>
      </c>
      <c r="L30" s="149">
        <f t="shared" si="76"/>
        <v>0.18181818181818182</v>
      </c>
      <c r="M30" s="149">
        <f t="shared" si="76"/>
        <v>-0.92307692307692313</v>
      </c>
      <c r="N30" s="149">
        <f t="shared" si="76"/>
        <v>0.33333333333333331</v>
      </c>
      <c r="O30" s="149">
        <f t="shared" si="76"/>
        <v>1.5</v>
      </c>
      <c r="P30" s="149">
        <f t="shared" si="76"/>
        <v>0.4</v>
      </c>
      <c r="Q30" s="149">
        <f t="shared" si="76"/>
        <v>-0.35714285714285715</v>
      </c>
      <c r="R30" s="128"/>
      <c r="S30" s="20"/>
      <c r="T30" s="152"/>
      <c r="U30" s="153"/>
      <c r="V30" s="153"/>
      <c r="W30" s="153"/>
      <c r="X30" s="153"/>
      <c r="Y30" s="153"/>
      <c r="Z30" s="153"/>
      <c r="AA30" s="153"/>
      <c r="AB30" s="153"/>
      <c r="AC30" s="153"/>
      <c r="AD30" s="160"/>
      <c r="AE30" s="136"/>
      <c r="AF30" s="152"/>
    </row>
    <row r="31" spans="2:32" x14ac:dyDescent="0.2">
      <c r="B31" s="20" t="s">
        <v>331</v>
      </c>
      <c r="C31" s="140"/>
      <c r="D31" s="140"/>
      <c r="E31" s="146"/>
      <c r="F31" s="146"/>
      <c r="G31" s="146">
        <v>0</v>
      </c>
      <c r="H31" s="146">
        <v>0</v>
      </c>
      <c r="I31" s="146"/>
      <c r="J31" s="146"/>
      <c r="K31" s="146"/>
      <c r="L31" s="146"/>
      <c r="M31" s="146">
        <v>0</v>
      </c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0.22</v>
      </c>
      <c r="T31" s="152">
        <f t="shared" si="2"/>
        <v>0</v>
      </c>
      <c r="U31" s="152">
        <f>T31*(1+$S31)</f>
        <v>0</v>
      </c>
      <c r="V31" s="152">
        <f t="shared" ref="V31:AC32" si="77">U31*(1+$S31)</f>
        <v>0</v>
      </c>
      <c r="W31" s="152">
        <f t="shared" si="77"/>
        <v>0</v>
      </c>
      <c r="X31" s="152">
        <f t="shared" si="77"/>
        <v>0</v>
      </c>
      <c r="Y31" s="152">
        <f t="shared" si="77"/>
        <v>0</v>
      </c>
      <c r="Z31" s="152">
        <f t="shared" si="77"/>
        <v>0</v>
      </c>
      <c r="AA31" s="152">
        <f t="shared" si="77"/>
        <v>0</v>
      </c>
      <c r="AB31" s="152">
        <f t="shared" si="77"/>
        <v>0</v>
      </c>
      <c r="AC31" s="152">
        <f t="shared" si="77"/>
        <v>0</v>
      </c>
      <c r="AD31" s="137" t="e">
        <f t="shared" ref="AD31" si="78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330</v>
      </c>
      <c r="C32" s="140"/>
      <c r="D32" s="140"/>
      <c r="E32" s="146"/>
      <c r="F32" s="146"/>
      <c r="G32" s="146">
        <v>0</v>
      </c>
      <c r="H32" s="146">
        <v>0</v>
      </c>
      <c r="I32" s="146"/>
      <c r="J32" s="146"/>
      <c r="K32" s="146"/>
      <c r="L32" s="146"/>
      <c r="M32" s="146">
        <v>0</v>
      </c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0.22</v>
      </c>
      <c r="T32" s="152">
        <f t="shared" si="2"/>
        <v>0</v>
      </c>
      <c r="U32" s="152">
        <f>T32*(1+$S32)</f>
        <v>0</v>
      </c>
      <c r="V32" s="152">
        <f t="shared" si="77"/>
        <v>0</v>
      </c>
      <c r="W32" s="152">
        <f t="shared" si="77"/>
        <v>0</v>
      </c>
      <c r="X32" s="152">
        <f t="shared" si="77"/>
        <v>0</v>
      </c>
      <c r="Y32" s="152">
        <f t="shared" si="77"/>
        <v>0</v>
      </c>
      <c r="Z32" s="152">
        <f t="shared" si="77"/>
        <v>0</v>
      </c>
      <c r="AA32" s="152">
        <f t="shared" si="77"/>
        <v>0</v>
      </c>
      <c r="AB32" s="152">
        <f t="shared" si="77"/>
        <v>0</v>
      </c>
      <c r="AC32" s="152">
        <f t="shared" si="77"/>
        <v>0</v>
      </c>
      <c r="AD32" s="137" t="e">
        <f t="shared" ref="AD32" si="79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315</v>
      </c>
      <c r="C33" s="140"/>
      <c r="D33" s="140"/>
      <c r="E33" s="146"/>
      <c r="F33" s="146"/>
      <c r="G33" s="146">
        <v>74</v>
      </c>
      <c r="H33" s="146">
        <v>103</v>
      </c>
      <c r="I33" s="146">
        <v>120</v>
      </c>
      <c r="J33" s="146">
        <v>163</v>
      </c>
      <c r="K33" s="146">
        <v>176</v>
      </c>
      <c r="L33" s="146">
        <v>220</v>
      </c>
      <c r="M33" s="146">
        <v>271</v>
      </c>
      <c r="N33" s="146">
        <v>443</v>
      </c>
      <c r="O33" s="146">
        <v>676</v>
      </c>
      <c r="P33" s="146">
        <v>828</v>
      </c>
      <c r="Q33" s="146">
        <v>754</v>
      </c>
      <c r="R33" s="118">
        <f>((Q33/G33)^(1/($H$2-$H$1) ))-1</f>
        <v>0.26128712518119501</v>
      </c>
      <c r="S33" s="31">
        <f t="shared" si="5"/>
        <v>0.22</v>
      </c>
      <c r="T33" s="152">
        <f t="shared" si="2"/>
        <v>919.88</v>
      </c>
      <c r="U33" s="152">
        <f t="shared" si="34"/>
        <v>1122.2536</v>
      </c>
      <c r="V33" s="152">
        <f t="shared" si="35"/>
        <v>1369.149392</v>
      </c>
      <c r="W33" s="152">
        <f t="shared" si="36"/>
        <v>1670.3622582400001</v>
      </c>
      <c r="X33" s="152">
        <f t="shared" si="37"/>
        <v>2037.8419550528001</v>
      </c>
      <c r="Y33" s="152">
        <f t="shared" si="38"/>
        <v>2486.167185164416</v>
      </c>
      <c r="Z33" s="152">
        <f t="shared" si="39"/>
        <v>3033.1239659005873</v>
      </c>
      <c r="AA33" s="152">
        <f t="shared" si="40"/>
        <v>3700.4112383987163</v>
      </c>
      <c r="AB33" s="152">
        <f t="shared" si="41"/>
        <v>4514.5017108464335</v>
      </c>
      <c r="AC33" s="152">
        <f t="shared" si="42"/>
        <v>5507.6920872326491</v>
      </c>
      <c r="AD33" s="137">
        <f t="shared" si="17"/>
        <v>0.24047180246914834</v>
      </c>
      <c r="AE33" s="31">
        <f t="shared" si="15"/>
        <v>0.05</v>
      </c>
      <c r="AF33" s="145">
        <f t="shared" si="1"/>
        <v>57830.766915942826</v>
      </c>
    </row>
    <row r="34" spans="2:32" x14ac:dyDescent="0.2">
      <c r="B34" s="20" t="s">
        <v>307</v>
      </c>
      <c r="C34" s="140"/>
      <c r="D34" s="140"/>
      <c r="E34" s="146"/>
      <c r="F34" s="146"/>
      <c r="G34" s="146">
        <v>14</v>
      </c>
      <c r="H34" s="146">
        <v>16</v>
      </c>
      <c r="I34" s="146">
        <v>17</v>
      </c>
      <c r="J34" s="146">
        <v>19</v>
      </c>
      <c r="K34" s="146">
        <v>27</v>
      </c>
      <c r="L34" s="146">
        <v>31</v>
      </c>
      <c r="M34" s="146">
        <v>39</v>
      </c>
      <c r="N34" s="146">
        <v>53</v>
      </c>
      <c r="O34" s="146">
        <v>73</v>
      </c>
      <c r="P34" s="146">
        <v>84</v>
      </c>
      <c r="Q34" s="146">
        <v>91</v>
      </c>
      <c r="R34" s="118">
        <f>((Q34/G34)^(1/($H$2-$H$1) ))-1</f>
        <v>0.2058445799940376</v>
      </c>
      <c r="S34" s="31">
        <f t="shared" si="5"/>
        <v>0.22</v>
      </c>
      <c r="T34" s="152">
        <f t="shared" si="2"/>
        <v>111.02</v>
      </c>
      <c r="U34" s="152">
        <f t="shared" si="34"/>
        <v>135.4444</v>
      </c>
      <c r="V34" s="152">
        <f t="shared" si="35"/>
        <v>165.24216799999999</v>
      </c>
      <c r="W34" s="152">
        <f t="shared" si="36"/>
        <v>201.59544495999998</v>
      </c>
      <c r="X34" s="152">
        <f t="shared" si="37"/>
        <v>245.94644285119998</v>
      </c>
      <c r="Y34" s="152">
        <f t="shared" si="38"/>
        <v>300.05466027846398</v>
      </c>
      <c r="Z34" s="152">
        <f t="shared" si="39"/>
        <v>366.06668553972605</v>
      </c>
      <c r="AA34" s="152">
        <f t="shared" si="40"/>
        <v>446.60135635846575</v>
      </c>
      <c r="AB34" s="152">
        <f t="shared" si="41"/>
        <v>544.85365475732817</v>
      </c>
      <c r="AC34" s="152">
        <f t="shared" si="42"/>
        <v>664.72145880394032</v>
      </c>
      <c r="AD34" s="137">
        <f t="shared" si="17"/>
        <v>0.21290163970238152</v>
      </c>
      <c r="AE34" s="31">
        <f t="shared" si="15"/>
        <v>0.05</v>
      </c>
      <c r="AF34" s="145">
        <f t="shared" si="1"/>
        <v>6979.575317441374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2">
        <f t="shared" si="2"/>
        <v>0</v>
      </c>
      <c r="U35" s="152"/>
      <c r="V35" s="152"/>
      <c r="W35" s="152"/>
      <c r="X35" s="152"/>
      <c r="Y35" s="152"/>
      <c r="Z35" s="152"/>
      <c r="AA35" s="152"/>
      <c r="AB35" s="152"/>
      <c r="AC35" s="152"/>
      <c r="AD35" s="138"/>
      <c r="AE35" s="136"/>
      <c r="AF35" s="152"/>
    </row>
    <row r="36" spans="2:32" x14ac:dyDescent="0.2">
      <c r="B36" s="20" t="s">
        <v>278</v>
      </c>
      <c r="C36" s="140"/>
      <c r="D36" s="140"/>
      <c r="E36" s="146"/>
      <c r="F36" s="146"/>
      <c r="G36" s="146">
        <v>6</v>
      </c>
      <c r="H36" s="146">
        <v>11</v>
      </c>
      <c r="I36" s="146">
        <v>21</v>
      </c>
      <c r="J36" s="146">
        <v>26</v>
      </c>
      <c r="K36" s="146">
        <v>33</v>
      </c>
      <c r="L36" s="146">
        <v>39</v>
      </c>
      <c r="M36" s="146">
        <v>78</v>
      </c>
      <c r="N36" s="146">
        <v>127</v>
      </c>
      <c r="O36" s="146">
        <v>178</v>
      </c>
      <c r="P36" s="146">
        <v>203</v>
      </c>
      <c r="Q36" s="146">
        <v>160</v>
      </c>
      <c r="R36" s="118">
        <f>((Q36/G36)^(1/($H$2-$H$1) ))-1</f>
        <v>0.38866302896176164</v>
      </c>
      <c r="S36" s="31">
        <f t="shared" si="5"/>
        <v>0.22</v>
      </c>
      <c r="T36" s="152">
        <f t="shared" si="2"/>
        <v>195.2</v>
      </c>
      <c r="U36" s="152">
        <f t="shared" ref="U36" si="80">T36*(1+$S36)</f>
        <v>238.14399999999998</v>
      </c>
      <c r="V36" s="152">
        <f t="shared" ref="V36" si="81">U36*(1+$S36)</f>
        <v>290.53567999999996</v>
      </c>
      <c r="W36" s="152">
        <f t="shared" ref="W36" si="82">V36*(1+$S36)</f>
        <v>354.45352959999997</v>
      </c>
      <c r="X36" s="152">
        <f t="shared" si="37"/>
        <v>432.43330611199997</v>
      </c>
      <c r="Y36" s="152">
        <f t="shared" si="38"/>
        <v>527.56863345663999</v>
      </c>
      <c r="Z36" s="152">
        <f t="shared" si="39"/>
        <v>643.63373281710074</v>
      </c>
      <c r="AA36" s="152">
        <f t="shared" si="40"/>
        <v>785.23315403686286</v>
      </c>
      <c r="AB36" s="152">
        <f t="shared" si="41"/>
        <v>957.98444792497264</v>
      </c>
      <c r="AC36" s="152">
        <f t="shared" si="42"/>
        <v>1168.7410264684665</v>
      </c>
      <c r="AD36" s="137">
        <f t="shared" si="17"/>
        <v>0.30160243366910966</v>
      </c>
      <c r="AE36" s="31">
        <f t="shared" si="15"/>
        <v>0.05</v>
      </c>
      <c r="AF36" s="145">
        <f t="shared" si="1"/>
        <v>12271.780777918901</v>
      </c>
    </row>
    <row r="37" spans="2:32" s="123" customFormat="1" x14ac:dyDescent="0.2">
      <c r="B37" s="23"/>
      <c r="C37" s="147"/>
      <c r="D37" s="147"/>
      <c r="E37" s="148"/>
      <c r="F37" s="148"/>
      <c r="G37" s="149" t="e">
        <f t="shared" ref="G37:Q37" si="83">(G36-F36)/F36</f>
        <v>#DIV/0!</v>
      </c>
      <c r="H37" s="149">
        <f t="shared" si="83"/>
        <v>0.83333333333333337</v>
      </c>
      <c r="I37" s="149">
        <f t="shared" si="83"/>
        <v>0.90909090909090906</v>
      </c>
      <c r="J37" s="149">
        <f t="shared" si="83"/>
        <v>0.23809523809523808</v>
      </c>
      <c r="K37" s="149">
        <f t="shared" si="83"/>
        <v>0.26923076923076922</v>
      </c>
      <c r="L37" s="149">
        <f t="shared" si="83"/>
        <v>0.18181818181818182</v>
      </c>
      <c r="M37" s="149">
        <f t="shared" si="83"/>
        <v>1</v>
      </c>
      <c r="N37" s="149">
        <f t="shared" si="83"/>
        <v>0.62820512820512819</v>
      </c>
      <c r="O37" s="149">
        <f t="shared" si="83"/>
        <v>0.40157480314960631</v>
      </c>
      <c r="P37" s="149">
        <f t="shared" si="83"/>
        <v>0.1404494382022472</v>
      </c>
      <c r="Q37" s="149">
        <f t="shared" si="83"/>
        <v>-0.21182266009852216</v>
      </c>
      <c r="R37" s="128"/>
      <c r="S37" s="20"/>
      <c r="T37" s="152"/>
      <c r="U37" s="153"/>
      <c r="V37" s="153"/>
      <c r="W37" s="153"/>
      <c r="X37" s="153"/>
      <c r="Y37" s="153"/>
      <c r="Z37" s="153"/>
      <c r="AA37" s="153"/>
      <c r="AB37" s="153"/>
      <c r="AC37" s="153"/>
      <c r="AD37" s="138"/>
      <c r="AE37" s="136"/>
      <c r="AF37" s="154"/>
    </row>
    <row r="38" spans="2:32" s="123" customFormat="1" x14ac:dyDescent="0.2">
      <c r="B38" s="20" t="s">
        <v>399</v>
      </c>
      <c r="C38" s="147"/>
      <c r="D38" s="147"/>
      <c r="E38" s="148"/>
      <c r="F38" s="148"/>
      <c r="G38" s="146">
        <v>0.55000000000000004</v>
      </c>
      <c r="H38" s="146">
        <v>4</v>
      </c>
      <c r="I38" s="146">
        <v>12</v>
      </c>
      <c r="J38" s="146">
        <v>17</v>
      </c>
      <c r="K38" s="146">
        <v>24</v>
      </c>
      <c r="L38" s="146">
        <v>29</v>
      </c>
      <c r="M38" s="146">
        <v>76</v>
      </c>
      <c r="N38" s="146">
        <v>120</v>
      </c>
      <c r="O38" s="146">
        <v>163</v>
      </c>
      <c r="P38" s="146">
        <v>185</v>
      </c>
      <c r="Q38" s="146">
        <v>152</v>
      </c>
      <c r="R38" s="118">
        <f>((Q38/G38)^(1/($H$2-$H$1) ))-1</f>
        <v>0.75447865860068286</v>
      </c>
      <c r="S38" s="31">
        <f t="shared" si="5"/>
        <v>0.22</v>
      </c>
      <c r="T38" s="152">
        <f t="shared" si="2"/>
        <v>185.44</v>
      </c>
      <c r="U38" s="152">
        <f t="shared" ref="U38" si="84">T38*(1+$S38)</f>
        <v>226.23679999999999</v>
      </c>
      <c r="V38" s="152">
        <f t="shared" ref="V38" si="85">U38*(1+$S38)</f>
        <v>276.00889599999999</v>
      </c>
      <c r="W38" s="152">
        <f t="shared" ref="W38" si="86">V38*(1+$S38)</f>
        <v>336.73085312000001</v>
      </c>
      <c r="X38" s="152">
        <f t="shared" ref="X38" si="87">W38*(1+$S38)</f>
        <v>410.81164080640002</v>
      </c>
      <c r="Y38" s="152">
        <f t="shared" ref="Y38" si="88">X38*(1+$S38)</f>
        <v>501.19020178380799</v>
      </c>
      <c r="Z38" s="152">
        <f t="shared" ref="Z38" si="89">Y38*(1+$S38)</f>
        <v>611.45204617624574</v>
      </c>
      <c r="AA38" s="152">
        <f t="shared" ref="AA38" si="90">Z38*(1+$S38)</f>
        <v>745.97149633501976</v>
      </c>
      <c r="AB38" s="152">
        <f t="shared" ref="AB38" si="91">AA38*(1+$S38)</f>
        <v>910.0852255287241</v>
      </c>
      <c r="AC38" s="152">
        <f t="shared" ref="AC38" si="92">AB38*(1+$S38)</f>
        <v>1110.3039751450433</v>
      </c>
      <c r="AD38" s="137">
        <f t="shared" ref="AD38" si="93">((AC38/G38)^(1/($AC$3-$H$1) ))-1</f>
        <v>0.46303245469566834</v>
      </c>
      <c r="AE38" s="31">
        <f t="shared" si="15"/>
        <v>0.05</v>
      </c>
      <c r="AF38" s="145">
        <f t="shared" ref="AF38" si="94">(AC38*(1+AE38))/($C$1-AE38)</f>
        <v>11658.191739022956</v>
      </c>
    </row>
    <row r="39" spans="2:32" s="123" customFormat="1" x14ac:dyDescent="0.2">
      <c r="B39" s="23"/>
      <c r="C39" s="147"/>
      <c r="D39" s="147"/>
      <c r="E39" s="148"/>
      <c r="F39" s="148"/>
      <c r="G39" s="149" t="e">
        <f t="shared" ref="G39:Q39" si="95">(G38-F38)/F38</f>
        <v>#DIV/0!</v>
      </c>
      <c r="H39" s="149">
        <f t="shared" si="95"/>
        <v>6.2727272727272725</v>
      </c>
      <c r="I39" s="149">
        <f t="shared" si="95"/>
        <v>2</v>
      </c>
      <c r="J39" s="149">
        <f t="shared" si="95"/>
        <v>0.41666666666666669</v>
      </c>
      <c r="K39" s="149">
        <f t="shared" si="95"/>
        <v>0.41176470588235292</v>
      </c>
      <c r="L39" s="149">
        <f t="shared" si="95"/>
        <v>0.20833333333333334</v>
      </c>
      <c r="M39" s="149">
        <f t="shared" si="95"/>
        <v>1.6206896551724137</v>
      </c>
      <c r="N39" s="149">
        <f t="shared" si="95"/>
        <v>0.57894736842105265</v>
      </c>
      <c r="O39" s="149">
        <f t="shared" si="95"/>
        <v>0.35833333333333334</v>
      </c>
      <c r="P39" s="149">
        <f t="shared" si="95"/>
        <v>0.13496932515337423</v>
      </c>
      <c r="Q39" s="149">
        <f t="shared" si="95"/>
        <v>-0.17837837837837839</v>
      </c>
      <c r="R39" s="128"/>
      <c r="S39" s="20"/>
      <c r="T39" s="152"/>
      <c r="U39" s="153"/>
      <c r="V39" s="153"/>
      <c r="W39" s="153"/>
      <c r="X39" s="153"/>
      <c r="Y39" s="153"/>
      <c r="Z39" s="153"/>
      <c r="AA39" s="153"/>
      <c r="AB39" s="153"/>
      <c r="AC39" s="153"/>
      <c r="AD39" s="138"/>
      <c r="AE39" s="136"/>
      <c r="AF39" s="154"/>
    </row>
    <row r="40" spans="2:32" x14ac:dyDescent="0.2">
      <c r="B40" s="20" t="s">
        <v>400</v>
      </c>
      <c r="C40" s="140"/>
      <c r="D40" s="140"/>
      <c r="E40" s="146"/>
      <c r="F40" s="146"/>
      <c r="G40" s="146">
        <v>0.21</v>
      </c>
      <c r="H40" s="146">
        <v>4</v>
      </c>
      <c r="I40" s="146">
        <v>7</v>
      </c>
      <c r="J40" s="146">
        <v>12</v>
      </c>
      <c r="K40" s="146">
        <v>21</v>
      </c>
      <c r="L40" s="146">
        <v>22</v>
      </c>
      <c r="M40" s="146">
        <v>52</v>
      </c>
      <c r="N40" s="146">
        <v>84</v>
      </c>
      <c r="O40" s="146">
        <v>113</v>
      </c>
      <c r="P40" s="146">
        <v>133</v>
      </c>
      <c r="Q40" s="146">
        <v>112</v>
      </c>
      <c r="R40" s="118">
        <f>((Q40/G40)^(1/($H$2-$H$1) ))-1</f>
        <v>0.87369920617652164</v>
      </c>
      <c r="S40" s="31">
        <f t="shared" si="5"/>
        <v>0.22</v>
      </c>
      <c r="T40" s="152">
        <f t="shared" si="2"/>
        <v>136.63999999999999</v>
      </c>
      <c r="U40" s="152">
        <f t="shared" ref="U40:AC40" si="96">T40*(1+$S40)</f>
        <v>166.70079999999999</v>
      </c>
      <c r="V40" s="152">
        <f t="shared" si="96"/>
        <v>203.37497599999998</v>
      </c>
      <c r="W40" s="152">
        <f t="shared" si="96"/>
        <v>248.11747071999997</v>
      </c>
      <c r="X40" s="152">
        <f t="shared" si="96"/>
        <v>302.70331427839994</v>
      </c>
      <c r="Y40" s="152">
        <f t="shared" si="96"/>
        <v>369.29804341964791</v>
      </c>
      <c r="Z40" s="152">
        <f t="shared" si="96"/>
        <v>450.54361297197045</v>
      </c>
      <c r="AA40" s="152">
        <f t="shared" si="96"/>
        <v>549.66320782580397</v>
      </c>
      <c r="AB40" s="152">
        <f t="shared" si="96"/>
        <v>670.58911354748079</v>
      </c>
      <c r="AC40" s="152">
        <f t="shared" si="96"/>
        <v>818.1187185279266</v>
      </c>
      <c r="AD40" s="137">
        <f t="shared" si="17"/>
        <v>0.51192361961024879</v>
      </c>
      <c r="AE40" s="31">
        <f t="shared" si="15"/>
        <v>0.05</v>
      </c>
      <c r="AF40" s="145">
        <f t="shared" si="1"/>
        <v>8590.2465445432317</v>
      </c>
    </row>
    <row r="41" spans="2:32" s="123" customFormat="1" x14ac:dyDescent="0.2">
      <c r="B41" s="23"/>
      <c r="C41" s="147"/>
      <c r="D41" s="147"/>
      <c r="E41" s="148"/>
      <c r="F41" s="148"/>
      <c r="G41" s="149" t="e">
        <f t="shared" ref="G41:Q41" si="97">(G40-F40)/F40</f>
        <v>#DIV/0!</v>
      </c>
      <c r="H41" s="149">
        <f t="shared" si="97"/>
        <v>18.047619047619047</v>
      </c>
      <c r="I41" s="149">
        <f t="shared" si="97"/>
        <v>0.75</v>
      </c>
      <c r="J41" s="149">
        <f t="shared" si="97"/>
        <v>0.7142857142857143</v>
      </c>
      <c r="K41" s="149">
        <f t="shared" si="97"/>
        <v>0.75</v>
      </c>
      <c r="L41" s="149">
        <f t="shared" si="97"/>
        <v>4.7619047619047616E-2</v>
      </c>
      <c r="M41" s="149">
        <f t="shared" si="97"/>
        <v>1.3636363636363635</v>
      </c>
      <c r="N41" s="149">
        <f t="shared" si="97"/>
        <v>0.61538461538461542</v>
      </c>
      <c r="O41" s="149">
        <f t="shared" si="97"/>
        <v>0.34523809523809523</v>
      </c>
      <c r="P41" s="149">
        <f t="shared" si="97"/>
        <v>0.17699115044247787</v>
      </c>
      <c r="Q41" s="149">
        <f t="shared" si="97"/>
        <v>-0.15789473684210525</v>
      </c>
      <c r="R41" s="128"/>
      <c r="S41" s="20"/>
      <c r="T41" s="152"/>
      <c r="U41" s="153"/>
      <c r="V41" s="153"/>
      <c r="W41" s="153"/>
      <c r="X41" s="153"/>
      <c r="Y41" s="153"/>
      <c r="Z41" s="153"/>
      <c r="AA41" s="153"/>
      <c r="AB41" s="153"/>
      <c r="AC41" s="153"/>
      <c r="AD41" s="138"/>
      <c r="AE41" s="136"/>
      <c r="AF41" s="154"/>
    </row>
    <row r="42" spans="2:32" x14ac:dyDescent="0.2">
      <c r="B42" s="20" t="s">
        <v>239</v>
      </c>
      <c r="C42" s="141"/>
      <c r="D42" s="141"/>
      <c r="E42" s="144"/>
      <c r="F42" s="144"/>
      <c r="G42" s="200">
        <v>1.1299999999999999</v>
      </c>
      <c r="H42" s="200">
        <v>1.1299999999999999</v>
      </c>
      <c r="I42" s="200">
        <v>1.1299999999999999</v>
      </c>
      <c r="J42" s="200">
        <v>1.1299999999999999</v>
      </c>
      <c r="K42" s="200">
        <v>1.1299999999999999</v>
      </c>
      <c r="L42" s="200">
        <v>1.1299999999999999</v>
      </c>
      <c r="M42" s="200">
        <v>1.1299999999999999</v>
      </c>
      <c r="N42" s="200">
        <v>1.1299999999999999</v>
      </c>
      <c r="O42" s="200">
        <v>1.1299999999999999</v>
      </c>
      <c r="P42" s="200">
        <v>1.1299999999999999</v>
      </c>
      <c r="Q42" s="200">
        <v>1.1299999999999999</v>
      </c>
      <c r="R42" s="118">
        <f>((Q42/G42)^(1/($H$2-$H$1) ))-1</f>
        <v>0</v>
      </c>
      <c r="S42" s="31">
        <v>0.02</v>
      </c>
      <c r="T42" s="152">
        <f t="shared" si="2"/>
        <v>1.1525999999999998</v>
      </c>
      <c r="U42" s="152">
        <f>T42*(1+$S42)</f>
        <v>1.1756519999999999</v>
      </c>
      <c r="V42" s="152">
        <f t="shared" ref="V42:AC42" si="98">U42*(1+$S42)</f>
        <v>1.19916504</v>
      </c>
      <c r="W42" s="152">
        <f t="shared" si="98"/>
        <v>1.2231483408000001</v>
      </c>
      <c r="X42" s="152">
        <f t="shared" si="98"/>
        <v>1.2476113076160003</v>
      </c>
      <c r="Y42" s="152">
        <f t="shared" si="98"/>
        <v>1.2725635337683203</v>
      </c>
      <c r="Z42" s="152">
        <f t="shared" si="98"/>
        <v>1.2980148044436868</v>
      </c>
      <c r="AA42" s="152">
        <f t="shared" si="98"/>
        <v>1.3239751005325606</v>
      </c>
      <c r="AB42" s="152">
        <f t="shared" si="98"/>
        <v>1.3504546025432118</v>
      </c>
      <c r="AC42" s="152">
        <f t="shared" si="98"/>
        <v>1.3774636945940761</v>
      </c>
      <c r="AD42" s="137">
        <f t="shared" si="17"/>
        <v>9.9504938362078299E-3</v>
      </c>
      <c r="AE42" s="31">
        <f t="shared" si="15"/>
        <v>0.05</v>
      </c>
      <c r="AF42" s="145">
        <f t="shared" si="1"/>
        <v>14.463368793237802</v>
      </c>
    </row>
    <row r="43" spans="2:32" x14ac:dyDescent="0.2">
      <c r="B43" s="20"/>
      <c r="C43" s="141"/>
      <c r="D43" s="141"/>
      <c r="E43" s="142"/>
      <c r="F43" s="146"/>
      <c r="G43" s="149" t="e">
        <f t="shared" ref="G43:Q43" si="99">(G42-F42)/F42</f>
        <v>#DIV/0!</v>
      </c>
      <c r="H43" s="149">
        <f t="shared" si="99"/>
        <v>0</v>
      </c>
      <c r="I43" s="149">
        <f t="shared" si="99"/>
        <v>0</v>
      </c>
      <c r="J43" s="149">
        <f t="shared" si="99"/>
        <v>0</v>
      </c>
      <c r="K43" s="149">
        <f t="shared" si="99"/>
        <v>0</v>
      </c>
      <c r="L43" s="149">
        <f t="shared" si="99"/>
        <v>0</v>
      </c>
      <c r="M43" s="149">
        <f t="shared" si="99"/>
        <v>0</v>
      </c>
      <c r="N43" s="149">
        <f t="shared" si="99"/>
        <v>0</v>
      </c>
      <c r="O43" s="149">
        <f t="shared" si="99"/>
        <v>0</v>
      </c>
      <c r="P43" s="149">
        <f t="shared" si="99"/>
        <v>0</v>
      </c>
      <c r="Q43" s="149">
        <f t="shared" si="99"/>
        <v>0</v>
      </c>
      <c r="R43" s="128"/>
      <c r="S43" s="20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38"/>
      <c r="AE43" s="136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6">
        <v>0.01</v>
      </c>
      <c r="H44" s="146">
        <v>2</v>
      </c>
      <c r="I44" s="146">
        <v>2.5</v>
      </c>
      <c r="J44" s="146">
        <v>3</v>
      </c>
      <c r="K44" s="146">
        <v>3.5</v>
      </c>
      <c r="L44" s="146">
        <v>5</v>
      </c>
      <c r="M44" s="146">
        <v>10</v>
      </c>
      <c r="N44" s="146">
        <v>12.5</v>
      </c>
      <c r="O44" s="146">
        <v>15</v>
      </c>
      <c r="P44" s="146">
        <v>17.5</v>
      </c>
      <c r="Q44" s="146">
        <v>20</v>
      </c>
      <c r="R44" s="118">
        <f>((Q44/G44)^(1/($H$2-$H$1) ))-1</f>
        <v>1.1384691999823762</v>
      </c>
      <c r="S44" s="31">
        <f>P1</f>
        <v>0.05</v>
      </c>
      <c r="T44" s="152">
        <f t="shared" si="2"/>
        <v>21</v>
      </c>
      <c r="U44" s="152">
        <f t="shared" ref="U44" si="100">T44*(1+$S44)</f>
        <v>22.05</v>
      </c>
      <c r="V44" s="152">
        <f t="shared" ref="V44" si="101">U44*(1+$S44)</f>
        <v>23.152500000000003</v>
      </c>
      <c r="W44" s="152">
        <f t="shared" ref="W44" si="102">V44*(1+$S44)</f>
        <v>24.310125000000003</v>
      </c>
      <c r="X44" s="152">
        <f t="shared" ref="X44" si="103">W44*(1+$S44)</f>
        <v>25.525631250000004</v>
      </c>
      <c r="Y44" s="152">
        <f t="shared" ref="Y44" si="104">X44*(1+$S44)</f>
        <v>26.801912812500007</v>
      </c>
      <c r="Z44" s="152">
        <f t="shared" ref="Z44" si="105">Y44*(1+$S44)</f>
        <v>28.142008453125008</v>
      </c>
      <c r="AA44" s="152">
        <f t="shared" ref="AA44" si="106">Z44*(1+$S44)</f>
        <v>29.549108875781261</v>
      </c>
      <c r="AB44" s="152">
        <f t="shared" ref="AB44" si="107">AA44*(1+$S44)</f>
        <v>31.026564319570326</v>
      </c>
      <c r="AC44" s="152">
        <f t="shared" ref="AC44" si="108">AB44*(1+$S44)</f>
        <v>32.577892535548841</v>
      </c>
      <c r="AD44" s="137">
        <f t="shared" ref="AD44" si="109">((AC44/G44)^(1/($AC$3-$H$1) ))-1</f>
        <v>0.49846343298109708</v>
      </c>
      <c r="AE44" s="31">
        <f t="shared" si="15"/>
        <v>0.05</v>
      </c>
      <c r="AF44" s="145">
        <f t="shared" si="1"/>
        <v>342.06787162326287</v>
      </c>
    </row>
    <row r="45" spans="2:32" x14ac:dyDescent="0.2">
      <c r="B45" s="20"/>
      <c r="C45" s="144"/>
      <c r="D45" s="144"/>
      <c r="E45" s="144"/>
      <c r="F45" s="146"/>
      <c r="G45" s="149" t="e">
        <f t="shared" ref="G45:Q45" si="110">(G44-F44)/F44</f>
        <v>#DIV/0!</v>
      </c>
      <c r="H45" s="149">
        <f t="shared" si="110"/>
        <v>199</v>
      </c>
      <c r="I45" s="149">
        <f t="shared" si="110"/>
        <v>0.25</v>
      </c>
      <c r="J45" s="149">
        <f t="shared" si="110"/>
        <v>0.2</v>
      </c>
      <c r="K45" s="149">
        <f t="shared" si="110"/>
        <v>0.16666666666666666</v>
      </c>
      <c r="L45" s="149">
        <f t="shared" si="110"/>
        <v>0.42857142857142855</v>
      </c>
      <c r="M45" s="149">
        <f t="shared" si="110"/>
        <v>1</v>
      </c>
      <c r="N45" s="149">
        <f t="shared" si="110"/>
        <v>0.25</v>
      </c>
      <c r="O45" s="149">
        <f t="shared" si="110"/>
        <v>0.2</v>
      </c>
      <c r="P45" s="149">
        <f t="shared" si="110"/>
        <v>0.16666666666666666</v>
      </c>
      <c r="Q45" s="149">
        <f t="shared" si="110"/>
        <v>0.14285714285714285</v>
      </c>
      <c r="R45" s="128"/>
      <c r="S45" s="20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38"/>
      <c r="AE45" s="136"/>
      <c r="AF45" s="145"/>
    </row>
    <row r="46" spans="2:32" x14ac:dyDescent="0.2">
      <c r="B46" s="20" t="s">
        <v>425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46">
        <v>0</v>
      </c>
      <c r="S46" s="128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38"/>
      <c r="AE46" s="136"/>
      <c r="AF46" s="152"/>
    </row>
    <row r="47" spans="2:32" x14ac:dyDescent="0.2">
      <c r="B47" s="20" t="s">
        <v>423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46">
        <v>0</v>
      </c>
      <c r="S47" s="128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38"/>
      <c r="AE47" s="136"/>
      <c r="AF47" s="152"/>
    </row>
    <row r="48" spans="2:32" x14ac:dyDescent="0.2">
      <c r="B48" s="20" t="s">
        <v>424</v>
      </c>
      <c r="C48" s="20"/>
      <c r="D48" s="20"/>
      <c r="E48" s="127"/>
      <c r="F48" s="127"/>
      <c r="G48" s="146">
        <v>0</v>
      </c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28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38"/>
      <c r="AE48" s="136"/>
      <c r="AF48" s="152"/>
    </row>
    <row r="49" spans="2:32" x14ac:dyDescent="0.2">
      <c r="B49" s="20"/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38"/>
      <c r="AE49" s="136"/>
      <c r="AF49" s="152"/>
    </row>
    <row r="50" spans="2:32" x14ac:dyDescent="0.2">
      <c r="B50" s="108" t="s">
        <v>243</v>
      </c>
      <c r="C50" s="20"/>
      <c r="D50" s="20"/>
      <c r="E50" s="127"/>
      <c r="F50" s="127"/>
      <c r="G50" s="12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8"/>
      <c r="S50" s="128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38"/>
      <c r="AE50" s="136"/>
      <c r="AF50" s="152"/>
    </row>
    <row r="51" spans="2:32" x14ac:dyDescent="0.2">
      <c r="B51" s="20" t="s">
        <v>302</v>
      </c>
      <c r="C51" s="133"/>
      <c r="D51" s="133"/>
      <c r="E51" s="133"/>
      <c r="F51" s="133"/>
      <c r="G51" s="133">
        <f t="shared" ref="G51:P51" si="111">G25/G42</f>
        <v>124.77876106194691</v>
      </c>
      <c r="H51" s="133">
        <f t="shared" si="111"/>
        <v>163.71681415929206</v>
      </c>
      <c r="I51" s="133">
        <f t="shared" si="111"/>
        <v>196.46017699115046</v>
      </c>
      <c r="J51" s="133">
        <f t="shared" si="111"/>
        <v>256.63716814159295</v>
      </c>
      <c r="K51" s="133">
        <f t="shared" si="111"/>
        <v>288.49557522123894</v>
      </c>
      <c r="L51" s="133">
        <f t="shared" si="111"/>
        <v>353.09734513274338</v>
      </c>
      <c r="M51" s="133">
        <f t="shared" si="111"/>
        <v>458.40707964601773</v>
      </c>
      <c r="N51" s="133">
        <f t="shared" si="111"/>
        <v>706.19469026548677</v>
      </c>
      <c r="O51" s="133">
        <f t="shared" si="111"/>
        <v>1028.3185840707965</v>
      </c>
      <c r="P51" s="133">
        <f t="shared" si="111"/>
        <v>1248.6725663716816</v>
      </c>
      <c r="Q51" s="133">
        <f t="shared" ref="Q51" si="112">Q25/Q42</f>
        <v>1172.5663716814161</v>
      </c>
      <c r="R51" s="118">
        <f>((P51/G51)^(1/($H$2-$H$1) ))-1</f>
        <v>0.25901466880178892</v>
      </c>
      <c r="S51" s="128"/>
      <c r="T51" s="156">
        <f t="shared" ref="T51:AC51" si="113">T25/T42</f>
        <v>1402.4813465209095</v>
      </c>
      <c r="U51" s="156">
        <f t="shared" si="113"/>
        <v>1677.4776889759894</v>
      </c>
      <c r="V51" s="156">
        <f t="shared" si="113"/>
        <v>2006.3948828928501</v>
      </c>
      <c r="W51" s="156">
        <f t="shared" si="113"/>
        <v>2399.805644244389</v>
      </c>
      <c r="X51" s="156">
        <f t="shared" si="113"/>
        <v>2870.3557705668181</v>
      </c>
      <c r="Y51" s="156">
        <f t="shared" si="113"/>
        <v>3433.1706275407037</v>
      </c>
      <c r="Z51" s="156">
        <f t="shared" si="113"/>
        <v>4106.3413388231947</v>
      </c>
      <c r="AA51" s="156">
        <f t="shared" si="113"/>
        <v>4911.5063072198991</v>
      </c>
      <c r="AB51" s="156">
        <f t="shared" si="113"/>
        <v>5874.5467596159579</v>
      </c>
      <c r="AC51" s="156">
        <f t="shared" si="113"/>
        <v>7026.4186732661456</v>
      </c>
      <c r="AD51" s="137">
        <f t="shared" ref="AD51" si="114">((AC51/G51)^(1/($AC$3-$H$1) ))-1</f>
        <v>0.2232906822277283</v>
      </c>
      <c r="AE51" s="31">
        <f t="shared" si="15"/>
        <v>0.05</v>
      </c>
      <c r="AF51" s="145">
        <f t="shared" ref="AF51:AF52" si="115">(AC51*(1+AE51))/($C$1-AE51)</f>
        <v>73777.39606929454</v>
      </c>
    </row>
    <row r="52" spans="2:32" x14ac:dyDescent="0.2">
      <c r="B52" s="20" t="s">
        <v>303</v>
      </c>
      <c r="C52" s="133"/>
      <c r="D52" s="133"/>
      <c r="E52" s="133"/>
      <c r="F52" s="133"/>
      <c r="G52" s="133">
        <f t="shared" ref="G52:P52" si="116">G27/G42</f>
        <v>114.15929203539824</v>
      </c>
      <c r="H52" s="133">
        <f t="shared" si="116"/>
        <v>152.21238938053099</v>
      </c>
      <c r="I52" s="133">
        <f t="shared" si="116"/>
        <v>178.76106194690269</v>
      </c>
      <c r="J52" s="133">
        <f t="shared" si="116"/>
        <v>233.62831858407083</v>
      </c>
      <c r="K52" s="133">
        <f t="shared" si="116"/>
        <v>255.75221238938056</v>
      </c>
      <c r="L52" s="133">
        <f t="shared" si="116"/>
        <v>317.69911504424783</v>
      </c>
      <c r="M52" s="133">
        <f t="shared" si="116"/>
        <v>384.95575221238943</v>
      </c>
      <c r="N52" s="133">
        <f t="shared" si="116"/>
        <v>592.0353982300885</v>
      </c>
      <c r="O52" s="133">
        <f t="shared" si="116"/>
        <v>869.02654867256649</v>
      </c>
      <c r="P52" s="133">
        <f t="shared" si="116"/>
        <v>1064.6017699115046</v>
      </c>
      <c r="Q52" s="133">
        <f t="shared" ref="Q52" si="117">Q27/Q42</f>
        <v>1017.6991150442478</v>
      </c>
      <c r="R52" s="118">
        <f>((P52/G52)^(1/($H$2-$H$1) ))-1</f>
        <v>0.25016573579523405</v>
      </c>
      <c r="S52" s="128"/>
      <c r="T52" s="156">
        <f t="shared" ref="T52:AC52" si="118">T27/T42</f>
        <v>1217.2479611313554</v>
      </c>
      <c r="U52" s="156">
        <f t="shared" si="118"/>
        <v>1455.9240319414248</v>
      </c>
      <c r="V52" s="156">
        <f t="shared" si="118"/>
        <v>1741.3993323220961</v>
      </c>
      <c r="W52" s="156">
        <f t="shared" si="118"/>
        <v>2082.8501817970168</v>
      </c>
      <c r="X52" s="156">
        <f t="shared" si="118"/>
        <v>2491.2521782278041</v>
      </c>
      <c r="Y52" s="156">
        <f t="shared" si="118"/>
        <v>2979.7329974881577</v>
      </c>
      <c r="Z52" s="156">
        <f t="shared" si="118"/>
        <v>3563.9943695446591</v>
      </c>
      <c r="AA52" s="156">
        <f t="shared" si="118"/>
        <v>4262.8167949455728</v>
      </c>
      <c r="AB52" s="156">
        <f t="shared" si="118"/>
        <v>5098.6632253270573</v>
      </c>
      <c r="AC52" s="156">
        <f t="shared" si="118"/>
        <v>6098.4011126460873</v>
      </c>
      <c r="AD52" s="137">
        <f t="shared" ref="AD52" si="119">((AC52/G52)^(1/($AC$3-$H$1) ))-1</f>
        <v>0.22007136943897088</v>
      </c>
      <c r="AE52" s="31">
        <f t="shared" si="15"/>
        <v>0.05</v>
      </c>
      <c r="AF52" s="145">
        <f t="shared" si="115"/>
        <v>64033.211682783927</v>
      </c>
    </row>
    <row r="53" spans="2:32" x14ac:dyDescent="0.2">
      <c r="B53" s="20" t="s">
        <v>426</v>
      </c>
      <c r="C53" s="133"/>
      <c r="D53" s="133"/>
      <c r="E53" s="133"/>
      <c r="F53" s="133"/>
      <c r="G53" s="133">
        <f>G38-G40</f>
        <v>0.34000000000000008</v>
      </c>
      <c r="H53" s="133">
        <f t="shared" ref="H53:P53" si="120">H38-H40</f>
        <v>0</v>
      </c>
      <c r="I53" s="133">
        <f t="shared" si="120"/>
        <v>5</v>
      </c>
      <c r="J53" s="133">
        <f t="shared" si="120"/>
        <v>5</v>
      </c>
      <c r="K53" s="133">
        <f t="shared" si="120"/>
        <v>3</v>
      </c>
      <c r="L53" s="133">
        <f t="shared" si="120"/>
        <v>7</v>
      </c>
      <c r="M53" s="133">
        <f t="shared" si="120"/>
        <v>24</v>
      </c>
      <c r="N53" s="133">
        <f t="shared" si="120"/>
        <v>36</v>
      </c>
      <c r="O53" s="133">
        <f t="shared" si="120"/>
        <v>50</v>
      </c>
      <c r="P53" s="133">
        <f t="shared" si="120"/>
        <v>52</v>
      </c>
      <c r="Q53" s="133">
        <f t="shared" ref="Q53" si="121">Q38-Q40</f>
        <v>40</v>
      </c>
      <c r="R53" s="118">
        <f>((P53/G53)^(1/($H$2-$H$1) ))-1</f>
        <v>0.65368368851501613</v>
      </c>
      <c r="S53" s="128"/>
      <c r="T53" s="133">
        <f t="shared" ref="T53:AC53" si="122">T38-T40</f>
        <v>48.800000000000011</v>
      </c>
      <c r="U53" s="133">
        <f t="shared" si="122"/>
        <v>59.536000000000001</v>
      </c>
      <c r="V53" s="133">
        <f t="shared" si="122"/>
        <v>72.633920000000018</v>
      </c>
      <c r="W53" s="133">
        <f t="shared" si="122"/>
        <v>88.613382400000035</v>
      </c>
      <c r="X53" s="133">
        <f t="shared" si="122"/>
        <v>108.10832652800008</v>
      </c>
      <c r="Y53" s="133">
        <f t="shared" si="122"/>
        <v>131.89215836416008</v>
      </c>
      <c r="Z53" s="133">
        <f t="shared" si="122"/>
        <v>160.9084332042753</v>
      </c>
      <c r="AA53" s="133">
        <f t="shared" si="122"/>
        <v>196.3082885092158</v>
      </c>
      <c r="AB53" s="133">
        <f t="shared" si="122"/>
        <v>239.4961119812433</v>
      </c>
      <c r="AC53" s="133">
        <f t="shared" si="122"/>
        <v>292.18525661711669</v>
      </c>
      <c r="AD53" s="137">
        <f t="shared" ref="AD53" si="123">((AC53/G53)^(1/($AC$3-$H$1) ))-1</f>
        <v>0.40187396100709361</v>
      </c>
      <c r="AE53" s="31">
        <f t="shared" si="15"/>
        <v>0.05</v>
      </c>
      <c r="AF53" s="145">
        <f t="shared" ref="AF53" si="124">(AC53*(1+AE53))/($C$1-AE53)</f>
        <v>3067.9451944797261</v>
      </c>
    </row>
    <row r="54" spans="2:32" x14ac:dyDescent="0.2">
      <c r="B54" s="20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28"/>
      <c r="S54" s="128"/>
      <c r="T54" s="156"/>
      <c r="U54" s="156"/>
      <c r="V54" s="156"/>
      <c r="W54" s="156"/>
      <c r="X54" s="156"/>
      <c r="Y54" s="156"/>
      <c r="Z54" s="156"/>
      <c r="AA54" s="156"/>
      <c r="AB54" s="156"/>
      <c r="AC54" s="156"/>
      <c r="AD54" s="119"/>
      <c r="AE54" s="136"/>
      <c r="AF54" s="145"/>
    </row>
    <row r="55" spans="2:32" x14ac:dyDescent="0.2">
      <c r="B55" s="20" t="s">
        <v>461</v>
      </c>
      <c r="C55" s="133"/>
      <c r="D55" s="133"/>
      <c r="E55" s="133"/>
      <c r="F55" s="133"/>
      <c r="G55" s="25">
        <f t="shared" ref="G55:P55" si="125">G36/G42</f>
        <v>5.3097345132743365</v>
      </c>
      <c r="H55" s="25">
        <f t="shared" si="125"/>
        <v>9.7345132743362832</v>
      </c>
      <c r="I55" s="25">
        <f t="shared" si="125"/>
        <v>18.584070796460178</v>
      </c>
      <c r="J55" s="25">
        <f t="shared" si="125"/>
        <v>23.008849557522126</v>
      </c>
      <c r="K55" s="25">
        <f t="shared" si="125"/>
        <v>29.203539823008853</v>
      </c>
      <c r="L55" s="25">
        <f t="shared" si="125"/>
        <v>34.513274336283189</v>
      </c>
      <c r="M55" s="25">
        <f t="shared" si="125"/>
        <v>69.026548672566378</v>
      </c>
      <c r="N55" s="25">
        <f t="shared" si="125"/>
        <v>112.38938053097347</v>
      </c>
      <c r="O55" s="25">
        <f t="shared" si="125"/>
        <v>157.52212389380531</v>
      </c>
      <c r="P55" s="25">
        <f t="shared" si="125"/>
        <v>179.64601769911505</v>
      </c>
      <c r="Q55" s="25">
        <f>Q36/Q42</f>
        <v>141.59292035398232</v>
      </c>
      <c r="R55" s="118">
        <f t="shared" ref="R55:R61" si="126">((P55/G55)^(1/($H$2-$H$1) ))-1</f>
        <v>0.42211421905861402</v>
      </c>
      <c r="S55" s="128"/>
      <c r="T55" s="112">
        <f>T36/T42</f>
        <v>169.35623807044942</v>
      </c>
      <c r="U55" s="112">
        <f t="shared" ref="U55:AC55" si="127">U36/U42</f>
        <v>202.56334357445911</v>
      </c>
      <c r="V55" s="112">
        <f t="shared" si="127"/>
        <v>242.28164623611772</v>
      </c>
      <c r="W55" s="112">
        <f t="shared" si="127"/>
        <v>289.78785138045453</v>
      </c>
      <c r="X55" s="112">
        <f t="shared" si="127"/>
        <v>346.60899870995536</v>
      </c>
      <c r="Y55" s="112">
        <f t="shared" si="127"/>
        <v>414.57154747661326</v>
      </c>
      <c r="Z55" s="112">
        <f t="shared" si="127"/>
        <v>495.86008619751777</v>
      </c>
      <c r="AA55" s="112">
        <f t="shared" si="127"/>
        <v>593.08755407938395</v>
      </c>
      <c r="AB55" s="112">
        <f t="shared" si="127"/>
        <v>709.37923134985135</v>
      </c>
      <c r="AC55" s="112">
        <f t="shared" si="127"/>
        <v>848.47319828119464</v>
      </c>
      <c r="AD55" s="137">
        <f t="shared" ref="AD55:AD56" si="128">((AC55/G55)^(1/($AC$3-$H$1) ))-1</f>
        <v>0.28877845162992855</v>
      </c>
      <c r="AE55" s="31">
        <f t="shared" si="15"/>
        <v>0.05</v>
      </c>
      <c r="AF55" s="145">
        <f t="shared" ref="AF55:AF56" si="129">(AC55*(1+AE55))/($C$1-AE55)</f>
        <v>8908.9685819525439</v>
      </c>
    </row>
    <row r="56" spans="2:32" x14ac:dyDescent="0.2">
      <c r="B56" s="20" t="s">
        <v>462</v>
      </c>
      <c r="C56" s="133"/>
      <c r="D56" s="133"/>
      <c r="E56" s="133"/>
      <c r="F56" s="133"/>
      <c r="G56" s="25">
        <f t="shared" ref="G56:P56" si="130">G38/G42</f>
        <v>0.48672566371681425</v>
      </c>
      <c r="H56" s="25">
        <f t="shared" si="130"/>
        <v>3.5398230088495577</v>
      </c>
      <c r="I56" s="25">
        <f t="shared" si="130"/>
        <v>10.619469026548673</v>
      </c>
      <c r="J56" s="25">
        <f t="shared" si="130"/>
        <v>15.044247787610621</v>
      </c>
      <c r="K56" s="25">
        <f t="shared" si="130"/>
        <v>21.238938053097346</v>
      </c>
      <c r="L56" s="25">
        <f t="shared" si="130"/>
        <v>25.663716814159294</v>
      </c>
      <c r="M56" s="25">
        <f t="shared" si="130"/>
        <v>67.256637168141594</v>
      </c>
      <c r="N56" s="25">
        <f t="shared" si="130"/>
        <v>106.19469026548674</v>
      </c>
      <c r="O56" s="25">
        <f t="shared" si="130"/>
        <v>144.24778761061947</v>
      </c>
      <c r="P56" s="25">
        <f t="shared" si="130"/>
        <v>163.71681415929206</v>
      </c>
      <c r="Q56" s="25">
        <f>Q38/Q42</f>
        <v>134.51327433628319</v>
      </c>
      <c r="R56" s="118">
        <f t="shared" si="126"/>
        <v>0.78929069685892839</v>
      </c>
      <c r="S56" s="128"/>
      <c r="T56" s="112">
        <f>T38/T42</f>
        <v>160.88842616692696</v>
      </c>
      <c r="U56" s="112">
        <f t="shared" ref="U56:AC56" si="131">U38/U42</f>
        <v>192.43517639573616</v>
      </c>
      <c r="V56" s="112">
        <f t="shared" si="131"/>
        <v>230.16756392431185</v>
      </c>
      <c r="W56" s="112">
        <f t="shared" si="131"/>
        <v>275.29845881143183</v>
      </c>
      <c r="X56" s="112">
        <f t="shared" si="131"/>
        <v>329.27854877445765</v>
      </c>
      <c r="Y56" s="112">
        <f t="shared" si="131"/>
        <v>393.8429701027826</v>
      </c>
      <c r="Z56" s="112">
        <f t="shared" si="131"/>
        <v>471.06708188764196</v>
      </c>
      <c r="AA56" s="112">
        <f t="shared" si="131"/>
        <v>563.43317637541475</v>
      </c>
      <c r="AB56" s="112">
        <f t="shared" si="131"/>
        <v>673.91026978235891</v>
      </c>
      <c r="AC56" s="112">
        <f t="shared" si="131"/>
        <v>806.04953836713503</v>
      </c>
      <c r="AD56" s="137">
        <f t="shared" si="128"/>
        <v>0.44861799031204863</v>
      </c>
      <c r="AE56" s="31">
        <f t="shared" si="15"/>
        <v>0.05</v>
      </c>
      <c r="AF56" s="145">
        <f t="shared" si="129"/>
        <v>8463.5201528549187</v>
      </c>
    </row>
    <row r="57" spans="2:32" x14ac:dyDescent="0.2">
      <c r="B57" s="20" t="s">
        <v>257</v>
      </c>
      <c r="C57" s="25"/>
      <c r="D57" s="25"/>
      <c r="E57" s="25"/>
      <c r="F57" s="133"/>
      <c r="G57" s="133">
        <f t="shared" ref="G57:P57" si="132">G40/G42</f>
        <v>0.18584070796460178</v>
      </c>
      <c r="H57" s="133">
        <f t="shared" si="132"/>
        <v>3.5398230088495577</v>
      </c>
      <c r="I57" s="133">
        <f t="shared" si="132"/>
        <v>6.1946902654867264</v>
      </c>
      <c r="J57" s="133">
        <f t="shared" si="132"/>
        <v>10.619469026548673</v>
      </c>
      <c r="K57" s="133">
        <f t="shared" si="132"/>
        <v>18.584070796460178</v>
      </c>
      <c r="L57" s="133">
        <f t="shared" si="132"/>
        <v>19.469026548672566</v>
      </c>
      <c r="M57" s="133">
        <f t="shared" si="132"/>
        <v>46.017699115044252</v>
      </c>
      <c r="N57" s="133">
        <f t="shared" si="132"/>
        <v>74.336283185840713</v>
      </c>
      <c r="O57" s="133">
        <f t="shared" si="132"/>
        <v>100.00000000000001</v>
      </c>
      <c r="P57" s="133">
        <f t="shared" si="132"/>
        <v>117.6991150442478</v>
      </c>
      <c r="Q57" s="133">
        <f t="shared" ref="Q57" si="133">Q40/Q42</f>
        <v>99.115044247787623</v>
      </c>
      <c r="R57" s="118">
        <f t="shared" si="126"/>
        <v>0.90617704210802241</v>
      </c>
      <c r="S57" s="128"/>
      <c r="T57" s="156">
        <f t="shared" ref="T57:AC57" si="134">T40/T42</f>
        <v>118.54936664931459</v>
      </c>
      <c r="U57" s="156">
        <f t="shared" si="134"/>
        <v>141.79434050212137</v>
      </c>
      <c r="V57" s="156">
        <f t="shared" si="134"/>
        <v>169.5971523652824</v>
      </c>
      <c r="W57" s="156">
        <f t="shared" si="134"/>
        <v>202.85149596631817</v>
      </c>
      <c r="X57" s="156">
        <f t="shared" si="134"/>
        <v>242.62629909696872</v>
      </c>
      <c r="Y57" s="156">
        <f t="shared" si="134"/>
        <v>290.20008323362924</v>
      </c>
      <c r="Z57" s="156">
        <f t="shared" si="134"/>
        <v>347.10206033826239</v>
      </c>
      <c r="AA57" s="156">
        <f t="shared" si="134"/>
        <v>415.16128785556873</v>
      </c>
      <c r="AB57" s="156">
        <f t="shared" si="134"/>
        <v>496.5654619448959</v>
      </c>
      <c r="AC57" s="156">
        <f t="shared" si="134"/>
        <v>593.93123879683628</v>
      </c>
      <c r="AD57" s="137">
        <f t="shared" ref="AD57:AD71" si="135">((AC57/G57)^(1/($AC$3-$H$1) ))-1</f>
        <v>0.49702745712548801</v>
      </c>
      <c r="AE57" s="31">
        <f t="shared" si="15"/>
        <v>0.05</v>
      </c>
      <c r="AF57" s="145">
        <f t="shared" ref="AF57:AF85" si="136">(AC57*(1+AE57))/($C$1-AE57)</f>
        <v>6236.2780073667809</v>
      </c>
    </row>
    <row r="58" spans="2:32" x14ac:dyDescent="0.2">
      <c r="B58" s="20" t="s">
        <v>387</v>
      </c>
      <c r="C58" s="133"/>
      <c r="D58" s="133"/>
      <c r="E58" s="133"/>
      <c r="F58" s="133"/>
      <c r="G58" s="133">
        <f>G20/G42</f>
        <v>11.504424778761063</v>
      </c>
      <c r="H58" s="133">
        <f t="shared" ref="H58:P58" si="137">H20/H42</f>
        <v>13.274336283185843</v>
      </c>
      <c r="I58" s="133">
        <f t="shared" si="137"/>
        <v>19.469026548672566</v>
      </c>
      <c r="J58" s="133">
        <f t="shared" si="137"/>
        <v>3.5398230088495577</v>
      </c>
      <c r="K58" s="133">
        <f t="shared" si="137"/>
        <v>40.707964601769916</v>
      </c>
      <c r="L58" s="133">
        <f t="shared" si="137"/>
        <v>38.053097345132748</v>
      </c>
      <c r="M58" s="133">
        <f t="shared" si="137"/>
        <v>54.867256637168147</v>
      </c>
      <c r="N58" s="133">
        <f t="shared" si="137"/>
        <v>65.486725663716825</v>
      </c>
      <c r="O58" s="133">
        <f t="shared" si="137"/>
        <v>53.982300884955755</v>
      </c>
      <c r="P58" s="133">
        <f t="shared" si="137"/>
        <v>85.840707964601776</v>
      </c>
      <c r="Q58" s="133">
        <f t="shared" ref="Q58" si="138">Q20/Q42</f>
        <v>75.221238938053105</v>
      </c>
      <c r="R58" s="118">
        <f t="shared" si="126"/>
        <v>0.2225956273687677</v>
      </c>
      <c r="S58" s="128"/>
      <c r="T58" s="133">
        <f t="shared" ref="T58:AC58" si="139">T20/T42</f>
        <v>89.970501474926266</v>
      </c>
      <c r="U58" s="133">
        <f t="shared" si="139"/>
        <v>107.61177627393141</v>
      </c>
      <c r="V58" s="133">
        <f t="shared" si="139"/>
        <v>128.71212456293756</v>
      </c>
      <c r="W58" s="133">
        <f t="shared" si="139"/>
        <v>153.94979604586646</v>
      </c>
      <c r="X58" s="133">
        <f t="shared" si="139"/>
        <v>184.1360305646638</v>
      </c>
      <c r="Y58" s="133">
        <f t="shared" si="139"/>
        <v>220.24113459695081</v>
      </c>
      <c r="Z58" s="133">
        <f t="shared" si="139"/>
        <v>263.42567079243133</v>
      </c>
      <c r="AA58" s="133">
        <f t="shared" si="139"/>
        <v>315.07776310467273</v>
      </c>
      <c r="AB58" s="133">
        <f t="shared" si="139"/>
        <v>376.85771665460857</v>
      </c>
      <c r="AC58" s="133">
        <f t="shared" si="139"/>
        <v>450.75138658688473</v>
      </c>
      <c r="AD58" s="137">
        <f t="shared" ref="AD58" si="140">((AC58/G58)^(1/($AC$3-$H$1) ))-1</f>
        <v>0.20130589471035965</v>
      </c>
      <c r="AE58" s="31">
        <f t="shared" si="15"/>
        <v>0.05</v>
      </c>
      <c r="AF58" s="145">
        <f t="shared" si="136"/>
        <v>4732.8895591622904</v>
      </c>
    </row>
    <row r="59" spans="2:32" x14ac:dyDescent="0.2">
      <c r="B59" s="20" t="s">
        <v>245</v>
      </c>
      <c r="C59" s="25"/>
      <c r="D59" s="25"/>
      <c r="E59" s="25"/>
      <c r="F59" s="133"/>
      <c r="G59" s="133">
        <f t="shared" ref="G59:P59" si="141">G7/G42</f>
        <v>37.168141592920357</v>
      </c>
      <c r="H59" s="133">
        <f t="shared" si="141"/>
        <v>57.522123893805315</v>
      </c>
      <c r="I59" s="133">
        <f t="shared" si="141"/>
        <v>50.442477876106203</v>
      </c>
      <c r="J59" s="133">
        <f t="shared" si="141"/>
        <v>64.601769911504434</v>
      </c>
      <c r="K59" s="133">
        <f t="shared" si="141"/>
        <v>41.592920353982308</v>
      </c>
      <c r="L59" s="133">
        <f t="shared" si="141"/>
        <v>18.584070796460178</v>
      </c>
      <c r="M59" s="133">
        <f t="shared" si="141"/>
        <v>109.73451327433629</v>
      </c>
      <c r="N59" s="133">
        <f t="shared" si="141"/>
        <v>169.91150442477877</v>
      </c>
      <c r="O59" s="133">
        <f t="shared" si="141"/>
        <v>252.21238938053099</v>
      </c>
      <c r="P59" s="133">
        <f t="shared" si="141"/>
        <v>349.55752212389382</v>
      </c>
      <c r="Q59" s="133">
        <f t="shared" ref="Q59" si="142">Q7/Q42</f>
        <v>517.69911504424783</v>
      </c>
      <c r="R59" s="118">
        <f t="shared" si="126"/>
        <v>0.25122317725937116</v>
      </c>
      <c r="S59" s="128"/>
      <c r="T59" s="156">
        <f t="shared" ref="T59:AC59" si="143">T7/T42</f>
        <v>619.20874544508069</v>
      </c>
      <c r="U59" s="156">
        <f t="shared" si="143"/>
        <v>740.62222494411617</v>
      </c>
      <c r="V59" s="156">
        <f t="shared" si="143"/>
        <v>885.8422690508055</v>
      </c>
      <c r="W59" s="156">
        <f t="shared" si="143"/>
        <v>1059.536831609787</v>
      </c>
      <c r="X59" s="156">
        <f t="shared" si="143"/>
        <v>1267.2891515332744</v>
      </c>
      <c r="Y59" s="156">
        <f t="shared" si="143"/>
        <v>1515.7772204613673</v>
      </c>
      <c r="Z59" s="156">
        <f t="shared" si="143"/>
        <v>1812.9884401596744</v>
      </c>
      <c r="AA59" s="156">
        <f t="shared" si="143"/>
        <v>2168.4763696027476</v>
      </c>
      <c r="AB59" s="156">
        <f t="shared" si="143"/>
        <v>2593.6678146228942</v>
      </c>
      <c r="AC59" s="156">
        <f t="shared" si="143"/>
        <v>3102.2301312156187</v>
      </c>
      <c r="AD59" s="137">
        <f t="shared" si="135"/>
        <v>0.24759940292424143</v>
      </c>
      <c r="AE59" s="31">
        <f t="shared" si="15"/>
        <v>0.05</v>
      </c>
      <c r="AF59" s="145">
        <f t="shared" si="136"/>
        <v>32573.416377763999</v>
      </c>
    </row>
    <row r="60" spans="2:32" x14ac:dyDescent="0.2">
      <c r="B60" s="20" t="s">
        <v>246</v>
      </c>
      <c r="C60" s="127"/>
      <c r="D60" s="127"/>
      <c r="E60" s="127"/>
      <c r="F60" s="143"/>
      <c r="G60" s="143">
        <f t="shared" ref="G60:P60" si="144">G6/G42</f>
        <v>23.893805309734514</v>
      </c>
      <c r="H60" s="143">
        <f t="shared" si="144"/>
        <v>25.663716814159294</v>
      </c>
      <c r="I60" s="143">
        <f t="shared" si="144"/>
        <v>29.203539823008853</v>
      </c>
      <c r="J60" s="143">
        <f t="shared" si="144"/>
        <v>36.283185840707965</v>
      </c>
      <c r="K60" s="143">
        <f t="shared" si="144"/>
        <v>48.67256637168142</v>
      </c>
      <c r="L60" s="143">
        <f t="shared" si="144"/>
        <v>62.83185840707965</v>
      </c>
      <c r="M60" s="143">
        <f t="shared" si="144"/>
        <v>97.345132743362839</v>
      </c>
      <c r="N60" s="143">
        <f t="shared" si="144"/>
        <v>157.52212389380531</v>
      </c>
      <c r="O60" s="143">
        <f t="shared" si="144"/>
        <v>240.70796460176993</v>
      </c>
      <c r="P60" s="143">
        <f t="shared" si="144"/>
        <v>339.82300884955754</v>
      </c>
      <c r="Q60" s="143">
        <f t="shared" ref="Q60" si="145">Q6/Q42</f>
        <v>507.07964601769919</v>
      </c>
      <c r="R60" s="118">
        <f t="shared" si="126"/>
        <v>0.30405751438898876</v>
      </c>
      <c r="S60" s="128"/>
      <c r="T60" s="155">
        <f t="shared" ref="T60:AC60" si="146">T6/T42</f>
        <v>606.50702758979696</v>
      </c>
      <c r="U60" s="155">
        <f t="shared" si="146"/>
        <v>725.42997417603169</v>
      </c>
      <c r="V60" s="155">
        <f t="shared" si="146"/>
        <v>867.67114558309652</v>
      </c>
      <c r="W60" s="155">
        <f t="shared" si="146"/>
        <v>1037.8027427562527</v>
      </c>
      <c r="X60" s="155">
        <f t="shared" si="146"/>
        <v>1241.2934766300275</v>
      </c>
      <c r="Y60" s="155">
        <f t="shared" si="146"/>
        <v>1484.684354400621</v>
      </c>
      <c r="Z60" s="155">
        <f t="shared" si="146"/>
        <v>1775.7989336948606</v>
      </c>
      <c r="AA60" s="155">
        <f t="shared" si="146"/>
        <v>2123.9948030467935</v>
      </c>
      <c r="AB60" s="155">
        <f t="shared" si="146"/>
        <v>2540.4643722716551</v>
      </c>
      <c r="AC60" s="155">
        <f t="shared" si="146"/>
        <v>3038.5946413445286</v>
      </c>
      <c r="AD60" s="137">
        <f t="shared" si="135"/>
        <v>0.27414651983900362</v>
      </c>
      <c r="AE60" s="31">
        <f t="shared" si="15"/>
        <v>0.05</v>
      </c>
      <c r="AF60" s="145">
        <f t="shared" si="136"/>
        <v>31905.243734117554</v>
      </c>
    </row>
    <row r="61" spans="2:32" x14ac:dyDescent="0.2">
      <c r="B61" s="20" t="s">
        <v>247</v>
      </c>
      <c r="C61" s="127"/>
      <c r="D61" s="127"/>
      <c r="E61" s="127"/>
      <c r="F61" s="143"/>
      <c r="G61" s="143">
        <f t="shared" ref="G61:P61" si="147">G10/G42</f>
        <v>68.141592920353986</v>
      </c>
      <c r="H61" s="143">
        <f t="shared" si="147"/>
        <v>57.522123893805315</v>
      </c>
      <c r="I61" s="143">
        <f t="shared" si="147"/>
        <v>50.442477876106203</v>
      </c>
      <c r="J61" s="143">
        <f t="shared" si="147"/>
        <v>64.601769911504434</v>
      </c>
      <c r="K61" s="143">
        <f t="shared" si="147"/>
        <v>41.592920353982308</v>
      </c>
      <c r="L61" s="143">
        <f t="shared" si="147"/>
        <v>18.584070796460178</v>
      </c>
      <c r="M61" s="143">
        <f t="shared" si="147"/>
        <v>2.6548672566371683</v>
      </c>
      <c r="N61" s="143">
        <f t="shared" si="147"/>
        <v>1.7699115044247788</v>
      </c>
      <c r="O61" s="143">
        <f t="shared" si="147"/>
        <v>15.044247787610621</v>
      </c>
      <c r="P61" s="143">
        <f t="shared" si="147"/>
        <v>101.76991150442478</v>
      </c>
      <c r="Q61" s="143">
        <f t="shared" ref="Q61" si="148">Q10/Q42</f>
        <v>23.008849557522126</v>
      </c>
      <c r="R61" s="118">
        <f t="shared" si="126"/>
        <v>4.0928049626464791E-2</v>
      </c>
      <c r="S61" s="128"/>
      <c r="T61" s="155">
        <f t="shared" ref="T61:AC61" si="149">T10/T42</f>
        <v>27.520388686448033</v>
      </c>
      <c r="U61" s="155">
        <f t="shared" si="149"/>
        <v>32.916543330849606</v>
      </c>
      <c r="V61" s="155">
        <f t="shared" si="149"/>
        <v>39.370767513369131</v>
      </c>
      <c r="W61" s="155">
        <f t="shared" si="149"/>
        <v>47.090525849323861</v>
      </c>
      <c r="X61" s="155">
        <f t="shared" si="149"/>
        <v>56.323962290367753</v>
      </c>
      <c r="Y61" s="155">
        <f t="shared" si="149"/>
        <v>67.36787646494966</v>
      </c>
      <c r="Z61" s="155">
        <f t="shared" si="149"/>
        <v>80.577264007096645</v>
      </c>
      <c r="AA61" s="155">
        <f t="shared" si="149"/>
        <v>96.376727537899882</v>
      </c>
      <c r="AB61" s="155">
        <f t="shared" si="149"/>
        <v>115.27412509435084</v>
      </c>
      <c r="AC61" s="155">
        <f t="shared" si="149"/>
        <v>137.87689472069411</v>
      </c>
      <c r="AD61" s="137">
        <f t="shared" si="135"/>
        <v>3.5866911241925425E-2</v>
      </c>
      <c r="AE61" s="31">
        <f t="shared" si="15"/>
        <v>0.05</v>
      </c>
      <c r="AF61" s="145">
        <f t="shared" si="136"/>
        <v>1447.7073945672882</v>
      </c>
    </row>
    <row r="62" spans="2:32" x14ac:dyDescent="0.2">
      <c r="B62" s="20"/>
      <c r="C62" s="127"/>
      <c r="D62" s="127"/>
      <c r="E62" s="127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28"/>
      <c r="S62" s="128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38"/>
      <c r="AE62" s="136"/>
      <c r="AF62" s="145"/>
    </row>
    <row r="63" spans="2:32" x14ac:dyDescent="0.2">
      <c r="B63" s="20" t="s">
        <v>270</v>
      </c>
      <c r="C63" s="127"/>
      <c r="D63" s="127"/>
      <c r="E63" s="127"/>
      <c r="F63" s="143"/>
      <c r="G63" s="143">
        <f t="shared" ref="G63:P63" si="150">(G7-G10)/G42</f>
        <v>-30.973451327433633</v>
      </c>
      <c r="H63" s="143">
        <f t="shared" si="150"/>
        <v>0</v>
      </c>
      <c r="I63" s="143">
        <f t="shared" si="150"/>
        <v>0</v>
      </c>
      <c r="J63" s="143">
        <f t="shared" si="150"/>
        <v>0</v>
      </c>
      <c r="K63" s="143">
        <f t="shared" si="150"/>
        <v>0</v>
      </c>
      <c r="L63" s="143">
        <f t="shared" si="150"/>
        <v>0</v>
      </c>
      <c r="M63" s="143">
        <f t="shared" si="150"/>
        <v>107.07964601769912</v>
      </c>
      <c r="N63" s="143">
        <f t="shared" si="150"/>
        <v>168.14159292035399</v>
      </c>
      <c r="O63" s="143">
        <f t="shared" si="150"/>
        <v>237.16814159292036</v>
      </c>
      <c r="P63" s="143">
        <f t="shared" si="150"/>
        <v>247.78761061946906</v>
      </c>
      <c r="Q63" s="143">
        <f t="shared" ref="Q63" si="151">(Q7-Q10)/Q42</f>
        <v>494.69026548672571</v>
      </c>
      <c r="R63" s="118" t="e">
        <f>((P63/G63)^(1/($H$2-$H$1) ))-1</f>
        <v>#NUM!</v>
      </c>
      <c r="S63" s="128"/>
      <c r="T63" s="155">
        <f t="shared" ref="T63:AC63" si="152">(T7-T10)/T42</f>
        <v>591.68835675863261</v>
      </c>
      <c r="U63" s="155">
        <f t="shared" si="152"/>
        <v>707.70568161326651</v>
      </c>
      <c r="V63" s="155">
        <f t="shared" si="152"/>
        <v>846.47150153743644</v>
      </c>
      <c r="W63" s="155">
        <f t="shared" si="152"/>
        <v>1012.446305760463</v>
      </c>
      <c r="X63" s="155">
        <f t="shared" si="152"/>
        <v>1210.9651892429065</v>
      </c>
      <c r="Y63" s="155">
        <f t="shared" si="152"/>
        <v>1448.4093439964174</v>
      </c>
      <c r="Z63" s="155">
        <f t="shared" si="152"/>
        <v>1732.4111761525776</v>
      </c>
      <c r="AA63" s="155">
        <f t="shared" si="152"/>
        <v>2072.0996420648476</v>
      </c>
      <c r="AB63" s="155">
        <f t="shared" si="152"/>
        <v>2478.3936895285433</v>
      </c>
      <c r="AC63" s="155">
        <f t="shared" si="152"/>
        <v>2964.3532364949247</v>
      </c>
      <c r="AD63" s="137" t="e">
        <f t="shared" si="135"/>
        <v>#NUM!</v>
      </c>
      <c r="AE63" s="31">
        <f t="shared" si="15"/>
        <v>0.05</v>
      </c>
      <c r="AF63" s="145">
        <f t="shared" si="136"/>
        <v>31125.708983196713</v>
      </c>
    </row>
    <row r="64" spans="2:32" x14ac:dyDescent="0.2">
      <c r="B64" s="20" t="s">
        <v>271</v>
      </c>
      <c r="C64" s="127"/>
      <c r="D64" s="127"/>
      <c r="E64" s="127"/>
      <c r="F64" s="143"/>
      <c r="G64" s="143">
        <f t="shared" ref="G64:P64" si="153">(G7-G10-G9)/G42</f>
        <v>-63.716814159292042</v>
      </c>
      <c r="H64" s="143">
        <f t="shared" si="153"/>
        <v>-33.628318584070797</v>
      </c>
      <c r="I64" s="143">
        <f t="shared" si="153"/>
        <v>-34.513274336283189</v>
      </c>
      <c r="J64" s="143">
        <f t="shared" si="153"/>
        <v>-50.442477876106203</v>
      </c>
      <c r="K64" s="143">
        <f t="shared" si="153"/>
        <v>-54.867256637168147</v>
      </c>
      <c r="L64" s="143">
        <f t="shared" si="153"/>
        <v>-55.752212389380539</v>
      </c>
      <c r="M64" s="143">
        <f t="shared" si="153"/>
        <v>23.008849557522126</v>
      </c>
      <c r="N64" s="143">
        <f t="shared" si="153"/>
        <v>38.053097345132748</v>
      </c>
      <c r="O64" s="143">
        <f t="shared" si="153"/>
        <v>26.548672566371685</v>
      </c>
      <c r="P64" s="143">
        <f t="shared" si="153"/>
        <v>44.247787610619476</v>
      </c>
      <c r="Q64" s="143">
        <f t="shared" ref="Q64" si="154">(Q7-Q10-Q9)/Q42</f>
        <v>295.57522123893807</v>
      </c>
      <c r="R64" s="118" t="e">
        <f>((P64/G64)^(1/($H$2-$H$1) ))-1</f>
        <v>#NUM!</v>
      </c>
      <c r="S64" s="128"/>
      <c r="T64" s="155">
        <f t="shared" ref="T64:AC64" si="155">(T7-T10-T9)/T42</f>
        <v>353.53114697206314</v>
      </c>
      <c r="U64" s="155">
        <f t="shared" si="155"/>
        <v>422.85097971168341</v>
      </c>
      <c r="V64" s="155">
        <f t="shared" si="155"/>
        <v>505.76293651789587</v>
      </c>
      <c r="W64" s="155">
        <f t="shared" si="155"/>
        <v>604.9321397566988</v>
      </c>
      <c r="X64" s="155">
        <f t="shared" si="155"/>
        <v>723.54628480703172</v>
      </c>
      <c r="Y64" s="155">
        <f t="shared" si="155"/>
        <v>865.41810535742991</v>
      </c>
      <c r="Z64" s="155">
        <f t="shared" si="155"/>
        <v>1035.1079299373182</v>
      </c>
      <c r="AA64" s="155">
        <f t="shared" si="155"/>
        <v>1238.0702691407141</v>
      </c>
      <c r="AB64" s="155">
        <f t="shared" si="155"/>
        <v>1480.8291454428149</v>
      </c>
      <c r="AC64" s="155">
        <f t="shared" si="155"/>
        <v>1771.187801411995</v>
      </c>
      <c r="AD64" s="137" t="e">
        <f t="shared" si="135"/>
        <v>#NUM!</v>
      </c>
      <c r="AE64" s="31">
        <f t="shared" si="15"/>
        <v>0.05</v>
      </c>
      <c r="AF64" s="145">
        <f t="shared" si="136"/>
        <v>18597.47191482595</v>
      </c>
    </row>
    <row r="65" spans="2:32" x14ac:dyDescent="0.2">
      <c r="B65" s="20" t="s">
        <v>276</v>
      </c>
      <c r="C65" s="127"/>
      <c r="D65" s="127"/>
      <c r="E65" s="127"/>
      <c r="F65" s="143"/>
      <c r="G65" s="143">
        <f t="shared" ref="G65:P65" si="156">(G7+G15-G10-G9)/G42</f>
        <v>18.584070796460178</v>
      </c>
      <c r="H65" s="143">
        <f t="shared" si="156"/>
        <v>49.557522123893811</v>
      </c>
      <c r="I65" s="143">
        <f t="shared" si="156"/>
        <v>46.017699115044252</v>
      </c>
      <c r="J65" s="143">
        <f t="shared" si="156"/>
        <v>54.867256637168147</v>
      </c>
      <c r="K65" s="143">
        <f t="shared" si="156"/>
        <v>47.787610619469028</v>
      </c>
      <c r="L65" s="143">
        <f t="shared" si="156"/>
        <v>39.823008849557525</v>
      </c>
      <c r="M65" s="143">
        <f t="shared" si="156"/>
        <v>141.59292035398232</v>
      </c>
      <c r="N65" s="143">
        <f t="shared" si="156"/>
        <v>215.04424778761063</v>
      </c>
      <c r="O65" s="143">
        <f t="shared" si="156"/>
        <v>291.15044247787614</v>
      </c>
      <c r="P65" s="143">
        <f t="shared" si="156"/>
        <v>407.96460176991155</v>
      </c>
      <c r="Q65" s="143">
        <f t="shared" ref="Q65" si="157">(Q7+Q15-Q10-Q9)/Q42</f>
        <v>689.38053097345141</v>
      </c>
      <c r="R65" s="118">
        <f>((P65/G65)^(1/($H$2-$H$1) ))-1</f>
        <v>0.36190922953843474</v>
      </c>
      <c r="S65" s="128"/>
      <c r="T65" s="155">
        <f t="shared" ref="T65:AC65" si="158">(T7+T15-T10-T9)/T42</f>
        <v>824.55318410550058</v>
      </c>
      <c r="U65" s="155">
        <f t="shared" si="158"/>
        <v>986.23027902814783</v>
      </c>
      <c r="V65" s="155">
        <f t="shared" si="158"/>
        <v>1179.6087651120984</v>
      </c>
      <c r="W65" s="155">
        <f t="shared" si="158"/>
        <v>1410.9046014085882</v>
      </c>
      <c r="X65" s="155">
        <f t="shared" si="158"/>
        <v>1687.5525624690947</v>
      </c>
      <c r="Y65" s="155">
        <f t="shared" si="158"/>
        <v>2018.4452217767605</v>
      </c>
      <c r="Z65" s="155">
        <f t="shared" si="158"/>
        <v>2414.2187946741647</v>
      </c>
      <c r="AA65" s="155">
        <f t="shared" si="158"/>
        <v>2887.5950289240009</v>
      </c>
      <c r="AB65" s="155">
        <f t="shared" si="158"/>
        <v>3453.7901326345891</v>
      </c>
      <c r="AC65" s="155">
        <f t="shared" si="158"/>
        <v>4131.0038841315682</v>
      </c>
      <c r="AD65" s="137">
        <f t="shared" si="135"/>
        <v>0.31022456492929251</v>
      </c>
      <c r="AE65" s="31">
        <f t="shared" si="15"/>
        <v>0.05</v>
      </c>
      <c r="AF65" s="145">
        <f t="shared" si="136"/>
        <v>43375.540783381468</v>
      </c>
    </row>
    <row r="66" spans="2:32" x14ac:dyDescent="0.2">
      <c r="B66" s="20"/>
      <c r="C66" s="127"/>
      <c r="D66" s="127"/>
      <c r="E66" s="127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28"/>
      <c r="S66" s="128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38"/>
      <c r="AE66" s="136"/>
      <c r="AF66" s="152"/>
    </row>
    <row r="67" spans="2:32" x14ac:dyDescent="0.2">
      <c r="B67" s="20" t="s">
        <v>248</v>
      </c>
      <c r="C67" s="127"/>
      <c r="D67" s="127"/>
      <c r="E67" s="127"/>
      <c r="F67" s="143"/>
      <c r="G67" s="143">
        <f t="shared" ref="G67:P67" si="159">G12/G42</f>
        <v>5.3097345132743365</v>
      </c>
      <c r="H67" s="143">
        <f t="shared" si="159"/>
        <v>7.9646017699115053</v>
      </c>
      <c r="I67" s="143">
        <f t="shared" si="159"/>
        <v>7.9646017699115053</v>
      </c>
      <c r="J67" s="143">
        <f t="shared" si="159"/>
        <v>6.1946902654867264</v>
      </c>
      <c r="K67" s="143">
        <f t="shared" si="159"/>
        <v>9.7345132743362832</v>
      </c>
      <c r="L67" s="143">
        <f t="shared" si="159"/>
        <v>10.619469026548673</v>
      </c>
      <c r="M67" s="143">
        <f t="shared" si="159"/>
        <v>38.938053097345133</v>
      </c>
      <c r="N67" s="143">
        <f t="shared" si="159"/>
        <v>46.902654867256643</v>
      </c>
      <c r="O67" s="143">
        <f t="shared" si="159"/>
        <v>19.469026548672566</v>
      </c>
      <c r="P67" s="143">
        <f t="shared" si="159"/>
        <v>29.203539823008853</v>
      </c>
      <c r="Q67" s="143">
        <f t="shared" ref="Q67" si="160">Q12/Q42</f>
        <v>26.548672566371685</v>
      </c>
      <c r="R67" s="118">
        <f>((P67/G67)^(1/($H$2-$H$1) ))-1</f>
        <v>0.18586777862780091</v>
      </c>
      <c r="S67" s="128"/>
      <c r="T67" s="155">
        <f t="shared" ref="T67:AC67" si="161">T12/T42</f>
        <v>31.75429463820927</v>
      </c>
      <c r="U67" s="155">
        <f t="shared" si="161"/>
        <v>37.980626920211087</v>
      </c>
      <c r="V67" s="155">
        <f t="shared" si="161"/>
        <v>45.427808669272075</v>
      </c>
      <c r="W67" s="155">
        <f t="shared" si="161"/>
        <v>54.335222133835224</v>
      </c>
      <c r="X67" s="155">
        <f t="shared" si="161"/>
        <v>64.989187258116644</v>
      </c>
      <c r="Y67" s="155">
        <f t="shared" si="161"/>
        <v>77.732165151865004</v>
      </c>
      <c r="Z67" s="155">
        <f t="shared" si="161"/>
        <v>92.973766162034593</v>
      </c>
      <c r="AA67" s="155">
        <f t="shared" si="161"/>
        <v>111.20391638988451</v>
      </c>
      <c r="AB67" s="155">
        <f t="shared" si="161"/>
        <v>133.00860587809717</v>
      </c>
      <c r="AC67" s="155">
        <f t="shared" si="161"/>
        <v>159.08872467772406</v>
      </c>
      <c r="AD67" s="137">
        <f t="shared" si="135"/>
        <v>0.18530012355909209</v>
      </c>
      <c r="AE67" s="31">
        <f t="shared" si="15"/>
        <v>0.05</v>
      </c>
      <c r="AF67" s="145">
        <f t="shared" si="136"/>
        <v>1670.4316091161029</v>
      </c>
    </row>
    <row r="68" spans="2:32" x14ac:dyDescent="0.2">
      <c r="B68" s="20" t="s">
        <v>255</v>
      </c>
      <c r="C68" s="127"/>
      <c r="D68" s="127"/>
      <c r="E68" s="127"/>
      <c r="F68" s="143"/>
      <c r="G68" s="143">
        <f t="shared" ref="G68:P68" si="162">G13/G42</f>
        <v>13.274336283185843</v>
      </c>
      <c r="H68" s="143">
        <f t="shared" si="162"/>
        <v>13.274336283185843</v>
      </c>
      <c r="I68" s="143">
        <f t="shared" si="162"/>
        <v>15.929203539823011</v>
      </c>
      <c r="J68" s="143">
        <f t="shared" si="162"/>
        <v>15.929203539823011</v>
      </c>
      <c r="K68" s="143">
        <f t="shared" si="162"/>
        <v>0.3451327433628319</v>
      </c>
      <c r="L68" s="143">
        <f t="shared" si="162"/>
        <v>0.3451327433628319</v>
      </c>
      <c r="M68" s="143">
        <f t="shared" si="162"/>
        <v>0.3451327433628319</v>
      </c>
      <c r="N68" s="143">
        <f t="shared" si="162"/>
        <v>20.353982300884958</v>
      </c>
      <c r="O68" s="143">
        <f t="shared" si="162"/>
        <v>0.3451327433628319</v>
      </c>
      <c r="P68" s="143">
        <f t="shared" si="162"/>
        <v>1.7699115044247791E-2</v>
      </c>
      <c r="Q68" s="143">
        <f t="shared" ref="Q68" si="163">Q13/Q42</f>
        <v>7.9646017699115053</v>
      </c>
      <c r="R68" s="118">
        <f>((P68/G68)^(1/($H$2-$H$1) ))-1</f>
        <v>-0.48418511127905861</v>
      </c>
      <c r="S68" s="128"/>
      <c r="T68" s="155">
        <f t="shared" ref="T68:AC68" si="164">T13/T42</f>
        <v>9.5262883914627814</v>
      </c>
      <c r="U68" s="155">
        <f t="shared" si="164"/>
        <v>11.394188076063326</v>
      </c>
      <c r="V68" s="155">
        <f t="shared" si="164"/>
        <v>13.628342600781622</v>
      </c>
      <c r="W68" s="155">
        <f t="shared" si="164"/>
        <v>16.300566640150564</v>
      </c>
      <c r="X68" s="155">
        <f t="shared" si="164"/>
        <v>19.496756177434985</v>
      </c>
      <c r="Y68" s="155">
        <f t="shared" si="164"/>
        <v>23.319649545559493</v>
      </c>
      <c r="Z68" s="155">
        <f t="shared" si="164"/>
        <v>27.89212984861037</v>
      </c>
      <c r="AA68" s="155">
        <f t="shared" si="164"/>
        <v>33.361174916965339</v>
      </c>
      <c r="AB68" s="155">
        <f t="shared" si="164"/>
        <v>39.902581763429133</v>
      </c>
      <c r="AC68" s="155">
        <f t="shared" si="164"/>
        <v>47.726617403317199</v>
      </c>
      <c r="AD68" s="137">
        <f t="shared" si="135"/>
        <v>6.607409894808236E-2</v>
      </c>
      <c r="AE68" s="31">
        <f t="shared" si="15"/>
        <v>0.05</v>
      </c>
      <c r="AF68" s="145">
        <f t="shared" si="136"/>
        <v>501.12948273483067</v>
      </c>
    </row>
    <row r="69" spans="2:32" x14ac:dyDescent="0.2">
      <c r="B69" s="20" t="s">
        <v>256</v>
      </c>
      <c r="C69" s="127"/>
      <c r="D69" s="127"/>
      <c r="E69" s="127"/>
      <c r="F69" s="143"/>
      <c r="G69" s="143">
        <f t="shared" ref="G69:P69" si="165">(G67+G68)</f>
        <v>18.584070796460178</v>
      </c>
      <c r="H69" s="143">
        <f t="shared" si="165"/>
        <v>21.23893805309735</v>
      </c>
      <c r="I69" s="143">
        <f t="shared" si="165"/>
        <v>23.893805309734518</v>
      </c>
      <c r="J69" s="143">
        <f t="shared" si="165"/>
        <v>22.123893805309738</v>
      </c>
      <c r="K69" s="143">
        <f t="shared" si="165"/>
        <v>10.079646017699115</v>
      </c>
      <c r="L69" s="143">
        <f t="shared" si="165"/>
        <v>10.964601769911505</v>
      </c>
      <c r="M69" s="143">
        <f t="shared" si="165"/>
        <v>39.283185840707965</v>
      </c>
      <c r="N69" s="143">
        <f t="shared" si="165"/>
        <v>67.256637168141594</v>
      </c>
      <c r="O69" s="143">
        <f t="shared" ref="O69" si="166">(O67+O68)</f>
        <v>19.814159292035399</v>
      </c>
      <c r="P69" s="143">
        <f t="shared" si="165"/>
        <v>29.221238938053101</v>
      </c>
      <c r="Q69" s="143">
        <f t="shared" ref="Q69" si="167">(Q67+Q68)</f>
        <v>34.513274336283189</v>
      </c>
      <c r="R69" s="118">
        <f>((P69/G69)^(1/($H$2-$H$1) ))-1</f>
        <v>4.6298920922061004E-2</v>
      </c>
      <c r="S69" s="128"/>
      <c r="T69" s="155">
        <f t="shared" ref="T69:AC69" si="168">(T67+T68)</f>
        <v>41.280583029672052</v>
      </c>
      <c r="U69" s="155">
        <f t="shared" si="168"/>
        <v>49.374814996274409</v>
      </c>
      <c r="V69" s="155">
        <f t="shared" si="168"/>
        <v>59.056151270053697</v>
      </c>
      <c r="W69" s="155">
        <f t="shared" si="168"/>
        <v>70.63578877398578</v>
      </c>
      <c r="X69" s="155">
        <f t="shared" si="168"/>
        <v>84.485943435551633</v>
      </c>
      <c r="Y69" s="155">
        <f t="shared" si="168"/>
        <v>101.0518146974245</v>
      </c>
      <c r="Z69" s="155">
        <f t="shared" si="168"/>
        <v>120.86589601064496</v>
      </c>
      <c r="AA69" s="155">
        <f t="shared" si="168"/>
        <v>144.56509130684987</v>
      </c>
      <c r="AB69" s="155">
        <f t="shared" si="168"/>
        <v>172.91118764152631</v>
      </c>
      <c r="AC69" s="155">
        <f t="shared" si="168"/>
        <v>206.81534208104125</v>
      </c>
      <c r="AD69" s="137">
        <f t="shared" si="135"/>
        <v>0.12803375372676573</v>
      </c>
      <c r="AE69" s="31">
        <f t="shared" si="15"/>
        <v>0.05</v>
      </c>
      <c r="AF69" s="145">
        <f t="shared" si="136"/>
        <v>2171.5610918509333</v>
      </c>
    </row>
    <row r="70" spans="2:32" x14ac:dyDescent="0.2">
      <c r="B70" s="20" t="s">
        <v>249</v>
      </c>
      <c r="C70" s="127"/>
      <c r="D70" s="127"/>
      <c r="E70" s="127"/>
      <c r="F70" s="143"/>
      <c r="G70" s="143">
        <f t="shared" ref="G70:P70" si="169">G15/G42</f>
        <v>82.300884955752224</v>
      </c>
      <c r="H70" s="143">
        <f t="shared" si="169"/>
        <v>83.185840707964616</v>
      </c>
      <c r="I70" s="143">
        <f t="shared" si="169"/>
        <v>80.530973451327441</v>
      </c>
      <c r="J70" s="143">
        <f t="shared" si="169"/>
        <v>105.30973451327435</v>
      </c>
      <c r="K70" s="143">
        <f t="shared" si="169"/>
        <v>102.65486725663717</v>
      </c>
      <c r="L70" s="143">
        <f t="shared" si="169"/>
        <v>95.575221238938056</v>
      </c>
      <c r="M70" s="143">
        <f t="shared" si="169"/>
        <v>118.58407079646018</v>
      </c>
      <c r="N70" s="143">
        <f t="shared" si="169"/>
        <v>176.9911504424779</v>
      </c>
      <c r="O70" s="143">
        <f t="shared" si="169"/>
        <v>264.60176991150445</v>
      </c>
      <c r="P70" s="143">
        <f t="shared" si="169"/>
        <v>363.71681415929208</v>
      </c>
      <c r="Q70" s="143">
        <f t="shared" ref="Q70" si="170">Q15/Q42</f>
        <v>393.80530973451329</v>
      </c>
      <c r="R70" s="118">
        <f>((P70/G70)^(1/($H$2-$H$1) ))-1</f>
        <v>0.16020808439976952</v>
      </c>
      <c r="S70" s="128"/>
      <c r="T70" s="155">
        <f t="shared" ref="T70:AC70" si="171">T15/T42</f>
        <v>471.02203713343749</v>
      </c>
      <c r="U70" s="155">
        <f t="shared" si="171"/>
        <v>563.37929931646443</v>
      </c>
      <c r="V70" s="155">
        <f t="shared" si="171"/>
        <v>673.84582859420243</v>
      </c>
      <c r="W70" s="155">
        <f t="shared" si="171"/>
        <v>805.97246165188903</v>
      </c>
      <c r="X70" s="155">
        <f t="shared" si="171"/>
        <v>964.00627766206333</v>
      </c>
      <c r="Y70" s="155">
        <f t="shared" si="171"/>
        <v>1153.0271164193305</v>
      </c>
      <c r="Z70" s="155">
        <f t="shared" si="171"/>
        <v>1379.1108647368462</v>
      </c>
      <c r="AA70" s="155">
        <f t="shared" si="171"/>
        <v>1649.5247597832865</v>
      </c>
      <c r="AB70" s="155">
        <f t="shared" si="171"/>
        <v>1972.9609871917744</v>
      </c>
      <c r="AC70" s="155">
        <f t="shared" si="171"/>
        <v>2359.8160827195729</v>
      </c>
      <c r="AD70" s="137">
        <f t="shared" si="135"/>
        <v>0.18269751030109638</v>
      </c>
      <c r="AE70" s="31">
        <f t="shared" si="15"/>
        <v>0.05</v>
      </c>
      <c r="AF70" s="145">
        <f t="shared" si="136"/>
        <v>24778.068868555518</v>
      </c>
    </row>
    <row r="71" spans="2:32" x14ac:dyDescent="0.2">
      <c r="B71" s="20" t="s">
        <v>250</v>
      </c>
      <c r="C71" s="127"/>
      <c r="D71" s="127"/>
      <c r="E71" s="127"/>
      <c r="F71" s="143"/>
      <c r="G71" s="143">
        <f t="shared" ref="G71:P71" si="172">G16/G42</f>
        <v>67.256637168141594</v>
      </c>
      <c r="H71" s="143">
        <f t="shared" si="172"/>
        <v>60.176991150442483</v>
      </c>
      <c r="I71" s="143">
        <f t="shared" si="172"/>
        <v>53.982300884955755</v>
      </c>
      <c r="J71" s="143">
        <f t="shared" si="172"/>
        <v>66.371681415929203</v>
      </c>
      <c r="K71" s="143">
        <f t="shared" si="172"/>
        <v>52.212389380530979</v>
      </c>
      <c r="L71" s="143">
        <f t="shared" si="172"/>
        <v>39.823008849557525</v>
      </c>
      <c r="M71" s="143">
        <f t="shared" si="172"/>
        <v>55.752212389380539</v>
      </c>
      <c r="N71" s="143">
        <f t="shared" si="172"/>
        <v>70.796460176991161</v>
      </c>
      <c r="O71" s="143">
        <f t="shared" si="172"/>
        <v>57.522123893805315</v>
      </c>
      <c r="P71" s="143">
        <f t="shared" si="172"/>
        <v>178.76106194690269</v>
      </c>
      <c r="Q71" s="143">
        <f t="shared" ref="Q71" si="173">Q16/Q42</f>
        <v>210.6194690265487</v>
      </c>
      <c r="R71" s="118">
        <f>((P71/G71)^(1/($H$2-$H$1) ))-1</f>
        <v>0.1026908673981175</v>
      </c>
      <c r="S71" s="128"/>
      <c r="T71" s="155">
        <f t="shared" ref="T71:AC71" si="174">T16/T42</f>
        <v>251.91740412979357</v>
      </c>
      <c r="U71" s="155">
        <f t="shared" si="174"/>
        <v>301.31297356700793</v>
      </c>
      <c r="V71" s="155">
        <f t="shared" si="174"/>
        <v>360.3939487762251</v>
      </c>
      <c r="W71" s="155">
        <f t="shared" si="174"/>
        <v>431.05942892842609</v>
      </c>
      <c r="X71" s="155">
        <f t="shared" si="174"/>
        <v>515.58088558105862</v>
      </c>
      <c r="Y71" s="155">
        <f t="shared" si="174"/>
        <v>616.67517687146221</v>
      </c>
      <c r="Z71" s="155">
        <f t="shared" si="174"/>
        <v>737.59187821880766</v>
      </c>
      <c r="AA71" s="155">
        <f t="shared" si="174"/>
        <v>882.21773669308357</v>
      </c>
      <c r="AB71" s="155">
        <f t="shared" si="174"/>
        <v>1055.2016066329038</v>
      </c>
      <c r="AC71" s="155">
        <f t="shared" si="174"/>
        <v>1262.1038824432771</v>
      </c>
      <c r="AD71" s="137">
        <f t="shared" si="135"/>
        <v>0.15789185160576524</v>
      </c>
      <c r="AE71" s="136"/>
      <c r="AF71" s="145">
        <f t="shared" si="136"/>
        <v>8414.0258829551822</v>
      </c>
    </row>
    <row r="72" spans="2:32" x14ac:dyDescent="0.2">
      <c r="B72" s="20"/>
      <c r="C72" s="127"/>
      <c r="D72" s="127"/>
      <c r="E72" s="127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28"/>
      <c r="S72" s="128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38"/>
      <c r="AE72" s="31">
        <f t="shared" si="15"/>
        <v>0.05</v>
      </c>
      <c r="AF72" s="145">
        <f t="shared" si="136"/>
        <v>0</v>
      </c>
    </row>
    <row r="73" spans="2:32" x14ac:dyDescent="0.2">
      <c r="B73" s="20" t="s">
        <v>282</v>
      </c>
      <c r="C73" s="157"/>
      <c r="D73" s="157"/>
      <c r="E73" s="157"/>
      <c r="F73" s="157"/>
      <c r="G73" s="157">
        <f t="shared" ref="G73:P73" si="175">G44</f>
        <v>0.01</v>
      </c>
      <c r="H73" s="157">
        <f t="shared" si="175"/>
        <v>2</v>
      </c>
      <c r="I73" s="157">
        <f t="shared" si="175"/>
        <v>2.5</v>
      </c>
      <c r="J73" s="157">
        <f t="shared" si="175"/>
        <v>3</v>
      </c>
      <c r="K73" s="157">
        <f t="shared" si="175"/>
        <v>3.5</v>
      </c>
      <c r="L73" s="157">
        <f t="shared" si="175"/>
        <v>5</v>
      </c>
      <c r="M73" s="157">
        <f t="shared" si="175"/>
        <v>10</v>
      </c>
      <c r="N73" s="157">
        <f t="shared" si="175"/>
        <v>12.5</v>
      </c>
      <c r="O73" s="157">
        <f t="shared" si="175"/>
        <v>15</v>
      </c>
      <c r="P73" s="157">
        <f t="shared" si="175"/>
        <v>17.5</v>
      </c>
      <c r="Q73" s="157">
        <f t="shared" ref="Q73" si="176">Q44</f>
        <v>20</v>
      </c>
      <c r="R73" s="118">
        <f>((P73/G73)^(1/($H$2-$H$1) ))-1</f>
        <v>1.1101037284695612</v>
      </c>
      <c r="S73" s="128"/>
      <c r="T73" s="157">
        <f t="shared" ref="T73:AC73" si="177">T44</f>
        <v>21</v>
      </c>
      <c r="U73" s="157">
        <f t="shared" si="177"/>
        <v>22.05</v>
      </c>
      <c r="V73" s="157">
        <f t="shared" si="177"/>
        <v>23.152500000000003</v>
      </c>
      <c r="W73" s="157">
        <f t="shared" si="177"/>
        <v>24.310125000000003</v>
      </c>
      <c r="X73" s="157">
        <f t="shared" si="177"/>
        <v>25.525631250000004</v>
      </c>
      <c r="Y73" s="157">
        <f t="shared" si="177"/>
        <v>26.801912812500007</v>
      </c>
      <c r="Z73" s="157">
        <f t="shared" si="177"/>
        <v>28.142008453125008</v>
      </c>
      <c r="AA73" s="157">
        <f t="shared" si="177"/>
        <v>29.549108875781261</v>
      </c>
      <c r="AB73" s="157">
        <f t="shared" si="177"/>
        <v>31.026564319570326</v>
      </c>
      <c r="AC73" s="157">
        <f t="shared" si="177"/>
        <v>32.577892535548841</v>
      </c>
      <c r="AD73" s="137">
        <f t="shared" ref="AD73" si="178">((AC73/G73)^(1/($AC$3-$H$1) ))-1</f>
        <v>0.49846343298109708</v>
      </c>
      <c r="AE73" s="31">
        <f t="shared" si="15"/>
        <v>0.05</v>
      </c>
      <c r="AF73" s="145">
        <f t="shared" si="136"/>
        <v>342.06787162326287</v>
      </c>
    </row>
    <row r="74" spans="2:32" x14ac:dyDescent="0.2">
      <c r="B74" s="20"/>
      <c r="C74" s="127"/>
      <c r="D74" s="127"/>
      <c r="E74" s="127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28"/>
      <c r="S74" s="128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38"/>
      <c r="AE74" s="136"/>
      <c r="AF74" s="152"/>
    </row>
    <row r="75" spans="2:32" x14ac:dyDescent="0.2">
      <c r="B75" s="20" t="s">
        <v>316</v>
      </c>
      <c r="C75" s="127"/>
      <c r="D75" s="127"/>
      <c r="E75" s="127"/>
      <c r="F75" s="143"/>
      <c r="G75" s="143">
        <f t="shared" ref="G75:P75" si="179">G20+G21</f>
        <v>15</v>
      </c>
      <c r="H75" s="143">
        <f t="shared" si="179"/>
        <v>21</v>
      </c>
      <c r="I75" s="143">
        <f t="shared" si="179"/>
        <v>17</v>
      </c>
      <c r="J75" s="143">
        <f t="shared" si="179"/>
        <v>-9</v>
      </c>
      <c r="K75" s="143">
        <f t="shared" si="179"/>
        <v>42</v>
      </c>
      <c r="L75" s="143">
        <f t="shared" si="179"/>
        <v>37</v>
      </c>
      <c r="M75" s="143">
        <f t="shared" si="179"/>
        <v>59</v>
      </c>
      <c r="N75" s="143">
        <f t="shared" si="179"/>
        <v>24</v>
      </c>
      <c r="O75" s="143">
        <f t="shared" si="179"/>
        <v>-67</v>
      </c>
      <c r="P75" s="143">
        <f t="shared" si="179"/>
        <v>8</v>
      </c>
      <c r="Q75" s="143">
        <f t="shared" ref="Q75" si="180">Q20+Q21</f>
        <v>12</v>
      </c>
      <c r="R75" s="118">
        <f>((P75/G75)^(1/($H$2-$H$1) ))-1</f>
        <v>-6.0925878206773088E-2</v>
      </c>
      <c r="S75" s="128"/>
      <c r="T75" s="143">
        <f t="shared" ref="T75:AC75" si="181">T20+T21</f>
        <v>14.64</v>
      </c>
      <c r="U75" s="143">
        <f t="shared" si="181"/>
        <v>17.860799999999998</v>
      </c>
      <c r="V75" s="143">
        <f t="shared" si="181"/>
        <v>21.790176000000002</v>
      </c>
      <c r="W75" s="143">
        <f t="shared" si="181"/>
        <v>26.584014719999999</v>
      </c>
      <c r="X75" s="143">
        <f t="shared" si="181"/>
        <v>32.432497958400006</v>
      </c>
      <c r="Y75" s="143">
        <f t="shared" si="181"/>
        <v>39.56764750924799</v>
      </c>
      <c r="Z75" s="143">
        <f t="shared" si="181"/>
        <v>48.272529961282544</v>
      </c>
      <c r="AA75" s="143">
        <f t="shared" si="181"/>
        <v>58.892486552764694</v>
      </c>
      <c r="AB75" s="143">
        <f t="shared" si="181"/>
        <v>71.848833594372934</v>
      </c>
      <c r="AC75" s="143">
        <f t="shared" si="181"/>
        <v>87.655576985134985</v>
      </c>
      <c r="AD75" s="137">
        <f t="shared" ref="AD75:AD80" si="182">((AC75/G75)^(1/($AC$3-$H$1) ))-1</f>
        <v>9.2281089107731695E-2</v>
      </c>
      <c r="AE75" s="31">
        <f t="shared" si="15"/>
        <v>0.05</v>
      </c>
      <c r="AF75" s="145">
        <f t="shared" si="136"/>
        <v>920.38355834391746</v>
      </c>
    </row>
    <row r="76" spans="2:32" x14ac:dyDescent="0.2">
      <c r="B76" s="20"/>
      <c r="C76" s="127"/>
      <c r="D76" s="127"/>
      <c r="E76" s="127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28"/>
      <c r="S76" s="128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38"/>
      <c r="AE76" s="136"/>
      <c r="AF76" s="145"/>
    </row>
    <row r="77" spans="2:32" x14ac:dyDescent="0.2">
      <c r="B77" s="20" t="s">
        <v>317</v>
      </c>
      <c r="C77" s="127"/>
      <c r="D77" s="127"/>
      <c r="E77" s="127"/>
      <c r="F77" s="143"/>
      <c r="G77" s="143">
        <f t="shared" ref="G77:P77" si="183">G75/G42</f>
        <v>13.274336283185843</v>
      </c>
      <c r="H77" s="143">
        <f t="shared" si="183"/>
        <v>18.584070796460178</v>
      </c>
      <c r="I77" s="143">
        <f t="shared" si="183"/>
        <v>15.044247787610621</v>
      </c>
      <c r="J77" s="143">
        <f t="shared" si="183"/>
        <v>-7.9646017699115053</v>
      </c>
      <c r="K77" s="143">
        <f t="shared" si="183"/>
        <v>37.168141592920357</v>
      </c>
      <c r="L77" s="143">
        <f t="shared" si="183"/>
        <v>32.743362831858413</v>
      </c>
      <c r="M77" s="143">
        <f t="shared" si="183"/>
        <v>52.212389380530979</v>
      </c>
      <c r="N77" s="143">
        <f t="shared" si="183"/>
        <v>21.238938053097346</v>
      </c>
      <c r="O77" s="143">
        <f t="shared" si="183"/>
        <v>-59.292035398230091</v>
      </c>
      <c r="P77" s="143">
        <f t="shared" si="183"/>
        <v>7.0796460176991154</v>
      </c>
      <c r="Q77" s="143">
        <f t="shared" ref="Q77" si="184">Q75/Q42</f>
        <v>10.619469026548673</v>
      </c>
      <c r="R77" s="118">
        <f>((P77/G77)^(1/($H$2-$H$1) ))-1</f>
        <v>-6.0925878206773088E-2</v>
      </c>
      <c r="S77" s="128"/>
      <c r="T77" s="145">
        <f t="shared" ref="T77:AC77" si="185">T75/T42</f>
        <v>12.701717855283709</v>
      </c>
      <c r="U77" s="145">
        <f t="shared" si="185"/>
        <v>15.192250768084433</v>
      </c>
      <c r="V77" s="145">
        <f t="shared" si="185"/>
        <v>18.171123467708835</v>
      </c>
      <c r="W77" s="145">
        <f t="shared" si="185"/>
        <v>21.734088853534089</v>
      </c>
      <c r="X77" s="145">
        <f t="shared" si="185"/>
        <v>25.995674903246659</v>
      </c>
      <c r="Y77" s="145">
        <f t="shared" si="185"/>
        <v>31.09286606074599</v>
      </c>
      <c r="Z77" s="145">
        <f t="shared" si="185"/>
        <v>37.189506464813824</v>
      </c>
      <c r="AA77" s="145">
        <f t="shared" si="185"/>
        <v>44.481566555953783</v>
      </c>
      <c r="AB77" s="145">
        <f t="shared" si="185"/>
        <v>53.203442351238841</v>
      </c>
      <c r="AC77" s="145">
        <f t="shared" si="185"/>
        <v>63.635489871089597</v>
      </c>
      <c r="AD77" s="137">
        <f t="shared" si="182"/>
        <v>8.1519436619906571E-2</v>
      </c>
      <c r="AE77" s="31">
        <f t="shared" si="15"/>
        <v>0.05</v>
      </c>
      <c r="AF77" s="145">
        <f t="shared" si="136"/>
        <v>668.17264364644075</v>
      </c>
    </row>
    <row r="78" spans="2:32" x14ac:dyDescent="0.2">
      <c r="B78" s="20" t="s">
        <v>286</v>
      </c>
      <c r="C78" s="127"/>
      <c r="D78" s="127"/>
      <c r="E78" s="127"/>
      <c r="F78" s="143"/>
      <c r="G78" s="143">
        <f t="shared" ref="G78:P78" si="186">G20/G42</f>
        <v>11.504424778761063</v>
      </c>
      <c r="H78" s="143">
        <f t="shared" si="186"/>
        <v>13.274336283185843</v>
      </c>
      <c r="I78" s="143">
        <f t="shared" si="186"/>
        <v>19.469026548672566</v>
      </c>
      <c r="J78" s="143">
        <f t="shared" si="186"/>
        <v>3.5398230088495577</v>
      </c>
      <c r="K78" s="143">
        <f t="shared" si="186"/>
        <v>40.707964601769916</v>
      </c>
      <c r="L78" s="143">
        <f t="shared" si="186"/>
        <v>38.053097345132748</v>
      </c>
      <c r="M78" s="143">
        <f t="shared" si="186"/>
        <v>54.867256637168147</v>
      </c>
      <c r="N78" s="143">
        <f t="shared" si="186"/>
        <v>65.486725663716825</v>
      </c>
      <c r="O78" s="143">
        <f t="shared" si="186"/>
        <v>53.982300884955755</v>
      </c>
      <c r="P78" s="143">
        <f t="shared" si="186"/>
        <v>85.840707964601776</v>
      </c>
      <c r="Q78" s="143">
        <f t="shared" ref="Q78" si="187">Q20/Q42</f>
        <v>75.221238938053105</v>
      </c>
      <c r="R78" s="118">
        <f>((P78/G78)^(1/($H$2-$H$1) ))-1</f>
        <v>0.2225956273687677</v>
      </c>
      <c r="S78" s="128"/>
      <c r="T78" s="145">
        <f t="shared" ref="T78:AC78" si="188">T20/T42</f>
        <v>89.970501474926266</v>
      </c>
      <c r="U78" s="145">
        <f t="shared" si="188"/>
        <v>107.61177627393141</v>
      </c>
      <c r="V78" s="145">
        <f t="shared" si="188"/>
        <v>128.71212456293756</v>
      </c>
      <c r="W78" s="145">
        <f t="shared" si="188"/>
        <v>153.94979604586646</v>
      </c>
      <c r="X78" s="145">
        <f t="shared" si="188"/>
        <v>184.1360305646638</v>
      </c>
      <c r="Y78" s="145">
        <f t="shared" si="188"/>
        <v>220.24113459695081</v>
      </c>
      <c r="Z78" s="145">
        <f t="shared" si="188"/>
        <v>263.42567079243133</v>
      </c>
      <c r="AA78" s="145">
        <f t="shared" si="188"/>
        <v>315.07776310467273</v>
      </c>
      <c r="AB78" s="145">
        <f t="shared" si="188"/>
        <v>376.85771665460857</v>
      </c>
      <c r="AC78" s="145">
        <f t="shared" si="188"/>
        <v>450.75138658688473</v>
      </c>
      <c r="AD78" s="137">
        <f t="shared" si="182"/>
        <v>0.20130589471035965</v>
      </c>
      <c r="AE78" s="31">
        <f t="shared" si="15"/>
        <v>0.05</v>
      </c>
      <c r="AF78" s="145">
        <f t="shared" si="136"/>
        <v>4732.8895591622904</v>
      </c>
    </row>
    <row r="79" spans="2:32" x14ac:dyDescent="0.2">
      <c r="B79" s="20" t="s">
        <v>287</v>
      </c>
      <c r="C79" s="127"/>
      <c r="D79" s="127"/>
      <c r="E79" s="127"/>
      <c r="F79" s="143"/>
      <c r="G79" s="143">
        <f t="shared" ref="G79:P79" si="189">G21/G42</f>
        <v>1.7699115044247788</v>
      </c>
      <c r="H79" s="143">
        <f t="shared" si="189"/>
        <v>5.3097345132743365</v>
      </c>
      <c r="I79" s="143">
        <f t="shared" si="189"/>
        <v>-4.4247787610619476</v>
      </c>
      <c r="J79" s="143">
        <f t="shared" si="189"/>
        <v>-11.504424778761063</v>
      </c>
      <c r="K79" s="143">
        <f t="shared" si="189"/>
        <v>-3.5398230088495577</v>
      </c>
      <c r="L79" s="143">
        <f t="shared" si="189"/>
        <v>-5.3097345132743365</v>
      </c>
      <c r="M79" s="143">
        <f t="shared" si="189"/>
        <v>-2.6548672566371683</v>
      </c>
      <c r="N79" s="143">
        <f t="shared" si="189"/>
        <v>-44.247787610619476</v>
      </c>
      <c r="O79" s="143">
        <f t="shared" si="189"/>
        <v>-113.27433628318585</v>
      </c>
      <c r="P79" s="143">
        <f t="shared" si="189"/>
        <v>-78.761061946902657</v>
      </c>
      <c r="Q79" s="143">
        <f t="shared" ref="Q79" si="190">Q21/Q42</f>
        <v>-64.601769911504434</v>
      </c>
      <c r="R79" s="118" t="e">
        <f>((P79/G79)^(1/($H$2-$H$1) ))-1</f>
        <v>#NUM!</v>
      </c>
      <c r="S79" s="128"/>
      <c r="T79" s="145">
        <f t="shared" ref="T79:AC79" si="191">T21/T42</f>
        <v>-77.268783619642562</v>
      </c>
      <c r="U79" s="145">
        <f t="shared" si="191"/>
        <v>-92.419525505846977</v>
      </c>
      <c r="V79" s="145">
        <f t="shared" si="191"/>
        <v>-110.54100109522872</v>
      </c>
      <c r="W79" s="145">
        <f t="shared" si="191"/>
        <v>-132.21570719233239</v>
      </c>
      <c r="X79" s="145">
        <f t="shared" si="191"/>
        <v>-158.14035566141715</v>
      </c>
      <c r="Y79" s="145">
        <f t="shared" si="191"/>
        <v>-189.14826853620482</v>
      </c>
      <c r="Z79" s="145">
        <f t="shared" si="191"/>
        <v>-226.23616432761753</v>
      </c>
      <c r="AA79" s="145">
        <f t="shared" si="191"/>
        <v>-270.59619654871898</v>
      </c>
      <c r="AB79" s="145">
        <f t="shared" si="191"/>
        <v>-323.65427430336973</v>
      </c>
      <c r="AC79" s="145">
        <f t="shared" si="191"/>
        <v>-387.11589671579515</v>
      </c>
      <c r="AD79" s="137" t="e">
        <f t="shared" si="182"/>
        <v>#NUM!</v>
      </c>
      <c r="AE79" s="31">
        <f t="shared" si="15"/>
        <v>0.05</v>
      </c>
      <c r="AF79" s="145">
        <f t="shared" si="136"/>
        <v>-4064.7169155158495</v>
      </c>
    </row>
    <row r="80" spans="2:32" x14ac:dyDescent="0.2">
      <c r="B80" s="20" t="s">
        <v>288</v>
      </c>
      <c r="C80" s="127"/>
      <c r="D80" s="127"/>
      <c r="E80" s="127"/>
      <c r="F80" s="143"/>
      <c r="G80" s="143">
        <f t="shared" ref="G80:P80" si="192">G22/G42</f>
        <v>-12.389380530973453</v>
      </c>
      <c r="H80" s="143">
        <f t="shared" si="192"/>
        <v>-15.929203539823011</v>
      </c>
      <c r="I80" s="143">
        <f t="shared" si="192"/>
        <v>-14.159292035398231</v>
      </c>
      <c r="J80" s="143">
        <f t="shared" si="192"/>
        <v>5.3097345132743365</v>
      </c>
      <c r="K80" s="143">
        <f t="shared" si="192"/>
        <v>-33.628318584070797</v>
      </c>
      <c r="L80" s="143">
        <f t="shared" si="192"/>
        <v>-31.858407079646021</v>
      </c>
      <c r="M80" s="143">
        <f t="shared" si="192"/>
        <v>-23.008849557522126</v>
      </c>
      <c r="N80" s="143">
        <f t="shared" si="192"/>
        <v>-13.274336283185843</v>
      </c>
      <c r="O80" s="143">
        <f t="shared" si="192"/>
        <v>30.973451327433633</v>
      </c>
      <c r="P80" s="143">
        <f t="shared" si="192"/>
        <v>1.0619469026548674</v>
      </c>
      <c r="Q80" s="143">
        <f t="shared" ref="Q80" si="193">Q22/Q42</f>
        <v>-13.274336283185843</v>
      </c>
      <c r="R80" s="118" t="e">
        <f>((P80/G80)^(1/($H$2-$H$1) ))-1</f>
        <v>#NUM!</v>
      </c>
      <c r="S80" s="128"/>
      <c r="T80" s="145">
        <f t="shared" ref="T80:AC80" si="194">T22/T42</f>
        <v>-15.877147319104635</v>
      </c>
      <c r="U80" s="145">
        <f t="shared" si="194"/>
        <v>-18.990313460105543</v>
      </c>
      <c r="V80" s="145">
        <f t="shared" si="194"/>
        <v>-22.713904334636037</v>
      </c>
      <c r="W80" s="145">
        <f t="shared" si="194"/>
        <v>-27.167611066917612</v>
      </c>
      <c r="X80" s="145">
        <f t="shared" si="194"/>
        <v>-32.494593629058322</v>
      </c>
      <c r="Y80" s="145">
        <f t="shared" si="194"/>
        <v>-38.866082575932502</v>
      </c>
      <c r="Z80" s="145">
        <f t="shared" si="194"/>
        <v>-46.486883081017297</v>
      </c>
      <c r="AA80" s="145">
        <f t="shared" si="194"/>
        <v>-55.601958194942256</v>
      </c>
      <c r="AB80" s="145">
        <f t="shared" si="194"/>
        <v>-66.504302939048586</v>
      </c>
      <c r="AC80" s="145">
        <f t="shared" si="194"/>
        <v>-79.54436233886203</v>
      </c>
      <c r="AD80" s="137">
        <f t="shared" si="182"/>
        <v>9.7432937480491422E-2</v>
      </c>
      <c r="AE80" s="31">
        <f t="shared" si="15"/>
        <v>0.05</v>
      </c>
      <c r="AF80" s="145">
        <f t="shared" si="136"/>
        <v>-835.21580455805145</v>
      </c>
    </row>
    <row r="81" spans="2:32" x14ac:dyDescent="0.2">
      <c r="B81" s="20" t="s">
        <v>295</v>
      </c>
      <c r="C81" s="127"/>
      <c r="D81" s="127"/>
      <c r="E81" s="127"/>
      <c r="F81" s="143"/>
      <c r="G81" s="143">
        <f t="shared" ref="G81:P81" si="195">G23/G42</f>
        <v>5.3097345132743365</v>
      </c>
      <c r="H81" s="143">
        <f t="shared" si="195"/>
        <v>7.9646017699115053</v>
      </c>
      <c r="I81" s="143">
        <f t="shared" si="195"/>
        <v>7.9646017699115053</v>
      </c>
      <c r="J81" s="143">
        <f t="shared" si="195"/>
        <v>6.1946902654867264</v>
      </c>
      <c r="K81" s="143">
        <f t="shared" si="195"/>
        <v>9.7345132743362832</v>
      </c>
      <c r="L81" s="143">
        <f t="shared" si="195"/>
        <v>9.7345132743362832</v>
      </c>
      <c r="M81" s="143">
        <f t="shared" si="195"/>
        <v>38.938053097345133</v>
      </c>
      <c r="N81" s="143">
        <f t="shared" si="195"/>
        <v>46.902654867256643</v>
      </c>
      <c r="O81" s="143">
        <f t="shared" si="195"/>
        <v>19.469026548672566</v>
      </c>
      <c r="P81" s="143">
        <f t="shared" si="195"/>
        <v>28.318584070796462</v>
      </c>
      <c r="Q81" s="143">
        <f t="shared" ref="Q81" si="196">Q23/Q42</f>
        <v>25.663716814159294</v>
      </c>
      <c r="R81" s="118">
        <f>((P81/G81)^(1/($H$2-$H$1) ))-1</f>
        <v>0.18222427548378417</v>
      </c>
      <c r="S81" s="128"/>
      <c r="T81" s="145">
        <f t="shared" ref="T81:AC81" si="197">T23/T42</f>
        <v>30.695818150268963</v>
      </c>
      <c r="U81" s="145">
        <f t="shared" si="197"/>
        <v>36.714606022870719</v>
      </c>
      <c r="V81" s="145">
        <f t="shared" si="197"/>
        <v>43.913548380296348</v>
      </c>
      <c r="W81" s="145">
        <f t="shared" si="197"/>
        <v>52.524048062707394</v>
      </c>
      <c r="X81" s="145">
        <f t="shared" si="197"/>
        <v>62.82288101617943</v>
      </c>
      <c r="Y81" s="145">
        <f t="shared" si="197"/>
        <v>75.141092980136179</v>
      </c>
      <c r="Z81" s="145">
        <f t="shared" si="197"/>
        <v>89.874640623300124</v>
      </c>
      <c r="AA81" s="145">
        <f t="shared" si="197"/>
        <v>107.49711917688839</v>
      </c>
      <c r="AB81" s="145">
        <f t="shared" si="197"/>
        <v>128.57498568216062</v>
      </c>
      <c r="AC81" s="145">
        <f t="shared" si="197"/>
        <v>153.78576718846662</v>
      </c>
      <c r="AD81" s="137">
        <f t="shared" ref="AD81" si="198">((AC81/G81)^(1/($AC$3-$H$1) ))-1</f>
        <v>0.1832926497821612</v>
      </c>
      <c r="AE81" s="31">
        <f t="shared" si="15"/>
        <v>0.05</v>
      </c>
      <c r="AF81" s="145">
        <f t="shared" si="136"/>
        <v>1614.7505554788997</v>
      </c>
    </row>
    <row r="82" spans="2:32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28"/>
      <c r="S82" s="128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38"/>
      <c r="AE82" s="136"/>
      <c r="AF82" s="152"/>
    </row>
    <row r="83" spans="2:32" x14ac:dyDescent="0.2">
      <c r="B83" s="20" t="s">
        <v>310</v>
      </c>
      <c r="C83" s="143"/>
      <c r="D83" s="143"/>
      <c r="E83" s="143"/>
      <c r="F83" s="143"/>
      <c r="G83" s="143">
        <f t="shared" ref="G83:P83" si="199">G36/G42</f>
        <v>5.3097345132743365</v>
      </c>
      <c r="H83" s="143">
        <f t="shared" si="199"/>
        <v>9.7345132743362832</v>
      </c>
      <c r="I83" s="143">
        <f t="shared" si="199"/>
        <v>18.584070796460178</v>
      </c>
      <c r="J83" s="143">
        <f t="shared" si="199"/>
        <v>23.008849557522126</v>
      </c>
      <c r="K83" s="143">
        <f t="shared" si="199"/>
        <v>29.203539823008853</v>
      </c>
      <c r="L83" s="143">
        <f t="shared" si="199"/>
        <v>34.513274336283189</v>
      </c>
      <c r="M83" s="143">
        <f t="shared" si="199"/>
        <v>69.026548672566378</v>
      </c>
      <c r="N83" s="143">
        <f t="shared" si="199"/>
        <v>112.38938053097347</v>
      </c>
      <c r="O83" s="143">
        <f t="shared" si="199"/>
        <v>157.52212389380531</v>
      </c>
      <c r="P83" s="143">
        <f t="shared" si="199"/>
        <v>179.64601769911505</v>
      </c>
      <c r="Q83" s="143">
        <f t="shared" ref="Q83" si="200">Q36/Q42</f>
        <v>141.59292035398232</v>
      </c>
      <c r="R83" s="118">
        <f>((P83/G83)^(1/($H$2-$H$1) ))-1</f>
        <v>0.42211421905861402</v>
      </c>
      <c r="S83" s="128"/>
      <c r="T83" s="143">
        <f t="shared" ref="T83:AC83" si="201">T36/T42</f>
        <v>169.35623807044942</v>
      </c>
      <c r="U83" s="143">
        <f t="shared" si="201"/>
        <v>202.56334357445911</v>
      </c>
      <c r="V83" s="143">
        <f t="shared" si="201"/>
        <v>242.28164623611772</v>
      </c>
      <c r="W83" s="143">
        <f t="shared" si="201"/>
        <v>289.78785138045453</v>
      </c>
      <c r="X83" s="143">
        <f t="shared" si="201"/>
        <v>346.60899870995536</v>
      </c>
      <c r="Y83" s="143">
        <f t="shared" si="201"/>
        <v>414.57154747661326</v>
      </c>
      <c r="Z83" s="143">
        <f t="shared" si="201"/>
        <v>495.86008619751777</v>
      </c>
      <c r="AA83" s="143">
        <f t="shared" si="201"/>
        <v>593.08755407938395</v>
      </c>
      <c r="AB83" s="143">
        <f t="shared" si="201"/>
        <v>709.37923134985135</v>
      </c>
      <c r="AC83" s="143">
        <f t="shared" si="201"/>
        <v>848.47319828119464</v>
      </c>
      <c r="AD83" s="137">
        <f t="shared" ref="AD83:AD85" si="202">((AC83/G83)^(1/($AC$3-$H$1) ))-1</f>
        <v>0.28877845162992855</v>
      </c>
      <c r="AE83" s="31">
        <f t="shared" si="15"/>
        <v>0.05</v>
      </c>
      <c r="AF83" s="145">
        <f t="shared" si="136"/>
        <v>8908.9685819525439</v>
      </c>
    </row>
    <row r="84" spans="2:32" x14ac:dyDescent="0.2">
      <c r="B84" s="20" t="s">
        <v>311</v>
      </c>
      <c r="C84" s="143"/>
      <c r="D84" s="143"/>
      <c r="E84" s="143"/>
      <c r="F84" s="143"/>
      <c r="G84" s="143">
        <f t="shared" ref="G84:P84" si="203">G40/G42</f>
        <v>0.18584070796460178</v>
      </c>
      <c r="H84" s="143">
        <f t="shared" si="203"/>
        <v>3.5398230088495577</v>
      </c>
      <c r="I84" s="143">
        <f t="shared" si="203"/>
        <v>6.1946902654867264</v>
      </c>
      <c r="J84" s="143">
        <f t="shared" si="203"/>
        <v>10.619469026548673</v>
      </c>
      <c r="K84" s="143">
        <f t="shared" si="203"/>
        <v>18.584070796460178</v>
      </c>
      <c r="L84" s="143">
        <f t="shared" si="203"/>
        <v>19.469026548672566</v>
      </c>
      <c r="M84" s="143">
        <f t="shared" si="203"/>
        <v>46.017699115044252</v>
      </c>
      <c r="N84" s="143">
        <f t="shared" si="203"/>
        <v>74.336283185840713</v>
      </c>
      <c r="O84" s="143">
        <f t="shared" si="203"/>
        <v>100.00000000000001</v>
      </c>
      <c r="P84" s="143">
        <f t="shared" si="203"/>
        <v>117.6991150442478</v>
      </c>
      <c r="Q84" s="143">
        <f t="shared" ref="Q84" si="204">Q40/Q42</f>
        <v>99.115044247787623</v>
      </c>
      <c r="R84" s="118">
        <f>((P84/G84)^(1/($H$2-$H$1) ))-1</f>
        <v>0.90617704210802241</v>
      </c>
      <c r="S84" s="128"/>
      <c r="T84" s="143">
        <f t="shared" ref="T84:AC84" si="205">T40/T42</f>
        <v>118.54936664931459</v>
      </c>
      <c r="U84" s="143">
        <f t="shared" si="205"/>
        <v>141.79434050212137</v>
      </c>
      <c r="V84" s="143">
        <f t="shared" si="205"/>
        <v>169.5971523652824</v>
      </c>
      <c r="W84" s="143">
        <f t="shared" si="205"/>
        <v>202.85149596631817</v>
      </c>
      <c r="X84" s="143">
        <f t="shared" si="205"/>
        <v>242.62629909696872</v>
      </c>
      <c r="Y84" s="143">
        <f t="shared" si="205"/>
        <v>290.20008323362924</v>
      </c>
      <c r="Z84" s="143">
        <f t="shared" si="205"/>
        <v>347.10206033826239</v>
      </c>
      <c r="AA84" s="143">
        <f t="shared" si="205"/>
        <v>415.16128785556873</v>
      </c>
      <c r="AB84" s="143">
        <f t="shared" si="205"/>
        <v>496.5654619448959</v>
      </c>
      <c r="AC84" s="143">
        <f t="shared" si="205"/>
        <v>593.93123879683628</v>
      </c>
      <c r="AD84" s="137">
        <f t="shared" si="202"/>
        <v>0.49702745712548801</v>
      </c>
      <c r="AE84" s="31">
        <f t="shared" si="15"/>
        <v>0.05</v>
      </c>
      <c r="AF84" s="145">
        <f t="shared" si="136"/>
        <v>6236.2780073667809</v>
      </c>
    </row>
    <row r="85" spans="2:32" x14ac:dyDescent="0.2">
      <c r="B85" s="20" t="s">
        <v>312</v>
      </c>
      <c r="C85" s="143"/>
      <c r="D85" s="143"/>
      <c r="E85" s="143"/>
      <c r="F85" s="143"/>
      <c r="G85" s="143">
        <f t="shared" ref="G85:P85" si="206">G6/G42</f>
        <v>23.893805309734514</v>
      </c>
      <c r="H85" s="143">
        <f t="shared" si="206"/>
        <v>25.663716814159294</v>
      </c>
      <c r="I85" s="143">
        <f t="shared" si="206"/>
        <v>29.203539823008853</v>
      </c>
      <c r="J85" s="143">
        <f t="shared" si="206"/>
        <v>36.283185840707965</v>
      </c>
      <c r="K85" s="143">
        <f t="shared" si="206"/>
        <v>48.67256637168142</v>
      </c>
      <c r="L85" s="143">
        <f t="shared" si="206"/>
        <v>62.83185840707965</v>
      </c>
      <c r="M85" s="143">
        <f t="shared" si="206"/>
        <v>97.345132743362839</v>
      </c>
      <c r="N85" s="143">
        <f t="shared" si="206"/>
        <v>157.52212389380531</v>
      </c>
      <c r="O85" s="143">
        <f t="shared" si="206"/>
        <v>240.70796460176993</v>
      </c>
      <c r="P85" s="143">
        <f t="shared" si="206"/>
        <v>339.82300884955754</v>
      </c>
      <c r="Q85" s="143">
        <f t="shared" ref="Q85" si="207">Q6/Q42</f>
        <v>507.07964601769919</v>
      </c>
      <c r="R85" s="118">
        <f>((P85/G85)^(1/($H$2-$H$1) ))-1</f>
        <v>0.30405751438898876</v>
      </c>
      <c r="S85" s="128"/>
      <c r="T85" s="143">
        <f t="shared" ref="T85:AC85" si="208">T6/T42</f>
        <v>606.50702758979696</v>
      </c>
      <c r="U85" s="143">
        <f t="shared" si="208"/>
        <v>725.42997417603169</v>
      </c>
      <c r="V85" s="143">
        <f t="shared" si="208"/>
        <v>867.67114558309652</v>
      </c>
      <c r="W85" s="143">
        <f t="shared" si="208"/>
        <v>1037.8027427562527</v>
      </c>
      <c r="X85" s="143">
        <f t="shared" si="208"/>
        <v>1241.2934766300275</v>
      </c>
      <c r="Y85" s="143">
        <f t="shared" si="208"/>
        <v>1484.684354400621</v>
      </c>
      <c r="Z85" s="143">
        <f t="shared" si="208"/>
        <v>1775.7989336948606</v>
      </c>
      <c r="AA85" s="143">
        <f t="shared" si="208"/>
        <v>2123.9948030467935</v>
      </c>
      <c r="AB85" s="143">
        <f t="shared" si="208"/>
        <v>2540.4643722716551</v>
      </c>
      <c r="AC85" s="143">
        <f t="shared" si="208"/>
        <v>3038.5946413445286</v>
      </c>
      <c r="AD85" s="137">
        <f t="shared" si="202"/>
        <v>0.27414651983900362</v>
      </c>
      <c r="AE85" s="31">
        <f t="shared" ref="AE85" si="209">$L$1</f>
        <v>0.05</v>
      </c>
      <c r="AF85" s="145">
        <f t="shared" si="136"/>
        <v>31905.243734117554</v>
      </c>
    </row>
    <row r="86" spans="2:32" x14ac:dyDescent="0.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2"/>
    </row>
    <row r="87" spans="2:32" x14ac:dyDescent="0.2">
      <c r="B87" s="20" t="s">
        <v>466</v>
      </c>
      <c r="C87" s="127"/>
      <c r="D87" s="127"/>
      <c r="E87" s="127"/>
      <c r="F87" s="143"/>
      <c r="G87" s="143">
        <f t="shared" ref="G87:Q87" si="210">G40/$Q$42</f>
        <v>0.18584070796460178</v>
      </c>
      <c r="H87" s="143">
        <f t="shared" si="210"/>
        <v>3.5398230088495577</v>
      </c>
      <c r="I87" s="143">
        <f t="shared" si="210"/>
        <v>6.1946902654867264</v>
      </c>
      <c r="J87" s="143">
        <f t="shared" si="210"/>
        <v>10.619469026548673</v>
      </c>
      <c r="K87" s="143">
        <f t="shared" si="210"/>
        <v>18.584070796460178</v>
      </c>
      <c r="L87" s="143">
        <f t="shared" si="210"/>
        <v>19.469026548672566</v>
      </c>
      <c r="M87" s="143">
        <f t="shared" si="210"/>
        <v>46.017699115044252</v>
      </c>
      <c r="N87" s="143">
        <f t="shared" si="210"/>
        <v>74.336283185840713</v>
      </c>
      <c r="O87" s="143">
        <f t="shared" si="210"/>
        <v>100.00000000000001</v>
      </c>
      <c r="P87" s="143">
        <f t="shared" si="210"/>
        <v>117.6991150442478</v>
      </c>
      <c r="Q87" s="143">
        <f t="shared" si="210"/>
        <v>99.115044247787623</v>
      </c>
      <c r="R87" s="118">
        <f>((P87/G87)^(1/($H$2-$H$1) ))-1</f>
        <v>0.90617704210802241</v>
      </c>
      <c r="S87" s="128"/>
      <c r="T87" s="143">
        <f t="shared" ref="T87:AC87" si="211">T40/T42</f>
        <v>118.54936664931459</v>
      </c>
      <c r="U87" s="143">
        <f t="shared" si="211"/>
        <v>141.79434050212137</v>
      </c>
      <c r="V87" s="143">
        <f t="shared" si="211"/>
        <v>169.5971523652824</v>
      </c>
      <c r="W87" s="143">
        <f t="shared" si="211"/>
        <v>202.85149596631817</v>
      </c>
      <c r="X87" s="143">
        <f t="shared" si="211"/>
        <v>242.62629909696872</v>
      </c>
      <c r="Y87" s="143">
        <f t="shared" si="211"/>
        <v>290.20008323362924</v>
      </c>
      <c r="Z87" s="143">
        <f t="shared" si="211"/>
        <v>347.10206033826239</v>
      </c>
      <c r="AA87" s="143">
        <f t="shared" si="211"/>
        <v>415.16128785556873</v>
      </c>
      <c r="AB87" s="143">
        <f t="shared" si="211"/>
        <v>496.5654619448959</v>
      </c>
      <c r="AC87" s="143">
        <f t="shared" si="211"/>
        <v>593.93123879683628</v>
      </c>
      <c r="AD87" s="138"/>
      <c r="AE87" s="20"/>
      <c r="AF87" s="152"/>
    </row>
    <row r="88" spans="2:32" x14ac:dyDescent="0.2">
      <c r="B88" s="20"/>
      <c r="C88" s="127"/>
      <c r="D88" s="127"/>
      <c r="E88" s="127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28"/>
      <c r="S88" s="128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38"/>
      <c r="AE88" s="20"/>
      <c r="AF88" s="152"/>
    </row>
    <row r="89" spans="2:32" x14ac:dyDescent="0.2">
      <c r="B89" s="108" t="s">
        <v>309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2:32" x14ac:dyDescent="0.2">
      <c r="B90" s="20" t="s">
        <v>308</v>
      </c>
      <c r="C90" s="150"/>
      <c r="D90" s="150"/>
      <c r="E90" s="150"/>
      <c r="F90" s="150"/>
      <c r="G90" s="150">
        <f t="shared" ref="G90:P90" si="212">G36/G25</f>
        <v>4.2553191489361701E-2</v>
      </c>
      <c r="H90" s="150">
        <f t="shared" si="212"/>
        <v>5.9459459459459463E-2</v>
      </c>
      <c r="I90" s="150">
        <f t="shared" si="212"/>
        <v>9.45945945945946E-2</v>
      </c>
      <c r="J90" s="150">
        <f t="shared" si="212"/>
        <v>8.9655172413793102E-2</v>
      </c>
      <c r="K90" s="150">
        <f t="shared" si="212"/>
        <v>0.10122699386503067</v>
      </c>
      <c r="L90" s="150">
        <f t="shared" si="212"/>
        <v>9.7744360902255634E-2</v>
      </c>
      <c r="M90" s="150">
        <f t="shared" si="212"/>
        <v>0.15057915057915058</v>
      </c>
      <c r="N90" s="150">
        <f t="shared" si="212"/>
        <v>0.15914786967418545</v>
      </c>
      <c r="O90" s="150">
        <f t="shared" si="212"/>
        <v>0.153184165232358</v>
      </c>
      <c r="P90" s="150">
        <f t="shared" si="212"/>
        <v>0.14386959603118354</v>
      </c>
      <c r="Q90" s="150">
        <f t="shared" ref="Q90" si="213">Q36/Q25</f>
        <v>0.12075471698113208</v>
      </c>
      <c r="R90" s="118">
        <f t="shared" ref="R90:R143" si="214">((P90/G90)^(1/($H$2-$H$1) ))-1</f>
        <v>0.12954539315419411</v>
      </c>
      <c r="S90" s="150"/>
      <c r="T90" s="150">
        <f t="shared" ref="T90:AC90" si="215">T36/T25</f>
        <v>0.12075471698113206</v>
      </c>
      <c r="U90" s="150">
        <f t="shared" si="215"/>
        <v>0.12075471698113208</v>
      </c>
      <c r="V90" s="150">
        <f t="shared" si="215"/>
        <v>0.12075471698113206</v>
      </c>
      <c r="W90" s="150">
        <f t="shared" si="215"/>
        <v>0.12075471698113206</v>
      </c>
      <c r="X90" s="150">
        <f t="shared" si="215"/>
        <v>0.12075471698113206</v>
      </c>
      <c r="Y90" s="150">
        <f t="shared" si="215"/>
        <v>0.12075471698113208</v>
      </c>
      <c r="Z90" s="150">
        <f t="shared" si="215"/>
        <v>0.12075471698113206</v>
      </c>
      <c r="AA90" s="150">
        <f t="shared" si="215"/>
        <v>0.12075471698113205</v>
      </c>
      <c r="AB90" s="150">
        <f t="shared" si="215"/>
        <v>0.12075471698113205</v>
      </c>
      <c r="AC90" s="150">
        <f t="shared" si="215"/>
        <v>0.12075471698113203</v>
      </c>
      <c r="AD90" s="137">
        <f t="shared" ref="AD90:AD130" si="216">((AC90/G90)^(1/($AC$3-$H$1) ))-1</f>
        <v>5.353410301706929E-2</v>
      </c>
      <c r="AE90" s="145"/>
      <c r="AF90" s="145"/>
    </row>
    <row r="91" spans="2:32" x14ac:dyDescent="0.2">
      <c r="B91" s="20" t="s">
        <v>266</v>
      </c>
      <c r="C91" s="150"/>
      <c r="D91" s="150"/>
      <c r="E91" s="150"/>
      <c r="F91" s="150"/>
      <c r="G91" s="150">
        <f t="shared" ref="G91:P91" si="217">G40/G25</f>
        <v>1.4893617021276594E-3</v>
      </c>
      <c r="H91" s="150">
        <f t="shared" si="217"/>
        <v>2.1621621621621623E-2</v>
      </c>
      <c r="I91" s="150">
        <f t="shared" si="217"/>
        <v>3.1531531531531529E-2</v>
      </c>
      <c r="J91" s="150">
        <f t="shared" si="217"/>
        <v>4.1379310344827586E-2</v>
      </c>
      <c r="K91" s="150">
        <f t="shared" si="217"/>
        <v>6.4417177914110432E-2</v>
      </c>
      <c r="L91" s="150">
        <f t="shared" si="217"/>
        <v>5.5137844611528819E-2</v>
      </c>
      <c r="M91" s="150">
        <f t="shared" si="217"/>
        <v>0.10038610038610038</v>
      </c>
      <c r="N91" s="150">
        <f t="shared" si="217"/>
        <v>0.10526315789473684</v>
      </c>
      <c r="O91" s="150">
        <f t="shared" si="217"/>
        <v>9.72461273666093E-2</v>
      </c>
      <c r="P91" s="150">
        <f t="shared" si="217"/>
        <v>9.4259390503189225E-2</v>
      </c>
      <c r="Q91" s="150">
        <f t="shared" ref="Q91" si="218">Q40/Q25</f>
        <v>8.4528301886792459E-2</v>
      </c>
      <c r="R91" s="118">
        <f t="shared" si="214"/>
        <v>0.51402290167289433</v>
      </c>
      <c r="S91" s="150"/>
      <c r="T91" s="150">
        <f t="shared" ref="T91:AC91" si="219">T40/T25</f>
        <v>8.4528301886792445E-2</v>
      </c>
      <c r="U91" s="150">
        <f t="shared" si="219"/>
        <v>8.4528301886792445E-2</v>
      </c>
      <c r="V91" s="150">
        <f t="shared" si="219"/>
        <v>8.4528301886792445E-2</v>
      </c>
      <c r="W91" s="150">
        <f t="shared" si="219"/>
        <v>8.4528301886792445E-2</v>
      </c>
      <c r="X91" s="150">
        <f t="shared" si="219"/>
        <v>8.4528301886792431E-2</v>
      </c>
      <c r="Y91" s="150">
        <f t="shared" si="219"/>
        <v>8.4528301886792431E-2</v>
      </c>
      <c r="Z91" s="150">
        <f t="shared" si="219"/>
        <v>8.4528301886792431E-2</v>
      </c>
      <c r="AA91" s="150">
        <f t="shared" si="219"/>
        <v>8.4528301886792431E-2</v>
      </c>
      <c r="AB91" s="150">
        <f t="shared" si="219"/>
        <v>8.4528301886792431E-2</v>
      </c>
      <c r="AC91" s="150">
        <f t="shared" si="219"/>
        <v>8.4528301886792431E-2</v>
      </c>
      <c r="AD91" s="137">
        <f t="shared" si="216"/>
        <v>0.22377083294647426</v>
      </c>
      <c r="AE91" s="145"/>
      <c r="AF91" s="145"/>
    </row>
    <row r="92" spans="2:32" x14ac:dyDescent="0.2">
      <c r="B92" s="20" t="s">
        <v>358</v>
      </c>
      <c r="C92" s="150"/>
      <c r="D92" s="150"/>
      <c r="E92" s="150"/>
      <c r="F92" s="150"/>
      <c r="G92" s="150">
        <f>G40/G7</f>
        <v>5.0000000000000001E-3</v>
      </c>
      <c r="H92" s="150">
        <f t="shared" ref="H92:O92" si="220">H40/H7</f>
        <v>6.1538461538461542E-2</v>
      </c>
      <c r="I92" s="150">
        <f t="shared" si="220"/>
        <v>0.12280701754385964</v>
      </c>
      <c r="J92" s="150">
        <f t="shared" si="220"/>
        <v>0.16438356164383561</v>
      </c>
      <c r="K92" s="150">
        <f t="shared" si="220"/>
        <v>0.44680851063829785</v>
      </c>
      <c r="L92" s="150">
        <f t="shared" si="220"/>
        <v>1.0476190476190477</v>
      </c>
      <c r="M92" s="150">
        <f t="shared" si="220"/>
        <v>0.41935483870967744</v>
      </c>
      <c r="N92" s="150">
        <f t="shared" si="220"/>
        <v>0.4375</v>
      </c>
      <c r="O92" s="150">
        <f t="shared" si="220"/>
        <v>0.39649122807017545</v>
      </c>
      <c r="P92" s="150">
        <f t="shared" ref="P92:Q92" si="221">P40/P7</f>
        <v>0.33670886075949369</v>
      </c>
      <c r="Q92" s="150">
        <f t="shared" si="221"/>
        <v>0.19145299145299147</v>
      </c>
      <c r="R92" s="118">
        <f t="shared" si="214"/>
        <v>0.52345087331521145</v>
      </c>
      <c r="S92" s="20"/>
      <c r="T92" s="150">
        <f t="shared" ref="T92" si="222">T40/T7</f>
        <v>0.19145299145299144</v>
      </c>
      <c r="U92" s="150">
        <f t="shared" ref="U92:AC92" si="223">U40/U7</f>
        <v>0.19145299145299144</v>
      </c>
      <c r="V92" s="150">
        <f t="shared" si="223"/>
        <v>0.19145299145299144</v>
      </c>
      <c r="W92" s="150">
        <f t="shared" si="223"/>
        <v>0.19145299145299144</v>
      </c>
      <c r="X92" s="150">
        <f t="shared" si="223"/>
        <v>0.19145299145299141</v>
      </c>
      <c r="Y92" s="150">
        <f t="shared" si="223"/>
        <v>0.19145299145299141</v>
      </c>
      <c r="Z92" s="150">
        <f t="shared" si="223"/>
        <v>0.19145299145299144</v>
      </c>
      <c r="AA92" s="150">
        <f t="shared" si="223"/>
        <v>0.19145299145299144</v>
      </c>
      <c r="AB92" s="150">
        <f t="shared" si="223"/>
        <v>0.19145299145299141</v>
      </c>
      <c r="AC92" s="150">
        <f t="shared" si="223"/>
        <v>0.19145299145299141</v>
      </c>
      <c r="AD92" s="137">
        <f t="shared" si="216"/>
        <v>0.19992639754124064</v>
      </c>
      <c r="AE92" s="145"/>
      <c r="AF92" s="145"/>
    </row>
    <row r="93" spans="2:32" x14ac:dyDescent="0.2">
      <c r="B93" s="20" t="s">
        <v>359</v>
      </c>
      <c r="C93" s="150"/>
      <c r="D93" s="150"/>
      <c r="E93" s="150"/>
      <c r="F93" s="150"/>
      <c r="G93" s="150">
        <f>(G40)/(G7+G10)</f>
        <v>1.764705882352941E-3</v>
      </c>
      <c r="H93" s="150">
        <f t="shared" ref="H93:O93" si="224">(H40)/(H7+H10)</f>
        <v>3.0769230769230771E-2</v>
      </c>
      <c r="I93" s="150">
        <f t="shared" si="224"/>
        <v>6.1403508771929821E-2</v>
      </c>
      <c r="J93" s="150">
        <f t="shared" si="224"/>
        <v>8.2191780821917804E-2</v>
      </c>
      <c r="K93" s="150">
        <f t="shared" si="224"/>
        <v>0.22340425531914893</v>
      </c>
      <c r="L93" s="150">
        <f t="shared" si="224"/>
        <v>0.52380952380952384</v>
      </c>
      <c r="M93" s="150">
        <f t="shared" si="224"/>
        <v>0.40944881889763779</v>
      </c>
      <c r="N93" s="150">
        <f t="shared" si="224"/>
        <v>0.4329896907216495</v>
      </c>
      <c r="O93" s="150">
        <f t="shared" si="224"/>
        <v>0.3741721854304636</v>
      </c>
      <c r="P93" s="150">
        <f t="shared" ref="P93:Q93" si="225">(P40)/(P7+P10)</f>
        <v>0.26078431372549021</v>
      </c>
      <c r="Q93" s="150">
        <f t="shared" si="225"/>
        <v>0.18330605564648117</v>
      </c>
      <c r="R93" s="118">
        <f t="shared" si="214"/>
        <v>0.64801406228031344</v>
      </c>
      <c r="S93" s="20"/>
      <c r="T93" s="150">
        <f t="shared" ref="T93:AC93" si="226">(T40)/(T7+T10)</f>
        <v>0.18330605564648117</v>
      </c>
      <c r="U93" s="150">
        <f t="shared" si="226"/>
        <v>0.18330605564648117</v>
      </c>
      <c r="V93" s="150">
        <f t="shared" si="226"/>
        <v>0.18330605564648114</v>
      </c>
      <c r="W93" s="150">
        <f t="shared" si="226"/>
        <v>0.18330605564648117</v>
      </c>
      <c r="X93" s="150">
        <f t="shared" si="226"/>
        <v>0.18330605564648114</v>
      </c>
      <c r="Y93" s="150">
        <f t="shared" si="226"/>
        <v>0.18330605564648114</v>
      </c>
      <c r="Z93" s="150">
        <f t="shared" si="226"/>
        <v>0.18330605564648117</v>
      </c>
      <c r="AA93" s="150">
        <f t="shared" si="226"/>
        <v>0.18330605564648117</v>
      </c>
      <c r="AB93" s="150">
        <f t="shared" si="226"/>
        <v>0.18330605564648114</v>
      </c>
      <c r="AC93" s="150">
        <f t="shared" si="226"/>
        <v>0.18330605564648114</v>
      </c>
      <c r="AD93" s="137">
        <f t="shared" si="216"/>
        <v>0.26131983102583778</v>
      </c>
      <c r="AE93" s="145"/>
      <c r="AF93" s="145"/>
    </row>
    <row r="94" spans="2:32" x14ac:dyDescent="0.2">
      <c r="B94" s="20" t="s">
        <v>375</v>
      </c>
      <c r="C94" s="150"/>
      <c r="D94" s="150"/>
      <c r="E94" s="150"/>
      <c r="F94" s="150"/>
      <c r="G94" s="150">
        <f>G20/G25</f>
        <v>9.2198581560283682E-2</v>
      </c>
      <c r="H94" s="150">
        <f t="shared" ref="H94:P94" si="227">H20/H25</f>
        <v>8.1081081081081086E-2</v>
      </c>
      <c r="I94" s="150">
        <f t="shared" si="227"/>
        <v>9.90990990990991E-2</v>
      </c>
      <c r="J94" s="150">
        <f t="shared" si="227"/>
        <v>1.3793103448275862E-2</v>
      </c>
      <c r="K94" s="150">
        <f t="shared" si="227"/>
        <v>0.1411042944785276</v>
      </c>
      <c r="L94" s="150">
        <f t="shared" si="227"/>
        <v>0.10776942355889724</v>
      </c>
      <c r="M94" s="150">
        <f t="shared" si="227"/>
        <v>0.11969111969111969</v>
      </c>
      <c r="N94" s="150">
        <f t="shared" si="227"/>
        <v>9.2731829573934832E-2</v>
      </c>
      <c r="O94" s="150">
        <f t="shared" si="227"/>
        <v>5.2495697074010327E-2</v>
      </c>
      <c r="P94" s="150">
        <f t="shared" si="227"/>
        <v>6.8745570517363574E-2</v>
      </c>
      <c r="Q94" s="150">
        <f t="shared" ref="Q94" si="228">Q20/Q25</f>
        <v>6.4150943396226415E-2</v>
      </c>
      <c r="R94" s="118">
        <f t="shared" si="214"/>
        <v>-2.8926622012816927E-2</v>
      </c>
      <c r="S94" s="20"/>
      <c r="T94" s="150">
        <f t="shared" ref="T94:AC94" si="229">T20/T25</f>
        <v>6.4150943396226415E-2</v>
      </c>
      <c r="U94" s="150">
        <f t="shared" si="229"/>
        <v>6.4150943396226415E-2</v>
      </c>
      <c r="V94" s="150">
        <f t="shared" si="229"/>
        <v>6.4150943396226415E-2</v>
      </c>
      <c r="W94" s="150">
        <f t="shared" si="229"/>
        <v>6.4150943396226415E-2</v>
      </c>
      <c r="X94" s="150">
        <f t="shared" si="229"/>
        <v>6.4150943396226415E-2</v>
      </c>
      <c r="Y94" s="150">
        <f t="shared" si="229"/>
        <v>6.4150943396226415E-2</v>
      </c>
      <c r="Z94" s="150">
        <f t="shared" si="229"/>
        <v>6.4150943396226415E-2</v>
      </c>
      <c r="AA94" s="150">
        <f t="shared" si="229"/>
        <v>6.4150943396226401E-2</v>
      </c>
      <c r="AB94" s="150">
        <f t="shared" si="229"/>
        <v>6.4150943396226401E-2</v>
      </c>
      <c r="AC94" s="150">
        <f t="shared" si="229"/>
        <v>6.4150943396226401E-2</v>
      </c>
      <c r="AD94" s="137">
        <f t="shared" si="216"/>
        <v>-1.7971842536503524E-2</v>
      </c>
      <c r="AE94" s="145"/>
      <c r="AF94" s="145"/>
    </row>
    <row r="95" spans="2:32" x14ac:dyDescent="0.2">
      <c r="B95" s="20" t="s">
        <v>427</v>
      </c>
      <c r="C95" s="150"/>
      <c r="D95" s="150"/>
      <c r="E95" s="150"/>
      <c r="F95" s="150"/>
      <c r="G95" s="150">
        <f>G53/G25</f>
        <v>2.4113475177304968E-3</v>
      </c>
      <c r="H95" s="150">
        <f t="shared" ref="H95:P95" si="230">H53/H25</f>
        <v>0</v>
      </c>
      <c r="I95" s="150">
        <f t="shared" si="230"/>
        <v>2.2522522522522521E-2</v>
      </c>
      <c r="J95" s="150">
        <f t="shared" si="230"/>
        <v>1.7241379310344827E-2</v>
      </c>
      <c r="K95" s="150">
        <f t="shared" si="230"/>
        <v>9.202453987730062E-3</v>
      </c>
      <c r="L95" s="150">
        <f t="shared" si="230"/>
        <v>1.7543859649122806E-2</v>
      </c>
      <c r="M95" s="150">
        <f t="shared" si="230"/>
        <v>4.633204633204633E-2</v>
      </c>
      <c r="N95" s="150">
        <f t="shared" si="230"/>
        <v>4.5112781954887216E-2</v>
      </c>
      <c r="O95" s="150">
        <f t="shared" si="230"/>
        <v>4.3029259896729774E-2</v>
      </c>
      <c r="P95" s="150">
        <f t="shared" si="230"/>
        <v>3.6853295535081501E-2</v>
      </c>
      <c r="Q95" s="150">
        <f t="shared" ref="Q95" si="231">Q53/Q25</f>
        <v>3.0188679245283019E-2</v>
      </c>
      <c r="R95" s="118">
        <f t="shared" si="214"/>
        <v>0.31347452058587666</v>
      </c>
      <c r="S95" s="20"/>
      <c r="T95" s="150">
        <f t="shared" ref="T95:AC95" si="232">T53/T25</f>
        <v>3.0188679245283026E-2</v>
      </c>
      <c r="U95" s="150">
        <f t="shared" si="232"/>
        <v>3.0188679245283023E-2</v>
      </c>
      <c r="V95" s="150">
        <f t="shared" si="232"/>
        <v>3.0188679245283026E-2</v>
      </c>
      <c r="W95" s="150">
        <f t="shared" si="232"/>
        <v>3.0188679245283033E-2</v>
      </c>
      <c r="X95" s="150">
        <f t="shared" si="232"/>
        <v>3.018867924528304E-2</v>
      </c>
      <c r="Y95" s="150">
        <f t="shared" si="232"/>
        <v>3.018867924528304E-2</v>
      </c>
      <c r="Z95" s="150">
        <f t="shared" si="232"/>
        <v>3.0188679245283036E-2</v>
      </c>
      <c r="AA95" s="150">
        <f t="shared" si="232"/>
        <v>3.0188679245283026E-2</v>
      </c>
      <c r="AB95" s="150">
        <f t="shared" si="232"/>
        <v>3.018867924528303E-2</v>
      </c>
      <c r="AC95" s="150">
        <f t="shared" si="232"/>
        <v>3.0188679245283016E-2</v>
      </c>
      <c r="AD95" s="137">
        <f t="shared" si="216"/>
        <v>0.13469519405343555</v>
      </c>
      <c r="AE95" s="145"/>
      <c r="AF95" s="145"/>
    </row>
    <row r="96" spans="2:32" x14ac:dyDescent="0.2">
      <c r="B96" s="2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2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3"/>
      <c r="AE96" s="145"/>
      <c r="AF96" s="145"/>
    </row>
    <row r="97" spans="2:32" x14ac:dyDescent="0.2">
      <c r="B97" s="20" t="s">
        <v>322</v>
      </c>
      <c r="C97" s="150"/>
      <c r="D97" s="150"/>
      <c r="E97" s="150"/>
      <c r="F97" s="150"/>
      <c r="G97" s="150">
        <f>G29/G25</f>
        <v>7.0921985815602842E-2</v>
      </c>
      <c r="H97" s="150">
        <f t="shared" ref="H97:P97" si="233">H29/H25</f>
        <v>5.9459459459459463E-2</v>
      </c>
      <c r="I97" s="150">
        <f t="shared" si="233"/>
        <v>9.45945945945946E-2</v>
      </c>
      <c r="J97" s="150">
        <f t="shared" si="233"/>
        <v>8.9655172413793102E-2</v>
      </c>
      <c r="K97" s="150">
        <f t="shared" si="233"/>
        <v>0.10122699386503067</v>
      </c>
      <c r="L97" s="150">
        <f t="shared" si="233"/>
        <v>9.7744360902255634E-2</v>
      </c>
      <c r="M97" s="150">
        <f t="shared" si="233"/>
        <v>5.7915057915057912E-3</v>
      </c>
      <c r="N97" s="150">
        <f t="shared" si="233"/>
        <v>5.0125313283208017E-3</v>
      </c>
      <c r="O97" s="150">
        <f t="shared" si="233"/>
        <v>8.6058519793459545E-3</v>
      </c>
      <c r="P97" s="150">
        <f t="shared" si="233"/>
        <v>9.922041105598866E-3</v>
      </c>
      <c r="Q97" s="150">
        <f t="shared" ref="Q97" si="234">Q29/Q25</f>
        <v>6.7924528301886791E-3</v>
      </c>
      <c r="R97" s="118">
        <f t="shared" si="214"/>
        <v>-0.17854833644340873</v>
      </c>
      <c r="S97" s="20"/>
      <c r="T97" s="150">
        <f t="shared" ref="T97:AC97" si="235">T29/T25</f>
        <v>6.7924528301886791E-3</v>
      </c>
      <c r="U97" s="150">
        <f t="shared" si="235"/>
        <v>6.79245283018868E-3</v>
      </c>
      <c r="V97" s="150">
        <f t="shared" si="235"/>
        <v>6.7924528301886791E-3</v>
      </c>
      <c r="W97" s="150">
        <f t="shared" si="235"/>
        <v>6.7924528301886783E-3</v>
      </c>
      <c r="X97" s="150">
        <f t="shared" si="235"/>
        <v>6.7924528301886774E-3</v>
      </c>
      <c r="Y97" s="150">
        <f t="shared" si="235"/>
        <v>6.7924528301886774E-3</v>
      </c>
      <c r="Z97" s="150">
        <f t="shared" si="235"/>
        <v>6.7924528301886765E-3</v>
      </c>
      <c r="AA97" s="150">
        <f t="shared" si="235"/>
        <v>6.7924528301886765E-3</v>
      </c>
      <c r="AB97" s="150">
        <f t="shared" si="235"/>
        <v>6.7924528301886765E-3</v>
      </c>
      <c r="AC97" s="150">
        <f t="shared" si="235"/>
        <v>6.7924528301886765E-3</v>
      </c>
      <c r="AD97" s="137">
        <f t="shared" si="216"/>
        <v>-0.11067134238686571</v>
      </c>
      <c r="AE97" s="145"/>
      <c r="AF97" s="145"/>
    </row>
    <row r="98" spans="2:32" x14ac:dyDescent="0.2">
      <c r="B98" s="20" t="s">
        <v>368</v>
      </c>
      <c r="C98" s="150"/>
      <c r="D98" s="150"/>
      <c r="E98" s="150"/>
      <c r="F98" s="150"/>
      <c r="G98" s="150">
        <f>G29/G36</f>
        <v>1.6666666666666667</v>
      </c>
      <c r="H98" s="150">
        <f t="shared" ref="H98:P98" si="236">H29/H36</f>
        <v>1</v>
      </c>
      <c r="I98" s="150">
        <f t="shared" si="236"/>
        <v>1</v>
      </c>
      <c r="J98" s="150">
        <f t="shared" si="236"/>
        <v>1</v>
      </c>
      <c r="K98" s="150">
        <f t="shared" si="236"/>
        <v>1</v>
      </c>
      <c r="L98" s="150">
        <f t="shared" si="236"/>
        <v>1</v>
      </c>
      <c r="M98" s="150">
        <f t="shared" si="236"/>
        <v>3.8461538461538464E-2</v>
      </c>
      <c r="N98" s="150">
        <f t="shared" si="236"/>
        <v>3.1496062992125984E-2</v>
      </c>
      <c r="O98" s="150">
        <f t="shared" si="236"/>
        <v>5.6179775280898875E-2</v>
      </c>
      <c r="P98" s="150">
        <f t="shared" si="236"/>
        <v>6.8965517241379309E-2</v>
      </c>
      <c r="Q98" s="150">
        <f t="shared" ref="Q98" si="237">Q29/Q36</f>
        <v>5.6250000000000001E-2</v>
      </c>
      <c r="R98" s="118">
        <f t="shared" ref="R98" si="238">((P98/G98)^(1/($H$2-$H$1) ))-1</f>
        <v>-0.272759051088038</v>
      </c>
      <c r="S98" s="20"/>
      <c r="T98" s="150">
        <f t="shared" ref="T98:AC98" si="239">T29/T36</f>
        <v>5.6250000000000008E-2</v>
      </c>
      <c r="U98" s="150">
        <f t="shared" si="239"/>
        <v>5.6250000000000008E-2</v>
      </c>
      <c r="V98" s="150">
        <f t="shared" si="239"/>
        <v>5.6250000000000001E-2</v>
      </c>
      <c r="W98" s="150">
        <f t="shared" si="239"/>
        <v>5.6249999999999994E-2</v>
      </c>
      <c r="X98" s="150">
        <f t="shared" si="239"/>
        <v>5.6249999999999988E-2</v>
      </c>
      <c r="Y98" s="150">
        <f t="shared" si="239"/>
        <v>5.6249999999999988E-2</v>
      </c>
      <c r="Z98" s="150">
        <f t="shared" si="239"/>
        <v>5.6249999999999988E-2</v>
      </c>
      <c r="AA98" s="150">
        <f t="shared" si="239"/>
        <v>5.6249999999999988E-2</v>
      </c>
      <c r="AB98" s="150">
        <f t="shared" si="239"/>
        <v>5.6249999999999988E-2</v>
      </c>
      <c r="AC98" s="150">
        <f t="shared" si="239"/>
        <v>5.6249999999999994E-2</v>
      </c>
      <c r="AD98" s="137">
        <f t="shared" ref="AD98" si="240">((AC98/G98)^(1/($AC$3-$H$1) ))-1</f>
        <v>-0.15586153778381728</v>
      </c>
      <c r="AE98" s="145"/>
      <c r="AF98" s="145"/>
    </row>
    <row r="99" spans="2:32" ht="12" customHeight="1" x14ac:dyDescent="0.2">
      <c r="B99" s="20" t="s">
        <v>367</v>
      </c>
      <c r="C99" s="150"/>
      <c r="D99" s="150"/>
      <c r="E99" s="150"/>
      <c r="F99" s="150"/>
      <c r="G99" s="169">
        <f t="shared" ref="G99:P99" si="241">G29/G40</f>
        <v>47.61904761904762</v>
      </c>
      <c r="H99" s="169">
        <f t="shared" si="241"/>
        <v>2.75</v>
      </c>
      <c r="I99" s="169">
        <f t="shared" si="241"/>
        <v>3</v>
      </c>
      <c r="J99" s="169">
        <f t="shared" si="241"/>
        <v>2.1666666666666665</v>
      </c>
      <c r="K99" s="169">
        <f t="shared" si="241"/>
        <v>1.5714285714285714</v>
      </c>
      <c r="L99" s="169">
        <f t="shared" si="241"/>
        <v>1.7727272727272727</v>
      </c>
      <c r="M99" s="169">
        <f t="shared" si="241"/>
        <v>5.7692307692307696E-2</v>
      </c>
      <c r="N99" s="169">
        <f t="shared" si="241"/>
        <v>4.7619047619047616E-2</v>
      </c>
      <c r="O99" s="169">
        <f t="shared" si="241"/>
        <v>8.8495575221238937E-2</v>
      </c>
      <c r="P99" s="169">
        <f t="shared" si="241"/>
        <v>0.10526315789473684</v>
      </c>
      <c r="Q99" s="169">
        <f t="shared" ref="Q99" si="242">Q29/Q40</f>
        <v>8.0357142857142863E-2</v>
      </c>
      <c r="R99" s="118">
        <f t="shared" ref="R99" si="243">((P99/G99)^(1/($H$2-$H$1) ))-1</f>
        <v>-0.45743775563173983</v>
      </c>
      <c r="S99" s="20"/>
      <c r="T99" s="169">
        <f t="shared" ref="T99:AC99" si="244">T29/T40</f>
        <v>8.0357142857142863E-2</v>
      </c>
      <c r="U99" s="169">
        <f t="shared" si="244"/>
        <v>8.0357142857142863E-2</v>
      </c>
      <c r="V99" s="169">
        <f t="shared" si="244"/>
        <v>8.0357142857142863E-2</v>
      </c>
      <c r="W99" s="169">
        <f t="shared" si="244"/>
        <v>8.0357142857142849E-2</v>
      </c>
      <c r="X99" s="169">
        <f t="shared" si="244"/>
        <v>8.0357142857142849E-2</v>
      </c>
      <c r="Y99" s="169">
        <f t="shared" si="244"/>
        <v>8.0357142857142863E-2</v>
      </c>
      <c r="Z99" s="169">
        <f t="shared" si="244"/>
        <v>8.0357142857142849E-2</v>
      </c>
      <c r="AA99" s="169">
        <f t="shared" si="244"/>
        <v>8.0357142857142849E-2</v>
      </c>
      <c r="AB99" s="169">
        <f t="shared" si="244"/>
        <v>8.0357142857142849E-2</v>
      </c>
      <c r="AC99" s="169">
        <f t="shared" si="244"/>
        <v>8.0357142857142849E-2</v>
      </c>
      <c r="AD99" s="137">
        <f t="shared" ref="AD99" si="245">((AC99/G99)^(1/($AC$3-$H$1) ))-1</f>
        <v>-0.2732882385569716</v>
      </c>
      <c r="AE99" s="145"/>
      <c r="AF99" s="145"/>
    </row>
    <row r="100" spans="2:32" ht="12" customHeight="1" x14ac:dyDescent="0.2">
      <c r="B100" s="20" t="s">
        <v>324</v>
      </c>
      <c r="C100" s="150"/>
      <c r="D100" s="150"/>
      <c r="E100" s="150"/>
      <c r="F100" s="150"/>
      <c r="G100" s="169">
        <f t="shared" ref="G100:P100" si="246">G29/G12</f>
        <v>1.6666666666666667</v>
      </c>
      <c r="H100" s="169">
        <f t="shared" si="246"/>
        <v>1.2222222222222223</v>
      </c>
      <c r="I100" s="169">
        <f t="shared" si="246"/>
        <v>2.3333333333333335</v>
      </c>
      <c r="J100" s="169">
        <f t="shared" si="246"/>
        <v>3.7142857142857144</v>
      </c>
      <c r="K100" s="169">
        <f t="shared" si="246"/>
        <v>3</v>
      </c>
      <c r="L100" s="169">
        <f t="shared" si="246"/>
        <v>3.25</v>
      </c>
      <c r="M100" s="169">
        <f t="shared" si="246"/>
        <v>6.8181818181818177E-2</v>
      </c>
      <c r="N100" s="169">
        <f t="shared" si="246"/>
        <v>7.5471698113207544E-2</v>
      </c>
      <c r="O100" s="169">
        <f t="shared" si="246"/>
        <v>0.45454545454545453</v>
      </c>
      <c r="P100" s="169">
        <f t="shared" si="246"/>
        <v>0.42424242424242425</v>
      </c>
      <c r="Q100" s="169">
        <f t="shared" ref="Q100" si="247">Q29/Q12</f>
        <v>0.3</v>
      </c>
      <c r="R100" s="118">
        <f t="shared" si="214"/>
        <v>-0.1278794206499958</v>
      </c>
      <c r="S100" s="20"/>
      <c r="T100" s="150">
        <f t="shared" ref="T100:AC100" si="248">T29/T12</f>
        <v>0.3</v>
      </c>
      <c r="U100" s="150">
        <f t="shared" si="248"/>
        <v>0.3</v>
      </c>
      <c r="V100" s="150">
        <f t="shared" si="248"/>
        <v>0.3</v>
      </c>
      <c r="W100" s="150">
        <f t="shared" si="248"/>
        <v>0.29999999999999993</v>
      </c>
      <c r="X100" s="150">
        <f t="shared" si="248"/>
        <v>0.29999999999999993</v>
      </c>
      <c r="Y100" s="150">
        <f t="shared" si="248"/>
        <v>0.29999999999999993</v>
      </c>
      <c r="Z100" s="150">
        <f t="shared" si="248"/>
        <v>0.29999999999999988</v>
      </c>
      <c r="AA100" s="150">
        <f t="shared" si="248"/>
        <v>0.29999999999999988</v>
      </c>
      <c r="AB100" s="150">
        <f t="shared" si="248"/>
        <v>0.29999999999999988</v>
      </c>
      <c r="AC100" s="150">
        <f t="shared" si="248"/>
        <v>0.29999999999999988</v>
      </c>
      <c r="AD100" s="137">
        <f t="shared" si="216"/>
        <v>-8.2167091124913494E-2</v>
      </c>
      <c r="AE100" s="145"/>
      <c r="AF100" s="145"/>
    </row>
    <row r="101" spans="2:32" ht="12" customHeight="1" x14ac:dyDescent="0.2">
      <c r="B101" s="20" t="s">
        <v>369</v>
      </c>
      <c r="C101" s="150"/>
      <c r="D101" s="150"/>
      <c r="E101" s="150"/>
      <c r="F101" s="150"/>
      <c r="G101" s="169">
        <f>G29/G23</f>
        <v>1.6666666666666667</v>
      </c>
      <c r="H101" s="169">
        <f t="shared" ref="H101:P101" si="249">H29/H23</f>
        <v>1.2222222222222223</v>
      </c>
      <c r="I101" s="169">
        <f t="shared" si="249"/>
        <v>2.3333333333333335</v>
      </c>
      <c r="J101" s="169">
        <f t="shared" si="249"/>
        <v>3.7142857142857144</v>
      </c>
      <c r="K101" s="169">
        <f t="shared" si="249"/>
        <v>3</v>
      </c>
      <c r="L101" s="169">
        <f t="shared" si="249"/>
        <v>3.5454545454545454</v>
      </c>
      <c r="M101" s="169">
        <f t="shared" si="249"/>
        <v>6.8181818181818177E-2</v>
      </c>
      <c r="N101" s="169">
        <f t="shared" si="249"/>
        <v>7.5471698113207544E-2</v>
      </c>
      <c r="O101" s="169">
        <f t="shared" si="249"/>
        <v>0.45454545454545453</v>
      </c>
      <c r="P101" s="169">
        <f t="shared" si="249"/>
        <v>0.4375</v>
      </c>
      <c r="Q101" s="169">
        <f t="shared" ref="Q101" si="250">Q29/Q23</f>
        <v>0.31034482758620691</v>
      </c>
      <c r="R101" s="118">
        <f t="shared" ref="R101" si="251">((P101/G101)^(1/($H$2-$H$1) ))-1</f>
        <v>-0.12519162770011483</v>
      </c>
      <c r="S101" s="20"/>
      <c r="T101" s="169">
        <f t="shared" ref="T101:AC101" si="252">T29/T23</f>
        <v>0.31034482758620691</v>
      </c>
      <c r="U101" s="169">
        <f t="shared" si="252"/>
        <v>0.31034482758620685</v>
      </c>
      <c r="V101" s="169">
        <f t="shared" si="252"/>
        <v>0.31034482758620685</v>
      </c>
      <c r="W101" s="169">
        <f t="shared" si="252"/>
        <v>0.3103448275862068</v>
      </c>
      <c r="X101" s="169">
        <f t="shared" si="252"/>
        <v>0.31034482758620674</v>
      </c>
      <c r="Y101" s="169">
        <f t="shared" si="252"/>
        <v>0.31034482758620674</v>
      </c>
      <c r="Z101" s="169">
        <f t="shared" si="252"/>
        <v>0.31034482758620674</v>
      </c>
      <c r="AA101" s="169">
        <f t="shared" si="252"/>
        <v>0.31034482758620674</v>
      </c>
      <c r="AB101" s="169">
        <f t="shared" si="252"/>
        <v>0.31034482758620668</v>
      </c>
      <c r="AC101" s="169">
        <f t="shared" si="252"/>
        <v>0.31034482758620674</v>
      </c>
      <c r="AD101" s="137">
        <f t="shared" ref="AD101" si="253">((AC101/G101)^(1/($AC$3-$H$1) ))-1</f>
        <v>-8.060997379091317E-2</v>
      </c>
      <c r="AE101" s="145"/>
      <c r="AF101" s="145"/>
    </row>
    <row r="102" spans="2:32" ht="12" customHeight="1" x14ac:dyDescent="0.2">
      <c r="B102" s="20"/>
      <c r="C102" s="150"/>
      <c r="D102" s="150"/>
      <c r="E102" s="150"/>
      <c r="F102" s="150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2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45"/>
      <c r="AF102" s="145"/>
    </row>
    <row r="103" spans="2:32" ht="12" customHeight="1" x14ac:dyDescent="0.2">
      <c r="B103" s="20" t="s">
        <v>401</v>
      </c>
      <c r="C103" s="150"/>
      <c r="D103" s="150"/>
      <c r="E103" s="150"/>
      <c r="F103" s="150"/>
      <c r="G103" s="127">
        <f>1/G97</f>
        <v>14.1</v>
      </c>
      <c r="H103" s="127">
        <f t="shared" ref="H103:P103" si="254">1/H97</f>
        <v>16.818181818181817</v>
      </c>
      <c r="I103" s="127">
        <f t="shared" si="254"/>
        <v>10.571428571428571</v>
      </c>
      <c r="J103" s="127">
        <f t="shared" si="254"/>
        <v>11.153846153846153</v>
      </c>
      <c r="K103" s="127">
        <f t="shared" si="254"/>
        <v>9.8787878787878789</v>
      </c>
      <c r="L103" s="127">
        <f t="shared" si="254"/>
        <v>10.230769230769232</v>
      </c>
      <c r="M103" s="127">
        <f t="shared" si="254"/>
        <v>172.66666666666669</v>
      </c>
      <c r="N103" s="127">
        <f t="shared" si="254"/>
        <v>199.5</v>
      </c>
      <c r="O103" s="127">
        <f t="shared" si="254"/>
        <v>116.20000000000002</v>
      </c>
      <c r="P103" s="127">
        <f t="shared" si="254"/>
        <v>100.78571428571429</v>
      </c>
      <c r="Q103" s="127">
        <f t="shared" ref="Q103" si="255">1/Q97</f>
        <v>147.22222222222223</v>
      </c>
      <c r="R103" s="118">
        <f t="shared" si="214"/>
        <v>0.21735708181581681</v>
      </c>
      <c r="S103" s="20"/>
      <c r="T103" s="127">
        <f t="shared" ref="T103:AC103" si="256">1/T97</f>
        <v>147.22222222222223</v>
      </c>
      <c r="U103" s="127">
        <f t="shared" si="256"/>
        <v>147.2222222222222</v>
      </c>
      <c r="V103" s="127">
        <f t="shared" si="256"/>
        <v>147.22222222222223</v>
      </c>
      <c r="W103" s="127">
        <f t="shared" si="256"/>
        <v>147.22222222222226</v>
      </c>
      <c r="X103" s="127">
        <f t="shared" si="256"/>
        <v>147.22222222222226</v>
      </c>
      <c r="Y103" s="127">
        <f t="shared" si="256"/>
        <v>147.22222222222226</v>
      </c>
      <c r="Z103" s="127">
        <f t="shared" si="256"/>
        <v>147.22222222222229</v>
      </c>
      <c r="AA103" s="127">
        <f t="shared" si="256"/>
        <v>147.22222222222229</v>
      </c>
      <c r="AB103" s="127">
        <f t="shared" si="256"/>
        <v>147.22222222222229</v>
      </c>
      <c r="AC103" s="127">
        <f t="shared" si="256"/>
        <v>147.22222222222229</v>
      </c>
      <c r="AD103" s="137">
        <f t="shared" si="216"/>
        <v>0.12444369293563073</v>
      </c>
      <c r="AE103" s="145"/>
      <c r="AF103" s="145"/>
    </row>
    <row r="104" spans="2:32" ht="12" customHeight="1" x14ac:dyDescent="0.2">
      <c r="B104" s="20" t="s">
        <v>402</v>
      </c>
      <c r="C104" s="150"/>
      <c r="D104" s="150"/>
      <c r="E104" s="150"/>
      <c r="F104" s="150"/>
      <c r="G104" s="127">
        <f t="shared" ref="G104:P107" si="257">1/G98</f>
        <v>0.6</v>
      </c>
      <c r="H104" s="127">
        <f t="shared" si="257"/>
        <v>1</v>
      </c>
      <c r="I104" s="127">
        <f t="shared" si="257"/>
        <v>1</v>
      </c>
      <c r="J104" s="127">
        <f t="shared" si="257"/>
        <v>1</v>
      </c>
      <c r="K104" s="127">
        <f t="shared" si="257"/>
        <v>1</v>
      </c>
      <c r="L104" s="127">
        <f t="shared" si="257"/>
        <v>1</v>
      </c>
      <c r="M104" s="127">
        <f t="shared" si="257"/>
        <v>26</v>
      </c>
      <c r="N104" s="127">
        <f t="shared" si="257"/>
        <v>31.75</v>
      </c>
      <c r="O104" s="127">
        <f t="shared" si="257"/>
        <v>17.8</v>
      </c>
      <c r="P104" s="127">
        <f t="shared" si="257"/>
        <v>14.5</v>
      </c>
      <c r="Q104" s="127">
        <f t="shared" ref="Q104" si="258">1/Q98</f>
        <v>17.777777777777779</v>
      </c>
      <c r="R104" s="118">
        <f t="shared" si="214"/>
        <v>0.37506008358868903</v>
      </c>
      <c r="S104" s="20"/>
      <c r="T104" s="127">
        <f t="shared" ref="T104:AC104" si="259">1/T98</f>
        <v>17.777777777777775</v>
      </c>
      <c r="U104" s="127">
        <f t="shared" si="259"/>
        <v>17.777777777777775</v>
      </c>
      <c r="V104" s="127">
        <f t="shared" si="259"/>
        <v>17.777777777777779</v>
      </c>
      <c r="W104" s="127">
        <f t="shared" si="259"/>
        <v>17.777777777777779</v>
      </c>
      <c r="X104" s="127">
        <f t="shared" si="259"/>
        <v>17.777777777777782</v>
      </c>
      <c r="Y104" s="127">
        <f t="shared" si="259"/>
        <v>17.777777777777782</v>
      </c>
      <c r="Z104" s="127">
        <f t="shared" si="259"/>
        <v>17.777777777777782</v>
      </c>
      <c r="AA104" s="127">
        <f t="shared" si="259"/>
        <v>17.777777777777782</v>
      </c>
      <c r="AB104" s="127">
        <f t="shared" si="259"/>
        <v>17.777777777777782</v>
      </c>
      <c r="AC104" s="127">
        <f t="shared" si="259"/>
        <v>17.777777777777779</v>
      </c>
      <c r="AD104" s="137">
        <f t="shared" si="216"/>
        <v>0.18463977743014093</v>
      </c>
      <c r="AE104" s="145"/>
      <c r="AF104" s="145"/>
    </row>
    <row r="105" spans="2:32" ht="12" customHeight="1" x14ac:dyDescent="0.2">
      <c r="B105" s="20" t="s">
        <v>403</v>
      </c>
      <c r="C105" s="150"/>
      <c r="D105" s="150"/>
      <c r="E105" s="150"/>
      <c r="F105" s="150"/>
      <c r="G105" s="127">
        <f t="shared" si="257"/>
        <v>2.0999999999999998E-2</v>
      </c>
      <c r="H105" s="127">
        <f t="shared" si="257"/>
        <v>0.36363636363636365</v>
      </c>
      <c r="I105" s="127">
        <f t="shared" si="257"/>
        <v>0.33333333333333331</v>
      </c>
      <c r="J105" s="127">
        <f t="shared" si="257"/>
        <v>0.46153846153846156</v>
      </c>
      <c r="K105" s="127">
        <f t="shared" si="257"/>
        <v>0.63636363636363635</v>
      </c>
      <c r="L105" s="127">
        <f t="shared" si="257"/>
        <v>0.5641025641025641</v>
      </c>
      <c r="M105" s="127">
        <f t="shared" si="257"/>
        <v>17.333333333333332</v>
      </c>
      <c r="N105" s="127">
        <f t="shared" si="257"/>
        <v>21</v>
      </c>
      <c r="O105" s="127">
        <f t="shared" si="257"/>
        <v>11.3</v>
      </c>
      <c r="P105" s="127">
        <f t="shared" si="257"/>
        <v>9.5</v>
      </c>
      <c r="Q105" s="127">
        <f t="shared" ref="Q105" si="260">1/Q99</f>
        <v>12.444444444444443</v>
      </c>
      <c r="R105" s="118">
        <f t="shared" si="214"/>
        <v>0.84310650138282983</v>
      </c>
      <c r="S105" s="20"/>
      <c r="T105" s="127">
        <f t="shared" ref="T105:AC105" si="261">1/T99</f>
        <v>12.444444444444443</v>
      </c>
      <c r="U105" s="127">
        <f t="shared" si="261"/>
        <v>12.444444444444443</v>
      </c>
      <c r="V105" s="127">
        <f t="shared" si="261"/>
        <v>12.444444444444443</v>
      </c>
      <c r="W105" s="127">
        <f t="shared" si="261"/>
        <v>12.444444444444446</v>
      </c>
      <c r="X105" s="127">
        <f t="shared" si="261"/>
        <v>12.444444444444446</v>
      </c>
      <c r="Y105" s="127">
        <f t="shared" si="261"/>
        <v>12.444444444444443</v>
      </c>
      <c r="Z105" s="127">
        <f t="shared" si="261"/>
        <v>12.444444444444446</v>
      </c>
      <c r="AA105" s="127">
        <f t="shared" si="261"/>
        <v>12.444444444444446</v>
      </c>
      <c r="AB105" s="127">
        <f t="shared" si="261"/>
        <v>12.444444444444446</v>
      </c>
      <c r="AC105" s="127">
        <f t="shared" si="261"/>
        <v>12.444444444444446</v>
      </c>
      <c r="AD105" s="137">
        <f t="shared" si="216"/>
        <v>0.37606139470524647</v>
      </c>
      <c r="AE105" s="145"/>
      <c r="AF105" s="145"/>
    </row>
    <row r="106" spans="2:32" ht="12" customHeight="1" x14ac:dyDescent="0.2">
      <c r="B106" s="20" t="s">
        <v>404</v>
      </c>
      <c r="C106" s="150"/>
      <c r="D106" s="150"/>
      <c r="E106" s="150"/>
      <c r="F106" s="150"/>
      <c r="G106" s="127">
        <f t="shared" si="257"/>
        <v>0.6</v>
      </c>
      <c r="H106" s="127">
        <f t="shared" si="257"/>
        <v>0.81818181818181812</v>
      </c>
      <c r="I106" s="127">
        <f t="shared" si="257"/>
        <v>0.42857142857142855</v>
      </c>
      <c r="J106" s="127">
        <f t="shared" si="257"/>
        <v>0.26923076923076922</v>
      </c>
      <c r="K106" s="127">
        <f t="shared" si="257"/>
        <v>0.33333333333333331</v>
      </c>
      <c r="L106" s="127">
        <f t="shared" si="257"/>
        <v>0.30769230769230771</v>
      </c>
      <c r="M106" s="127">
        <f t="shared" si="257"/>
        <v>14.666666666666668</v>
      </c>
      <c r="N106" s="127">
        <f t="shared" si="257"/>
        <v>13.25</v>
      </c>
      <c r="O106" s="127">
        <f t="shared" si="257"/>
        <v>2.2000000000000002</v>
      </c>
      <c r="P106" s="127">
        <f t="shared" si="257"/>
        <v>2.3571428571428572</v>
      </c>
      <c r="Q106" s="127">
        <f t="shared" ref="Q106" si="262">1/Q100</f>
        <v>3.3333333333333335</v>
      </c>
      <c r="R106" s="118">
        <f t="shared" si="214"/>
        <v>0.1466304358341195</v>
      </c>
      <c r="S106" s="20"/>
      <c r="T106" s="127">
        <f t="shared" ref="T106:AC106" si="263">1/T100</f>
        <v>3.3333333333333335</v>
      </c>
      <c r="U106" s="127">
        <f t="shared" si="263"/>
        <v>3.3333333333333335</v>
      </c>
      <c r="V106" s="127">
        <f t="shared" si="263"/>
        <v>3.3333333333333335</v>
      </c>
      <c r="W106" s="127">
        <f t="shared" si="263"/>
        <v>3.3333333333333339</v>
      </c>
      <c r="X106" s="127">
        <f t="shared" si="263"/>
        <v>3.3333333333333339</v>
      </c>
      <c r="Y106" s="127">
        <f t="shared" si="263"/>
        <v>3.3333333333333339</v>
      </c>
      <c r="Z106" s="127">
        <f t="shared" si="263"/>
        <v>3.3333333333333348</v>
      </c>
      <c r="AA106" s="127">
        <f t="shared" si="263"/>
        <v>3.3333333333333348</v>
      </c>
      <c r="AB106" s="127">
        <f t="shared" si="263"/>
        <v>3.3333333333333348</v>
      </c>
      <c r="AC106" s="127">
        <f t="shared" si="263"/>
        <v>3.3333333333333348</v>
      </c>
      <c r="AD106" s="137">
        <f t="shared" si="216"/>
        <v>8.9522929860533118E-2</v>
      </c>
      <c r="AE106" s="145"/>
      <c r="AF106" s="145"/>
    </row>
    <row r="107" spans="2:32" ht="12" customHeight="1" x14ac:dyDescent="0.2">
      <c r="B107" s="20" t="s">
        <v>405</v>
      </c>
      <c r="C107" s="150"/>
      <c r="D107" s="150"/>
      <c r="E107" s="150"/>
      <c r="F107" s="150"/>
      <c r="G107" s="127">
        <f t="shared" si="257"/>
        <v>0.6</v>
      </c>
      <c r="H107" s="127">
        <f t="shared" si="257"/>
        <v>0.81818181818181812</v>
      </c>
      <c r="I107" s="127">
        <f t="shared" si="257"/>
        <v>0.42857142857142855</v>
      </c>
      <c r="J107" s="127">
        <f t="shared" si="257"/>
        <v>0.26923076923076922</v>
      </c>
      <c r="K107" s="127">
        <f t="shared" si="257"/>
        <v>0.33333333333333331</v>
      </c>
      <c r="L107" s="127">
        <f t="shared" si="257"/>
        <v>0.28205128205128205</v>
      </c>
      <c r="M107" s="127">
        <f t="shared" si="257"/>
        <v>14.666666666666668</v>
      </c>
      <c r="N107" s="127">
        <f t="shared" si="257"/>
        <v>13.25</v>
      </c>
      <c r="O107" s="127">
        <f t="shared" si="257"/>
        <v>2.2000000000000002</v>
      </c>
      <c r="P107" s="127">
        <f t="shared" si="257"/>
        <v>2.2857142857142856</v>
      </c>
      <c r="Q107" s="127">
        <f t="shared" ref="Q107" si="264">1/Q101</f>
        <v>3.2222222222222223</v>
      </c>
      <c r="R107" s="118">
        <f t="shared" si="214"/>
        <v>0.14310748692423236</v>
      </c>
      <c r="S107" s="20"/>
      <c r="T107" s="127">
        <f t="shared" ref="T107:AC107" si="265">1/T101</f>
        <v>3.2222222222222223</v>
      </c>
      <c r="U107" s="127">
        <f t="shared" si="265"/>
        <v>3.2222222222222228</v>
      </c>
      <c r="V107" s="127">
        <f t="shared" si="265"/>
        <v>3.2222222222222228</v>
      </c>
      <c r="W107" s="127">
        <f t="shared" si="265"/>
        <v>3.2222222222222232</v>
      </c>
      <c r="X107" s="127">
        <f t="shared" si="265"/>
        <v>3.2222222222222237</v>
      </c>
      <c r="Y107" s="127">
        <f t="shared" si="265"/>
        <v>3.2222222222222237</v>
      </c>
      <c r="Z107" s="127">
        <f t="shared" si="265"/>
        <v>3.2222222222222237</v>
      </c>
      <c r="AA107" s="127">
        <f t="shared" si="265"/>
        <v>3.2222222222222237</v>
      </c>
      <c r="AB107" s="127">
        <f t="shared" si="265"/>
        <v>3.2222222222222245</v>
      </c>
      <c r="AC107" s="127">
        <f t="shared" si="265"/>
        <v>3.2222222222222237</v>
      </c>
      <c r="AD107" s="137">
        <f t="shared" si="216"/>
        <v>8.7677668337660331E-2</v>
      </c>
      <c r="AE107" s="145"/>
      <c r="AF107" s="145"/>
    </row>
    <row r="108" spans="2:32" ht="12" customHeight="1" x14ac:dyDescent="0.2">
      <c r="B108" s="20"/>
      <c r="C108" s="150"/>
      <c r="D108" s="150"/>
      <c r="E108" s="150"/>
      <c r="F108" s="150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2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45"/>
      <c r="AF108" s="145"/>
    </row>
    <row r="109" spans="2:32" ht="12" customHeight="1" x14ac:dyDescent="0.2">
      <c r="B109" s="20"/>
      <c r="C109" s="150"/>
      <c r="D109" s="150"/>
      <c r="E109" s="150"/>
      <c r="F109" s="150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20"/>
      <c r="T109" s="150"/>
      <c r="U109" s="150"/>
      <c r="V109" s="150"/>
      <c r="W109" s="150"/>
      <c r="X109" s="150"/>
      <c r="Y109" s="150"/>
      <c r="Z109" s="150"/>
      <c r="AA109" s="150"/>
      <c r="AB109" s="150"/>
      <c r="AC109" s="150"/>
      <c r="AD109" s="150"/>
      <c r="AE109" s="145"/>
      <c r="AF109" s="145"/>
    </row>
    <row r="110" spans="2:32" x14ac:dyDescent="0.2">
      <c r="B110" s="20" t="s">
        <v>325</v>
      </c>
      <c r="C110" s="150"/>
      <c r="D110" s="150"/>
      <c r="E110" s="150"/>
      <c r="F110" s="161"/>
      <c r="G110" s="161">
        <f t="shared" ref="G110:O110" si="266">G10-(G12+G13)</f>
        <v>56</v>
      </c>
      <c r="H110" s="161">
        <f t="shared" si="266"/>
        <v>41</v>
      </c>
      <c r="I110" s="161">
        <f t="shared" si="266"/>
        <v>30</v>
      </c>
      <c r="J110" s="161">
        <f t="shared" si="266"/>
        <v>48</v>
      </c>
      <c r="K110" s="161">
        <f t="shared" si="266"/>
        <v>35.61</v>
      </c>
      <c r="L110" s="161">
        <f t="shared" si="266"/>
        <v>8.61</v>
      </c>
      <c r="M110" s="161">
        <f t="shared" si="266"/>
        <v>-41.39</v>
      </c>
      <c r="N110" s="161">
        <f t="shared" si="266"/>
        <v>-74</v>
      </c>
      <c r="O110" s="161">
        <f t="shared" si="266"/>
        <v>-5.3900000000000006</v>
      </c>
      <c r="P110" s="161">
        <f>P10-(P12+P13)</f>
        <v>81.97999999999999</v>
      </c>
      <c r="Q110" s="161">
        <f>Q10-(Q12+Q13)</f>
        <v>-13</v>
      </c>
      <c r="R110" s="118">
        <f t="shared" si="214"/>
        <v>3.8847953805605018E-2</v>
      </c>
      <c r="S110" s="20"/>
      <c r="T110" s="161">
        <f>T10-(T12+T13)</f>
        <v>-15.86</v>
      </c>
      <c r="U110" s="161">
        <f t="shared" ref="U110:AC110" si="267">U10-(U12+U13)</f>
        <v>-19.349200000000003</v>
      </c>
      <c r="V110" s="161">
        <f t="shared" si="267"/>
        <v>-23.606024000000005</v>
      </c>
      <c r="W110" s="161">
        <f t="shared" si="267"/>
        <v>-28.799349279999994</v>
      </c>
      <c r="X110" s="161">
        <f t="shared" si="267"/>
        <v>-35.135206121599992</v>
      </c>
      <c r="Y110" s="161">
        <f t="shared" si="267"/>
        <v>-42.864951468352004</v>
      </c>
      <c r="Z110" s="161">
        <f t="shared" si="267"/>
        <v>-52.29524079138946</v>
      </c>
      <c r="AA110" s="161">
        <f t="shared" si="267"/>
        <v>-63.800193765495138</v>
      </c>
      <c r="AB110" s="161">
        <f t="shared" si="267"/>
        <v>-77.836236393904073</v>
      </c>
      <c r="AC110" s="161">
        <f t="shared" si="267"/>
        <v>-94.960208400562976</v>
      </c>
      <c r="AD110" s="137" t="e">
        <f t="shared" si="216"/>
        <v>#NUM!</v>
      </c>
      <c r="AE110" s="145"/>
      <c r="AF110" s="145"/>
    </row>
    <row r="111" spans="2:32" ht="12" customHeight="1" x14ac:dyDescent="0.2">
      <c r="B111" s="20" t="s">
        <v>320</v>
      </c>
      <c r="C111" s="20"/>
      <c r="D111" s="20"/>
      <c r="E111" s="20"/>
      <c r="F111" s="20"/>
      <c r="G111" s="150">
        <f t="shared" ref="G111:P111" si="268">G40/G18</f>
        <v>7.7777777777777776E-3</v>
      </c>
      <c r="H111" s="150">
        <f t="shared" si="268"/>
        <v>0.16</v>
      </c>
      <c r="I111" s="150">
        <f t="shared" si="268"/>
        <v>0.29166666666666669</v>
      </c>
      <c r="J111" s="150">
        <f t="shared" si="268"/>
        <v>0.4</v>
      </c>
      <c r="K111" s="150">
        <f t="shared" si="268"/>
        <v>0.67741935483870963</v>
      </c>
      <c r="L111" s="150">
        <f t="shared" si="268"/>
        <v>0.61111111111111116</v>
      </c>
      <c r="M111" s="150">
        <f t="shared" si="268"/>
        <v>1.2682926829268293</v>
      </c>
      <c r="N111" s="150">
        <f t="shared" si="268"/>
        <v>2</v>
      </c>
      <c r="O111" s="150">
        <f t="shared" si="268"/>
        <v>0.7533333333333333</v>
      </c>
      <c r="P111" s="150">
        <f t="shared" si="268"/>
        <v>0.79166666666666663</v>
      </c>
      <c r="Q111" s="150">
        <f t="shared" ref="Q111" si="269">Q40/Q18</f>
        <v>0.3303834808259587</v>
      </c>
      <c r="R111" s="118">
        <f t="shared" si="214"/>
        <v>0.58770087038916019</v>
      </c>
      <c r="S111" s="20"/>
      <c r="T111" s="150">
        <f t="shared" ref="T111:AC111" si="270">T40/T18</f>
        <v>0.3303834808259587</v>
      </c>
      <c r="U111" s="150">
        <f t="shared" si="270"/>
        <v>0.3303834808259587</v>
      </c>
      <c r="V111" s="150">
        <f t="shared" si="270"/>
        <v>0.3303834808259587</v>
      </c>
      <c r="W111" s="150">
        <f t="shared" si="270"/>
        <v>0.3303834808259587</v>
      </c>
      <c r="X111" s="150">
        <f t="shared" si="270"/>
        <v>0.3303834808259587</v>
      </c>
      <c r="Y111" s="150">
        <f t="shared" si="270"/>
        <v>0.33038348082595864</v>
      </c>
      <c r="Z111" s="150">
        <f t="shared" si="270"/>
        <v>0.33038348082595864</v>
      </c>
      <c r="AA111" s="150">
        <f t="shared" si="270"/>
        <v>0.3303834808259587</v>
      </c>
      <c r="AB111" s="150">
        <f t="shared" si="270"/>
        <v>0.33038348082595864</v>
      </c>
      <c r="AC111" s="150">
        <f t="shared" si="270"/>
        <v>0.3303834808259587</v>
      </c>
      <c r="AD111" s="137">
        <f t="shared" si="216"/>
        <v>0.20616893697992733</v>
      </c>
      <c r="AE111" s="20"/>
      <c r="AF111" s="20"/>
    </row>
    <row r="112" spans="2:32" x14ac:dyDescent="0.2">
      <c r="B112" s="20" t="s">
        <v>321</v>
      </c>
      <c r="C112" s="20"/>
      <c r="D112" s="20"/>
      <c r="E112" s="20"/>
      <c r="F112" s="20"/>
      <c r="G112" s="150">
        <f t="shared" ref="G112:P112" si="271">G40/G25</f>
        <v>1.4893617021276594E-3</v>
      </c>
      <c r="H112" s="150">
        <f t="shared" si="271"/>
        <v>2.1621621621621623E-2</v>
      </c>
      <c r="I112" s="150">
        <f t="shared" si="271"/>
        <v>3.1531531531531529E-2</v>
      </c>
      <c r="J112" s="150">
        <f t="shared" si="271"/>
        <v>4.1379310344827586E-2</v>
      </c>
      <c r="K112" s="150">
        <f t="shared" si="271"/>
        <v>6.4417177914110432E-2</v>
      </c>
      <c r="L112" s="150">
        <f t="shared" si="271"/>
        <v>5.5137844611528819E-2</v>
      </c>
      <c r="M112" s="150">
        <f t="shared" si="271"/>
        <v>0.10038610038610038</v>
      </c>
      <c r="N112" s="150">
        <f t="shared" si="271"/>
        <v>0.10526315789473684</v>
      </c>
      <c r="O112" s="150">
        <f t="shared" si="271"/>
        <v>9.72461273666093E-2</v>
      </c>
      <c r="P112" s="150">
        <f t="shared" si="271"/>
        <v>9.4259390503189225E-2</v>
      </c>
      <c r="Q112" s="150">
        <f t="shared" ref="Q112" si="272">Q40/Q25</f>
        <v>8.4528301886792459E-2</v>
      </c>
      <c r="R112" s="118">
        <f t="shared" si="214"/>
        <v>0.51402290167289433</v>
      </c>
      <c r="S112" s="20"/>
      <c r="T112" s="150">
        <f t="shared" ref="T112:AC112" si="273">T40/T25</f>
        <v>8.4528301886792445E-2</v>
      </c>
      <c r="U112" s="150">
        <f t="shared" si="273"/>
        <v>8.4528301886792445E-2</v>
      </c>
      <c r="V112" s="150">
        <f t="shared" si="273"/>
        <v>8.4528301886792445E-2</v>
      </c>
      <c r="W112" s="150">
        <f t="shared" si="273"/>
        <v>8.4528301886792445E-2</v>
      </c>
      <c r="X112" s="150">
        <f t="shared" si="273"/>
        <v>8.4528301886792431E-2</v>
      </c>
      <c r="Y112" s="150">
        <f t="shared" si="273"/>
        <v>8.4528301886792431E-2</v>
      </c>
      <c r="Z112" s="150">
        <f t="shared" si="273"/>
        <v>8.4528301886792431E-2</v>
      </c>
      <c r="AA112" s="150">
        <f t="shared" si="273"/>
        <v>8.4528301886792431E-2</v>
      </c>
      <c r="AB112" s="150">
        <f t="shared" si="273"/>
        <v>8.4528301886792431E-2</v>
      </c>
      <c r="AC112" s="150">
        <f t="shared" si="273"/>
        <v>8.4528301886792431E-2</v>
      </c>
      <c r="AD112" s="137">
        <f t="shared" si="216"/>
        <v>0.22377083294647426</v>
      </c>
      <c r="AE112" s="20"/>
      <c r="AF112" s="20"/>
    </row>
    <row r="113" spans="2:32" x14ac:dyDescent="0.2">
      <c r="B113" s="20" t="s">
        <v>347</v>
      </c>
      <c r="C113" s="20"/>
      <c r="D113" s="20"/>
      <c r="E113" s="150"/>
      <c r="F113" s="150"/>
      <c r="G113" s="150">
        <f t="shared" ref="G113:O113" si="274">G25/G18</f>
        <v>5.2222222222222223</v>
      </c>
      <c r="H113" s="150">
        <f t="shared" si="274"/>
        <v>7.4</v>
      </c>
      <c r="I113" s="150">
        <f t="shared" si="274"/>
        <v>9.25</v>
      </c>
      <c r="J113" s="150">
        <f t="shared" si="274"/>
        <v>9.6666666666666661</v>
      </c>
      <c r="K113" s="150">
        <f t="shared" si="274"/>
        <v>10.516129032258064</v>
      </c>
      <c r="L113" s="150">
        <f t="shared" si="274"/>
        <v>11.083333333333334</v>
      </c>
      <c r="M113" s="150">
        <f t="shared" si="274"/>
        <v>12.634146341463415</v>
      </c>
      <c r="N113" s="150">
        <f t="shared" si="274"/>
        <v>19</v>
      </c>
      <c r="O113" s="150">
        <f t="shared" si="274"/>
        <v>7.746666666666667</v>
      </c>
      <c r="P113" s="150">
        <f>P25/P18</f>
        <v>8.3988095238095237</v>
      </c>
      <c r="Q113" s="150">
        <f>Q25/Q18</f>
        <v>3.9085545722713864</v>
      </c>
      <c r="R113" s="118">
        <f t="shared" si="214"/>
        <v>4.8663708213962042E-2</v>
      </c>
      <c r="S113" s="20"/>
      <c r="T113" s="150">
        <f>T25/T18</f>
        <v>3.9085545722713864</v>
      </c>
      <c r="U113" s="150">
        <f t="shared" ref="U113:AC113" si="275">U25/U18</f>
        <v>3.9085545722713864</v>
      </c>
      <c r="V113" s="150">
        <f t="shared" si="275"/>
        <v>3.9085545722713868</v>
      </c>
      <c r="W113" s="150">
        <f t="shared" si="275"/>
        <v>3.9085545722713868</v>
      </c>
      <c r="X113" s="150">
        <f t="shared" si="275"/>
        <v>3.9085545722713868</v>
      </c>
      <c r="Y113" s="150">
        <f t="shared" si="275"/>
        <v>3.9085545722713868</v>
      </c>
      <c r="Z113" s="150">
        <f t="shared" si="275"/>
        <v>3.9085545722713868</v>
      </c>
      <c r="AA113" s="150">
        <f t="shared" si="275"/>
        <v>3.9085545722713873</v>
      </c>
      <c r="AB113" s="150">
        <f t="shared" si="275"/>
        <v>3.9085545722713873</v>
      </c>
      <c r="AC113" s="150">
        <f t="shared" si="275"/>
        <v>3.9085545722713873</v>
      </c>
      <c r="AD113" s="137">
        <f t="shared" si="216"/>
        <v>-1.4383326920912709E-2</v>
      </c>
      <c r="AE113" s="20"/>
      <c r="AF113" s="20"/>
    </row>
    <row r="114" spans="2:32" x14ac:dyDescent="0.2">
      <c r="B114" s="20"/>
      <c r="C114" s="20"/>
      <c r="D114" s="20"/>
      <c r="E114" s="20"/>
      <c r="F114" s="2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28"/>
      <c r="S114" s="2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28"/>
      <c r="AE114" s="20"/>
      <c r="AF114" s="20"/>
    </row>
    <row r="115" spans="2:32" x14ac:dyDescent="0.2">
      <c r="B115" s="20" t="s">
        <v>333</v>
      </c>
      <c r="C115" s="20"/>
      <c r="D115" s="20"/>
      <c r="E115" s="163"/>
      <c r="F115" s="163"/>
      <c r="G115" s="163">
        <f>G73*G42</f>
        <v>1.1299999999999999E-2</v>
      </c>
      <c r="H115" s="163">
        <f t="shared" ref="H115:P115" si="276">H73*H42</f>
        <v>2.2599999999999998</v>
      </c>
      <c r="I115" s="163">
        <f t="shared" si="276"/>
        <v>2.8249999999999997</v>
      </c>
      <c r="J115" s="163">
        <f t="shared" si="276"/>
        <v>3.3899999999999997</v>
      </c>
      <c r="K115" s="163">
        <f t="shared" si="276"/>
        <v>3.9549999999999996</v>
      </c>
      <c r="L115" s="163">
        <f t="shared" si="276"/>
        <v>5.6499999999999995</v>
      </c>
      <c r="M115" s="163">
        <f t="shared" si="276"/>
        <v>11.299999999999999</v>
      </c>
      <c r="N115" s="163">
        <f t="shared" si="276"/>
        <v>14.124999999999998</v>
      </c>
      <c r="O115" s="163">
        <f t="shared" si="276"/>
        <v>16.95</v>
      </c>
      <c r="P115" s="163">
        <f t="shared" si="276"/>
        <v>19.774999999999999</v>
      </c>
      <c r="Q115" s="163">
        <f t="shared" ref="Q115" si="277">Q73*Q42</f>
        <v>22.599999999999998</v>
      </c>
      <c r="R115" s="118">
        <f t="shared" si="214"/>
        <v>1.1101037284695612</v>
      </c>
      <c r="S115" s="20"/>
      <c r="T115" s="163">
        <f t="shared" ref="T115:AC115" si="278">T73*T42</f>
        <v>24.204599999999996</v>
      </c>
      <c r="U115" s="163">
        <f t="shared" si="278"/>
        <v>25.9231266</v>
      </c>
      <c r="V115" s="163">
        <f t="shared" si="278"/>
        <v>27.763668588600005</v>
      </c>
      <c r="W115" s="163">
        <f t="shared" si="278"/>
        <v>29.734889058390607</v>
      </c>
      <c r="X115" s="163">
        <f t="shared" si="278"/>
        <v>31.846066181536344</v>
      </c>
      <c r="Y115" s="163">
        <f t="shared" si="278"/>
        <v>34.107136880425429</v>
      </c>
      <c r="Z115" s="163">
        <f t="shared" si="278"/>
        <v>36.528743598935641</v>
      </c>
      <c r="AA115" s="163">
        <f t="shared" si="278"/>
        <v>39.122284394460074</v>
      </c>
      <c r="AB115" s="163">
        <f t="shared" si="278"/>
        <v>41.899966586466739</v>
      </c>
      <c r="AC115" s="163">
        <f t="shared" si="278"/>
        <v>44.874864214105884</v>
      </c>
      <c r="AD115" s="137">
        <f t="shared" si="216"/>
        <v>0.51337388413475837</v>
      </c>
      <c r="AE115" s="20"/>
      <c r="AF115" s="20"/>
    </row>
    <row r="116" spans="2:32" x14ac:dyDescent="0.2">
      <c r="B116" s="20" t="s">
        <v>334</v>
      </c>
      <c r="C116" s="20"/>
      <c r="D116" s="20"/>
      <c r="E116" s="163"/>
      <c r="F116" s="163"/>
      <c r="G116" s="163">
        <f t="shared" ref="G116:P116" si="279">(G115*0.17)+G115</f>
        <v>1.3221E-2</v>
      </c>
      <c r="H116" s="163">
        <f t="shared" si="279"/>
        <v>2.6441999999999997</v>
      </c>
      <c r="I116" s="163">
        <f t="shared" si="279"/>
        <v>3.3052499999999996</v>
      </c>
      <c r="J116" s="163">
        <f t="shared" si="279"/>
        <v>3.9662999999999995</v>
      </c>
      <c r="K116" s="163">
        <f t="shared" si="279"/>
        <v>4.6273499999999999</v>
      </c>
      <c r="L116" s="163">
        <f t="shared" si="279"/>
        <v>6.6104999999999992</v>
      </c>
      <c r="M116" s="163">
        <f t="shared" si="279"/>
        <v>13.220999999999998</v>
      </c>
      <c r="N116" s="163">
        <f t="shared" si="279"/>
        <v>16.526249999999997</v>
      </c>
      <c r="O116" s="163">
        <f t="shared" si="279"/>
        <v>19.831499999999998</v>
      </c>
      <c r="P116" s="163">
        <f t="shared" si="279"/>
        <v>23.136749999999999</v>
      </c>
      <c r="Q116" s="163">
        <f t="shared" ref="Q116" si="280">(Q115*0.17)+Q115</f>
        <v>26.441999999999997</v>
      </c>
      <c r="R116" s="118">
        <f t="shared" si="214"/>
        <v>1.1101037284695612</v>
      </c>
      <c r="S116" s="20"/>
      <c r="T116" s="163">
        <f t="shared" ref="T116:AC116" si="281">(T115*0.17)+T115</f>
        <v>28.319381999999997</v>
      </c>
      <c r="U116" s="163">
        <f t="shared" si="281"/>
        <v>30.330058122000001</v>
      </c>
      <c r="V116" s="163">
        <f t="shared" si="281"/>
        <v>32.483492248662003</v>
      </c>
      <c r="W116" s="163">
        <f t="shared" si="281"/>
        <v>34.78982019831701</v>
      </c>
      <c r="X116" s="163">
        <f t="shared" si="281"/>
        <v>37.259897432397523</v>
      </c>
      <c r="Y116" s="163">
        <f t="shared" si="281"/>
        <v>39.905350150097753</v>
      </c>
      <c r="Z116" s="163">
        <f t="shared" si="281"/>
        <v>42.738630010754704</v>
      </c>
      <c r="AA116" s="163">
        <f t="shared" si="281"/>
        <v>45.773072741518284</v>
      </c>
      <c r="AB116" s="163">
        <f t="shared" si="281"/>
        <v>49.022960906166084</v>
      </c>
      <c r="AC116" s="163">
        <f t="shared" si="281"/>
        <v>52.503591130503885</v>
      </c>
      <c r="AD116" s="137">
        <f t="shared" si="216"/>
        <v>0.51337388413475837</v>
      </c>
      <c r="AE116" s="20"/>
      <c r="AF116" s="20"/>
    </row>
    <row r="117" spans="2:32" x14ac:dyDescent="0.2">
      <c r="B117" s="20" t="s">
        <v>335</v>
      </c>
      <c r="C117" s="20"/>
      <c r="D117" s="20"/>
      <c r="E117" s="20"/>
      <c r="F117" s="150"/>
      <c r="G117" s="150">
        <f t="shared" ref="G117:P117" si="282">G116/G40</f>
        <v>6.2957142857142864E-2</v>
      </c>
      <c r="H117" s="150">
        <f t="shared" si="282"/>
        <v>0.66104999999999992</v>
      </c>
      <c r="I117" s="150">
        <f t="shared" si="282"/>
        <v>0.47217857142857139</v>
      </c>
      <c r="J117" s="150">
        <f t="shared" si="282"/>
        <v>0.33052499999999996</v>
      </c>
      <c r="K117" s="150">
        <f t="shared" si="282"/>
        <v>0.22034999999999999</v>
      </c>
      <c r="L117" s="150">
        <f t="shared" si="282"/>
        <v>0.3004772727272727</v>
      </c>
      <c r="M117" s="150">
        <f t="shared" si="282"/>
        <v>0.25424999999999998</v>
      </c>
      <c r="N117" s="150">
        <f t="shared" si="282"/>
        <v>0.19674107142857139</v>
      </c>
      <c r="O117" s="150">
        <f t="shared" si="282"/>
        <v>0.17549999999999999</v>
      </c>
      <c r="P117" s="150">
        <f t="shared" si="282"/>
        <v>0.17396052631578945</v>
      </c>
      <c r="Q117" s="150">
        <f t="shared" ref="Q117" si="283">Q116/Q40</f>
        <v>0.2360892857142857</v>
      </c>
      <c r="R117" s="118">
        <f t="shared" si="214"/>
        <v>0.10698202835137405</v>
      </c>
      <c r="S117" s="20"/>
      <c r="T117" s="150">
        <f t="shared" ref="T117:AC117" si="284">T116/T40</f>
        <v>0.20725543032786886</v>
      </c>
      <c r="U117" s="150">
        <f t="shared" si="284"/>
        <v>0.18194308678782586</v>
      </c>
      <c r="V117" s="150">
        <f t="shared" si="284"/>
        <v>0.15972216881127993</v>
      </c>
      <c r="W117" s="150">
        <f t="shared" si="284"/>
        <v>0.14021511704662365</v>
      </c>
      <c r="X117" s="150">
        <f t="shared" si="284"/>
        <v>0.12309048389912619</v>
      </c>
      <c r="Y117" s="150">
        <f t="shared" si="284"/>
        <v>0.10805730184915097</v>
      </c>
      <c r="Z117" s="150">
        <f t="shared" si="284"/>
        <v>9.4860139574131738E-2</v>
      </c>
      <c r="AA117" s="150">
        <f t="shared" si="284"/>
        <v>8.3274761872045147E-2</v>
      </c>
      <c r="AB117" s="150">
        <f t="shared" si="284"/>
        <v>7.3104319643410132E-2</v>
      </c>
      <c r="AC117" s="150">
        <f t="shared" si="284"/>
        <v>6.4176005195157593E-2</v>
      </c>
      <c r="AD117" s="137">
        <f t="shared" si="216"/>
        <v>9.5921811505483845E-4</v>
      </c>
      <c r="AE117" s="20"/>
      <c r="AF117" s="20"/>
    </row>
    <row r="118" spans="2:32" x14ac:dyDescent="0.2">
      <c r="B118" s="20" t="s">
        <v>328</v>
      </c>
      <c r="C118" s="20"/>
      <c r="D118" s="20"/>
      <c r="E118" s="20"/>
      <c r="F118" s="150"/>
      <c r="G118" s="150">
        <f>1-G117</f>
        <v>0.93704285714285718</v>
      </c>
      <c r="H118" s="150">
        <f t="shared" ref="H118:P118" si="285">1-H117</f>
        <v>0.33895000000000008</v>
      </c>
      <c r="I118" s="150">
        <f t="shared" si="285"/>
        <v>0.52782142857142866</v>
      </c>
      <c r="J118" s="150">
        <f t="shared" si="285"/>
        <v>0.66947500000000004</v>
      </c>
      <c r="K118" s="150">
        <f t="shared" si="285"/>
        <v>0.77964999999999995</v>
      </c>
      <c r="L118" s="150">
        <f t="shared" si="285"/>
        <v>0.69952272727272735</v>
      </c>
      <c r="M118" s="150">
        <f t="shared" si="285"/>
        <v>0.74575000000000002</v>
      </c>
      <c r="N118" s="150">
        <f t="shared" si="285"/>
        <v>0.80325892857142867</v>
      </c>
      <c r="O118" s="150">
        <f t="shared" si="285"/>
        <v>0.82450000000000001</v>
      </c>
      <c r="P118" s="150">
        <f t="shared" si="285"/>
        <v>0.82603947368421049</v>
      </c>
      <c r="Q118" s="150">
        <f t="shared" ref="Q118" si="286">1-Q117</f>
        <v>0.76391071428571433</v>
      </c>
      <c r="R118" s="118">
        <f t="shared" si="214"/>
        <v>-1.2529489910130032E-2</v>
      </c>
      <c r="S118" s="20"/>
      <c r="T118" s="150">
        <f t="shared" ref="T118:AC118" si="287">1-T117</f>
        <v>0.79274456967213114</v>
      </c>
      <c r="U118" s="150">
        <f t="shared" si="287"/>
        <v>0.81805691321217411</v>
      </c>
      <c r="V118" s="150">
        <f t="shared" si="287"/>
        <v>0.84027783118872001</v>
      </c>
      <c r="W118" s="150">
        <f t="shared" si="287"/>
        <v>0.85978488295337629</v>
      </c>
      <c r="X118" s="150">
        <f t="shared" si="287"/>
        <v>0.87690951610087375</v>
      </c>
      <c r="Y118" s="150">
        <f t="shared" si="287"/>
        <v>0.89194269815084903</v>
      </c>
      <c r="Z118" s="150">
        <f t="shared" si="287"/>
        <v>0.90513986042586825</v>
      </c>
      <c r="AA118" s="150">
        <f t="shared" si="287"/>
        <v>0.91672523812795481</v>
      </c>
      <c r="AB118" s="150">
        <f t="shared" si="287"/>
        <v>0.92689568035658987</v>
      </c>
      <c r="AC118" s="150">
        <f t="shared" si="287"/>
        <v>0.93582399480484235</v>
      </c>
      <c r="AD118" s="137">
        <f t="shared" si="216"/>
        <v>-6.5077923071532595E-5</v>
      </c>
      <c r="AE118" s="20"/>
      <c r="AF118" s="20"/>
    </row>
    <row r="119" spans="2:32" x14ac:dyDescent="0.2">
      <c r="B119" s="20" t="s">
        <v>451</v>
      </c>
      <c r="C119" s="20"/>
      <c r="D119" s="20"/>
      <c r="E119" s="20"/>
      <c r="F119" s="150"/>
      <c r="G119" s="150">
        <f t="shared" ref="G119:P119" si="288">G116/G20</f>
        <v>1.0170000000000001E-3</v>
      </c>
      <c r="H119" s="150">
        <f t="shared" si="288"/>
        <v>0.17627999999999996</v>
      </c>
      <c r="I119" s="150">
        <f t="shared" si="288"/>
        <v>0.15023863636363635</v>
      </c>
      <c r="J119" s="150">
        <f t="shared" si="288"/>
        <v>0.99157499999999987</v>
      </c>
      <c r="K119" s="150">
        <f t="shared" si="288"/>
        <v>0.1005945652173913</v>
      </c>
      <c r="L119" s="150">
        <f t="shared" si="288"/>
        <v>0.15373255813953488</v>
      </c>
      <c r="M119" s="150">
        <f t="shared" si="288"/>
        <v>0.21324193548387094</v>
      </c>
      <c r="N119" s="150">
        <f t="shared" si="288"/>
        <v>0.22332770270270266</v>
      </c>
      <c r="O119" s="150">
        <f t="shared" si="288"/>
        <v>0.32510655737704913</v>
      </c>
      <c r="P119" s="150">
        <f t="shared" si="288"/>
        <v>0.23852319587628865</v>
      </c>
      <c r="Q119" s="150">
        <f>Q116/Q20</f>
        <v>0.31108235294117642</v>
      </c>
      <c r="R119" s="118">
        <f t="shared" si="214"/>
        <v>0.72592121322310055</v>
      </c>
      <c r="S119" s="20"/>
      <c r="T119" s="150">
        <f>T116/T20</f>
        <v>0.27308950819672129</v>
      </c>
      <c r="U119" s="150">
        <f t="shared" ref="U119:AC119" si="289">U116/U20</f>
        <v>0.2397367731792529</v>
      </c>
      <c r="V119" s="150">
        <f t="shared" si="289"/>
        <v>0.21045744596309823</v>
      </c>
      <c r="W119" s="150">
        <f t="shared" si="289"/>
        <v>0.18475403657908054</v>
      </c>
      <c r="X119" s="150">
        <f t="shared" si="289"/>
        <v>0.16218981407884858</v>
      </c>
      <c r="Y119" s="150">
        <f t="shared" si="289"/>
        <v>0.14238138596594008</v>
      </c>
      <c r="Z119" s="150">
        <f t="shared" si="289"/>
        <v>0.12499218390944414</v>
      </c>
      <c r="AA119" s="150">
        <f t="shared" si="289"/>
        <v>0.10972674505493006</v>
      </c>
      <c r="AB119" s="150">
        <f t="shared" si="289"/>
        <v>9.6325691765434512E-2</v>
      </c>
      <c r="AC119" s="150">
        <f t="shared" si="289"/>
        <v>8.4561324492442927E-2</v>
      </c>
      <c r="AD119" s="137" t="s">
        <v>452</v>
      </c>
      <c r="AE119" s="20"/>
      <c r="AF119" s="20"/>
    </row>
    <row r="120" spans="2:32" x14ac:dyDescent="0.2">
      <c r="B120" s="20"/>
      <c r="C120" s="20"/>
      <c r="D120" s="20"/>
      <c r="E120" s="20"/>
      <c r="F120" s="2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28"/>
      <c r="S120" s="2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28"/>
      <c r="AE120" s="20"/>
      <c r="AF120" s="20"/>
    </row>
    <row r="121" spans="2:32" x14ac:dyDescent="0.2">
      <c r="B121" s="20" t="s">
        <v>332</v>
      </c>
      <c r="C121" s="150"/>
      <c r="D121" s="150"/>
      <c r="E121" s="150"/>
      <c r="F121" s="150"/>
      <c r="G121" s="150">
        <f>G31/G25</f>
        <v>0</v>
      </c>
      <c r="H121" s="150">
        <f t="shared" ref="H121:P121" si="290">H31/H25</f>
        <v>0</v>
      </c>
      <c r="I121" s="150">
        <f t="shared" si="290"/>
        <v>0</v>
      </c>
      <c r="J121" s="150">
        <f t="shared" si="290"/>
        <v>0</v>
      </c>
      <c r="K121" s="150">
        <f t="shared" si="290"/>
        <v>0</v>
      </c>
      <c r="L121" s="150">
        <f t="shared" si="290"/>
        <v>0</v>
      </c>
      <c r="M121" s="150">
        <f t="shared" si="290"/>
        <v>0</v>
      </c>
      <c r="N121" s="150">
        <f t="shared" si="290"/>
        <v>0</v>
      </c>
      <c r="O121" s="150">
        <f t="shared" si="290"/>
        <v>0</v>
      </c>
      <c r="P121" s="150">
        <f t="shared" si="290"/>
        <v>0</v>
      </c>
      <c r="Q121" s="150">
        <f t="shared" ref="Q121" si="291">Q31/Q25</f>
        <v>0</v>
      </c>
      <c r="R121" s="118" t="e">
        <f t="shared" si="214"/>
        <v>#DIV/0!</v>
      </c>
      <c r="S121" s="20"/>
      <c r="T121" s="150">
        <f t="shared" ref="T121:AC121" si="292">T31/T25</f>
        <v>0</v>
      </c>
      <c r="U121" s="150">
        <f t="shared" si="292"/>
        <v>0</v>
      </c>
      <c r="V121" s="150">
        <f t="shared" si="292"/>
        <v>0</v>
      </c>
      <c r="W121" s="150">
        <f t="shared" si="292"/>
        <v>0</v>
      </c>
      <c r="X121" s="150">
        <f t="shared" si="292"/>
        <v>0</v>
      </c>
      <c r="Y121" s="150">
        <f t="shared" si="292"/>
        <v>0</v>
      </c>
      <c r="Z121" s="150">
        <f t="shared" si="292"/>
        <v>0</v>
      </c>
      <c r="AA121" s="150">
        <f t="shared" si="292"/>
        <v>0</v>
      </c>
      <c r="AB121" s="150">
        <f t="shared" si="292"/>
        <v>0</v>
      </c>
      <c r="AC121" s="150">
        <f t="shared" si="292"/>
        <v>0</v>
      </c>
      <c r="AD121" s="137" t="e">
        <f t="shared" si="216"/>
        <v>#DIV/0!</v>
      </c>
      <c r="AE121" s="20"/>
      <c r="AF121" s="20"/>
    </row>
    <row r="122" spans="2:32" x14ac:dyDescent="0.2">
      <c r="B122" s="20" t="s">
        <v>329</v>
      </c>
      <c r="C122" s="150"/>
      <c r="D122" s="150"/>
      <c r="E122" s="150"/>
      <c r="F122" s="150"/>
      <c r="G122" s="150">
        <f>G32/G25</f>
        <v>0</v>
      </c>
      <c r="H122" s="150">
        <f t="shared" ref="H122:P122" si="293">H32/H25</f>
        <v>0</v>
      </c>
      <c r="I122" s="150">
        <f t="shared" si="293"/>
        <v>0</v>
      </c>
      <c r="J122" s="150">
        <f t="shared" si="293"/>
        <v>0</v>
      </c>
      <c r="K122" s="150">
        <f t="shared" si="293"/>
        <v>0</v>
      </c>
      <c r="L122" s="150">
        <f t="shared" si="293"/>
        <v>0</v>
      </c>
      <c r="M122" s="150">
        <f t="shared" si="293"/>
        <v>0</v>
      </c>
      <c r="N122" s="150">
        <f t="shared" si="293"/>
        <v>0</v>
      </c>
      <c r="O122" s="150">
        <f t="shared" si="293"/>
        <v>0</v>
      </c>
      <c r="P122" s="150">
        <f t="shared" si="293"/>
        <v>0</v>
      </c>
      <c r="Q122" s="150">
        <f>Q32/Q25</f>
        <v>0</v>
      </c>
      <c r="R122" s="118" t="e">
        <f t="shared" si="214"/>
        <v>#DIV/0!</v>
      </c>
      <c r="S122" s="20"/>
      <c r="T122" s="150">
        <f t="shared" ref="T122:AC122" si="294">T32/T25</f>
        <v>0</v>
      </c>
      <c r="U122" s="150">
        <f t="shared" si="294"/>
        <v>0</v>
      </c>
      <c r="V122" s="150">
        <f t="shared" si="294"/>
        <v>0</v>
      </c>
      <c r="W122" s="150">
        <f t="shared" si="294"/>
        <v>0</v>
      </c>
      <c r="X122" s="150">
        <f t="shared" si="294"/>
        <v>0</v>
      </c>
      <c r="Y122" s="150">
        <f t="shared" si="294"/>
        <v>0</v>
      </c>
      <c r="Z122" s="150">
        <f t="shared" si="294"/>
        <v>0</v>
      </c>
      <c r="AA122" s="150">
        <f t="shared" si="294"/>
        <v>0</v>
      </c>
      <c r="AB122" s="150">
        <f t="shared" si="294"/>
        <v>0</v>
      </c>
      <c r="AC122" s="150">
        <f t="shared" si="294"/>
        <v>0</v>
      </c>
      <c r="AD122" s="137" t="e">
        <f t="shared" si="216"/>
        <v>#DIV/0!</v>
      </c>
      <c r="AE122" s="20"/>
      <c r="AF122" s="20"/>
    </row>
    <row r="123" spans="2:32" x14ac:dyDescent="0.2">
      <c r="B123" s="20" t="s">
        <v>459</v>
      </c>
      <c r="C123" s="150"/>
      <c r="D123" s="150"/>
      <c r="E123" s="150"/>
      <c r="F123" s="150"/>
      <c r="G123" s="150">
        <f t="shared" ref="G123:P123" si="295">(G31+G32)/G25</f>
        <v>0</v>
      </c>
      <c r="H123" s="150">
        <f t="shared" si="295"/>
        <v>0</v>
      </c>
      <c r="I123" s="150">
        <f t="shared" si="295"/>
        <v>0</v>
      </c>
      <c r="J123" s="150">
        <f t="shared" si="295"/>
        <v>0</v>
      </c>
      <c r="K123" s="150">
        <f t="shared" si="295"/>
        <v>0</v>
      </c>
      <c r="L123" s="150">
        <f t="shared" si="295"/>
        <v>0</v>
      </c>
      <c r="M123" s="150">
        <f t="shared" si="295"/>
        <v>0</v>
      </c>
      <c r="N123" s="150">
        <f t="shared" si="295"/>
        <v>0</v>
      </c>
      <c r="O123" s="150">
        <f t="shared" si="295"/>
        <v>0</v>
      </c>
      <c r="P123" s="150">
        <f t="shared" si="295"/>
        <v>0</v>
      </c>
      <c r="Q123" s="150">
        <f>(Q31+Q32)/Q25</f>
        <v>0</v>
      </c>
      <c r="R123" s="118" t="e">
        <f t="shared" si="214"/>
        <v>#DIV/0!</v>
      </c>
      <c r="S123" s="20"/>
      <c r="T123" s="150">
        <f>(T31+T32)/T25</f>
        <v>0</v>
      </c>
      <c r="U123" s="150">
        <f t="shared" ref="U123:AC123" si="296">(U31+U32)/U25</f>
        <v>0</v>
      </c>
      <c r="V123" s="150">
        <f t="shared" si="296"/>
        <v>0</v>
      </c>
      <c r="W123" s="150">
        <f t="shared" si="296"/>
        <v>0</v>
      </c>
      <c r="X123" s="150">
        <f t="shared" si="296"/>
        <v>0</v>
      </c>
      <c r="Y123" s="150">
        <f t="shared" si="296"/>
        <v>0</v>
      </c>
      <c r="Z123" s="150">
        <f t="shared" si="296"/>
        <v>0</v>
      </c>
      <c r="AA123" s="150">
        <f t="shared" si="296"/>
        <v>0</v>
      </c>
      <c r="AB123" s="150">
        <f t="shared" si="296"/>
        <v>0</v>
      </c>
      <c r="AC123" s="150">
        <f t="shared" si="296"/>
        <v>0</v>
      </c>
      <c r="AD123" s="137" t="e">
        <f t="shared" si="216"/>
        <v>#DIV/0!</v>
      </c>
      <c r="AE123" s="20"/>
      <c r="AF123" s="20"/>
    </row>
    <row r="124" spans="2:32" x14ac:dyDescent="0.2">
      <c r="B124" s="20"/>
      <c r="C124" s="20"/>
      <c r="D124" s="20"/>
      <c r="E124" s="20"/>
      <c r="F124" s="2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28"/>
      <c r="S124" s="20"/>
      <c r="T124" s="150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28"/>
      <c r="AE124" s="20"/>
      <c r="AF124" s="20"/>
    </row>
    <row r="125" spans="2:32" x14ac:dyDescent="0.2">
      <c r="B125" s="20" t="s">
        <v>353</v>
      </c>
      <c r="C125" s="20"/>
      <c r="D125" s="20"/>
      <c r="E125" s="20"/>
      <c r="F125" s="20"/>
      <c r="G125" s="150">
        <f>G27/G25</f>
        <v>0.91489361702127658</v>
      </c>
      <c r="H125" s="150">
        <f t="shared" ref="H125:P125" si="297">H27/H25</f>
        <v>0.92972972972972978</v>
      </c>
      <c r="I125" s="150">
        <f t="shared" si="297"/>
        <v>0.90990990990990994</v>
      </c>
      <c r="J125" s="150">
        <f t="shared" si="297"/>
        <v>0.91034482758620694</v>
      </c>
      <c r="K125" s="150">
        <f t="shared" si="297"/>
        <v>0.88650306748466257</v>
      </c>
      <c r="L125" s="150">
        <f t="shared" si="297"/>
        <v>0.89974937343358397</v>
      </c>
      <c r="M125" s="150">
        <f t="shared" si="297"/>
        <v>0.83976833976833976</v>
      </c>
      <c r="N125" s="150">
        <f t="shared" si="297"/>
        <v>0.83834586466165417</v>
      </c>
      <c r="O125" s="150">
        <f t="shared" si="297"/>
        <v>0.84509466437177283</v>
      </c>
      <c r="P125" s="150">
        <f t="shared" si="297"/>
        <v>0.85258681785967394</v>
      </c>
      <c r="Q125" s="150">
        <f t="shared" ref="Q125" si="298">Q27/Q25</f>
        <v>0.86792452830188682</v>
      </c>
      <c r="R125" s="118">
        <f t="shared" si="214"/>
        <v>-7.0284590210346609E-3</v>
      </c>
      <c r="S125" s="20"/>
      <c r="T125" s="150">
        <f t="shared" ref="T125:AC125" si="299">T27/T25</f>
        <v>0.86792452830188682</v>
      </c>
      <c r="U125" s="150">
        <f t="shared" si="299"/>
        <v>0.86792452830188682</v>
      </c>
      <c r="V125" s="150">
        <f t="shared" si="299"/>
        <v>0.86792452830188682</v>
      </c>
      <c r="W125" s="150">
        <f t="shared" si="299"/>
        <v>0.86792452830188682</v>
      </c>
      <c r="X125" s="150">
        <f t="shared" si="299"/>
        <v>0.86792452830188671</v>
      </c>
      <c r="Y125" s="150">
        <f t="shared" si="299"/>
        <v>0.86792452830188671</v>
      </c>
      <c r="Z125" s="150">
        <f t="shared" si="299"/>
        <v>0.8679245283018866</v>
      </c>
      <c r="AA125" s="150">
        <f t="shared" si="299"/>
        <v>0.8679245283018866</v>
      </c>
      <c r="AB125" s="150">
        <f t="shared" si="299"/>
        <v>0.8679245283018866</v>
      </c>
      <c r="AC125" s="150">
        <f t="shared" si="299"/>
        <v>0.8679245283018866</v>
      </c>
      <c r="AD125" s="137">
        <f t="shared" si="216"/>
        <v>-2.6316825882257699E-3</v>
      </c>
      <c r="AE125" s="20"/>
      <c r="AF125" s="20"/>
    </row>
    <row r="126" spans="2:32" x14ac:dyDescent="0.2">
      <c r="B126" s="20" t="str">
        <f>B33</f>
        <v>Top Expenses ( Raw material )</v>
      </c>
      <c r="C126" s="20"/>
      <c r="D126" s="20"/>
      <c r="E126" s="20"/>
      <c r="F126" s="20"/>
      <c r="G126" s="150">
        <f>G33/G25</f>
        <v>0.52482269503546097</v>
      </c>
      <c r="H126" s="150">
        <f t="shared" ref="H126:P126" si="300">H33/H25</f>
        <v>0.55675675675675673</v>
      </c>
      <c r="I126" s="150">
        <f t="shared" si="300"/>
        <v>0.54054054054054057</v>
      </c>
      <c r="J126" s="150">
        <f t="shared" si="300"/>
        <v>0.56206896551724139</v>
      </c>
      <c r="K126" s="150">
        <f t="shared" si="300"/>
        <v>0.53987730061349692</v>
      </c>
      <c r="L126" s="150">
        <f t="shared" si="300"/>
        <v>0.55137844611528819</v>
      </c>
      <c r="M126" s="150">
        <f t="shared" si="300"/>
        <v>0.52316602316602312</v>
      </c>
      <c r="N126" s="150">
        <f t="shared" si="300"/>
        <v>0.55513784461152882</v>
      </c>
      <c r="O126" s="150">
        <f t="shared" si="300"/>
        <v>0.58175559380378661</v>
      </c>
      <c r="P126" s="150">
        <f t="shared" si="300"/>
        <v>0.58681785967399003</v>
      </c>
      <c r="Q126" s="150">
        <f t="shared" ref="Q126" si="301">Q33/Q25</f>
        <v>0.56905660377358491</v>
      </c>
      <c r="R126" s="118">
        <f t="shared" si="214"/>
        <v>1.1227965689164288E-2</v>
      </c>
      <c r="S126" s="20"/>
      <c r="T126" s="150">
        <f t="shared" ref="T126:AC126" si="302">T33/T25</f>
        <v>0.56905660377358491</v>
      </c>
      <c r="U126" s="150">
        <f t="shared" si="302"/>
        <v>0.56905660377358491</v>
      </c>
      <c r="V126" s="150">
        <f t="shared" si="302"/>
        <v>0.56905660377358491</v>
      </c>
      <c r="W126" s="150">
        <f t="shared" si="302"/>
        <v>0.56905660377358491</v>
      </c>
      <c r="X126" s="150">
        <f t="shared" si="302"/>
        <v>0.56905660377358491</v>
      </c>
      <c r="Y126" s="150">
        <f t="shared" si="302"/>
        <v>0.56905660377358491</v>
      </c>
      <c r="Z126" s="150">
        <f t="shared" si="302"/>
        <v>0.5690566037735848</v>
      </c>
      <c r="AA126" s="150">
        <f t="shared" si="302"/>
        <v>0.5690566037735848</v>
      </c>
      <c r="AB126" s="150">
        <f t="shared" si="302"/>
        <v>0.5690566037735848</v>
      </c>
      <c r="AC126" s="150">
        <f t="shared" si="302"/>
        <v>0.5690566037735848</v>
      </c>
      <c r="AD126" s="137">
        <f t="shared" si="216"/>
        <v>4.0541673299707703E-3</v>
      </c>
      <c r="AE126" s="20"/>
      <c r="AF126" s="20"/>
    </row>
    <row r="127" spans="2:32" x14ac:dyDescent="0.2">
      <c r="B127" s="20" t="str">
        <f>B34</f>
        <v>2nd highest Expenses Comp. ( Empl )</v>
      </c>
      <c r="C127" s="20"/>
      <c r="D127" s="20"/>
      <c r="E127" s="20"/>
      <c r="F127" s="20"/>
      <c r="G127" s="150">
        <f>G34/G25</f>
        <v>9.9290780141843976E-2</v>
      </c>
      <c r="H127" s="150">
        <f t="shared" ref="H127:P127" si="303">H34/H25</f>
        <v>8.6486486486486491E-2</v>
      </c>
      <c r="I127" s="150">
        <f t="shared" si="303"/>
        <v>7.6576576576576572E-2</v>
      </c>
      <c r="J127" s="150">
        <f t="shared" si="303"/>
        <v>6.5517241379310351E-2</v>
      </c>
      <c r="K127" s="150">
        <f t="shared" si="303"/>
        <v>8.2822085889570546E-2</v>
      </c>
      <c r="L127" s="150">
        <f t="shared" si="303"/>
        <v>7.7694235588972427E-2</v>
      </c>
      <c r="M127" s="150">
        <f t="shared" si="303"/>
        <v>7.5289575289575292E-2</v>
      </c>
      <c r="N127" s="150">
        <f t="shared" si="303"/>
        <v>6.6416040100250623E-2</v>
      </c>
      <c r="O127" s="150">
        <f t="shared" si="303"/>
        <v>6.2822719449225475E-2</v>
      </c>
      <c r="P127" s="150">
        <f t="shared" si="303"/>
        <v>5.9532246633593196E-2</v>
      </c>
      <c r="Q127" s="150">
        <f t="shared" ref="Q127" si="304">Q34/Q25</f>
        <v>6.8679245283018872E-2</v>
      </c>
      <c r="R127" s="118">
        <f t="shared" si="214"/>
        <v>-4.9867147306730586E-2</v>
      </c>
      <c r="S127" s="20"/>
      <c r="T127" s="150">
        <f t="shared" ref="T127:AC127" si="305">T34/T25</f>
        <v>6.8679245283018872E-2</v>
      </c>
      <c r="U127" s="150">
        <f t="shared" si="305"/>
        <v>6.8679245283018872E-2</v>
      </c>
      <c r="V127" s="150">
        <f t="shared" si="305"/>
        <v>6.8679245283018872E-2</v>
      </c>
      <c r="W127" s="150">
        <f t="shared" si="305"/>
        <v>6.8679245283018858E-2</v>
      </c>
      <c r="X127" s="150">
        <f t="shared" si="305"/>
        <v>6.8679245283018858E-2</v>
      </c>
      <c r="Y127" s="150">
        <f t="shared" si="305"/>
        <v>6.8679245283018872E-2</v>
      </c>
      <c r="Z127" s="150">
        <f t="shared" si="305"/>
        <v>6.8679245283018858E-2</v>
      </c>
      <c r="AA127" s="150">
        <f t="shared" si="305"/>
        <v>6.8679245283018858E-2</v>
      </c>
      <c r="AB127" s="150">
        <f t="shared" si="305"/>
        <v>6.8679245283018844E-2</v>
      </c>
      <c r="AC127" s="150">
        <f t="shared" si="305"/>
        <v>6.8679245283018844E-2</v>
      </c>
      <c r="AD127" s="137">
        <f t="shared" si="216"/>
        <v>-1.8261484476734702E-2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28"/>
      <c r="S128" s="128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38"/>
      <c r="AE128" s="20"/>
      <c r="AF128" s="20"/>
    </row>
    <row r="129" spans="2:32" x14ac:dyDescent="0.2">
      <c r="B129" s="108" t="s">
        <v>361</v>
      </c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118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37"/>
      <c r="AE129" s="20"/>
      <c r="AF129" s="20"/>
    </row>
    <row r="130" spans="2:32" x14ac:dyDescent="0.2">
      <c r="B130" s="20" t="s">
        <v>364</v>
      </c>
      <c r="C130" s="20"/>
      <c r="D130" s="20"/>
      <c r="E130" s="20"/>
      <c r="F130" s="20"/>
      <c r="G130" s="25">
        <f>G15/G9</f>
        <v>2.5135135135135136</v>
      </c>
      <c r="H130" s="25">
        <f t="shared" ref="H130:AC130" si="306">H15/H9</f>
        <v>2.4736842105263159</v>
      </c>
      <c r="I130" s="25">
        <f t="shared" si="306"/>
        <v>2.3333333333333335</v>
      </c>
      <c r="J130" s="25">
        <f t="shared" si="306"/>
        <v>2.0877192982456139</v>
      </c>
      <c r="K130" s="25">
        <f t="shared" si="306"/>
        <v>1.8709677419354838</v>
      </c>
      <c r="L130" s="25">
        <f t="shared" si="306"/>
        <v>1.7142857142857142</v>
      </c>
      <c r="M130" s="25">
        <f t="shared" si="306"/>
        <v>1.4105263157894736</v>
      </c>
      <c r="N130" s="25">
        <f t="shared" si="306"/>
        <v>1.3605442176870748</v>
      </c>
      <c r="O130" s="25">
        <f t="shared" si="306"/>
        <v>1.2563025210084033</v>
      </c>
      <c r="P130" s="25">
        <f t="shared" si="306"/>
        <v>1.7869565217391303</v>
      </c>
      <c r="Q130" s="25">
        <f t="shared" ref="Q130" si="307">Q15/Q9</f>
        <v>1.9777777777777779</v>
      </c>
      <c r="R130" s="118">
        <f t="shared" si="214"/>
        <v>-3.3541352905299915E-2</v>
      </c>
      <c r="S130" s="20"/>
      <c r="T130" s="20">
        <f t="shared" si="306"/>
        <v>1.9777777777777776</v>
      </c>
      <c r="U130" s="20">
        <f t="shared" si="306"/>
        <v>1.9777777777777779</v>
      </c>
      <c r="V130" s="20">
        <f t="shared" si="306"/>
        <v>1.9777777777777776</v>
      </c>
      <c r="W130" s="20">
        <f t="shared" si="306"/>
        <v>1.9777777777777776</v>
      </c>
      <c r="X130" s="20">
        <f t="shared" si="306"/>
        <v>1.9777777777777774</v>
      </c>
      <c r="Y130" s="20">
        <f t="shared" si="306"/>
        <v>1.9777777777777774</v>
      </c>
      <c r="Z130" s="20">
        <f t="shared" si="306"/>
        <v>1.9777777777777776</v>
      </c>
      <c r="AA130" s="20">
        <f t="shared" si="306"/>
        <v>1.9777777777777779</v>
      </c>
      <c r="AB130" s="20">
        <f t="shared" si="306"/>
        <v>1.9777777777777781</v>
      </c>
      <c r="AC130" s="20">
        <f t="shared" si="306"/>
        <v>1.9777777777777783</v>
      </c>
      <c r="AD130" s="137">
        <f t="shared" si="216"/>
        <v>-1.1913846391494842E-2</v>
      </c>
      <c r="AE130" s="20"/>
      <c r="AF130" s="20"/>
    </row>
    <row r="131" spans="2:32" x14ac:dyDescent="0.2">
      <c r="B131" s="20" t="s">
        <v>354</v>
      </c>
      <c r="C131" s="20"/>
      <c r="D131" s="20"/>
      <c r="E131" s="20"/>
      <c r="F131" s="20"/>
      <c r="G131" s="25">
        <f>G12/G9</f>
        <v>0.16216216216216217</v>
      </c>
      <c r="H131" s="25">
        <f t="shared" ref="H131:P131" si="308">H12/H9</f>
        <v>0.23684210526315788</v>
      </c>
      <c r="I131" s="25">
        <f t="shared" si="308"/>
        <v>0.23076923076923078</v>
      </c>
      <c r="J131" s="25">
        <f t="shared" si="308"/>
        <v>0.12280701754385964</v>
      </c>
      <c r="K131" s="25">
        <f t="shared" si="308"/>
        <v>0.17741935483870969</v>
      </c>
      <c r="L131" s="25">
        <f t="shared" si="308"/>
        <v>0.19047619047619047</v>
      </c>
      <c r="M131" s="25">
        <f t="shared" si="308"/>
        <v>0.4631578947368421</v>
      </c>
      <c r="N131" s="25">
        <f t="shared" si="308"/>
        <v>0.36054421768707484</v>
      </c>
      <c r="O131" s="25">
        <f t="shared" si="308"/>
        <v>9.2436974789915971E-2</v>
      </c>
      <c r="P131" s="25">
        <f t="shared" si="308"/>
        <v>0.14347826086956522</v>
      </c>
      <c r="Q131" s="25">
        <f t="shared" ref="Q131" si="309">Q12/Q9</f>
        <v>0.13333333333333333</v>
      </c>
      <c r="R131" s="118">
        <f t="shared" si="214"/>
        <v>-1.2166710113255652E-2</v>
      </c>
      <c r="S131" s="128"/>
      <c r="T131" s="20">
        <f t="shared" ref="T131:AC131" si="310">T12/T9</f>
        <v>0.13333333333333333</v>
      </c>
      <c r="U131" s="20">
        <f t="shared" si="310"/>
        <v>0.13333333333333333</v>
      </c>
      <c r="V131" s="20">
        <f t="shared" si="310"/>
        <v>0.13333333333333333</v>
      </c>
      <c r="W131" s="20">
        <f t="shared" si="310"/>
        <v>0.13333333333333333</v>
      </c>
      <c r="X131" s="20">
        <f t="shared" si="310"/>
        <v>0.13333333333333333</v>
      </c>
      <c r="Y131" s="20">
        <f t="shared" si="310"/>
        <v>0.13333333333333333</v>
      </c>
      <c r="Z131" s="20">
        <f t="shared" si="310"/>
        <v>0.13333333333333336</v>
      </c>
      <c r="AA131" s="20">
        <f t="shared" si="310"/>
        <v>0.13333333333333336</v>
      </c>
      <c r="AB131" s="20">
        <f t="shared" si="310"/>
        <v>0.13333333333333339</v>
      </c>
      <c r="AC131" s="20">
        <f t="shared" si="310"/>
        <v>0.13333333333333339</v>
      </c>
      <c r="AD131" s="118">
        <f t="shared" ref="AD131" si="311">((AC131/T131)^(1/($H$2-$H$1) ))-1</f>
        <v>0</v>
      </c>
      <c r="AE131" s="20"/>
      <c r="AF131" s="20"/>
    </row>
    <row r="132" spans="2:32" x14ac:dyDescent="0.2">
      <c r="B132" s="20" t="s">
        <v>356</v>
      </c>
      <c r="C132" s="20"/>
      <c r="D132" s="20"/>
      <c r="E132" s="20"/>
      <c r="F132" s="20"/>
      <c r="G132" s="25">
        <f>G25/360</f>
        <v>0.39166666666666666</v>
      </c>
      <c r="H132" s="25">
        <f t="shared" ref="H132:P132" si="312">H25/360</f>
        <v>0.51388888888888884</v>
      </c>
      <c r="I132" s="25">
        <f t="shared" si="312"/>
        <v>0.6166666666666667</v>
      </c>
      <c r="J132" s="25">
        <f t="shared" si="312"/>
        <v>0.80555555555555558</v>
      </c>
      <c r="K132" s="25">
        <f t="shared" si="312"/>
        <v>0.90555555555555556</v>
      </c>
      <c r="L132" s="25">
        <f t="shared" si="312"/>
        <v>1.1083333333333334</v>
      </c>
      <c r="M132" s="25">
        <f t="shared" si="312"/>
        <v>1.4388888888888889</v>
      </c>
      <c r="N132" s="25">
        <f t="shared" si="312"/>
        <v>2.2166666666666668</v>
      </c>
      <c r="O132" s="25">
        <f t="shared" si="312"/>
        <v>3.2277777777777779</v>
      </c>
      <c r="P132" s="25">
        <f t="shared" si="312"/>
        <v>3.9194444444444443</v>
      </c>
      <c r="Q132" s="25">
        <f t="shared" ref="Q132" si="313">Q25/360</f>
        <v>3.6805555555555554</v>
      </c>
      <c r="R132" s="118">
        <f t="shared" si="214"/>
        <v>0.25901466880178892</v>
      </c>
      <c r="S132" s="128"/>
      <c r="T132" s="25">
        <f t="shared" ref="T132:AC132" si="314">T25/360</f>
        <v>4.490277777777778</v>
      </c>
      <c r="U132" s="25">
        <f t="shared" si="314"/>
        <v>5.4781388888888882</v>
      </c>
      <c r="V132" s="25">
        <f t="shared" si="314"/>
        <v>6.6833294444444444</v>
      </c>
      <c r="W132" s="25">
        <f t="shared" si="314"/>
        <v>8.1536619222222217</v>
      </c>
      <c r="X132" s="25">
        <f t="shared" si="314"/>
        <v>9.9474675451111114</v>
      </c>
      <c r="Y132" s="25">
        <f t="shared" si="314"/>
        <v>12.135910405035556</v>
      </c>
      <c r="Z132" s="25">
        <f t="shared" si="314"/>
        <v>14.805810694143378</v>
      </c>
      <c r="AA132" s="25">
        <f t="shared" si="314"/>
        <v>18.063089046854923</v>
      </c>
      <c r="AB132" s="25">
        <f t="shared" si="314"/>
        <v>22.036968637163003</v>
      </c>
      <c r="AC132" s="25">
        <f t="shared" si="314"/>
        <v>26.885101737338864</v>
      </c>
      <c r="AD132" s="118">
        <f t="shared" ref="AD132:AD143" si="315">((AC132/T132)^(1/($H$2-$H$1) ))-1</f>
        <v>0.19597980851172503</v>
      </c>
      <c r="AE132" s="20"/>
      <c r="AF132" s="20"/>
    </row>
    <row r="133" spans="2:32" x14ac:dyDescent="0.2">
      <c r="B133" s="20" t="s">
        <v>355</v>
      </c>
      <c r="C133" s="20"/>
      <c r="D133" s="20"/>
      <c r="E133" s="20"/>
      <c r="F133" s="20"/>
      <c r="G133" s="25">
        <f>G27/360</f>
        <v>0.35833333333333334</v>
      </c>
      <c r="H133" s="25">
        <f t="shared" ref="H133:P133" si="316">H27/360</f>
        <v>0.4777777777777778</v>
      </c>
      <c r="I133" s="25">
        <f t="shared" si="316"/>
        <v>0.56111111111111112</v>
      </c>
      <c r="J133" s="25">
        <f t="shared" si="316"/>
        <v>0.73333333333333328</v>
      </c>
      <c r="K133" s="25">
        <f t="shared" si="316"/>
        <v>0.80277777777777781</v>
      </c>
      <c r="L133" s="25">
        <f t="shared" si="316"/>
        <v>0.99722222222222223</v>
      </c>
      <c r="M133" s="25">
        <f t="shared" si="316"/>
        <v>1.2083333333333333</v>
      </c>
      <c r="N133" s="25">
        <f t="shared" si="316"/>
        <v>1.8583333333333334</v>
      </c>
      <c r="O133" s="25">
        <f t="shared" si="316"/>
        <v>2.7277777777777779</v>
      </c>
      <c r="P133" s="25">
        <f t="shared" si="316"/>
        <v>3.3416666666666668</v>
      </c>
      <c r="Q133" s="25">
        <f t="shared" ref="Q133" si="317">Q27/360</f>
        <v>3.1944444444444446</v>
      </c>
      <c r="R133" s="118">
        <f t="shared" si="214"/>
        <v>0.25016573579523405</v>
      </c>
      <c r="S133" s="128"/>
      <c r="T133" s="25">
        <f t="shared" ref="T133:AC133" si="318">T27/360</f>
        <v>3.8972222222222221</v>
      </c>
      <c r="U133" s="25">
        <f t="shared" si="318"/>
        <v>4.7546111111111111</v>
      </c>
      <c r="V133" s="25">
        <f t="shared" si="318"/>
        <v>5.8006255555555555</v>
      </c>
      <c r="W133" s="25">
        <f t="shared" si="318"/>
        <v>7.076763177777778</v>
      </c>
      <c r="X133" s="25">
        <f t="shared" si="318"/>
        <v>8.6336510768888886</v>
      </c>
      <c r="Y133" s="25">
        <f t="shared" si="318"/>
        <v>10.533054313804444</v>
      </c>
      <c r="Z133" s="25">
        <f t="shared" si="318"/>
        <v>12.850326262841421</v>
      </c>
      <c r="AA133" s="25">
        <f t="shared" si="318"/>
        <v>15.677398040666533</v>
      </c>
      <c r="AB133" s="25">
        <f t="shared" si="318"/>
        <v>19.126425609613172</v>
      </c>
      <c r="AC133" s="25">
        <f t="shared" si="318"/>
        <v>23.334239243728067</v>
      </c>
      <c r="AD133" s="118">
        <f t="shared" si="315"/>
        <v>0.19597980851172503</v>
      </c>
      <c r="AE133" s="20"/>
      <c r="AF133" s="20"/>
    </row>
    <row r="134" spans="2:32" x14ac:dyDescent="0.2">
      <c r="B134" s="20"/>
      <c r="C134" s="20"/>
      <c r="D134" s="20"/>
      <c r="E134" s="20"/>
      <c r="F134" s="20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128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128"/>
      <c r="AE134" s="20"/>
      <c r="AF134" s="20"/>
    </row>
    <row r="135" spans="2:32" x14ac:dyDescent="0.2">
      <c r="B135" s="20" t="s">
        <v>365</v>
      </c>
      <c r="C135" s="20"/>
      <c r="D135" s="20"/>
      <c r="E135" s="20"/>
      <c r="F135" s="20"/>
      <c r="G135" s="25">
        <f>G10/G7</f>
        <v>1.8333333333333333</v>
      </c>
      <c r="H135" s="25">
        <f t="shared" ref="H135:P135" si="319">H10/H7</f>
        <v>1</v>
      </c>
      <c r="I135" s="25">
        <f t="shared" si="319"/>
        <v>1</v>
      </c>
      <c r="J135" s="25">
        <f t="shared" si="319"/>
        <v>1</v>
      </c>
      <c r="K135" s="25">
        <f t="shared" si="319"/>
        <v>1</v>
      </c>
      <c r="L135" s="25">
        <f t="shared" si="319"/>
        <v>1</v>
      </c>
      <c r="M135" s="25">
        <f t="shared" si="319"/>
        <v>2.4193548387096774E-2</v>
      </c>
      <c r="N135" s="25">
        <f t="shared" si="319"/>
        <v>1.0416666666666666E-2</v>
      </c>
      <c r="O135" s="25">
        <f t="shared" si="319"/>
        <v>5.9649122807017542E-2</v>
      </c>
      <c r="P135" s="25">
        <f t="shared" si="319"/>
        <v>0.29113924050632911</v>
      </c>
      <c r="Q135" s="25">
        <f t="shared" ref="Q135" si="320">Q10/Q7</f>
        <v>4.4444444444444446E-2</v>
      </c>
      <c r="R135" s="118">
        <f t="shared" si="214"/>
        <v>-0.16807163698288285</v>
      </c>
      <c r="S135" s="128"/>
      <c r="T135" s="25">
        <f t="shared" ref="T135:AC135" si="321">T10/T7</f>
        <v>4.4444444444444446E-2</v>
      </c>
      <c r="U135" s="25">
        <f t="shared" si="321"/>
        <v>4.4444444444444446E-2</v>
      </c>
      <c r="V135" s="25">
        <f t="shared" si="321"/>
        <v>4.4444444444444439E-2</v>
      </c>
      <c r="W135" s="25">
        <f t="shared" si="321"/>
        <v>4.4444444444444446E-2</v>
      </c>
      <c r="X135" s="25">
        <f t="shared" si="321"/>
        <v>4.4444444444444446E-2</v>
      </c>
      <c r="Y135" s="25">
        <f t="shared" si="321"/>
        <v>4.4444444444444446E-2</v>
      </c>
      <c r="Z135" s="25">
        <f t="shared" si="321"/>
        <v>4.4444444444444446E-2</v>
      </c>
      <c r="AA135" s="25">
        <f t="shared" si="321"/>
        <v>4.4444444444444439E-2</v>
      </c>
      <c r="AB135" s="25">
        <f t="shared" si="321"/>
        <v>4.4444444444444432E-2</v>
      </c>
      <c r="AC135" s="25">
        <f t="shared" si="321"/>
        <v>4.4444444444444425E-2</v>
      </c>
      <c r="AD135" s="118">
        <f t="shared" si="315"/>
        <v>0</v>
      </c>
      <c r="AE135" s="20"/>
      <c r="AF135" s="20"/>
    </row>
    <row r="136" spans="2:32" x14ac:dyDescent="0.2">
      <c r="B136" s="20" t="s">
        <v>357</v>
      </c>
      <c r="C136" s="20"/>
      <c r="D136" s="20"/>
      <c r="E136" s="20"/>
      <c r="F136" s="20"/>
      <c r="G136" s="25">
        <f>G10/(G10+G7)</f>
        <v>0.6470588235294118</v>
      </c>
      <c r="H136" s="25">
        <f t="shared" ref="H136:P136" si="322">H10/(H10+H7)</f>
        <v>0.5</v>
      </c>
      <c r="I136" s="25">
        <f t="shared" si="322"/>
        <v>0.5</v>
      </c>
      <c r="J136" s="25">
        <f t="shared" si="322"/>
        <v>0.5</v>
      </c>
      <c r="K136" s="25">
        <f t="shared" si="322"/>
        <v>0.5</v>
      </c>
      <c r="L136" s="25">
        <f t="shared" si="322"/>
        <v>0.5</v>
      </c>
      <c r="M136" s="25">
        <f t="shared" si="322"/>
        <v>2.3622047244094488E-2</v>
      </c>
      <c r="N136" s="25">
        <f t="shared" si="322"/>
        <v>1.0309278350515464E-2</v>
      </c>
      <c r="O136" s="25">
        <f t="shared" si="322"/>
        <v>5.6291390728476824E-2</v>
      </c>
      <c r="P136" s="25">
        <f t="shared" si="322"/>
        <v>0.22549019607843138</v>
      </c>
      <c r="Q136" s="25">
        <f t="shared" ref="Q136" si="323">Q10/(Q10+Q7)</f>
        <v>4.2553191489361701E-2</v>
      </c>
      <c r="R136" s="118">
        <f t="shared" si="214"/>
        <v>-0.100049981868778</v>
      </c>
      <c r="S136" s="128"/>
      <c r="T136" s="25">
        <f t="shared" ref="T136:AC136" si="324">T10/(T10+T7)</f>
        <v>4.2553191489361701E-2</v>
      </c>
      <c r="U136" s="25">
        <f t="shared" si="324"/>
        <v>4.2553191489361708E-2</v>
      </c>
      <c r="V136" s="25">
        <f t="shared" si="324"/>
        <v>4.2553191489361694E-2</v>
      </c>
      <c r="W136" s="25">
        <f t="shared" si="324"/>
        <v>4.2553191489361701E-2</v>
      </c>
      <c r="X136" s="25">
        <f t="shared" si="324"/>
        <v>4.2553191489361701E-2</v>
      </c>
      <c r="Y136" s="25">
        <f t="shared" si="324"/>
        <v>4.2553191489361701E-2</v>
      </c>
      <c r="Z136" s="25">
        <f t="shared" si="324"/>
        <v>4.2553191489361701E-2</v>
      </c>
      <c r="AA136" s="25">
        <f t="shared" si="324"/>
        <v>4.2553191489361694E-2</v>
      </c>
      <c r="AB136" s="25">
        <f t="shared" si="324"/>
        <v>4.2553191489361694E-2</v>
      </c>
      <c r="AC136" s="25">
        <f t="shared" si="324"/>
        <v>4.2553191489361687E-2</v>
      </c>
      <c r="AD136" s="118">
        <f t="shared" si="315"/>
        <v>0</v>
      </c>
      <c r="AE136" s="20"/>
      <c r="AF136" s="20"/>
    </row>
    <row r="137" spans="2:32" x14ac:dyDescent="0.2">
      <c r="B137" s="20"/>
      <c r="C137" s="20"/>
      <c r="D137" s="20"/>
      <c r="E137" s="20"/>
      <c r="F137" s="20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128"/>
      <c r="S137" s="128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136"/>
      <c r="AE137" s="20"/>
      <c r="AF137" s="20"/>
    </row>
    <row r="138" spans="2:32" x14ac:dyDescent="0.2">
      <c r="B138" s="20" t="s">
        <v>362</v>
      </c>
      <c r="C138" s="20"/>
      <c r="D138" s="20"/>
      <c r="E138" s="20"/>
      <c r="F138" s="20"/>
      <c r="G138" s="25">
        <f>G16</f>
        <v>76</v>
      </c>
      <c r="H138" s="25">
        <f t="shared" ref="H138:P138" si="325">H16</f>
        <v>68</v>
      </c>
      <c r="I138" s="25">
        <f t="shared" si="325"/>
        <v>61</v>
      </c>
      <c r="J138" s="25">
        <f t="shared" si="325"/>
        <v>75</v>
      </c>
      <c r="K138" s="25">
        <f t="shared" si="325"/>
        <v>59</v>
      </c>
      <c r="L138" s="25">
        <f t="shared" si="325"/>
        <v>45</v>
      </c>
      <c r="M138" s="25">
        <f t="shared" si="325"/>
        <v>63</v>
      </c>
      <c r="N138" s="25">
        <f t="shared" si="325"/>
        <v>80</v>
      </c>
      <c r="O138" s="25">
        <f t="shared" si="325"/>
        <v>65</v>
      </c>
      <c r="P138" s="25">
        <f t="shared" si="325"/>
        <v>202</v>
      </c>
      <c r="Q138" s="25">
        <f t="shared" ref="Q138" si="326">Q16</f>
        <v>238</v>
      </c>
      <c r="R138" s="118">
        <f t="shared" si="214"/>
        <v>0.1026908673981175</v>
      </c>
      <c r="S138" s="128"/>
      <c r="T138" s="25">
        <f t="shared" ref="T138:AC138" si="327">T16</f>
        <v>290.36</v>
      </c>
      <c r="U138" s="25">
        <f t="shared" si="327"/>
        <v>354.23919999999998</v>
      </c>
      <c r="V138" s="25">
        <f t="shared" si="327"/>
        <v>432.17182399999996</v>
      </c>
      <c r="W138" s="25">
        <f t="shared" si="327"/>
        <v>527.24962527999992</v>
      </c>
      <c r="X138" s="25">
        <f t="shared" si="327"/>
        <v>643.24454284159992</v>
      </c>
      <c r="Y138" s="25">
        <f t="shared" si="327"/>
        <v>784.75834226675192</v>
      </c>
      <c r="Z138" s="25">
        <f t="shared" si="327"/>
        <v>957.40517756543727</v>
      </c>
      <c r="AA138" s="25">
        <f t="shared" si="327"/>
        <v>1168.0343166298335</v>
      </c>
      <c r="AB138" s="25">
        <f t="shared" si="327"/>
        <v>1425.0018662883967</v>
      </c>
      <c r="AC138" s="25">
        <f t="shared" si="327"/>
        <v>1738.5022768718441</v>
      </c>
      <c r="AD138" s="118">
        <f t="shared" si="315"/>
        <v>0.19597980851172503</v>
      </c>
      <c r="AE138" s="20"/>
      <c r="AF138" s="20"/>
    </row>
    <row r="139" spans="2:32" x14ac:dyDescent="0.2">
      <c r="B139" s="20" t="s">
        <v>363</v>
      </c>
      <c r="C139" s="20"/>
      <c r="D139" s="20"/>
      <c r="E139" s="20"/>
      <c r="F139" s="20"/>
      <c r="G139" s="119">
        <f t="shared" ref="G139:P139" si="328">G138*365/G25</f>
        <v>196.73758865248226</v>
      </c>
      <c r="H139" s="119">
        <f t="shared" si="328"/>
        <v>134.16216216216216</v>
      </c>
      <c r="I139" s="119">
        <f t="shared" si="328"/>
        <v>100.2927927927928</v>
      </c>
      <c r="J139" s="119">
        <f t="shared" si="328"/>
        <v>94.396551724137936</v>
      </c>
      <c r="K139" s="119">
        <f t="shared" si="328"/>
        <v>66.058282208588963</v>
      </c>
      <c r="L139" s="119">
        <f t="shared" si="328"/>
        <v>41.165413533834588</v>
      </c>
      <c r="M139" s="119">
        <f t="shared" si="328"/>
        <v>44.391891891891895</v>
      </c>
      <c r="N139" s="119">
        <f t="shared" si="328"/>
        <v>36.591478696741852</v>
      </c>
      <c r="O139" s="119">
        <f t="shared" si="328"/>
        <v>20.417383820998278</v>
      </c>
      <c r="P139" s="119">
        <f t="shared" si="328"/>
        <v>52.253720765414599</v>
      </c>
      <c r="Q139" s="119">
        <f t="shared" ref="Q139" si="329">Q138*365/Q25</f>
        <v>65.562264150943392</v>
      </c>
      <c r="R139" s="118">
        <f t="shared" si="214"/>
        <v>-0.12416360609399857</v>
      </c>
      <c r="S139" s="128"/>
      <c r="T139" s="119">
        <f t="shared" ref="T139:AC139" si="330">T138*365/T25</f>
        <v>65.562264150943406</v>
      </c>
      <c r="U139" s="119">
        <f t="shared" si="330"/>
        <v>65.562264150943392</v>
      </c>
      <c r="V139" s="119">
        <f t="shared" si="330"/>
        <v>65.562264150943392</v>
      </c>
      <c r="W139" s="119">
        <f t="shared" si="330"/>
        <v>65.562264150943392</v>
      </c>
      <c r="X139" s="119">
        <f t="shared" si="330"/>
        <v>65.562264150943392</v>
      </c>
      <c r="Y139" s="119">
        <f t="shared" si="330"/>
        <v>65.562264150943392</v>
      </c>
      <c r="Z139" s="119">
        <f t="shared" si="330"/>
        <v>65.562264150943378</v>
      </c>
      <c r="AA139" s="119">
        <f t="shared" si="330"/>
        <v>65.562264150943378</v>
      </c>
      <c r="AB139" s="119">
        <f t="shared" si="330"/>
        <v>65.562264150943378</v>
      </c>
      <c r="AC139" s="119">
        <f t="shared" si="330"/>
        <v>65.562264150943378</v>
      </c>
      <c r="AD139" s="118">
        <f t="shared" si="315"/>
        <v>0</v>
      </c>
      <c r="AE139" s="20"/>
      <c r="AF139" s="20"/>
    </row>
    <row r="140" spans="2:32" x14ac:dyDescent="0.2">
      <c r="B140" s="20" t="s">
        <v>366</v>
      </c>
      <c r="C140" s="20"/>
      <c r="D140" s="20"/>
      <c r="E140" s="20"/>
      <c r="F140" s="20"/>
      <c r="G140" s="133">
        <f>G83/G29</f>
        <v>0.53097345132743368</v>
      </c>
      <c r="H140" s="133">
        <f t="shared" ref="H140:P140" si="331">H83/H29</f>
        <v>0.88495575221238942</v>
      </c>
      <c r="I140" s="133">
        <f t="shared" si="331"/>
        <v>0.88495575221238942</v>
      </c>
      <c r="J140" s="133">
        <f t="shared" si="331"/>
        <v>0.88495575221238942</v>
      </c>
      <c r="K140" s="133">
        <f t="shared" si="331"/>
        <v>0.88495575221238953</v>
      </c>
      <c r="L140" s="133">
        <f t="shared" si="331"/>
        <v>0.88495575221238942</v>
      </c>
      <c r="M140" s="133">
        <f t="shared" si="331"/>
        <v>23.008849557522126</v>
      </c>
      <c r="N140" s="133">
        <f t="shared" si="331"/>
        <v>28.097345132743367</v>
      </c>
      <c r="O140" s="133">
        <f t="shared" si="331"/>
        <v>15.752212389380531</v>
      </c>
      <c r="P140" s="133">
        <f t="shared" si="331"/>
        <v>12.831858407079647</v>
      </c>
      <c r="Q140" s="133">
        <f t="shared" ref="Q140" si="332">Q83/Q29</f>
        <v>15.732546705998036</v>
      </c>
      <c r="R140" s="118">
        <f t="shared" si="214"/>
        <v>0.37506008358868903</v>
      </c>
      <c r="S140" s="128"/>
      <c r="T140" s="133">
        <f t="shared" ref="T140:AC140" si="333">T83/T29</f>
        <v>15.424065398037287</v>
      </c>
      <c r="U140" s="133">
        <f t="shared" si="333"/>
        <v>15.121632743173812</v>
      </c>
      <c r="V140" s="133">
        <f t="shared" si="333"/>
        <v>14.825130140366481</v>
      </c>
      <c r="W140" s="133">
        <f t="shared" si="333"/>
        <v>14.534441314084788</v>
      </c>
      <c r="X140" s="133">
        <f t="shared" si="333"/>
        <v>14.249452268710574</v>
      </c>
      <c r="Y140" s="133">
        <f t="shared" si="333"/>
        <v>13.970051243833895</v>
      </c>
      <c r="Z140" s="133">
        <f t="shared" si="333"/>
        <v>13.696128670425388</v>
      </c>
      <c r="AA140" s="133">
        <f t="shared" si="333"/>
        <v>13.427577127868025</v>
      </c>
      <c r="AB140" s="133">
        <f t="shared" si="333"/>
        <v>13.164291301831398</v>
      </c>
      <c r="AC140" s="133">
        <f t="shared" si="333"/>
        <v>12.906167942971956</v>
      </c>
      <c r="AD140" s="118">
        <f t="shared" si="315"/>
        <v>-1.7664485544367503E-2</v>
      </c>
      <c r="AE140" s="20"/>
      <c r="AF140" s="20"/>
    </row>
    <row r="141" spans="2:32" x14ac:dyDescent="0.2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28"/>
      <c r="S141" s="128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36"/>
      <c r="AE141" s="20"/>
      <c r="AF141" s="20"/>
    </row>
    <row r="142" spans="2:32" x14ac:dyDescent="0.2">
      <c r="B142" s="20" t="s">
        <v>373</v>
      </c>
      <c r="C142" s="20"/>
      <c r="D142" s="20"/>
      <c r="E142" s="20"/>
      <c r="F142" s="20"/>
      <c r="G142" s="178">
        <f>G25/G14</f>
        <v>2.6111111111111112</v>
      </c>
      <c r="H142" s="178">
        <f t="shared" ref="H142:P142" si="334">H25/H14</f>
        <v>3.3636363636363638</v>
      </c>
      <c r="I142" s="178">
        <f t="shared" si="334"/>
        <v>3.8947368421052633</v>
      </c>
      <c r="J142" s="178">
        <f t="shared" si="334"/>
        <v>3.9189189189189189</v>
      </c>
      <c r="K142" s="178">
        <f t="shared" si="334"/>
        <v>5.3442622950819674</v>
      </c>
      <c r="L142" s="178">
        <f t="shared" si="334"/>
        <v>7.98</v>
      </c>
      <c r="M142" s="178">
        <f t="shared" si="334"/>
        <v>8.4918032786885238</v>
      </c>
      <c r="N142" s="178">
        <f t="shared" si="334"/>
        <v>7.6</v>
      </c>
      <c r="O142" s="178">
        <f t="shared" si="334"/>
        <v>6.64</v>
      </c>
      <c r="P142" s="178">
        <f t="shared" si="334"/>
        <v>6.0042553191489363</v>
      </c>
      <c r="Q142" s="178">
        <f t="shared" ref="Q142" si="335">Q25/Q14</f>
        <v>4.9625468164794011</v>
      </c>
      <c r="R142" s="118">
        <f t="shared" si="214"/>
        <v>8.6834409523260048E-2</v>
      </c>
      <c r="S142" s="128"/>
      <c r="T142" s="20">
        <f t="shared" ref="T142" si="336">T25/T14</f>
        <v>4.9625468164794002</v>
      </c>
      <c r="U142" s="20">
        <f t="shared" ref="U142:AC142" si="337">U25/U14</f>
        <v>4.9625468164794002</v>
      </c>
      <c r="V142" s="20">
        <f t="shared" si="337"/>
        <v>4.9625468164794002</v>
      </c>
      <c r="W142" s="20">
        <f t="shared" si="337"/>
        <v>4.9625468164794011</v>
      </c>
      <c r="X142" s="20">
        <f t="shared" si="337"/>
        <v>4.9625468164794011</v>
      </c>
      <c r="Y142" s="20">
        <f t="shared" si="337"/>
        <v>4.9625468164794011</v>
      </c>
      <c r="Z142" s="20">
        <f t="shared" si="337"/>
        <v>4.9625468164794011</v>
      </c>
      <c r="AA142" s="20">
        <f t="shared" si="337"/>
        <v>4.9625468164794011</v>
      </c>
      <c r="AB142" s="20">
        <f t="shared" si="337"/>
        <v>4.9625468164794011</v>
      </c>
      <c r="AC142" s="20">
        <f t="shared" si="337"/>
        <v>4.9625468164794011</v>
      </c>
      <c r="AD142" s="118">
        <f t="shared" si="315"/>
        <v>0</v>
      </c>
      <c r="AE142" s="20"/>
      <c r="AF142" s="20"/>
    </row>
    <row r="143" spans="2:32" x14ac:dyDescent="0.2">
      <c r="B143" s="20" t="s">
        <v>374</v>
      </c>
      <c r="C143" s="20"/>
      <c r="D143" s="20"/>
      <c r="E143" s="20"/>
      <c r="F143" s="20"/>
      <c r="G143" s="178">
        <f>G27/G14</f>
        <v>2.3888888888888888</v>
      </c>
      <c r="H143" s="178">
        <f t="shared" ref="H143:P143" si="338">H27/H14</f>
        <v>3.1272727272727274</v>
      </c>
      <c r="I143" s="178">
        <f t="shared" si="338"/>
        <v>3.5438596491228069</v>
      </c>
      <c r="J143" s="178">
        <f t="shared" si="338"/>
        <v>3.5675675675675675</v>
      </c>
      <c r="K143" s="178">
        <f t="shared" si="338"/>
        <v>4.7377049180327866</v>
      </c>
      <c r="L143" s="178">
        <f t="shared" si="338"/>
        <v>7.18</v>
      </c>
      <c r="M143" s="178">
        <f t="shared" si="338"/>
        <v>7.1311475409836067</v>
      </c>
      <c r="N143" s="178">
        <f t="shared" si="338"/>
        <v>6.371428571428571</v>
      </c>
      <c r="O143" s="178">
        <f t="shared" si="338"/>
        <v>5.6114285714285712</v>
      </c>
      <c r="P143" s="178">
        <f t="shared" si="338"/>
        <v>5.1191489361702125</v>
      </c>
      <c r="Q143" s="178">
        <f t="shared" ref="Q143" si="339">Q27/Q14</f>
        <v>4.3071161048689142</v>
      </c>
      <c r="R143" s="118">
        <f t="shared" si="214"/>
        <v>7.9195638413275482E-2</v>
      </c>
      <c r="S143" s="128"/>
      <c r="T143" s="20">
        <f t="shared" ref="T143:AC143" si="340">T27/T14</f>
        <v>4.3071161048689142</v>
      </c>
      <c r="U143" s="20">
        <f t="shared" si="340"/>
        <v>4.3071161048689133</v>
      </c>
      <c r="V143" s="20">
        <f t="shared" si="340"/>
        <v>4.3071161048689133</v>
      </c>
      <c r="W143" s="20">
        <f t="shared" si="340"/>
        <v>4.3071161048689142</v>
      </c>
      <c r="X143" s="20">
        <f t="shared" si="340"/>
        <v>4.3071161048689133</v>
      </c>
      <c r="Y143" s="20">
        <f t="shared" si="340"/>
        <v>4.3071161048689133</v>
      </c>
      <c r="Z143" s="20">
        <f t="shared" si="340"/>
        <v>4.3071161048689133</v>
      </c>
      <c r="AA143" s="20">
        <f t="shared" si="340"/>
        <v>4.3071161048689133</v>
      </c>
      <c r="AB143" s="20">
        <f t="shared" si="340"/>
        <v>4.3071161048689133</v>
      </c>
      <c r="AC143" s="20">
        <f t="shared" si="340"/>
        <v>4.3071161048689133</v>
      </c>
      <c r="AD143" s="118">
        <f t="shared" si="315"/>
        <v>0</v>
      </c>
      <c r="AE143" s="20"/>
      <c r="AF143" s="20"/>
    </row>
    <row r="144" spans="2:32" x14ac:dyDescent="0.2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28"/>
      <c r="S144" s="128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36"/>
      <c r="AE144" s="20"/>
      <c r="AF144" s="20"/>
    </row>
    <row r="145" spans="2:32" x14ac:dyDescent="0.2">
      <c r="B145" s="108" t="s">
        <v>244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3" t="s">
        <v>472</v>
      </c>
      <c r="R145" s="23"/>
      <c r="S145" s="23" t="s">
        <v>473</v>
      </c>
      <c r="T145" s="122" t="s">
        <v>66</v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3" t="s">
        <v>280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5"/>
      <c r="Q146" s="133">
        <f>AVERAGE(M87:Q87)</f>
        <v>87.433628318584084</v>
      </c>
      <c r="R146" s="158">
        <f>AVERAGE(G57:Q57)</f>
        <v>45.069187449718427</v>
      </c>
      <c r="S146" s="158">
        <f>AVERAGE(G87:Q87)</f>
        <v>45.069187449718427</v>
      </c>
      <c r="T146" s="192" t="s">
        <v>428</v>
      </c>
      <c r="U146" s="193" t="s">
        <v>429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25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>T147+U147</f>
        <v>1941.5717550533752</v>
      </c>
      <c r="T147" s="133">
        <f>PV($C$1, ($AC$3-$T$3), 0, -AC57)</f>
        <v>168.83232652638046</v>
      </c>
      <c r="U147" s="133">
        <f>PV($C$1, ($AC$3-$T$3), 0, -AF57)</f>
        <v>1772.7394285269947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272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ref="S148:S166" si="341">T148+U148</f>
        <v>10141.24532773415</v>
      </c>
      <c r="T148" s="133">
        <f>PV($C$1, ($AC$3-$T$3), 0, -AC59)</f>
        <v>881.84741980296951</v>
      </c>
      <c r="U148" s="133">
        <f>PV($C$1, ($AC$3-$T$3), 0, -AF59)</f>
        <v>9259.3979079311812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273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41"/>
        <v>9933.2197825498588</v>
      </c>
      <c r="T149" s="133">
        <f>PV($C$1, ($AC$3-$T$3), 0, -AC60)</f>
        <v>863.75824196085716</v>
      </c>
      <c r="U149" s="133">
        <f>PV($C$1, ($AC$3-$T$3), 0, -AF60)</f>
        <v>9069.4615405890017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274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41"/>
        <v>450.72201456596201</v>
      </c>
      <c r="T150" s="133">
        <f>PV($C$1, ($AC$3-$T$3), 0, -AC61)</f>
        <v>39.193218657909739</v>
      </c>
      <c r="U150" s="133">
        <f>PV($C$1, ($AC$3-$T$3), 0, -AF61)</f>
        <v>411.5287959080523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 t="s">
        <v>275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>
        <f t="shared" si="341"/>
        <v>520.06386296072583</v>
      </c>
      <c r="T151" s="133">
        <f>PV($C$1, ($AC$3-$T$3), 0, -AC67)</f>
        <v>45.222944605280496</v>
      </c>
      <c r="U151" s="133">
        <f>PV($C$1, ($AC$3-$T$3), 0, -AF67)</f>
        <v>474.8409183554453</v>
      </c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/>
      <c r="T152" s="133"/>
      <c r="U152" s="20"/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41"/>
        <v>9690.5233131681889</v>
      </c>
      <c r="T153" s="133">
        <f>PV($C$1, ($AC$3-$T$3), 0, -AC63)</f>
        <v>842.6542011450598</v>
      </c>
      <c r="U153" s="133">
        <f>PV($C$1, ($AC$3-$T$3), 0, -$AF$63)</f>
        <v>8847.8691120231288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 t="s">
        <v>271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>
        <f t="shared" si="341"/>
        <v>5790.0443409627478</v>
      </c>
      <c r="T154" s="133">
        <f>PV($C$1, ($AC$3-$T$3), 0, -AC64)</f>
        <v>503.48211660545633</v>
      </c>
      <c r="U154" s="133">
        <f>PV($C$1, ($AC$3-$T$3), 0, -$AF$64)</f>
        <v>5286.5622243572916</v>
      </c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 t="s">
        <v>276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>
        <f t="shared" si="341"/>
        <v>13504.324974880177</v>
      </c>
      <c r="T155" s="133">
        <f>PV($C$1, ($AC$3-$T$3), 0, -AC65)</f>
        <v>1174.2891282504502</v>
      </c>
      <c r="U155" s="133">
        <f>PV($C$1, ($AC$3-$T$3), 0, -$AF$65)</f>
        <v>12330.035846629728</v>
      </c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/>
      <c r="T156" s="133"/>
      <c r="U156" s="20"/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 t="s">
        <v>249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>
        <f t="shared" si="341"/>
        <v>7714.2806339174294</v>
      </c>
      <c r="T157" s="133">
        <f>PV($C$1, ($AC$3-$T$3), 0, -AC70)</f>
        <v>670.80701164499385</v>
      </c>
      <c r="U157" s="133">
        <f>PV($C$1, ($AC$3-$T$3), 0, -AF70)</f>
        <v>7043.4736222724359</v>
      </c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 t="s">
        <v>250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>
        <f t="shared" si="341"/>
        <v>2750.5599863256152</v>
      </c>
      <c r="T158" s="133">
        <f>PV($C$1, ($AC$3-$T$3), 0, -AC71)</f>
        <v>358.7686938685585</v>
      </c>
      <c r="U158" s="133">
        <f>PV($C$1, ($AC$3-$T$3), 0, -AF71)</f>
        <v>2391.7912924570569</v>
      </c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 t="s">
        <v>292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>
        <f t="shared" ref="S160" si="342">T160+U160</f>
        <v>716.36909009874842</v>
      </c>
      <c r="T160" s="133">
        <f>PV($C$1, ($AC$3-$T$3), 0, -AC12)</f>
        <v>62.292964356412909</v>
      </c>
      <c r="U160" s="133">
        <f>PV($C$1, ($AC$3-$T$3), 0, -AF12)</f>
        <v>654.07612574233553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 t="s">
        <v>293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>
        <f>T161+U161</f>
        <v>633.95494699004291</v>
      </c>
      <c r="T161" s="139">
        <f>T160/P42</f>
        <v>55.126517129568953</v>
      </c>
      <c r="U161" s="139">
        <f>U160/P42</f>
        <v>578.82842986047399</v>
      </c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9"/>
      <c r="U162" s="139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108" t="s">
        <v>296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/>
      <c r="T163" s="133"/>
      <c r="U163" s="133"/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0" t="s">
        <v>282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>
        <f t="shared" ref="S164" si="343">T164+U164</f>
        <v>285.26307896601037</v>
      </c>
      <c r="T164" s="133">
        <f>PV($C$1, ($AC$3-$T$3), 0, -AC73)+PV($C$1, ($AB$3-$T$3), 0, -AC73)+PV($C$1, ($AA$3-$T$3), 0, -AC73)+PV($C$1, ($Z$3-$T$3), 0, -AC73)+PV($C$1, ($Y$3-$T$3), 0, -AC73)+PV($C$1, ($X$3-$T$3), 0, -AC73)+PV($C$1, ($W$3-$T$3), 0, -AC73)+PV($C$1, ($V$3-$T$3), 0, -AC73)+PV($C$1, ($U$3-$T$3), 0, -AC73)+PV($C$1, ($T$3-$T$3), 0, -AC73)</f>
        <v>188.02604069694274</v>
      </c>
      <c r="U164" s="133">
        <f>PV($C$1, ($AC$3-$T$3), 0, -AF73)</f>
        <v>97.237038269067625</v>
      </c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3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/>
      <c r="T165" s="133"/>
      <c r="U165" s="133"/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>
        <f t="shared" si="341"/>
        <v>767.54196889920172</v>
      </c>
      <c r="T166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505.91151860226751</v>
      </c>
      <c r="U166" s="133">
        <f>PV($C$1, ($AC$3-$T$3), 0, -AF75)</f>
        <v>261.63045029693416</v>
      </c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460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ref="S168:S171" si="344">T168+U168</f>
        <v>557.21393740645044</v>
      </c>
      <c r="T168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367.27757006427248</v>
      </c>
      <c r="U168" s="133">
        <f>PV($C$1, ($AC$3-$T$3), 0, -AF77)</f>
        <v>189.93636734217799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286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44"/>
        <v>3946.9320566290253</v>
      </c>
      <c r="T169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2601.5494546219306</v>
      </c>
      <c r="U169" s="133">
        <f>PV($C$1, ($AC$3-$T$3), 0, -AF78)</f>
        <v>1345.3826020070946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287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9">
        <f t="shared" si="344"/>
        <v>-3389.7181192225753</v>
      </c>
      <c r="T170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-2234.2718845576587</v>
      </c>
      <c r="U170" s="133">
        <f>PV($C$1, ($AC$3-$T$3), 0, -AF79)</f>
        <v>-1155.4462346649166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288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39">
        <f t="shared" si="344"/>
        <v>-696.51742175806339</v>
      </c>
      <c r="T171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-459.0969625803408</v>
      </c>
      <c r="U171" s="133">
        <f>PV($C$1, ($AC$3-$T$3), 0, -AF80)</f>
        <v>-237.42045917772265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 t="s">
        <v>458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10">
        <f>S169+S170+S171</f>
        <v>-139.30348435161341</v>
      </c>
      <c r="T172" s="110">
        <f t="shared" ref="T172:U172" si="345">T169+T170+T171</f>
        <v>-91.819392516068888</v>
      </c>
      <c r="U172" s="110">
        <f t="shared" si="345"/>
        <v>-47.484091835544575</v>
      </c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/>
      <c r="T173" s="133"/>
      <c r="U173" s="133"/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 t="s">
        <v>297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39">
        <f>T174+U174</f>
        <v>1346.6003487322564</v>
      </c>
      <c r="T174" s="133">
        <f>PV($C$1, ($AC$3-$T$3), 0, -AC81)+PV($C$1, ($AB$3-$T$3), 0, -AC81)+PV($C$1, ($AA$3-$T$3), 0, -AC81)+PV($C$1, ($Z$3-$T$3), 0, -AC81)+PV($C$1, ($Y$3-$T$3), 0, -AC81)+PV($C$1, ($X$3-$T$3), 0, -AC81)+PV($C$1, ($W$3-$T$3), 0, -AC81)+PV($C$1, ($V$3-$T$3), 0, -AC81)+PV($C$1, ($U$3-$T$3), 0, -AC81)+PV($C$1, ($T$3-$T$3), 0, -AC81)</f>
        <v>887.58746098865913</v>
      </c>
      <c r="U174" s="133">
        <f>PV($C$1, ($AC$3-$T$3), 0, -AF81)</f>
        <v>459.01288774359716</v>
      </c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181">
        <v>41729</v>
      </c>
      <c r="P175" s="20">
        <v>2850</v>
      </c>
      <c r="Q175" s="20"/>
      <c r="R175" s="20"/>
      <c r="S175" s="20"/>
      <c r="T175" s="121"/>
      <c r="U175" s="20"/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108" t="s">
        <v>251</v>
      </c>
      <c r="C176" s="20"/>
      <c r="D176" s="20"/>
      <c r="E176" s="20"/>
      <c r="F176" s="199" t="s">
        <v>471</v>
      </c>
      <c r="G176" s="194">
        <v>15</v>
      </c>
      <c r="H176" s="194">
        <v>0</v>
      </c>
      <c r="I176" s="194">
        <v>0</v>
      </c>
      <c r="J176" s="194">
        <v>0</v>
      </c>
      <c r="K176" s="194">
        <v>0</v>
      </c>
      <c r="L176" s="194">
        <v>0</v>
      </c>
      <c r="M176" s="194">
        <v>0</v>
      </c>
      <c r="N176" s="194">
        <v>0</v>
      </c>
      <c r="O176" s="23" t="s">
        <v>389</v>
      </c>
      <c r="P176" s="20">
        <v>3500</v>
      </c>
      <c r="Q176" s="20"/>
      <c r="R176" s="20">
        <v>1200</v>
      </c>
      <c r="S176" s="23" t="s">
        <v>390</v>
      </c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36"/>
      <c r="AE176" s="20"/>
      <c r="AF176" s="20"/>
    </row>
    <row r="177" spans="2:32" x14ac:dyDescent="0.2">
      <c r="B177" s="20" t="s">
        <v>204</v>
      </c>
      <c r="C177" s="22">
        <v>0</v>
      </c>
      <c r="D177" s="22">
        <v>0</v>
      </c>
      <c r="E177" s="22">
        <v>0</v>
      </c>
      <c r="F177" s="22">
        <v>0</v>
      </c>
      <c r="G177" s="22">
        <v>4</v>
      </c>
      <c r="H177" s="22">
        <v>40</v>
      </c>
      <c r="I177" s="22">
        <v>150</v>
      </c>
      <c r="J177" s="22">
        <v>100</v>
      </c>
      <c r="K177" s="22">
        <v>100</v>
      </c>
      <c r="L177" s="22">
        <v>100</v>
      </c>
      <c r="M177" s="22">
        <v>500</v>
      </c>
      <c r="N177" s="22">
        <v>1900</v>
      </c>
      <c r="O177" s="22">
        <v>2800</v>
      </c>
      <c r="P177" s="22">
        <v>3000</v>
      </c>
      <c r="Q177" s="22">
        <v>1500</v>
      </c>
      <c r="R177" s="118">
        <f t="shared" ref="R177:R184" si="346">((P177/G177)^(1/($H$2-$H$1) ))-1</f>
        <v>0.93867998358807636</v>
      </c>
      <c r="S177" s="31">
        <v>0</v>
      </c>
      <c r="T177" s="195">
        <v>50</v>
      </c>
      <c r="U177" s="119">
        <f t="shared" ref="U177:AC177" si="347">T177*(1+$S177)</f>
        <v>50</v>
      </c>
      <c r="V177" s="119">
        <f t="shared" si="347"/>
        <v>50</v>
      </c>
      <c r="W177" s="119">
        <f t="shared" si="347"/>
        <v>50</v>
      </c>
      <c r="X177" s="119">
        <f t="shared" si="347"/>
        <v>50</v>
      </c>
      <c r="Y177" s="119">
        <f t="shared" si="347"/>
        <v>50</v>
      </c>
      <c r="Z177" s="119">
        <f t="shared" si="347"/>
        <v>50</v>
      </c>
      <c r="AA177" s="119">
        <f t="shared" si="347"/>
        <v>50</v>
      </c>
      <c r="AB177" s="119">
        <f t="shared" si="347"/>
        <v>50</v>
      </c>
      <c r="AC177" s="119">
        <f t="shared" si="347"/>
        <v>50</v>
      </c>
      <c r="AD177" s="137">
        <f t="shared" ref="AD177:AD184" si="348">((AC177/G177)^(1/($AC$3-$H$1) ))-1</f>
        <v>0.13460710977202317</v>
      </c>
      <c r="AE177" s="31">
        <f t="shared" ref="AE177:AE184" si="349">$L$1</f>
        <v>0.05</v>
      </c>
      <c r="AF177" s="127">
        <f t="shared" ref="AF177:AF188" si="350">(AC177*(1+AD177))/($C$1-AE177)</f>
        <v>567.30355488601163</v>
      </c>
    </row>
    <row r="178" spans="2:32" x14ac:dyDescent="0.2">
      <c r="B178" s="20" t="s">
        <v>360</v>
      </c>
      <c r="C178" s="25"/>
      <c r="D178" s="25"/>
      <c r="E178" s="25"/>
      <c r="F178" s="25"/>
      <c r="G178" s="25">
        <f t="shared" ref="G178:P178" si="351">G177/G51</f>
        <v>3.2056737588652483E-2</v>
      </c>
      <c r="H178" s="25">
        <f t="shared" si="351"/>
        <v>0.2443243243243243</v>
      </c>
      <c r="I178" s="25">
        <f t="shared" si="351"/>
        <v>0.76351351351351349</v>
      </c>
      <c r="J178" s="25">
        <f t="shared" si="351"/>
        <v>0.38965517241379305</v>
      </c>
      <c r="K178" s="25">
        <f t="shared" si="351"/>
        <v>0.34662576687116564</v>
      </c>
      <c r="L178" s="25">
        <f t="shared" si="351"/>
        <v>0.2832080200501253</v>
      </c>
      <c r="M178" s="25">
        <f t="shared" si="351"/>
        <v>1.0907335907335907</v>
      </c>
      <c r="N178" s="25">
        <f t="shared" si="351"/>
        <v>2.6904761904761902</v>
      </c>
      <c r="O178" s="25">
        <f t="shared" si="351"/>
        <v>2.7228915662650599</v>
      </c>
      <c r="P178" s="25">
        <f t="shared" si="351"/>
        <v>2.4025513819985824</v>
      </c>
      <c r="Q178" s="25">
        <f t="shared" ref="Q178" si="352">Q177/Q51</f>
        <v>1.2792452830188679</v>
      </c>
      <c r="R178" s="118">
        <f t="shared" ref="R178" si="353">((P178/G178)^(1/($H$2-$H$1) ))-1</f>
        <v>0.53983907545185983</v>
      </c>
      <c r="S178" s="128"/>
      <c r="T178" s="25">
        <f t="shared" ref="T178:AC178" si="354">T177/T51</f>
        <v>3.5651098051345496E-2</v>
      </c>
      <c r="U178" s="25">
        <f t="shared" si="354"/>
        <v>2.9806655747846238E-2</v>
      </c>
      <c r="V178" s="25">
        <f t="shared" si="354"/>
        <v>2.4920318740002594E-2</v>
      </c>
      <c r="W178" s="25">
        <f t="shared" si="354"/>
        <v>2.0835020585903811E-2</v>
      </c>
      <c r="X178" s="25">
        <f t="shared" si="354"/>
        <v>1.7419443440673678E-2</v>
      </c>
      <c r="Y178" s="25">
        <f t="shared" si="354"/>
        <v>1.456379697498947E-2</v>
      </c>
      <c r="Z178" s="25">
        <f t="shared" si="354"/>
        <v>1.2176289274171524E-2</v>
      </c>
      <c r="AA178" s="25">
        <f t="shared" si="354"/>
        <v>1.01801762784057E-2</v>
      </c>
      <c r="AB178" s="25">
        <f t="shared" si="354"/>
        <v>8.5112949212900121E-3</v>
      </c>
      <c r="AC178" s="25">
        <f t="shared" si="354"/>
        <v>7.1160006718982071E-3</v>
      </c>
      <c r="AD178" s="137">
        <f t="shared" ref="AD178" si="355">((AC178/G178)^(1/($AC$3-$H$1) ))-1</f>
        <v>-7.2495911024356041E-2</v>
      </c>
      <c r="AE178" s="31">
        <f t="shared" si="349"/>
        <v>0.05</v>
      </c>
      <c r="AF178" s="127">
        <f t="shared" ref="AF178" si="356">(AC178*(1+AD178))/($C$1-AE178)</f>
        <v>6.6001197203390177E-2</v>
      </c>
    </row>
    <row r="179" spans="2:32" x14ac:dyDescent="0.2">
      <c r="B179" s="20" t="s">
        <v>388</v>
      </c>
      <c r="C179" s="25"/>
      <c r="D179" s="25"/>
      <c r="E179" s="25"/>
      <c r="F179" s="25"/>
      <c r="G179" s="25">
        <f t="shared" ref="G179:P179" si="357">G177/G57</f>
        <v>21.523809523809522</v>
      </c>
      <c r="H179" s="25">
        <f t="shared" si="357"/>
        <v>11.299999999999999</v>
      </c>
      <c r="I179" s="25">
        <f t="shared" si="357"/>
        <v>24.214285714285712</v>
      </c>
      <c r="J179" s="25">
        <f t="shared" si="357"/>
        <v>9.4166666666666661</v>
      </c>
      <c r="K179" s="25">
        <f t="shared" si="357"/>
        <v>5.3809523809523805</v>
      </c>
      <c r="L179" s="25">
        <f t="shared" si="357"/>
        <v>5.1363636363636367</v>
      </c>
      <c r="M179" s="25">
        <f t="shared" si="357"/>
        <v>10.865384615384615</v>
      </c>
      <c r="N179" s="25">
        <f t="shared" si="357"/>
        <v>25.559523809523807</v>
      </c>
      <c r="O179" s="25">
        <f t="shared" si="357"/>
        <v>27.999999999999996</v>
      </c>
      <c r="P179" s="25">
        <f t="shared" si="357"/>
        <v>25.488721804511275</v>
      </c>
      <c r="Q179" s="25">
        <f t="shared" ref="Q179" si="358">Q177/Q57</f>
        <v>15.133928571428569</v>
      </c>
      <c r="R179" s="118">
        <f t="shared" si="346"/>
        <v>1.7051376006558705E-2</v>
      </c>
      <c r="S179" s="128"/>
      <c r="T179" s="119">
        <f t="shared" ref="T179:AC179" si="359">T177/T57</f>
        <v>0.42176522248243559</v>
      </c>
      <c r="U179" s="119">
        <f t="shared" si="359"/>
        <v>0.35262338273121668</v>
      </c>
      <c r="V179" s="119">
        <f t="shared" si="359"/>
        <v>0.29481627080806644</v>
      </c>
      <c r="W179" s="119">
        <f t="shared" si="359"/>
        <v>0.24648573461002274</v>
      </c>
      <c r="X179" s="119">
        <f t="shared" si="359"/>
        <v>0.20607823713296988</v>
      </c>
      <c r="Y179" s="119">
        <f t="shared" si="359"/>
        <v>0.17229491957018794</v>
      </c>
      <c r="Z179" s="119">
        <f t="shared" si="359"/>
        <v>0.14404985078818994</v>
      </c>
      <c r="AA179" s="119">
        <f t="shared" si="359"/>
        <v>0.12043512115078175</v>
      </c>
      <c r="AB179" s="119">
        <f t="shared" si="359"/>
        <v>0.10069165866704705</v>
      </c>
      <c r="AC179" s="119">
        <f t="shared" si="359"/>
        <v>8.418482937736721E-2</v>
      </c>
      <c r="AD179" s="137">
        <f t="shared" si="348"/>
        <v>-0.24209332008469964</v>
      </c>
      <c r="AE179" s="31">
        <f t="shared" si="349"/>
        <v>0.05</v>
      </c>
      <c r="AF179" s="127">
        <f t="shared" si="350"/>
        <v>0.63804244532636434</v>
      </c>
    </row>
    <row r="180" spans="2:32" x14ac:dyDescent="0.2">
      <c r="B180" s="20" t="s">
        <v>463</v>
      </c>
      <c r="C180" s="25"/>
      <c r="D180" s="25"/>
      <c r="E180" s="25"/>
      <c r="F180" s="25"/>
      <c r="G180" s="25">
        <f t="shared" ref="G180:P180" si="360">G177/G55</f>
        <v>0.7533333333333333</v>
      </c>
      <c r="H180" s="25">
        <f t="shared" si="360"/>
        <v>4.1090909090909093</v>
      </c>
      <c r="I180" s="25">
        <f t="shared" si="360"/>
        <v>8.0714285714285712</v>
      </c>
      <c r="J180" s="25">
        <f t="shared" si="360"/>
        <v>4.3461538461538458</v>
      </c>
      <c r="K180" s="25">
        <f t="shared" si="360"/>
        <v>3.4242424242424239</v>
      </c>
      <c r="L180" s="25">
        <f t="shared" si="360"/>
        <v>2.8974358974358974</v>
      </c>
      <c r="M180" s="25">
        <f t="shared" si="360"/>
        <v>7.2435897435897427</v>
      </c>
      <c r="N180" s="25">
        <f t="shared" si="360"/>
        <v>16.905511811023619</v>
      </c>
      <c r="O180" s="25">
        <f t="shared" si="360"/>
        <v>17.775280898876403</v>
      </c>
      <c r="P180" s="25">
        <f t="shared" si="360"/>
        <v>16.699507389162562</v>
      </c>
      <c r="Q180" s="25">
        <f>Q177/Q55</f>
        <v>10.593749999999998</v>
      </c>
      <c r="R180" s="118">
        <f t="shared" si="346"/>
        <v>0.36323788736984097</v>
      </c>
      <c r="S180" s="128"/>
      <c r="T180" s="25">
        <f t="shared" ref="T180:AC180" si="361">T177/T55</f>
        <v>0.29523565573770494</v>
      </c>
      <c r="U180" s="25">
        <f t="shared" si="361"/>
        <v>0.24683636791185165</v>
      </c>
      <c r="V180" s="25">
        <f t="shared" si="361"/>
        <v>0.20637138956564649</v>
      </c>
      <c r="W180" s="25">
        <f t="shared" si="361"/>
        <v>0.17254001422701593</v>
      </c>
      <c r="X180" s="25">
        <f t="shared" si="361"/>
        <v>0.1442547659930789</v>
      </c>
      <c r="Y180" s="25">
        <f t="shared" si="361"/>
        <v>0.12060644369913155</v>
      </c>
      <c r="Z180" s="25">
        <f t="shared" si="361"/>
        <v>0.10083489555173294</v>
      </c>
      <c r="AA180" s="25">
        <f t="shared" si="361"/>
        <v>8.4304584805547228E-2</v>
      </c>
      <c r="AB180" s="25">
        <f t="shared" si="361"/>
        <v>7.0484161066932935E-2</v>
      </c>
      <c r="AC180" s="25">
        <f t="shared" si="361"/>
        <v>5.8929380564157044E-2</v>
      </c>
      <c r="AD180" s="137">
        <f t="shared" ref="AD180:AD181" si="362">((AC180/G180)^(1/($AC$3-$H$1) ))-1</f>
        <v>-0.11962594630824541</v>
      </c>
      <c r="AE180" s="31">
        <f t="shared" si="349"/>
        <v>0.05</v>
      </c>
      <c r="AF180" s="127">
        <f t="shared" ref="AF180:AF181" si="363">(AC180*(1+AD180))/($C$1-AE180)</f>
        <v>0.51879897648811035</v>
      </c>
    </row>
    <row r="181" spans="2:32" x14ac:dyDescent="0.2">
      <c r="B181" s="20" t="s">
        <v>464</v>
      </c>
      <c r="C181" s="25"/>
      <c r="D181" s="25"/>
      <c r="E181" s="25"/>
      <c r="F181" s="25"/>
      <c r="G181" s="25">
        <f t="shared" ref="G181:P181" si="364">G177/G56</f>
        <v>8.2181818181818169</v>
      </c>
      <c r="H181" s="25">
        <f t="shared" si="364"/>
        <v>11.299999999999999</v>
      </c>
      <c r="I181" s="25">
        <f t="shared" si="364"/>
        <v>14.125</v>
      </c>
      <c r="J181" s="25">
        <f t="shared" si="364"/>
        <v>6.6470588235294112</v>
      </c>
      <c r="K181" s="25">
        <f t="shared" si="364"/>
        <v>4.708333333333333</v>
      </c>
      <c r="L181" s="25">
        <f t="shared" si="364"/>
        <v>3.8965517241379306</v>
      </c>
      <c r="M181" s="25">
        <f t="shared" si="364"/>
        <v>7.4342105263157894</v>
      </c>
      <c r="N181" s="25">
        <f t="shared" si="364"/>
        <v>17.891666666666666</v>
      </c>
      <c r="O181" s="25">
        <f t="shared" si="364"/>
        <v>19.411042944785276</v>
      </c>
      <c r="P181" s="25">
        <f t="shared" si="364"/>
        <v>18.324324324324323</v>
      </c>
      <c r="Q181" s="25">
        <f>Q177/Q56</f>
        <v>11.151315789473683</v>
      </c>
      <c r="R181" s="118">
        <f t="shared" si="346"/>
        <v>8.3490786036834796E-2</v>
      </c>
      <c r="S181" s="128"/>
      <c r="T181" s="25">
        <f t="shared" ref="T181:AC181" si="365">T177/T56</f>
        <v>0.31077437446074196</v>
      </c>
      <c r="U181" s="25">
        <f t="shared" si="365"/>
        <v>0.25982775569668592</v>
      </c>
      <c r="V181" s="25">
        <f t="shared" si="365"/>
        <v>0.21723304164804894</v>
      </c>
      <c r="W181" s="25">
        <f t="shared" si="365"/>
        <v>0.18162106760738517</v>
      </c>
      <c r="X181" s="25">
        <f t="shared" si="365"/>
        <v>0.15184712209797777</v>
      </c>
      <c r="Y181" s="25">
        <f t="shared" si="365"/>
        <v>0.12695415126224374</v>
      </c>
      <c r="Z181" s="25">
        <f t="shared" si="365"/>
        <v>0.1061419953176136</v>
      </c>
      <c r="AA181" s="25">
        <f t="shared" si="365"/>
        <v>8.8741668216365505E-2</v>
      </c>
      <c r="AB181" s="25">
        <f t="shared" si="365"/>
        <v>7.4193853754666222E-2</v>
      </c>
      <c r="AC181" s="25">
        <f t="shared" si="365"/>
        <v>6.2030926909638989E-2</v>
      </c>
      <c r="AD181" s="137">
        <f t="shared" si="362"/>
        <v>-0.21676582966664937</v>
      </c>
      <c r="AE181" s="31">
        <f t="shared" si="349"/>
        <v>0.05</v>
      </c>
      <c r="AF181" s="127">
        <f t="shared" si="363"/>
        <v>0.48584741573079809</v>
      </c>
    </row>
    <row r="182" spans="2:32" x14ac:dyDescent="0.2">
      <c r="B182" s="20" t="s">
        <v>258</v>
      </c>
      <c r="C182" s="25"/>
      <c r="D182" s="25"/>
      <c r="E182" s="25"/>
      <c r="F182" s="25"/>
      <c r="G182" s="25">
        <f t="shared" ref="G182:P182" si="366">G177/G60</f>
        <v>0.16740740740740739</v>
      </c>
      <c r="H182" s="25">
        <f t="shared" si="366"/>
        <v>1.5586206896551724</v>
      </c>
      <c r="I182" s="25">
        <f t="shared" si="366"/>
        <v>5.1363636363636358</v>
      </c>
      <c r="J182" s="25">
        <f t="shared" si="366"/>
        <v>2.7560975609756095</v>
      </c>
      <c r="K182" s="25">
        <f t="shared" si="366"/>
        <v>2.0545454545454542</v>
      </c>
      <c r="L182" s="25">
        <f t="shared" si="366"/>
        <v>1.5915492957746478</v>
      </c>
      <c r="M182" s="25">
        <f t="shared" si="366"/>
        <v>5.1363636363636358</v>
      </c>
      <c r="N182" s="25">
        <f t="shared" si="366"/>
        <v>12.061797752808989</v>
      </c>
      <c r="O182" s="25">
        <f t="shared" si="366"/>
        <v>11.632352941176469</v>
      </c>
      <c r="P182" s="25">
        <f t="shared" si="366"/>
        <v>8.828125</v>
      </c>
      <c r="Q182" s="25">
        <f t="shared" ref="Q182" si="367">Q177/Q60</f>
        <v>2.9581151832460728</v>
      </c>
      <c r="R182" s="118">
        <f t="shared" si="346"/>
        <v>0.48665220835481127</v>
      </c>
      <c r="S182" s="128"/>
      <c r="T182" s="119">
        <f t="shared" ref="T182:AC182" si="368">T177/T60</f>
        <v>8.2439275598661058E-2</v>
      </c>
      <c r="U182" s="119">
        <f t="shared" si="368"/>
        <v>6.8924640254618266E-2</v>
      </c>
      <c r="V182" s="119">
        <f t="shared" si="368"/>
        <v>5.7625518901402169E-2</v>
      </c>
      <c r="W182" s="119">
        <f t="shared" si="368"/>
        <v>4.8178712524123125E-2</v>
      </c>
      <c r="X182" s="119">
        <f t="shared" si="368"/>
        <v>4.0280562930004586E-2</v>
      </c>
      <c r="Y182" s="119">
        <f t="shared" si="368"/>
        <v>3.3677191957872686E-2</v>
      </c>
      <c r="Z182" s="119">
        <f t="shared" si="368"/>
        <v>2.8156340817237821E-2</v>
      </c>
      <c r="AA182" s="119">
        <f t="shared" si="368"/>
        <v>2.354054724064146E-2</v>
      </c>
      <c r="AB182" s="119">
        <f t="shared" si="368"/>
        <v>1.9681441135618271E-2</v>
      </c>
      <c r="AC182" s="119">
        <f t="shared" si="368"/>
        <v>1.6454975375680851E-2</v>
      </c>
      <c r="AD182" s="137">
        <f t="shared" si="348"/>
        <v>-0.10951598414647956</v>
      </c>
      <c r="AE182" s="31">
        <f t="shared" si="349"/>
        <v>0.05</v>
      </c>
      <c r="AF182" s="127">
        <f t="shared" si="350"/>
        <v>0.14652892553307079</v>
      </c>
    </row>
    <row r="183" spans="2:32" x14ac:dyDescent="0.2">
      <c r="B183" s="20" t="s">
        <v>259</v>
      </c>
      <c r="C183" s="25"/>
      <c r="D183" s="25"/>
      <c r="E183" s="25"/>
      <c r="F183" s="25"/>
      <c r="G183" s="25">
        <f t="shared" ref="G183:P183" si="369">G177/G69</f>
        <v>0.21523809523809523</v>
      </c>
      <c r="H183" s="25">
        <f t="shared" si="369"/>
        <v>1.8833333333333329</v>
      </c>
      <c r="I183" s="25">
        <f t="shared" si="369"/>
        <v>6.2777777777777768</v>
      </c>
      <c r="J183" s="25">
        <f t="shared" si="369"/>
        <v>4.5199999999999996</v>
      </c>
      <c r="K183" s="25">
        <f t="shared" si="369"/>
        <v>9.920983318700614</v>
      </c>
      <c r="L183" s="25">
        <f t="shared" si="369"/>
        <v>9.1202582728006458</v>
      </c>
      <c r="M183" s="25">
        <f t="shared" si="369"/>
        <v>12.728091912592927</v>
      </c>
      <c r="N183" s="25">
        <f t="shared" si="369"/>
        <v>28.25</v>
      </c>
      <c r="O183" s="25">
        <f t="shared" si="369"/>
        <v>141.31308619919608</v>
      </c>
      <c r="P183" s="25">
        <f t="shared" si="369"/>
        <v>102.66505148394911</v>
      </c>
      <c r="Q183" s="25">
        <f t="shared" ref="Q183" si="370">Q177/Q69</f>
        <v>43.46153846153846</v>
      </c>
      <c r="R183" s="118">
        <f t="shared" si="346"/>
        <v>0.85289303546217554</v>
      </c>
      <c r="S183" s="128"/>
      <c r="T183" s="119">
        <f t="shared" ref="T183:AC183" si="371">T177/T69</f>
        <v>1.2112232030264816</v>
      </c>
      <c r="U183" s="119">
        <f t="shared" si="371"/>
        <v>1.0126620222024683</v>
      </c>
      <c r="V183" s="119">
        <f t="shared" si="371"/>
        <v>0.84665185462829329</v>
      </c>
      <c r="W183" s="119">
        <f t="shared" si="371"/>
        <v>0.70785646862365514</v>
      </c>
      <c r="X183" s="119">
        <f t="shared" si="371"/>
        <v>0.5918144245869903</v>
      </c>
      <c r="Y183" s="119">
        <f t="shared" si="371"/>
        <v>0.49479566645797551</v>
      </c>
      <c r="Z183" s="119">
        <f t="shared" si="371"/>
        <v>0.4136816227763403</v>
      </c>
      <c r="AA183" s="119">
        <f t="shared" si="371"/>
        <v>0.34586496330480904</v>
      </c>
      <c r="AB183" s="119">
        <f t="shared" si="371"/>
        <v>0.2891657889925453</v>
      </c>
      <c r="AC183" s="119">
        <f t="shared" si="371"/>
        <v>0.24176156128884935</v>
      </c>
      <c r="AD183" s="137">
        <f t="shared" si="348"/>
        <v>5.8272689301543945E-3</v>
      </c>
      <c r="AE183" s="31">
        <f t="shared" si="349"/>
        <v>0.05</v>
      </c>
      <c r="AF183" s="127">
        <f t="shared" si="350"/>
        <v>2.4317037092345348</v>
      </c>
    </row>
    <row r="184" spans="2:32" x14ac:dyDescent="0.2">
      <c r="B184" s="20" t="s">
        <v>260</v>
      </c>
      <c r="C184" s="25"/>
      <c r="D184" s="25"/>
      <c r="E184" s="25"/>
      <c r="F184" s="25"/>
      <c r="G184" s="25">
        <f t="shared" ref="G184:P184" si="372">G177/G71</f>
        <v>5.9473684210526317E-2</v>
      </c>
      <c r="H184" s="25">
        <f t="shared" si="372"/>
        <v>0.66470588235294115</v>
      </c>
      <c r="I184" s="25">
        <f t="shared" si="372"/>
        <v>2.7786885245901636</v>
      </c>
      <c r="J184" s="25">
        <f t="shared" si="372"/>
        <v>1.5066666666666666</v>
      </c>
      <c r="K184" s="25">
        <f t="shared" si="372"/>
        <v>1.9152542372881354</v>
      </c>
      <c r="L184" s="25">
        <f t="shared" si="372"/>
        <v>2.5111111111111111</v>
      </c>
      <c r="M184" s="25">
        <f t="shared" si="372"/>
        <v>8.9682539682539666</v>
      </c>
      <c r="N184" s="25">
        <f t="shared" si="372"/>
        <v>26.837499999999995</v>
      </c>
      <c r="O184" s="25">
        <f t="shared" si="372"/>
        <v>48.676923076923075</v>
      </c>
      <c r="P184" s="25">
        <f t="shared" si="372"/>
        <v>16.78217821782178</v>
      </c>
      <c r="Q184" s="25">
        <f t="shared" ref="Q184" si="373">Q177/Q71</f>
        <v>7.121848739495797</v>
      </c>
      <c r="R184" s="118">
        <f t="shared" si="346"/>
        <v>0.75813552184624333</v>
      </c>
      <c r="S184" s="128"/>
      <c r="T184" s="119">
        <f t="shared" ref="T184:AC184" si="374">T177/T71</f>
        <v>0.19847775175644022</v>
      </c>
      <c r="U184" s="119">
        <f t="shared" si="374"/>
        <v>0.16594041540292548</v>
      </c>
      <c r="V184" s="119">
        <f t="shared" si="374"/>
        <v>0.13873706861556068</v>
      </c>
      <c r="W184" s="119">
        <f t="shared" si="374"/>
        <v>0.11599328687530483</v>
      </c>
      <c r="X184" s="119">
        <f t="shared" si="374"/>
        <v>9.6977993944926996E-2</v>
      </c>
      <c r="Y184" s="119">
        <f t="shared" si="374"/>
        <v>8.1079962150676671E-2</v>
      </c>
      <c r="Z184" s="119">
        <f t="shared" si="374"/>
        <v>6.7788165076795262E-2</v>
      </c>
      <c r="AA184" s="119">
        <f t="shared" si="374"/>
        <v>5.6675351129779651E-2</v>
      </c>
      <c r="AB184" s="119">
        <f t="shared" si="374"/>
        <v>4.7384309960963315E-2</v>
      </c>
      <c r="AC184" s="119">
        <f t="shared" si="374"/>
        <v>3.9616390295231625E-2</v>
      </c>
      <c r="AD184" s="137">
        <f t="shared" si="348"/>
        <v>-2.0109599874505335E-2</v>
      </c>
      <c r="AE184" s="31">
        <f t="shared" si="349"/>
        <v>0.05</v>
      </c>
      <c r="AF184" s="127">
        <f t="shared" si="350"/>
        <v>0.38819720537922281</v>
      </c>
    </row>
    <row r="185" spans="2:32" x14ac:dyDescent="0.2">
      <c r="B185" s="20" t="s">
        <v>281</v>
      </c>
      <c r="C185" s="25"/>
      <c r="D185" s="25"/>
      <c r="E185" s="25"/>
      <c r="F185" s="25"/>
      <c r="G185" s="180">
        <f t="shared" ref="G185:P185" si="375">G177/G65</f>
        <v>0.21523809523809523</v>
      </c>
      <c r="H185" s="180">
        <f t="shared" si="375"/>
        <v>0.80714285714285705</v>
      </c>
      <c r="I185" s="180">
        <f t="shared" si="375"/>
        <v>3.2596153846153841</v>
      </c>
      <c r="J185" s="180">
        <f t="shared" si="375"/>
        <v>1.82258064516129</v>
      </c>
      <c r="K185" s="180">
        <f t="shared" si="375"/>
        <v>2.0925925925925926</v>
      </c>
      <c r="L185" s="180">
        <f t="shared" si="375"/>
        <v>2.5111111111111111</v>
      </c>
      <c r="M185" s="180">
        <f t="shared" si="375"/>
        <v>3.5312499999999996</v>
      </c>
      <c r="N185" s="180">
        <f t="shared" si="375"/>
        <v>8.8353909465020575</v>
      </c>
      <c r="O185" s="180">
        <f t="shared" si="375"/>
        <v>9.617021276595743</v>
      </c>
      <c r="P185" s="180">
        <f t="shared" si="375"/>
        <v>7.3535791757049882</v>
      </c>
      <c r="Q185" s="180">
        <f t="shared" ref="Q185" si="376">Q177/Q65</f>
        <v>2.1758664955070599</v>
      </c>
      <c r="R185" s="118">
        <f t="shared" ref="R185:R203" si="377">((P185/G185)^(1/($H$2-$H$1) ))-1</f>
        <v>0.42350161195773306</v>
      </c>
      <c r="S185" s="128"/>
      <c r="T185" s="134">
        <f t="shared" ref="T185:AC185" si="378">T177/T65</f>
        <v>6.063890233380332E-2</v>
      </c>
      <c r="U185" s="134">
        <f t="shared" si="378"/>
        <v>5.0698098672524082E-2</v>
      </c>
      <c r="V185" s="134">
        <f t="shared" si="378"/>
        <v>4.2386934955716861E-2</v>
      </c>
      <c r="W185" s="134">
        <f t="shared" si="378"/>
        <v>3.5438257094123932E-2</v>
      </c>
      <c r="X185" s="134">
        <f t="shared" si="378"/>
        <v>2.9628706750824945E-2</v>
      </c>
      <c r="Y185" s="134">
        <f t="shared" si="378"/>
        <v>2.4771541709706101E-2</v>
      </c>
      <c r="Z185" s="134">
        <f t="shared" si="378"/>
        <v>2.0710633232705097E-2</v>
      </c>
      <c r="AA185" s="134">
        <f t="shared" si="378"/>
        <v>1.7315447456851804E-2</v>
      </c>
      <c r="AB185" s="134">
        <f t="shared" si="378"/>
        <v>1.4476849513105607E-2</v>
      </c>
      <c r="AC185" s="134">
        <f t="shared" si="378"/>
        <v>1.2103595494563702E-2</v>
      </c>
      <c r="AD185" s="137">
        <f t="shared" ref="AD185" si="379">((AC185/G185)^(1/($AC$3-$H$1) ))-1</f>
        <v>-0.13403614911368011</v>
      </c>
      <c r="AE185" s="31">
        <f t="shared" ref="AE185:AE188" si="380">$L$1</f>
        <v>0.05</v>
      </c>
      <c r="AF185" s="127">
        <f t="shared" si="350"/>
        <v>0.10481276164042697</v>
      </c>
    </row>
    <row r="186" spans="2:32" x14ac:dyDescent="0.2">
      <c r="B186" s="20"/>
      <c r="C186" s="25"/>
      <c r="D186" s="25"/>
      <c r="E186" s="25"/>
      <c r="F186" s="25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28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7"/>
      <c r="AE186" s="31">
        <f t="shared" si="380"/>
        <v>0.05</v>
      </c>
      <c r="AF186" s="127"/>
    </row>
    <row r="187" spans="2:32" x14ac:dyDescent="0.2">
      <c r="B187" s="20" t="s">
        <v>319</v>
      </c>
      <c r="C187" s="150"/>
      <c r="D187" s="150"/>
      <c r="E187" s="150"/>
      <c r="F187" s="150"/>
      <c r="G187" s="150">
        <f t="shared" ref="G187:Q187" si="381">G44/G177</f>
        <v>2.5000000000000001E-3</v>
      </c>
      <c r="H187" s="150">
        <f t="shared" si="381"/>
        <v>0.05</v>
      </c>
      <c r="I187" s="150">
        <f t="shared" si="381"/>
        <v>1.6666666666666666E-2</v>
      </c>
      <c r="J187" s="150">
        <f t="shared" si="381"/>
        <v>0.03</v>
      </c>
      <c r="K187" s="150">
        <f t="shared" si="381"/>
        <v>3.5000000000000003E-2</v>
      </c>
      <c r="L187" s="150">
        <f t="shared" si="381"/>
        <v>0.05</v>
      </c>
      <c r="M187" s="150">
        <f t="shared" si="381"/>
        <v>0.02</v>
      </c>
      <c r="N187" s="150">
        <f t="shared" si="381"/>
        <v>6.5789473684210523E-3</v>
      </c>
      <c r="O187" s="150">
        <f t="shared" si="381"/>
        <v>5.3571428571428572E-3</v>
      </c>
      <c r="P187" s="150">
        <f t="shared" si="381"/>
        <v>5.8333333333333336E-3</v>
      </c>
      <c r="Q187" s="150">
        <f t="shared" si="381"/>
        <v>1.3333333333333334E-2</v>
      </c>
      <c r="R187" s="118">
        <f t="shared" si="377"/>
        <v>8.842291989017026E-2</v>
      </c>
      <c r="S187" s="128"/>
      <c r="T187" s="150">
        <f t="shared" ref="T187:AC187" si="382">T44/T177</f>
        <v>0.42</v>
      </c>
      <c r="U187" s="150">
        <f t="shared" si="382"/>
        <v>0.441</v>
      </c>
      <c r="V187" s="150">
        <f t="shared" si="382"/>
        <v>0.46305000000000007</v>
      </c>
      <c r="W187" s="150">
        <f t="shared" si="382"/>
        <v>0.48620250000000004</v>
      </c>
      <c r="X187" s="150">
        <f t="shared" si="382"/>
        <v>0.51051262500000005</v>
      </c>
      <c r="Y187" s="150">
        <f t="shared" si="382"/>
        <v>0.53603825625000012</v>
      </c>
      <c r="Z187" s="150">
        <f t="shared" si="382"/>
        <v>0.56284016906250012</v>
      </c>
      <c r="AA187" s="150">
        <f t="shared" si="382"/>
        <v>0.59098217751562521</v>
      </c>
      <c r="AB187" s="150">
        <f t="shared" si="382"/>
        <v>0.62053128639140653</v>
      </c>
      <c r="AC187" s="150">
        <f t="shared" si="382"/>
        <v>0.65155785071097683</v>
      </c>
      <c r="AD187" s="137">
        <f t="shared" ref="AD187:AD192" si="383">((AC187/G187)^(1/($AC$3-$H$1) ))-1</f>
        <v>0.32068926774324868</v>
      </c>
      <c r="AE187" s="31">
        <f t="shared" si="380"/>
        <v>0.05</v>
      </c>
      <c r="AF187" s="127">
        <f t="shared" si="350"/>
        <v>8.6050546074784506</v>
      </c>
    </row>
    <row r="188" spans="2:32" x14ac:dyDescent="0.2">
      <c r="B188" s="20" t="s">
        <v>153</v>
      </c>
      <c r="C188" s="150"/>
      <c r="D188" s="150"/>
      <c r="E188" s="150"/>
      <c r="F188" s="150"/>
      <c r="G188" s="163">
        <f t="shared" ref="G188:Q188" si="384">G177*G42</f>
        <v>4.5199999999999996</v>
      </c>
      <c r="H188" s="163">
        <f t="shared" si="384"/>
        <v>45.199999999999996</v>
      </c>
      <c r="I188" s="163">
        <f t="shared" si="384"/>
        <v>169.49999999999997</v>
      </c>
      <c r="J188" s="163">
        <f t="shared" si="384"/>
        <v>112.99999999999999</v>
      </c>
      <c r="K188" s="163">
        <f t="shared" si="384"/>
        <v>112.99999999999999</v>
      </c>
      <c r="L188" s="163">
        <f t="shared" si="384"/>
        <v>112.99999999999999</v>
      </c>
      <c r="M188" s="163">
        <f t="shared" si="384"/>
        <v>565</v>
      </c>
      <c r="N188" s="163">
        <f t="shared" si="384"/>
        <v>2147</v>
      </c>
      <c r="O188" s="163">
        <f t="shared" si="384"/>
        <v>3163.9999999999995</v>
      </c>
      <c r="P188" s="163">
        <f t="shared" si="384"/>
        <v>3389.9999999999995</v>
      </c>
      <c r="Q188" s="163">
        <f t="shared" si="384"/>
        <v>1694.9999999999998</v>
      </c>
      <c r="R188" s="118">
        <f t="shared" si="377"/>
        <v>0.93867998358807636</v>
      </c>
      <c r="S188" s="128"/>
      <c r="T188" s="163">
        <f t="shared" ref="T188:AC188" si="385">T177*T42</f>
        <v>57.629999999999995</v>
      </c>
      <c r="U188" s="163">
        <f t="shared" si="385"/>
        <v>58.782599999999995</v>
      </c>
      <c r="V188" s="163">
        <f t="shared" si="385"/>
        <v>59.958252000000002</v>
      </c>
      <c r="W188" s="163">
        <f t="shared" si="385"/>
        <v>61.157417040000006</v>
      </c>
      <c r="X188" s="163">
        <f t="shared" si="385"/>
        <v>62.380565380800014</v>
      </c>
      <c r="Y188" s="163">
        <f t="shared" si="385"/>
        <v>63.628176688416019</v>
      </c>
      <c r="Z188" s="163">
        <f t="shared" si="385"/>
        <v>64.900740222184339</v>
      </c>
      <c r="AA188" s="163">
        <f t="shared" si="385"/>
        <v>66.198755026628035</v>
      </c>
      <c r="AB188" s="163">
        <f t="shared" si="385"/>
        <v>67.522730127160585</v>
      </c>
      <c r="AC188" s="163">
        <f t="shared" si="385"/>
        <v>68.873184729703809</v>
      </c>
      <c r="AD188" s="137">
        <f t="shared" si="383"/>
        <v>0.14589701082432716</v>
      </c>
      <c r="AE188" s="31">
        <f t="shared" si="380"/>
        <v>0.05</v>
      </c>
      <c r="AF188" s="127">
        <f t="shared" si="350"/>
        <v>789.21576507719305</v>
      </c>
    </row>
    <row r="189" spans="2:32" x14ac:dyDescent="0.2">
      <c r="B189" s="2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28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</row>
    <row r="190" spans="2:32" x14ac:dyDescent="0.2">
      <c r="B190" s="20" t="s">
        <v>370</v>
      </c>
      <c r="C190" s="159"/>
      <c r="D190" s="159"/>
      <c r="E190" s="159"/>
      <c r="F190" s="159"/>
      <c r="G190" s="159">
        <f t="shared" ref="G190:Q190" si="386">G57/G177</f>
        <v>4.6460176991150445E-2</v>
      </c>
      <c r="H190" s="159">
        <f t="shared" si="386"/>
        <v>8.8495575221238937E-2</v>
      </c>
      <c r="I190" s="159">
        <f t="shared" si="386"/>
        <v>4.1297935103244844E-2</v>
      </c>
      <c r="J190" s="159">
        <f t="shared" si="386"/>
        <v>0.10619469026548672</v>
      </c>
      <c r="K190" s="159">
        <f t="shared" si="386"/>
        <v>0.18584070796460178</v>
      </c>
      <c r="L190" s="159">
        <f t="shared" si="386"/>
        <v>0.19469026548672566</v>
      </c>
      <c r="M190" s="159">
        <f t="shared" si="386"/>
        <v>9.2035398230088508E-2</v>
      </c>
      <c r="N190" s="159">
        <f t="shared" si="386"/>
        <v>3.9124359571495113E-2</v>
      </c>
      <c r="O190" s="159">
        <f t="shared" si="386"/>
        <v>3.5714285714285719E-2</v>
      </c>
      <c r="P190" s="159">
        <f t="shared" si="386"/>
        <v>3.9233038348082602E-2</v>
      </c>
      <c r="Q190" s="159">
        <f t="shared" si="386"/>
        <v>6.6076696165191753E-2</v>
      </c>
      <c r="R190" s="118">
        <f t="shared" ref="R190" si="387">((P190/G190)^(1/($H$2-$H$1) ))-1</f>
        <v>-1.6765501142637196E-2</v>
      </c>
      <c r="S190" s="128"/>
      <c r="T190" s="159">
        <f t="shared" ref="T190:AC190" si="388">T57/T177</f>
        <v>2.3709873329862918</v>
      </c>
      <c r="U190" s="159">
        <f t="shared" si="388"/>
        <v>2.8358868100424273</v>
      </c>
      <c r="V190" s="159">
        <f t="shared" si="388"/>
        <v>3.3919430473056478</v>
      </c>
      <c r="W190" s="159">
        <f t="shared" si="388"/>
        <v>4.0570299193263635</v>
      </c>
      <c r="X190" s="159">
        <f t="shared" si="388"/>
        <v>4.8525259819393742</v>
      </c>
      <c r="Y190" s="159">
        <f t="shared" si="388"/>
        <v>5.8040016646725849</v>
      </c>
      <c r="Z190" s="159">
        <f t="shared" si="388"/>
        <v>6.9420412067652482</v>
      </c>
      <c r="AA190" s="159">
        <f t="shared" si="388"/>
        <v>8.3032257571113739</v>
      </c>
      <c r="AB190" s="159">
        <f t="shared" si="388"/>
        <v>9.9313092388979172</v>
      </c>
      <c r="AC190" s="159">
        <f t="shared" si="388"/>
        <v>11.878624775936725</v>
      </c>
      <c r="AD190" s="137">
        <f t="shared" ref="AD190" si="389">((AC190/G190)^(1/($AC$3-$H$1) ))-1</f>
        <v>0.31942365267417183</v>
      </c>
      <c r="AE190" s="31">
        <f t="shared" ref="AE190" si="390">$L$1</f>
        <v>0.05</v>
      </c>
      <c r="AF190" s="127">
        <f t="shared" ref="AF190" si="391">(AC190*(1+AD190))/($C$1-AE190)</f>
        <v>156.7293849061235</v>
      </c>
    </row>
    <row r="191" spans="2:32" x14ac:dyDescent="0.2">
      <c r="B191" s="20" t="str">
        <f>B179</f>
        <v>P/E (how many years it will take to recover invested amount)</v>
      </c>
      <c r="C191" s="150"/>
      <c r="D191" s="150"/>
      <c r="E191" s="150"/>
      <c r="F191" s="150"/>
      <c r="G191" s="179">
        <f t="shared" ref="G191:Q191" si="392">G179</f>
        <v>21.523809523809522</v>
      </c>
      <c r="H191" s="179">
        <f t="shared" si="392"/>
        <v>11.299999999999999</v>
      </c>
      <c r="I191" s="179">
        <f t="shared" si="392"/>
        <v>24.214285714285712</v>
      </c>
      <c r="J191" s="179">
        <f t="shared" si="392"/>
        <v>9.4166666666666661</v>
      </c>
      <c r="K191" s="179">
        <f t="shared" si="392"/>
        <v>5.3809523809523805</v>
      </c>
      <c r="L191" s="179">
        <f t="shared" si="392"/>
        <v>5.1363636363636367</v>
      </c>
      <c r="M191" s="179">
        <f t="shared" si="392"/>
        <v>10.865384615384615</v>
      </c>
      <c r="N191" s="179">
        <f t="shared" si="392"/>
        <v>25.559523809523807</v>
      </c>
      <c r="O191" s="179">
        <f t="shared" si="392"/>
        <v>27.999999999999996</v>
      </c>
      <c r="P191" s="179">
        <f t="shared" si="392"/>
        <v>25.488721804511275</v>
      </c>
      <c r="Q191" s="179">
        <f t="shared" si="392"/>
        <v>15.133928571428569</v>
      </c>
      <c r="R191" s="118">
        <f t="shared" si="377"/>
        <v>1.7051376006558705E-2</v>
      </c>
      <c r="S191" s="128"/>
      <c r="T191" s="150">
        <f t="shared" ref="T191:AC191" si="393">T179</f>
        <v>0.42176522248243559</v>
      </c>
      <c r="U191" s="150">
        <f t="shared" si="393"/>
        <v>0.35262338273121668</v>
      </c>
      <c r="V191" s="150">
        <f t="shared" si="393"/>
        <v>0.29481627080806644</v>
      </c>
      <c r="W191" s="150">
        <f t="shared" si="393"/>
        <v>0.24648573461002274</v>
      </c>
      <c r="X191" s="150">
        <f t="shared" si="393"/>
        <v>0.20607823713296988</v>
      </c>
      <c r="Y191" s="150">
        <f t="shared" si="393"/>
        <v>0.17229491957018794</v>
      </c>
      <c r="Z191" s="150">
        <f t="shared" si="393"/>
        <v>0.14404985078818994</v>
      </c>
      <c r="AA191" s="150">
        <f t="shared" si="393"/>
        <v>0.12043512115078175</v>
      </c>
      <c r="AB191" s="150">
        <f t="shared" si="393"/>
        <v>0.10069165866704705</v>
      </c>
      <c r="AC191" s="150">
        <f t="shared" si="393"/>
        <v>8.418482937736721E-2</v>
      </c>
      <c r="AD191" s="137">
        <f t="shared" ref="AD191" si="394">((AC191/G191)^(1/($AC$3-$H$1) ))-1</f>
        <v>-0.24209332008469964</v>
      </c>
      <c r="AE191" s="31">
        <f t="shared" ref="AE191:AE193" si="395">$L$1</f>
        <v>0.05</v>
      </c>
      <c r="AF191" s="179">
        <f>(AF178)/($L$2*100)</f>
        <v>3.000054418335917E-3</v>
      </c>
    </row>
    <row r="192" spans="2:32" x14ac:dyDescent="0.2">
      <c r="B192" s="20" t="s">
        <v>445</v>
      </c>
      <c r="C192" s="179"/>
      <c r="D192" s="179"/>
      <c r="E192" s="179"/>
      <c r="F192" s="179"/>
      <c r="G192" s="179">
        <f t="shared" ref="G192:Q192" si="396">(G179)/($L$2*100)</f>
        <v>0.97835497835497831</v>
      </c>
      <c r="H192" s="179">
        <f t="shared" si="396"/>
        <v>0.51363636363636356</v>
      </c>
      <c r="I192" s="179">
        <f t="shared" si="396"/>
        <v>1.1006493506493504</v>
      </c>
      <c r="J192" s="179">
        <f t="shared" si="396"/>
        <v>0.42803030303030298</v>
      </c>
      <c r="K192" s="179">
        <f t="shared" si="396"/>
        <v>0.24458874458874458</v>
      </c>
      <c r="L192" s="179">
        <f t="shared" si="396"/>
        <v>0.23347107438016532</v>
      </c>
      <c r="M192" s="179">
        <f t="shared" si="396"/>
        <v>0.49388111888111885</v>
      </c>
      <c r="N192" s="179">
        <f t="shared" si="396"/>
        <v>1.1617965367965366</v>
      </c>
      <c r="O192" s="179">
        <f t="shared" si="396"/>
        <v>1.2727272727272725</v>
      </c>
      <c r="P192" s="179">
        <f t="shared" si="396"/>
        <v>1.1585782638414217</v>
      </c>
      <c r="Q192" s="179">
        <f t="shared" si="396"/>
        <v>0.6879058441558441</v>
      </c>
      <c r="R192" s="118">
        <f t="shared" si="377"/>
        <v>1.7051376006558705E-2</v>
      </c>
      <c r="S192" s="128"/>
      <c r="T192" s="179">
        <f t="shared" ref="T192:AC192" si="397">(T179)/($L$2*100)</f>
        <v>1.9171146476474346E-2</v>
      </c>
      <c r="U192" s="179">
        <f t="shared" si="397"/>
        <v>1.6028335578691669E-2</v>
      </c>
      <c r="V192" s="179">
        <f t="shared" si="397"/>
        <v>1.3400739582184839E-2</v>
      </c>
      <c r="W192" s="179">
        <f t="shared" si="397"/>
        <v>1.1203897027728307E-2</v>
      </c>
      <c r="X192" s="179">
        <f t="shared" si="397"/>
        <v>9.367192596953176E-3</v>
      </c>
      <c r="Y192" s="179">
        <f t="shared" si="397"/>
        <v>7.8315872531903603E-3</v>
      </c>
      <c r="Z192" s="179">
        <f t="shared" si="397"/>
        <v>6.5477204903722696E-3</v>
      </c>
      <c r="AA192" s="179">
        <f t="shared" si="397"/>
        <v>5.4743236886718978E-3</v>
      </c>
      <c r="AB192" s="179">
        <f t="shared" si="397"/>
        <v>4.5768935757748656E-3</v>
      </c>
      <c r="AC192" s="179">
        <f t="shared" si="397"/>
        <v>3.8265831535166913E-3</v>
      </c>
      <c r="AD192" s="137">
        <f t="shared" si="383"/>
        <v>-0.24209332008469964</v>
      </c>
      <c r="AE192" s="31">
        <f t="shared" si="395"/>
        <v>0.05</v>
      </c>
      <c r="AF192" s="179">
        <f>(AF179)/($L$2*100)</f>
        <v>2.9001929333016561E-2</v>
      </c>
    </row>
    <row r="193" spans="2:32" x14ac:dyDescent="0.2">
      <c r="B193" s="20" t="s">
        <v>446</v>
      </c>
      <c r="C193" s="150"/>
      <c r="D193" s="150"/>
      <c r="E193" s="150"/>
      <c r="F193" s="150"/>
      <c r="G193" s="150">
        <f t="shared" ref="G193:P193" si="398">G192-1</f>
        <v>-2.1645021645021689E-2</v>
      </c>
      <c r="H193" s="150">
        <f t="shared" si="398"/>
        <v>-0.48636363636363644</v>
      </c>
      <c r="I193" s="150">
        <f t="shared" si="398"/>
        <v>0.10064935064935043</v>
      </c>
      <c r="J193" s="150">
        <f t="shared" si="398"/>
        <v>-0.57196969696969702</v>
      </c>
      <c r="K193" s="150">
        <f t="shared" si="398"/>
        <v>-0.75541125541125542</v>
      </c>
      <c r="L193" s="150">
        <f t="shared" si="398"/>
        <v>-0.76652892561983466</v>
      </c>
      <c r="M193" s="150">
        <f t="shared" si="398"/>
        <v>-0.50611888111888115</v>
      </c>
      <c r="N193" s="150">
        <f t="shared" si="398"/>
        <v>0.16179653679653661</v>
      </c>
      <c r="O193" s="150">
        <f t="shared" si="398"/>
        <v>0.27272727272727249</v>
      </c>
      <c r="P193" s="150">
        <f t="shared" si="398"/>
        <v>0.15857826384142171</v>
      </c>
      <c r="Q193" s="150">
        <f>Q192-1</f>
        <v>-0.3120941558441559</v>
      </c>
      <c r="R193" s="118" t="e">
        <f t="shared" si="377"/>
        <v>#NUM!</v>
      </c>
      <c r="S193" s="128"/>
      <c r="T193" s="150">
        <f t="shared" ref="T193:AC193" si="399">T192-1</f>
        <v>-0.98082885352352567</v>
      </c>
      <c r="U193" s="150">
        <f t="shared" si="399"/>
        <v>-0.98397166442130835</v>
      </c>
      <c r="V193" s="150">
        <f t="shared" si="399"/>
        <v>-0.9865992604178152</v>
      </c>
      <c r="W193" s="150">
        <f t="shared" si="399"/>
        <v>-0.98879610297227172</v>
      </c>
      <c r="X193" s="150">
        <f t="shared" si="399"/>
        <v>-0.99063280740304682</v>
      </c>
      <c r="Y193" s="150">
        <f t="shared" si="399"/>
        <v>-0.99216841274680967</v>
      </c>
      <c r="Z193" s="150">
        <f t="shared" si="399"/>
        <v>-0.99345227950962778</v>
      </c>
      <c r="AA193" s="150">
        <f t="shared" si="399"/>
        <v>-0.99452567631132816</v>
      </c>
      <c r="AB193" s="150">
        <f t="shared" si="399"/>
        <v>-0.99542310642422516</v>
      </c>
      <c r="AC193" s="150">
        <f t="shared" si="399"/>
        <v>-0.99617341684648331</v>
      </c>
      <c r="AD193" s="137">
        <f t="shared" ref="AD193" si="400">((AC193/G193)^(1/($AC$3-$H$1) ))-1</f>
        <v>0.21101311419677216</v>
      </c>
      <c r="AE193" s="31">
        <f t="shared" si="395"/>
        <v>0.05</v>
      </c>
      <c r="AF193" s="179">
        <f>(AF180)/($L$2*100)</f>
        <v>2.3581771658550469E-2</v>
      </c>
    </row>
    <row r="194" spans="2:32" x14ac:dyDescent="0.2">
      <c r="B194" s="2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28"/>
      <c r="S194" s="128"/>
      <c r="T194" s="150"/>
      <c r="U194" s="150"/>
      <c r="V194" s="150"/>
      <c r="W194" s="150"/>
      <c r="X194" s="150"/>
      <c r="Y194" s="150"/>
      <c r="Z194" s="150"/>
      <c r="AA194" s="150"/>
      <c r="AB194" s="150"/>
      <c r="AC194" s="134"/>
      <c r="AD194" s="136"/>
      <c r="AE194" s="20"/>
      <c r="AF194" s="127"/>
    </row>
    <row r="195" spans="2:32" x14ac:dyDescent="0.2">
      <c r="B195" s="20" t="s">
        <v>474</v>
      </c>
      <c r="C195" s="150"/>
      <c r="D195" s="150"/>
      <c r="E195" s="150"/>
      <c r="F195" s="150"/>
      <c r="G195" s="150">
        <f t="shared" ref="G195:Q195" si="401">1/G196</f>
        <v>11.267296862429607</v>
      </c>
      <c r="H195" s="150">
        <f t="shared" si="401"/>
        <v>1.1267296862429608</v>
      </c>
      <c r="I195" s="150">
        <f t="shared" si="401"/>
        <v>0.30046124966478954</v>
      </c>
      <c r="J195" s="150">
        <f t="shared" si="401"/>
        <v>0.45069187449718429</v>
      </c>
      <c r="K195" s="150">
        <f t="shared" si="401"/>
        <v>0.45069187449718429</v>
      </c>
      <c r="L195" s="150">
        <f t="shared" si="401"/>
        <v>0.45069187449718429</v>
      </c>
      <c r="M195" s="150">
        <f t="shared" si="401"/>
        <v>9.0138374899436852E-2</v>
      </c>
      <c r="N195" s="150">
        <f t="shared" si="401"/>
        <v>2.3720624973536015E-2</v>
      </c>
      <c r="O195" s="150">
        <f t="shared" si="401"/>
        <v>1.6096138374899437E-2</v>
      </c>
      <c r="P195" s="150">
        <f t="shared" si="401"/>
        <v>1.5023062483239476E-2</v>
      </c>
      <c r="Q195" s="150">
        <f t="shared" si="401"/>
        <v>3.0046124966478953E-2</v>
      </c>
      <c r="R195" s="118">
        <f t="shared" ref="R195" si="402">((P195/G195)^(1/($H$2-$H$1) ))-1</f>
        <v>-0.48418511127905861</v>
      </c>
      <c r="S195" s="128"/>
      <c r="T195" s="150">
        <f t="shared" ref="T195:AC195" si="403">1/T196</f>
        <v>0.90138374899436857</v>
      </c>
      <c r="U195" s="150">
        <f t="shared" si="403"/>
        <v>0.90138374899436857</v>
      </c>
      <c r="V195" s="150">
        <f t="shared" si="403"/>
        <v>0.90138374899436857</v>
      </c>
      <c r="W195" s="150">
        <f t="shared" si="403"/>
        <v>0.90138374899436857</v>
      </c>
      <c r="X195" s="150">
        <f t="shared" si="403"/>
        <v>0.90138374899436857</v>
      </c>
      <c r="Y195" s="150">
        <f t="shared" si="403"/>
        <v>0.90138374899436857</v>
      </c>
      <c r="Z195" s="150">
        <f t="shared" si="403"/>
        <v>0.90138374899436857</v>
      </c>
      <c r="AA195" s="150">
        <f t="shared" si="403"/>
        <v>0.90138374899436857</v>
      </c>
      <c r="AB195" s="150">
        <f t="shared" si="403"/>
        <v>0.90138374899436857</v>
      </c>
      <c r="AC195" s="150">
        <f t="shared" si="403"/>
        <v>0.90138374899436857</v>
      </c>
      <c r="AD195" s="137">
        <f t="shared" ref="AD195" si="404">((AC195/G195)^(1/($AC$3-$H$1) ))-1</f>
        <v>-0.11863763994839571</v>
      </c>
      <c r="AE195" s="31">
        <f t="shared" ref="AE195:AE198" si="405">$L$1</f>
        <v>0.05</v>
      </c>
      <c r="AF195" s="179">
        <f>(AF182)/($L$2*100)</f>
        <v>6.6604057060486721E-3</v>
      </c>
    </row>
    <row r="196" spans="2:32" x14ac:dyDescent="0.2">
      <c r="B196" s="20" t="s">
        <v>475</v>
      </c>
      <c r="C196" s="129"/>
      <c r="D196" s="129"/>
      <c r="E196" s="129"/>
      <c r="F196" s="129"/>
      <c r="G196" s="134">
        <f t="shared" ref="G196:Q196" si="406">G177/$S$146</f>
        <v>8.8752432123667901E-2</v>
      </c>
      <c r="H196" s="134">
        <f t="shared" si="406"/>
        <v>0.88752432123667901</v>
      </c>
      <c r="I196" s="134">
        <f t="shared" si="406"/>
        <v>3.3282162046375463</v>
      </c>
      <c r="J196" s="134">
        <f t="shared" si="406"/>
        <v>2.2188108030916975</v>
      </c>
      <c r="K196" s="134">
        <f t="shared" si="406"/>
        <v>2.2188108030916975</v>
      </c>
      <c r="L196" s="134">
        <f t="shared" si="406"/>
        <v>2.2188108030916975</v>
      </c>
      <c r="M196" s="134">
        <f t="shared" si="406"/>
        <v>11.094054015458488</v>
      </c>
      <c r="N196" s="134">
        <f t="shared" si="406"/>
        <v>42.157405258742251</v>
      </c>
      <c r="O196" s="134">
        <f t="shared" si="406"/>
        <v>62.126702486567531</v>
      </c>
      <c r="P196" s="134">
        <f t="shared" si="406"/>
        <v>66.564324092750923</v>
      </c>
      <c r="Q196" s="134">
        <f t="shared" si="406"/>
        <v>33.282162046375461</v>
      </c>
      <c r="R196" s="118">
        <f t="shared" si="377"/>
        <v>0.93867998358807636</v>
      </c>
      <c r="S196" s="128"/>
      <c r="T196" s="134">
        <f t="shared" ref="T196:AC196" si="407">T177/$S$146</f>
        <v>1.1094054015458488</v>
      </c>
      <c r="U196" s="134">
        <f t="shared" si="407"/>
        <v>1.1094054015458488</v>
      </c>
      <c r="V196" s="134">
        <f t="shared" si="407"/>
        <v>1.1094054015458488</v>
      </c>
      <c r="W196" s="134">
        <f t="shared" si="407"/>
        <v>1.1094054015458488</v>
      </c>
      <c r="X196" s="134">
        <f t="shared" si="407"/>
        <v>1.1094054015458488</v>
      </c>
      <c r="Y196" s="134">
        <f t="shared" si="407"/>
        <v>1.1094054015458488</v>
      </c>
      <c r="Z196" s="134">
        <f t="shared" si="407"/>
        <v>1.1094054015458488</v>
      </c>
      <c r="AA196" s="134">
        <f t="shared" si="407"/>
        <v>1.1094054015458488</v>
      </c>
      <c r="AB196" s="134">
        <f t="shared" si="407"/>
        <v>1.1094054015458488</v>
      </c>
      <c r="AC196" s="134">
        <f t="shared" si="407"/>
        <v>1.1094054015458488</v>
      </c>
      <c r="AD196" s="137">
        <f t="shared" ref="AD196:AD198" si="408">((AC196/G196)^(1/($AC$3-$H$1) ))-1</f>
        <v>0.13460710977202317</v>
      </c>
      <c r="AE196" s="31">
        <f t="shared" si="405"/>
        <v>0.05</v>
      </c>
      <c r="AF196" s="179">
        <f>(AF182)/($L$2*100)</f>
        <v>6.6604057060486721E-3</v>
      </c>
    </row>
    <row r="197" spans="2:32" x14ac:dyDescent="0.2">
      <c r="B197" s="20" t="s">
        <v>469</v>
      </c>
      <c r="C197" s="129"/>
      <c r="D197" s="129"/>
      <c r="E197" s="129"/>
      <c r="F197" s="129"/>
      <c r="G197" s="179">
        <f t="shared" ref="G197:Q197" si="409">(G196)/($L$2*100)</f>
        <v>4.0342014601667227E-3</v>
      </c>
      <c r="H197" s="179">
        <f t="shared" si="409"/>
        <v>4.0342014601667225E-2</v>
      </c>
      <c r="I197" s="179">
        <f t="shared" si="409"/>
        <v>0.1512825547562521</v>
      </c>
      <c r="J197" s="179">
        <f t="shared" si="409"/>
        <v>0.10085503650416806</v>
      </c>
      <c r="K197" s="179">
        <f t="shared" si="409"/>
        <v>0.10085503650416806</v>
      </c>
      <c r="L197" s="179">
        <f t="shared" si="409"/>
        <v>0.10085503650416806</v>
      </c>
      <c r="M197" s="179">
        <f t="shared" si="409"/>
        <v>0.50427518252084036</v>
      </c>
      <c r="N197" s="179">
        <f t="shared" si="409"/>
        <v>1.9162456935791932</v>
      </c>
      <c r="O197" s="179">
        <f t="shared" si="409"/>
        <v>2.8239410221167058</v>
      </c>
      <c r="P197" s="179">
        <f t="shared" si="409"/>
        <v>3.0256510951250419</v>
      </c>
      <c r="Q197" s="179">
        <f t="shared" si="409"/>
        <v>1.512825547562521</v>
      </c>
      <c r="R197" s="118">
        <f t="shared" si="377"/>
        <v>0.93867998358807636</v>
      </c>
      <c r="S197" s="128"/>
      <c r="T197" s="179">
        <f t="shared" ref="T197:AC197" si="410">(T196)/($L$2*100)</f>
        <v>5.0427518252084032E-2</v>
      </c>
      <c r="U197" s="179">
        <f t="shared" si="410"/>
        <v>5.0427518252084032E-2</v>
      </c>
      <c r="V197" s="179">
        <f t="shared" si="410"/>
        <v>5.0427518252084032E-2</v>
      </c>
      <c r="W197" s="179">
        <f t="shared" si="410"/>
        <v>5.0427518252084032E-2</v>
      </c>
      <c r="X197" s="179">
        <f t="shared" si="410"/>
        <v>5.0427518252084032E-2</v>
      </c>
      <c r="Y197" s="179">
        <f t="shared" si="410"/>
        <v>5.0427518252084032E-2</v>
      </c>
      <c r="Z197" s="179">
        <f t="shared" si="410"/>
        <v>5.0427518252084032E-2</v>
      </c>
      <c r="AA197" s="179">
        <f t="shared" si="410"/>
        <v>5.0427518252084032E-2</v>
      </c>
      <c r="AB197" s="179">
        <f t="shared" si="410"/>
        <v>5.0427518252084032E-2</v>
      </c>
      <c r="AC197" s="179">
        <f t="shared" si="410"/>
        <v>5.0427518252084032E-2</v>
      </c>
      <c r="AD197" s="137">
        <f t="shared" si="408"/>
        <v>0.13460710977202317</v>
      </c>
      <c r="AE197" s="31">
        <f t="shared" si="405"/>
        <v>0.05</v>
      </c>
      <c r="AF197" s="179">
        <f>(AF183)/($L$2*100)</f>
        <v>0.11053198678338795</v>
      </c>
    </row>
    <row r="198" spans="2:32" x14ac:dyDescent="0.2">
      <c r="B198" s="20" t="s">
        <v>470</v>
      </c>
      <c r="C198" s="129"/>
      <c r="D198" s="129"/>
      <c r="E198" s="129"/>
      <c r="F198" s="129"/>
      <c r="G198" s="150">
        <f t="shared" ref="G198:Q198" si="411">G197-1</f>
        <v>-0.99596579853983325</v>
      </c>
      <c r="H198" s="150">
        <f t="shared" si="411"/>
        <v>-0.9596579853983328</v>
      </c>
      <c r="I198" s="150">
        <f t="shared" si="411"/>
        <v>-0.84871744524374793</v>
      </c>
      <c r="J198" s="150">
        <f t="shared" si="411"/>
        <v>-0.89914496349583195</v>
      </c>
      <c r="K198" s="150">
        <f t="shared" si="411"/>
        <v>-0.89914496349583195</v>
      </c>
      <c r="L198" s="150">
        <f t="shared" si="411"/>
        <v>-0.89914496349583195</v>
      </c>
      <c r="M198" s="150">
        <f t="shared" si="411"/>
        <v>-0.49572481747915964</v>
      </c>
      <c r="N198" s="150">
        <f t="shared" si="411"/>
        <v>0.91624569357919317</v>
      </c>
      <c r="O198" s="150">
        <f t="shared" si="411"/>
        <v>1.8239410221167058</v>
      </c>
      <c r="P198" s="150">
        <f t="shared" si="411"/>
        <v>2.0256510951250419</v>
      </c>
      <c r="Q198" s="150">
        <f t="shared" si="411"/>
        <v>0.51282554756252097</v>
      </c>
      <c r="R198" s="118" t="e">
        <f t="shared" si="377"/>
        <v>#NUM!</v>
      </c>
      <c r="S198" s="128"/>
      <c r="T198" s="150">
        <f t="shared" ref="T198:AC198" si="412">T197-1</f>
        <v>-0.94957248174791598</v>
      </c>
      <c r="U198" s="150">
        <f t="shared" si="412"/>
        <v>-0.94957248174791598</v>
      </c>
      <c r="V198" s="150">
        <f t="shared" si="412"/>
        <v>-0.94957248174791598</v>
      </c>
      <c r="W198" s="150">
        <f t="shared" si="412"/>
        <v>-0.94957248174791598</v>
      </c>
      <c r="X198" s="150">
        <f t="shared" si="412"/>
        <v>-0.94957248174791598</v>
      </c>
      <c r="Y198" s="150">
        <f t="shared" si="412"/>
        <v>-0.94957248174791598</v>
      </c>
      <c r="Z198" s="150">
        <f t="shared" si="412"/>
        <v>-0.94957248174791598</v>
      </c>
      <c r="AA198" s="150">
        <f t="shared" si="412"/>
        <v>-0.94957248174791598</v>
      </c>
      <c r="AB198" s="150">
        <f t="shared" si="412"/>
        <v>-0.94957248174791598</v>
      </c>
      <c r="AC198" s="150">
        <f t="shared" si="412"/>
        <v>-0.94957248174791598</v>
      </c>
      <c r="AD198" s="137">
        <f t="shared" si="408"/>
        <v>-2.3822107260078607E-3</v>
      </c>
      <c r="AE198" s="31">
        <f t="shared" si="405"/>
        <v>0.05</v>
      </c>
      <c r="AF198" s="179">
        <f>(AF184)/($L$2*100)</f>
        <v>1.7645327517237401E-2</v>
      </c>
    </row>
    <row r="199" spans="2:32" x14ac:dyDescent="0.2">
      <c r="B199" s="20"/>
      <c r="C199" s="129"/>
      <c r="D199" s="129"/>
      <c r="E199" s="129"/>
      <c r="F199" s="129"/>
      <c r="G199" s="134"/>
      <c r="H199" s="134"/>
      <c r="I199" s="134"/>
      <c r="J199" s="134"/>
      <c r="K199" s="197"/>
      <c r="L199" s="198"/>
      <c r="M199" s="134"/>
      <c r="N199" s="134"/>
      <c r="O199" s="134"/>
      <c r="P199" s="134"/>
      <c r="Q199" s="134"/>
      <c r="R199" s="128"/>
      <c r="S199" s="128"/>
      <c r="T199" s="134"/>
      <c r="U199" s="134"/>
      <c r="V199" s="134"/>
      <c r="W199" s="134"/>
      <c r="X199" s="134"/>
      <c r="Y199" s="134"/>
      <c r="Z199" s="134"/>
      <c r="AA199" s="134"/>
      <c r="AB199" s="134"/>
      <c r="AC199" s="134"/>
      <c r="AD199" s="136"/>
      <c r="AE199" s="20"/>
      <c r="AF199" s="20"/>
    </row>
    <row r="200" spans="2:32" x14ac:dyDescent="0.2">
      <c r="B200" s="20" t="s">
        <v>474</v>
      </c>
      <c r="C200" s="129"/>
      <c r="D200" s="129"/>
      <c r="E200" s="129"/>
      <c r="F200" s="129"/>
      <c r="G200" s="150">
        <f t="shared" ref="G200:Q200" si="413">1/G201</f>
        <v>21.858407079646021</v>
      </c>
      <c r="H200" s="150">
        <f t="shared" si="413"/>
        <v>2.1858407079646023</v>
      </c>
      <c r="I200" s="150">
        <f t="shared" si="413"/>
        <v>0.58289085545722719</v>
      </c>
      <c r="J200" s="150">
        <f t="shared" si="413"/>
        <v>0.87433628318584089</v>
      </c>
      <c r="K200" s="150">
        <f t="shared" si="413"/>
        <v>0.87433628318584089</v>
      </c>
      <c r="L200" s="150">
        <f t="shared" si="413"/>
        <v>0.87433628318584089</v>
      </c>
      <c r="M200" s="150">
        <f t="shared" si="413"/>
        <v>0.17486725663716818</v>
      </c>
      <c r="N200" s="150">
        <f t="shared" si="413"/>
        <v>4.6017699115044254E-2</v>
      </c>
      <c r="O200" s="150">
        <f t="shared" si="413"/>
        <v>3.1226295828065746E-2</v>
      </c>
      <c r="P200" s="150">
        <f t="shared" si="413"/>
        <v>2.9144542772861361E-2</v>
      </c>
      <c r="Q200" s="150">
        <f t="shared" si="413"/>
        <v>5.8289085545722721E-2</v>
      </c>
      <c r="R200" s="118">
        <f t="shared" ref="R200" si="414">((P200/G200)^(1/($H$2-$H$1) ))-1</f>
        <v>-0.48418511127905861</v>
      </c>
      <c r="S200" s="128"/>
      <c r="T200" s="150">
        <f t="shared" ref="T200:AC200" si="415">1/T201</f>
        <v>1.7486725663716818</v>
      </c>
      <c r="U200" s="150">
        <f t="shared" si="415"/>
        <v>1.7486725663716818</v>
      </c>
      <c r="V200" s="150">
        <f t="shared" si="415"/>
        <v>1.7486725663716818</v>
      </c>
      <c r="W200" s="150">
        <f t="shared" si="415"/>
        <v>1.7486725663716818</v>
      </c>
      <c r="X200" s="150">
        <f t="shared" si="415"/>
        <v>1.7486725663716818</v>
      </c>
      <c r="Y200" s="150">
        <f t="shared" si="415"/>
        <v>1.7486725663716818</v>
      </c>
      <c r="Z200" s="150">
        <f t="shared" si="415"/>
        <v>1.7486725663716818</v>
      </c>
      <c r="AA200" s="150">
        <f t="shared" si="415"/>
        <v>1.7486725663716818</v>
      </c>
      <c r="AB200" s="150">
        <f t="shared" si="415"/>
        <v>1.7486725663716818</v>
      </c>
      <c r="AC200" s="150">
        <f t="shared" si="415"/>
        <v>1.7486725663716818</v>
      </c>
      <c r="AD200" s="137">
        <f t="shared" ref="AD200" si="416">((AC200/G200)^(1/($AC$3-$H$1) ))-1</f>
        <v>-0.11863763994839571</v>
      </c>
      <c r="AE200" s="31">
        <f t="shared" ref="AE200" si="417">$L$1</f>
        <v>0.05</v>
      </c>
      <c r="AF200" s="179">
        <f>(AF186)/($L$2*100)</f>
        <v>0</v>
      </c>
    </row>
    <row r="201" spans="2:32" x14ac:dyDescent="0.2">
      <c r="B201" s="20" t="s">
        <v>476</v>
      </c>
      <c r="C201" s="129"/>
      <c r="D201" s="129"/>
      <c r="E201" s="129"/>
      <c r="F201" s="129"/>
      <c r="G201" s="134">
        <f t="shared" ref="G201:Q201" si="418">G177/$Q$146</f>
        <v>4.5748987854251008E-2</v>
      </c>
      <c r="H201" s="134">
        <f t="shared" si="418"/>
        <v>0.45748987854251005</v>
      </c>
      <c r="I201" s="134">
        <f t="shared" si="418"/>
        <v>1.7155870445344128</v>
      </c>
      <c r="J201" s="134">
        <f t="shared" si="418"/>
        <v>1.1437246963562751</v>
      </c>
      <c r="K201" s="134">
        <f t="shared" si="418"/>
        <v>1.1437246963562751</v>
      </c>
      <c r="L201" s="134">
        <f t="shared" si="418"/>
        <v>1.1437246963562751</v>
      </c>
      <c r="M201" s="134">
        <f t="shared" si="418"/>
        <v>5.7186234817813757</v>
      </c>
      <c r="N201" s="134">
        <f t="shared" si="418"/>
        <v>21.730769230769226</v>
      </c>
      <c r="O201" s="134">
        <f t="shared" si="418"/>
        <v>32.024291497975703</v>
      </c>
      <c r="P201" s="134">
        <f t="shared" si="418"/>
        <v>34.311740890688256</v>
      </c>
      <c r="Q201" s="134">
        <f t="shared" si="418"/>
        <v>17.155870445344128</v>
      </c>
      <c r="R201" s="118">
        <f t="shared" si="377"/>
        <v>0.93867998358807636</v>
      </c>
      <c r="S201" s="128"/>
      <c r="T201" s="134">
        <f t="shared" ref="T201:AC201" si="419">T177/$Q$146</f>
        <v>0.57186234817813753</v>
      </c>
      <c r="U201" s="134">
        <f t="shared" si="419"/>
        <v>0.57186234817813753</v>
      </c>
      <c r="V201" s="134">
        <f t="shared" si="419"/>
        <v>0.57186234817813753</v>
      </c>
      <c r="W201" s="134">
        <f t="shared" si="419"/>
        <v>0.57186234817813753</v>
      </c>
      <c r="X201" s="134">
        <f t="shared" si="419"/>
        <v>0.57186234817813753</v>
      </c>
      <c r="Y201" s="134">
        <f t="shared" si="419"/>
        <v>0.57186234817813753</v>
      </c>
      <c r="Z201" s="134">
        <f t="shared" si="419"/>
        <v>0.57186234817813753</v>
      </c>
      <c r="AA201" s="134">
        <f t="shared" si="419"/>
        <v>0.57186234817813753</v>
      </c>
      <c r="AB201" s="134">
        <f t="shared" si="419"/>
        <v>0.57186234817813753</v>
      </c>
      <c r="AC201" s="134">
        <f t="shared" si="419"/>
        <v>0.57186234817813753</v>
      </c>
      <c r="AD201" s="137">
        <f t="shared" ref="AD201:AD203" si="420">((AC201/G201)^(1/($AC$3-$H$1) ))-1</f>
        <v>0.13460710977202317</v>
      </c>
      <c r="AE201" s="31">
        <f t="shared" ref="AE201:AE203" si="421">$L$1</f>
        <v>0.05</v>
      </c>
      <c r="AF201" s="179">
        <f>(AF186)/($L$2*100)</f>
        <v>0</v>
      </c>
    </row>
    <row r="202" spans="2:32" x14ac:dyDescent="0.2">
      <c r="B202" s="20" t="s">
        <v>469</v>
      </c>
      <c r="C202" s="129"/>
      <c r="D202" s="129"/>
      <c r="E202" s="129"/>
      <c r="F202" s="129"/>
      <c r="G202" s="179">
        <f t="shared" ref="G202:Q202" si="422">(G201)/($L$2*100)</f>
        <v>2.0794994479205004E-3</v>
      </c>
      <c r="H202" s="179">
        <f t="shared" si="422"/>
        <v>2.0794994479205003E-2</v>
      </c>
      <c r="I202" s="179">
        <f t="shared" si="422"/>
        <v>7.798122929701877E-2</v>
      </c>
      <c r="J202" s="179">
        <f t="shared" si="422"/>
        <v>5.1987486198012502E-2</v>
      </c>
      <c r="K202" s="179">
        <f t="shared" si="422"/>
        <v>5.1987486198012502E-2</v>
      </c>
      <c r="L202" s="179">
        <f t="shared" si="422"/>
        <v>5.1987486198012502E-2</v>
      </c>
      <c r="M202" s="179">
        <f t="shared" si="422"/>
        <v>0.25993743099006256</v>
      </c>
      <c r="N202" s="179">
        <f t="shared" si="422"/>
        <v>0.98776223776223759</v>
      </c>
      <c r="O202" s="179">
        <f t="shared" si="422"/>
        <v>1.4556496135443502</v>
      </c>
      <c r="P202" s="179">
        <f t="shared" si="422"/>
        <v>1.5596245859403752</v>
      </c>
      <c r="Q202" s="179">
        <f t="shared" si="422"/>
        <v>0.77981229297018761</v>
      </c>
      <c r="R202" s="118">
        <f t="shared" si="377"/>
        <v>0.93867998358807636</v>
      </c>
      <c r="S202" s="128"/>
      <c r="T202" s="179">
        <f t="shared" ref="T202:AC202" si="423">(T201)/($L$2*100)</f>
        <v>2.5993743099006251E-2</v>
      </c>
      <c r="U202" s="179">
        <f t="shared" si="423"/>
        <v>2.5993743099006251E-2</v>
      </c>
      <c r="V202" s="179">
        <f t="shared" si="423"/>
        <v>2.5993743099006251E-2</v>
      </c>
      <c r="W202" s="179">
        <f t="shared" si="423"/>
        <v>2.5993743099006251E-2</v>
      </c>
      <c r="X202" s="179">
        <f t="shared" si="423"/>
        <v>2.5993743099006251E-2</v>
      </c>
      <c r="Y202" s="179">
        <f t="shared" si="423"/>
        <v>2.5993743099006251E-2</v>
      </c>
      <c r="Z202" s="179">
        <f t="shared" si="423"/>
        <v>2.5993743099006251E-2</v>
      </c>
      <c r="AA202" s="179">
        <f t="shared" si="423"/>
        <v>2.5993743099006251E-2</v>
      </c>
      <c r="AB202" s="179">
        <f t="shared" si="423"/>
        <v>2.5993743099006251E-2</v>
      </c>
      <c r="AC202" s="179">
        <f t="shared" si="423"/>
        <v>2.5993743099006251E-2</v>
      </c>
      <c r="AD202" s="137">
        <f t="shared" si="420"/>
        <v>0.13460710977202317</v>
      </c>
      <c r="AE202" s="31">
        <f t="shared" si="421"/>
        <v>0.05</v>
      </c>
      <c r="AF202" s="179" t="e">
        <f>(#REF!)/($L$2*100)</f>
        <v>#REF!</v>
      </c>
    </row>
    <row r="203" spans="2:32" x14ac:dyDescent="0.2">
      <c r="B203" s="20" t="s">
        <v>470</v>
      </c>
      <c r="C203" s="129"/>
      <c r="D203" s="129"/>
      <c r="E203" s="129"/>
      <c r="F203" s="129"/>
      <c r="G203" s="150">
        <f t="shared" ref="G203:Q203" si="424">G202-1</f>
        <v>-0.99792050055207948</v>
      </c>
      <c r="H203" s="150">
        <f t="shared" si="424"/>
        <v>-0.97920500552079504</v>
      </c>
      <c r="I203" s="150">
        <f t="shared" si="424"/>
        <v>-0.92201877070298122</v>
      </c>
      <c r="J203" s="150">
        <f t="shared" si="424"/>
        <v>-0.94801251380198748</v>
      </c>
      <c r="K203" s="150">
        <f t="shared" si="424"/>
        <v>-0.94801251380198748</v>
      </c>
      <c r="L203" s="150">
        <f t="shared" si="424"/>
        <v>-0.94801251380198748</v>
      </c>
      <c r="M203" s="150">
        <f t="shared" si="424"/>
        <v>-0.74006256900993739</v>
      </c>
      <c r="N203" s="150">
        <f t="shared" si="424"/>
        <v>-1.2237762237762406E-2</v>
      </c>
      <c r="O203" s="150">
        <f t="shared" si="424"/>
        <v>0.45564961354435018</v>
      </c>
      <c r="P203" s="150">
        <f t="shared" si="424"/>
        <v>0.55962458594037523</v>
      </c>
      <c r="Q203" s="150">
        <f t="shared" si="424"/>
        <v>-0.22018770702981239</v>
      </c>
      <c r="R203" s="118" t="e">
        <f t="shared" si="377"/>
        <v>#NUM!</v>
      </c>
      <c r="S203" s="128"/>
      <c r="T203" s="150">
        <f t="shared" ref="T203:AC203" si="425">T202-1</f>
        <v>-0.97400625690099374</v>
      </c>
      <c r="U203" s="150">
        <f t="shared" si="425"/>
        <v>-0.97400625690099374</v>
      </c>
      <c r="V203" s="150">
        <f t="shared" si="425"/>
        <v>-0.97400625690099374</v>
      </c>
      <c r="W203" s="150">
        <f t="shared" si="425"/>
        <v>-0.97400625690099374</v>
      </c>
      <c r="X203" s="150">
        <f t="shared" si="425"/>
        <v>-0.97400625690099374</v>
      </c>
      <c r="Y203" s="150">
        <f t="shared" si="425"/>
        <v>-0.97400625690099374</v>
      </c>
      <c r="Z203" s="150">
        <f t="shared" si="425"/>
        <v>-0.97400625690099374</v>
      </c>
      <c r="AA203" s="150">
        <f t="shared" si="425"/>
        <v>-0.97400625690099374</v>
      </c>
      <c r="AB203" s="150">
        <f t="shared" si="425"/>
        <v>-0.97400625690099374</v>
      </c>
      <c r="AC203" s="150">
        <f t="shared" si="425"/>
        <v>-0.97400625690099374</v>
      </c>
      <c r="AD203" s="137">
        <f t="shared" si="420"/>
        <v>-1.2120592035727018E-3</v>
      </c>
      <c r="AE203" s="31">
        <f t="shared" si="421"/>
        <v>0.05</v>
      </c>
      <c r="AF203" s="179">
        <f>(AF187)/($L$2*100)</f>
        <v>0.39113884579447505</v>
      </c>
    </row>
    <row r="204" spans="2:32" x14ac:dyDescent="0.2">
      <c r="B204" s="20"/>
      <c r="C204" s="129"/>
      <c r="D204" s="129"/>
      <c r="E204" s="129"/>
      <c r="F204" s="129"/>
      <c r="G204" s="134"/>
      <c r="H204" s="134"/>
      <c r="I204" s="134"/>
      <c r="J204" s="134"/>
      <c r="K204" s="197"/>
      <c r="L204" s="198"/>
      <c r="M204" s="134"/>
      <c r="N204" s="134"/>
      <c r="O204" s="134"/>
      <c r="P204" s="134"/>
      <c r="Q204" s="134"/>
      <c r="R204" s="128"/>
      <c r="S204" s="128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6"/>
      <c r="AE204" s="20"/>
      <c r="AF204" s="20"/>
    </row>
    <row r="205" spans="2:32" x14ac:dyDescent="0.2">
      <c r="B205" s="108" t="s">
        <v>300</v>
      </c>
      <c r="C205" s="20"/>
      <c r="D205" s="20"/>
      <c r="E205" s="20"/>
      <c r="F205" s="20"/>
      <c r="G205" s="20"/>
      <c r="H205" s="20"/>
      <c r="I205" s="20"/>
      <c r="J205" s="20"/>
      <c r="K205" s="211" t="s">
        <v>350</v>
      </c>
      <c r="L205" s="212"/>
      <c r="M205" s="20"/>
      <c r="N205" s="20"/>
      <c r="O205" s="20"/>
      <c r="P205" s="108" t="s">
        <v>429</v>
      </c>
      <c r="Q205" s="108" t="s">
        <v>428</v>
      </c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136"/>
      <c r="AE205" s="20"/>
      <c r="AF205" s="20"/>
    </row>
    <row r="206" spans="2:32" x14ac:dyDescent="0.2">
      <c r="B206" s="20" t="s">
        <v>298</v>
      </c>
      <c r="C206" s="20" t="s">
        <v>313</v>
      </c>
      <c r="D206" s="20"/>
      <c r="E206" s="20"/>
      <c r="F206" s="20"/>
      <c r="G206" s="20"/>
      <c r="H206" s="20"/>
      <c r="I206" s="20"/>
      <c r="J206" s="20"/>
      <c r="K206" s="20" t="s">
        <v>351</v>
      </c>
      <c r="L206" s="22">
        <v>1</v>
      </c>
      <c r="M206" s="20"/>
      <c r="N206" s="20"/>
      <c r="O206" s="20"/>
      <c r="P206" s="128">
        <f>(Q177-S164)/Q177</f>
        <v>0.80982461402265971</v>
      </c>
      <c r="Q206" s="128">
        <f>(Q177-T164)/Q177</f>
        <v>0.87464930620203818</v>
      </c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136"/>
      <c r="AE206" s="20"/>
      <c r="AF206" s="20"/>
    </row>
    <row r="207" spans="2:32" x14ac:dyDescent="0.2">
      <c r="B207" s="20" t="s">
        <v>348</v>
      </c>
      <c r="C207" s="20" t="s">
        <v>313</v>
      </c>
      <c r="D207" s="20"/>
      <c r="E207" s="20"/>
      <c r="F207" s="20"/>
      <c r="G207" s="20"/>
      <c r="H207" s="20"/>
      <c r="I207" s="20"/>
      <c r="J207" s="20"/>
      <c r="K207" s="170">
        <f>$L$206</f>
        <v>1</v>
      </c>
      <c r="L207" s="20"/>
      <c r="M207" s="128">
        <f>(P177-(K207*S155))/P177</f>
        <v>-3.5014416582933925</v>
      </c>
      <c r="N207" s="20"/>
      <c r="O207" s="20"/>
      <c r="P207" s="128">
        <f>(Q177-S155)/Q177</f>
        <v>-8.0028833165867841</v>
      </c>
      <c r="Q207" s="128">
        <f>(Q177-T155)/Q177</f>
        <v>0.21714058116636656</v>
      </c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136"/>
      <c r="AE207" s="20"/>
      <c r="AF207" s="20"/>
    </row>
    <row r="208" spans="2:32" x14ac:dyDescent="0.2">
      <c r="B208" s="20" t="s">
        <v>349</v>
      </c>
      <c r="C208" s="20" t="s">
        <v>313</v>
      </c>
      <c r="D208" s="20"/>
      <c r="E208" s="20"/>
      <c r="F208" s="20"/>
      <c r="G208" s="20"/>
      <c r="H208" s="20"/>
      <c r="I208" s="20"/>
      <c r="J208" s="20"/>
      <c r="K208" s="170">
        <f>$L$206</f>
        <v>1</v>
      </c>
      <c r="L208" s="20"/>
      <c r="M208" s="128">
        <f>(P177-(K208*S148))/P177</f>
        <v>-2.3804151092447166</v>
      </c>
      <c r="N208" s="20"/>
      <c r="O208" s="20"/>
      <c r="P208" s="128">
        <f>(Q177-S148)/Q177</f>
        <v>-5.7608302184894331</v>
      </c>
      <c r="Q208" s="128">
        <f>(Q177-T148)/Q177</f>
        <v>0.41210172013135365</v>
      </c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136"/>
      <c r="AE208" s="20"/>
      <c r="AF208" s="20"/>
    </row>
    <row r="209" spans="2:46" x14ac:dyDescent="0.2">
      <c r="B209" s="20" t="s">
        <v>352</v>
      </c>
      <c r="C209" s="20" t="s">
        <v>313</v>
      </c>
      <c r="D209" s="20"/>
      <c r="E209" s="20"/>
      <c r="F209" s="20"/>
      <c r="G209" s="20"/>
      <c r="H209" s="20"/>
      <c r="I209" s="20"/>
      <c r="J209" s="20"/>
      <c r="K209" s="170">
        <f>$L$206</f>
        <v>1</v>
      </c>
      <c r="L209" s="20"/>
      <c r="M209" s="128">
        <f>(P177-(K209*S161))/P177</f>
        <v>0.78868168433665231</v>
      </c>
      <c r="N209" s="20"/>
      <c r="O209" s="20"/>
      <c r="P209" s="128">
        <f>(Q177-S161)/Q177</f>
        <v>0.57736336867330473</v>
      </c>
      <c r="Q209" s="128">
        <f>(Q177-T161)/Q177</f>
        <v>0.96324898858028729</v>
      </c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136"/>
      <c r="AE209" s="20"/>
      <c r="AF209" s="20"/>
    </row>
    <row r="210" spans="2:46" x14ac:dyDescent="0.2">
      <c r="B210" s="20" t="s">
        <v>398</v>
      </c>
      <c r="C210" s="20" t="s">
        <v>313</v>
      </c>
      <c r="D210" s="20"/>
      <c r="E210" s="20"/>
      <c r="F210" s="20"/>
      <c r="G210" s="20"/>
      <c r="H210" s="20"/>
      <c r="I210" s="20"/>
      <c r="J210" s="20"/>
      <c r="K210" s="170">
        <f>$L$206</f>
        <v>1</v>
      </c>
      <c r="L210" s="20"/>
      <c r="M210" s="128">
        <f>(P177-(K210*S174))/P177</f>
        <v>0.5511332170892479</v>
      </c>
      <c r="N210" s="20"/>
      <c r="O210" s="20"/>
      <c r="P210" s="128">
        <f>(Q177-S174)/Q177</f>
        <v>0.10226643417849574</v>
      </c>
      <c r="Q210" s="128">
        <f>(Q177-T174)/Q177</f>
        <v>0.4082750260075606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136"/>
      <c r="AE210" s="20"/>
      <c r="AF210" s="20"/>
    </row>
    <row r="211" spans="2:46" x14ac:dyDescent="0.2">
      <c r="B211" s="20" t="s">
        <v>299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5">
        <f>Q177/S147</f>
        <v>0.77256995323294864</v>
      </c>
      <c r="Q211" s="25">
        <f>Q177/T147</f>
        <v>8.8845544621789081</v>
      </c>
      <c r="R211" s="20"/>
      <c r="S211" s="20"/>
      <c r="T211" s="115" t="s">
        <v>11</v>
      </c>
      <c r="U211" s="115" t="s">
        <v>12</v>
      </c>
      <c r="V211" s="115" t="s">
        <v>13</v>
      </c>
      <c r="W211" s="115" t="s">
        <v>14</v>
      </c>
      <c r="X211" s="115" t="s">
        <v>15</v>
      </c>
      <c r="Y211" s="115" t="s">
        <v>234</v>
      </c>
      <c r="Z211" s="115" t="s">
        <v>235</v>
      </c>
      <c r="AA211" s="115" t="s">
        <v>236</v>
      </c>
      <c r="AB211" s="115" t="s">
        <v>237</v>
      </c>
      <c r="AC211" s="115" t="s">
        <v>238</v>
      </c>
      <c r="AD211" s="115" t="s">
        <v>406</v>
      </c>
      <c r="AE211" s="115" t="s">
        <v>407</v>
      </c>
      <c r="AF211" s="115" t="s">
        <v>408</v>
      </c>
      <c r="AG211" s="115" t="s">
        <v>409</v>
      </c>
      <c r="AH211" s="115" t="s">
        <v>410</v>
      </c>
      <c r="AI211" s="115" t="s">
        <v>411</v>
      </c>
      <c r="AJ211" s="115" t="s">
        <v>412</v>
      </c>
      <c r="AK211" s="115" t="s">
        <v>413</v>
      </c>
      <c r="AL211" s="115" t="s">
        <v>414</v>
      </c>
      <c r="AM211" s="115" t="s">
        <v>415</v>
      </c>
      <c r="AN211" s="115" t="s">
        <v>416</v>
      </c>
      <c r="AO211" s="115" t="s">
        <v>417</v>
      </c>
      <c r="AP211" s="115" t="s">
        <v>418</v>
      </c>
      <c r="AQ211" s="115" t="s">
        <v>419</v>
      </c>
      <c r="AR211" s="115" t="s">
        <v>420</v>
      </c>
      <c r="AS211" s="115" t="s">
        <v>421</v>
      </c>
      <c r="AT211" s="115" t="s">
        <v>422</v>
      </c>
    </row>
    <row r="212" spans="2:46" x14ac:dyDescent="0.2">
      <c r="B212" s="20" t="s">
        <v>370</v>
      </c>
      <c r="C212" s="20"/>
      <c r="D212" s="20"/>
      <c r="E212" s="20"/>
      <c r="F212" s="20"/>
      <c r="G212" s="187" t="s">
        <v>447</v>
      </c>
      <c r="H212" s="188"/>
      <c r="I212" s="187" t="s">
        <v>448</v>
      </c>
      <c r="J212" s="188"/>
      <c r="K212" s="20"/>
      <c r="L212" s="187" t="s">
        <v>449</v>
      </c>
      <c r="M212" s="188"/>
      <c r="N212" s="187" t="s">
        <v>450</v>
      </c>
      <c r="O212" s="188"/>
      <c r="P212" s="150">
        <f>1/P211</f>
        <v>1.2943811700355834</v>
      </c>
      <c r="Q212" s="150">
        <f>1/Q211</f>
        <v>0.11255488435092031</v>
      </c>
      <c r="R212" s="20"/>
      <c r="S212" s="20"/>
      <c r="T212" s="129">
        <f>Q177-T213</f>
        <v>1452.6773531777956</v>
      </c>
      <c r="U212" s="183">
        <f>T212-U213</f>
        <v>1402.9885740144809</v>
      </c>
      <c r="V212" s="183">
        <f t="shared" ref="V212:X212" si="426">U212-V213</f>
        <v>1350.8153558930007</v>
      </c>
      <c r="W212" s="183">
        <f t="shared" si="426"/>
        <v>1296.0334768654463</v>
      </c>
      <c r="X212" s="183">
        <f t="shared" si="426"/>
        <v>1238.5125038865144</v>
      </c>
      <c r="Y212" s="183">
        <f>X212-Y213</f>
        <v>1178.1154822586359</v>
      </c>
      <c r="Z212" s="183">
        <f t="shared" ref="Z212:AC212" si="427">Y212-Z213</f>
        <v>1114.6986095493633</v>
      </c>
      <c r="AA212" s="183">
        <f t="shared" si="427"/>
        <v>1048.110893204627</v>
      </c>
      <c r="AB212" s="183">
        <f t="shared" si="427"/>
        <v>978.19379104265397</v>
      </c>
      <c r="AC212" s="183">
        <f t="shared" si="427"/>
        <v>904.78083377258235</v>
      </c>
      <c r="AD212" s="183">
        <f t="shared" ref="AD212" si="428">AC212-AD213</f>
        <v>827.69722863900711</v>
      </c>
      <c r="AE212" s="183">
        <f t="shared" ref="AE212" si="429">AD212-AE213</f>
        <v>746.75944324875309</v>
      </c>
      <c r="AF212" s="183">
        <f t="shared" ref="AF212" si="430">AE212-AF213</f>
        <v>661.77476858898638</v>
      </c>
      <c r="AG212" s="183">
        <f t="shared" ref="AG212" si="431">AF212-AG213</f>
        <v>572.54086019623128</v>
      </c>
      <c r="AH212" s="183">
        <f t="shared" ref="AH212" si="432">AG212-AH213</f>
        <v>478.84525638383843</v>
      </c>
      <c r="AI212" s="183">
        <f t="shared" ref="AI212" si="433">AH212-AI213</f>
        <v>380.46487238082597</v>
      </c>
      <c r="AJ212" s="183">
        <f t="shared" ref="AJ212" si="434">AI212-AJ213</f>
        <v>277.16546917766289</v>
      </c>
      <c r="AK212" s="183">
        <f t="shared" ref="AK212" si="435">AJ212-AK213</f>
        <v>168.70109581434161</v>
      </c>
      <c r="AL212" s="183">
        <f t="shared" ref="AL212" si="436">AK212-AL213</f>
        <v>54.813503782854269</v>
      </c>
      <c r="AM212" s="183">
        <f t="shared" ref="AM212" si="437">AL212-AM213</f>
        <v>-64.768467850207443</v>
      </c>
      <c r="AN212" s="183">
        <f t="shared" ref="AN212" si="438">AM212-AN213</f>
        <v>-190.32953806492225</v>
      </c>
      <c r="AO212" s="183">
        <f t="shared" ref="AO212" si="439">AN212-AO213</f>
        <v>-322.16866179037277</v>
      </c>
      <c r="AP212" s="183">
        <f t="shared" ref="AP212" si="440">AO212-AP213</f>
        <v>-460.59974170209586</v>
      </c>
      <c r="AQ212" s="183">
        <f t="shared" ref="AQ212" si="441">AP212-AQ213</f>
        <v>-605.95237560940507</v>
      </c>
      <c r="AR212" s="183">
        <f t="shared" ref="AR212" si="442">AQ212-AR213</f>
        <v>-758.57264121207982</v>
      </c>
      <c r="AS212" s="183">
        <f t="shared" ref="AS212" si="443">AR212-AS213</f>
        <v>-918.82392009488831</v>
      </c>
      <c r="AT212" s="183">
        <f t="shared" ref="AT212" si="444">AS212-AT213</f>
        <v>-1087.0877629218371</v>
      </c>
    </row>
    <row r="213" spans="2:46" x14ac:dyDescent="0.2">
      <c r="B213" s="20" t="s">
        <v>395</v>
      </c>
      <c r="C213" s="20"/>
      <c r="D213" s="20"/>
      <c r="E213" s="20"/>
      <c r="F213" s="20"/>
      <c r="G213" s="189">
        <v>0</v>
      </c>
      <c r="H213" s="188"/>
      <c r="I213" s="189">
        <v>0.05</v>
      </c>
      <c r="J213" s="188"/>
      <c r="K213" s="182">
        <f>P1</f>
        <v>0.05</v>
      </c>
      <c r="L213" s="189">
        <v>0.12</v>
      </c>
      <c r="M213" s="188"/>
      <c r="N213" s="189">
        <v>0.2</v>
      </c>
      <c r="O213" s="196" t="s">
        <v>280</v>
      </c>
      <c r="P213" s="179">
        <f>Q177/S146</f>
        <v>33.282162046375461</v>
      </c>
      <c r="Q213" s="179" t="s">
        <v>468</v>
      </c>
      <c r="R213" s="20"/>
      <c r="S213" s="20"/>
      <c r="T213" s="184">
        <f>R146*(1+$K$213)</f>
        <v>47.322646822204348</v>
      </c>
      <c r="U213" s="184">
        <f>T213*(1+$K$213)</f>
        <v>49.688779163314564</v>
      </c>
      <c r="V213" s="184">
        <f t="shared" ref="V213:AC213" si="445">U213*(1+$K$213)</f>
        <v>52.173218121480296</v>
      </c>
      <c r="W213" s="184">
        <f t="shared" si="445"/>
        <v>54.781879027554311</v>
      </c>
      <c r="X213" s="184">
        <f t="shared" si="445"/>
        <v>57.520972978932029</v>
      </c>
      <c r="Y213" s="184">
        <f t="shared" si="445"/>
        <v>60.397021627878637</v>
      </c>
      <c r="Z213" s="184">
        <f t="shared" si="445"/>
        <v>63.416872709272575</v>
      </c>
      <c r="AA213" s="184">
        <f t="shared" si="445"/>
        <v>66.587716344736208</v>
      </c>
      <c r="AB213" s="184">
        <f t="shared" si="445"/>
        <v>69.91710216197302</v>
      </c>
      <c r="AC213" s="184">
        <f t="shared" si="445"/>
        <v>73.412957270071672</v>
      </c>
      <c r="AD213" s="184">
        <f t="shared" ref="AD213" si="446">AC213*(1+$K$213)</f>
        <v>77.083605133575261</v>
      </c>
      <c r="AE213" s="184">
        <f t="shared" ref="AE213" si="447">AD213*(1+$K$213)</f>
        <v>80.937785390254021</v>
      </c>
      <c r="AF213" s="184">
        <f t="shared" ref="AF213" si="448">AE213*(1+$K$213)</f>
        <v>84.984674659766725</v>
      </c>
      <c r="AG213" s="184">
        <f t="shared" ref="AG213" si="449">AF213*(1+$K$213)</f>
        <v>89.233908392755069</v>
      </c>
      <c r="AH213" s="184">
        <f t="shared" ref="AH213" si="450">AG213*(1+$K$213)</f>
        <v>93.695603812392832</v>
      </c>
      <c r="AI213" s="184">
        <f t="shared" ref="AI213" si="451">AH213*(1+$K$213)</f>
        <v>98.38038400301248</v>
      </c>
      <c r="AJ213" s="184">
        <f t="shared" ref="AJ213" si="452">AI213*(1+$K$213)</f>
        <v>103.29940320316311</v>
      </c>
      <c r="AK213" s="184">
        <f t="shared" ref="AK213" si="453">AJ213*(1+$K$213)</f>
        <v>108.46437336332127</v>
      </c>
      <c r="AL213" s="184">
        <f t="shared" ref="AL213" si="454">AK213*(1+$K$213)</f>
        <v>113.88759203148734</v>
      </c>
      <c r="AM213" s="184">
        <f t="shared" ref="AM213" si="455">AL213*(1+$K$213)</f>
        <v>119.58197163306171</v>
      </c>
      <c r="AN213" s="184">
        <f t="shared" ref="AN213" si="456">AM213*(1+$K$213)</f>
        <v>125.5610702147148</v>
      </c>
      <c r="AO213" s="184">
        <f t="shared" ref="AO213" si="457">AN213*(1+$K$213)</f>
        <v>131.83912372545055</v>
      </c>
      <c r="AP213" s="184">
        <f t="shared" ref="AP213" si="458">AO213*(1+$K$213)</f>
        <v>138.43107991172309</v>
      </c>
      <c r="AQ213" s="184">
        <f t="shared" ref="AQ213" si="459">AP213*(1+$K$213)</f>
        <v>145.35263390730924</v>
      </c>
      <c r="AR213" s="184">
        <f t="shared" ref="AR213" si="460">AQ213*(1+$K$213)</f>
        <v>152.62026560267472</v>
      </c>
      <c r="AS213" s="184">
        <f t="shared" ref="AS213" si="461">AR213*(1+$K$213)</f>
        <v>160.25127888280846</v>
      </c>
      <c r="AT213" s="184">
        <f t="shared" ref="AT213" si="462">AS213*(1+$K$213)</f>
        <v>168.26384282694889</v>
      </c>
    </row>
    <row r="214" spans="2:46" x14ac:dyDescent="0.2">
      <c r="B214" s="20" t="s">
        <v>394</v>
      </c>
      <c r="C214" s="20"/>
      <c r="D214" s="20"/>
      <c r="E214" s="23" t="s">
        <v>390</v>
      </c>
      <c r="F214" s="22"/>
      <c r="G214" s="189">
        <v>0</v>
      </c>
      <c r="H214" s="190">
        <f>Q179</f>
        <v>15.133928571428569</v>
      </c>
      <c r="I214" s="189">
        <v>0.05</v>
      </c>
      <c r="J214" s="188"/>
      <c r="K214" s="182">
        <f>P1</f>
        <v>0.05</v>
      </c>
      <c r="L214" s="189">
        <v>0.12</v>
      </c>
      <c r="M214" s="188"/>
      <c r="N214" s="189">
        <v>0.2</v>
      </c>
      <c r="O214" s="196" t="s">
        <v>467</v>
      </c>
      <c r="P214" s="179">
        <f>Q177/Q57</f>
        <v>15.133928571428569</v>
      </c>
      <c r="Q214" s="179" t="s">
        <v>468</v>
      </c>
      <c r="R214" s="20"/>
      <c r="S214" s="20"/>
      <c r="T214" s="184">
        <f>Q57*(1+$K$214)</f>
        <v>104.07079646017701</v>
      </c>
      <c r="U214" s="184">
        <f>T214*(1+$K$214)</f>
        <v>109.27433628318586</v>
      </c>
      <c r="V214" s="184">
        <f t="shared" ref="V214:AC214" si="463">U214*(1+$K$214)</f>
        <v>114.73805309734516</v>
      </c>
      <c r="W214" s="184">
        <f t="shared" si="463"/>
        <v>120.47495575221242</v>
      </c>
      <c r="X214" s="184">
        <f t="shared" si="463"/>
        <v>126.49870353982305</v>
      </c>
      <c r="Y214" s="184">
        <f t="shared" si="463"/>
        <v>132.8236387168142</v>
      </c>
      <c r="Z214" s="184">
        <f t="shared" si="463"/>
        <v>139.46482065265491</v>
      </c>
      <c r="AA214" s="184">
        <f t="shared" si="463"/>
        <v>146.43806168528766</v>
      </c>
      <c r="AB214" s="184">
        <f t="shared" si="463"/>
        <v>153.75996476955206</v>
      </c>
      <c r="AC214" s="184">
        <f t="shared" si="463"/>
        <v>161.44796300802966</v>
      </c>
      <c r="AD214" s="184">
        <f t="shared" ref="AD214" si="464">AC214*(1+$K$214)</f>
        <v>169.52036115843114</v>
      </c>
      <c r="AE214" s="184">
        <f t="shared" ref="AE214" si="465">AD214*(1+$K$214)</f>
        <v>177.99637921635272</v>
      </c>
      <c r="AF214" s="184">
        <f t="shared" ref="AF214" si="466">AE214*(1+$K$214)</f>
        <v>186.89619817717036</v>
      </c>
      <c r="AG214" s="184">
        <f t="shared" ref="AG214" si="467">AF214*(1+$K$214)</f>
        <v>196.2410080860289</v>
      </c>
      <c r="AH214" s="184">
        <f t="shared" ref="AH214" si="468">AG214*(1+$K$214)</f>
        <v>206.05305849033036</v>
      </c>
      <c r="AI214" s="184">
        <f t="shared" ref="AI214" si="469">AH214*(1+$K$214)</f>
        <v>216.35571141484689</v>
      </c>
      <c r="AJ214" s="184">
        <f t="shared" ref="AJ214" si="470">AI214*(1+$K$214)</f>
        <v>227.17349698558925</v>
      </c>
      <c r="AK214" s="184">
        <f t="shared" ref="AK214" si="471">AJ214*(1+$K$214)</f>
        <v>238.53217183486873</v>
      </c>
      <c r="AL214" s="184">
        <f t="shared" ref="AL214" si="472">AK214*(1+$K$214)</f>
        <v>250.45878042661218</v>
      </c>
      <c r="AM214" s="184">
        <f t="shared" ref="AM214" si="473">AL214*(1+$K$214)</f>
        <v>262.98171944794279</v>
      </c>
      <c r="AN214" s="184">
        <f t="shared" ref="AN214" si="474">AM214*(1+$K$214)</f>
        <v>276.13080542033993</v>
      </c>
      <c r="AO214" s="184">
        <f t="shared" ref="AO214" si="475">AN214*(1+$K$214)</f>
        <v>289.93734569135694</v>
      </c>
      <c r="AP214" s="184">
        <f t="shared" ref="AP214" si="476">AO214*(1+$K$214)</f>
        <v>304.43421297592482</v>
      </c>
      <c r="AQ214" s="184">
        <f t="shared" ref="AQ214" si="477">AP214*(1+$K$214)</f>
        <v>319.65592362472108</v>
      </c>
      <c r="AR214" s="184">
        <f t="shared" ref="AR214" si="478">AQ214*(1+$K$214)</f>
        <v>335.63871980595712</v>
      </c>
      <c r="AS214" s="184">
        <f t="shared" ref="AS214" si="479">AR214*(1+$K$214)</f>
        <v>352.42065579625501</v>
      </c>
      <c r="AT214" s="184">
        <f t="shared" ref="AT214" si="480">AS214*(1+$K$214)</f>
        <v>370.04168858606778</v>
      </c>
    </row>
    <row r="215" spans="2:46" x14ac:dyDescent="0.2">
      <c r="B215" s="20"/>
      <c r="C215" s="20"/>
      <c r="D215" s="20"/>
      <c r="E215" s="23" t="s">
        <v>453</v>
      </c>
      <c r="F215" s="22"/>
      <c r="G215" s="189">
        <v>0</v>
      </c>
      <c r="H215" s="190"/>
      <c r="I215" s="189">
        <v>0.05</v>
      </c>
      <c r="J215" s="188"/>
      <c r="K215" s="188"/>
      <c r="L215" s="189">
        <v>0.12</v>
      </c>
      <c r="M215" s="188"/>
      <c r="N215" s="189">
        <v>0.2</v>
      </c>
      <c r="O215" s="20"/>
      <c r="P215" s="20"/>
      <c r="Q215" s="20"/>
      <c r="R215" s="20"/>
      <c r="S215" s="20"/>
      <c r="T215" s="129">
        <f>Q177-T214</f>
        <v>1395.929203539823</v>
      </c>
      <c r="U215" s="183">
        <f>T215-U214</f>
        <v>1286.6548672566371</v>
      </c>
      <c r="V215" s="183">
        <f t="shared" ref="V215:AA215" si="481">U215-V214</f>
        <v>1171.916814159292</v>
      </c>
      <c r="W215" s="183">
        <f t="shared" si="481"/>
        <v>1051.4418584070795</v>
      </c>
      <c r="X215" s="183">
        <f t="shared" si="481"/>
        <v>924.94315486725645</v>
      </c>
      <c r="Y215" s="183">
        <f t="shared" si="481"/>
        <v>792.11951615044222</v>
      </c>
      <c r="Z215" s="183">
        <f t="shared" si="481"/>
        <v>652.65469549778732</v>
      </c>
      <c r="AA215" s="183">
        <f t="shared" si="481"/>
        <v>506.21663381249965</v>
      </c>
      <c r="AB215" s="183">
        <f>AA215-AB214</f>
        <v>352.45666904294762</v>
      </c>
      <c r="AC215" s="183">
        <f t="shared" ref="AC215" si="482">AB215-AC214</f>
        <v>191.00870603491796</v>
      </c>
      <c r="AD215" s="183">
        <f t="shared" ref="AD215" si="483">AC215-AD214</f>
        <v>21.488344876486821</v>
      </c>
      <c r="AE215" s="183">
        <f t="shared" ref="AE215" si="484">AD215-AE214</f>
        <v>-156.5080343398659</v>
      </c>
      <c r="AF215" s="183">
        <f t="shared" ref="AF215" si="485">AE215-AF214</f>
        <v>-343.40423251703623</v>
      </c>
      <c r="AG215" s="183">
        <f t="shared" ref="AG215" si="486">AF215-AG214</f>
        <v>-539.64524060306508</v>
      </c>
      <c r="AH215" s="183">
        <f t="shared" ref="AH215" si="487">AG215-AH214</f>
        <v>-745.69829909339546</v>
      </c>
      <c r="AI215" s="183">
        <f t="shared" ref="AI215" si="488">AH215-AI214</f>
        <v>-962.0540105082423</v>
      </c>
      <c r="AJ215" s="183">
        <f t="shared" ref="AJ215" si="489">AI215-AJ214</f>
        <v>-1189.2275074938316</v>
      </c>
      <c r="AK215" s="183">
        <f t="shared" ref="AK215" si="490">AJ215-AK214</f>
        <v>-1427.7596793287003</v>
      </c>
      <c r="AL215" s="183">
        <f t="shared" ref="AL215" si="491">AK215-AL214</f>
        <v>-1678.2184597553123</v>
      </c>
      <c r="AM215" s="183">
        <f t="shared" ref="AM215" si="492">AL215-AM214</f>
        <v>-1941.2001792032552</v>
      </c>
      <c r="AN215" s="183">
        <f t="shared" ref="AN215" si="493">AM215-AN214</f>
        <v>-2217.3309846235952</v>
      </c>
      <c r="AO215" s="183">
        <f t="shared" ref="AO215" si="494">AN215-AO214</f>
        <v>-2507.268330314952</v>
      </c>
      <c r="AP215" s="183">
        <f t="shared" ref="AP215" si="495">AO215-AP214</f>
        <v>-2811.7025432908767</v>
      </c>
      <c r="AQ215" s="183">
        <f t="shared" ref="AQ215" si="496">AP215-AQ214</f>
        <v>-3131.358466915598</v>
      </c>
      <c r="AR215" s="183">
        <f t="shared" ref="AR215" si="497">AQ215-AR214</f>
        <v>-3466.997186721555</v>
      </c>
      <c r="AS215" s="183">
        <f t="shared" ref="AS215" si="498">AR215-AS214</f>
        <v>-3819.4178425178097</v>
      </c>
      <c r="AT215" s="183">
        <f t="shared" ref="AT215" si="499">AS215-AT214</f>
        <v>-4189.4595311038775</v>
      </c>
    </row>
    <row r="216" spans="2:46" x14ac:dyDescent="0.2">
      <c r="B216" s="108" t="s">
        <v>301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46" x14ac:dyDescent="0.2">
      <c r="B217" s="20" t="s">
        <v>304</v>
      </c>
      <c r="C217" s="25"/>
      <c r="D217" s="25"/>
      <c r="E217" s="25"/>
      <c r="F217" s="25"/>
      <c r="G217" s="25">
        <f t="shared" ref="G217:Q217" si="500">G10/G7</f>
        <v>1.8333333333333333</v>
      </c>
      <c r="H217" s="25">
        <f t="shared" si="500"/>
        <v>1</v>
      </c>
      <c r="I217" s="25">
        <f t="shared" si="500"/>
        <v>1</v>
      </c>
      <c r="J217" s="25">
        <f t="shared" si="500"/>
        <v>1</v>
      </c>
      <c r="K217" s="25">
        <f t="shared" si="500"/>
        <v>1</v>
      </c>
      <c r="L217" s="25">
        <f t="shared" si="500"/>
        <v>1</v>
      </c>
      <c r="M217" s="25">
        <f t="shared" si="500"/>
        <v>2.4193548387096774E-2</v>
      </c>
      <c r="N217" s="25">
        <f t="shared" si="500"/>
        <v>1.0416666666666666E-2</v>
      </c>
      <c r="O217" s="25">
        <f t="shared" si="500"/>
        <v>5.9649122807017542E-2</v>
      </c>
      <c r="P217" s="25">
        <f t="shared" si="500"/>
        <v>0.29113924050632911</v>
      </c>
      <c r="Q217" s="25">
        <f t="shared" si="500"/>
        <v>4.4444444444444446E-2</v>
      </c>
      <c r="R217" s="118">
        <f t="shared" ref="R217:R219" si="501">((P217/G217)^(1/($H$2-$H$1) ))-1</f>
        <v>-0.16807163698288285</v>
      </c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46" x14ac:dyDescent="0.2">
      <c r="B218" s="20" t="s">
        <v>305</v>
      </c>
      <c r="C218" s="112"/>
      <c r="D218" s="112"/>
      <c r="E218" s="112"/>
      <c r="F218" s="112"/>
      <c r="G218" s="112">
        <f t="shared" ref="G218:Q218" si="502">G10/G12</f>
        <v>12.833333333333334</v>
      </c>
      <c r="H218" s="112">
        <f t="shared" si="502"/>
        <v>7.2222222222222223</v>
      </c>
      <c r="I218" s="112">
        <f t="shared" si="502"/>
        <v>6.333333333333333</v>
      </c>
      <c r="J218" s="112">
        <f t="shared" si="502"/>
        <v>10.428571428571429</v>
      </c>
      <c r="K218" s="112">
        <f t="shared" si="502"/>
        <v>4.2727272727272725</v>
      </c>
      <c r="L218" s="112">
        <f t="shared" si="502"/>
        <v>1.75</v>
      </c>
      <c r="M218" s="112">
        <f t="shared" si="502"/>
        <v>6.8181818181818177E-2</v>
      </c>
      <c r="N218" s="112">
        <f t="shared" si="502"/>
        <v>3.7735849056603772E-2</v>
      </c>
      <c r="O218" s="112">
        <f t="shared" si="502"/>
        <v>0.77272727272727271</v>
      </c>
      <c r="P218" s="112">
        <f t="shared" si="502"/>
        <v>3.4848484848484849</v>
      </c>
      <c r="Q218" s="112">
        <f t="shared" si="502"/>
        <v>0.8666666666666667</v>
      </c>
      <c r="R218" s="118">
        <f t="shared" si="501"/>
        <v>-0.12222250373397425</v>
      </c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46" x14ac:dyDescent="0.2">
      <c r="B219" s="20" t="s">
        <v>306</v>
      </c>
      <c r="C219" s="25"/>
      <c r="D219" s="25"/>
      <c r="E219" s="25"/>
      <c r="F219" s="25"/>
      <c r="G219" s="25">
        <f t="shared" ref="G219:Q219" si="503">G10/(G12+G13)</f>
        <v>3.6666666666666665</v>
      </c>
      <c r="H219" s="25">
        <f t="shared" si="503"/>
        <v>2.7083333333333335</v>
      </c>
      <c r="I219" s="25">
        <f t="shared" si="503"/>
        <v>2.1111111111111112</v>
      </c>
      <c r="J219" s="25">
        <f t="shared" si="503"/>
        <v>2.92</v>
      </c>
      <c r="K219" s="25">
        <f t="shared" si="503"/>
        <v>4.1264266900790165</v>
      </c>
      <c r="L219" s="25">
        <f t="shared" si="503"/>
        <v>1.6949152542372881</v>
      </c>
      <c r="M219" s="25">
        <f t="shared" si="503"/>
        <v>6.7582788916422623E-2</v>
      </c>
      <c r="N219" s="25">
        <f t="shared" si="503"/>
        <v>2.6315789473684209E-2</v>
      </c>
      <c r="O219" s="25">
        <f t="shared" si="503"/>
        <v>0.75926753014738724</v>
      </c>
      <c r="P219" s="25">
        <f t="shared" si="503"/>
        <v>3.4827377347062383</v>
      </c>
      <c r="Q219" s="25">
        <f t="shared" si="503"/>
        <v>0.66666666666666663</v>
      </c>
      <c r="R219" s="118">
        <f t="shared" si="501"/>
        <v>-5.1332092466108703E-3</v>
      </c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46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46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46" x14ac:dyDescent="0.2">
      <c r="B222" s="20"/>
      <c r="C222" s="172" t="s">
        <v>376</v>
      </c>
      <c r="D222" s="173"/>
      <c r="E222" s="173"/>
      <c r="F222" s="173"/>
      <c r="G222" s="173"/>
      <c r="H222" s="173"/>
      <c r="I222" s="173"/>
      <c r="J222" s="173"/>
      <c r="K222" s="20"/>
      <c r="L222" s="208" t="s">
        <v>336</v>
      </c>
      <c r="M222" s="209"/>
      <c r="N222" s="210"/>
      <c r="O222" s="23" t="s">
        <v>339</v>
      </c>
      <c r="P222" s="20"/>
      <c r="Q222" s="136"/>
      <c r="R222" s="208" t="s">
        <v>337</v>
      </c>
      <c r="S222" s="209"/>
      <c r="T222" s="210"/>
      <c r="U222" s="23" t="s">
        <v>339</v>
      </c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46" x14ac:dyDescent="0.2">
      <c r="B223" s="20"/>
      <c r="C223" s="164" t="s">
        <v>338</v>
      </c>
      <c r="D223" s="164" t="s">
        <v>0</v>
      </c>
      <c r="E223" s="164" t="s">
        <v>377</v>
      </c>
      <c r="F223" s="164" t="s">
        <v>378</v>
      </c>
      <c r="G223" s="164" t="s">
        <v>379</v>
      </c>
      <c r="H223" s="164" t="s">
        <v>380</v>
      </c>
      <c r="I223" s="164" t="s">
        <v>381</v>
      </c>
      <c r="J223" s="164" t="s">
        <v>382</v>
      </c>
      <c r="K223" s="20"/>
      <c r="L223" s="164" t="s">
        <v>338</v>
      </c>
      <c r="M223" s="164"/>
      <c r="N223" s="164" t="s">
        <v>0</v>
      </c>
      <c r="O223" s="164" t="s">
        <v>371</v>
      </c>
      <c r="P223" s="20"/>
      <c r="Q223" s="20"/>
      <c r="R223" s="164" t="s">
        <v>338</v>
      </c>
      <c r="S223" s="164"/>
      <c r="T223" s="164" t="s">
        <v>0</v>
      </c>
      <c r="U223" s="164" t="s">
        <v>371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46" x14ac:dyDescent="0.2">
      <c r="B224" s="20"/>
      <c r="C224" s="165" t="s">
        <v>340</v>
      </c>
      <c r="D224" s="21">
        <v>15</v>
      </c>
      <c r="E224" s="174" t="s">
        <v>383</v>
      </c>
      <c r="F224" s="22">
        <v>1</v>
      </c>
      <c r="G224" s="22">
        <v>1</v>
      </c>
      <c r="H224" s="165">
        <f>F224/G224</f>
        <v>1</v>
      </c>
      <c r="I224" s="165">
        <f>H224*D225</f>
        <v>1</v>
      </c>
      <c r="J224" s="175">
        <f>I224+D225</f>
        <v>2</v>
      </c>
      <c r="K224" s="20"/>
      <c r="L224" s="165" t="s">
        <v>340</v>
      </c>
      <c r="M224" s="165"/>
      <c r="N224" s="21">
        <v>15</v>
      </c>
      <c r="O224" s="171">
        <f>N224</f>
        <v>15</v>
      </c>
      <c r="P224" s="20"/>
      <c r="Q224" s="20"/>
      <c r="R224" s="165" t="s">
        <v>340</v>
      </c>
      <c r="S224" s="165"/>
      <c r="T224" s="21">
        <v>1</v>
      </c>
      <c r="U224" s="171">
        <f>T224</f>
        <v>1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165" t="s">
        <v>341</v>
      </c>
      <c r="D225" s="21">
        <v>1</v>
      </c>
      <c r="E225" s="174" t="s">
        <v>384</v>
      </c>
      <c r="F225" s="22">
        <v>0</v>
      </c>
      <c r="G225" s="22">
        <v>1</v>
      </c>
      <c r="H225" s="165">
        <f>F225/G225</f>
        <v>0</v>
      </c>
      <c r="I225" s="165">
        <f>H225*J224</f>
        <v>0</v>
      </c>
      <c r="J225" s="165">
        <f>I225+J224</f>
        <v>2</v>
      </c>
      <c r="K225" s="20"/>
      <c r="L225" s="165" t="s">
        <v>341</v>
      </c>
      <c r="M225" s="165"/>
      <c r="N225" s="21">
        <v>1</v>
      </c>
      <c r="O225" s="171">
        <f>N225</f>
        <v>1</v>
      </c>
      <c r="P225" s="20"/>
      <c r="Q225" s="20"/>
      <c r="R225" s="165" t="s">
        <v>341</v>
      </c>
      <c r="S225" s="165"/>
      <c r="T225" s="21">
        <v>1</v>
      </c>
      <c r="U225" s="171">
        <f>T225</f>
        <v>1</v>
      </c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165" t="s">
        <v>343</v>
      </c>
      <c r="D226" s="166">
        <f>D224*D225</f>
        <v>15</v>
      </c>
      <c r="E226" s="174" t="s">
        <v>396</v>
      </c>
      <c r="F226" s="22">
        <v>0</v>
      </c>
      <c r="G226" s="22">
        <v>1</v>
      </c>
      <c r="H226" s="165">
        <f>F226/G226</f>
        <v>0</v>
      </c>
      <c r="I226" s="165">
        <f>H226*J225</f>
        <v>0</v>
      </c>
      <c r="J226" s="165">
        <f>I226+J225</f>
        <v>2</v>
      </c>
      <c r="K226" s="20"/>
      <c r="L226" s="165" t="s">
        <v>342</v>
      </c>
      <c r="M226" s="165"/>
      <c r="N226" s="166">
        <f>N224*N225</f>
        <v>15</v>
      </c>
      <c r="O226" s="171">
        <f>N226</f>
        <v>15</v>
      </c>
      <c r="P226" s="20"/>
      <c r="Q226" s="20"/>
      <c r="R226" s="165" t="s">
        <v>343</v>
      </c>
      <c r="S226" s="165"/>
      <c r="T226" s="166">
        <f>T224*T225</f>
        <v>1</v>
      </c>
      <c r="U226" s="171">
        <f>T226</f>
        <v>1</v>
      </c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165"/>
      <c r="D227" s="166"/>
      <c r="E227" s="174" t="s">
        <v>454</v>
      </c>
      <c r="F227" s="22">
        <v>0</v>
      </c>
      <c r="G227" s="22">
        <v>1</v>
      </c>
      <c r="H227" s="165">
        <f t="shared" ref="H227:H230" si="504">F227/G227</f>
        <v>0</v>
      </c>
      <c r="I227" s="165">
        <f t="shared" ref="I227:I229" si="505">H227*J226</f>
        <v>0</v>
      </c>
      <c r="J227" s="165">
        <f t="shared" ref="J227:J229" si="506">I227+J226</f>
        <v>2</v>
      </c>
      <c r="K227" s="20"/>
      <c r="L227" s="165" t="s">
        <v>344</v>
      </c>
      <c r="M227" s="165"/>
      <c r="N227" s="21">
        <v>3000</v>
      </c>
      <c r="O227" s="21">
        <v>3500</v>
      </c>
      <c r="P227" s="20"/>
      <c r="Q227" s="20"/>
      <c r="R227" s="165" t="s">
        <v>344</v>
      </c>
      <c r="S227" s="165"/>
      <c r="T227" s="21">
        <v>1</v>
      </c>
      <c r="U227" s="21">
        <v>1</v>
      </c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B228" s="20"/>
      <c r="C228" s="165"/>
      <c r="D228" s="166"/>
      <c r="E228" s="174" t="s">
        <v>455</v>
      </c>
      <c r="F228" s="22">
        <v>0</v>
      </c>
      <c r="G228" s="22">
        <v>1</v>
      </c>
      <c r="H228" s="165">
        <f t="shared" si="504"/>
        <v>0</v>
      </c>
      <c r="I228" s="165">
        <f t="shared" si="505"/>
        <v>0</v>
      </c>
      <c r="J228" s="165">
        <f t="shared" si="506"/>
        <v>2</v>
      </c>
      <c r="K228" s="20"/>
      <c r="L228" s="165" t="s">
        <v>345</v>
      </c>
      <c r="M228" s="165"/>
      <c r="N228" s="166">
        <f>N227*N225</f>
        <v>3000</v>
      </c>
      <c r="O228" s="166">
        <f>O227*O225</f>
        <v>3500</v>
      </c>
      <c r="P228" s="20"/>
      <c r="Q228" s="20"/>
      <c r="R228" s="165" t="s">
        <v>341</v>
      </c>
      <c r="S228" s="165"/>
      <c r="T228" s="21">
        <v>1</v>
      </c>
      <c r="U228" s="127">
        <f>T228</f>
        <v>1</v>
      </c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2:32" x14ac:dyDescent="0.2">
      <c r="B229" s="20"/>
      <c r="C229" s="165"/>
      <c r="D229" s="166"/>
      <c r="E229" s="174" t="s">
        <v>456</v>
      </c>
      <c r="F229" s="22">
        <v>0</v>
      </c>
      <c r="G229" s="22">
        <v>1</v>
      </c>
      <c r="H229" s="165">
        <f t="shared" si="504"/>
        <v>0</v>
      </c>
      <c r="I229" s="165">
        <f t="shared" si="505"/>
        <v>0</v>
      </c>
      <c r="J229" s="165">
        <f t="shared" si="506"/>
        <v>2</v>
      </c>
      <c r="K229" s="20"/>
      <c r="L229" s="165"/>
      <c r="M229" s="165"/>
      <c r="N229" s="166"/>
      <c r="O229" s="166"/>
      <c r="P229" s="20"/>
      <c r="Q229" s="20"/>
      <c r="R229" s="165" t="s">
        <v>343</v>
      </c>
      <c r="S229" s="165"/>
      <c r="T229" s="166">
        <f>T228*T227</f>
        <v>1</v>
      </c>
      <c r="U229" s="166">
        <f>U228*U227</f>
        <v>1</v>
      </c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2:32" x14ac:dyDescent="0.2">
      <c r="B230" s="20"/>
      <c r="C230" s="165"/>
      <c r="D230" s="166"/>
      <c r="E230" s="174" t="s">
        <v>385</v>
      </c>
      <c r="F230" s="22">
        <v>10</v>
      </c>
      <c r="G230" s="22">
        <v>2</v>
      </c>
      <c r="H230" s="165">
        <f t="shared" si="504"/>
        <v>5</v>
      </c>
      <c r="I230" s="165">
        <f>H230*J229</f>
        <v>10</v>
      </c>
      <c r="J230" s="165">
        <f>I230</f>
        <v>10</v>
      </c>
      <c r="K230" s="20"/>
      <c r="L230" s="165"/>
      <c r="M230" s="165"/>
      <c r="N230" s="166"/>
      <c r="O230" s="166"/>
      <c r="P230" s="20"/>
      <c r="Q230" s="20"/>
      <c r="R230" s="165"/>
      <c r="S230" s="165"/>
      <c r="T230" s="166"/>
      <c r="U230" s="166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2:32" x14ac:dyDescent="0.2">
      <c r="B231" s="20"/>
      <c r="C231" s="165"/>
      <c r="D231" s="166"/>
      <c r="E231" s="174" t="s">
        <v>457</v>
      </c>
      <c r="F231" s="22">
        <v>0</v>
      </c>
      <c r="G231" s="22">
        <v>1</v>
      </c>
      <c r="H231" s="165">
        <f>F231/G231</f>
        <v>0</v>
      </c>
      <c r="I231" s="165">
        <f>H231*J230</f>
        <v>0</v>
      </c>
      <c r="J231" s="165">
        <f>I231</f>
        <v>0</v>
      </c>
      <c r="K231" s="20"/>
      <c r="L231" s="167" t="s">
        <v>346</v>
      </c>
      <c r="M231" s="167"/>
      <c r="N231" s="168">
        <f>N228/N226</f>
        <v>200</v>
      </c>
      <c r="O231" s="168">
        <f>O228/O226</f>
        <v>233.33333333333334</v>
      </c>
      <c r="P231" s="20"/>
      <c r="Q231" s="20"/>
      <c r="R231" s="167" t="s">
        <v>346</v>
      </c>
      <c r="S231" s="167"/>
      <c r="T231" s="168">
        <f>T229/T226</f>
        <v>1</v>
      </c>
      <c r="U231" s="168">
        <f>U229/U226</f>
        <v>1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2:32" x14ac:dyDescent="0.2">
      <c r="B232" s="20"/>
      <c r="C232" s="165" t="s">
        <v>344</v>
      </c>
      <c r="D232" s="21">
        <v>3000</v>
      </c>
      <c r="E232" s="174"/>
      <c r="F232" s="165"/>
      <c r="G232" s="165"/>
      <c r="H232" s="167" t="s">
        <v>386</v>
      </c>
      <c r="I232" s="165"/>
      <c r="J232" s="165">
        <f>J231</f>
        <v>0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2:32" x14ac:dyDescent="0.2">
      <c r="B233" s="20"/>
      <c r="C233" s="165" t="s">
        <v>341</v>
      </c>
      <c r="D233" s="21">
        <v>1</v>
      </c>
      <c r="E233" s="174" t="s">
        <v>385</v>
      </c>
      <c r="F233" s="22">
        <v>10</v>
      </c>
      <c r="G233" s="22">
        <v>2</v>
      </c>
      <c r="H233" s="165">
        <f>F233/G233</f>
        <v>5</v>
      </c>
      <c r="I233" s="175">
        <f>H233*D225</f>
        <v>5</v>
      </c>
      <c r="J233" s="175">
        <f>I233</f>
        <v>5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2:32" x14ac:dyDescent="0.2">
      <c r="B234" s="20"/>
      <c r="C234" s="165" t="s">
        <v>343</v>
      </c>
      <c r="D234" s="166">
        <f>D233*D232</f>
        <v>3000</v>
      </c>
      <c r="E234" s="165"/>
      <c r="F234" s="165"/>
      <c r="G234" s="165"/>
      <c r="H234" s="167" t="s">
        <v>386</v>
      </c>
      <c r="I234" s="165"/>
      <c r="J234" s="165">
        <f>J233</f>
        <v>5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2:32" x14ac:dyDescent="0.2">
      <c r="B235" s="20"/>
      <c r="C235" s="165"/>
      <c r="D235" s="166"/>
      <c r="E235" s="174" t="s">
        <v>385</v>
      </c>
      <c r="F235" s="22">
        <v>10</v>
      </c>
      <c r="G235" s="22">
        <v>2</v>
      </c>
      <c r="H235" s="165">
        <f>F235/G235</f>
        <v>5</v>
      </c>
      <c r="I235" s="165">
        <f>H235*J234</f>
        <v>25</v>
      </c>
      <c r="J235" s="165">
        <f>I235</f>
        <v>25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2:32" x14ac:dyDescent="0.2">
      <c r="B236" s="20"/>
      <c r="C236" s="167" t="s">
        <v>346</v>
      </c>
      <c r="D236" s="168">
        <f>D234/D226</f>
        <v>200</v>
      </c>
      <c r="E236" s="174"/>
      <c r="F236" s="165"/>
      <c r="G236" s="165"/>
      <c r="H236" s="167" t="s">
        <v>386</v>
      </c>
      <c r="I236" s="165"/>
      <c r="J236" s="165">
        <f>J235</f>
        <v>25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2:32" x14ac:dyDescent="0.2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2:32" x14ac:dyDescent="0.2">
      <c r="B238" s="20"/>
      <c r="C238" s="20"/>
      <c r="D238" s="136"/>
      <c r="E238" s="176"/>
      <c r="F238" s="176"/>
      <c r="G238" s="177"/>
      <c r="H238" s="20"/>
      <c r="I238" s="136"/>
      <c r="J238" s="176"/>
      <c r="K238" s="177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spans="2:32" ht="14.25" x14ac:dyDescent="0.2">
      <c r="B239" s="20"/>
      <c r="C239" s="20"/>
      <c r="D239" s="201" t="s">
        <v>27</v>
      </c>
      <c r="E239" s="202"/>
      <c r="F239" s="202"/>
      <c r="G239" s="203"/>
      <c r="H239" s="20"/>
      <c r="I239" s="201" t="s">
        <v>391</v>
      </c>
      <c r="J239" s="202"/>
      <c r="K239" s="203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spans="2:32" x14ac:dyDescent="0.2">
      <c r="B240" s="20"/>
      <c r="C240" s="20"/>
      <c r="D240" s="20" t="s">
        <v>28</v>
      </c>
      <c r="E240" s="127"/>
      <c r="F240" s="127"/>
      <c r="G240" s="21">
        <f>D226</f>
        <v>15</v>
      </c>
      <c r="H240" s="20"/>
      <c r="I240" s="20" t="s">
        <v>28</v>
      </c>
      <c r="J240" s="127"/>
      <c r="K240" s="21">
        <f>G240</f>
        <v>15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2:32" x14ac:dyDescent="0.2">
      <c r="B241" s="20"/>
      <c r="C241" s="20"/>
      <c r="D241" s="20" t="s">
        <v>29</v>
      </c>
      <c r="E241" s="127"/>
      <c r="F241" s="127"/>
      <c r="G241" s="21">
        <f>D234</f>
        <v>3000</v>
      </c>
      <c r="H241" s="20"/>
      <c r="I241" s="20" t="s">
        <v>29</v>
      </c>
      <c r="J241" s="20"/>
      <c r="K241" s="21">
        <f>G241</f>
        <v>3000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2:32" x14ac:dyDescent="0.2">
      <c r="B242" s="20"/>
      <c r="C242" s="20"/>
      <c r="D242" s="20" t="s">
        <v>30</v>
      </c>
      <c r="E242" s="20"/>
      <c r="F242" s="20"/>
      <c r="G242" s="22">
        <v>10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2:32" x14ac:dyDescent="0.2">
      <c r="B243" s="20"/>
      <c r="C243" s="20"/>
      <c r="D243" s="23" t="s">
        <v>31</v>
      </c>
      <c r="E243" s="3"/>
      <c r="F243" s="3"/>
      <c r="G243" s="3">
        <f>((G241/G240)^(1/G242))-1</f>
        <v>0.69864646463424718</v>
      </c>
      <c r="H243" s="20"/>
      <c r="I243" s="23" t="s">
        <v>392</v>
      </c>
      <c r="J243" s="23"/>
      <c r="K243" s="191">
        <f>(K241-K240)/K240</f>
        <v>199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2:32" x14ac:dyDescent="0.2">
      <c r="C244" s="20"/>
      <c r="D244" s="23" t="s">
        <v>32</v>
      </c>
      <c r="E244" s="163"/>
      <c r="F244" s="163"/>
      <c r="G244" s="24">
        <f>G242*12</f>
        <v>120</v>
      </c>
      <c r="H244" s="20"/>
      <c r="I244" s="23" t="s">
        <v>393</v>
      </c>
      <c r="J244" s="23"/>
      <c r="K244" s="23">
        <f>K241/K240</f>
        <v>200</v>
      </c>
    </row>
    <row r="245" spans="2:32" x14ac:dyDescent="0.2">
      <c r="C245" s="20"/>
      <c r="D245" s="20" t="s">
        <v>30</v>
      </c>
      <c r="E245" s="25"/>
      <c r="F245" s="25"/>
      <c r="G245" s="25">
        <f>G244/12</f>
        <v>10</v>
      </c>
      <c r="H245" s="20"/>
      <c r="I245" s="20"/>
      <c r="J245" s="20"/>
      <c r="K245" s="20"/>
    </row>
    <row r="246" spans="2:32" x14ac:dyDescent="0.2">
      <c r="C246" s="20"/>
      <c r="D246" s="23" t="s">
        <v>33</v>
      </c>
      <c r="E246" s="3"/>
      <c r="F246" s="3"/>
      <c r="G246" s="3">
        <f>((G241/G240)^(1/G245))-1</f>
        <v>0.69864646463424718</v>
      </c>
      <c r="H246" s="20"/>
      <c r="I246" s="20"/>
      <c r="J246" s="20"/>
      <c r="K246" s="20"/>
    </row>
    <row r="247" spans="2:32" x14ac:dyDescent="0.2">
      <c r="C247" s="20"/>
      <c r="D247" s="20"/>
      <c r="E247" s="20"/>
      <c r="F247" s="20"/>
      <c r="G247" s="20"/>
      <c r="H247" s="20"/>
      <c r="I247" s="20"/>
      <c r="J247" s="20"/>
      <c r="K247" s="20"/>
    </row>
    <row r="248" spans="2:32" x14ac:dyDescent="0.2">
      <c r="C248" s="20"/>
      <c r="D248" s="20"/>
      <c r="E248" s="20"/>
      <c r="F248" s="20"/>
      <c r="G248" s="20"/>
      <c r="H248" s="20"/>
      <c r="I248" s="20"/>
      <c r="J248" s="20"/>
      <c r="K248" s="20"/>
    </row>
  </sheetData>
  <mergeCells count="7">
    <mergeCell ref="D239:G239"/>
    <mergeCell ref="I239:K239"/>
    <mergeCell ref="AE2:AF2"/>
    <mergeCell ref="AE3:AF3"/>
    <mergeCell ref="L222:N222"/>
    <mergeCell ref="R222:T222"/>
    <mergeCell ref="K205:L20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3" t="s">
        <v>27</v>
      </c>
      <c r="K5" s="213"/>
      <c r="M5" s="213" t="s">
        <v>65</v>
      </c>
      <c r="N5" s="213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3" t="s">
        <v>36</v>
      </c>
      <c r="K14" s="213"/>
      <c r="L14" s="213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3" t="s">
        <v>27</v>
      </c>
      <c r="S5" s="213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3" t="s">
        <v>36</v>
      </c>
      <c r="S14" s="213"/>
      <c r="T14" s="213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3" t="s">
        <v>27</v>
      </c>
      <c r="C2" s="213"/>
      <c r="E2" s="213" t="s">
        <v>65</v>
      </c>
      <c r="F2" s="213"/>
      <c r="H2" s="217" t="s">
        <v>36</v>
      </c>
      <c r="I2" s="218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4" t="s">
        <v>68</v>
      </c>
      <c r="E10" s="215"/>
      <c r="F10" s="215"/>
      <c r="G10" s="215"/>
      <c r="H10" s="216"/>
      <c r="I10" s="214" t="s">
        <v>72</v>
      </c>
      <c r="J10" s="215"/>
      <c r="K10" s="215"/>
      <c r="L10" s="216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 x14ac:dyDescent="0.2">
      <c r="B3" s="219" t="s">
        <v>430</v>
      </c>
      <c r="C3" s="220"/>
      <c r="F3" s="219" t="s">
        <v>431</v>
      </c>
      <c r="G3" s="220"/>
    </row>
    <row r="4" spans="2:7" x14ac:dyDescent="0.2">
      <c r="B4" s="186" t="s">
        <v>432</v>
      </c>
      <c r="C4" s="186"/>
      <c r="F4" s="186" t="s">
        <v>433</v>
      </c>
      <c r="G4" s="186"/>
    </row>
    <row r="5" spans="2:7" x14ac:dyDescent="0.2">
      <c r="B5" s="186" t="s">
        <v>434</v>
      </c>
      <c r="C5" s="186"/>
      <c r="F5" s="186" t="s">
        <v>291</v>
      </c>
      <c r="G5" s="186"/>
    </row>
    <row r="6" spans="2:7" x14ac:dyDescent="0.2">
      <c r="B6" s="186" t="s">
        <v>435</v>
      </c>
      <c r="C6" s="186"/>
      <c r="F6" s="186" t="s">
        <v>436</v>
      </c>
      <c r="G6" s="186"/>
    </row>
    <row r="7" spans="2:7" x14ac:dyDescent="0.2">
      <c r="B7" s="186" t="s">
        <v>437</v>
      </c>
      <c r="C7" s="186"/>
      <c r="F7" s="186" t="s">
        <v>438</v>
      </c>
      <c r="G7" s="186"/>
    </row>
    <row r="8" spans="2:7" x14ac:dyDescent="0.2">
      <c r="B8" s="186" t="s">
        <v>439</v>
      </c>
      <c r="C8" s="186"/>
      <c r="F8" s="186" t="s">
        <v>440</v>
      </c>
      <c r="G8" s="186"/>
    </row>
    <row r="9" spans="2:7" x14ac:dyDescent="0.2">
      <c r="B9" s="186" t="s">
        <v>441</v>
      </c>
      <c r="C9" s="186"/>
      <c r="F9" s="186" t="s">
        <v>442</v>
      </c>
      <c r="G9" s="186"/>
    </row>
    <row r="10" spans="2:7" x14ac:dyDescent="0.2">
      <c r="B10" s="186" t="s">
        <v>440</v>
      </c>
      <c r="C10" s="186"/>
      <c r="F10" s="186"/>
      <c r="G10" s="186"/>
    </row>
    <row r="11" spans="2:7" x14ac:dyDescent="0.2">
      <c r="B11" s="186" t="s">
        <v>443</v>
      </c>
      <c r="C11" s="186"/>
      <c r="F11" s="186"/>
      <c r="G11" s="186"/>
    </row>
    <row r="12" spans="2:7" x14ac:dyDescent="0.2">
      <c r="B12" s="186" t="s">
        <v>444</v>
      </c>
      <c r="C12" s="186"/>
      <c r="F12" s="186"/>
      <c r="G12" s="186"/>
    </row>
    <row r="13" spans="2:7" x14ac:dyDescent="0.2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2014-12-30T09:53:42Z</dcterms:modified>
</cp:coreProperties>
</file>
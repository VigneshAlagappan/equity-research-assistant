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5621"/>
</workbook>
</file>

<file path=xl/calcChain.xml><?xml version="1.0" encoding="utf-8"?>
<calcChain xmlns="http://schemas.openxmlformats.org/spreadsheetml/2006/main">
  <c r="Q33" i="18" l="1"/>
  <c r="Q27" i="18" l="1"/>
  <c r="Q29" i="18"/>
  <c r="I60" i="18" l="1"/>
  <c r="J60" i="18"/>
  <c r="K60" i="18"/>
  <c r="L60" i="18"/>
  <c r="M60" i="18"/>
  <c r="N60" i="18"/>
  <c r="O60" i="18"/>
  <c r="I61" i="18"/>
  <c r="J61" i="18"/>
  <c r="K61" i="18"/>
  <c r="L61" i="18"/>
  <c r="M61" i="18"/>
  <c r="N61" i="18"/>
  <c r="O61" i="18"/>
  <c r="P61" i="18"/>
  <c r="I55" i="18"/>
  <c r="J55" i="18"/>
  <c r="K55" i="18"/>
  <c r="L55" i="18"/>
  <c r="L57" i="18" s="1"/>
  <c r="M55" i="18"/>
  <c r="M57" i="18" s="1"/>
  <c r="N55" i="18"/>
  <c r="O55" i="18"/>
  <c r="I57" i="18"/>
  <c r="J57" i="18"/>
  <c r="K57" i="18"/>
  <c r="N57" i="18"/>
  <c r="O57" i="18"/>
  <c r="I58" i="18"/>
  <c r="J58" i="18"/>
  <c r="K58" i="18"/>
  <c r="L58" i="18"/>
  <c r="M58" i="18"/>
  <c r="N58" i="18"/>
  <c r="O58" i="18"/>
  <c r="P58" i="18"/>
  <c r="I59" i="18"/>
  <c r="J59" i="18"/>
  <c r="K59" i="18"/>
  <c r="L59" i="18"/>
  <c r="M59" i="18"/>
  <c r="N59" i="18"/>
  <c r="O59" i="18"/>
  <c r="C58" i="18"/>
  <c r="D58" i="18"/>
  <c r="E58" i="18"/>
  <c r="F58" i="18"/>
  <c r="G58" i="18"/>
  <c r="C59" i="18"/>
  <c r="D59" i="18"/>
  <c r="E59" i="18"/>
  <c r="F59" i="18"/>
  <c r="G59" i="18"/>
  <c r="C60" i="18"/>
  <c r="D60" i="18"/>
  <c r="E60" i="18"/>
  <c r="F60" i="18"/>
  <c r="G60" i="18"/>
  <c r="C57" i="18"/>
  <c r="D57" i="18"/>
  <c r="E57" i="18"/>
  <c r="F57" i="18"/>
  <c r="G57" i="18"/>
  <c r="C61" i="18"/>
  <c r="D61" i="18"/>
  <c r="E61" i="18"/>
  <c r="F61" i="18"/>
  <c r="G61" i="18"/>
  <c r="Q61" i="18" s="1"/>
  <c r="H61" i="18"/>
  <c r="H60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P22" i="18"/>
  <c r="Q22" i="18" s="1"/>
  <c r="P21" i="18"/>
  <c r="S21" i="18" s="1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P20" i="18"/>
  <c r="S20" i="18" s="1"/>
  <c r="P19" i="18"/>
  <c r="Q19" i="18" s="1"/>
  <c r="C55" i="18"/>
  <c r="D55" i="18"/>
  <c r="E55" i="18"/>
  <c r="F55" i="18"/>
  <c r="G55" i="18"/>
  <c r="H55" i="18"/>
  <c r="H57" i="18" s="1"/>
  <c r="T84" i="18"/>
  <c r="H59" i="18"/>
  <c r="H58" i="18"/>
  <c r="Q58" i="18" l="1"/>
  <c r="P59" i="18"/>
  <c r="Q59" i="18" s="1"/>
  <c r="P55" i="18"/>
  <c r="P57" i="18" s="1"/>
  <c r="Q57" i="18" s="1"/>
  <c r="P60" i="18"/>
  <c r="Q60" i="18" s="1"/>
  <c r="AC22" i="18"/>
  <c r="AE22" i="18" s="1"/>
  <c r="Q21" i="18"/>
  <c r="Q20" i="18"/>
  <c r="Q55" i="18"/>
  <c r="S19" i="18"/>
  <c r="T19" i="18" s="1"/>
  <c r="T20" i="18"/>
  <c r="AE21" i="18"/>
  <c r="S53" i="18"/>
  <c r="T53" i="18" s="1"/>
  <c r="U53" i="18" s="1"/>
  <c r="V53" i="18" s="1"/>
  <c r="W53" i="18" s="1"/>
  <c r="X53" i="18" s="1"/>
  <c r="Y53" i="18" s="1"/>
  <c r="Z53" i="18" s="1"/>
  <c r="AA53" i="18" s="1"/>
  <c r="AB53" i="18" s="1"/>
  <c r="Q53" i="18"/>
  <c r="Q104" i="18"/>
  <c r="U19" i="18" l="1"/>
  <c r="V19" i="18" s="1"/>
  <c r="W19" i="18" s="1"/>
  <c r="X19" i="18" s="1"/>
  <c r="Y19" i="18" s="1"/>
  <c r="Z19" i="18" s="1"/>
  <c r="AA19" i="18" s="1"/>
  <c r="AB19" i="18" s="1"/>
  <c r="AC19" i="18" s="1"/>
  <c r="AE19" i="18" s="1"/>
  <c r="T55" i="18"/>
  <c r="S55" i="18"/>
  <c r="U20" i="18"/>
  <c r="AC53" i="18"/>
  <c r="AE53" i="18" s="1"/>
  <c r="C18" i="15"/>
  <c r="S10" i="18"/>
  <c r="T10" i="18" s="1"/>
  <c r="U10" i="18" s="1"/>
  <c r="V10" i="18" s="1"/>
  <c r="W10" i="18" s="1"/>
  <c r="X10" i="18" s="1"/>
  <c r="Y10" i="18" s="1"/>
  <c r="Z10" i="18" s="1"/>
  <c r="AA10" i="18" s="1"/>
  <c r="AB10" i="18" s="1"/>
  <c r="Q66" i="18"/>
  <c r="Q67" i="18"/>
  <c r="Q68" i="18"/>
  <c r="Q69" i="18"/>
  <c r="Q70" i="18"/>
  <c r="Q71" i="18"/>
  <c r="Q65" i="18"/>
  <c r="Q35" i="18"/>
  <c r="Q31" i="18"/>
  <c r="Q28" i="18"/>
  <c r="Q25" i="18"/>
  <c r="Q24" i="18"/>
  <c r="Q17" i="18"/>
  <c r="Q15" i="18"/>
  <c r="Q14" i="18"/>
  <c r="Q13" i="18"/>
  <c r="Q12" i="18"/>
  <c r="Q11" i="18"/>
  <c r="Q10" i="18"/>
  <c r="Q8" i="18"/>
  <c r="Q7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T24" i="18" s="1"/>
  <c r="U24" i="18" s="1"/>
  <c r="V24" i="18" s="1"/>
  <c r="W24" i="18" s="1"/>
  <c r="X24" i="18" s="1"/>
  <c r="Y24" i="18" s="1"/>
  <c r="Z24" i="18" s="1"/>
  <c r="AA24" i="18" s="1"/>
  <c r="AB24" i="18" s="1"/>
  <c r="S25" i="18"/>
  <c r="T25" i="18" s="1"/>
  <c r="U25" i="18" s="1"/>
  <c r="V25" i="18" s="1"/>
  <c r="W25" i="18" s="1"/>
  <c r="X25" i="18" s="1"/>
  <c r="Y25" i="18" s="1"/>
  <c r="Z25" i="18" s="1"/>
  <c r="AA25" i="18" s="1"/>
  <c r="AB25" i="18" s="1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S31" i="18"/>
  <c r="T31" i="18" s="1"/>
  <c r="U31" i="18" s="1"/>
  <c r="V31" i="18" s="1"/>
  <c r="W31" i="18" s="1"/>
  <c r="X31" i="18" s="1"/>
  <c r="Y31" i="18" s="1"/>
  <c r="Z31" i="18" s="1"/>
  <c r="AA31" i="18" s="1"/>
  <c r="AB31" i="18" s="1"/>
  <c r="O51" i="18"/>
  <c r="O108" i="18" s="1"/>
  <c r="O50" i="18"/>
  <c r="O48" i="18"/>
  <c r="O47" i="18"/>
  <c r="O45" i="18"/>
  <c r="O109" i="18" s="1"/>
  <c r="O44" i="18"/>
  <c r="O43" i="18"/>
  <c r="O41" i="18"/>
  <c r="O40" i="18"/>
  <c r="O106" i="18" s="1"/>
  <c r="O39" i="18"/>
  <c r="O38" i="18"/>
  <c r="O105" i="18" s="1"/>
  <c r="V20" i="18" l="1"/>
  <c r="U55" i="18"/>
  <c r="AC31" i="18"/>
  <c r="AE31" i="18"/>
  <c r="AC24" i="18"/>
  <c r="AE24" i="18" s="1"/>
  <c r="AC25" i="18"/>
  <c r="AE25" i="18" s="1"/>
  <c r="AC28" i="18"/>
  <c r="AE28" i="18" s="1"/>
  <c r="AC29" i="18"/>
  <c r="AE29" i="18" s="1"/>
  <c r="AC17" i="18"/>
  <c r="AE17" i="18" s="1"/>
  <c r="AC10" i="18"/>
  <c r="AE10" i="18" s="1"/>
  <c r="O49" i="18"/>
  <c r="O107" i="18" s="1"/>
  <c r="D45" i="18"/>
  <c r="E45" i="18"/>
  <c r="F45" i="18"/>
  <c r="G45" i="18"/>
  <c r="G109" i="18" s="1"/>
  <c r="H45" i="18"/>
  <c r="H109" i="18" s="1"/>
  <c r="I45" i="18"/>
  <c r="I109" i="18" s="1"/>
  <c r="J45" i="18"/>
  <c r="J109" i="18" s="1"/>
  <c r="K45" i="18"/>
  <c r="K109" i="18" s="1"/>
  <c r="L45" i="18"/>
  <c r="L109" i="18" s="1"/>
  <c r="M45" i="18"/>
  <c r="M109" i="18" s="1"/>
  <c r="N45" i="18"/>
  <c r="N109" i="18" s="1"/>
  <c r="P45" i="18"/>
  <c r="C45" i="18"/>
  <c r="C44" i="18"/>
  <c r="W20" i="18" l="1"/>
  <c r="V55" i="18"/>
  <c r="S45" i="18"/>
  <c r="T45" i="18" s="1"/>
  <c r="P109" i="18"/>
  <c r="Q109" i="18" s="1"/>
  <c r="Q45" i="18"/>
  <c r="D44" i="18"/>
  <c r="E44" i="18"/>
  <c r="F44" i="18"/>
  <c r="G44" i="18"/>
  <c r="H44" i="18"/>
  <c r="I44" i="18"/>
  <c r="J44" i="18"/>
  <c r="K44" i="18"/>
  <c r="L44" i="18"/>
  <c r="M44" i="18"/>
  <c r="N44" i="18"/>
  <c r="P44" i="18"/>
  <c r="S44" i="18" s="1"/>
  <c r="T44" i="18" s="1"/>
  <c r="U44" i="18" s="1"/>
  <c r="V44" i="18" s="1"/>
  <c r="W44" i="18" s="1"/>
  <c r="X44" i="18" s="1"/>
  <c r="Y44" i="18" s="1"/>
  <c r="Z44" i="18" s="1"/>
  <c r="AA44" i="18" s="1"/>
  <c r="AB44" i="18" s="1"/>
  <c r="D43" i="18"/>
  <c r="E43" i="18"/>
  <c r="F43" i="18"/>
  <c r="G43" i="18"/>
  <c r="H43" i="18"/>
  <c r="I43" i="18"/>
  <c r="J43" i="18"/>
  <c r="K43" i="18"/>
  <c r="L43" i="18"/>
  <c r="M43" i="18"/>
  <c r="N43" i="18"/>
  <c r="P43" i="18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C43" i="18"/>
  <c r="X20" i="18" l="1"/>
  <c r="W55" i="18"/>
  <c r="U45" i="18"/>
  <c r="AC43" i="18"/>
  <c r="AE43" i="18" s="1"/>
  <c r="Q43" i="18"/>
  <c r="AC44" i="18"/>
  <c r="AE44" i="18" s="1"/>
  <c r="T82" i="18" s="1"/>
  <c r="Q44" i="18"/>
  <c r="S83" i="18"/>
  <c r="S82" i="18"/>
  <c r="C45" i="15"/>
  <c r="Y20" i="18" l="1"/>
  <c r="X55" i="18"/>
  <c r="R82" i="18"/>
  <c r="V45" i="18"/>
  <c r="S69" i="18"/>
  <c r="T69" i="18" s="1"/>
  <c r="U69" i="18" s="1"/>
  <c r="V69" i="18" s="1"/>
  <c r="W69" i="18" s="1"/>
  <c r="X69" i="18" s="1"/>
  <c r="Y69" i="18" s="1"/>
  <c r="Z69" i="18" s="1"/>
  <c r="AA69" i="18" s="1"/>
  <c r="AB69" i="18" s="1"/>
  <c r="S104" i="18"/>
  <c r="C38" i="18"/>
  <c r="C105" i="18" s="1"/>
  <c r="C109" i="18" s="1"/>
  <c r="D38" i="18"/>
  <c r="D105" i="18" s="1"/>
  <c r="D109" i="18" s="1"/>
  <c r="E38" i="18"/>
  <c r="E105" i="18" s="1"/>
  <c r="E109" i="18" s="1"/>
  <c r="F38" i="18"/>
  <c r="F105" i="18" s="1"/>
  <c r="F109" i="18" s="1"/>
  <c r="G38" i="18"/>
  <c r="H38" i="18"/>
  <c r="H105" i="18" s="1"/>
  <c r="I38" i="18"/>
  <c r="I105" i="18" s="1"/>
  <c r="J38" i="18"/>
  <c r="J105" i="18" s="1"/>
  <c r="K38" i="18"/>
  <c r="K105" i="18" s="1"/>
  <c r="L38" i="18"/>
  <c r="M38" i="18"/>
  <c r="M105" i="18" s="1"/>
  <c r="N38" i="18"/>
  <c r="P38" i="18"/>
  <c r="D51" i="18"/>
  <c r="D108" i="18" s="1"/>
  <c r="E51" i="18"/>
  <c r="E108" i="18" s="1"/>
  <c r="F51" i="18"/>
  <c r="F108" i="18" s="1"/>
  <c r="G51" i="18"/>
  <c r="H51" i="18"/>
  <c r="H108" i="18" s="1"/>
  <c r="I51" i="18"/>
  <c r="I108" i="18" s="1"/>
  <c r="J51" i="18"/>
  <c r="J108" i="18" s="1"/>
  <c r="K51" i="18"/>
  <c r="K108" i="18" s="1"/>
  <c r="L51" i="18"/>
  <c r="L108" i="18" s="1"/>
  <c r="M51" i="18"/>
  <c r="M108" i="18" s="1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49" i="18" s="1"/>
  <c r="D107" i="18" s="1"/>
  <c r="E47" i="18"/>
  <c r="E49" i="18" s="1"/>
  <c r="E107" i="18" s="1"/>
  <c r="F47" i="18"/>
  <c r="F49" i="18" s="1"/>
  <c r="F107" i="18" s="1"/>
  <c r="G47" i="18"/>
  <c r="H47" i="18"/>
  <c r="H49" i="18" s="1"/>
  <c r="H107" i="18" s="1"/>
  <c r="I47" i="18"/>
  <c r="J47" i="18"/>
  <c r="J49" i="18" s="1"/>
  <c r="J107" i="18" s="1"/>
  <c r="K47" i="18"/>
  <c r="K49" i="18" s="1"/>
  <c r="K107" i="18" s="1"/>
  <c r="L47" i="18"/>
  <c r="L49" i="18" s="1"/>
  <c r="L107" i="18" s="1"/>
  <c r="M47" i="18"/>
  <c r="N47" i="18"/>
  <c r="P47" i="18"/>
  <c r="D41" i="18"/>
  <c r="E41" i="18"/>
  <c r="F41" i="18"/>
  <c r="G41" i="18"/>
  <c r="H41" i="18"/>
  <c r="I41" i="18"/>
  <c r="J41" i="18"/>
  <c r="K41" i="18"/>
  <c r="L41" i="18"/>
  <c r="M41" i="18"/>
  <c r="N41" i="18"/>
  <c r="P41" i="18"/>
  <c r="D40" i="18"/>
  <c r="D106" i="18" s="1"/>
  <c r="E40" i="18"/>
  <c r="E106" i="18" s="1"/>
  <c r="F40" i="18"/>
  <c r="F106" i="18" s="1"/>
  <c r="G40" i="18"/>
  <c r="H40" i="18"/>
  <c r="H106" i="18" s="1"/>
  <c r="I40" i="18"/>
  <c r="I106" i="18" s="1"/>
  <c r="J40" i="18"/>
  <c r="J106" i="18" s="1"/>
  <c r="K40" i="18"/>
  <c r="K106" i="18" s="1"/>
  <c r="L40" i="18"/>
  <c r="L106" i="18" s="1"/>
  <c r="M40" i="18"/>
  <c r="M106" i="18" s="1"/>
  <c r="N40" i="18"/>
  <c r="P40" i="18"/>
  <c r="C51" i="18"/>
  <c r="C108" i="18" s="1"/>
  <c r="C50" i="18"/>
  <c r="C48" i="18"/>
  <c r="C47" i="18"/>
  <c r="C41" i="18"/>
  <c r="C40" i="18"/>
  <c r="C106" i="18" s="1"/>
  <c r="D39" i="18"/>
  <c r="E39" i="18"/>
  <c r="F39" i="18"/>
  <c r="G39" i="18"/>
  <c r="H39" i="18"/>
  <c r="I39" i="18"/>
  <c r="J39" i="18"/>
  <c r="K39" i="18"/>
  <c r="L39" i="18"/>
  <c r="M39" i="18"/>
  <c r="N39" i="18"/>
  <c r="P39" i="18"/>
  <c r="C39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S11" i="18"/>
  <c r="T11" i="18" s="1"/>
  <c r="U11" i="18" s="1"/>
  <c r="V11" i="18" s="1"/>
  <c r="W11" i="18" s="1"/>
  <c r="X11" i="18" s="1"/>
  <c r="Y11" i="18" s="1"/>
  <c r="Z11" i="18" s="1"/>
  <c r="AA11" i="18" s="1"/>
  <c r="AB11" i="18" s="1"/>
  <c r="S12" i="18"/>
  <c r="T12" i="18" s="1"/>
  <c r="U12" i="18" s="1"/>
  <c r="V12" i="18" s="1"/>
  <c r="W12" i="18" s="1"/>
  <c r="X12" i="18" s="1"/>
  <c r="Y12" i="18" s="1"/>
  <c r="Z12" i="18" s="1"/>
  <c r="AA12" i="18" s="1"/>
  <c r="AB12" i="18" s="1"/>
  <c r="S89" i="18" s="1"/>
  <c r="S90" i="18" s="1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S8" i="18"/>
  <c r="T8" i="18" s="1"/>
  <c r="U8" i="18" s="1"/>
  <c r="V8" i="18" s="1"/>
  <c r="W8" i="18" s="1"/>
  <c r="X8" i="18" s="1"/>
  <c r="Y8" i="18" s="1"/>
  <c r="Z8" i="18" s="1"/>
  <c r="AA8" i="18" s="1"/>
  <c r="AB8" i="18" s="1"/>
  <c r="S7" i="18"/>
  <c r="T7" i="18" s="1"/>
  <c r="U7" i="18" s="1"/>
  <c r="V7" i="18" s="1"/>
  <c r="W7" i="18" s="1"/>
  <c r="X7" i="18" s="1"/>
  <c r="Y7" i="18" s="1"/>
  <c r="Z7" i="18" s="1"/>
  <c r="AA7" i="18" s="1"/>
  <c r="AB7" i="18" s="1"/>
  <c r="Z20" i="18" l="1"/>
  <c r="Y55" i="18"/>
  <c r="AC7" i="18"/>
  <c r="AE7" i="18" s="1"/>
  <c r="AC12" i="18"/>
  <c r="AE12" i="18" s="1"/>
  <c r="T89" i="18" s="1"/>
  <c r="AC14" i="18"/>
  <c r="AE14" i="18" s="1"/>
  <c r="AC11" i="18"/>
  <c r="AE11" i="18" s="1"/>
  <c r="AC13" i="18"/>
  <c r="AE13" i="18" s="1"/>
  <c r="AC15" i="18"/>
  <c r="AE15" i="18" s="1"/>
  <c r="AC8" i="18"/>
  <c r="AE8" i="18" s="1"/>
  <c r="AC33" i="18"/>
  <c r="AE33" i="18" s="1"/>
  <c r="AC69" i="18"/>
  <c r="AE69" i="18" s="1"/>
  <c r="C49" i="18"/>
  <c r="C107" i="18" s="1"/>
  <c r="P75" i="18"/>
  <c r="T104" i="18"/>
  <c r="S109" i="18"/>
  <c r="W45" i="18"/>
  <c r="P105" i="18"/>
  <c r="I49" i="18"/>
  <c r="I107" i="18" s="1"/>
  <c r="Q39" i="18"/>
  <c r="G106" i="18"/>
  <c r="Q40" i="18"/>
  <c r="Q41" i="18"/>
  <c r="Q48" i="18"/>
  <c r="Q50" i="18"/>
  <c r="G105" i="18"/>
  <c r="Q38" i="18"/>
  <c r="G108" i="18"/>
  <c r="Q51" i="18"/>
  <c r="G49" i="18"/>
  <c r="Q47" i="18"/>
  <c r="N106" i="18"/>
  <c r="N105" i="18"/>
  <c r="N108" i="18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S51" i="18"/>
  <c r="T51" i="18" s="1"/>
  <c r="U51" i="18" s="1"/>
  <c r="V51" i="18" s="1"/>
  <c r="W51" i="18" s="1"/>
  <c r="X51" i="18" s="1"/>
  <c r="Y51" i="18" s="1"/>
  <c r="Z51" i="18" s="1"/>
  <c r="AA51" i="18" s="1"/>
  <c r="AB51" i="18" s="1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P106" i="18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L105" i="18"/>
  <c r="N49" i="18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M49" i="18"/>
  <c r="M107" i="18" s="1"/>
  <c r="P108" i="18"/>
  <c r="P49" i="18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S71" i="18"/>
  <c r="T71" i="18" s="1"/>
  <c r="U71" i="18" s="1"/>
  <c r="V71" i="18" s="1"/>
  <c r="W71" i="18" s="1"/>
  <c r="X71" i="18" s="1"/>
  <c r="Y71" i="18" s="1"/>
  <c r="Z71" i="18" s="1"/>
  <c r="AA71" i="18" s="1"/>
  <c r="AB71" i="18" s="1"/>
  <c r="S35" i="18"/>
  <c r="S61" i="18" s="1"/>
  <c r="C6" i="12"/>
  <c r="C25" i="15"/>
  <c r="C57" i="15"/>
  <c r="C56" i="15"/>
  <c r="C53" i="15"/>
  <c r="C52" i="15"/>
  <c r="C49" i="15"/>
  <c r="C48" i="15"/>
  <c r="C44" i="15"/>
  <c r="R89" i="18" l="1"/>
  <c r="T90" i="18"/>
  <c r="R90" i="18" s="1"/>
  <c r="T35" i="18"/>
  <c r="T61" i="18" s="1"/>
  <c r="S58" i="18"/>
  <c r="S59" i="18"/>
  <c r="S60" i="18"/>
  <c r="S57" i="18"/>
  <c r="AA20" i="18"/>
  <c r="Z55" i="18"/>
  <c r="AC70" i="18"/>
  <c r="AE70" i="18" s="1"/>
  <c r="AC71" i="18"/>
  <c r="AE71" i="18" s="1"/>
  <c r="AC47" i="18"/>
  <c r="AE47" i="18" s="1"/>
  <c r="T80" i="18" s="1"/>
  <c r="AC50" i="18"/>
  <c r="AE50" i="18" s="1"/>
  <c r="T87" i="18" s="1"/>
  <c r="AC51" i="18"/>
  <c r="AE51" i="18" s="1"/>
  <c r="AC41" i="18"/>
  <c r="AE41" i="18" s="1"/>
  <c r="T79" i="18" s="1"/>
  <c r="AC48" i="18"/>
  <c r="AE48" i="18" s="1"/>
  <c r="T86" i="18" s="1"/>
  <c r="S108" i="18"/>
  <c r="U104" i="18"/>
  <c r="T108" i="18"/>
  <c r="T109" i="18"/>
  <c r="X45" i="18"/>
  <c r="Q106" i="18"/>
  <c r="Q105" i="18"/>
  <c r="Q108" i="18"/>
  <c r="G107" i="18"/>
  <c r="Q49" i="18"/>
  <c r="N107" i="18"/>
  <c r="P107" i="18"/>
  <c r="S49" i="18"/>
  <c r="S68" i="18"/>
  <c r="T68" i="18" s="1"/>
  <c r="U68" i="18" s="1"/>
  <c r="V68" i="18" s="1"/>
  <c r="W68" i="18" s="1"/>
  <c r="X68" i="18" s="1"/>
  <c r="Y68" i="18" s="1"/>
  <c r="Z68" i="18" s="1"/>
  <c r="AA68" i="18" s="1"/>
  <c r="AB68" i="18" s="1"/>
  <c r="S40" i="18"/>
  <c r="S65" i="18"/>
  <c r="T65" i="18" s="1"/>
  <c r="U65" i="18" s="1"/>
  <c r="V65" i="18" s="1"/>
  <c r="W65" i="18" s="1"/>
  <c r="X65" i="18" s="1"/>
  <c r="Y65" i="18" s="1"/>
  <c r="Z65" i="18" s="1"/>
  <c r="AA65" i="18" s="1"/>
  <c r="AB65" i="18" s="1"/>
  <c r="S38" i="18"/>
  <c r="S67" i="18"/>
  <c r="T67" i="18" s="1"/>
  <c r="U67" i="18" s="1"/>
  <c r="V67" i="18" s="1"/>
  <c r="W67" i="18" s="1"/>
  <c r="X67" i="18" s="1"/>
  <c r="Y67" i="18" s="1"/>
  <c r="Z67" i="18" s="1"/>
  <c r="AA67" i="18" s="1"/>
  <c r="AB67" i="18" s="1"/>
  <c r="S66" i="18"/>
  <c r="T66" i="18" s="1"/>
  <c r="U66" i="18" s="1"/>
  <c r="V66" i="18" s="1"/>
  <c r="W66" i="18" s="1"/>
  <c r="X66" i="18" s="1"/>
  <c r="Y66" i="18" s="1"/>
  <c r="Z66" i="18" s="1"/>
  <c r="AA66" i="18" s="1"/>
  <c r="AB66" i="18" s="1"/>
  <c r="S86" i="18"/>
  <c r="S39" i="18"/>
  <c r="T39" i="18" s="1"/>
  <c r="U39" i="18" s="1"/>
  <c r="V39" i="18" s="1"/>
  <c r="W39" i="18" s="1"/>
  <c r="X39" i="18" s="1"/>
  <c r="Y39" i="18" s="1"/>
  <c r="Z39" i="18" s="1"/>
  <c r="AA39" i="18" s="1"/>
  <c r="AB39" i="18" s="1"/>
  <c r="C15" i="15"/>
  <c r="C20" i="15"/>
  <c r="C9" i="15"/>
  <c r="U35" i="18" l="1"/>
  <c r="U61" i="18" s="1"/>
  <c r="T60" i="18"/>
  <c r="T59" i="18"/>
  <c r="T58" i="18"/>
  <c r="T57" i="18"/>
  <c r="AB20" i="18"/>
  <c r="AA55" i="18"/>
  <c r="AC67" i="18"/>
  <c r="AE67" i="18" s="1"/>
  <c r="AC68" i="18"/>
  <c r="AE68" i="18" s="1"/>
  <c r="AC39" i="18"/>
  <c r="AE39" i="18" s="1"/>
  <c r="T77" i="18" s="1"/>
  <c r="AC66" i="18"/>
  <c r="AE66" i="18" s="1"/>
  <c r="AC65" i="18"/>
  <c r="AE65" i="18" s="1"/>
  <c r="R86" i="18"/>
  <c r="T49" i="18"/>
  <c r="S107" i="18"/>
  <c r="V104" i="18"/>
  <c r="U108" i="18"/>
  <c r="U109" i="18"/>
  <c r="T38" i="18"/>
  <c r="S105" i="18"/>
  <c r="T40" i="18"/>
  <c r="S106" i="18"/>
  <c r="Y45" i="18"/>
  <c r="Q107" i="18"/>
  <c r="S77" i="18"/>
  <c r="S87" i="18"/>
  <c r="R87" i="18" s="1"/>
  <c r="S80" i="18"/>
  <c r="R80" i="18" s="1"/>
  <c r="S79" i="18"/>
  <c r="R79" i="18" s="1"/>
  <c r="D31" i="8"/>
  <c r="D29" i="8"/>
  <c r="D28" i="8"/>
  <c r="D13" i="8"/>
  <c r="D30" i="8" s="1"/>
  <c r="E14" i="8"/>
  <c r="F14" i="8" s="1"/>
  <c r="G14" i="8" s="1"/>
  <c r="H14" i="8" s="1"/>
  <c r="I14" i="8" s="1"/>
  <c r="V35" i="18" l="1"/>
  <c r="V61" i="18" s="1"/>
  <c r="U60" i="18"/>
  <c r="U58" i="18"/>
  <c r="U59" i="18"/>
  <c r="U57" i="18"/>
  <c r="AC20" i="18"/>
  <c r="AE20" i="18" s="1"/>
  <c r="AB55" i="18"/>
  <c r="R77" i="18"/>
  <c r="U49" i="18"/>
  <c r="T107" i="18"/>
  <c r="W104" i="18"/>
  <c r="V108" i="18"/>
  <c r="V109" i="18"/>
  <c r="U38" i="18"/>
  <c r="T105" i="18"/>
  <c r="U40" i="18"/>
  <c r="T106" i="18"/>
  <c r="Z4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35" i="18" l="1"/>
  <c r="W61" i="18" s="1"/>
  <c r="V60" i="18"/>
  <c r="V58" i="18"/>
  <c r="V59" i="18"/>
  <c r="V57" i="18"/>
  <c r="S93" i="18"/>
  <c r="AC55" i="18"/>
  <c r="AE55" i="18" s="1"/>
  <c r="T93" i="18" s="1"/>
  <c r="V49" i="18"/>
  <c r="U107" i="18"/>
  <c r="X104" i="18"/>
  <c r="W108" i="18"/>
  <c r="W109" i="18"/>
  <c r="V38" i="18"/>
  <c r="U105" i="18"/>
  <c r="V40" i="18"/>
  <c r="U106" i="18"/>
  <c r="AA4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P32" i="9" s="1"/>
  <c r="M45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R93" i="18" l="1"/>
  <c r="O31" i="9"/>
  <c r="O32" i="9" s="1"/>
  <c r="X35" i="18"/>
  <c r="X61" i="18" s="1"/>
  <c r="W60" i="18"/>
  <c r="W58" i="18"/>
  <c r="W59" i="18"/>
  <c r="W57" i="18"/>
  <c r="W49" i="18"/>
  <c r="V107" i="18"/>
  <c r="Y104" i="18"/>
  <c r="X108" i="18"/>
  <c r="X109" i="18"/>
  <c r="W38" i="18"/>
  <c r="V105" i="18"/>
  <c r="W40" i="18"/>
  <c r="V106" i="18"/>
  <c r="AB45" i="18"/>
  <c r="P31" i="11"/>
  <c r="N32" i="11"/>
  <c r="T19" i="9"/>
  <c r="D22" i="9"/>
  <c r="Y35" i="18" l="1"/>
  <c r="Y61" i="18" s="1"/>
  <c r="X60" i="18"/>
  <c r="X58" i="18"/>
  <c r="X59" i="18"/>
  <c r="X57" i="18"/>
  <c r="X49" i="18"/>
  <c r="W107" i="18"/>
  <c r="Z104" i="18"/>
  <c r="Y108" i="18"/>
  <c r="Y109" i="18"/>
  <c r="X38" i="18"/>
  <c r="W105" i="18"/>
  <c r="X40" i="18"/>
  <c r="W106" i="18"/>
  <c r="S84" i="18"/>
  <c r="R84" i="18" s="1"/>
  <c r="AC45" i="18"/>
  <c r="AE45" i="18" s="1"/>
  <c r="T83" i="18" s="1"/>
  <c r="R83" i="18" s="1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35" i="18" l="1"/>
  <c r="Z61" i="18" s="1"/>
  <c r="Y60" i="18"/>
  <c r="Y58" i="18"/>
  <c r="Y59" i="18"/>
  <c r="Y57" i="18"/>
  <c r="Y49" i="18"/>
  <c r="X107" i="18"/>
  <c r="AA104" i="18"/>
  <c r="Z108" i="18"/>
  <c r="Z109" i="18"/>
  <c r="Y38" i="18"/>
  <c r="X105" i="18"/>
  <c r="Y40" i="18"/>
  <c r="X106" i="18"/>
  <c r="N34" i="11"/>
  <c r="O33" i="11"/>
  <c r="D25" i="8"/>
  <c r="D23" i="8"/>
  <c r="AA35" i="18" l="1"/>
  <c r="AA61" i="18" s="1"/>
  <c r="Z60" i="18"/>
  <c r="Z58" i="18"/>
  <c r="Z59" i="18"/>
  <c r="Z57" i="18"/>
  <c r="Z49" i="18"/>
  <c r="Y107" i="18"/>
  <c r="AB104" i="18"/>
  <c r="AA108" i="18"/>
  <c r="AA109" i="18"/>
  <c r="Z38" i="18"/>
  <c r="Y105" i="18"/>
  <c r="Z40" i="18"/>
  <c r="Y106" i="18"/>
  <c r="N35" i="11"/>
  <c r="O34" i="11"/>
  <c r="D35" i="8"/>
  <c r="E5" i="8"/>
  <c r="E18" i="8" s="1"/>
  <c r="D18" i="8"/>
  <c r="D19" i="8"/>
  <c r="D21" i="8"/>
  <c r="D20" i="8"/>
  <c r="AB35" i="18" l="1"/>
  <c r="AB61" i="18" s="1"/>
  <c r="AA60" i="18"/>
  <c r="AA58" i="18"/>
  <c r="AA59" i="18"/>
  <c r="AA57" i="18"/>
  <c r="AA49" i="18"/>
  <c r="Z107" i="18"/>
  <c r="AC104" i="18"/>
  <c r="AE104" i="18" s="1"/>
  <c r="AB108" i="18"/>
  <c r="AB109" i="18"/>
  <c r="AA38" i="18"/>
  <c r="Z105" i="18"/>
  <c r="AA40" i="18"/>
  <c r="Z106" i="18"/>
  <c r="N36" i="11"/>
  <c r="O35" i="11"/>
  <c r="F5" i="8"/>
  <c r="G5" i="8" s="1"/>
  <c r="H5" i="8" s="1"/>
  <c r="I5" i="8" s="1"/>
  <c r="AC61" i="18" l="1"/>
  <c r="AE61" i="18" s="1"/>
  <c r="T100" i="18" s="1"/>
  <c r="S100" i="18"/>
  <c r="AB60" i="18"/>
  <c r="S98" i="18" s="1"/>
  <c r="AB58" i="18"/>
  <c r="S96" i="18" s="1"/>
  <c r="AC35" i="18"/>
  <c r="AE35" i="18" s="1"/>
  <c r="AB59" i="18"/>
  <c r="S97" i="18" s="1"/>
  <c r="AB57" i="18"/>
  <c r="S95" i="18" s="1"/>
  <c r="AC109" i="18"/>
  <c r="AE109" i="18" s="1"/>
  <c r="AC108" i="18"/>
  <c r="AE108" i="18" s="1"/>
  <c r="AB49" i="18"/>
  <c r="AA107" i="18"/>
  <c r="AB38" i="18"/>
  <c r="AA105" i="18"/>
  <c r="AB40" i="18"/>
  <c r="AA106" i="18"/>
  <c r="N37" i="11"/>
  <c r="O36" i="11"/>
  <c r="F18" i="8"/>
  <c r="G18" i="8"/>
  <c r="R100" i="18" l="1"/>
  <c r="AC59" i="18"/>
  <c r="AE59" i="18" s="1"/>
  <c r="T97" i="18" s="1"/>
  <c r="AC58" i="18"/>
  <c r="AE58" i="18" s="1"/>
  <c r="AC57" i="18"/>
  <c r="AE57" i="18" s="1"/>
  <c r="T95" i="18" s="1"/>
  <c r="AC60" i="18"/>
  <c r="AE60" i="18" s="1"/>
  <c r="S76" i="18"/>
  <c r="AC49" i="18"/>
  <c r="AE49" i="18" s="1"/>
  <c r="AB107" i="18"/>
  <c r="AC38" i="18"/>
  <c r="AE38" i="18" s="1"/>
  <c r="T76" i="18" s="1"/>
  <c r="AB105" i="18"/>
  <c r="AC40" i="18"/>
  <c r="AE40" i="18" s="1"/>
  <c r="T78" i="18" s="1"/>
  <c r="AB106" i="18"/>
  <c r="S78" i="18"/>
  <c r="N38" i="11"/>
  <c r="O37" i="11"/>
  <c r="H18" i="8"/>
  <c r="T98" i="18" l="1"/>
  <c r="R98" i="18" s="1"/>
  <c r="T96" i="18"/>
  <c r="R96" i="18" s="1"/>
  <c r="R97" i="18"/>
  <c r="R95" i="18"/>
  <c r="R76" i="18"/>
  <c r="AC106" i="18"/>
  <c r="AE106" i="18" s="1"/>
  <c r="AC107" i="18"/>
  <c r="AE107" i="18" s="1"/>
  <c r="AC105" i="18"/>
  <c r="AE105" i="18" s="1"/>
  <c r="R78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<sst xmlns="http://schemas.openxmlformats.org/spreadsheetml/2006/main" count="451" uniqueCount="303">
  <si>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</si>
  <si>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</si>
  <si>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</si>
  <si>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</si>
  <si>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</si>
  <si>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</si>
  <si>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</si>
  <si>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</si>
  <si>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</si>
  <si>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</si>
  <si>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</si>
  <si>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</si>
  <si>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</si>
  <si>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</si>
  <si>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</si>
  <si>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</si>
  <si>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</si>
  <si>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</si>
  <si>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</si>
  <si>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</si>
  <si>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</si>
  <si>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</si>
  <si>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</si>
  <si>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</si>
  <si>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</si>
  <si>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</si>
  <si>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</si>
  <si>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</si>
  <si>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</si>
  <si>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</si>
  <si>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</si>
  <si>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</si>
  <si>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</si>
  <si>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</si>
  <si>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</si>
  <si>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</si>
  <si>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</si>
  <si>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</si>
  <si>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</si>
  <si>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</si>
  <si>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</si>
  <si>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</si>
  <si>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</si>
  <si>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</si>
  <si>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</si>
  <si>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</si>
  <si>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</si>
  <si>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</si>
  <si>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</si>
  <si>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</si>
  <si>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</si>
  <si>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</si>
  <si>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</si>
  <si>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</si>
  <si>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</si>
  <si>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</si>
  <si>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</si>
  <si>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</si>
  <si>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</si>
  <si>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</si>
  <si>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</si>
  <si>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</si>
  <si>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</si>
  <si>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</si>
  <si>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</si>
  <si>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</si>
  <si>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</si>
  <si>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</si>
  <si>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</si>
  <si>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</si>
  <si>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</si>
  <si>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</si>
  <si>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</si>
  <si>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</si>
  <si>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</si>
  <si>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</si>
  <si>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</si>
  <si>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</si>
  <si>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</si>
  <si>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</si>
  <si>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</si>
  <si>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</si>
  <si>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</si>
  <si>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</si>
  <si>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</si>
  <si>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</si>
  <si>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</si>
  <si>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</si>
  <si>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</si>
  <si>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</si>
  <si>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</si>
  <si>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</si>
  <si>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</si>
  <si>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</si>
  <si>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</si>
  <si>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</si>
  <si>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</si>
  <si>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</si>
  <si>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</si>
  <si>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</si>
  <si>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</si>
  <si>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</si>
  <si>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</si>
  <si>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</si>
  <si>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</si>
  <si>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</si>
  <si>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</si>
  <si>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</si>
  <si>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</si>
  <si>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</si>
  <si>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</si>
  <si>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</si>
  <si>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</si>
  <si>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</si>
  <si>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</si>
  <si>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</si>
  <si>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</si>
  <si>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</si>
  <si>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</si>
  <si>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</si>
  <si>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</si>
  <si>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</si>
  <si>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</si>
  <si>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</si>
  <si>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</si>
  <si>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</si>
  <si>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</si>
  <si>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</si>
  <si>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</si>
  <si>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</si>
  <si>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</si>
  <si>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</si>
  <si>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</si>
  <si>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</si>
  <si>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</si>
  <si>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</si>
  <si>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</si>
  <si>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</si>
  <si>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</si>
  <si>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</si>
  <si>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</si>
  <si>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</si>
  <si>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</si>
  <si>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</si>
  <si>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</si>
  <si>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</si>
  <si>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</si>
  <si>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</si>
  <si>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</si>
  <si>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</si>
  <si>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</si>
  <si>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</si>
  <si>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</si>
  <si>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</si>
  <si>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</si>
  <si>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</si>
  <si>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</si>
  <si>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</si>
  <si>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</si>
  <si>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</si>
  <si>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</si>
  <si>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</si>
  <si>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</si>
  <si>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</si>
  <si>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</si>
  <si>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</si>
  <si>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</si>
  <si>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</si>
  <si>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</si>
  <si>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</si>
  <si>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</si>
  <si>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</si>
  <si>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</si>
  <si>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</si>
  <si>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</si>
  <si>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</si>
  <si>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</si>
  <si>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</si>
  <si>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</si>
  <si>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</si>
  <si>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</si>
  <si>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</si>
  <si>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</si>
  <si>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</si>
  <si>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</si>
  <si>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</si>
  <si>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</si>
  <si>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</si>
  <si>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</si>
  <si>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</si>
  <si>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</si>
  <si>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</si>
  <si>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</si>
  <si>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</si>
  <si>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</si>
  <si>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</si>
  <si>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</si>
  <si>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</si>
  <si>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</si>
  <si>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</si>
  <si>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</si>
  <si>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</si>
  <si>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</si>
  <si>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</si>
  <si>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</si>
  <si>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</si>
  <si>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</si>
  <si>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</si>
  <si>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</si>
  <si>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</si>
  <si>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</si>
  <si>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</si>
  <si>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</si>
  <si>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</si>
  <si>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</si>
  <si>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</si>
  <si>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</si>
  <si>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</si>
  <si>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</si>
  <si>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</si>
  <si>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</si>
  <si>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</si>
  <si>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</si>
  <si>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</si>
  <si>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</si>
  <si>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</si>
  <si>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</si>
  <si>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</si>
  <si>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</si>
  <si>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</si>
  <si>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</si>
  <si>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</si>
  <si>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</si>
  <si>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</si>
  <si>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</si>
  <si>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</si>
  <si>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</si>
  <si>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</si>
  <si>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</si>
  <si>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</si>
  <si>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</si>
  <si>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</si>
  <si>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</si>
  <si>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</si>
  <si>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</si>
  <si>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</si>
  <si>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</si>
  <si>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</si>
  <si>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</si>
  <si>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</si>
  <si>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</si>
  <si>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</si>
  <si>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</si>
  <si>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</si>
  <si>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</si>
  <si>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</si>
  <si>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</si>
  <si>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</si>
  <si>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</si>
  <si>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</si>
  <si>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</si>
  <si>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</si>
  <si>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</si>
  <si>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</si>
  <si>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</si>
  <si>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</si>
  <si>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</si>
  <si>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</si>
  <si>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</si>
  <si>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</si>
  <si>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</si>
  <si>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</si>
  <si>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</si>
  <si>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</si>
  <si>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</si>
  <si>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</si>
  <si>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</si>
  <si>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</si>
  <si>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</si>
  <si>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</si>
  <si>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</si>
  <si>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</si>
  <si>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</si>
  <si>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</si>
  <si>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</si>
  <si>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</si>
  <si>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</si>
  <si>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</si>
  <si>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</si>
  <si>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</si>
  <si>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</si>
  <si>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</si>
  <si>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</si>
  <si>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</si>
  <si>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</si>
  <si>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</si>
  <si>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</si>
  <si>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</si>
  <si>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</si>
  <si>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</si>
  <si>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India Cements</t>
  </si>
  <si>
    <t>Top Expenses ( SG&amp;A )</t>
  </si>
  <si>
    <t>2nd highest Expenses Comp. ( Power  Materials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</si>
</sst>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8" formatCode="#,##0.0_);[Red]\(#,##0.0\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4" fontId="8" fillId="5" borderId="1" xfId="0" applyNumberFormat="1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2" fontId="8" fillId="5" borderId="1" xfId="2" applyNumberFormat="1" applyFont="1" applyFill="1" applyBorder="1"/>
    <xf numFmtId="2" fontId="8" fillId="5" borderId="1" xfId="0" applyNumberFormat="1" applyFont="1" applyFill="1" applyBorder="1"/>
    <xf numFmtId="172" fontId="8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8" fontId="4" fillId="5" borderId="1" xfId="0" applyNumberFormat="1" applyFont="1" applyFill="1" applyBorder="1"/>
    <xf numFmtId="178" fontId="4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8784"/>
        <c:axId val="80440320"/>
      </c:lineChart>
      <c:catAx>
        <c:axId val="8043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80440320"/>
        <c:crosses val="autoZero"/>
        <c:auto val="1"/>
        <c:lblAlgn val="ctr"/>
        <c:lblOffset val="100"/>
        <c:noMultiLvlLbl val="0"/>
      </c:catAx>
      <c:valAx>
        <c:axId val="8044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04387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zoomScale="80" zoomScaleNormal="80" workbookViewId="0">
      <selection activeCell="B3" sqref="B3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300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268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13"/>
  <sheetViews>
    <sheetView tabSelected="1" zoomScale="80" zoomScaleNormal="80" workbookViewId="0">
      <pane xSplit="2" ySplit="4" topLeftCell="C32" activePane="bottomRight" state="frozen"/>
      <selection pane="topRight" activeCell="C1" sqref="C1"/>
      <selection pane="bottomLeft" activeCell="A5" sqref="A5"/>
      <selection pane="bottomRight" activeCell="M49" sqref="M49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4" width="8.140625" style="104" bestFit="1" customWidth="1"/>
    <col min="5" max="8" width="8.7109375" style="104" bestFit="1" customWidth="1"/>
    <col min="9" max="9" width="9.85546875" style="104" bestFit="1" customWidth="1"/>
    <col min="10" max="14" width="8.7109375" style="104" bestFit="1" customWidth="1"/>
    <col min="15" max="15" width="9.42578125" style="104" bestFit="1" customWidth="1"/>
    <col min="16" max="16" width="10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 x14ac:dyDescent="0.2">
      <c r="B2" s="123" t="s">
        <v>241</v>
      </c>
      <c r="C2" s="124">
        <v>0.22</v>
      </c>
      <c r="F2" s="104" t="s">
        <v>252</v>
      </c>
      <c r="H2" s="126">
        <v>2004</v>
      </c>
    </row>
    <row r="3" spans="2:31" x14ac:dyDescent="0.2">
      <c r="C3" s="120"/>
      <c r="F3" s="104" t="s">
        <v>253</v>
      </c>
      <c r="H3" s="126">
        <v>2012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291</v>
      </c>
      <c r="AE3" s="20"/>
    </row>
    <row r="4" spans="2:31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6" t="s">
        <v>1</v>
      </c>
      <c r="AD4" s="20" t="s">
        <v>292</v>
      </c>
      <c r="AE4" s="20"/>
    </row>
    <row r="5" spans="2:31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7"/>
      <c r="AD5" s="20"/>
      <c r="AE5" s="20"/>
    </row>
    <row r="6" spans="2:31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7"/>
      <c r="AD6" s="20"/>
      <c r="AE6" s="20"/>
    </row>
    <row r="7" spans="2:31" x14ac:dyDescent="0.2">
      <c r="B7" s="20" t="s">
        <v>16</v>
      </c>
      <c r="C7" s="141"/>
      <c r="D7" s="141"/>
      <c r="E7" s="141"/>
      <c r="F7" s="141"/>
      <c r="G7" s="141">
        <v>1016</v>
      </c>
      <c r="H7" s="141">
        <v>14</v>
      </c>
      <c r="I7" s="141">
        <v>482</v>
      </c>
      <c r="J7" s="141">
        <v>1074</v>
      </c>
      <c r="K7" s="141">
        <v>2227</v>
      </c>
      <c r="L7" s="141">
        <v>2585</v>
      </c>
      <c r="M7" s="141">
        <v>3130</v>
      </c>
      <c r="N7" s="141">
        <v>3684</v>
      </c>
      <c r="O7" s="141">
        <v>3639</v>
      </c>
      <c r="P7" s="141"/>
      <c r="Q7" s="118">
        <f>((P7/G7)^(1/($H$3-$H$2) ))-1</f>
        <v>-1</v>
      </c>
      <c r="R7" s="31">
        <v>0.1</v>
      </c>
      <c r="S7" s="119">
        <f>P7*(1+$R7)</f>
        <v>0</v>
      </c>
      <c r="T7" s="119">
        <f>S7*(1+$R7)</f>
        <v>0</v>
      </c>
      <c r="U7" s="119">
        <f t="shared" ref="U7:AB7" si="0">T7*(1+$R7)</f>
        <v>0</v>
      </c>
      <c r="V7" s="119">
        <f t="shared" si="0"/>
        <v>0</v>
      </c>
      <c r="W7" s="119">
        <f t="shared" si="0"/>
        <v>0</v>
      </c>
      <c r="X7" s="119">
        <f t="shared" si="0"/>
        <v>0</v>
      </c>
      <c r="Y7" s="119">
        <f t="shared" si="0"/>
        <v>0</v>
      </c>
      <c r="Z7" s="119">
        <f t="shared" si="0"/>
        <v>0</v>
      </c>
      <c r="AA7" s="119">
        <f t="shared" si="0"/>
        <v>0</v>
      </c>
      <c r="AB7" s="119">
        <f t="shared" si="0"/>
        <v>0</v>
      </c>
      <c r="AC7" s="138">
        <f>((AB7/G7)^(1/($AB$4-$H$2) ))-1</f>
        <v>-1</v>
      </c>
      <c r="AD7" s="31">
        <v>0.08</v>
      </c>
      <c r="AE7" s="127">
        <f>(AB7*(1+AC7))/($C$2-AD7)</f>
        <v>0</v>
      </c>
    </row>
    <row r="8" spans="2:31" x14ac:dyDescent="0.2">
      <c r="B8" s="20" t="s">
        <v>240</v>
      </c>
      <c r="C8" s="141"/>
      <c r="D8" s="141"/>
      <c r="E8" s="141"/>
      <c r="F8" s="141"/>
      <c r="G8" s="141">
        <v>2947</v>
      </c>
      <c r="H8" s="141">
        <v>1987</v>
      </c>
      <c r="I8" s="141">
        <v>1525</v>
      </c>
      <c r="J8" s="141">
        <v>2117</v>
      </c>
      <c r="K8" s="141">
        <v>3233</v>
      </c>
      <c r="L8" s="141">
        <v>3534</v>
      </c>
      <c r="M8" s="141">
        <v>4045</v>
      </c>
      <c r="N8" s="141">
        <v>3992</v>
      </c>
      <c r="O8" s="141">
        <v>3946</v>
      </c>
      <c r="P8" s="141"/>
      <c r="Q8" s="118">
        <f>((P8/G8)^(1/($H$3-$H$2) ))-1</f>
        <v>-1</v>
      </c>
      <c r="R8" s="31">
        <v>0.1</v>
      </c>
      <c r="S8" s="119">
        <f t="shared" ref="S8:S15" si="1">P8*(1+$R8)</f>
        <v>0</v>
      </c>
      <c r="T8" s="119">
        <f t="shared" ref="T8:AB8" si="2">S8*(1+$R8)</f>
        <v>0</v>
      </c>
      <c r="U8" s="119">
        <f t="shared" si="2"/>
        <v>0</v>
      </c>
      <c r="V8" s="119">
        <f t="shared" si="2"/>
        <v>0</v>
      </c>
      <c r="W8" s="119">
        <f t="shared" si="2"/>
        <v>0</v>
      </c>
      <c r="X8" s="119">
        <f t="shared" si="2"/>
        <v>0</v>
      </c>
      <c r="Y8" s="119">
        <f t="shared" si="2"/>
        <v>0</v>
      </c>
      <c r="Z8" s="119">
        <f t="shared" si="2"/>
        <v>0</v>
      </c>
      <c r="AA8" s="119">
        <f t="shared" si="2"/>
        <v>0</v>
      </c>
      <c r="AB8" s="119">
        <f t="shared" si="2"/>
        <v>0</v>
      </c>
      <c r="AC8" s="138">
        <f>((AB8/G8)^(1/($AB$4-$H$2) ))-1</f>
        <v>-1</v>
      </c>
      <c r="AD8" s="31">
        <v>0.08</v>
      </c>
      <c r="AE8" s="127">
        <f>(AB8*(1+AC8))/($C$2-AD8)</f>
        <v>0</v>
      </c>
    </row>
    <row r="9" spans="2:31" x14ac:dyDescent="0.2">
      <c r="B9" s="20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20"/>
      <c r="R9" s="20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39"/>
      <c r="AD9" s="20"/>
      <c r="AE9" s="20"/>
    </row>
    <row r="10" spans="2:31" x14ac:dyDescent="0.2">
      <c r="B10" s="20" t="s">
        <v>270</v>
      </c>
      <c r="C10" s="141"/>
      <c r="D10" s="141"/>
      <c r="E10" s="141"/>
      <c r="F10" s="141"/>
      <c r="G10" s="141">
        <v>291</v>
      </c>
      <c r="H10" s="141">
        <v>353</v>
      </c>
      <c r="I10" s="141">
        <v>496</v>
      </c>
      <c r="J10" s="141">
        <v>464</v>
      </c>
      <c r="K10" s="141">
        <v>1145</v>
      </c>
      <c r="L10" s="141">
        <v>1360</v>
      </c>
      <c r="M10" s="141">
        <v>1572</v>
      </c>
      <c r="N10" s="141">
        <v>1465</v>
      </c>
      <c r="O10" s="141">
        <v>2019</v>
      </c>
      <c r="P10" s="141"/>
      <c r="Q10" s="118">
        <f t="shared" ref="Q10:Q15" si="3">((P10/G10)^(1/($H$3-$H$2) ))-1</f>
        <v>-1</v>
      </c>
      <c r="R10" s="31">
        <v>0.1</v>
      </c>
      <c r="S10" s="119">
        <f t="shared" ref="S10" si="4">P10*(1+$R10)</f>
        <v>0</v>
      </c>
      <c r="T10" s="119">
        <f t="shared" ref="T10" si="5">S10*(1+$R10)</f>
        <v>0</v>
      </c>
      <c r="U10" s="119">
        <f t="shared" ref="U10" si="6">T10*(1+$R10)</f>
        <v>0</v>
      </c>
      <c r="V10" s="119">
        <f t="shared" ref="V10" si="7">U10*(1+$R10)</f>
        <v>0</v>
      </c>
      <c r="W10" s="119">
        <f t="shared" ref="W10" si="8">V10*(1+$R10)</f>
        <v>0</v>
      </c>
      <c r="X10" s="119">
        <f t="shared" ref="X10" si="9">W10*(1+$R10)</f>
        <v>0</v>
      </c>
      <c r="Y10" s="119">
        <f t="shared" ref="Y10" si="10">X10*(1+$R10)</f>
        <v>0</v>
      </c>
      <c r="Z10" s="119">
        <f t="shared" ref="Z10" si="11">Y10*(1+$R10)</f>
        <v>0</v>
      </c>
      <c r="AA10" s="119">
        <f t="shared" ref="AA10" si="12">Z10*(1+$R10)</f>
        <v>0</v>
      </c>
      <c r="AB10" s="119">
        <f t="shared" ref="AB10" si="13">AA10*(1+$R10)</f>
        <v>0</v>
      </c>
      <c r="AC10" s="138">
        <f>((AB10/G10)^(1/($AB$4-$H$2) ))-1</f>
        <v>-1</v>
      </c>
      <c r="AD10" s="31">
        <v>0.08</v>
      </c>
      <c r="AE10" s="127">
        <f t="shared" ref="AE10:AE15" si="14">(AB10*(1+AC10))/($C$2-AD10)</f>
        <v>0</v>
      </c>
    </row>
    <row r="11" spans="2:31" x14ac:dyDescent="0.2">
      <c r="B11" s="20" t="s">
        <v>4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>
        <v>2554</v>
      </c>
      <c r="P11" s="141"/>
      <c r="Q11" s="118" t="e">
        <f t="shared" si="3"/>
        <v>#DIV/0!</v>
      </c>
      <c r="R11" s="31">
        <v>0.1</v>
      </c>
      <c r="S11" s="119">
        <f t="shared" si="1"/>
        <v>0</v>
      </c>
      <c r="T11" s="119">
        <f t="shared" ref="T11:AB11" si="15">S11*(1+$R11)</f>
        <v>0</v>
      </c>
      <c r="U11" s="119">
        <f t="shared" si="15"/>
        <v>0</v>
      </c>
      <c r="V11" s="119">
        <f t="shared" si="15"/>
        <v>0</v>
      </c>
      <c r="W11" s="119">
        <f t="shared" si="15"/>
        <v>0</v>
      </c>
      <c r="X11" s="119">
        <f t="shared" si="15"/>
        <v>0</v>
      </c>
      <c r="Y11" s="119">
        <f t="shared" si="15"/>
        <v>0</v>
      </c>
      <c r="Z11" s="119">
        <f t="shared" si="15"/>
        <v>0</v>
      </c>
      <c r="AA11" s="119">
        <f t="shared" si="15"/>
        <v>0</v>
      </c>
      <c r="AB11" s="119">
        <f t="shared" si="15"/>
        <v>0</v>
      </c>
      <c r="AC11" s="138" t="e">
        <f t="shared" ref="AC11:AC35" si="16">((AB11/G11)^(1/($AB$4-$H$2) ))-1</f>
        <v>#DIV/0!</v>
      </c>
      <c r="AD11" s="31">
        <v>0.08</v>
      </c>
      <c r="AE11" s="127" t="e">
        <f t="shared" si="14"/>
        <v>#DIV/0!</v>
      </c>
    </row>
    <row r="12" spans="2:31" x14ac:dyDescent="0.2">
      <c r="B12" s="20" t="s">
        <v>2</v>
      </c>
      <c r="C12" s="141"/>
      <c r="D12" s="141"/>
      <c r="E12" s="141"/>
      <c r="F12" s="141"/>
      <c r="G12" s="141">
        <v>3.95</v>
      </c>
      <c r="H12" s="141">
        <v>1.1000000000000001</v>
      </c>
      <c r="I12" s="141">
        <v>3.08</v>
      </c>
      <c r="J12" s="141">
        <v>7.32</v>
      </c>
      <c r="K12" s="141">
        <v>8.4</v>
      </c>
      <c r="L12" s="141">
        <v>7.3</v>
      </c>
      <c r="M12" s="141">
        <v>5.9</v>
      </c>
      <c r="N12" s="141">
        <v>50.89</v>
      </c>
      <c r="O12" s="141">
        <v>12.16</v>
      </c>
      <c r="P12" s="141"/>
      <c r="Q12" s="118">
        <f t="shared" si="3"/>
        <v>-1</v>
      </c>
      <c r="R12" s="31">
        <v>0.1</v>
      </c>
      <c r="S12" s="119">
        <f t="shared" si="1"/>
        <v>0</v>
      </c>
      <c r="T12" s="119">
        <f t="shared" ref="T12:AB12" si="17">S12*(1+$R12)</f>
        <v>0</v>
      </c>
      <c r="U12" s="119">
        <f t="shared" si="17"/>
        <v>0</v>
      </c>
      <c r="V12" s="119">
        <f t="shared" si="17"/>
        <v>0</v>
      </c>
      <c r="W12" s="119">
        <f t="shared" si="17"/>
        <v>0</v>
      </c>
      <c r="X12" s="119">
        <f t="shared" si="17"/>
        <v>0</v>
      </c>
      <c r="Y12" s="119">
        <f t="shared" si="17"/>
        <v>0</v>
      </c>
      <c r="Z12" s="119">
        <f t="shared" si="17"/>
        <v>0</v>
      </c>
      <c r="AA12" s="119">
        <f t="shared" si="17"/>
        <v>0</v>
      </c>
      <c r="AB12" s="119">
        <f t="shared" si="17"/>
        <v>0</v>
      </c>
      <c r="AC12" s="138">
        <f t="shared" si="16"/>
        <v>-1</v>
      </c>
      <c r="AD12" s="31">
        <v>0.08</v>
      </c>
      <c r="AE12" s="127">
        <f t="shared" si="14"/>
        <v>0</v>
      </c>
    </row>
    <row r="13" spans="2:31" x14ac:dyDescent="0.2">
      <c r="B13" s="20" t="s">
        <v>218</v>
      </c>
      <c r="C13" s="141"/>
      <c r="D13" s="141"/>
      <c r="E13" s="141"/>
      <c r="F13" s="141"/>
      <c r="G13" s="141">
        <v>65</v>
      </c>
      <c r="H13" s="141">
        <v>61</v>
      </c>
      <c r="I13" s="141">
        <v>61</v>
      </c>
      <c r="J13" s="141">
        <v>254</v>
      </c>
      <c r="K13" s="141">
        <v>333</v>
      </c>
      <c r="L13" s="141">
        <v>355</v>
      </c>
      <c r="M13" s="141">
        <v>515</v>
      </c>
      <c r="N13" s="141">
        <v>337</v>
      </c>
      <c r="O13" s="141">
        <v>422</v>
      </c>
      <c r="P13" s="141"/>
      <c r="Q13" s="118">
        <f t="shared" si="3"/>
        <v>-1</v>
      </c>
      <c r="R13" s="31">
        <v>0.1</v>
      </c>
      <c r="S13" s="119">
        <f t="shared" si="1"/>
        <v>0</v>
      </c>
      <c r="T13" s="119">
        <f t="shared" ref="T13:AB13" si="18">S13*(1+$R13)</f>
        <v>0</v>
      </c>
      <c r="U13" s="119">
        <f t="shared" si="18"/>
        <v>0</v>
      </c>
      <c r="V13" s="119">
        <f t="shared" si="18"/>
        <v>0</v>
      </c>
      <c r="W13" s="119">
        <f t="shared" si="18"/>
        <v>0</v>
      </c>
      <c r="X13" s="119">
        <f t="shared" si="18"/>
        <v>0</v>
      </c>
      <c r="Y13" s="119">
        <f t="shared" si="18"/>
        <v>0</v>
      </c>
      <c r="Z13" s="119">
        <f t="shared" si="18"/>
        <v>0</v>
      </c>
      <c r="AA13" s="119">
        <f t="shared" si="18"/>
        <v>0</v>
      </c>
      <c r="AB13" s="119">
        <f t="shared" si="18"/>
        <v>0</v>
      </c>
      <c r="AC13" s="138">
        <f t="shared" si="16"/>
        <v>-1</v>
      </c>
      <c r="AD13" s="31">
        <v>0.08</v>
      </c>
      <c r="AE13" s="127">
        <f t="shared" si="14"/>
        <v>0</v>
      </c>
    </row>
    <row r="14" spans="2:31" x14ac:dyDescent="0.2">
      <c r="B14" s="20" t="s">
        <v>19</v>
      </c>
      <c r="C14" s="141"/>
      <c r="D14" s="141"/>
      <c r="E14" s="141"/>
      <c r="F14" s="141"/>
      <c r="G14" s="141">
        <v>1067</v>
      </c>
      <c r="H14" s="141">
        <v>1067</v>
      </c>
      <c r="I14" s="141">
        <v>1282</v>
      </c>
      <c r="J14" s="141">
        <v>1430</v>
      </c>
      <c r="K14" s="141">
        <v>1844</v>
      </c>
      <c r="L14" s="141">
        <v>1872</v>
      </c>
      <c r="M14" s="141">
        <v>2147</v>
      </c>
      <c r="N14" s="141">
        <v>2003</v>
      </c>
      <c r="O14" s="141">
        <v>2869</v>
      </c>
      <c r="P14" s="141"/>
      <c r="Q14" s="118">
        <f t="shared" si="3"/>
        <v>-1</v>
      </c>
      <c r="R14" s="31">
        <v>0.1</v>
      </c>
      <c r="S14" s="119">
        <f t="shared" si="1"/>
        <v>0</v>
      </c>
      <c r="T14" s="119">
        <f t="shared" ref="T14:AB14" si="19">S14*(1+$R14)</f>
        <v>0</v>
      </c>
      <c r="U14" s="119">
        <f t="shared" si="19"/>
        <v>0</v>
      </c>
      <c r="V14" s="119">
        <f t="shared" si="19"/>
        <v>0</v>
      </c>
      <c r="W14" s="119">
        <f t="shared" si="19"/>
        <v>0</v>
      </c>
      <c r="X14" s="119">
        <f t="shared" si="19"/>
        <v>0</v>
      </c>
      <c r="Y14" s="119">
        <f t="shared" si="19"/>
        <v>0</v>
      </c>
      <c r="Z14" s="119">
        <f t="shared" si="19"/>
        <v>0</v>
      </c>
      <c r="AA14" s="119">
        <f t="shared" si="19"/>
        <v>0</v>
      </c>
      <c r="AB14" s="119">
        <f t="shared" si="19"/>
        <v>0</v>
      </c>
      <c r="AC14" s="138">
        <f t="shared" si="16"/>
        <v>-1</v>
      </c>
      <c r="AD14" s="31">
        <v>0.08</v>
      </c>
      <c r="AE14" s="127">
        <f t="shared" si="14"/>
        <v>0</v>
      </c>
    </row>
    <row r="15" spans="2:31" x14ac:dyDescent="0.2">
      <c r="B15" s="20" t="s">
        <v>23</v>
      </c>
      <c r="C15" s="141"/>
      <c r="D15" s="141"/>
      <c r="E15" s="141"/>
      <c r="F15" s="141"/>
      <c r="G15" s="141">
        <v>775</v>
      </c>
      <c r="H15" s="141">
        <v>712</v>
      </c>
      <c r="I15" s="141">
        <v>786</v>
      </c>
      <c r="J15" s="141">
        <v>935</v>
      </c>
      <c r="K15" s="141">
        <v>633</v>
      </c>
      <c r="L15" s="141">
        <v>427</v>
      </c>
      <c r="M15" s="141">
        <v>465</v>
      </c>
      <c r="N15" s="141">
        <v>463</v>
      </c>
      <c r="O15" s="141">
        <v>706</v>
      </c>
      <c r="P15" s="141"/>
      <c r="Q15" s="118">
        <f t="shared" si="3"/>
        <v>-1</v>
      </c>
      <c r="R15" s="31">
        <v>0.1</v>
      </c>
      <c r="S15" s="119">
        <f t="shared" si="1"/>
        <v>0</v>
      </c>
      <c r="T15" s="119">
        <f t="shared" ref="T15:AB15" si="20">S15*(1+$R15)</f>
        <v>0</v>
      </c>
      <c r="U15" s="119">
        <f t="shared" si="20"/>
        <v>0</v>
      </c>
      <c r="V15" s="119">
        <f t="shared" si="20"/>
        <v>0</v>
      </c>
      <c r="W15" s="119">
        <f t="shared" si="20"/>
        <v>0</v>
      </c>
      <c r="X15" s="119">
        <f t="shared" si="20"/>
        <v>0</v>
      </c>
      <c r="Y15" s="119">
        <f t="shared" si="20"/>
        <v>0</v>
      </c>
      <c r="Z15" s="119">
        <f t="shared" si="20"/>
        <v>0</v>
      </c>
      <c r="AA15" s="119">
        <f t="shared" si="20"/>
        <v>0</v>
      </c>
      <c r="AB15" s="119">
        <f t="shared" si="20"/>
        <v>0</v>
      </c>
      <c r="AC15" s="138">
        <f t="shared" si="16"/>
        <v>-1</v>
      </c>
      <c r="AD15" s="31">
        <v>0.08</v>
      </c>
      <c r="AE15" s="127">
        <f t="shared" si="14"/>
        <v>0</v>
      </c>
    </row>
    <row r="16" spans="2:31" x14ac:dyDescent="0.2">
      <c r="B16" s="20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28"/>
      <c r="R16" s="128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39"/>
      <c r="AD16" s="20"/>
      <c r="AE16" s="20"/>
    </row>
    <row r="17" spans="2:31" x14ac:dyDescent="0.2">
      <c r="B17" s="20" t="s">
        <v>278</v>
      </c>
      <c r="C17" s="141"/>
      <c r="D17" s="141"/>
      <c r="E17" s="141"/>
      <c r="F17" s="141"/>
      <c r="G17" s="141">
        <v>2265</v>
      </c>
      <c r="H17" s="141">
        <v>2290</v>
      </c>
      <c r="I17" s="141">
        <v>2172</v>
      </c>
      <c r="J17" s="141">
        <v>2807</v>
      </c>
      <c r="K17" s="141">
        <v>3477</v>
      </c>
      <c r="L17" s="141">
        <v>3823</v>
      </c>
      <c r="M17" s="141">
        <v>3938</v>
      </c>
      <c r="N17" s="141">
        <v>4373</v>
      </c>
      <c r="O17" s="141">
        <v>5206</v>
      </c>
      <c r="P17" s="141"/>
      <c r="Q17" s="118">
        <f>((P17/G17)^(1/($H$3-$H$2) ))-1</f>
        <v>-1</v>
      </c>
      <c r="R17" s="31">
        <v>0.1</v>
      </c>
      <c r="S17" s="119">
        <f t="shared" ref="S17:S31" si="21">P17*(1+$R17)</f>
        <v>0</v>
      </c>
      <c r="T17" s="119">
        <f t="shared" ref="T17:T31" si="22">S17*(1+$R17)</f>
        <v>0</v>
      </c>
      <c r="U17" s="119">
        <f t="shared" ref="U17:U31" si="23">T17*(1+$R17)</f>
        <v>0</v>
      </c>
      <c r="V17" s="119">
        <f t="shared" ref="V17:V31" si="24">U17*(1+$R17)</f>
        <v>0</v>
      </c>
      <c r="W17" s="119">
        <f t="shared" ref="W17:W31" si="25">V17*(1+$R17)</f>
        <v>0</v>
      </c>
      <c r="X17" s="119">
        <f t="shared" ref="X17:X31" si="26">W17*(1+$R17)</f>
        <v>0</v>
      </c>
      <c r="Y17" s="119">
        <f t="shared" ref="Y17:Y31" si="27">X17*(1+$R17)</f>
        <v>0</v>
      </c>
      <c r="Z17" s="119">
        <f t="shared" ref="Z17:Z31" si="28">Y17*(1+$R17)</f>
        <v>0</v>
      </c>
      <c r="AA17" s="119">
        <f t="shared" ref="AA17:AA31" si="29">Z17*(1+$R17)</f>
        <v>0</v>
      </c>
      <c r="AB17" s="119">
        <f t="shared" ref="AB17:AB31" si="30">AA17*(1+$R17)</f>
        <v>0</v>
      </c>
      <c r="AC17" s="138">
        <f t="shared" si="16"/>
        <v>-1</v>
      </c>
      <c r="AD17" s="31">
        <v>0.08</v>
      </c>
      <c r="AE17" s="127">
        <f>(AB17*(1+AC17))/($C$2-AD17)</f>
        <v>0</v>
      </c>
    </row>
    <row r="18" spans="2:31" x14ac:dyDescent="0.2">
      <c r="B18" s="20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28"/>
      <c r="R18" s="128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38"/>
      <c r="AD18" s="20"/>
      <c r="AE18" s="20"/>
    </row>
    <row r="19" spans="2:31" x14ac:dyDescent="0.2">
      <c r="B19" s="20" t="s">
        <v>283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>
        <v>772</v>
      </c>
      <c r="M19" s="141"/>
      <c r="N19" s="141"/>
      <c r="O19" s="141"/>
      <c r="P19" s="141">
        <f>O19</f>
        <v>0</v>
      </c>
      <c r="Q19" s="118" t="e">
        <f>((P19/G19)^(1/($H$3-$H$2) ))-1</f>
        <v>#DIV/0!</v>
      </c>
      <c r="R19" s="31">
        <v>0.05</v>
      </c>
      <c r="S19" s="119">
        <f t="shared" ref="S19:S21" si="31">P19*(1+$R19)</f>
        <v>0</v>
      </c>
      <c r="T19" s="119">
        <f t="shared" ref="T19:T21" si="32">S19*(1+$R19)</f>
        <v>0</v>
      </c>
      <c r="U19" s="119">
        <f t="shared" ref="U19:U21" si="33">T19*(1+$R19)</f>
        <v>0</v>
      </c>
      <c r="V19" s="119">
        <f t="shared" ref="V19:V21" si="34">U19*(1+$R19)</f>
        <v>0</v>
      </c>
      <c r="W19" s="119">
        <f t="shared" ref="W19:W21" si="35">V19*(1+$R19)</f>
        <v>0</v>
      </c>
      <c r="X19" s="119">
        <f t="shared" ref="X19:X21" si="36">W19*(1+$R19)</f>
        <v>0</v>
      </c>
      <c r="Y19" s="119">
        <f t="shared" ref="Y19:Y21" si="37">X19*(1+$R19)</f>
        <v>0</v>
      </c>
      <c r="Z19" s="119">
        <f t="shared" ref="Z19:Z21" si="38">Y19*(1+$R19)</f>
        <v>0</v>
      </c>
      <c r="AA19" s="119">
        <f t="shared" ref="AA19:AA21" si="39">Z19*(1+$R19)</f>
        <v>0</v>
      </c>
      <c r="AB19" s="119">
        <f t="shared" ref="AB19:AB21" si="40">AA19*(1+$R19)</f>
        <v>0</v>
      </c>
      <c r="AC19" s="138" t="e">
        <f t="shared" ref="AC19:AC21" si="41">((AB19/G19)^(1/($AB$4-$H$2) ))-1</f>
        <v>#DIV/0!</v>
      </c>
      <c r="AD19" s="31">
        <v>0.05</v>
      </c>
      <c r="AE19" s="127" t="e">
        <f>(AB19*(1+AC19))/($C$2-AD19)</f>
        <v>#DIV/0!</v>
      </c>
    </row>
    <row r="20" spans="2:31" x14ac:dyDescent="0.2">
      <c r="B20" s="20" t="s">
        <v>284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>
        <f>O20</f>
        <v>0</v>
      </c>
      <c r="Q20" s="118" t="e">
        <f>((P20/G20)^(1/($H$3-$H$2) ))-1</f>
        <v>#DIV/0!</v>
      </c>
      <c r="R20" s="31">
        <v>0.05</v>
      </c>
      <c r="S20" s="119">
        <f t="shared" si="31"/>
        <v>0</v>
      </c>
      <c r="T20" s="119">
        <f t="shared" si="32"/>
        <v>0</v>
      </c>
      <c r="U20" s="119">
        <f t="shared" si="33"/>
        <v>0</v>
      </c>
      <c r="V20" s="119">
        <f t="shared" si="34"/>
        <v>0</v>
      </c>
      <c r="W20" s="119">
        <f t="shared" si="35"/>
        <v>0</v>
      </c>
      <c r="X20" s="119">
        <f t="shared" si="36"/>
        <v>0</v>
      </c>
      <c r="Y20" s="119">
        <f t="shared" si="37"/>
        <v>0</v>
      </c>
      <c r="Z20" s="119">
        <f t="shared" si="38"/>
        <v>0</v>
      </c>
      <c r="AA20" s="119">
        <f t="shared" si="39"/>
        <v>0</v>
      </c>
      <c r="AB20" s="119">
        <f t="shared" si="40"/>
        <v>0</v>
      </c>
      <c r="AC20" s="138" t="e">
        <f t="shared" si="41"/>
        <v>#DIV/0!</v>
      </c>
      <c r="AD20" s="31">
        <v>0.05</v>
      </c>
      <c r="AE20" s="127" t="e">
        <f>(AB20*(1+AC20))/($C$2-AD20)</f>
        <v>#DIV/0!</v>
      </c>
    </row>
    <row r="21" spans="2:31" x14ac:dyDescent="0.2">
      <c r="B21" s="20" t="s">
        <v>285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>
        <f>O21</f>
        <v>0</v>
      </c>
      <c r="Q21" s="118" t="e">
        <f>((P21/G21)^(1/($H$3-$H$2) ))-1</f>
        <v>#DIV/0!</v>
      </c>
      <c r="R21" s="31">
        <v>0.05</v>
      </c>
      <c r="S21" s="119">
        <f t="shared" si="31"/>
        <v>0</v>
      </c>
      <c r="T21" s="119">
        <f t="shared" si="32"/>
        <v>0</v>
      </c>
      <c r="U21" s="119">
        <f t="shared" si="33"/>
        <v>0</v>
      </c>
      <c r="V21" s="119">
        <f t="shared" si="34"/>
        <v>0</v>
      </c>
      <c r="W21" s="119">
        <f t="shared" si="35"/>
        <v>0</v>
      </c>
      <c r="X21" s="119">
        <f t="shared" si="36"/>
        <v>0</v>
      </c>
      <c r="Y21" s="119">
        <f t="shared" si="37"/>
        <v>0</v>
      </c>
      <c r="Z21" s="119">
        <f t="shared" si="38"/>
        <v>0</v>
      </c>
      <c r="AA21" s="119">
        <f t="shared" si="39"/>
        <v>0</v>
      </c>
      <c r="AB21" s="119">
        <f t="shared" si="40"/>
        <v>0</v>
      </c>
      <c r="AC21" s="138" t="e">
        <f t="shared" si="41"/>
        <v>#DIV/0!</v>
      </c>
      <c r="AD21" s="31">
        <v>0.05</v>
      </c>
      <c r="AE21" s="127" t="e">
        <f>(AB21*(1+AC21))/($C$2-AD21)</f>
        <v>#DIV/0!</v>
      </c>
    </row>
    <row r="22" spans="2:31" x14ac:dyDescent="0.2">
      <c r="B22" s="20" t="s">
        <v>295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>
        <f>O22</f>
        <v>0</v>
      </c>
      <c r="Q22" s="118" t="e">
        <f>((P22/G22)^(1/($H$3-$H$2) ))-1</f>
        <v>#DIV/0!</v>
      </c>
      <c r="R22" s="31">
        <v>0.05</v>
      </c>
      <c r="S22" s="119">
        <f t="shared" ref="S22" si="42">P22*(1+$R22)</f>
        <v>0</v>
      </c>
      <c r="T22" s="119">
        <f t="shared" ref="T22" si="43">S22*(1+$R22)</f>
        <v>0</v>
      </c>
      <c r="U22" s="119">
        <f t="shared" ref="U22" si="44">T22*(1+$R22)</f>
        <v>0</v>
      </c>
      <c r="V22" s="119">
        <f t="shared" ref="V22" si="45">U22*(1+$R22)</f>
        <v>0</v>
      </c>
      <c r="W22" s="119">
        <f t="shared" ref="W22" si="46">V22*(1+$R22)</f>
        <v>0</v>
      </c>
      <c r="X22" s="119">
        <f t="shared" ref="X22" si="47">W22*(1+$R22)</f>
        <v>0</v>
      </c>
      <c r="Y22" s="119">
        <f t="shared" ref="Y22" si="48">X22*(1+$R22)</f>
        <v>0</v>
      </c>
      <c r="Z22" s="119">
        <f t="shared" ref="Z22" si="49">Y22*(1+$R22)</f>
        <v>0</v>
      </c>
      <c r="AA22" s="119">
        <f t="shared" ref="AA22" si="50">Z22*(1+$R22)</f>
        <v>0</v>
      </c>
      <c r="AB22" s="119">
        <f t="shared" ref="AB22" si="51">AA22*(1+$R22)</f>
        <v>0</v>
      </c>
      <c r="AC22" s="138" t="e">
        <f t="shared" ref="AC22" si="52">((AB22/G22)^(1/($AB$4-$H$2) ))-1</f>
        <v>#DIV/0!</v>
      </c>
      <c r="AD22" s="31">
        <v>0.05</v>
      </c>
      <c r="AE22" s="127" t="e">
        <f>(AB22*(1+AC22))/($C$2-AD22)</f>
        <v>#DIV/0!</v>
      </c>
    </row>
    <row r="23" spans="2:31" x14ac:dyDescent="0.2">
      <c r="B23" s="20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28"/>
      <c r="R23" s="128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38"/>
      <c r="AD23" s="20"/>
      <c r="AE23" s="20"/>
    </row>
    <row r="24" spans="2:31" x14ac:dyDescent="0.2">
      <c r="B24" s="20" t="s">
        <v>89</v>
      </c>
      <c r="C24" s="141"/>
      <c r="D24" s="141"/>
      <c r="E24" s="141"/>
      <c r="F24" s="141"/>
      <c r="G24" s="141">
        <v>1049</v>
      </c>
      <c r="H24" s="141">
        <v>1253</v>
      </c>
      <c r="I24" s="141">
        <v>1539</v>
      </c>
      <c r="J24" s="141">
        <v>2273</v>
      </c>
      <c r="K24" s="141">
        <v>3086</v>
      </c>
      <c r="L24" s="141">
        <v>3483</v>
      </c>
      <c r="M24" s="141">
        <v>3921</v>
      </c>
      <c r="N24" s="141">
        <v>3675</v>
      </c>
      <c r="O24" s="141">
        <v>4647</v>
      </c>
      <c r="P24" s="141"/>
      <c r="Q24" s="118">
        <f>((P24/G24)^(1/($H$3-$H$2) ))-1</f>
        <v>-1</v>
      </c>
      <c r="R24" s="31">
        <v>0.1</v>
      </c>
      <c r="S24" s="119">
        <f t="shared" si="21"/>
        <v>0</v>
      </c>
      <c r="T24" s="119">
        <f t="shared" si="22"/>
        <v>0</v>
      </c>
      <c r="U24" s="119">
        <f t="shared" si="23"/>
        <v>0</v>
      </c>
      <c r="V24" s="119">
        <f t="shared" si="24"/>
        <v>0</v>
      </c>
      <c r="W24" s="119">
        <f t="shared" si="25"/>
        <v>0</v>
      </c>
      <c r="X24" s="119">
        <f t="shared" si="26"/>
        <v>0</v>
      </c>
      <c r="Y24" s="119">
        <f t="shared" si="27"/>
        <v>0</v>
      </c>
      <c r="Z24" s="119">
        <f t="shared" si="28"/>
        <v>0</v>
      </c>
      <c r="AA24" s="119">
        <f t="shared" si="29"/>
        <v>0</v>
      </c>
      <c r="AB24" s="119">
        <f t="shared" si="30"/>
        <v>0</v>
      </c>
      <c r="AC24" s="138">
        <f t="shared" si="16"/>
        <v>-1</v>
      </c>
      <c r="AD24" s="31">
        <v>0.08</v>
      </c>
      <c r="AE24" s="127">
        <f>(AB24*(1+AC24))/($C$2-AD24)</f>
        <v>0</v>
      </c>
    </row>
    <row r="25" spans="2:31" x14ac:dyDescent="0.2">
      <c r="B25" s="20" t="s">
        <v>262</v>
      </c>
      <c r="C25" s="141"/>
      <c r="D25" s="141"/>
      <c r="E25" s="141"/>
      <c r="F25" s="141"/>
      <c r="G25" s="141">
        <v>919</v>
      </c>
      <c r="H25" s="141">
        <v>1030</v>
      </c>
      <c r="I25" s="141">
        <v>1259</v>
      </c>
      <c r="J25" s="141">
        <v>1518</v>
      </c>
      <c r="K25" s="141">
        <v>1990</v>
      </c>
      <c r="L25" s="141">
        <v>2508</v>
      </c>
      <c r="M25" s="141">
        <v>3004</v>
      </c>
      <c r="N25" s="141">
        <v>3193</v>
      </c>
      <c r="O25" s="141">
        <v>3683</v>
      </c>
      <c r="P25" s="141"/>
      <c r="Q25" s="118">
        <f>((P25/G25)^(1/($H$3-$H$2) ))-1</f>
        <v>-1</v>
      </c>
      <c r="R25" s="31">
        <v>0.1</v>
      </c>
      <c r="S25" s="119">
        <f t="shared" si="21"/>
        <v>0</v>
      </c>
      <c r="T25" s="119">
        <f t="shared" si="22"/>
        <v>0</v>
      </c>
      <c r="U25" s="119">
        <f t="shared" si="23"/>
        <v>0</v>
      </c>
      <c r="V25" s="119">
        <f t="shared" si="24"/>
        <v>0</v>
      </c>
      <c r="W25" s="119">
        <f t="shared" si="25"/>
        <v>0</v>
      </c>
      <c r="X25" s="119">
        <f t="shared" si="26"/>
        <v>0</v>
      </c>
      <c r="Y25" s="119">
        <f t="shared" si="27"/>
        <v>0</v>
      </c>
      <c r="Z25" s="119">
        <f t="shared" si="28"/>
        <v>0</v>
      </c>
      <c r="AA25" s="119">
        <f t="shared" si="29"/>
        <v>0</v>
      </c>
      <c r="AB25" s="119">
        <f t="shared" si="30"/>
        <v>0</v>
      </c>
      <c r="AC25" s="138">
        <f t="shared" si="16"/>
        <v>-1</v>
      </c>
      <c r="AD25" s="31">
        <v>0.08</v>
      </c>
      <c r="AE25" s="127">
        <f>(AB25*(1+AC25))/($C$2-AD25)</f>
        <v>0</v>
      </c>
    </row>
    <row r="26" spans="2:31" x14ac:dyDescent="0.2">
      <c r="B26" s="20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18"/>
      <c r="R26" s="31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38"/>
      <c r="AD26" s="31"/>
      <c r="AE26" s="127"/>
    </row>
    <row r="27" spans="2:31" x14ac:dyDescent="0.2">
      <c r="B27" s="20" t="s">
        <v>299</v>
      </c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18" t="e">
        <f>((P27/G27)^(1/($H$3-$H$2) ))-1</f>
        <v>#DIV/0!</v>
      </c>
      <c r="R27" s="31">
        <v>0.1</v>
      </c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38"/>
      <c r="AD27" s="31"/>
      <c r="AE27" s="127"/>
    </row>
    <row r="28" spans="2:31" x14ac:dyDescent="0.2">
      <c r="B28" s="20" t="s">
        <v>301</v>
      </c>
      <c r="C28" s="141"/>
      <c r="D28" s="141"/>
      <c r="E28" s="141"/>
      <c r="F28" s="141"/>
      <c r="G28" s="141">
        <v>260</v>
      </c>
      <c r="H28" s="141">
        <v>314</v>
      </c>
      <c r="I28" s="141">
        <v>436</v>
      </c>
      <c r="J28" s="141">
        <v>540</v>
      </c>
      <c r="K28" s="141">
        <v>665</v>
      </c>
      <c r="L28" s="141">
        <v>772</v>
      </c>
      <c r="M28" s="141">
        <v>956</v>
      </c>
      <c r="N28" s="141">
        <v>0</v>
      </c>
      <c r="O28" s="141">
        <v>1130</v>
      </c>
      <c r="P28" s="141"/>
      <c r="Q28" s="118">
        <f>((P28/G28)^(1/($H$3-$H$2) ))-1</f>
        <v>-1</v>
      </c>
      <c r="R28" s="31">
        <v>0.1</v>
      </c>
      <c r="S28" s="119">
        <f t="shared" si="21"/>
        <v>0</v>
      </c>
      <c r="T28" s="119">
        <f t="shared" si="22"/>
        <v>0</v>
      </c>
      <c r="U28" s="119">
        <f t="shared" si="23"/>
        <v>0</v>
      </c>
      <c r="V28" s="119">
        <f t="shared" si="24"/>
        <v>0</v>
      </c>
      <c r="W28" s="119">
        <f t="shared" si="25"/>
        <v>0</v>
      </c>
      <c r="X28" s="119">
        <f t="shared" si="26"/>
        <v>0</v>
      </c>
      <c r="Y28" s="119">
        <f t="shared" si="27"/>
        <v>0</v>
      </c>
      <c r="Z28" s="119">
        <f t="shared" si="28"/>
        <v>0</v>
      </c>
      <c r="AA28" s="119">
        <f t="shared" si="29"/>
        <v>0</v>
      </c>
      <c r="AB28" s="119">
        <f t="shared" si="30"/>
        <v>0</v>
      </c>
      <c r="AC28" s="138">
        <f t="shared" si="16"/>
        <v>-1</v>
      </c>
      <c r="AD28" s="31">
        <v>0.08</v>
      </c>
      <c r="AE28" s="127">
        <f>(AB28*(1+AC28))/($C$2-AD28)</f>
        <v>0</v>
      </c>
    </row>
    <row r="29" spans="2:31" x14ac:dyDescent="0.2">
      <c r="B29" s="20" t="s">
        <v>302</v>
      </c>
      <c r="C29" s="141"/>
      <c r="D29" s="141"/>
      <c r="E29" s="141"/>
      <c r="F29" s="141"/>
      <c r="G29" s="141">
        <v>357</v>
      </c>
      <c r="H29" s="141">
        <v>435</v>
      </c>
      <c r="I29" s="141">
        <v>484</v>
      </c>
      <c r="J29" s="141">
        <v>550</v>
      </c>
      <c r="K29" s="141">
        <v>692</v>
      </c>
      <c r="L29" s="141">
        <v>893</v>
      </c>
      <c r="M29" s="141">
        <v>1001</v>
      </c>
      <c r="N29" s="141">
        <v>1043</v>
      </c>
      <c r="O29" s="141">
        <v>1168</v>
      </c>
      <c r="P29" s="141"/>
      <c r="Q29" s="118">
        <f>((P29/G29)^(1/($H$3-$H$2) ))-1</f>
        <v>-1</v>
      </c>
      <c r="R29" s="31">
        <v>0.1</v>
      </c>
      <c r="S29" s="119">
        <f t="shared" si="21"/>
        <v>0</v>
      </c>
      <c r="T29" s="119">
        <f t="shared" si="22"/>
        <v>0</v>
      </c>
      <c r="U29" s="119">
        <f t="shared" si="23"/>
        <v>0</v>
      </c>
      <c r="V29" s="119">
        <f t="shared" si="24"/>
        <v>0</v>
      </c>
      <c r="W29" s="119">
        <f t="shared" si="25"/>
        <v>0</v>
      </c>
      <c r="X29" s="119">
        <f t="shared" si="26"/>
        <v>0</v>
      </c>
      <c r="Y29" s="119">
        <f t="shared" si="27"/>
        <v>0</v>
      </c>
      <c r="Z29" s="119">
        <f t="shared" si="28"/>
        <v>0</v>
      </c>
      <c r="AA29" s="119">
        <f t="shared" si="29"/>
        <v>0</v>
      </c>
      <c r="AB29" s="119">
        <f t="shared" si="30"/>
        <v>0</v>
      </c>
      <c r="AC29" s="138">
        <f t="shared" si="16"/>
        <v>-1</v>
      </c>
      <c r="AD29" s="31">
        <v>0.08</v>
      </c>
      <c r="AE29" s="127">
        <f>(AB29*(1+AC29))/($C$2-AD29)</f>
        <v>0</v>
      </c>
    </row>
    <row r="30" spans="2:31" x14ac:dyDescent="0.2">
      <c r="B30" s="20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28"/>
      <c r="R30" s="128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39"/>
      <c r="AD30" s="20"/>
      <c r="AE30" s="20"/>
    </row>
    <row r="31" spans="2:31" x14ac:dyDescent="0.2">
      <c r="B31" s="20" t="s">
        <v>279</v>
      </c>
      <c r="C31" s="141"/>
      <c r="D31" s="141"/>
      <c r="E31" s="141"/>
      <c r="F31" s="141"/>
      <c r="G31" s="141">
        <v>99.71</v>
      </c>
      <c r="H31" s="141">
        <v>140</v>
      </c>
      <c r="I31" s="141">
        <v>262</v>
      </c>
      <c r="J31" s="141">
        <v>742</v>
      </c>
      <c r="K31" s="141">
        <v>1085</v>
      </c>
      <c r="L31" s="141">
        <v>931</v>
      </c>
      <c r="M31" s="141">
        <v>755</v>
      </c>
      <c r="N31" s="141">
        <v>350</v>
      </c>
      <c r="O31" s="141">
        <v>942</v>
      </c>
      <c r="P31" s="141"/>
      <c r="Q31" s="118">
        <f>((P31/G31)^(1/($H$3-$H$2) ))-1</f>
        <v>-1</v>
      </c>
      <c r="R31" s="31">
        <v>0.1</v>
      </c>
      <c r="S31" s="119">
        <f t="shared" si="21"/>
        <v>0</v>
      </c>
      <c r="T31" s="119">
        <f t="shared" si="22"/>
        <v>0</v>
      </c>
      <c r="U31" s="119">
        <f t="shared" si="23"/>
        <v>0</v>
      </c>
      <c r="V31" s="119">
        <f t="shared" si="24"/>
        <v>0</v>
      </c>
      <c r="W31" s="119">
        <f t="shared" si="25"/>
        <v>0</v>
      </c>
      <c r="X31" s="119">
        <f t="shared" si="26"/>
        <v>0</v>
      </c>
      <c r="Y31" s="119">
        <f t="shared" si="27"/>
        <v>0</v>
      </c>
      <c r="Z31" s="119">
        <f t="shared" si="28"/>
        <v>0</v>
      </c>
      <c r="AA31" s="119">
        <f t="shared" si="29"/>
        <v>0</v>
      </c>
      <c r="AB31" s="119">
        <f t="shared" si="30"/>
        <v>0</v>
      </c>
      <c r="AC31" s="138">
        <f t="shared" si="16"/>
        <v>-1</v>
      </c>
      <c r="AD31" s="31">
        <v>0.08</v>
      </c>
      <c r="AE31" s="127">
        <f>(AB31*(1+AC31))/($C$2-AD31)</f>
        <v>0</v>
      </c>
    </row>
    <row r="32" spans="2:31" x14ac:dyDescent="0.2">
      <c r="B32" s="20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28"/>
      <c r="R32" s="128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39"/>
      <c r="AD32" s="20"/>
      <c r="AE32" s="20"/>
    </row>
    <row r="33" spans="2:31" x14ac:dyDescent="0.2">
      <c r="B33" s="20" t="s">
        <v>257</v>
      </c>
      <c r="C33" s="141"/>
      <c r="D33" s="141"/>
      <c r="E33" s="141"/>
      <c r="F33" s="141"/>
      <c r="G33" s="141">
        <v>-97</v>
      </c>
      <c r="H33" s="141">
        <v>6.9</v>
      </c>
      <c r="I33" s="141">
        <v>40.35</v>
      </c>
      <c r="J33" s="141">
        <v>491.73</v>
      </c>
      <c r="K33" s="141">
        <v>640</v>
      </c>
      <c r="L33" s="141">
        <v>430</v>
      </c>
      <c r="M33" s="141">
        <v>346</v>
      </c>
      <c r="N33" s="142">
        <v>55</v>
      </c>
      <c r="O33" s="142">
        <v>260</v>
      </c>
      <c r="P33" s="142"/>
      <c r="Q33" s="118">
        <f>((P33/G33)^(1/($H$3-$H$2) ))-1</f>
        <v>-1</v>
      </c>
      <c r="R33" s="31">
        <v>0.1</v>
      </c>
      <c r="S33" s="119">
        <f>P33*(1+$R33)</f>
        <v>0</v>
      </c>
      <c r="T33" s="119">
        <f t="shared" ref="T33:AB33" si="53">S33*(1+$R33)</f>
        <v>0</v>
      </c>
      <c r="U33" s="119">
        <f t="shared" si="53"/>
        <v>0</v>
      </c>
      <c r="V33" s="119">
        <f t="shared" si="53"/>
        <v>0</v>
      </c>
      <c r="W33" s="119">
        <f t="shared" si="53"/>
        <v>0</v>
      </c>
      <c r="X33" s="119">
        <f t="shared" si="53"/>
        <v>0</v>
      </c>
      <c r="Y33" s="119">
        <f t="shared" si="53"/>
        <v>0</v>
      </c>
      <c r="Z33" s="119">
        <f t="shared" si="53"/>
        <v>0</v>
      </c>
      <c r="AA33" s="119">
        <f t="shared" si="53"/>
        <v>0</v>
      </c>
      <c r="AB33" s="119">
        <f t="shared" si="53"/>
        <v>0</v>
      </c>
      <c r="AC33" s="138">
        <f t="shared" si="16"/>
        <v>-1</v>
      </c>
      <c r="AD33" s="31">
        <v>0.08</v>
      </c>
      <c r="AE33" s="127">
        <f>(AB33*(1+AC33))/($C$2-AD33)</f>
        <v>0</v>
      </c>
    </row>
    <row r="34" spans="2:31" x14ac:dyDescent="0.2">
      <c r="B34" s="20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28"/>
      <c r="R34" s="128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39"/>
      <c r="AD34" s="20"/>
      <c r="AE34" s="20"/>
    </row>
    <row r="35" spans="2:31" x14ac:dyDescent="0.2">
      <c r="B35" s="20" t="s">
        <v>239</v>
      </c>
      <c r="C35" s="143">
        <v>1</v>
      </c>
      <c r="D35" s="143">
        <v>1</v>
      </c>
      <c r="E35" s="144">
        <v>1</v>
      </c>
      <c r="F35" s="144">
        <v>1</v>
      </c>
      <c r="G35" s="145">
        <v>13.75</v>
      </c>
      <c r="H35" s="146">
        <v>13.95</v>
      </c>
      <c r="I35" s="146">
        <v>19.07</v>
      </c>
      <c r="J35" s="143">
        <v>22.03</v>
      </c>
      <c r="K35" s="143">
        <v>28.19</v>
      </c>
      <c r="L35" s="147">
        <v>28.24</v>
      </c>
      <c r="M35" s="147">
        <v>30.71</v>
      </c>
      <c r="N35" s="147">
        <v>30.71</v>
      </c>
      <c r="O35" s="147">
        <v>30.71</v>
      </c>
      <c r="P35" s="147"/>
      <c r="Q35" s="118">
        <f>((P35/G35)^(1/($H$3-$H$2) ))-1</f>
        <v>-1</v>
      </c>
      <c r="R35" s="31">
        <v>0</v>
      </c>
      <c r="S35" s="119">
        <f t="shared" ref="S35" si="54">P35*(1+$R35)</f>
        <v>0</v>
      </c>
      <c r="T35" s="119">
        <f t="shared" ref="T35:AB35" si="55">S35*(1+$R35)</f>
        <v>0</v>
      </c>
      <c r="U35" s="119">
        <f t="shared" si="55"/>
        <v>0</v>
      </c>
      <c r="V35" s="119">
        <f t="shared" si="55"/>
        <v>0</v>
      </c>
      <c r="W35" s="119">
        <f t="shared" si="55"/>
        <v>0</v>
      </c>
      <c r="X35" s="119">
        <f t="shared" si="55"/>
        <v>0</v>
      </c>
      <c r="Y35" s="119">
        <f t="shared" si="55"/>
        <v>0</v>
      </c>
      <c r="Z35" s="119">
        <f t="shared" si="55"/>
        <v>0</v>
      </c>
      <c r="AA35" s="119">
        <f t="shared" si="55"/>
        <v>0</v>
      </c>
      <c r="AB35" s="119">
        <f t="shared" si="55"/>
        <v>0</v>
      </c>
      <c r="AC35" s="138">
        <f t="shared" si="16"/>
        <v>-1</v>
      </c>
      <c r="AD35" s="31">
        <v>0.08</v>
      </c>
      <c r="AE35" s="127">
        <f>(AB35*(1+AC35))/($C$2-AD35)</f>
        <v>0</v>
      </c>
    </row>
    <row r="36" spans="2:31" x14ac:dyDescent="0.2">
      <c r="B36" s="20"/>
      <c r="C36" s="20"/>
      <c r="D36" s="20"/>
      <c r="E36" s="127"/>
      <c r="F36" s="127"/>
      <c r="G36" s="127"/>
      <c r="H36" s="20"/>
      <c r="I36" s="20"/>
      <c r="J36" s="20"/>
      <c r="K36" s="20"/>
      <c r="L36" s="20"/>
      <c r="M36" s="20"/>
      <c r="N36" s="20"/>
      <c r="O36" s="20"/>
      <c r="P36" s="20"/>
      <c r="Q36" s="128"/>
      <c r="R36" s="128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39"/>
      <c r="AD36" s="20"/>
      <c r="AE36" s="20"/>
    </row>
    <row r="37" spans="2:31" x14ac:dyDescent="0.2">
      <c r="B37" s="108" t="s">
        <v>243</v>
      </c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39"/>
      <c r="AD37" s="20"/>
      <c r="AE37" s="20"/>
    </row>
    <row r="38" spans="2:31" x14ac:dyDescent="0.2">
      <c r="B38" s="20" t="s">
        <v>258</v>
      </c>
      <c r="C38" s="154">
        <f t="shared" ref="C38:M38" si="56">C33/C35</f>
        <v>0</v>
      </c>
      <c r="D38" s="154">
        <f t="shared" si="56"/>
        <v>0</v>
      </c>
      <c r="E38" s="154">
        <f t="shared" si="56"/>
        <v>0</v>
      </c>
      <c r="F38" s="154">
        <f t="shared" si="56"/>
        <v>0</v>
      </c>
      <c r="G38" s="154">
        <f t="shared" si="56"/>
        <v>-7.0545454545454547</v>
      </c>
      <c r="H38" s="154">
        <f t="shared" si="56"/>
        <v>0.49462365591397855</v>
      </c>
      <c r="I38" s="154">
        <f t="shared" si="56"/>
        <v>2.1158888306240167</v>
      </c>
      <c r="J38" s="154">
        <f t="shared" si="56"/>
        <v>22.320926009986383</v>
      </c>
      <c r="K38" s="154">
        <f t="shared" si="56"/>
        <v>22.703086200780419</v>
      </c>
      <c r="L38" s="154">
        <f t="shared" si="56"/>
        <v>15.226628895184136</v>
      </c>
      <c r="M38" s="154">
        <f t="shared" si="56"/>
        <v>11.26668837512211</v>
      </c>
      <c r="N38" s="154">
        <f>N33/N35</f>
        <v>1.7909475740801042</v>
      </c>
      <c r="O38" s="154">
        <f>O33/O35</f>
        <v>8.4662976229241291</v>
      </c>
      <c r="P38" s="154" t="e">
        <f>P33/P35</f>
        <v>#DIV/0!</v>
      </c>
      <c r="Q38" s="118" t="e">
        <f>((P38/G38)^(1/($H$3-$H$2) ))-1</f>
        <v>#DIV/0!</v>
      </c>
      <c r="R38" s="31">
        <v>0.08</v>
      </c>
      <c r="S38" s="119" t="e">
        <f t="shared" ref="S38:S41" si="57">P38*(1+$R38)</f>
        <v>#DIV/0!</v>
      </c>
      <c r="T38" s="119" t="e">
        <f t="shared" ref="T38:AB41" si="58">S38*(1+$R38)</f>
        <v>#DIV/0!</v>
      </c>
      <c r="U38" s="119" t="e">
        <f t="shared" si="58"/>
        <v>#DIV/0!</v>
      </c>
      <c r="V38" s="119" t="e">
        <f t="shared" si="58"/>
        <v>#DIV/0!</v>
      </c>
      <c r="W38" s="119" t="e">
        <f t="shared" si="58"/>
        <v>#DIV/0!</v>
      </c>
      <c r="X38" s="119" t="e">
        <f t="shared" si="58"/>
        <v>#DIV/0!</v>
      </c>
      <c r="Y38" s="119" t="e">
        <f t="shared" si="58"/>
        <v>#DIV/0!</v>
      </c>
      <c r="Z38" s="119" t="e">
        <f t="shared" si="58"/>
        <v>#DIV/0!</v>
      </c>
      <c r="AA38" s="119" t="e">
        <f t="shared" si="58"/>
        <v>#DIV/0!</v>
      </c>
      <c r="AB38" s="119" t="e">
        <f t="shared" si="58"/>
        <v>#DIV/0!</v>
      </c>
      <c r="AC38" s="138" t="e">
        <f t="shared" ref="AC38:AC51" si="59">((AB38/G38)^(1/($AB$4-$H$2) ))-1</f>
        <v>#DIV/0!</v>
      </c>
      <c r="AD38" s="31">
        <v>0.08</v>
      </c>
      <c r="AE38" s="127" t="e">
        <f>(AB38*(1+AC38))/($C$2-AD38)</f>
        <v>#DIV/0!</v>
      </c>
    </row>
    <row r="39" spans="2:31" x14ac:dyDescent="0.2">
      <c r="B39" s="20" t="s">
        <v>245</v>
      </c>
      <c r="C39" s="154">
        <f t="shared" ref="C39:P39" si="60">C8/C35</f>
        <v>0</v>
      </c>
      <c r="D39" s="154">
        <f t="shared" si="60"/>
        <v>0</v>
      </c>
      <c r="E39" s="154">
        <f t="shared" si="60"/>
        <v>0</v>
      </c>
      <c r="F39" s="154">
        <f t="shared" si="60"/>
        <v>0</v>
      </c>
      <c r="G39" s="154">
        <f t="shared" si="60"/>
        <v>214.32727272727271</v>
      </c>
      <c r="H39" s="154">
        <f t="shared" si="60"/>
        <v>142.43727598566309</v>
      </c>
      <c r="I39" s="154">
        <f t="shared" si="60"/>
        <v>79.968536969061347</v>
      </c>
      <c r="J39" s="154">
        <f t="shared" si="60"/>
        <v>96.096232410349515</v>
      </c>
      <c r="K39" s="154">
        <f t="shared" si="60"/>
        <v>114.68605888612983</v>
      </c>
      <c r="L39" s="154">
        <f t="shared" si="60"/>
        <v>125.14164305949009</v>
      </c>
      <c r="M39" s="154">
        <f t="shared" si="60"/>
        <v>131.71605340280038</v>
      </c>
      <c r="N39" s="154">
        <f t="shared" si="60"/>
        <v>129.99023119505046</v>
      </c>
      <c r="O39" s="154">
        <f t="shared" si="60"/>
        <v>128.49234776945619</v>
      </c>
      <c r="P39" s="154" t="e">
        <f t="shared" si="60"/>
        <v>#DIV/0!</v>
      </c>
      <c r="Q39" s="118" t="e">
        <f>((P39/G39)^(1/($H$3-$H$2) ))-1</f>
        <v>#DIV/0!</v>
      </c>
      <c r="R39" s="31">
        <v>0.08</v>
      </c>
      <c r="S39" s="119" t="e">
        <f t="shared" si="57"/>
        <v>#DIV/0!</v>
      </c>
      <c r="T39" s="119" t="e">
        <f t="shared" si="58"/>
        <v>#DIV/0!</v>
      </c>
      <c r="U39" s="119" t="e">
        <f t="shared" si="58"/>
        <v>#DIV/0!</v>
      </c>
      <c r="V39" s="119" t="e">
        <f t="shared" si="58"/>
        <v>#DIV/0!</v>
      </c>
      <c r="W39" s="119" t="e">
        <f t="shared" si="58"/>
        <v>#DIV/0!</v>
      </c>
      <c r="X39" s="119" t="e">
        <f t="shared" si="58"/>
        <v>#DIV/0!</v>
      </c>
      <c r="Y39" s="119" t="e">
        <f t="shared" si="58"/>
        <v>#DIV/0!</v>
      </c>
      <c r="Z39" s="119" t="e">
        <f t="shared" si="58"/>
        <v>#DIV/0!</v>
      </c>
      <c r="AA39" s="119" t="e">
        <f t="shared" si="58"/>
        <v>#DIV/0!</v>
      </c>
      <c r="AB39" s="119" t="e">
        <f t="shared" si="58"/>
        <v>#DIV/0!</v>
      </c>
      <c r="AC39" s="138" t="e">
        <f t="shared" si="59"/>
        <v>#DIV/0!</v>
      </c>
      <c r="AD39" s="31">
        <v>0.08</v>
      </c>
      <c r="AE39" s="127" t="e">
        <f>(AB39*(1+AC39))/($C$2-AD39)</f>
        <v>#DIV/0!</v>
      </c>
    </row>
    <row r="40" spans="2:31" x14ac:dyDescent="0.2">
      <c r="B40" s="20" t="s">
        <v>246</v>
      </c>
      <c r="C40" s="155">
        <f t="shared" ref="C40:P40" si="61">C7/C35</f>
        <v>0</v>
      </c>
      <c r="D40" s="155">
        <f t="shared" si="61"/>
        <v>0</v>
      </c>
      <c r="E40" s="155">
        <f t="shared" si="61"/>
        <v>0</v>
      </c>
      <c r="F40" s="155">
        <f t="shared" si="61"/>
        <v>0</v>
      </c>
      <c r="G40" s="155">
        <f t="shared" si="61"/>
        <v>73.890909090909091</v>
      </c>
      <c r="H40" s="155">
        <f t="shared" si="61"/>
        <v>1.0035842293906811</v>
      </c>
      <c r="I40" s="155">
        <f t="shared" si="61"/>
        <v>25.27530152071316</v>
      </c>
      <c r="J40" s="155">
        <f t="shared" si="61"/>
        <v>48.751702224239672</v>
      </c>
      <c r="K40" s="155">
        <f t="shared" si="61"/>
        <v>78.999645264278115</v>
      </c>
      <c r="L40" s="155">
        <f t="shared" si="61"/>
        <v>91.536827195467424</v>
      </c>
      <c r="M40" s="155">
        <f t="shared" si="61"/>
        <v>101.92119830674048</v>
      </c>
      <c r="N40" s="155">
        <f t="shared" si="61"/>
        <v>119.96092478020188</v>
      </c>
      <c r="O40" s="155">
        <f t="shared" si="61"/>
        <v>118.49560403777271</v>
      </c>
      <c r="P40" s="155" t="e">
        <f t="shared" si="61"/>
        <v>#DIV/0!</v>
      </c>
      <c r="Q40" s="118" t="e">
        <f>((P40/G40)^(1/($H$3-$H$2) ))-1</f>
        <v>#DIV/0!</v>
      </c>
      <c r="R40" s="31">
        <v>0.08</v>
      </c>
      <c r="S40" s="119" t="e">
        <f t="shared" si="57"/>
        <v>#DIV/0!</v>
      </c>
      <c r="T40" s="119" t="e">
        <f t="shared" si="58"/>
        <v>#DIV/0!</v>
      </c>
      <c r="U40" s="119" t="e">
        <f t="shared" si="58"/>
        <v>#DIV/0!</v>
      </c>
      <c r="V40" s="119" t="e">
        <f t="shared" si="58"/>
        <v>#DIV/0!</v>
      </c>
      <c r="W40" s="119" t="e">
        <f t="shared" si="58"/>
        <v>#DIV/0!</v>
      </c>
      <c r="X40" s="119" t="e">
        <f t="shared" si="58"/>
        <v>#DIV/0!</v>
      </c>
      <c r="Y40" s="119" t="e">
        <f t="shared" si="58"/>
        <v>#DIV/0!</v>
      </c>
      <c r="Z40" s="119" t="e">
        <f t="shared" si="58"/>
        <v>#DIV/0!</v>
      </c>
      <c r="AA40" s="119" t="e">
        <f t="shared" si="58"/>
        <v>#DIV/0!</v>
      </c>
      <c r="AB40" s="119" t="e">
        <f t="shared" si="58"/>
        <v>#DIV/0!</v>
      </c>
      <c r="AC40" s="138" t="e">
        <f t="shared" si="59"/>
        <v>#DIV/0!</v>
      </c>
      <c r="AD40" s="31">
        <v>0.08</v>
      </c>
      <c r="AE40" s="127" t="e">
        <f>(AB40*(1+AC40))/($C$2-AD40)</f>
        <v>#DIV/0!</v>
      </c>
    </row>
    <row r="41" spans="2:31" x14ac:dyDescent="0.2">
      <c r="B41" s="20" t="s">
        <v>247</v>
      </c>
      <c r="C41" s="155">
        <f t="shared" ref="C41:P41" si="62">C11/C35</f>
        <v>0</v>
      </c>
      <c r="D41" s="155">
        <f t="shared" si="62"/>
        <v>0</v>
      </c>
      <c r="E41" s="155">
        <f t="shared" si="62"/>
        <v>0</v>
      </c>
      <c r="F41" s="155">
        <f t="shared" si="62"/>
        <v>0</v>
      </c>
      <c r="G41" s="155">
        <f t="shared" si="62"/>
        <v>0</v>
      </c>
      <c r="H41" s="155">
        <f t="shared" si="62"/>
        <v>0</v>
      </c>
      <c r="I41" s="155">
        <f t="shared" si="62"/>
        <v>0</v>
      </c>
      <c r="J41" s="155">
        <f t="shared" si="62"/>
        <v>0</v>
      </c>
      <c r="K41" s="155">
        <f t="shared" si="62"/>
        <v>0</v>
      </c>
      <c r="L41" s="155">
        <f t="shared" si="62"/>
        <v>0</v>
      </c>
      <c r="M41" s="155">
        <f t="shared" si="62"/>
        <v>0</v>
      </c>
      <c r="N41" s="155">
        <f t="shared" si="62"/>
        <v>0</v>
      </c>
      <c r="O41" s="155">
        <f t="shared" si="62"/>
        <v>83.165092803647013</v>
      </c>
      <c r="P41" s="155" t="e">
        <f t="shared" si="62"/>
        <v>#DIV/0!</v>
      </c>
      <c r="Q41" s="118" t="e">
        <f>((P41/G41)^(1/($H$3-$H$2) ))-1</f>
        <v>#DIV/0!</v>
      </c>
      <c r="R41" s="31">
        <v>0.09</v>
      </c>
      <c r="S41" s="119" t="e">
        <f t="shared" si="57"/>
        <v>#DIV/0!</v>
      </c>
      <c r="T41" s="119" t="e">
        <f t="shared" si="58"/>
        <v>#DIV/0!</v>
      </c>
      <c r="U41" s="119" t="e">
        <f t="shared" si="58"/>
        <v>#DIV/0!</v>
      </c>
      <c r="V41" s="119" t="e">
        <f t="shared" si="58"/>
        <v>#DIV/0!</v>
      </c>
      <c r="W41" s="119" t="e">
        <f t="shared" si="58"/>
        <v>#DIV/0!</v>
      </c>
      <c r="X41" s="119" t="e">
        <f t="shared" si="58"/>
        <v>#DIV/0!</v>
      </c>
      <c r="Y41" s="119" t="e">
        <f t="shared" si="58"/>
        <v>#DIV/0!</v>
      </c>
      <c r="Z41" s="119" t="e">
        <f t="shared" si="58"/>
        <v>#DIV/0!</v>
      </c>
      <c r="AA41" s="119" t="e">
        <f t="shared" si="58"/>
        <v>#DIV/0!</v>
      </c>
      <c r="AB41" s="119" t="e">
        <f t="shared" si="58"/>
        <v>#DIV/0!</v>
      </c>
      <c r="AC41" s="138" t="e">
        <f t="shared" si="59"/>
        <v>#DIV/0!</v>
      </c>
      <c r="AD41" s="31">
        <v>0.08</v>
      </c>
      <c r="AE41" s="127" t="e">
        <f>(AB41*(1+AC41))/($C$2-AD41)</f>
        <v>#DIV/0!</v>
      </c>
    </row>
    <row r="42" spans="2:31" x14ac:dyDescent="0.2">
      <c r="B42" s="20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28"/>
      <c r="R42" s="128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39"/>
      <c r="AD42" s="20"/>
      <c r="AE42" s="20"/>
    </row>
    <row r="43" spans="2:31" x14ac:dyDescent="0.2">
      <c r="B43" s="20" t="s">
        <v>271</v>
      </c>
      <c r="C43" s="155">
        <f t="shared" ref="C43:P43" si="63">(C8-C11)/C35</f>
        <v>0</v>
      </c>
      <c r="D43" s="155">
        <f t="shared" si="63"/>
        <v>0</v>
      </c>
      <c r="E43" s="155">
        <f t="shared" si="63"/>
        <v>0</v>
      </c>
      <c r="F43" s="155">
        <f t="shared" si="63"/>
        <v>0</v>
      </c>
      <c r="G43" s="155">
        <f t="shared" si="63"/>
        <v>214.32727272727271</v>
      </c>
      <c r="H43" s="155">
        <f t="shared" si="63"/>
        <v>142.43727598566309</v>
      </c>
      <c r="I43" s="155">
        <f t="shared" si="63"/>
        <v>79.968536969061347</v>
      </c>
      <c r="J43" s="155">
        <f t="shared" si="63"/>
        <v>96.096232410349515</v>
      </c>
      <c r="K43" s="155">
        <f t="shared" si="63"/>
        <v>114.68605888612983</v>
      </c>
      <c r="L43" s="155">
        <f t="shared" si="63"/>
        <v>125.14164305949009</v>
      </c>
      <c r="M43" s="155">
        <f t="shared" si="63"/>
        <v>131.71605340280038</v>
      </c>
      <c r="N43" s="155">
        <f t="shared" si="63"/>
        <v>129.99023119505046</v>
      </c>
      <c r="O43" s="155">
        <f t="shared" si="63"/>
        <v>45.327254965809182</v>
      </c>
      <c r="P43" s="155" t="e">
        <f t="shared" si="63"/>
        <v>#DIV/0!</v>
      </c>
      <c r="Q43" s="118" t="e">
        <f>((P43/G43)^(1/($H$3-$H$2) ))-1</f>
        <v>#DIV/0!</v>
      </c>
      <c r="R43" s="31">
        <v>0.08</v>
      </c>
      <c r="S43" s="119" t="e">
        <f t="shared" ref="S43" si="64">P43*(1+$R43)</f>
        <v>#DIV/0!</v>
      </c>
      <c r="T43" s="119" t="e">
        <f t="shared" ref="T43" si="65">S43*(1+$R43)</f>
        <v>#DIV/0!</v>
      </c>
      <c r="U43" s="119" t="e">
        <f t="shared" ref="U43" si="66">T43*(1+$R43)</f>
        <v>#DIV/0!</v>
      </c>
      <c r="V43" s="119" t="e">
        <f t="shared" ref="V43" si="67">U43*(1+$R43)</f>
        <v>#DIV/0!</v>
      </c>
      <c r="W43" s="119" t="e">
        <f t="shared" ref="W43" si="68">V43*(1+$R43)</f>
        <v>#DIV/0!</v>
      </c>
      <c r="X43" s="119" t="e">
        <f t="shared" ref="X43" si="69">W43*(1+$R43)</f>
        <v>#DIV/0!</v>
      </c>
      <c r="Y43" s="119" t="e">
        <f t="shared" ref="Y43" si="70">X43*(1+$R43)</f>
        <v>#DIV/0!</v>
      </c>
      <c r="Z43" s="119" t="e">
        <f t="shared" ref="Z43" si="71">Y43*(1+$R43)</f>
        <v>#DIV/0!</v>
      </c>
      <c r="AA43" s="119" t="e">
        <f t="shared" ref="AA43" si="72">Z43*(1+$R43)</f>
        <v>#DIV/0!</v>
      </c>
      <c r="AB43" s="119" t="e">
        <f t="shared" ref="AB43" si="73">AA43*(1+$R43)</f>
        <v>#DIV/0!</v>
      </c>
      <c r="AC43" s="138" t="e">
        <f t="shared" si="59"/>
        <v>#DIV/0!</v>
      </c>
      <c r="AD43" s="31">
        <v>0.08</v>
      </c>
      <c r="AE43" s="127" t="e">
        <f>(AB43*(1+AC43))/($C$2-AD43)</f>
        <v>#DIV/0!</v>
      </c>
    </row>
    <row r="44" spans="2:31" x14ac:dyDescent="0.2">
      <c r="B44" s="20" t="s">
        <v>272</v>
      </c>
      <c r="C44" s="155">
        <f t="shared" ref="C44:P44" si="74">(C8-C11-C10)/C35</f>
        <v>0</v>
      </c>
      <c r="D44" s="155">
        <f t="shared" si="74"/>
        <v>0</v>
      </c>
      <c r="E44" s="155">
        <f t="shared" si="74"/>
        <v>0</v>
      </c>
      <c r="F44" s="155">
        <f t="shared" si="74"/>
        <v>0</v>
      </c>
      <c r="G44" s="155">
        <f t="shared" si="74"/>
        <v>193.16363636363636</v>
      </c>
      <c r="H44" s="155">
        <f t="shared" si="74"/>
        <v>117.13261648745521</v>
      </c>
      <c r="I44" s="155">
        <f t="shared" si="74"/>
        <v>53.959098059779755</v>
      </c>
      <c r="J44" s="155">
        <f t="shared" si="74"/>
        <v>75.034044484793455</v>
      </c>
      <c r="K44" s="155">
        <f t="shared" si="74"/>
        <v>74.068818730046118</v>
      </c>
      <c r="L44" s="155">
        <f t="shared" si="74"/>
        <v>76.983002832861189</v>
      </c>
      <c r="M44" s="155">
        <f t="shared" si="74"/>
        <v>80.527515467274497</v>
      </c>
      <c r="N44" s="155">
        <f t="shared" si="74"/>
        <v>82.285900358189508</v>
      </c>
      <c r="O44" s="155">
        <f t="shared" si="74"/>
        <v>-20.416802344513187</v>
      </c>
      <c r="P44" s="155" t="e">
        <f t="shared" si="74"/>
        <v>#DIV/0!</v>
      </c>
      <c r="Q44" s="118" t="e">
        <f>((P44/G44)^(1/($H$3-$H$2) ))-1</f>
        <v>#DIV/0!</v>
      </c>
      <c r="R44" s="31">
        <v>0.08</v>
      </c>
      <c r="S44" s="119" t="e">
        <f t="shared" ref="S44" si="75">P44*(1+$R44)</f>
        <v>#DIV/0!</v>
      </c>
      <c r="T44" s="119" t="e">
        <f t="shared" ref="T44" si="76">S44*(1+$R44)</f>
        <v>#DIV/0!</v>
      </c>
      <c r="U44" s="119" t="e">
        <f t="shared" ref="U44" si="77">T44*(1+$R44)</f>
        <v>#DIV/0!</v>
      </c>
      <c r="V44" s="119" t="e">
        <f t="shared" ref="V44" si="78">U44*(1+$R44)</f>
        <v>#DIV/0!</v>
      </c>
      <c r="W44" s="119" t="e">
        <f t="shared" ref="W44" si="79">V44*(1+$R44)</f>
        <v>#DIV/0!</v>
      </c>
      <c r="X44" s="119" t="e">
        <f t="shared" ref="X44" si="80">W44*(1+$R44)</f>
        <v>#DIV/0!</v>
      </c>
      <c r="Y44" s="119" t="e">
        <f t="shared" ref="Y44" si="81">X44*(1+$R44)</f>
        <v>#DIV/0!</v>
      </c>
      <c r="Z44" s="119" t="e">
        <f t="shared" ref="Z44" si="82">Y44*(1+$R44)</f>
        <v>#DIV/0!</v>
      </c>
      <c r="AA44" s="119" t="e">
        <f t="shared" ref="AA44" si="83">Z44*(1+$R44)</f>
        <v>#DIV/0!</v>
      </c>
      <c r="AB44" s="119" t="e">
        <f t="shared" ref="AB44" si="84">AA44*(1+$R44)</f>
        <v>#DIV/0!</v>
      </c>
      <c r="AC44" s="138" t="e">
        <f t="shared" si="59"/>
        <v>#DIV/0!</v>
      </c>
      <c r="AD44" s="31">
        <v>0.08</v>
      </c>
      <c r="AE44" s="127" t="e">
        <f>(AB44*(1+AC44))/($C$2-AD44)</f>
        <v>#DIV/0!</v>
      </c>
    </row>
    <row r="45" spans="2:31" x14ac:dyDescent="0.2">
      <c r="B45" s="20" t="s">
        <v>277</v>
      </c>
      <c r="C45" s="155">
        <f t="shared" ref="C45:P45" si="85">(C8+C14-C11-C10)/C35</f>
        <v>0</v>
      </c>
      <c r="D45" s="155">
        <f t="shared" si="85"/>
        <v>0</v>
      </c>
      <c r="E45" s="155">
        <f t="shared" si="85"/>
        <v>0</v>
      </c>
      <c r="F45" s="155">
        <f t="shared" si="85"/>
        <v>0</v>
      </c>
      <c r="G45" s="155">
        <f t="shared" si="85"/>
        <v>270.76363636363635</v>
      </c>
      <c r="H45" s="155">
        <f t="shared" si="85"/>
        <v>193.62007168458783</v>
      </c>
      <c r="I45" s="155">
        <f t="shared" si="85"/>
        <v>121.18510749868904</v>
      </c>
      <c r="J45" s="155">
        <f t="shared" si="85"/>
        <v>139.94552882433044</v>
      </c>
      <c r="K45" s="155">
        <f t="shared" si="85"/>
        <v>139.4820858460447</v>
      </c>
      <c r="L45" s="155">
        <f t="shared" si="85"/>
        <v>143.27195467422098</v>
      </c>
      <c r="M45" s="155">
        <f t="shared" si="85"/>
        <v>150.43959622272874</v>
      </c>
      <c r="N45" s="155">
        <f t="shared" si="85"/>
        <v>147.5089547378704</v>
      </c>
      <c r="O45" s="155">
        <f t="shared" si="85"/>
        <v>73.005535656138065</v>
      </c>
      <c r="P45" s="155" t="e">
        <f t="shared" si="85"/>
        <v>#DIV/0!</v>
      </c>
      <c r="Q45" s="118" t="e">
        <f>((P45/G45)^(1/($H$3-$H$2) ))-1</f>
        <v>#DIV/0!</v>
      </c>
      <c r="R45" s="31">
        <v>0.05</v>
      </c>
      <c r="S45" s="119" t="e">
        <f t="shared" ref="S45" si="86">P45*(1+$R45)</f>
        <v>#DIV/0!</v>
      </c>
      <c r="T45" s="119" t="e">
        <f t="shared" ref="T45" si="87">S45*(1+$R45)</f>
        <v>#DIV/0!</v>
      </c>
      <c r="U45" s="119" t="e">
        <f t="shared" ref="U45" si="88">T45*(1+$R45)</f>
        <v>#DIV/0!</v>
      </c>
      <c r="V45" s="119" t="e">
        <f t="shared" ref="V45" si="89">U45*(1+$R45)</f>
        <v>#DIV/0!</v>
      </c>
      <c r="W45" s="119" t="e">
        <f t="shared" ref="W45" si="90">V45*(1+$R45)</f>
        <v>#DIV/0!</v>
      </c>
      <c r="X45" s="119" t="e">
        <f t="shared" ref="X45" si="91">W45*(1+$R45)</f>
        <v>#DIV/0!</v>
      </c>
      <c r="Y45" s="119" t="e">
        <f t="shared" ref="Y45" si="92">X45*(1+$R45)</f>
        <v>#DIV/0!</v>
      </c>
      <c r="Z45" s="119" t="e">
        <f t="shared" ref="Z45" si="93">Y45*(1+$R45)</f>
        <v>#DIV/0!</v>
      </c>
      <c r="AA45" s="119" t="e">
        <f t="shared" ref="AA45" si="94">Z45*(1+$R45)</f>
        <v>#DIV/0!</v>
      </c>
      <c r="AB45" s="119" t="e">
        <f t="shared" ref="AB45" si="95">AA45*(1+$R45)</f>
        <v>#DIV/0!</v>
      </c>
      <c r="AC45" s="138" t="e">
        <f t="shared" si="59"/>
        <v>#DIV/0!</v>
      </c>
      <c r="AD45" s="31">
        <v>0.08</v>
      </c>
      <c r="AE45" s="127" t="e">
        <f>(AB45*(1+AC45))/($C$2-AD45)</f>
        <v>#DIV/0!</v>
      </c>
    </row>
    <row r="46" spans="2:31" x14ac:dyDescent="0.2">
      <c r="B46" s="20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28"/>
      <c r="R46" s="128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39"/>
      <c r="AD46" s="20"/>
      <c r="AE46" s="20"/>
    </row>
    <row r="47" spans="2:31" x14ac:dyDescent="0.2">
      <c r="B47" s="20" t="s">
        <v>248</v>
      </c>
      <c r="C47" s="155">
        <f t="shared" ref="C47:P47" si="96">C12/C35</f>
        <v>0</v>
      </c>
      <c r="D47" s="155">
        <f t="shared" si="96"/>
        <v>0</v>
      </c>
      <c r="E47" s="155">
        <f t="shared" si="96"/>
        <v>0</v>
      </c>
      <c r="F47" s="155">
        <f t="shared" si="96"/>
        <v>0</v>
      </c>
      <c r="G47" s="155">
        <f t="shared" si="96"/>
        <v>0.28727272727272729</v>
      </c>
      <c r="H47" s="155">
        <f t="shared" si="96"/>
        <v>7.8853046594982087E-2</v>
      </c>
      <c r="I47" s="155">
        <f t="shared" si="96"/>
        <v>0.16151022548505506</v>
      </c>
      <c r="J47" s="155">
        <f t="shared" si="96"/>
        <v>0.33227417158420336</v>
      </c>
      <c r="K47" s="155">
        <f t="shared" si="96"/>
        <v>0.29797800638524297</v>
      </c>
      <c r="L47" s="155">
        <f t="shared" si="96"/>
        <v>0.25849858356940508</v>
      </c>
      <c r="M47" s="155">
        <f t="shared" si="96"/>
        <v>0.19211983067404756</v>
      </c>
      <c r="N47" s="155">
        <f t="shared" si="96"/>
        <v>1.6571149462715729</v>
      </c>
      <c r="O47" s="155">
        <f t="shared" si="96"/>
        <v>0.3959622272875285</v>
      </c>
      <c r="P47" s="155" t="e">
        <f t="shared" si="96"/>
        <v>#DIV/0!</v>
      </c>
      <c r="Q47" s="118" t="e">
        <f>((P47/G47)^(1/($H$3-$H$2) ))-1</f>
        <v>#DIV/0!</v>
      </c>
      <c r="R47" s="31">
        <v>0.1</v>
      </c>
      <c r="S47" s="119" t="e">
        <f t="shared" ref="S47:S51" si="97">P47*(1+$R47)</f>
        <v>#DIV/0!</v>
      </c>
      <c r="T47" s="119" t="e">
        <f t="shared" ref="T47:AB51" si="98">S47*(1+$R47)</f>
        <v>#DIV/0!</v>
      </c>
      <c r="U47" s="119" t="e">
        <f t="shared" si="98"/>
        <v>#DIV/0!</v>
      </c>
      <c r="V47" s="119" t="e">
        <f t="shared" si="98"/>
        <v>#DIV/0!</v>
      </c>
      <c r="W47" s="119" t="e">
        <f t="shared" si="98"/>
        <v>#DIV/0!</v>
      </c>
      <c r="X47" s="119" t="e">
        <f t="shared" si="98"/>
        <v>#DIV/0!</v>
      </c>
      <c r="Y47" s="119" t="e">
        <f t="shared" si="98"/>
        <v>#DIV/0!</v>
      </c>
      <c r="Z47" s="119" t="e">
        <f t="shared" si="98"/>
        <v>#DIV/0!</v>
      </c>
      <c r="AA47" s="119" t="e">
        <f t="shared" si="98"/>
        <v>#DIV/0!</v>
      </c>
      <c r="AB47" s="119" t="e">
        <f t="shared" si="98"/>
        <v>#DIV/0!</v>
      </c>
      <c r="AC47" s="138" t="e">
        <f t="shared" si="59"/>
        <v>#DIV/0!</v>
      </c>
      <c r="AD47" s="31">
        <v>0.08</v>
      </c>
      <c r="AE47" s="127" t="e">
        <f>(AB47*(1+AC47))/($C$2-AD47)</f>
        <v>#DIV/0!</v>
      </c>
    </row>
    <row r="48" spans="2:31" x14ac:dyDescent="0.2">
      <c r="B48" s="20" t="s">
        <v>255</v>
      </c>
      <c r="C48" s="155">
        <f t="shared" ref="C48:P48" si="99">C13/C35</f>
        <v>0</v>
      </c>
      <c r="D48" s="155">
        <f t="shared" si="99"/>
        <v>0</v>
      </c>
      <c r="E48" s="155">
        <f t="shared" si="99"/>
        <v>0</v>
      </c>
      <c r="F48" s="155">
        <f t="shared" si="99"/>
        <v>0</v>
      </c>
      <c r="G48" s="155">
        <f t="shared" si="99"/>
        <v>4.7272727272727275</v>
      </c>
      <c r="H48" s="155">
        <f t="shared" si="99"/>
        <v>4.3727598566308243</v>
      </c>
      <c r="I48" s="155">
        <f t="shared" si="99"/>
        <v>3.1987414787624542</v>
      </c>
      <c r="J48" s="155">
        <f t="shared" si="99"/>
        <v>11.52973218338629</v>
      </c>
      <c r="K48" s="155">
        <f t="shared" si="99"/>
        <v>11.81269953884356</v>
      </c>
      <c r="L48" s="155">
        <f t="shared" si="99"/>
        <v>12.570821529745043</v>
      </c>
      <c r="M48" s="155">
        <f t="shared" si="99"/>
        <v>16.769781830022794</v>
      </c>
      <c r="N48" s="155">
        <f t="shared" si="99"/>
        <v>10.973624226636275</v>
      </c>
      <c r="O48" s="155">
        <f t="shared" si="99"/>
        <v>13.741452295669163</v>
      </c>
      <c r="P48" s="155" t="e">
        <f t="shared" si="99"/>
        <v>#DIV/0!</v>
      </c>
      <c r="Q48" s="118" t="e">
        <f>((P48/G48)^(1/($H$3-$H$2) ))-1</f>
        <v>#DIV/0!</v>
      </c>
      <c r="R48" s="31">
        <v>0.1</v>
      </c>
      <c r="S48" s="119" t="e">
        <f t="shared" si="97"/>
        <v>#DIV/0!</v>
      </c>
      <c r="T48" s="119" t="e">
        <f t="shared" si="98"/>
        <v>#DIV/0!</v>
      </c>
      <c r="U48" s="119" t="e">
        <f t="shared" si="98"/>
        <v>#DIV/0!</v>
      </c>
      <c r="V48" s="119" t="e">
        <f t="shared" si="98"/>
        <v>#DIV/0!</v>
      </c>
      <c r="W48" s="119" t="e">
        <f t="shared" si="98"/>
        <v>#DIV/0!</v>
      </c>
      <c r="X48" s="119" t="e">
        <f t="shared" si="98"/>
        <v>#DIV/0!</v>
      </c>
      <c r="Y48" s="119" t="e">
        <f t="shared" si="98"/>
        <v>#DIV/0!</v>
      </c>
      <c r="Z48" s="119" t="e">
        <f t="shared" si="98"/>
        <v>#DIV/0!</v>
      </c>
      <c r="AA48" s="119" t="e">
        <f t="shared" si="98"/>
        <v>#DIV/0!</v>
      </c>
      <c r="AB48" s="119" t="e">
        <f t="shared" si="98"/>
        <v>#DIV/0!</v>
      </c>
      <c r="AC48" s="138" t="e">
        <f t="shared" si="59"/>
        <v>#DIV/0!</v>
      </c>
      <c r="AD48" s="31">
        <v>0.08</v>
      </c>
      <c r="AE48" s="127" t="e">
        <f>(AB48*(1+AC48))/($C$2-AD48)</f>
        <v>#DIV/0!</v>
      </c>
    </row>
    <row r="49" spans="2:31" x14ac:dyDescent="0.2">
      <c r="B49" s="20" t="s">
        <v>256</v>
      </c>
      <c r="C49" s="155">
        <f>(C47+C48)</f>
        <v>0</v>
      </c>
      <c r="D49" s="155">
        <f t="shared" ref="D49:P49" si="100">(D47+D48)</f>
        <v>0</v>
      </c>
      <c r="E49" s="155">
        <f t="shared" si="100"/>
        <v>0</v>
      </c>
      <c r="F49" s="155">
        <f t="shared" si="100"/>
        <v>0</v>
      </c>
      <c r="G49" s="155">
        <f t="shared" si="100"/>
        <v>5.0145454545454546</v>
      </c>
      <c r="H49" s="155">
        <f t="shared" si="100"/>
        <v>4.4516129032258061</v>
      </c>
      <c r="I49" s="155">
        <f t="shared" si="100"/>
        <v>3.3602517042475091</v>
      </c>
      <c r="J49" s="155">
        <f t="shared" si="100"/>
        <v>11.862006354970493</v>
      </c>
      <c r="K49" s="155">
        <f t="shared" si="100"/>
        <v>12.110677545228803</v>
      </c>
      <c r="L49" s="155">
        <f t="shared" si="100"/>
        <v>12.829320113314449</v>
      </c>
      <c r="M49" s="155">
        <f t="shared" si="100"/>
        <v>16.961901660696842</v>
      </c>
      <c r="N49" s="155">
        <f t="shared" si="100"/>
        <v>12.630739172907848</v>
      </c>
      <c r="O49" s="155">
        <f t="shared" ref="O49" si="101">(O47+O48)</f>
        <v>14.137414522956691</v>
      </c>
      <c r="P49" s="155" t="e">
        <f t="shared" si="100"/>
        <v>#DIV/0!</v>
      </c>
      <c r="Q49" s="118" t="e">
        <f>((P49/G49)^(1/($H$3-$H$2) ))-1</f>
        <v>#DIV/0!</v>
      </c>
      <c r="R49" s="31">
        <v>0.1</v>
      </c>
      <c r="S49" s="119" t="e">
        <f t="shared" si="97"/>
        <v>#DIV/0!</v>
      </c>
      <c r="T49" s="119" t="e">
        <f t="shared" si="98"/>
        <v>#DIV/0!</v>
      </c>
      <c r="U49" s="119" t="e">
        <f t="shared" si="98"/>
        <v>#DIV/0!</v>
      </c>
      <c r="V49" s="119" t="e">
        <f t="shared" si="98"/>
        <v>#DIV/0!</v>
      </c>
      <c r="W49" s="119" t="e">
        <f t="shared" si="98"/>
        <v>#DIV/0!</v>
      </c>
      <c r="X49" s="119" t="e">
        <f t="shared" si="98"/>
        <v>#DIV/0!</v>
      </c>
      <c r="Y49" s="119" t="e">
        <f t="shared" si="98"/>
        <v>#DIV/0!</v>
      </c>
      <c r="Z49" s="119" t="e">
        <f t="shared" si="98"/>
        <v>#DIV/0!</v>
      </c>
      <c r="AA49" s="119" t="e">
        <f t="shared" si="98"/>
        <v>#DIV/0!</v>
      </c>
      <c r="AB49" s="119" t="e">
        <f t="shared" si="98"/>
        <v>#DIV/0!</v>
      </c>
      <c r="AC49" s="138" t="e">
        <f t="shared" si="59"/>
        <v>#DIV/0!</v>
      </c>
      <c r="AD49" s="31">
        <v>0.08</v>
      </c>
      <c r="AE49" s="127" t="e">
        <f>(AB49*(1+AC49))/($C$2-AD49)</f>
        <v>#DIV/0!</v>
      </c>
    </row>
    <row r="50" spans="2:31" x14ac:dyDescent="0.2">
      <c r="B50" s="20" t="s">
        <v>249</v>
      </c>
      <c r="C50" s="155">
        <f t="shared" ref="C50:P50" si="102">C14/C35</f>
        <v>0</v>
      </c>
      <c r="D50" s="155">
        <f t="shared" si="102"/>
        <v>0</v>
      </c>
      <c r="E50" s="155">
        <f t="shared" si="102"/>
        <v>0</v>
      </c>
      <c r="F50" s="155">
        <f t="shared" si="102"/>
        <v>0</v>
      </c>
      <c r="G50" s="155">
        <f t="shared" si="102"/>
        <v>77.599999999999994</v>
      </c>
      <c r="H50" s="155">
        <f t="shared" si="102"/>
        <v>76.487455197132618</v>
      </c>
      <c r="I50" s="155">
        <f t="shared" si="102"/>
        <v>67.226009438909287</v>
      </c>
      <c r="J50" s="155">
        <f t="shared" si="102"/>
        <v>64.911484339536997</v>
      </c>
      <c r="K50" s="155">
        <f t="shared" si="102"/>
        <v>65.413267115998579</v>
      </c>
      <c r="L50" s="155">
        <f t="shared" si="102"/>
        <v>66.288951841359776</v>
      </c>
      <c r="M50" s="155">
        <f t="shared" si="102"/>
        <v>69.912080755454241</v>
      </c>
      <c r="N50" s="155">
        <f t="shared" si="102"/>
        <v>65.223054379680889</v>
      </c>
      <c r="O50" s="155">
        <f t="shared" si="102"/>
        <v>93.422338000651251</v>
      </c>
      <c r="P50" s="155" t="e">
        <f t="shared" si="102"/>
        <v>#DIV/0!</v>
      </c>
      <c r="Q50" s="118" t="e">
        <f>((P50/G50)^(1/($H$3-$H$2) ))-1</f>
        <v>#DIV/0!</v>
      </c>
      <c r="R50" s="31">
        <v>0.1</v>
      </c>
      <c r="S50" s="119" t="e">
        <f t="shared" si="97"/>
        <v>#DIV/0!</v>
      </c>
      <c r="T50" s="119" t="e">
        <f t="shared" si="98"/>
        <v>#DIV/0!</v>
      </c>
      <c r="U50" s="119" t="e">
        <f t="shared" si="98"/>
        <v>#DIV/0!</v>
      </c>
      <c r="V50" s="119" t="e">
        <f t="shared" si="98"/>
        <v>#DIV/0!</v>
      </c>
      <c r="W50" s="119" t="e">
        <f t="shared" si="98"/>
        <v>#DIV/0!</v>
      </c>
      <c r="X50" s="119" t="e">
        <f t="shared" si="98"/>
        <v>#DIV/0!</v>
      </c>
      <c r="Y50" s="119" t="e">
        <f t="shared" si="98"/>
        <v>#DIV/0!</v>
      </c>
      <c r="Z50" s="119" t="e">
        <f t="shared" si="98"/>
        <v>#DIV/0!</v>
      </c>
      <c r="AA50" s="119" t="e">
        <f t="shared" si="98"/>
        <v>#DIV/0!</v>
      </c>
      <c r="AB50" s="119" t="e">
        <f t="shared" si="98"/>
        <v>#DIV/0!</v>
      </c>
      <c r="AC50" s="138" t="e">
        <f t="shared" si="59"/>
        <v>#DIV/0!</v>
      </c>
      <c r="AD50" s="31">
        <v>0.08</v>
      </c>
      <c r="AE50" s="127" t="e">
        <f>(AB50*(1+AC50))/($C$2-AD50)</f>
        <v>#DIV/0!</v>
      </c>
    </row>
    <row r="51" spans="2:31" x14ac:dyDescent="0.2">
      <c r="B51" s="20" t="s">
        <v>250</v>
      </c>
      <c r="C51" s="155">
        <f t="shared" ref="C51:P51" si="103">C15/C35</f>
        <v>0</v>
      </c>
      <c r="D51" s="155">
        <f t="shared" si="103"/>
        <v>0</v>
      </c>
      <c r="E51" s="155">
        <f t="shared" si="103"/>
        <v>0</v>
      </c>
      <c r="F51" s="155">
        <f t="shared" si="103"/>
        <v>0</v>
      </c>
      <c r="G51" s="155">
        <f t="shared" si="103"/>
        <v>56.363636363636367</v>
      </c>
      <c r="H51" s="155">
        <f t="shared" si="103"/>
        <v>51.039426523297493</v>
      </c>
      <c r="I51" s="155">
        <f t="shared" si="103"/>
        <v>41.216570529627688</v>
      </c>
      <c r="J51" s="155">
        <f t="shared" si="103"/>
        <v>42.442124375851108</v>
      </c>
      <c r="K51" s="155">
        <f t="shared" si="103"/>
        <v>22.454771195459383</v>
      </c>
      <c r="L51" s="155">
        <f t="shared" si="103"/>
        <v>15.120396600566574</v>
      </c>
      <c r="M51" s="155">
        <f t="shared" si="103"/>
        <v>15.141647671768153</v>
      </c>
      <c r="N51" s="155">
        <f t="shared" si="103"/>
        <v>15.076522305437967</v>
      </c>
      <c r="O51" s="155">
        <f t="shared" si="103"/>
        <v>22.98925431455552</v>
      </c>
      <c r="P51" s="155" t="e">
        <f t="shared" si="103"/>
        <v>#DIV/0!</v>
      </c>
      <c r="Q51" s="118" t="e">
        <f>((P51/G51)^(1/($H$3-$H$2) ))-1</f>
        <v>#DIV/0!</v>
      </c>
      <c r="R51" s="31">
        <v>0.1</v>
      </c>
      <c r="S51" s="119" t="e">
        <f t="shared" si="97"/>
        <v>#DIV/0!</v>
      </c>
      <c r="T51" s="119" t="e">
        <f t="shared" si="98"/>
        <v>#DIV/0!</v>
      </c>
      <c r="U51" s="119" t="e">
        <f t="shared" si="98"/>
        <v>#DIV/0!</v>
      </c>
      <c r="V51" s="119" t="e">
        <f t="shared" si="98"/>
        <v>#DIV/0!</v>
      </c>
      <c r="W51" s="119" t="e">
        <f t="shared" si="98"/>
        <v>#DIV/0!</v>
      </c>
      <c r="X51" s="119" t="e">
        <f t="shared" si="98"/>
        <v>#DIV/0!</v>
      </c>
      <c r="Y51" s="119" t="e">
        <f t="shared" si="98"/>
        <v>#DIV/0!</v>
      </c>
      <c r="Z51" s="119" t="e">
        <f t="shared" si="98"/>
        <v>#DIV/0!</v>
      </c>
      <c r="AA51" s="119" t="e">
        <f t="shared" si="98"/>
        <v>#DIV/0!</v>
      </c>
      <c r="AB51" s="119" t="e">
        <f t="shared" si="98"/>
        <v>#DIV/0!</v>
      </c>
      <c r="AC51" s="138" t="e">
        <f t="shared" si="59"/>
        <v>#DIV/0!</v>
      </c>
      <c r="AD51" s="31">
        <v>0.08</v>
      </c>
      <c r="AE51" s="127" t="e">
        <f>(AB51*(1+AC51))/($C$2-AD51)</f>
        <v>#DIV/0!</v>
      </c>
    </row>
    <row r="52" spans="2:31" x14ac:dyDescent="0.2">
      <c r="B52" s="20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28"/>
      <c r="R52" s="128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39"/>
      <c r="AD52" s="20"/>
      <c r="AE52" s="20"/>
    </row>
    <row r="53" spans="2:31" x14ac:dyDescent="0.2">
      <c r="B53" s="20" t="s">
        <v>282</v>
      </c>
      <c r="C53" s="155">
        <v>2.5</v>
      </c>
      <c r="D53" s="155">
        <v>2.5</v>
      </c>
      <c r="E53" s="155">
        <v>2.5</v>
      </c>
      <c r="F53" s="155">
        <v>2.5</v>
      </c>
      <c r="G53" s="155">
        <v>2.5</v>
      </c>
      <c r="H53" s="155">
        <v>2</v>
      </c>
      <c r="I53" s="155">
        <v>2.5</v>
      </c>
      <c r="J53" s="155">
        <v>3</v>
      </c>
      <c r="K53" s="155">
        <v>3.5</v>
      </c>
      <c r="L53" s="155">
        <v>3.7</v>
      </c>
      <c r="M53" s="155">
        <v>10</v>
      </c>
      <c r="N53" s="155">
        <v>4</v>
      </c>
      <c r="O53" s="155">
        <v>4.5</v>
      </c>
      <c r="P53" s="155">
        <v>5.25</v>
      </c>
      <c r="Q53" s="118">
        <f>((P53/G53)^(1/($H$3-$H$2) ))-1</f>
        <v>9.7178811089020156E-2</v>
      </c>
      <c r="R53" s="31">
        <v>0.05</v>
      </c>
      <c r="S53" s="119">
        <f t="shared" ref="S53" si="104">P53*(1+$R53)</f>
        <v>5.5125000000000002</v>
      </c>
      <c r="T53" s="119">
        <f t="shared" ref="T53" si="105">S53*(1+$R53)</f>
        <v>5.7881250000000009</v>
      </c>
      <c r="U53" s="119">
        <f t="shared" ref="U53" si="106">T53*(1+$R53)</f>
        <v>6.0775312500000007</v>
      </c>
      <c r="V53" s="119">
        <f t="shared" ref="V53" si="107">U53*(1+$R53)</f>
        <v>6.3814078125000009</v>
      </c>
      <c r="W53" s="119">
        <f t="shared" ref="W53" si="108">V53*(1+$R53)</f>
        <v>6.7004782031250016</v>
      </c>
      <c r="X53" s="119">
        <f t="shared" ref="X53" si="109">W53*(1+$R53)</f>
        <v>7.0355021132812521</v>
      </c>
      <c r="Y53" s="119">
        <f t="shared" ref="Y53" si="110">X53*(1+$R53)</f>
        <v>7.3872772189453153</v>
      </c>
      <c r="Z53" s="119">
        <f t="shared" ref="Z53" si="111">Y53*(1+$R53)</f>
        <v>7.7566410798925816</v>
      </c>
      <c r="AA53" s="119">
        <f t="shared" ref="AA53" si="112">Z53*(1+$R53)</f>
        <v>8.1444731338872103</v>
      </c>
      <c r="AB53" s="119">
        <f t="shared" ref="AB53" si="113">AA53*(1+$R53)</f>
        <v>8.5516967905815715</v>
      </c>
      <c r="AC53" s="138">
        <f t="shared" ref="AC53" si="114">((AB53/G53)^(1/($AB$4-$H$2) ))-1</f>
        <v>6.6869188897002108E-2</v>
      </c>
      <c r="AD53" s="31">
        <v>0.08</v>
      </c>
      <c r="AE53" s="127">
        <f>(AB53*(1+AC53))/($C$2-AD53)</f>
        <v>65.168155847577552</v>
      </c>
    </row>
    <row r="54" spans="2:31" x14ac:dyDescent="0.2">
      <c r="B54" s="20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28"/>
      <c r="R54" s="128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39"/>
      <c r="AD54" s="20"/>
      <c r="AE54" s="20"/>
    </row>
    <row r="55" spans="2:31" x14ac:dyDescent="0.2">
      <c r="B55" s="20" t="s">
        <v>290</v>
      </c>
      <c r="C55" s="155">
        <f t="shared" ref="C55:G55" si="115">C19+C20</f>
        <v>0</v>
      </c>
      <c r="D55" s="155">
        <f t="shared" si="115"/>
        <v>0</v>
      </c>
      <c r="E55" s="155">
        <f t="shared" si="115"/>
        <v>0</v>
      </c>
      <c r="F55" s="155">
        <f t="shared" si="115"/>
        <v>0</v>
      </c>
      <c r="G55" s="155">
        <f t="shared" si="115"/>
        <v>0</v>
      </c>
      <c r="H55" s="155">
        <f>H19+H20</f>
        <v>0</v>
      </c>
      <c r="I55" s="155">
        <f t="shared" ref="I55:P55" si="116">I19+I20</f>
        <v>0</v>
      </c>
      <c r="J55" s="155">
        <f t="shared" si="116"/>
        <v>0</v>
      </c>
      <c r="K55" s="155">
        <f t="shared" si="116"/>
        <v>0</v>
      </c>
      <c r="L55" s="155">
        <f t="shared" si="116"/>
        <v>772</v>
      </c>
      <c r="M55" s="155">
        <f t="shared" si="116"/>
        <v>0</v>
      </c>
      <c r="N55" s="155">
        <f t="shared" si="116"/>
        <v>0</v>
      </c>
      <c r="O55" s="155">
        <f t="shared" si="116"/>
        <v>0</v>
      </c>
      <c r="P55" s="155">
        <f t="shared" si="116"/>
        <v>0</v>
      </c>
      <c r="Q55" s="118" t="e">
        <f>((P55/G55)^(1/($H$3-$H$2) ))-1</f>
        <v>#DIV/0!</v>
      </c>
      <c r="R55" s="128"/>
      <c r="S55" s="127">
        <f t="shared" ref="S55:AB55" si="117">S19-S20</f>
        <v>0</v>
      </c>
      <c r="T55" s="127">
        <f t="shared" si="117"/>
        <v>0</v>
      </c>
      <c r="U55" s="127">
        <f t="shared" si="117"/>
        <v>0</v>
      </c>
      <c r="V55" s="127">
        <f t="shared" si="117"/>
        <v>0</v>
      </c>
      <c r="W55" s="127">
        <f t="shared" si="117"/>
        <v>0</v>
      </c>
      <c r="X55" s="127">
        <f t="shared" si="117"/>
        <v>0</v>
      </c>
      <c r="Y55" s="127">
        <f t="shared" si="117"/>
        <v>0</v>
      </c>
      <c r="Z55" s="127">
        <f t="shared" si="117"/>
        <v>0</v>
      </c>
      <c r="AA55" s="127">
        <f t="shared" si="117"/>
        <v>0</v>
      </c>
      <c r="AB55" s="127">
        <f t="shared" si="117"/>
        <v>0</v>
      </c>
      <c r="AC55" s="138" t="e">
        <f t="shared" ref="AC55:AC60" si="118">((AB55/G55)^(1/($AB$4-$H$2) ))-1</f>
        <v>#DIV/0!</v>
      </c>
      <c r="AD55" s="31">
        <v>0.08</v>
      </c>
      <c r="AE55" s="127" t="e">
        <f>(AB55*(1+AC55))/($C$2-AD55)</f>
        <v>#DIV/0!</v>
      </c>
    </row>
    <row r="56" spans="2:31" x14ac:dyDescent="0.2">
      <c r="B56" s="20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18"/>
      <c r="R56" s="128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38"/>
      <c r="AD56" s="31"/>
      <c r="AE56" s="127"/>
    </row>
    <row r="57" spans="2:31" x14ac:dyDescent="0.2">
      <c r="B57" s="20" t="s">
        <v>286</v>
      </c>
      <c r="C57" s="155">
        <f t="shared" ref="C57:G57" si="119">C55/C35</f>
        <v>0</v>
      </c>
      <c r="D57" s="155">
        <f t="shared" si="119"/>
        <v>0</v>
      </c>
      <c r="E57" s="155">
        <f t="shared" si="119"/>
        <v>0</v>
      </c>
      <c r="F57" s="155">
        <f t="shared" si="119"/>
        <v>0</v>
      </c>
      <c r="G57" s="155">
        <f t="shared" si="119"/>
        <v>0</v>
      </c>
      <c r="H57" s="155">
        <f t="shared" ref="H57" si="120">H55/H35</f>
        <v>0</v>
      </c>
      <c r="I57" s="155">
        <f t="shared" ref="I57:P57" si="121">I55/I35</f>
        <v>0</v>
      </c>
      <c r="J57" s="155">
        <f t="shared" si="121"/>
        <v>0</v>
      </c>
      <c r="K57" s="155">
        <f t="shared" si="121"/>
        <v>0</v>
      </c>
      <c r="L57" s="155">
        <f t="shared" si="121"/>
        <v>27.337110481586404</v>
      </c>
      <c r="M57" s="155">
        <f t="shared" si="121"/>
        <v>0</v>
      </c>
      <c r="N57" s="155">
        <f t="shared" si="121"/>
        <v>0</v>
      </c>
      <c r="O57" s="155">
        <f t="shared" si="121"/>
        <v>0</v>
      </c>
      <c r="P57" s="155" t="e">
        <f t="shared" si="121"/>
        <v>#DIV/0!</v>
      </c>
      <c r="Q57" s="118" t="e">
        <f>((P57/G57)^(1/($H$3-$H$2) ))-1</f>
        <v>#DIV/0!</v>
      </c>
      <c r="R57" s="128"/>
      <c r="S57" s="127" t="e">
        <f t="shared" ref="S57:AB57" si="122">S55/S35</f>
        <v>#DIV/0!</v>
      </c>
      <c r="T57" s="127" t="e">
        <f t="shared" si="122"/>
        <v>#DIV/0!</v>
      </c>
      <c r="U57" s="127" t="e">
        <f t="shared" si="122"/>
        <v>#DIV/0!</v>
      </c>
      <c r="V57" s="127" t="e">
        <f t="shared" si="122"/>
        <v>#DIV/0!</v>
      </c>
      <c r="W57" s="127" t="e">
        <f t="shared" si="122"/>
        <v>#DIV/0!</v>
      </c>
      <c r="X57" s="127" t="e">
        <f t="shared" si="122"/>
        <v>#DIV/0!</v>
      </c>
      <c r="Y57" s="127" t="e">
        <f t="shared" si="122"/>
        <v>#DIV/0!</v>
      </c>
      <c r="Z57" s="127" t="e">
        <f t="shared" si="122"/>
        <v>#DIV/0!</v>
      </c>
      <c r="AA57" s="127" t="e">
        <f t="shared" si="122"/>
        <v>#DIV/0!</v>
      </c>
      <c r="AB57" s="127" t="e">
        <f t="shared" si="122"/>
        <v>#DIV/0!</v>
      </c>
      <c r="AC57" s="138" t="e">
        <f t="shared" si="118"/>
        <v>#DIV/0!</v>
      </c>
      <c r="AD57" s="31">
        <v>0.08</v>
      </c>
      <c r="AE57" s="127" t="e">
        <f>(AB57*(1+AC57))/($C$2-AD57)</f>
        <v>#DIV/0!</v>
      </c>
    </row>
    <row r="58" spans="2:31" x14ac:dyDescent="0.2">
      <c r="B58" s="20" t="s">
        <v>287</v>
      </c>
      <c r="C58" s="155">
        <f t="shared" ref="C58:G58" si="123">C19/C35</f>
        <v>0</v>
      </c>
      <c r="D58" s="155">
        <f t="shared" si="123"/>
        <v>0</v>
      </c>
      <c r="E58" s="155">
        <f t="shared" si="123"/>
        <v>0</v>
      </c>
      <c r="F58" s="155">
        <f t="shared" si="123"/>
        <v>0</v>
      </c>
      <c r="G58" s="155">
        <f t="shared" si="123"/>
        <v>0</v>
      </c>
      <c r="H58" s="155">
        <f t="shared" ref="H58" si="124">H19/H35</f>
        <v>0</v>
      </c>
      <c r="I58" s="155">
        <f t="shared" ref="I58:P58" si="125">I19/I35</f>
        <v>0</v>
      </c>
      <c r="J58" s="155">
        <f t="shared" si="125"/>
        <v>0</v>
      </c>
      <c r="K58" s="155">
        <f t="shared" si="125"/>
        <v>0</v>
      </c>
      <c r="L58" s="155">
        <f t="shared" si="125"/>
        <v>27.337110481586404</v>
      </c>
      <c r="M58" s="155">
        <f t="shared" si="125"/>
        <v>0</v>
      </c>
      <c r="N58" s="155">
        <f t="shared" si="125"/>
        <v>0</v>
      </c>
      <c r="O58" s="155">
        <f t="shared" si="125"/>
        <v>0</v>
      </c>
      <c r="P58" s="155" t="e">
        <f t="shared" si="125"/>
        <v>#DIV/0!</v>
      </c>
      <c r="Q58" s="118" t="e">
        <f>((P58/G58)^(1/($H$3-$H$2) ))-1</f>
        <v>#DIV/0!</v>
      </c>
      <c r="R58" s="128"/>
      <c r="S58" s="127" t="e">
        <f t="shared" ref="S58:AB58" si="126">S19/S35</f>
        <v>#DIV/0!</v>
      </c>
      <c r="T58" s="127" t="e">
        <f t="shared" si="126"/>
        <v>#DIV/0!</v>
      </c>
      <c r="U58" s="127" t="e">
        <f t="shared" si="126"/>
        <v>#DIV/0!</v>
      </c>
      <c r="V58" s="127" t="e">
        <f t="shared" si="126"/>
        <v>#DIV/0!</v>
      </c>
      <c r="W58" s="127" t="e">
        <f t="shared" si="126"/>
        <v>#DIV/0!</v>
      </c>
      <c r="X58" s="127" t="e">
        <f t="shared" si="126"/>
        <v>#DIV/0!</v>
      </c>
      <c r="Y58" s="127" t="e">
        <f t="shared" si="126"/>
        <v>#DIV/0!</v>
      </c>
      <c r="Z58" s="127" t="e">
        <f t="shared" si="126"/>
        <v>#DIV/0!</v>
      </c>
      <c r="AA58" s="127" t="e">
        <f t="shared" si="126"/>
        <v>#DIV/0!</v>
      </c>
      <c r="AB58" s="127" t="e">
        <f t="shared" si="126"/>
        <v>#DIV/0!</v>
      </c>
      <c r="AC58" s="138" t="e">
        <f t="shared" si="118"/>
        <v>#DIV/0!</v>
      </c>
      <c r="AD58" s="31">
        <v>0.08</v>
      </c>
      <c r="AE58" s="127" t="e">
        <f>(AB58*(1+AC58))/($C$2-AD58)</f>
        <v>#DIV/0!</v>
      </c>
    </row>
    <row r="59" spans="2:31" x14ac:dyDescent="0.2">
      <c r="B59" s="20" t="s">
        <v>288</v>
      </c>
      <c r="C59" s="155">
        <f t="shared" ref="C59:G59" si="127">C20/C35</f>
        <v>0</v>
      </c>
      <c r="D59" s="155">
        <f t="shared" si="127"/>
        <v>0</v>
      </c>
      <c r="E59" s="155">
        <f t="shared" si="127"/>
        <v>0</v>
      </c>
      <c r="F59" s="155">
        <f t="shared" si="127"/>
        <v>0</v>
      </c>
      <c r="G59" s="155">
        <f t="shared" si="127"/>
        <v>0</v>
      </c>
      <c r="H59" s="155">
        <f t="shared" ref="H59" si="128">H20/H35</f>
        <v>0</v>
      </c>
      <c r="I59" s="155">
        <f t="shared" ref="I59:P59" si="129">I20/I35</f>
        <v>0</v>
      </c>
      <c r="J59" s="155">
        <f t="shared" si="129"/>
        <v>0</v>
      </c>
      <c r="K59" s="155">
        <f t="shared" si="129"/>
        <v>0</v>
      </c>
      <c r="L59" s="155">
        <f t="shared" si="129"/>
        <v>0</v>
      </c>
      <c r="M59" s="155">
        <f t="shared" si="129"/>
        <v>0</v>
      </c>
      <c r="N59" s="155">
        <f t="shared" si="129"/>
        <v>0</v>
      </c>
      <c r="O59" s="155">
        <f t="shared" si="129"/>
        <v>0</v>
      </c>
      <c r="P59" s="155" t="e">
        <f t="shared" si="129"/>
        <v>#DIV/0!</v>
      </c>
      <c r="Q59" s="118" t="e">
        <f>((P59/G59)^(1/($H$3-$H$2) ))-1</f>
        <v>#DIV/0!</v>
      </c>
      <c r="R59" s="128"/>
      <c r="S59" s="127" t="e">
        <f t="shared" ref="S59:AB59" si="130">S20/S35</f>
        <v>#DIV/0!</v>
      </c>
      <c r="T59" s="127" t="e">
        <f t="shared" si="130"/>
        <v>#DIV/0!</v>
      </c>
      <c r="U59" s="127" t="e">
        <f t="shared" si="130"/>
        <v>#DIV/0!</v>
      </c>
      <c r="V59" s="127" t="e">
        <f t="shared" si="130"/>
        <v>#DIV/0!</v>
      </c>
      <c r="W59" s="127" t="e">
        <f t="shared" si="130"/>
        <v>#DIV/0!</v>
      </c>
      <c r="X59" s="127" t="e">
        <f t="shared" si="130"/>
        <v>#DIV/0!</v>
      </c>
      <c r="Y59" s="127" t="e">
        <f t="shared" si="130"/>
        <v>#DIV/0!</v>
      </c>
      <c r="Z59" s="127" t="e">
        <f t="shared" si="130"/>
        <v>#DIV/0!</v>
      </c>
      <c r="AA59" s="127" t="e">
        <f t="shared" si="130"/>
        <v>#DIV/0!</v>
      </c>
      <c r="AB59" s="127" t="e">
        <f t="shared" si="130"/>
        <v>#DIV/0!</v>
      </c>
      <c r="AC59" s="138" t="e">
        <f t="shared" si="118"/>
        <v>#DIV/0!</v>
      </c>
      <c r="AD59" s="31">
        <v>0.08</v>
      </c>
      <c r="AE59" s="127" t="e">
        <f>(AB59*(1+AC59))/($C$2-AD59)</f>
        <v>#DIV/0!</v>
      </c>
    </row>
    <row r="60" spans="2:31" x14ac:dyDescent="0.2">
      <c r="B60" s="20" t="s">
        <v>289</v>
      </c>
      <c r="C60" s="155">
        <f t="shared" ref="C60:G60" si="131">C21/C35</f>
        <v>0</v>
      </c>
      <c r="D60" s="155">
        <f t="shared" si="131"/>
        <v>0</v>
      </c>
      <c r="E60" s="155">
        <f t="shared" si="131"/>
        <v>0</v>
      </c>
      <c r="F60" s="155">
        <f t="shared" si="131"/>
        <v>0</v>
      </c>
      <c r="G60" s="155">
        <f t="shared" si="131"/>
        <v>0</v>
      </c>
      <c r="H60" s="155">
        <f>H21/H35</f>
        <v>0</v>
      </c>
      <c r="I60" s="155">
        <f t="shared" ref="I60:P60" si="132">I21/I35</f>
        <v>0</v>
      </c>
      <c r="J60" s="155">
        <f t="shared" si="132"/>
        <v>0</v>
      </c>
      <c r="K60" s="155">
        <f t="shared" si="132"/>
        <v>0</v>
      </c>
      <c r="L60" s="155">
        <f t="shared" si="132"/>
        <v>0</v>
      </c>
      <c r="M60" s="155">
        <f t="shared" si="132"/>
        <v>0</v>
      </c>
      <c r="N60" s="155">
        <f t="shared" si="132"/>
        <v>0</v>
      </c>
      <c r="O60" s="155">
        <f t="shared" si="132"/>
        <v>0</v>
      </c>
      <c r="P60" s="155" t="e">
        <f t="shared" si="132"/>
        <v>#DIV/0!</v>
      </c>
      <c r="Q60" s="118" t="e">
        <f>((P60/G60)^(1/($H$3-$H$2) ))-1</f>
        <v>#DIV/0!</v>
      </c>
      <c r="R60" s="128"/>
      <c r="S60" s="127" t="e">
        <f t="shared" ref="S60:AB60" si="133">S21/S35</f>
        <v>#DIV/0!</v>
      </c>
      <c r="T60" s="127" t="e">
        <f t="shared" si="133"/>
        <v>#DIV/0!</v>
      </c>
      <c r="U60" s="127" t="e">
        <f t="shared" si="133"/>
        <v>#DIV/0!</v>
      </c>
      <c r="V60" s="127" t="e">
        <f t="shared" si="133"/>
        <v>#DIV/0!</v>
      </c>
      <c r="W60" s="127" t="e">
        <f t="shared" si="133"/>
        <v>#DIV/0!</v>
      </c>
      <c r="X60" s="127" t="e">
        <f t="shared" si="133"/>
        <v>#DIV/0!</v>
      </c>
      <c r="Y60" s="127" t="e">
        <f t="shared" si="133"/>
        <v>#DIV/0!</v>
      </c>
      <c r="Z60" s="127" t="e">
        <f t="shared" si="133"/>
        <v>#DIV/0!</v>
      </c>
      <c r="AA60" s="127" t="e">
        <f t="shared" si="133"/>
        <v>#DIV/0!</v>
      </c>
      <c r="AB60" s="127" t="e">
        <f t="shared" si="133"/>
        <v>#DIV/0!</v>
      </c>
      <c r="AC60" s="138" t="e">
        <f t="shared" si="118"/>
        <v>#DIV/0!</v>
      </c>
      <c r="AD60" s="31">
        <v>0.08</v>
      </c>
      <c r="AE60" s="127" t="e">
        <f>(AB60*(1+AC60))/($C$2-AD60)</f>
        <v>#DIV/0!</v>
      </c>
    </row>
    <row r="61" spans="2:31" x14ac:dyDescent="0.2">
      <c r="B61" s="20" t="s">
        <v>296</v>
      </c>
      <c r="C61" s="155">
        <f t="shared" ref="C61:G61" si="134">C22/C35</f>
        <v>0</v>
      </c>
      <c r="D61" s="155">
        <f t="shared" si="134"/>
        <v>0</v>
      </c>
      <c r="E61" s="155">
        <f t="shared" si="134"/>
        <v>0</v>
      </c>
      <c r="F61" s="155">
        <f t="shared" si="134"/>
        <v>0</v>
      </c>
      <c r="G61" s="155">
        <f t="shared" si="134"/>
        <v>0</v>
      </c>
      <c r="H61" s="155">
        <f>H22/H35</f>
        <v>0</v>
      </c>
      <c r="I61" s="155">
        <f t="shared" ref="I61:P61" si="135">I22/I35</f>
        <v>0</v>
      </c>
      <c r="J61" s="155">
        <f t="shared" si="135"/>
        <v>0</v>
      </c>
      <c r="K61" s="155">
        <f t="shared" si="135"/>
        <v>0</v>
      </c>
      <c r="L61" s="155">
        <f t="shared" si="135"/>
        <v>0</v>
      </c>
      <c r="M61" s="155">
        <f t="shared" si="135"/>
        <v>0</v>
      </c>
      <c r="N61" s="155">
        <f t="shared" si="135"/>
        <v>0</v>
      </c>
      <c r="O61" s="155">
        <f t="shared" si="135"/>
        <v>0</v>
      </c>
      <c r="P61" s="155" t="e">
        <f t="shared" si="135"/>
        <v>#DIV/0!</v>
      </c>
      <c r="Q61" s="118" t="e">
        <f>((P61/G61)^(1/($H$3-$H$2) ))-1</f>
        <v>#DIV/0!</v>
      </c>
      <c r="R61" s="128"/>
      <c r="S61" s="127" t="e">
        <f>S22/S35</f>
        <v>#DIV/0!</v>
      </c>
      <c r="T61" s="127" t="e">
        <f t="shared" ref="T61:AB61" si="136">T22/T35</f>
        <v>#DIV/0!</v>
      </c>
      <c r="U61" s="127" t="e">
        <f t="shared" si="136"/>
        <v>#DIV/0!</v>
      </c>
      <c r="V61" s="127" t="e">
        <f t="shared" si="136"/>
        <v>#DIV/0!</v>
      </c>
      <c r="W61" s="127" t="e">
        <f t="shared" si="136"/>
        <v>#DIV/0!</v>
      </c>
      <c r="X61" s="127" t="e">
        <f t="shared" si="136"/>
        <v>#DIV/0!</v>
      </c>
      <c r="Y61" s="127" t="e">
        <f t="shared" si="136"/>
        <v>#DIV/0!</v>
      </c>
      <c r="Z61" s="127" t="e">
        <f t="shared" si="136"/>
        <v>#DIV/0!</v>
      </c>
      <c r="AA61" s="127" t="e">
        <f t="shared" si="136"/>
        <v>#DIV/0!</v>
      </c>
      <c r="AB61" s="127" t="e">
        <f t="shared" si="136"/>
        <v>#DIV/0!</v>
      </c>
      <c r="AC61" s="138" t="e">
        <f t="shared" ref="AC61" si="137">((AB61/G61)^(1/($AB$4-$H$2) ))-1</f>
        <v>#DIV/0!</v>
      </c>
      <c r="AD61" s="31">
        <v>0.08</v>
      </c>
      <c r="AE61" s="127" t="e">
        <f>(AB61*(1+AC61))/($C$2-AD61)</f>
        <v>#DIV/0!</v>
      </c>
    </row>
    <row r="62" spans="2:31" x14ac:dyDescent="0.2">
      <c r="B62" s="20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18"/>
      <c r="R62" s="128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39"/>
      <c r="AD62" s="20"/>
      <c r="AE62" s="20"/>
    </row>
    <row r="63" spans="2:31" x14ac:dyDescent="0.2">
      <c r="B63" s="20"/>
      <c r="C63" s="154"/>
      <c r="D63" s="154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28"/>
      <c r="R63" s="128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39"/>
      <c r="AD63" s="20"/>
      <c r="AE63" s="20"/>
    </row>
    <row r="64" spans="2:31" x14ac:dyDescent="0.2">
      <c r="B64" s="108" t="s">
        <v>83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28"/>
      <c r="R64" s="128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39"/>
      <c r="AD64" s="20"/>
      <c r="AE64" s="20"/>
    </row>
    <row r="65" spans="2:31" x14ac:dyDescent="0.2">
      <c r="B65" s="20" t="s">
        <v>82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18" t="e">
        <f>((P65/G65)^(1/($H$3-$H$2) ))-1</f>
        <v>#DIV/0!</v>
      </c>
      <c r="R65" s="31">
        <v>0.1</v>
      </c>
      <c r="S65" s="119">
        <f t="shared" ref="S65:S71" si="138">P65*(1+$R65)</f>
        <v>0</v>
      </c>
      <c r="T65" s="119">
        <f t="shared" ref="T65:AB71" si="139">S65*(1+$R65)</f>
        <v>0</v>
      </c>
      <c r="U65" s="119">
        <f t="shared" si="139"/>
        <v>0</v>
      </c>
      <c r="V65" s="119">
        <f t="shared" si="139"/>
        <v>0</v>
      </c>
      <c r="W65" s="119">
        <f t="shared" si="139"/>
        <v>0</v>
      </c>
      <c r="X65" s="119">
        <f t="shared" si="139"/>
        <v>0</v>
      </c>
      <c r="Y65" s="119">
        <f t="shared" si="139"/>
        <v>0</v>
      </c>
      <c r="Z65" s="119">
        <f t="shared" si="139"/>
        <v>0</v>
      </c>
      <c r="AA65" s="119">
        <f t="shared" si="139"/>
        <v>0</v>
      </c>
      <c r="AB65" s="119">
        <f t="shared" si="139"/>
        <v>0</v>
      </c>
      <c r="AC65" s="138" t="e">
        <f t="shared" ref="AC65:AC71" si="140">((AB65/G65)^(1/($AB$4-$H$2) ))-1</f>
        <v>#DIV/0!</v>
      </c>
      <c r="AD65" s="31">
        <v>0.08</v>
      </c>
      <c r="AE65" s="127" t="e">
        <f t="shared" ref="AE65:AE71" si="141">(AB65*(1+AC65))/($C$2-AD65)</f>
        <v>#DIV/0!</v>
      </c>
    </row>
    <row r="66" spans="2:31" x14ac:dyDescent="0.2">
      <c r="B66" s="20" t="s">
        <v>84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18" t="e">
        <f t="shared" ref="Q66:Q71" si="142">((P66/G66)^(1/($H$3-$H$2) ))-1</f>
        <v>#DIV/0!</v>
      </c>
      <c r="R66" s="31">
        <v>0.1</v>
      </c>
      <c r="S66" s="119">
        <f t="shared" si="138"/>
        <v>0</v>
      </c>
      <c r="T66" s="119">
        <f t="shared" si="139"/>
        <v>0</v>
      </c>
      <c r="U66" s="119">
        <f t="shared" si="139"/>
        <v>0</v>
      </c>
      <c r="V66" s="119">
        <f t="shared" si="139"/>
        <v>0</v>
      </c>
      <c r="W66" s="119">
        <f t="shared" si="139"/>
        <v>0</v>
      </c>
      <c r="X66" s="119">
        <f t="shared" si="139"/>
        <v>0</v>
      </c>
      <c r="Y66" s="119">
        <f t="shared" si="139"/>
        <v>0</v>
      </c>
      <c r="Z66" s="119">
        <f t="shared" si="139"/>
        <v>0</v>
      </c>
      <c r="AA66" s="119">
        <f t="shared" si="139"/>
        <v>0</v>
      </c>
      <c r="AB66" s="119">
        <f t="shared" si="139"/>
        <v>0</v>
      </c>
      <c r="AC66" s="138" t="e">
        <f t="shared" si="140"/>
        <v>#DIV/0!</v>
      </c>
      <c r="AD66" s="31">
        <v>0.08</v>
      </c>
      <c r="AE66" s="127" t="e">
        <f t="shared" si="141"/>
        <v>#DIV/0!</v>
      </c>
    </row>
    <row r="67" spans="2:31" x14ac:dyDescent="0.2">
      <c r="B67" s="20" t="s">
        <v>85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18" t="e">
        <f t="shared" si="142"/>
        <v>#DIV/0!</v>
      </c>
      <c r="R67" s="31">
        <v>0.1</v>
      </c>
      <c r="S67" s="119">
        <f t="shared" si="138"/>
        <v>0</v>
      </c>
      <c r="T67" s="119">
        <f t="shared" si="139"/>
        <v>0</v>
      </c>
      <c r="U67" s="119">
        <f t="shared" si="139"/>
        <v>0</v>
      </c>
      <c r="V67" s="119">
        <f t="shared" si="139"/>
        <v>0</v>
      </c>
      <c r="W67" s="119">
        <f t="shared" si="139"/>
        <v>0</v>
      </c>
      <c r="X67" s="119">
        <f t="shared" si="139"/>
        <v>0</v>
      </c>
      <c r="Y67" s="119">
        <f t="shared" si="139"/>
        <v>0</v>
      </c>
      <c r="Z67" s="119">
        <f t="shared" si="139"/>
        <v>0</v>
      </c>
      <c r="AA67" s="119">
        <f t="shared" si="139"/>
        <v>0</v>
      </c>
      <c r="AB67" s="119">
        <f t="shared" si="139"/>
        <v>0</v>
      </c>
      <c r="AC67" s="138" t="e">
        <f t="shared" si="140"/>
        <v>#DIV/0!</v>
      </c>
      <c r="AD67" s="31">
        <v>0.08</v>
      </c>
      <c r="AE67" s="127" t="e">
        <f t="shared" si="141"/>
        <v>#DIV/0!</v>
      </c>
    </row>
    <row r="68" spans="2:31" x14ac:dyDescent="0.2">
      <c r="B68" s="20" t="s">
        <v>81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18" t="e">
        <f t="shared" si="142"/>
        <v>#DIV/0!</v>
      </c>
      <c r="R68" s="31">
        <v>0.1</v>
      </c>
      <c r="S68" s="119">
        <f t="shared" si="138"/>
        <v>0</v>
      </c>
      <c r="T68" s="119">
        <f t="shared" si="139"/>
        <v>0</v>
      </c>
      <c r="U68" s="119">
        <f t="shared" si="139"/>
        <v>0</v>
      </c>
      <c r="V68" s="119">
        <f t="shared" si="139"/>
        <v>0</v>
      </c>
      <c r="W68" s="119">
        <f t="shared" si="139"/>
        <v>0</v>
      </c>
      <c r="X68" s="119">
        <f t="shared" si="139"/>
        <v>0</v>
      </c>
      <c r="Y68" s="119">
        <f t="shared" si="139"/>
        <v>0</v>
      </c>
      <c r="Z68" s="119">
        <f t="shared" si="139"/>
        <v>0</v>
      </c>
      <c r="AA68" s="119">
        <f t="shared" si="139"/>
        <v>0</v>
      </c>
      <c r="AB68" s="119">
        <f t="shared" si="139"/>
        <v>0</v>
      </c>
      <c r="AC68" s="138" t="e">
        <f t="shared" si="140"/>
        <v>#DIV/0!</v>
      </c>
      <c r="AD68" s="31">
        <v>0.08</v>
      </c>
      <c r="AE68" s="127" t="e">
        <f t="shared" si="141"/>
        <v>#DIV/0!</v>
      </c>
    </row>
    <row r="69" spans="2:31" x14ac:dyDescent="0.2">
      <c r="B69" s="20" t="s">
        <v>78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18" t="e">
        <f t="shared" si="142"/>
        <v>#DIV/0!</v>
      </c>
      <c r="R69" s="31">
        <v>0.1</v>
      </c>
      <c r="S69" s="119">
        <f t="shared" si="138"/>
        <v>0</v>
      </c>
      <c r="T69" s="119">
        <f t="shared" si="139"/>
        <v>0</v>
      </c>
      <c r="U69" s="119">
        <f t="shared" si="139"/>
        <v>0</v>
      </c>
      <c r="V69" s="119">
        <f t="shared" si="139"/>
        <v>0</v>
      </c>
      <c r="W69" s="119">
        <f t="shared" si="139"/>
        <v>0</v>
      </c>
      <c r="X69" s="119">
        <f t="shared" si="139"/>
        <v>0</v>
      </c>
      <c r="Y69" s="119">
        <f t="shared" si="139"/>
        <v>0</v>
      </c>
      <c r="Z69" s="119">
        <f t="shared" si="139"/>
        <v>0</v>
      </c>
      <c r="AA69" s="119">
        <f t="shared" si="139"/>
        <v>0</v>
      </c>
      <c r="AB69" s="119">
        <f t="shared" si="139"/>
        <v>0</v>
      </c>
      <c r="AC69" s="138" t="e">
        <f t="shared" si="140"/>
        <v>#DIV/0!</v>
      </c>
      <c r="AD69" s="31">
        <v>0.08</v>
      </c>
      <c r="AE69" s="127" t="e">
        <f t="shared" si="141"/>
        <v>#DIV/0!</v>
      </c>
    </row>
    <row r="70" spans="2:31" x14ac:dyDescent="0.2">
      <c r="B70" s="20" t="s">
        <v>79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18" t="e">
        <f t="shared" si="142"/>
        <v>#DIV/0!</v>
      </c>
      <c r="R70" s="31">
        <v>0.1</v>
      </c>
      <c r="S70" s="119">
        <f t="shared" si="138"/>
        <v>0</v>
      </c>
      <c r="T70" s="119">
        <f t="shared" si="139"/>
        <v>0</v>
      </c>
      <c r="U70" s="119">
        <f t="shared" si="139"/>
        <v>0</v>
      </c>
      <c r="V70" s="119">
        <f t="shared" si="139"/>
        <v>0</v>
      </c>
      <c r="W70" s="119">
        <f t="shared" si="139"/>
        <v>0</v>
      </c>
      <c r="X70" s="119">
        <f t="shared" si="139"/>
        <v>0</v>
      </c>
      <c r="Y70" s="119">
        <f t="shared" si="139"/>
        <v>0</v>
      </c>
      <c r="Z70" s="119">
        <f t="shared" si="139"/>
        <v>0</v>
      </c>
      <c r="AA70" s="119">
        <f t="shared" si="139"/>
        <v>0</v>
      </c>
      <c r="AB70" s="119">
        <f t="shared" si="139"/>
        <v>0</v>
      </c>
      <c r="AC70" s="138" t="e">
        <f t="shared" si="140"/>
        <v>#DIV/0!</v>
      </c>
      <c r="AD70" s="31">
        <v>0.08</v>
      </c>
      <c r="AE70" s="127" t="e">
        <f t="shared" si="141"/>
        <v>#DIV/0!</v>
      </c>
    </row>
    <row r="71" spans="2:31" x14ac:dyDescent="0.2">
      <c r="B71" s="20" t="s">
        <v>80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18" t="e">
        <f t="shared" si="142"/>
        <v>#DIV/0!</v>
      </c>
      <c r="R71" s="31">
        <v>0.1</v>
      </c>
      <c r="S71" s="119">
        <f t="shared" si="138"/>
        <v>0</v>
      </c>
      <c r="T71" s="119">
        <f t="shared" si="139"/>
        <v>0</v>
      </c>
      <c r="U71" s="119">
        <f t="shared" si="139"/>
        <v>0</v>
      </c>
      <c r="V71" s="119">
        <f t="shared" si="139"/>
        <v>0</v>
      </c>
      <c r="W71" s="119">
        <f t="shared" si="139"/>
        <v>0</v>
      </c>
      <c r="X71" s="119">
        <f t="shared" si="139"/>
        <v>0</v>
      </c>
      <c r="Y71" s="119">
        <f t="shared" si="139"/>
        <v>0</v>
      </c>
      <c r="Z71" s="119">
        <f t="shared" si="139"/>
        <v>0</v>
      </c>
      <c r="AA71" s="119">
        <f t="shared" si="139"/>
        <v>0</v>
      </c>
      <c r="AB71" s="119">
        <f t="shared" si="139"/>
        <v>0</v>
      </c>
      <c r="AC71" s="138" t="e">
        <f t="shared" si="140"/>
        <v>#DIV/0!</v>
      </c>
      <c r="AD71" s="31">
        <v>0.08</v>
      </c>
      <c r="AE71" s="127" t="e">
        <f t="shared" si="141"/>
        <v>#DIV/0!</v>
      </c>
    </row>
    <row r="72" spans="2:31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37"/>
      <c r="AD72" s="20"/>
      <c r="AE72" s="20"/>
    </row>
    <row r="73" spans="2:31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37"/>
      <c r="AD73" s="20"/>
      <c r="AE73" s="20"/>
    </row>
    <row r="74" spans="2:31" x14ac:dyDescent="0.2">
      <c r="B74" s="108" t="s">
        <v>244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3"/>
      <c r="R74" s="23"/>
      <c r="S74" s="122" t="s">
        <v>66</v>
      </c>
      <c r="T74" s="20"/>
      <c r="U74" s="20"/>
      <c r="V74" s="20"/>
      <c r="W74" s="20"/>
      <c r="X74" s="20"/>
      <c r="Y74" s="20"/>
      <c r="Z74" s="20"/>
      <c r="AA74" s="20"/>
      <c r="AB74" s="20"/>
      <c r="AC74" s="137"/>
      <c r="AD74" s="20"/>
      <c r="AE74" s="20"/>
    </row>
    <row r="75" spans="2:31" x14ac:dyDescent="0.2">
      <c r="B75" s="23" t="s">
        <v>280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5" t="e">
        <f>AVERAGE(G38:P39)</f>
        <v>#DIV/0!</v>
      </c>
      <c r="Q75" s="23"/>
      <c r="R75" s="23"/>
      <c r="S75" s="134"/>
      <c r="T75" s="20"/>
      <c r="U75" s="20"/>
      <c r="V75" s="20"/>
      <c r="W75" s="20"/>
      <c r="X75" s="20"/>
      <c r="Y75" s="20"/>
      <c r="Z75" s="20"/>
      <c r="AA75" s="20"/>
      <c r="AB75" s="20"/>
      <c r="AC75" s="137"/>
      <c r="AD75" s="20"/>
      <c r="AE75" s="20"/>
    </row>
    <row r="76" spans="2:31" x14ac:dyDescent="0.2">
      <c r="B76" s="20" t="s">
        <v>25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0" t="e">
        <f>S76+T76</f>
        <v>#DIV/0!</v>
      </c>
      <c r="S76" s="133" t="e">
        <f>PV($C$2, ($AB$4-$S$4), 0, -AB38)</f>
        <v>#DIV/0!</v>
      </c>
      <c r="T76" s="133" t="e">
        <f>PV($C$2, ($AB$4-$S$4), 0, -AE38)</f>
        <v>#DIV/0!</v>
      </c>
      <c r="U76" s="20"/>
      <c r="V76" s="20"/>
      <c r="W76" s="20"/>
      <c r="X76" s="20"/>
      <c r="Y76" s="20"/>
      <c r="Z76" s="20"/>
      <c r="AA76" s="20"/>
      <c r="AB76" s="20"/>
      <c r="AC76" s="137"/>
      <c r="AD76" s="20"/>
      <c r="AE76" s="20"/>
    </row>
    <row r="77" spans="2:31" x14ac:dyDescent="0.2">
      <c r="B77" s="20" t="s">
        <v>273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0" t="e">
        <f t="shared" ref="R77:R93" si="143">S77+T77</f>
        <v>#DIV/0!</v>
      </c>
      <c r="S77" s="133" t="e">
        <f>PV($C$2, ($AB$4-$S$4), 0, -AB39)</f>
        <v>#DIV/0!</v>
      </c>
      <c r="T77" s="133" t="e">
        <f>PV($C$2, ($AB$4-$S$4), 0, -AE39)</f>
        <v>#DIV/0!</v>
      </c>
      <c r="U77" s="20"/>
      <c r="V77" s="20"/>
      <c r="W77" s="20"/>
      <c r="X77" s="20"/>
      <c r="Y77" s="20"/>
      <c r="Z77" s="20"/>
      <c r="AA77" s="20"/>
      <c r="AB77" s="20"/>
      <c r="AC77" s="137"/>
      <c r="AD77" s="20"/>
      <c r="AE77" s="20"/>
    </row>
    <row r="78" spans="2:31" x14ac:dyDescent="0.2">
      <c r="B78" s="20" t="s">
        <v>274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0" t="e">
        <f t="shared" si="143"/>
        <v>#DIV/0!</v>
      </c>
      <c r="S78" s="133" t="e">
        <f>PV($C$2, ($AB$4-$S$4), 0, -AB40)</f>
        <v>#DIV/0!</v>
      </c>
      <c r="T78" s="133" t="e">
        <f>PV($C$2, ($AB$4-$S$4), 0, -AE40)</f>
        <v>#DIV/0!</v>
      </c>
      <c r="U78" s="20"/>
      <c r="V78" s="20"/>
      <c r="W78" s="20"/>
      <c r="X78" s="20"/>
      <c r="Y78" s="20"/>
      <c r="Z78" s="20"/>
      <c r="AA78" s="20"/>
      <c r="AB78" s="20"/>
      <c r="AC78" s="137"/>
      <c r="AD78" s="20"/>
      <c r="AE78" s="20"/>
    </row>
    <row r="79" spans="2:31" x14ac:dyDescent="0.2">
      <c r="B79" s="20" t="s">
        <v>275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0" t="e">
        <f t="shared" si="143"/>
        <v>#DIV/0!</v>
      </c>
      <c r="S79" s="133" t="e">
        <f>PV($C$2, ($AB$4-$S$4), 0, -AB41)</f>
        <v>#DIV/0!</v>
      </c>
      <c r="T79" s="133" t="e">
        <f>PV($C$2, ($AB$4-$S$4), 0, -AE41)</f>
        <v>#DIV/0!</v>
      </c>
      <c r="U79" s="20"/>
      <c r="V79" s="20"/>
      <c r="W79" s="20"/>
      <c r="X79" s="20"/>
      <c r="Y79" s="20"/>
      <c r="Z79" s="20"/>
      <c r="AA79" s="20"/>
      <c r="AB79" s="20"/>
      <c r="AC79" s="137"/>
      <c r="AD79" s="20"/>
      <c r="AE79" s="20"/>
    </row>
    <row r="80" spans="2:31" x14ac:dyDescent="0.2">
      <c r="B80" s="20" t="s">
        <v>276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0" t="e">
        <f t="shared" si="143"/>
        <v>#DIV/0!</v>
      </c>
      <c r="S80" s="133" t="e">
        <f>PV($C$2, ($AB$4-$S$4), 0, -AB47)</f>
        <v>#DIV/0!</v>
      </c>
      <c r="T80" s="133" t="e">
        <f>PV($C$2, ($AB$4-$S$4), 0, -AE47)</f>
        <v>#DIV/0!</v>
      </c>
      <c r="U80" s="20"/>
      <c r="V80" s="20"/>
      <c r="W80" s="20"/>
      <c r="X80" s="20"/>
      <c r="Y80" s="20"/>
      <c r="Z80" s="20"/>
      <c r="AA80" s="20"/>
      <c r="AB80" s="20"/>
      <c r="AC80" s="137"/>
      <c r="AD80" s="20"/>
      <c r="AE80" s="20"/>
    </row>
    <row r="81" spans="2:31" x14ac:dyDescent="0.2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0"/>
      <c r="S81" s="133"/>
      <c r="T81" s="20"/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 x14ac:dyDescent="0.2">
      <c r="B82" s="20" t="s">
        <v>271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0" t="e">
        <f t="shared" si="143"/>
        <v>#DIV/0!</v>
      </c>
      <c r="S82" s="133" t="e">
        <f>PV($C$2, ($AB$4-$S$4), 0, -AB43)</f>
        <v>#DIV/0!</v>
      </c>
      <c r="T82" s="133" t="e">
        <f>PV($C$2, ($AB$4-$S$4), 0, -AE44)</f>
        <v>#DIV/0!</v>
      </c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 x14ac:dyDescent="0.2">
      <c r="B83" s="20" t="s">
        <v>272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 t="e">
        <f t="shared" si="143"/>
        <v>#DIV/0!</v>
      </c>
      <c r="S83" s="133" t="e">
        <f>PV($C$2, ($AB$4-$S$4), 0, -AB44)</f>
        <v>#DIV/0!</v>
      </c>
      <c r="T83" s="133" t="e">
        <f>PV($C$2, ($AB$4-$S$4), 0, -AE45)</f>
        <v>#DIV/0!</v>
      </c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 x14ac:dyDescent="0.2">
      <c r="B84" s="20" t="s">
        <v>277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 t="e">
        <f t="shared" si="143"/>
        <v>#DIV/0!</v>
      </c>
      <c r="S84" s="133" t="e">
        <f>PV($C$2, ($AB$4-$S$4), 0, -AB45)</f>
        <v>#DIV/0!</v>
      </c>
      <c r="T84" s="133">
        <f>PV($C$2, ($AB$4-$S$4), 0, -AE46)</f>
        <v>0</v>
      </c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/>
      <c r="S85" s="133"/>
      <c r="T85" s="20"/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 x14ac:dyDescent="0.2">
      <c r="B86" s="20" t="s">
        <v>249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 t="e">
        <f t="shared" si="143"/>
        <v>#DIV/0!</v>
      </c>
      <c r="S86" s="133" t="e">
        <f>PV($C$2, ($AB$4-$S$4), 0, -AB50)</f>
        <v>#DIV/0!</v>
      </c>
      <c r="T86" s="133" t="e">
        <f>PV($C$2, ($AB$4-$S$4), 0, -AE48)</f>
        <v>#DIV/0!</v>
      </c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0" t="s">
        <v>250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 t="e">
        <f t="shared" si="143"/>
        <v>#DIV/0!</v>
      </c>
      <c r="S87" s="133" t="e">
        <f>PV($C$2, ($AB$4-$S$4), 0, -AB51)</f>
        <v>#DIV/0!</v>
      </c>
      <c r="T87" s="133" t="e">
        <f>PV($C$2, ($AB$4-$S$4), 0, -AE50)</f>
        <v>#DIV/0!</v>
      </c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/>
      <c r="S88" s="133"/>
      <c r="T88" s="133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293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" si="144">S89+T89</f>
        <v>0</v>
      </c>
      <c r="S89" s="133">
        <f>PV($C$2, ($AB$4-$S$4), 0, -AB12)</f>
        <v>0</v>
      </c>
      <c r="T89" s="133">
        <f>PV($C$2, ($AB$4-$S$4), 0, -AE12)</f>
        <v>0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294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 t="e">
        <f>S90+T90</f>
        <v>#DIV/0!</v>
      </c>
      <c r="S90" s="140" t="e">
        <f>S89/P35</f>
        <v>#DIV/0!</v>
      </c>
      <c r="T90" s="140" t="e">
        <f>T89/P35</f>
        <v>#DIV/0!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/>
      <c r="S91" s="140"/>
      <c r="T91" s="14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108" t="s">
        <v>297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/>
      <c r="S92" s="133"/>
      <c r="T92" s="133"/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 t="s">
        <v>290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 t="e">
        <f t="shared" si="143"/>
        <v>#DIV/0!</v>
      </c>
      <c r="S93" s="133">
        <f>PV($C$2, ($AB$4-$S$4), 0, -AB55)+PV($C$2, ($AA$4-$S$4), 0, -AB55)+PV($C$2, ($Z$4-$S$4), 0, -AB55)+PV($C$2, ($Y$4-$S$4), 0, -AB55)+PV($C$2, ($X$4-$S$4), 0, -AB55)+PV($C$2, ($W$4-$S$4), 0, -AB55)+PV($C$2, ($V$4-$S$4), 0, -AB55)+PV($C$2, ($U$4-$S$4), 0, -AB55)+PV($C$2, ($T$4-$S$4), 0, -AB55)+PV($C$2, ($S$4-$S$4), 0, -AB55)</f>
        <v>0</v>
      </c>
      <c r="T93" s="133" t="e">
        <f>PV($C$2, ($AB$4-$S$4), 0, -AE55)</f>
        <v>#DIV/0!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/>
      <c r="S94" s="133"/>
      <c r="T94" s="133"/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286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 t="e">
        <f t="shared" ref="R95:R98" si="145">S95+T95</f>
        <v>#DIV/0!</v>
      </c>
      <c r="S95" s="133" t="e">
        <f>PV($C$2, ($AB$4-$S$4), 0, -AB57)+PV($C$2, ($AA$4-$S$4), 0, -AB57)+PV($C$2, ($Z$4-$S$4), 0, -AB57)+PV($C$2, ($Y$4-$S$4), 0, -AB57)+PV($C$2, ($X$4-$S$4), 0, -AB57)+PV($C$2, ($W$4-$S$4), 0, -AB57)+PV($C$2, ($V$4-$S$4), 0, -AB57)+PV($C$2, ($U$4-$S$4), 0, -AB57)+PV($C$2, ($T$4-$S$4), 0, -AB57)+PV($C$2, ($S$4-$S$4), 0, -AB57)</f>
        <v>#DIV/0!</v>
      </c>
      <c r="T95" s="133" t="e">
        <f>PV($C$2, ($AB$4-$S$4), 0, -AE57)</f>
        <v>#DIV/0!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287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 t="e">
        <f t="shared" si="145"/>
        <v>#DIV/0!</v>
      </c>
      <c r="S96" s="133" t="e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#DIV/0!</v>
      </c>
      <c r="T96" s="133" t="e">
        <f>PV($C$2, ($AB$4-$S$4), 0, -AE58)</f>
        <v>#DIV/0!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 t="s">
        <v>288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 t="e">
        <f t="shared" si="145"/>
        <v>#DIV/0!</v>
      </c>
      <c r="S97" s="133" t="e">
        <f>PV($C$2, ($AB$4-$S$4), 0, -AB59)+PV($C$2, ($AA$4-$S$4), 0, -AB59)+PV($C$2, ($Z$4-$S$4), 0, -AB59)+PV($C$2, ($Y$4-$S$4), 0, -AB59)+PV($C$2, ($X$4-$S$4), 0, -AB59)+PV($C$2, ($W$4-$S$4), 0, -AB59)+PV($C$2, ($V$4-$S$4), 0, -AB59)+PV($C$2, ($U$4-$S$4), 0, -AB59)+PV($C$2, ($T$4-$S$4), 0, -AB59)+PV($C$2, ($S$4-$S$4), 0, -AB59)</f>
        <v>#DIV/0!</v>
      </c>
      <c r="T97" s="133" t="e">
        <f>PV($C$2, ($AB$4-$S$4), 0, -AE59)</f>
        <v>#DIV/0!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289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 t="e">
        <f t="shared" si="145"/>
        <v>#DIV/0!</v>
      </c>
      <c r="S98" s="133" t="e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#DIV/0!</v>
      </c>
      <c r="T98" s="133" t="e">
        <f>PV($C$2, ($AB$4-$S$4), 0, -AE60)</f>
        <v>#DIV/0!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/>
      <c r="S99" s="133"/>
      <c r="T99" s="133"/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 t="s">
        <v>298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 t="e">
        <f t="shared" ref="R100" si="146">S100+T100</f>
        <v>#DIV/0!</v>
      </c>
      <c r="S100" s="133" t="e">
        <f>PV($C$2, ($AB$4-$S$4), 0, -AB61)+PV($C$2, ($AA$4-$S$4), 0, -AB61)+PV($C$2, ($Z$4-$S$4), 0, -AB61)+PV($C$2, ($Y$4-$S$4), 0, -AB61)+PV($C$2, ($X$4-$S$4), 0, -AB61)+PV($C$2, ($W$4-$S$4), 0, -AB61)+PV($C$2, ($V$4-$S$4), 0, -AB61)+PV($C$2, ($U$4-$S$4), 0, -AB61)+PV($C$2, ($T$4-$S$4), 0, -AB61)+PV($C$2, ($S$4-$S$4), 0, -AB61)</f>
        <v>#DIV/0!</v>
      </c>
      <c r="T100" s="133" t="e">
        <f>PV($C$2, ($AB$4-$S$4), 0, -AE61)</f>
        <v>#DIV/0!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133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121"/>
      <c r="T102" s="20"/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108" t="s">
        <v>251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20" t="s">
        <v>204</v>
      </c>
      <c r="C104" s="22">
        <v>14</v>
      </c>
      <c r="D104" s="22">
        <v>14</v>
      </c>
      <c r="E104" s="22">
        <v>14</v>
      </c>
      <c r="F104" s="22">
        <v>14</v>
      </c>
      <c r="G104" s="22">
        <v>14</v>
      </c>
      <c r="H104" s="22">
        <v>14250</v>
      </c>
      <c r="I104" s="22">
        <v>14</v>
      </c>
      <c r="J104" s="22">
        <v>14</v>
      </c>
      <c r="K104" s="22">
        <v>14</v>
      </c>
      <c r="L104" s="22">
        <v>14</v>
      </c>
      <c r="M104" s="22">
        <v>14</v>
      </c>
      <c r="N104" s="22">
        <v>14</v>
      </c>
      <c r="O104" s="22">
        <v>14</v>
      </c>
      <c r="P104" s="22">
        <v>14</v>
      </c>
      <c r="Q104" s="118">
        <f t="shared" ref="Q104:Q108" si="147">((P104/G104)^(1/($H$3-$H$2) ))-1</f>
        <v>0</v>
      </c>
      <c r="R104" s="31">
        <v>0.1</v>
      </c>
      <c r="S104" s="119">
        <f t="shared" ref="S104" si="148">P104*(1+$R104)</f>
        <v>15.400000000000002</v>
      </c>
      <c r="T104" s="119">
        <f t="shared" ref="T104:AB104" si="149">S104*(1+$R104)</f>
        <v>16.940000000000005</v>
      </c>
      <c r="U104" s="119">
        <f t="shared" si="149"/>
        <v>18.634000000000007</v>
      </c>
      <c r="V104" s="119">
        <f t="shared" si="149"/>
        <v>20.49740000000001</v>
      </c>
      <c r="W104" s="119">
        <f t="shared" si="149"/>
        <v>22.547140000000013</v>
      </c>
      <c r="X104" s="119">
        <f t="shared" si="149"/>
        <v>24.801854000000016</v>
      </c>
      <c r="Y104" s="119">
        <f t="shared" si="149"/>
        <v>27.28203940000002</v>
      </c>
      <c r="Z104" s="119">
        <f t="shared" si="149"/>
        <v>30.010243340000024</v>
      </c>
      <c r="AA104" s="119">
        <f t="shared" si="149"/>
        <v>33.011267674000031</v>
      </c>
      <c r="AB104" s="119">
        <f t="shared" si="149"/>
        <v>36.312394441400038</v>
      </c>
      <c r="AC104" s="138">
        <f t="shared" ref="AC104:AC108" si="150">((AB104/G104)^(1/($AB$4-$H$2) ))-1</f>
        <v>5.1442733050422573E-2</v>
      </c>
      <c r="AD104" s="31">
        <v>0.08</v>
      </c>
      <c r="AE104" s="127">
        <f t="shared" ref="AE104:AE109" si="151">(AB104*(1+AC104))/($C$2-AD104)</f>
        <v>272.7171661076473</v>
      </c>
    </row>
    <row r="105" spans="2:31" x14ac:dyDescent="0.2">
      <c r="B105" s="20" t="s">
        <v>42</v>
      </c>
      <c r="C105" s="25" t="e">
        <f t="shared" ref="C105:P105" si="152">C104/C38</f>
        <v>#DIV/0!</v>
      </c>
      <c r="D105" s="25" t="e">
        <f t="shared" si="152"/>
        <v>#DIV/0!</v>
      </c>
      <c r="E105" s="25" t="e">
        <f t="shared" si="152"/>
        <v>#DIV/0!</v>
      </c>
      <c r="F105" s="25" t="e">
        <f t="shared" si="152"/>
        <v>#DIV/0!</v>
      </c>
      <c r="G105" s="25">
        <f t="shared" si="152"/>
        <v>-1.9845360824742269</v>
      </c>
      <c r="H105" s="25">
        <f t="shared" si="152"/>
        <v>28809.782608695648</v>
      </c>
      <c r="I105" s="25">
        <f t="shared" si="152"/>
        <v>6.6166047087980173</v>
      </c>
      <c r="J105" s="25">
        <f t="shared" si="152"/>
        <v>0.62721412157078071</v>
      </c>
      <c r="K105" s="25">
        <f t="shared" si="152"/>
        <v>0.61665625000000002</v>
      </c>
      <c r="L105" s="25">
        <f t="shared" si="152"/>
        <v>0.91944186046511622</v>
      </c>
      <c r="M105" s="25">
        <f t="shared" si="152"/>
        <v>1.2426011560693642</v>
      </c>
      <c r="N105" s="25">
        <f t="shared" si="152"/>
        <v>7.8170909090909095</v>
      </c>
      <c r="O105" s="25">
        <f t="shared" si="152"/>
        <v>1.6536153846153845</v>
      </c>
      <c r="P105" s="25" t="e">
        <f t="shared" si="152"/>
        <v>#DIV/0!</v>
      </c>
      <c r="Q105" s="118" t="e">
        <f t="shared" si="147"/>
        <v>#DIV/0!</v>
      </c>
      <c r="R105" s="128"/>
      <c r="S105" s="119" t="e">
        <f t="shared" ref="S105:AB105" si="153">S104/S38</f>
        <v>#DIV/0!</v>
      </c>
      <c r="T105" s="119" t="e">
        <f t="shared" si="153"/>
        <v>#DIV/0!</v>
      </c>
      <c r="U105" s="119" t="e">
        <f t="shared" si="153"/>
        <v>#DIV/0!</v>
      </c>
      <c r="V105" s="119" t="e">
        <f t="shared" si="153"/>
        <v>#DIV/0!</v>
      </c>
      <c r="W105" s="119" t="e">
        <f t="shared" si="153"/>
        <v>#DIV/0!</v>
      </c>
      <c r="X105" s="119" t="e">
        <f t="shared" si="153"/>
        <v>#DIV/0!</v>
      </c>
      <c r="Y105" s="119" t="e">
        <f t="shared" si="153"/>
        <v>#DIV/0!</v>
      </c>
      <c r="Z105" s="119" t="e">
        <f t="shared" si="153"/>
        <v>#DIV/0!</v>
      </c>
      <c r="AA105" s="119" t="e">
        <f t="shared" si="153"/>
        <v>#DIV/0!</v>
      </c>
      <c r="AB105" s="119" t="e">
        <f t="shared" si="153"/>
        <v>#DIV/0!</v>
      </c>
      <c r="AC105" s="138" t="e">
        <f t="shared" si="150"/>
        <v>#DIV/0!</v>
      </c>
      <c r="AD105" s="31">
        <v>0.08</v>
      </c>
      <c r="AE105" s="127" t="e">
        <f t="shared" si="151"/>
        <v>#DIV/0!</v>
      </c>
    </row>
    <row r="106" spans="2:31" x14ac:dyDescent="0.2">
      <c r="B106" s="20" t="s">
        <v>259</v>
      </c>
      <c r="C106" s="25" t="e">
        <f t="shared" ref="C106:P106" si="154">C104/C40</f>
        <v>#DIV/0!</v>
      </c>
      <c r="D106" s="25" t="e">
        <f t="shared" si="154"/>
        <v>#DIV/0!</v>
      </c>
      <c r="E106" s="25" t="e">
        <f t="shared" si="154"/>
        <v>#DIV/0!</v>
      </c>
      <c r="F106" s="25" t="e">
        <f t="shared" si="154"/>
        <v>#DIV/0!</v>
      </c>
      <c r="G106" s="25">
        <f t="shared" si="154"/>
        <v>0.18946850393700787</v>
      </c>
      <c r="H106" s="25">
        <f t="shared" si="154"/>
        <v>14199.107142857141</v>
      </c>
      <c r="I106" s="25">
        <f t="shared" si="154"/>
        <v>0.55390041493775932</v>
      </c>
      <c r="J106" s="25">
        <f t="shared" si="154"/>
        <v>0.28716945996275606</v>
      </c>
      <c r="K106" s="25">
        <f t="shared" si="154"/>
        <v>0.17721598563089358</v>
      </c>
      <c r="L106" s="25">
        <f t="shared" si="154"/>
        <v>0.15294390715667311</v>
      </c>
      <c r="M106" s="25">
        <f t="shared" si="154"/>
        <v>0.13736102236421724</v>
      </c>
      <c r="N106" s="25">
        <f t="shared" si="154"/>
        <v>0.11670466883821934</v>
      </c>
      <c r="O106" s="25">
        <f t="shared" si="154"/>
        <v>0.11814784281395989</v>
      </c>
      <c r="P106" s="25" t="e">
        <f t="shared" si="154"/>
        <v>#DIV/0!</v>
      </c>
      <c r="Q106" s="118" t="e">
        <f t="shared" si="147"/>
        <v>#DIV/0!</v>
      </c>
      <c r="R106" s="128"/>
      <c r="S106" s="119" t="e">
        <f t="shared" ref="S106:AB106" si="155">S104/S40</f>
        <v>#DIV/0!</v>
      </c>
      <c r="T106" s="119" t="e">
        <f t="shared" si="155"/>
        <v>#DIV/0!</v>
      </c>
      <c r="U106" s="119" t="e">
        <f t="shared" si="155"/>
        <v>#DIV/0!</v>
      </c>
      <c r="V106" s="119" t="e">
        <f t="shared" si="155"/>
        <v>#DIV/0!</v>
      </c>
      <c r="W106" s="119" t="e">
        <f t="shared" si="155"/>
        <v>#DIV/0!</v>
      </c>
      <c r="X106" s="119" t="e">
        <f t="shared" si="155"/>
        <v>#DIV/0!</v>
      </c>
      <c r="Y106" s="119" t="e">
        <f t="shared" si="155"/>
        <v>#DIV/0!</v>
      </c>
      <c r="Z106" s="119" t="e">
        <f t="shared" si="155"/>
        <v>#DIV/0!</v>
      </c>
      <c r="AA106" s="119" t="e">
        <f t="shared" si="155"/>
        <v>#DIV/0!</v>
      </c>
      <c r="AB106" s="119" t="e">
        <f t="shared" si="155"/>
        <v>#DIV/0!</v>
      </c>
      <c r="AC106" s="138" t="e">
        <f t="shared" si="150"/>
        <v>#DIV/0!</v>
      </c>
      <c r="AD106" s="31">
        <v>0.08</v>
      </c>
      <c r="AE106" s="127" t="e">
        <f t="shared" si="151"/>
        <v>#DIV/0!</v>
      </c>
    </row>
    <row r="107" spans="2:31" x14ac:dyDescent="0.2">
      <c r="B107" s="20" t="s">
        <v>260</v>
      </c>
      <c r="C107" s="129" t="e">
        <f t="shared" ref="C107:P107" si="156">C104/C49</f>
        <v>#DIV/0!</v>
      </c>
      <c r="D107" s="129" t="e">
        <f t="shared" si="156"/>
        <v>#DIV/0!</v>
      </c>
      <c r="E107" s="129" t="e">
        <f t="shared" si="156"/>
        <v>#DIV/0!</v>
      </c>
      <c r="F107" s="129" t="e">
        <f t="shared" si="156"/>
        <v>#DIV/0!</v>
      </c>
      <c r="G107" s="129">
        <f t="shared" si="156"/>
        <v>2.7918781725888326</v>
      </c>
      <c r="H107" s="129">
        <f t="shared" si="156"/>
        <v>3201.0869565217395</v>
      </c>
      <c r="I107" s="129">
        <f t="shared" si="156"/>
        <v>4.166354556803995</v>
      </c>
      <c r="J107" s="129">
        <f t="shared" si="156"/>
        <v>1.1802387876932499</v>
      </c>
      <c r="K107" s="129">
        <f t="shared" si="156"/>
        <v>1.1560046865846516</v>
      </c>
      <c r="L107" s="129">
        <f t="shared" si="156"/>
        <v>1.0912503450179409</v>
      </c>
      <c r="M107" s="25">
        <f t="shared" si="156"/>
        <v>0.82537915146861196</v>
      </c>
      <c r="N107" s="25">
        <f t="shared" si="156"/>
        <v>1.1084070226095026</v>
      </c>
      <c r="O107" s="25">
        <f t="shared" si="156"/>
        <v>0.99028008107610099</v>
      </c>
      <c r="P107" s="25" t="e">
        <f t="shared" si="156"/>
        <v>#DIV/0!</v>
      </c>
      <c r="Q107" s="118" t="e">
        <f t="shared" si="147"/>
        <v>#DIV/0!</v>
      </c>
      <c r="R107" s="128"/>
      <c r="S107" s="119" t="e">
        <f t="shared" ref="S107:AB107" si="157">S104/S49</f>
        <v>#DIV/0!</v>
      </c>
      <c r="T107" s="119" t="e">
        <f t="shared" si="157"/>
        <v>#DIV/0!</v>
      </c>
      <c r="U107" s="119" t="e">
        <f t="shared" si="157"/>
        <v>#DIV/0!</v>
      </c>
      <c r="V107" s="119" t="e">
        <f t="shared" si="157"/>
        <v>#DIV/0!</v>
      </c>
      <c r="W107" s="119" t="e">
        <f t="shared" si="157"/>
        <v>#DIV/0!</v>
      </c>
      <c r="X107" s="119" t="e">
        <f t="shared" si="157"/>
        <v>#DIV/0!</v>
      </c>
      <c r="Y107" s="119" t="e">
        <f t="shared" si="157"/>
        <v>#DIV/0!</v>
      </c>
      <c r="Z107" s="119" t="e">
        <f t="shared" si="157"/>
        <v>#DIV/0!</v>
      </c>
      <c r="AA107" s="119" t="e">
        <f t="shared" si="157"/>
        <v>#DIV/0!</v>
      </c>
      <c r="AB107" s="119" t="e">
        <f t="shared" si="157"/>
        <v>#DIV/0!</v>
      </c>
      <c r="AC107" s="138" t="e">
        <f t="shared" si="150"/>
        <v>#DIV/0!</v>
      </c>
      <c r="AD107" s="31">
        <v>0.08</v>
      </c>
      <c r="AE107" s="127" t="e">
        <f t="shared" si="151"/>
        <v>#DIV/0!</v>
      </c>
    </row>
    <row r="108" spans="2:31" x14ac:dyDescent="0.2">
      <c r="B108" s="20" t="s">
        <v>261</v>
      </c>
      <c r="C108" s="129" t="e">
        <f t="shared" ref="C108:P108" si="158">C104/C51</f>
        <v>#DIV/0!</v>
      </c>
      <c r="D108" s="129" t="e">
        <f t="shared" si="158"/>
        <v>#DIV/0!</v>
      </c>
      <c r="E108" s="129" t="e">
        <f t="shared" si="158"/>
        <v>#DIV/0!</v>
      </c>
      <c r="F108" s="129" t="e">
        <f t="shared" si="158"/>
        <v>#DIV/0!</v>
      </c>
      <c r="G108" s="129">
        <f t="shared" si="158"/>
        <v>0.24838709677419354</v>
      </c>
      <c r="H108" s="129">
        <f t="shared" si="158"/>
        <v>279.19592696629212</v>
      </c>
      <c r="I108" s="129">
        <f t="shared" si="158"/>
        <v>0.33966921119592874</v>
      </c>
      <c r="J108" s="129">
        <f t="shared" si="158"/>
        <v>0.32986096256684494</v>
      </c>
      <c r="K108" s="129">
        <f t="shared" si="158"/>
        <v>0.62347551342812002</v>
      </c>
      <c r="L108" s="129">
        <f t="shared" si="158"/>
        <v>0.92590163934426217</v>
      </c>
      <c r="M108" s="25">
        <f t="shared" si="158"/>
        <v>0.9246021505376345</v>
      </c>
      <c r="N108" s="25">
        <f t="shared" si="158"/>
        <v>0.92859611231101513</v>
      </c>
      <c r="O108" s="25">
        <f t="shared" si="158"/>
        <v>0.60898016997167137</v>
      </c>
      <c r="P108" s="25" t="e">
        <f t="shared" si="158"/>
        <v>#DIV/0!</v>
      </c>
      <c r="Q108" s="118" t="e">
        <f t="shared" si="147"/>
        <v>#DIV/0!</v>
      </c>
      <c r="R108" s="128"/>
      <c r="S108" s="119" t="e">
        <f t="shared" ref="S108:AB108" si="159">S104/S51</f>
        <v>#DIV/0!</v>
      </c>
      <c r="T108" s="119" t="e">
        <f t="shared" si="159"/>
        <v>#DIV/0!</v>
      </c>
      <c r="U108" s="119" t="e">
        <f t="shared" si="159"/>
        <v>#DIV/0!</v>
      </c>
      <c r="V108" s="119" t="e">
        <f t="shared" si="159"/>
        <v>#DIV/0!</v>
      </c>
      <c r="W108" s="119" t="e">
        <f t="shared" si="159"/>
        <v>#DIV/0!</v>
      </c>
      <c r="X108" s="119" t="e">
        <f t="shared" si="159"/>
        <v>#DIV/0!</v>
      </c>
      <c r="Y108" s="119" t="e">
        <f t="shared" si="159"/>
        <v>#DIV/0!</v>
      </c>
      <c r="Z108" s="119" t="e">
        <f t="shared" si="159"/>
        <v>#DIV/0!</v>
      </c>
      <c r="AA108" s="119" t="e">
        <f t="shared" si="159"/>
        <v>#DIV/0!</v>
      </c>
      <c r="AB108" s="119" t="e">
        <f t="shared" si="159"/>
        <v>#DIV/0!</v>
      </c>
      <c r="AC108" s="138" t="e">
        <f t="shared" si="150"/>
        <v>#DIV/0!</v>
      </c>
      <c r="AD108" s="31">
        <v>0.08</v>
      </c>
      <c r="AE108" s="127" t="e">
        <f t="shared" si="151"/>
        <v>#DIV/0!</v>
      </c>
    </row>
    <row r="109" spans="2:31" x14ac:dyDescent="0.2">
      <c r="B109" s="20" t="s">
        <v>281</v>
      </c>
      <c r="C109" s="129" t="e">
        <f>C105/C63</f>
        <v>#DIV/0!</v>
      </c>
      <c r="D109" s="129" t="e">
        <f>D105/D63</f>
        <v>#DIV/0!</v>
      </c>
      <c r="E109" s="129" t="e">
        <f>E105/E63</f>
        <v>#DIV/0!</v>
      </c>
      <c r="F109" s="129" t="e">
        <f>F105/F63</f>
        <v>#DIV/0!</v>
      </c>
      <c r="G109" s="135">
        <f t="shared" ref="G109:P109" si="160">G104/G45</f>
        <v>5.1705613752350256E-2</v>
      </c>
      <c r="H109" s="135">
        <f t="shared" si="160"/>
        <v>73.597741577193631</v>
      </c>
      <c r="I109" s="135">
        <f t="shared" si="160"/>
        <v>0.11552574643011684</v>
      </c>
      <c r="J109" s="135">
        <f t="shared" si="160"/>
        <v>0.10003892312682454</v>
      </c>
      <c r="K109" s="135">
        <f t="shared" si="160"/>
        <v>0.10037131230925737</v>
      </c>
      <c r="L109" s="135">
        <f t="shared" si="160"/>
        <v>9.7716262975778539E-2</v>
      </c>
      <c r="M109" s="135">
        <f t="shared" si="160"/>
        <v>9.3060606060606066E-2</v>
      </c>
      <c r="N109" s="135">
        <f t="shared" si="160"/>
        <v>9.4909492273730689E-2</v>
      </c>
      <c r="O109" s="135">
        <f t="shared" si="160"/>
        <v>0.19176628010704727</v>
      </c>
      <c r="P109" s="135" t="e">
        <f t="shared" si="160"/>
        <v>#DIV/0!</v>
      </c>
      <c r="Q109" s="118" t="e">
        <f t="shared" ref="Q109" si="161">((P109/G109)^(1/($H$3-$H$2) ))-1</f>
        <v>#DIV/0!</v>
      </c>
      <c r="R109" s="128"/>
      <c r="S109" s="135" t="e">
        <f t="shared" ref="S109:AB109" si="162">S104/S45</f>
        <v>#DIV/0!</v>
      </c>
      <c r="T109" s="135" t="e">
        <f t="shared" si="162"/>
        <v>#DIV/0!</v>
      </c>
      <c r="U109" s="135" t="e">
        <f t="shared" si="162"/>
        <v>#DIV/0!</v>
      </c>
      <c r="V109" s="135" t="e">
        <f t="shared" si="162"/>
        <v>#DIV/0!</v>
      </c>
      <c r="W109" s="135" t="e">
        <f t="shared" si="162"/>
        <v>#DIV/0!</v>
      </c>
      <c r="X109" s="135" t="e">
        <f t="shared" si="162"/>
        <v>#DIV/0!</v>
      </c>
      <c r="Y109" s="135" t="e">
        <f t="shared" si="162"/>
        <v>#DIV/0!</v>
      </c>
      <c r="Z109" s="135" t="e">
        <f t="shared" si="162"/>
        <v>#DIV/0!</v>
      </c>
      <c r="AA109" s="135" t="e">
        <f t="shared" si="162"/>
        <v>#DIV/0!</v>
      </c>
      <c r="AB109" s="135" t="e">
        <f t="shared" si="162"/>
        <v>#DIV/0!</v>
      </c>
      <c r="AC109" s="138" t="e">
        <f t="shared" ref="AC109" si="163">((AB109/G109)^(1/($AB$4-$H$2) ))-1</f>
        <v>#DIV/0!</v>
      </c>
      <c r="AD109" s="31">
        <v>0.08</v>
      </c>
      <c r="AE109" s="127" t="e">
        <f t="shared" si="151"/>
        <v>#DIV/0!</v>
      </c>
    </row>
    <row r="110" spans="2:31" x14ac:dyDescent="0.2"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 x14ac:dyDescent="0.2"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</sheetData>
  <pageMargins left="0.7" right="0.7" top="0.75" bottom="0.75" header="0.3" footer="0.3"/>
  <pageSetup orientation="portrait" r:id="rId1"/>
  <ignoredErrors>
    <ignoredError sqref="C105 S65:AB7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48" t="s">
        <v>27</v>
      </c>
      <c r="K5" s="148"/>
      <c r="M5" s="148" t="s">
        <v>65</v>
      </c>
      <c r="N5" s="148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48" t="s">
        <v>36</v>
      </c>
      <c r="K14" s="148"/>
      <c r="L14" s="148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48" t="s">
        <v>27</v>
      </c>
      <c r="S5" s="148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48" t="s">
        <v>36</v>
      </c>
      <c r="S14" s="148"/>
      <c r="T14" s="148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48" t="s">
        <v>27</v>
      </c>
      <c r="C2" s="148"/>
      <c r="E2" s="148" t="s">
        <v>65</v>
      </c>
      <c r="F2" s="148"/>
      <c r="H2" s="152" t="s">
        <v>36</v>
      </c>
      <c r="I2" s="153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49" t="s">
        <v>68</v>
      </c>
      <c r="E10" s="150"/>
      <c r="F10" s="150"/>
      <c r="G10" s="150"/>
      <c r="H10" s="151"/>
      <c r="I10" s="149" t="s">
        <v>72</v>
      </c>
      <c r="J10" s="150"/>
      <c r="K10" s="150"/>
      <c r="L10" s="151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2013-05-30T08:29:46Z</dcterms:modified>
</cp:coreProperties>
</file>
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D36" i="18" l="1"/>
  <c r="E36" i="18"/>
  <c r="F36" i="18"/>
  <c r="G36" i="18"/>
  <c r="H36" i="18"/>
  <c r="I36" i="18"/>
  <c r="J36" i="18"/>
  <c r="K36" i="18"/>
  <c r="L36" i="18"/>
  <c r="M36" i="18"/>
  <c r="N36" i="18"/>
  <c r="O36" i="18"/>
  <c r="P36" i="18" s="1"/>
  <c r="C36" i="18"/>
  <c r="C35" i="18"/>
  <c r="P46" i="18" l="1"/>
  <c r="P47" i="18"/>
  <c r="P48" i="18"/>
  <c r="P49" i="18"/>
  <c r="P50" i="18"/>
  <c r="P51" i="18"/>
  <c r="P45" i="18"/>
  <c r="P24" i="18"/>
  <c r="P21" i="18"/>
  <c r="P22" i="18"/>
  <c r="P19" i="18"/>
  <c r="P8" i="18"/>
  <c r="P10" i="18"/>
  <c r="P11" i="18"/>
  <c r="P12" i="18"/>
  <c r="P13" i="18"/>
  <c r="P14" i="18"/>
  <c r="P15" i="18"/>
  <c r="P7" i="18"/>
  <c r="P20" i="18"/>
  <c r="AB51" i="18"/>
  <c r="AB50" i="18"/>
  <c r="AB49" i="18"/>
  <c r="AB48" i="18"/>
  <c r="AB47" i="18"/>
  <c r="AB46" i="18"/>
  <c r="AB4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R35" i="18" s="1"/>
  <c r="S35" i="18" s="1"/>
  <c r="T35" i="18" s="1"/>
  <c r="U35" i="18" s="1"/>
  <c r="V35" i="18" s="1"/>
  <c r="W35" i="18" s="1"/>
  <c r="X35" i="18" s="1"/>
  <c r="Y35" i="18" s="1"/>
  <c r="Z35" i="18" s="1"/>
  <c r="AA35" i="18" s="1"/>
  <c r="D34" i="18"/>
  <c r="E34" i="18"/>
  <c r="F34" i="18"/>
  <c r="G34" i="18"/>
  <c r="H34" i="18"/>
  <c r="I34" i="18"/>
  <c r="J34" i="18"/>
  <c r="K34" i="18"/>
  <c r="L34" i="18"/>
  <c r="M34" i="18"/>
  <c r="N34" i="18"/>
  <c r="O34" i="18"/>
  <c r="R34" i="18" s="1"/>
  <c r="S34" i="18" s="1"/>
  <c r="T34" i="18" s="1"/>
  <c r="U34" i="18" s="1"/>
  <c r="V34" i="18" s="1"/>
  <c r="W34" i="18" s="1"/>
  <c r="X34" i="18" s="1"/>
  <c r="Y34" i="18" s="1"/>
  <c r="Z34" i="18" s="1"/>
  <c r="AA34" i="18" s="1"/>
  <c r="C34" i="18"/>
  <c r="P35" i="18" l="1"/>
  <c r="AB34" i="18"/>
  <c r="AB35" i="18"/>
  <c r="P34" i="18"/>
  <c r="R62" i="18"/>
  <c r="R61" i="18"/>
  <c r="C45" i="15"/>
  <c r="P26" i="18"/>
  <c r="R49" i="18" l="1"/>
  <c r="S49" i="18" s="1"/>
  <c r="T49" i="18" s="1"/>
  <c r="U49" i="18" s="1"/>
  <c r="V49" i="18" s="1"/>
  <c r="W49" i="18" s="1"/>
  <c r="X49" i="18" s="1"/>
  <c r="Y49" i="18" s="1"/>
  <c r="Z49" i="18" s="1"/>
  <c r="AA49" i="18" s="1"/>
  <c r="P69" i="18"/>
  <c r="R69" i="18" s="1"/>
  <c r="S69" i="18" s="1"/>
  <c r="T69" i="18" s="1"/>
  <c r="U69" i="18" s="1"/>
  <c r="V69" i="18" s="1"/>
  <c r="W69" i="18" s="1"/>
  <c r="X69" i="18" s="1"/>
  <c r="Y69" i="18" s="1"/>
  <c r="Z69" i="18" s="1"/>
  <c r="AA69" i="18" s="1"/>
  <c r="AB69" i="18" s="1"/>
  <c r="D73" i="18"/>
  <c r="E73" i="18"/>
  <c r="F73" i="18"/>
  <c r="G73" i="18"/>
  <c r="H73" i="18"/>
  <c r="I73" i="18"/>
  <c r="J73" i="18"/>
  <c r="C73" i="18"/>
  <c r="D72" i="18"/>
  <c r="E72" i="18"/>
  <c r="F72" i="18"/>
  <c r="G72" i="18"/>
  <c r="H72" i="18"/>
  <c r="I72" i="18"/>
  <c r="J72" i="18"/>
  <c r="C72" i="18"/>
  <c r="D71" i="18"/>
  <c r="E71" i="18"/>
  <c r="F71" i="18"/>
  <c r="G71" i="18"/>
  <c r="H71" i="18"/>
  <c r="I71" i="18"/>
  <c r="J71" i="18"/>
  <c r="C71" i="18"/>
  <c r="D70" i="18"/>
  <c r="E70" i="18"/>
  <c r="F70" i="18"/>
  <c r="G70" i="18"/>
  <c r="H70" i="18"/>
  <c r="I70" i="18"/>
  <c r="J70" i="18"/>
  <c r="K70" i="18"/>
  <c r="C70" i="18"/>
  <c r="C29" i="18"/>
  <c r="D29" i="18"/>
  <c r="E29" i="18"/>
  <c r="F29" i="18"/>
  <c r="G29" i="18"/>
  <c r="H29" i="18"/>
  <c r="I29" i="18"/>
  <c r="J29" i="18"/>
  <c r="K29" i="18"/>
  <c r="L29" i="18"/>
  <c r="M29" i="18"/>
  <c r="M70" i="18" s="1"/>
  <c r="N29" i="18"/>
  <c r="O29" i="18"/>
  <c r="O70" i="18" s="1"/>
  <c r="D42" i="18"/>
  <c r="E42" i="18"/>
  <c r="F42" i="18"/>
  <c r="G42" i="18"/>
  <c r="H42" i="18"/>
  <c r="I42" i="18"/>
  <c r="J42" i="18"/>
  <c r="K42" i="18"/>
  <c r="K73" i="18" s="1"/>
  <c r="L42" i="18"/>
  <c r="L73" i="18" s="1"/>
  <c r="M42" i="18"/>
  <c r="M73" i="18" s="1"/>
  <c r="N42" i="18"/>
  <c r="O42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D40" i="18"/>
  <c r="H40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D38" i="18"/>
  <c r="E38" i="18"/>
  <c r="E40" i="18" s="1"/>
  <c r="F38" i="18"/>
  <c r="F40" i="18" s="1"/>
  <c r="G38" i="18"/>
  <c r="G40" i="18" s="1"/>
  <c r="H38" i="18"/>
  <c r="I38" i="18"/>
  <c r="I40" i="18" s="1"/>
  <c r="J38" i="18"/>
  <c r="J40" i="18" s="1"/>
  <c r="K38" i="18"/>
  <c r="L38" i="18"/>
  <c r="L40" i="18" s="1"/>
  <c r="L72" i="18" s="1"/>
  <c r="M38" i="18"/>
  <c r="N38" i="18"/>
  <c r="O38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D31" i="18"/>
  <c r="E31" i="18"/>
  <c r="F31" i="18"/>
  <c r="G31" i="18"/>
  <c r="H31" i="18"/>
  <c r="I31" i="18"/>
  <c r="J31" i="18"/>
  <c r="K31" i="18"/>
  <c r="K71" i="18" s="1"/>
  <c r="L31" i="18"/>
  <c r="L71" i="18" s="1"/>
  <c r="M31" i="18"/>
  <c r="M71" i="18" s="1"/>
  <c r="N31" i="18"/>
  <c r="O31" i="18"/>
  <c r="C42" i="18"/>
  <c r="C41" i="18"/>
  <c r="C39" i="18"/>
  <c r="C38" i="18"/>
  <c r="C40" i="18" s="1"/>
  <c r="C32" i="18"/>
  <c r="C31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C30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R15" i="18"/>
  <c r="S15" i="18" s="1"/>
  <c r="T15" i="18" s="1"/>
  <c r="U15" i="18" s="1"/>
  <c r="V15" i="18" s="1"/>
  <c r="W15" i="18" s="1"/>
  <c r="X15" i="18" s="1"/>
  <c r="Y15" i="18" s="1"/>
  <c r="Z15" i="18" s="1"/>
  <c r="AA15" i="18" s="1"/>
  <c r="AB15" i="18" s="1"/>
  <c r="R24" i="18"/>
  <c r="S24" i="18" s="1"/>
  <c r="T24" i="18" s="1"/>
  <c r="U24" i="18" s="1"/>
  <c r="V24" i="18" s="1"/>
  <c r="W24" i="18" s="1"/>
  <c r="X24" i="18" s="1"/>
  <c r="Y24" i="18" s="1"/>
  <c r="Z24" i="18" s="1"/>
  <c r="AA24" i="18" s="1"/>
  <c r="AB24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R12" i="18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R8" i="18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K40" i="18" l="1"/>
  <c r="K72" i="18" s="1"/>
  <c r="P30" i="18"/>
  <c r="N71" i="18"/>
  <c r="P31" i="18"/>
  <c r="P32" i="18"/>
  <c r="P38" i="18"/>
  <c r="P39" i="18"/>
  <c r="N70" i="18"/>
  <c r="P29" i="18"/>
  <c r="P41" i="18"/>
  <c r="N73" i="18"/>
  <c r="P42" i="18"/>
  <c r="R41" i="18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R42" i="18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O71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L70" i="18"/>
  <c r="P70" i="18"/>
  <c r="R70" i="18" s="1"/>
  <c r="S70" i="18" s="1"/>
  <c r="T70" i="18" s="1"/>
  <c r="U70" i="18" s="1"/>
  <c r="V70" i="18" s="1"/>
  <c r="W70" i="18" s="1"/>
  <c r="X70" i="18" s="1"/>
  <c r="Y70" i="18" s="1"/>
  <c r="Z70" i="18" s="1"/>
  <c r="AA70" i="18" s="1"/>
  <c r="AB70" i="18" s="1"/>
  <c r="N40" i="18"/>
  <c r="R39" i="18"/>
  <c r="S39" i="18" s="1"/>
  <c r="T39" i="18" s="1"/>
  <c r="U39" i="18" s="1"/>
  <c r="V39" i="18" s="1"/>
  <c r="W39" i="18" s="1"/>
  <c r="X39" i="18" s="1"/>
  <c r="Y39" i="18" s="1"/>
  <c r="Z39" i="18" s="1"/>
  <c r="AA39" i="18" s="1"/>
  <c r="AB39" i="18" s="1"/>
  <c r="M40" i="18"/>
  <c r="M72" i="18" s="1"/>
  <c r="O73" i="18"/>
  <c r="P73" i="18" s="1"/>
  <c r="R73" i="18" s="1"/>
  <c r="S73" i="18" s="1"/>
  <c r="T73" i="18" s="1"/>
  <c r="U73" i="18" s="1"/>
  <c r="V73" i="18" s="1"/>
  <c r="W73" i="18" s="1"/>
  <c r="X73" i="18" s="1"/>
  <c r="Y73" i="18" s="1"/>
  <c r="Z73" i="18" s="1"/>
  <c r="AA73" i="18" s="1"/>
  <c r="AB73" i="18" s="1"/>
  <c r="P71" i="18"/>
  <c r="R71" i="18" s="1"/>
  <c r="S71" i="18" s="1"/>
  <c r="T71" i="18" s="1"/>
  <c r="U71" i="18" s="1"/>
  <c r="V71" i="18" s="1"/>
  <c r="W71" i="18" s="1"/>
  <c r="X71" i="18" s="1"/>
  <c r="Y71" i="18" s="1"/>
  <c r="Z71" i="18" s="1"/>
  <c r="AA71" i="18" s="1"/>
  <c r="AB71" i="18" s="1"/>
  <c r="O40" i="18"/>
  <c r="R50" i="18"/>
  <c r="S50" i="18" s="1"/>
  <c r="T50" i="18" s="1"/>
  <c r="U50" i="18" s="1"/>
  <c r="V50" i="18" s="1"/>
  <c r="W50" i="18" s="1"/>
  <c r="X50" i="18" s="1"/>
  <c r="Y50" i="18" s="1"/>
  <c r="Z50" i="18" s="1"/>
  <c r="AA50" i="18" s="1"/>
  <c r="R51" i="18"/>
  <c r="S51" i="18" s="1"/>
  <c r="T51" i="18" s="1"/>
  <c r="U51" i="18" s="1"/>
  <c r="V51" i="18" s="1"/>
  <c r="W51" i="18" s="1"/>
  <c r="X51" i="18" s="1"/>
  <c r="Y51" i="18" s="1"/>
  <c r="Z51" i="18" s="1"/>
  <c r="AA51" i="18" s="1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C6" i="12"/>
  <c r="C25" i="15"/>
  <c r="C57" i="15"/>
  <c r="C56" i="15"/>
  <c r="C53" i="15"/>
  <c r="C52" i="15"/>
  <c r="C49" i="15"/>
  <c r="C48" i="15"/>
  <c r="C44" i="15"/>
  <c r="N72" i="18" l="1"/>
  <c r="P40" i="18"/>
  <c r="O72" i="18"/>
  <c r="P72" i="18" s="1"/>
  <c r="R72" i="18" s="1"/>
  <c r="S72" i="18" s="1"/>
  <c r="T72" i="18" s="1"/>
  <c r="U72" i="18" s="1"/>
  <c r="V72" i="18" s="1"/>
  <c r="W72" i="18" s="1"/>
  <c r="X72" i="18" s="1"/>
  <c r="Y72" i="18" s="1"/>
  <c r="Z72" i="18" s="1"/>
  <c r="AA72" i="18" s="1"/>
  <c r="AB72" i="18" s="1"/>
  <c r="R40" i="18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R48" i="18"/>
  <c r="S48" i="18" s="1"/>
  <c r="T48" i="18" s="1"/>
  <c r="U48" i="18" s="1"/>
  <c r="V48" i="18" s="1"/>
  <c r="W48" i="18" s="1"/>
  <c r="X48" i="18" s="1"/>
  <c r="Y48" i="18" s="1"/>
  <c r="Z48" i="18" s="1"/>
  <c r="AA48" i="18" s="1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45" i="18"/>
  <c r="S45" i="18" s="1"/>
  <c r="T45" i="18" s="1"/>
  <c r="U45" i="18" s="1"/>
  <c r="V45" i="18" s="1"/>
  <c r="W45" i="18" s="1"/>
  <c r="X45" i="18" s="1"/>
  <c r="Y45" i="18" s="1"/>
  <c r="Z45" i="18" s="1"/>
  <c r="AA45" i="18" s="1"/>
  <c r="R29" i="18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R47" i="18"/>
  <c r="S47" i="18" s="1"/>
  <c r="T47" i="18" s="1"/>
  <c r="U47" i="18" s="1"/>
  <c r="V47" i="18" s="1"/>
  <c r="W47" i="18" s="1"/>
  <c r="X47" i="18" s="1"/>
  <c r="Y47" i="18" s="1"/>
  <c r="Z47" i="18" s="1"/>
  <c r="AA47" i="18" s="1"/>
  <c r="R46" i="18"/>
  <c r="S46" i="18" s="1"/>
  <c r="T46" i="18" s="1"/>
  <c r="U46" i="18" s="1"/>
  <c r="V46" i="18" s="1"/>
  <c r="W46" i="18" s="1"/>
  <c r="X46" i="18" s="1"/>
  <c r="Y46" i="18" s="1"/>
  <c r="Z46" i="18" s="1"/>
  <c r="AA46" i="18" s="1"/>
  <c r="R64" i="18"/>
  <c r="R30" i="18"/>
  <c r="S30" i="18" s="1"/>
  <c r="T30" i="18" s="1"/>
  <c r="U30" i="18" s="1"/>
  <c r="V30" i="18" s="1"/>
  <c r="W30" i="18" s="1"/>
  <c r="X30" i="18" s="1"/>
  <c r="Y30" i="18" s="1"/>
  <c r="Z30" i="18" s="1"/>
  <c r="AA30" i="18" s="1"/>
  <c r="AB30" i="18" s="1"/>
  <c r="C15" i="15"/>
  <c r="C20" i="15"/>
  <c r="C9" i="15"/>
  <c r="R55" i="18" l="1"/>
  <c r="R56" i="18"/>
  <c r="R66" i="18"/>
  <c r="R59" i="18"/>
  <c r="R58" i="18"/>
  <c r="R57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<sst xmlns="http://schemas.openxmlformats.org/spreadsheetml/2006/main" count="424" uniqueCount="282">
  <si>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</si>
  <si>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</si>
  <si>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</si>
  <si>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</si>
  <si>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</si>
  <si>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</si>
  <si>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</si>
  <si>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</si>
  <si>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</si>
  <si>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</si>
  <si>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</si>
  <si>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</si>
  <si>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</si>
  <si>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</si>
  <si>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</si>
  <si>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</si>
  <si>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</si>
  <si>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</si>
  <si>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</si>
  <si>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</si>
  <si>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</si>
  <si>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</si>
  <si>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</si>
  <si>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</si>
  <si>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</si>
  <si>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</si>
  <si>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</si>
  <si>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</si>
  <si>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</si>
  <si>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</si>
  <si>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</si>
  <si>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</si>
  <si>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</si>
  <si>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</si>
  <si>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</si>
  <si>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</si>
  <si>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</si>
  <si>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</si>
  <si>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</si>
  <si>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</si>
  <si>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</si>
  <si>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</si>
  <si>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</si>
  <si>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</si>
  <si>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</si>
  <si>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</si>
  <si>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</si>
  <si>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</si>
  <si>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</si>
  <si>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</si>
  <si>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</si>
  <si>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</si>
  <si>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</si>
  <si>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</si>
  <si>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</si>
  <si>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</si>
  <si>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</si>
  <si>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</si>
  <si>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</si>
  <si>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</si>
  <si>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</si>
  <si>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</si>
  <si>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</si>
  <si>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</si>
  <si>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</si>
  <si>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</si>
  <si>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</si>
  <si>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</si>
  <si>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</si>
  <si>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</si>
  <si>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</si>
  <si>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</si>
  <si>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</si>
  <si>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</si>
  <si>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</si>
  <si>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</si>
  <si>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</si>
  <si>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</si>
  <si>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</si>
  <si>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</si>
  <si>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</si>
  <si>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</si>
  <si>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</si>
  <si>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</si>
  <si>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</si>
  <si>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</si>
  <si>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</si>
  <si>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</si>
  <si>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</si>
  <si>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</si>
  <si>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</si>
  <si>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</si>
  <si>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</si>
  <si>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</si>
  <si>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</si>
  <si>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</si>
  <si>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</si>
  <si>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</si>
  <si>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</si>
  <si>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</si>
  <si>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</si>
  <si>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</si>
  <si>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</si>
  <si>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</si>
  <si>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</si>
  <si>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</si>
  <si>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</si>
  <si>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</si>
  <si>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</si>
  <si>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</si>
  <si>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</si>
  <si>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</si>
  <si>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</si>
  <si>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</si>
  <si>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</si>
  <si>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</si>
  <si>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</si>
  <si>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</si>
  <si>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</si>
  <si>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</si>
  <si>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</si>
  <si>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</si>
  <si>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</si>
  <si>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</si>
  <si>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</si>
  <si>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</si>
  <si>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</si>
  <si>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</si>
  <si>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</si>
  <si>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</si>
  <si>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</si>
  <si>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</si>
  <si>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</si>
  <si>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</si>
  <si>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</si>
  <si>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</si>
  <si>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</si>
  <si>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</si>
  <si>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</si>
  <si>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</si>
  <si>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</si>
  <si>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</si>
  <si>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</si>
  <si>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</si>
  <si>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</si>
  <si>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</si>
  <si>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</si>
  <si>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</si>
  <si>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</si>
  <si>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</si>
  <si>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</si>
  <si>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</si>
  <si>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</si>
  <si>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</si>
  <si>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</si>
  <si>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</si>
  <si>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</si>
  <si>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</si>
  <si>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</si>
  <si>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</si>
  <si>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</si>
  <si>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</si>
  <si>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</si>
  <si>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</si>
  <si>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</si>
  <si>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</si>
  <si>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</si>
  <si>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</si>
  <si>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</si>
  <si>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</si>
  <si>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</si>
  <si>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</si>
  <si>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</si>
  <si>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</si>
  <si>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</si>
  <si>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</si>
  <si>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</si>
  <si>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</si>
  <si>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</si>
  <si>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</si>
  <si>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</si>
  <si>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</si>
  <si>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</si>
  <si>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</si>
  <si>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</si>
  <si>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</si>
  <si>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</si>
  <si>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</si>
  <si>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</si>
  <si>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</si>
  <si>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</si>
  <si>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</si>
  <si>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</si>
  <si>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</si>
  <si>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</si>
  <si>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</si>
  <si>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</si>
  <si>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</si>
  <si>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</si>
  <si>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</si>
  <si>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</si>
  <si>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</si>
  <si>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</si>
  <si>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</si>
  <si>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</si>
  <si>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</si>
  <si>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</si>
  <si>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</si>
  <si>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</si>
  <si>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</si>
  <si>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</si>
  <si>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</si>
  <si>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</si>
  <si>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</si>
  <si>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</si>
  <si>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</si>
  <si>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</si>
  <si>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</si>
  <si>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</si>
  <si>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</si>
  <si>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</si>
  <si>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</si>
  <si>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</si>
  <si>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</si>
  <si>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</si>
  <si>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</si>
  <si>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</si>
  <si>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</si>
  <si>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</si>
  <si>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</si>
  <si>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</si>
  <si>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</si>
  <si>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</si>
  <si>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</si>
  <si>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</si>
  <si>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</si>
  <si>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</si>
  <si>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</si>
  <si>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</si>
  <si>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</si>
  <si>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</si>
  <si>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</si>
  <si>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</si>
  <si>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</si>
  <si>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</si>
  <si>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</si>
  <si>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</si>
  <si>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</si>
  <si>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</si>
  <si>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</si>
  <si>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</si>
  <si>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</si>
  <si>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</si>
  <si>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</si>
  <si>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</si>
  <si>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</si>
  <si>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</si>
  <si>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</si>
  <si>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</si>
  <si>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</si>
  <si>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</si>
  <si>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</si>
  <si>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</si>
  <si>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</si>
  <si>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</si>
  <si>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</si>
  <si>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</si>
  <si>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</si>
  <si>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</si>
  <si>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</si>
  <si>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</si>
  <si>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</si>
  <si>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</si>
  <si>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</si>
  <si>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</si>
  <si>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</si>
  <si>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</si>
  <si>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</si>
  <si>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</si>
  <si>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</si>
  <si>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</si>
  <si>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Mfg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</si>
</sst>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43" fontId="4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17408"/>
        <c:axId val="75619712"/>
      </c:lineChart>
      <c:catAx>
        <c:axId val="75617408"/>
        <c:scaling>
          <c:orientation val="minMax"/>
        </c:scaling>
        <c:delete val="0"/>
        <c:axPos val="b"/>
        <c:majorTickMark val="out"/>
        <c:minorTickMark val="none"/>
        <c:tickLblPos val="nextTo"/>
        <c:crossAx val="75619712"/>
        <c:crosses val="autoZero"/>
        <c:auto val="1"/>
        <c:lblAlgn val="ctr"/>
        <c:lblOffset val="100"/>
        <c:noMultiLvlLbl val="0"/>
      </c:catAx>
      <c:valAx>
        <c:axId val="7561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6174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C70" sqref="C70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1">
        <v>125</v>
      </c>
      <c r="D7" s="20"/>
      <c r="E7" s="20"/>
      <c r="F7" s="20"/>
      <c r="G7" s="20"/>
    </row>
    <row r="8" spans="2:7" x14ac:dyDescent="0.2">
      <c r="B8" s="20" t="s">
        <v>25</v>
      </c>
      <c r="C8" s="131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1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1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1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1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1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1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1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2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3"/>
      <c r="D31" s="20"/>
      <c r="E31" s="20"/>
      <c r="F31" s="20"/>
      <c r="G31" s="20"/>
    </row>
    <row r="32" spans="2:7" x14ac:dyDescent="0.2">
      <c r="B32" s="20" t="s">
        <v>269</v>
      </c>
      <c r="C32" s="133">
        <v>3.44E-2</v>
      </c>
      <c r="D32" s="20"/>
      <c r="E32" s="20"/>
      <c r="F32" s="20"/>
      <c r="G32" s="20"/>
    </row>
    <row r="33" spans="2:7" x14ac:dyDescent="0.2">
      <c r="B33" s="20" t="s">
        <v>268</v>
      </c>
      <c r="C33" s="133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1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1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1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1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1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1">
        <v>281.95</v>
      </c>
      <c r="D43" s="20"/>
      <c r="E43" s="20"/>
      <c r="F43" s="20"/>
      <c r="G43" s="20"/>
    </row>
    <row r="44" spans="2:7" x14ac:dyDescent="0.2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1">
        <v>171.6</v>
      </c>
      <c r="D47" s="20"/>
      <c r="E47" s="20"/>
      <c r="F47" s="20"/>
      <c r="G47" s="20"/>
    </row>
    <row r="48" spans="2:7" x14ac:dyDescent="0.2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1">
        <v>110.33</v>
      </c>
      <c r="D51" s="20"/>
      <c r="E51" s="20"/>
      <c r="F51" s="20"/>
      <c r="G51" s="20"/>
    </row>
    <row r="52" spans="2:7" x14ac:dyDescent="0.2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1">
        <v>1320.99</v>
      </c>
      <c r="D55" s="20"/>
      <c r="E55" s="20"/>
      <c r="F55" s="20"/>
      <c r="G55" s="20"/>
    </row>
    <row r="56" spans="2:7" x14ac:dyDescent="0.2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78"/>
  <sheetViews>
    <sheetView tabSelected="1" topLeftCell="A7" zoomScale="80" zoomScaleNormal="80" workbookViewId="0">
      <selection activeCell="O35" sqref="O35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10.5703125" style="104" bestFit="1" customWidth="1"/>
    <col min="16" max="16" width="10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0.22</v>
      </c>
      <c r="F2" s="104" t="s">
        <v>252</v>
      </c>
      <c r="H2" s="126">
        <v>2011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34">
        <v>9890.67</v>
      </c>
      <c r="P7" s="118" t="e">
        <f>((O7/N7)^(1/($H$3-$H$2) ))-1</f>
        <v>#DIV/0!</v>
      </c>
      <c r="Q7" s="31">
        <v>0.1</v>
      </c>
      <c r="R7" s="119">
        <f>O7*(1+$Q7)</f>
        <v>10879.737000000001</v>
      </c>
      <c r="S7" s="119">
        <f>R7*(1+$Q7)</f>
        <v>11967.710700000001</v>
      </c>
      <c r="T7" s="119">
        <f t="shared" ref="T7:AA7" si="0">S7*(1+$Q7)</f>
        <v>13164.481770000002</v>
      </c>
      <c r="U7" s="119">
        <f t="shared" si="0"/>
        <v>14480.929947000004</v>
      </c>
      <c r="V7" s="119">
        <f t="shared" si="0"/>
        <v>15929.022941700006</v>
      </c>
      <c r="W7" s="119">
        <f t="shared" si="0"/>
        <v>17521.925235870007</v>
      </c>
      <c r="X7" s="119">
        <f t="shared" si="0"/>
        <v>19274.117759457011</v>
      </c>
      <c r="Y7" s="119">
        <f t="shared" si="0"/>
        <v>21201.529535402715</v>
      </c>
      <c r="Z7" s="119">
        <f t="shared" si="0"/>
        <v>23321.682488942988</v>
      </c>
      <c r="AA7" s="119">
        <f t="shared" si="0"/>
        <v>25653.850737837289</v>
      </c>
      <c r="AB7" s="118" t="e">
        <f>((AA7/N7)^(1/($AA$4-$H$2) ))-1</f>
        <v>#DIV/0!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134">
        <v>10312.17</v>
      </c>
      <c r="P8" s="118" t="e">
        <f t="shared" ref="P8:P19" si="1">((O8/N8)^(1/($H$3-$H$2) ))-1</f>
        <v>#DIV/0!</v>
      </c>
      <c r="Q8" s="31">
        <v>0.1</v>
      </c>
      <c r="R8" s="119">
        <f t="shared" ref="R8:R15" si="2">O8*(1+$Q8)</f>
        <v>11343.387000000001</v>
      </c>
      <c r="S8" s="119">
        <f t="shared" ref="S8:AA8" si="3">R8*(1+$Q8)</f>
        <v>12477.725700000001</v>
      </c>
      <c r="T8" s="119">
        <f t="shared" si="3"/>
        <v>13725.498270000002</v>
      </c>
      <c r="U8" s="119">
        <f t="shared" si="3"/>
        <v>15098.048097000003</v>
      </c>
      <c r="V8" s="119">
        <f t="shared" si="3"/>
        <v>16607.852906700005</v>
      </c>
      <c r="W8" s="119">
        <f t="shared" si="3"/>
        <v>18268.638197370008</v>
      </c>
      <c r="X8" s="119">
        <f t="shared" si="3"/>
        <v>20095.50201710701</v>
      </c>
      <c r="Y8" s="119">
        <f t="shared" si="3"/>
        <v>22105.052218817713</v>
      </c>
      <c r="Z8" s="119">
        <f t="shared" si="3"/>
        <v>24315.557440699486</v>
      </c>
      <c r="AA8" s="119">
        <f t="shared" si="3"/>
        <v>26747.113184769438</v>
      </c>
      <c r="AB8" s="118" t="e">
        <f>((AA8/N8)^(1/($AA$4-$H$2) ))-1</f>
        <v>#DIV/0!</v>
      </c>
    </row>
    <row r="9" spans="2:28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134"/>
      <c r="P9" s="118"/>
      <c r="Q9" s="31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8"/>
    </row>
    <row r="10" spans="2:28" x14ac:dyDescent="0.2">
      <c r="B10" s="20" t="s">
        <v>272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34">
        <v>4019.21</v>
      </c>
      <c r="P10" s="118" t="e">
        <f t="shared" si="1"/>
        <v>#DIV/0!</v>
      </c>
      <c r="Q10" s="31">
        <v>0.1</v>
      </c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8"/>
    </row>
    <row r="11" spans="2:28" x14ac:dyDescent="0.2">
      <c r="B11" s="20" t="s">
        <v>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34">
        <v>2742.93</v>
      </c>
      <c r="P11" s="118" t="e">
        <f t="shared" si="1"/>
        <v>#DIV/0!</v>
      </c>
      <c r="Q11" s="31">
        <v>0.1</v>
      </c>
      <c r="R11" s="119">
        <f t="shared" si="2"/>
        <v>3017.223</v>
      </c>
      <c r="S11" s="119">
        <f t="shared" ref="S11:AA11" si="4">R11*(1+$Q11)</f>
        <v>3318.9453000000003</v>
      </c>
      <c r="T11" s="119">
        <f t="shared" si="4"/>
        <v>3650.8398300000008</v>
      </c>
      <c r="U11" s="119">
        <f t="shared" si="4"/>
        <v>4015.9238130000012</v>
      </c>
      <c r="V11" s="119">
        <f t="shared" si="4"/>
        <v>4417.5161943000021</v>
      </c>
      <c r="W11" s="119">
        <f t="shared" si="4"/>
        <v>4859.2678137300027</v>
      </c>
      <c r="X11" s="119">
        <f t="shared" si="4"/>
        <v>5345.1945951030029</v>
      </c>
      <c r="Y11" s="119">
        <f t="shared" si="4"/>
        <v>5879.7140546133041</v>
      </c>
      <c r="Z11" s="119">
        <f t="shared" si="4"/>
        <v>6467.6854600746346</v>
      </c>
      <c r="AA11" s="119">
        <f t="shared" si="4"/>
        <v>7114.4540060820991</v>
      </c>
      <c r="AB11" s="118" t="e">
        <f>((AA11/N11)^(1/($AA$4-$H$2) ))-1</f>
        <v>#DIV/0!</v>
      </c>
    </row>
    <row r="12" spans="2:28" x14ac:dyDescent="0.2">
      <c r="B12" s="20" t="s">
        <v>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134">
        <v>226.79</v>
      </c>
      <c r="P12" s="118" t="e">
        <f t="shared" si="1"/>
        <v>#DIV/0!</v>
      </c>
      <c r="Q12" s="31">
        <v>0.1</v>
      </c>
      <c r="R12" s="119">
        <f t="shared" si="2"/>
        <v>249.46900000000002</v>
      </c>
      <c r="S12" s="119">
        <f t="shared" ref="S12:AA12" si="5">R12*(1+$Q12)</f>
        <v>274.41590000000002</v>
      </c>
      <c r="T12" s="119">
        <f t="shared" si="5"/>
        <v>301.85749000000004</v>
      </c>
      <c r="U12" s="119">
        <f t="shared" si="5"/>
        <v>332.04323900000009</v>
      </c>
      <c r="V12" s="119">
        <f t="shared" si="5"/>
        <v>365.2475629000001</v>
      </c>
      <c r="W12" s="119">
        <f t="shared" si="5"/>
        <v>401.77231919000013</v>
      </c>
      <c r="X12" s="119">
        <f t="shared" si="5"/>
        <v>441.9495511090002</v>
      </c>
      <c r="Y12" s="119">
        <f t="shared" si="5"/>
        <v>486.14450621990028</v>
      </c>
      <c r="Z12" s="119">
        <f t="shared" si="5"/>
        <v>534.75895684189038</v>
      </c>
      <c r="AA12" s="119">
        <f t="shared" si="5"/>
        <v>588.23485252607952</v>
      </c>
      <c r="AB12" s="118" t="e">
        <f>((AA12/N12)^(1/($AA$4-$H$2) ))-1</f>
        <v>#DIV/0!</v>
      </c>
    </row>
    <row r="13" spans="2:28" x14ac:dyDescent="0.2">
      <c r="B13" s="20" t="s">
        <v>218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34">
        <v>58</v>
      </c>
      <c r="P13" s="118" t="e">
        <f t="shared" si="1"/>
        <v>#DIV/0!</v>
      </c>
      <c r="Q13" s="31">
        <v>0.1</v>
      </c>
      <c r="R13" s="119">
        <f t="shared" si="2"/>
        <v>63.800000000000004</v>
      </c>
      <c r="S13" s="119">
        <f t="shared" ref="S13:AA13" si="6">R13*(1+$Q13)</f>
        <v>70.180000000000007</v>
      </c>
      <c r="T13" s="119">
        <f t="shared" si="6"/>
        <v>77.198000000000008</v>
      </c>
      <c r="U13" s="119">
        <f t="shared" si="6"/>
        <v>84.917800000000014</v>
      </c>
      <c r="V13" s="119">
        <f t="shared" si="6"/>
        <v>93.40958000000002</v>
      </c>
      <c r="W13" s="119">
        <f t="shared" si="6"/>
        <v>102.75053800000003</v>
      </c>
      <c r="X13" s="119">
        <f t="shared" si="6"/>
        <v>113.02559180000004</v>
      </c>
      <c r="Y13" s="119">
        <f t="shared" si="6"/>
        <v>124.32815098000006</v>
      </c>
      <c r="Z13" s="119">
        <f t="shared" si="6"/>
        <v>136.76096607800008</v>
      </c>
      <c r="AA13" s="119">
        <f t="shared" si="6"/>
        <v>150.4370626858001</v>
      </c>
      <c r="AB13" s="118" t="e">
        <f>((AA13/N13)^(1/($AA$4-$H$2) ))-1</f>
        <v>#DIV/0!</v>
      </c>
    </row>
    <row r="14" spans="2:28" x14ac:dyDescent="0.2">
      <c r="B14" s="20" t="s">
        <v>19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134">
        <v>12767.08</v>
      </c>
      <c r="P14" s="118" t="e">
        <f t="shared" si="1"/>
        <v>#DIV/0!</v>
      </c>
      <c r="Q14" s="31">
        <v>0.1</v>
      </c>
      <c r="R14" s="119">
        <f t="shared" si="2"/>
        <v>14043.788</v>
      </c>
      <c r="S14" s="119">
        <f t="shared" ref="S14:AA14" si="7">R14*(1+$Q14)</f>
        <v>15448.166800000001</v>
      </c>
      <c r="T14" s="119">
        <f t="shared" si="7"/>
        <v>16992.983480000003</v>
      </c>
      <c r="U14" s="119">
        <f t="shared" si="7"/>
        <v>18692.281828000003</v>
      </c>
      <c r="V14" s="119">
        <f t="shared" si="7"/>
        <v>20561.510010800004</v>
      </c>
      <c r="W14" s="119">
        <f t="shared" si="7"/>
        <v>22617.661011880005</v>
      </c>
      <c r="X14" s="119">
        <f t="shared" si="7"/>
        <v>24879.427113068006</v>
      </c>
      <c r="Y14" s="119">
        <f t="shared" si="7"/>
        <v>27367.369824374808</v>
      </c>
      <c r="Z14" s="119">
        <f t="shared" si="7"/>
        <v>30104.106806812291</v>
      </c>
      <c r="AA14" s="119">
        <f t="shared" si="7"/>
        <v>33114.517487493526</v>
      </c>
      <c r="AB14" s="118" t="e">
        <f>((AA14/N14)^(1/($AA$4-$H$2) ))-1</f>
        <v>#DIV/0!</v>
      </c>
    </row>
    <row r="15" spans="2:28" x14ac:dyDescent="0.2">
      <c r="B15" s="20" t="s">
        <v>23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34"/>
      <c r="O15" s="134">
        <v>12619.56</v>
      </c>
      <c r="P15" s="118" t="e">
        <f t="shared" si="1"/>
        <v>#DIV/0!</v>
      </c>
      <c r="Q15" s="31">
        <v>0.1</v>
      </c>
      <c r="R15" s="119">
        <f t="shared" si="2"/>
        <v>13881.516000000001</v>
      </c>
      <c r="S15" s="119">
        <f t="shared" ref="S15:AA15" si="8">R15*(1+$Q15)</f>
        <v>15269.667600000002</v>
      </c>
      <c r="T15" s="119">
        <f t="shared" si="8"/>
        <v>16796.634360000004</v>
      </c>
      <c r="U15" s="119">
        <f t="shared" si="8"/>
        <v>18476.297796000006</v>
      </c>
      <c r="V15" s="119">
        <f t="shared" si="8"/>
        <v>20323.92757560001</v>
      </c>
      <c r="W15" s="119">
        <f t="shared" si="8"/>
        <v>22356.320333160013</v>
      </c>
      <c r="X15" s="119">
        <f t="shared" si="8"/>
        <v>24591.952366476016</v>
      </c>
      <c r="Y15" s="119">
        <f t="shared" si="8"/>
        <v>27051.14760312362</v>
      </c>
      <c r="Z15" s="119">
        <f t="shared" si="8"/>
        <v>29756.262363435984</v>
      </c>
      <c r="AA15" s="119">
        <f t="shared" si="8"/>
        <v>32731.888599779584</v>
      </c>
      <c r="AB15" s="118" t="e">
        <f>((AA15/N15)^(1/($AA$4-$H$2) ))-1</f>
        <v>#DIV/0!</v>
      </c>
    </row>
    <row r="16" spans="2:28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29"/>
      <c r="Q16" s="12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280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>
        <v>375.22</v>
      </c>
      <c r="P17" s="129"/>
      <c r="Q17" s="12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29"/>
      <c r="Q18" s="12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 t="s">
        <v>89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34">
        <v>2430.92</v>
      </c>
      <c r="P19" s="118" t="e">
        <f t="shared" si="1"/>
        <v>#DIV/0!</v>
      </c>
      <c r="Q19" s="31">
        <v>0.1</v>
      </c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 t="s">
        <v>262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34">
        <v>881.6</v>
      </c>
      <c r="P20" s="118" t="e">
        <f>((O20/N20)^(1/($H$3-$H$2) ))-1</f>
        <v>#DIV/0!</v>
      </c>
      <c r="Q20" s="31">
        <v>0.1</v>
      </c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8"/>
    </row>
    <row r="21" spans="2:28" x14ac:dyDescent="0.2">
      <c r="B21" s="20" t="s">
        <v>281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34">
        <v>764.33</v>
      </c>
      <c r="P21" s="118" t="e">
        <f t="shared" ref="P21:P24" si="9">((O21/N21)^(1/($H$3-$H$2) ))-1</f>
        <v>#DIV/0!</v>
      </c>
      <c r="Q21" s="31">
        <v>0.1</v>
      </c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8"/>
    </row>
    <row r="22" spans="2:28" x14ac:dyDescent="0.2">
      <c r="B22" s="20" t="s">
        <v>271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134">
        <v>76.31</v>
      </c>
      <c r="P22" s="118" t="e">
        <f t="shared" si="9"/>
        <v>#DIV/0!</v>
      </c>
      <c r="Q22" s="31">
        <v>0.1</v>
      </c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8"/>
    </row>
    <row r="23" spans="2:28" x14ac:dyDescent="0.2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129"/>
      <c r="Q23" s="12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8"/>
    </row>
    <row r="24" spans="2:28" x14ac:dyDescent="0.2">
      <c r="B24" s="20" t="s">
        <v>257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34">
        <v>809.5</v>
      </c>
      <c r="P24" s="118" t="e">
        <f t="shared" si="9"/>
        <v>#DIV/0!</v>
      </c>
      <c r="Q24" s="31">
        <v>0.1</v>
      </c>
      <c r="R24" s="119">
        <f>O24*(1+$Q24)</f>
        <v>890.45</v>
      </c>
      <c r="S24" s="119">
        <f t="shared" ref="S24:AA24" si="10">R24*(1+$Q24)</f>
        <v>979.49500000000012</v>
      </c>
      <c r="T24" s="119">
        <f t="shared" si="10"/>
        <v>1077.4445000000003</v>
      </c>
      <c r="U24" s="119">
        <f t="shared" si="10"/>
        <v>1185.1889500000004</v>
      </c>
      <c r="V24" s="119">
        <f t="shared" si="10"/>
        <v>1303.7078450000006</v>
      </c>
      <c r="W24" s="119">
        <f t="shared" si="10"/>
        <v>1434.0786295000007</v>
      </c>
      <c r="X24" s="119">
        <f t="shared" si="10"/>
        <v>1577.4864924500009</v>
      </c>
      <c r="Y24" s="119">
        <f t="shared" si="10"/>
        <v>1735.2351416950012</v>
      </c>
      <c r="Z24" s="119">
        <f t="shared" si="10"/>
        <v>1908.7586558645014</v>
      </c>
      <c r="AA24" s="119">
        <f t="shared" si="10"/>
        <v>2099.6345214509515</v>
      </c>
      <c r="AB24" s="118" t="e">
        <f>((AA24/N24)^(1/($AA$4-$H$2) ))-1</f>
        <v>#DIV/0!</v>
      </c>
    </row>
    <row r="25" spans="2:28" x14ac:dyDescent="0.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29"/>
      <c r="Q25" s="12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8"/>
    </row>
    <row r="26" spans="2:28" x14ac:dyDescent="0.2">
      <c r="B26" s="20" t="s">
        <v>239</v>
      </c>
      <c r="C26" s="119">
        <v>1</v>
      </c>
      <c r="D26" s="119">
        <v>1</v>
      </c>
      <c r="E26" s="127">
        <v>1</v>
      </c>
      <c r="F26" s="127">
        <v>1</v>
      </c>
      <c r="G26" s="127">
        <v>1</v>
      </c>
      <c r="H26" s="119">
        <v>1</v>
      </c>
      <c r="I26" s="119">
        <v>1</v>
      </c>
      <c r="J26" s="119">
        <v>1</v>
      </c>
      <c r="K26" s="119">
        <v>21</v>
      </c>
      <c r="L26" s="112">
        <v>28</v>
      </c>
      <c r="M26" s="112">
        <v>36</v>
      </c>
      <c r="N26" s="112">
        <v>41</v>
      </c>
      <c r="O26" s="112">
        <v>41</v>
      </c>
      <c r="P26" s="118">
        <f t="shared" ref="P26" si="11">((O26/L26)^(1/($H$3-$H$2) ))-1</f>
        <v>0.46428571428571419</v>
      </c>
      <c r="Q26" s="31">
        <v>0.1</v>
      </c>
      <c r="R26" s="119">
        <f t="shared" ref="R26" si="12">O26*(1+$Q26)</f>
        <v>45.1</v>
      </c>
      <c r="S26" s="119">
        <f t="shared" ref="S26:AA26" si="13">R26*(1+$Q26)</f>
        <v>49.610000000000007</v>
      </c>
      <c r="T26" s="119">
        <f t="shared" si="13"/>
        <v>54.571000000000012</v>
      </c>
      <c r="U26" s="119">
        <f t="shared" si="13"/>
        <v>60.028100000000016</v>
      </c>
      <c r="V26" s="119">
        <f t="shared" si="13"/>
        <v>66.03091000000002</v>
      </c>
      <c r="W26" s="119">
        <f t="shared" si="13"/>
        <v>72.634001000000026</v>
      </c>
      <c r="X26" s="119">
        <f t="shared" si="13"/>
        <v>79.897401100000039</v>
      </c>
      <c r="Y26" s="119">
        <f t="shared" si="13"/>
        <v>87.887141210000053</v>
      </c>
      <c r="Z26" s="119">
        <f t="shared" si="13"/>
        <v>96.675855331000065</v>
      </c>
      <c r="AA26" s="119">
        <f t="shared" si="13"/>
        <v>106.34344086410007</v>
      </c>
      <c r="AB26" s="118">
        <f>((AA26/N26)^(1/($AA$4-$H$2) ))-1</f>
        <v>9.0510154068325965E-2</v>
      </c>
    </row>
    <row r="27" spans="2:28" x14ac:dyDescent="0.2">
      <c r="B27" s="20"/>
      <c r="C27" s="20"/>
      <c r="D27" s="20"/>
      <c r="E27" s="128"/>
      <c r="F27" s="128"/>
      <c r="G27" s="128"/>
      <c r="H27" s="20"/>
      <c r="I27" s="20"/>
      <c r="J27" s="20"/>
      <c r="K27" s="20"/>
      <c r="L27" s="20"/>
      <c r="M27" s="20"/>
      <c r="N27" s="20"/>
      <c r="O27" s="20"/>
      <c r="P27" s="129"/>
      <c r="Q27" s="12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8"/>
    </row>
    <row r="28" spans="2:28" x14ac:dyDescent="0.2">
      <c r="B28" s="108" t="s">
        <v>243</v>
      </c>
      <c r="C28" s="20"/>
      <c r="D28" s="20"/>
      <c r="E28" s="128"/>
      <c r="F28" s="128"/>
      <c r="G28" s="128"/>
      <c r="H28" s="20"/>
      <c r="I28" s="20"/>
      <c r="J28" s="20"/>
      <c r="K28" s="20"/>
      <c r="L28" s="20"/>
      <c r="M28" s="20"/>
      <c r="N28" s="20"/>
      <c r="O28" s="20"/>
      <c r="P28" s="129"/>
      <c r="Q28" s="12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8"/>
    </row>
    <row r="29" spans="2:28" x14ac:dyDescent="0.2">
      <c r="B29" s="20" t="s">
        <v>258</v>
      </c>
      <c r="C29" s="25">
        <f t="shared" ref="C29:M29" si="14">C24/C26</f>
        <v>0</v>
      </c>
      <c r="D29" s="25">
        <f t="shared" si="14"/>
        <v>0</v>
      </c>
      <c r="E29" s="25">
        <f t="shared" si="14"/>
        <v>0</v>
      </c>
      <c r="F29" s="25">
        <f t="shared" si="14"/>
        <v>0</v>
      </c>
      <c r="G29" s="25">
        <f t="shared" si="14"/>
        <v>0</v>
      </c>
      <c r="H29" s="25">
        <f t="shared" si="14"/>
        <v>0</v>
      </c>
      <c r="I29" s="25">
        <f t="shared" si="14"/>
        <v>0</v>
      </c>
      <c r="J29" s="25">
        <f t="shared" si="14"/>
        <v>0</v>
      </c>
      <c r="K29" s="25">
        <f t="shared" si="14"/>
        <v>0</v>
      </c>
      <c r="L29" s="25">
        <f t="shared" si="14"/>
        <v>0</v>
      </c>
      <c r="M29" s="25">
        <f t="shared" si="14"/>
        <v>0</v>
      </c>
      <c r="N29" s="25">
        <f>N24/N26</f>
        <v>0</v>
      </c>
      <c r="O29" s="25">
        <f>O24/O26</f>
        <v>19.743902439024389</v>
      </c>
      <c r="P29" s="118" t="e">
        <f t="shared" ref="P29:P42" si="15">((O29/N29)^(1/($H$3-$H$2) ))-1</f>
        <v>#DIV/0!</v>
      </c>
      <c r="Q29" s="31">
        <v>0.1</v>
      </c>
      <c r="R29" s="119">
        <f t="shared" ref="R29:R32" si="16">O29*(1+$Q29)</f>
        <v>21.71829268292683</v>
      </c>
      <c r="S29" s="119">
        <f t="shared" ref="S29:AA32" si="17">R29*(1+$Q29)</f>
        <v>23.890121951219516</v>
      </c>
      <c r="T29" s="119">
        <f t="shared" si="17"/>
        <v>26.27913414634147</v>
      </c>
      <c r="U29" s="119">
        <f t="shared" si="17"/>
        <v>28.90704756097562</v>
      </c>
      <c r="V29" s="119">
        <f t="shared" si="17"/>
        <v>31.797752317073186</v>
      </c>
      <c r="W29" s="119">
        <f t="shared" si="17"/>
        <v>34.977527548780508</v>
      </c>
      <c r="X29" s="119">
        <f t="shared" si="17"/>
        <v>38.475280303658565</v>
      </c>
      <c r="Y29" s="119">
        <f t="shared" si="17"/>
        <v>42.322808334024423</v>
      </c>
      <c r="Z29" s="119">
        <f t="shared" si="17"/>
        <v>46.555089167426871</v>
      </c>
      <c r="AA29" s="119">
        <f t="shared" si="17"/>
        <v>51.210598084169561</v>
      </c>
      <c r="AB29" s="118" t="e">
        <f>((AA29/N29)^(1/($AA$4-$H$2) ))-1</f>
        <v>#DIV/0!</v>
      </c>
    </row>
    <row r="30" spans="2:28" x14ac:dyDescent="0.2">
      <c r="B30" s="20" t="s">
        <v>245</v>
      </c>
      <c r="C30" s="25">
        <f t="shared" ref="C30:O30" si="18">C8/C26</f>
        <v>0</v>
      </c>
      <c r="D30" s="25">
        <f t="shared" si="18"/>
        <v>0</v>
      </c>
      <c r="E30" s="25">
        <f t="shared" si="18"/>
        <v>0</v>
      </c>
      <c r="F30" s="25">
        <f t="shared" si="18"/>
        <v>0</v>
      </c>
      <c r="G30" s="25">
        <f t="shared" si="18"/>
        <v>0</v>
      </c>
      <c r="H30" s="25">
        <f t="shared" si="18"/>
        <v>0</v>
      </c>
      <c r="I30" s="25">
        <f t="shared" si="18"/>
        <v>0</v>
      </c>
      <c r="J30" s="25">
        <f t="shared" si="18"/>
        <v>0</v>
      </c>
      <c r="K30" s="25">
        <f t="shared" si="18"/>
        <v>0</v>
      </c>
      <c r="L30" s="25">
        <f t="shared" si="18"/>
        <v>0</v>
      </c>
      <c r="M30" s="25">
        <f t="shared" si="18"/>
        <v>0</v>
      </c>
      <c r="N30" s="25">
        <f t="shared" si="18"/>
        <v>0</v>
      </c>
      <c r="O30" s="25">
        <f t="shared" si="18"/>
        <v>251.51634146341465</v>
      </c>
      <c r="P30" s="118" t="e">
        <f t="shared" si="15"/>
        <v>#DIV/0!</v>
      </c>
      <c r="Q30" s="31">
        <v>0.1</v>
      </c>
      <c r="R30" s="119">
        <f t="shared" si="16"/>
        <v>276.66797560975613</v>
      </c>
      <c r="S30" s="119">
        <f t="shared" si="17"/>
        <v>304.33477317073175</v>
      </c>
      <c r="T30" s="119">
        <f t="shared" si="17"/>
        <v>334.76825048780495</v>
      </c>
      <c r="U30" s="119">
        <f t="shared" si="17"/>
        <v>368.24507553658549</v>
      </c>
      <c r="V30" s="119">
        <f t="shared" si="17"/>
        <v>405.06958309024407</v>
      </c>
      <c r="W30" s="119">
        <f t="shared" si="17"/>
        <v>445.57654139926854</v>
      </c>
      <c r="X30" s="119">
        <f t="shared" si="17"/>
        <v>490.13419553919545</v>
      </c>
      <c r="Y30" s="119">
        <f t="shared" si="17"/>
        <v>539.14761509311506</v>
      </c>
      <c r="Z30" s="119">
        <f t="shared" si="17"/>
        <v>593.06237660242664</v>
      </c>
      <c r="AA30" s="119">
        <f t="shared" si="17"/>
        <v>652.36861426266933</v>
      </c>
      <c r="AB30" s="118" t="e">
        <f>((AA30/N30)^(1/($AA$4-$H$2) ))-1</f>
        <v>#DIV/0!</v>
      </c>
    </row>
    <row r="31" spans="2:28" x14ac:dyDescent="0.2">
      <c r="B31" s="20" t="s">
        <v>246</v>
      </c>
      <c r="C31" s="128">
        <f t="shared" ref="C31:O31" si="19">C7/C26</f>
        <v>0</v>
      </c>
      <c r="D31" s="128">
        <f t="shared" si="19"/>
        <v>0</v>
      </c>
      <c r="E31" s="128">
        <f t="shared" si="19"/>
        <v>0</v>
      </c>
      <c r="F31" s="128">
        <f t="shared" si="19"/>
        <v>0</v>
      </c>
      <c r="G31" s="128">
        <f t="shared" si="19"/>
        <v>0</v>
      </c>
      <c r="H31" s="128">
        <f t="shared" si="19"/>
        <v>0</v>
      </c>
      <c r="I31" s="128">
        <f t="shared" si="19"/>
        <v>0</v>
      </c>
      <c r="J31" s="128">
        <f t="shared" si="19"/>
        <v>0</v>
      </c>
      <c r="K31" s="128">
        <f t="shared" si="19"/>
        <v>0</v>
      </c>
      <c r="L31" s="128">
        <f t="shared" si="19"/>
        <v>0</v>
      </c>
      <c r="M31" s="128">
        <f t="shared" si="19"/>
        <v>0</v>
      </c>
      <c r="N31" s="128">
        <f t="shared" si="19"/>
        <v>0</v>
      </c>
      <c r="O31" s="128">
        <f t="shared" si="19"/>
        <v>241.2358536585366</v>
      </c>
      <c r="P31" s="118" t="e">
        <f t="shared" si="15"/>
        <v>#DIV/0!</v>
      </c>
      <c r="Q31" s="31">
        <v>0.1</v>
      </c>
      <c r="R31" s="119">
        <f t="shared" si="16"/>
        <v>265.35943902439027</v>
      </c>
      <c r="S31" s="119">
        <f t="shared" si="17"/>
        <v>291.89538292682931</v>
      </c>
      <c r="T31" s="119">
        <f t="shared" si="17"/>
        <v>321.0849212195123</v>
      </c>
      <c r="U31" s="119">
        <f t="shared" si="17"/>
        <v>353.19341334146355</v>
      </c>
      <c r="V31" s="119">
        <f t="shared" si="17"/>
        <v>388.51275467560993</v>
      </c>
      <c r="W31" s="119">
        <f t="shared" si="17"/>
        <v>427.36403014317096</v>
      </c>
      <c r="X31" s="119">
        <f t="shared" si="17"/>
        <v>470.10043315748811</v>
      </c>
      <c r="Y31" s="119">
        <f t="shared" si="17"/>
        <v>517.11047647323699</v>
      </c>
      <c r="Z31" s="119">
        <f t="shared" si="17"/>
        <v>568.82152412056075</v>
      </c>
      <c r="AA31" s="119">
        <f t="shared" si="17"/>
        <v>625.7036765326169</v>
      </c>
      <c r="AB31" s="118" t="e">
        <f>((AA31/N31)^(1/($AA$4-$H$2) ))-1</f>
        <v>#DIV/0!</v>
      </c>
    </row>
    <row r="32" spans="2:28" x14ac:dyDescent="0.2">
      <c r="B32" s="20" t="s">
        <v>247</v>
      </c>
      <c r="C32" s="128">
        <f t="shared" ref="C32:O32" si="20">C11/C26</f>
        <v>0</v>
      </c>
      <c r="D32" s="128">
        <f t="shared" si="20"/>
        <v>0</v>
      </c>
      <c r="E32" s="128">
        <f t="shared" si="20"/>
        <v>0</v>
      </c>
      <c r="F32" s="128">
        <f t="shared" si="20"/>
        <v>0</v>
      </c>
      <c r="G32" s="128">
        <f t="shared" si="20"/>
        <v>0</v>
      </c>
      <c r="H32" s="128">
        <f t="shared" si="20"/>
        <v>0</v>
      </c>
      <c r="I32" s="128">
        <f t="shared" si="20"/>
        <v>0</v>
      </c>
      <c r="J32" s="128">
        <f t="shared" si="20"/>
        <v>0</v>
      </c>
      <c r="K32" s="128">
        <f t="shared" si="20"/>
        <v>0</v>
      </c>
      <c r="L32" s="128">
        <f t="shared" si="20"/>
        <v>0</v>
      </c>
      <c r="M32" s="128">
        <f t="shared" si="20"/>
        <v>0</v>
      </c>
      <c r="N32" s="135">
        <f t="shared" si="20"/>
        <v>0</v>
      </c>
      <c r="O32" s="135">
        <f t="shared" si="20"/>
        <v>66.900731707317064</v>
      </c>
      <c r="P32" s="118" t="e">
        <f t="shared" si="15"/>
        <v>#DIV/0!</v>
      </c>
      <c r="Q32" s="31">
        <v>0.1</v>
      </c>
      <c r="R32" s="119">
        <f t="shared" si="16"/>
        <v>73.590804878048772</v>
      </c>
      <c r="S32" s="119">
        <f t="shared" si="17"/>
        <v>80.94988536585366</v>
      </c>
      <c r="T32" s="119">
        <f t="shared" si="17"/>
        <v>89.044873902439036</v>
      </c>
      <c r="U32" s="119">
        <f t="shared" si="17"/>
        <v>97.949361292682951</v>
      </c>
      <c r="V32" s="119">
        <f t="shared" si="17"/>
        <v>107.74429742195126</v>
      </c>
      <c r="W32" s="119">
        <f t="shared" si="17"/>
        <v>118.5187271641464</v>
      </c>
      <c r="X32" s="119">
        <f t="shared" si="17"/>
        <v>130.37059988056106</v>
      </c>
      <c r="Y32" s="119">
        <f t="shared" si="17"/>
        <v>143.40765986861717</v>
      </c>
      <c r="Z32" s="119">
        <f t="shared" si="17"/>
        <v>157.7484258554789</v>
      </c>
      <c r="AA32" s="119">
        <f t="shared" si="17"/>
        <v>173.5232684410268</v>
      </c>
      <c r="AB32" s="118" t="e">
        <f>((AA32/N32)^(1/($AA$4-$H$2) ))-1</f>
        <v>#DIV/0!</v>
      </c>
    </row>
    <row r="33" spans="2:28" x14ac:dyDescent="0.2">
      <c r="B33" s="20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  <c r="Q33" s="12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8"/>
    </row>
    <row r="34" spans="2:28" x14ac:dyDescent="0.2">
      <c r="B34" s="20" t="s">
        <v>273</v>
      </c>
      <c r="C34" s="128">
        <f>(C8-C11)/C26</f>
        <v>0</v>
      </c>
      <c r="D34" s="128">
        <f t="shared" ref="D34:O34" si="21">(D8-D11)/D26</f>
        <v>0</v>
      </c>
      <c r="E34" s="128">
        <f t="shared" si="21"/>
        <v>0</v>
      </c>
      <c r="F34" s="128">
        <f t="shared" si="21"/>
        <v>0</v>
      </c>
      <c r="G34" s="128">
        <f t="shared" si="21"/>
        <v>0</v>
      </c>
      <c r="H34" s="128">
        <f t="shared" si="21"/>
        <v>0</v>
      </c>
      <c r="I34" s="128">
        <f t="shared" si="21"/>
        <v>0</v>
      </c>
      <c r="J34" s="128">
        <f t="shared" si="21"/>
        <v>0</v>
      </c>
      <c r="K34" s="128">
        <f t="shared" si="21"/>
        <v>0</v>
      </c>
      <c r="L34" s="128">
        <f t="shared" si="21"/>
        <v>0</v>
      </c>
      <c r="M34" s="128">
        <f t="shared" si="21"/>
        <v>0</v>
      </c>
      <c r="N34" s="128">
        <f t="shared" si="21"/>
        <v>0</v>
      </c>
      <c r="O34" s="128">
        <f t="shared" si="21"/>
        <v>184.61560975609757</v>
      </c>
      <c r="P34" s="118" t="e">
        <f t="shared" si="15"/>
        <v>#DIV/0!</v>
      </c>
      <c r="Q34" s="31">
        <v>0.1</v>
      </c>
      <c r="R34" s="119">
        <f t="shared" ref="R34" si="22">O34*(1+$Q34)</f>
        <v>203.07717073170735</v>
      </c>
      <c r="S34" s="119">
        <f t="shared" ref="S34" si="23">R34*(1+$Q34)</f>
        <v>223.3848878048781</v>
      </c>
      <c r="T34" s="119">
        <f t="shared" ref="T34" si="24">S34*(1+$Q34)</f>
        <v>245.72337658536594</v>
      </c>
      <c r="U34" s="119">
        <f t="shared" ref="U34" si="25">T34*(1+$Q34)</f>
        <v>270.29571424390258</v>
      </c>
      <c r="V34" s="119">
        <f t="shared" ref="V34" si="26">U34*(1+$Q34)</f>
        <v>297.32528566829285</v>
      </c>
      <c r="W34" s="119">
        <f t="shared" ref="W34" si="27">V34*(1+$Q34)</f>
        <v>327.05781423512218</v>
      </c>
      <c r="X34" s="119">
        <f t="shared" ref="X34" si="28">W34*(1+$Q34)</f>
        <v>359.76359565863442</v>
      </c>
      <c r="Y34" s="119">
        <f t="shared" ref="Y34" si="29">X34*(1+$Q34)</f>
        <v>395.73995522449786</v>
      </c>
      <c r="Z34" s="119">
        <f t="shared" ref="Z34" si="30">Y34*(1+$Q34)</f>
        <v>435.31395074694768</v>
      </c>
      <c r="AA34" s="119">
        <f t="shared" ref="AA34" si="31">Z34*(1+$Q34)</f>
        <v>478.84534582164247</v>
      </c>
      <c r="AB34" s="118" t="e">
        <f>((AA34/N34)^(1/($AA$4-$H$2) ))-1</f>
        <v>#DIV/0!</v>
      </c>
    </row>
    <row r="35" spans="2:28" x14ac:dyDescent="0.2">
      <c r="B35" s="20" t="s">
        <v>274</v>
      </c>
      <c r="C35" s="128">
        <f>(C8-C11-C10)/C26</f>
        <v>0</v>
      </c>
      <c r="D35" s="128">
        <f t="shared" ref="D35:O35" si="32">(D8-D11-D10)/D26</f>
        <v>0</v>
      </c>
      <c r="E35" s="128">
        <f t="shared" si="32"/>
        <v>0</v>
      </c>
      <c r="F35" s="128">
        <f t="shared" si="32"/>
        <v>0</v>
      </c>
      <c r="G35" s="128">
        <f t="shared" si="32"/>
        <v>0</v>
      </c>
      <c r="H35" s="128">
        <f t="shared" si="32"/>
        <v>0</v>
      </c>
      <c r="I35" s="128">
        <f t="shared" si="32"/>
        <v>0</v>
      </c>
      <c r="J35" s="128">
        <f t="shared" si="32"/>
        <v>0</v>
      </c>
      <c r="K35" s="128">
        <f t="shared" si="32"/>
        <v>0</v>
      </c>
      <c r="L35" s="128">
        <f t="shared" si="32"/>
        <v>0</v>
      </c>
      <c r="M35" s="128">
        <f t="shared" si="32"/>
        <v>0</v>
      </c>
      <c r="N35" s="128">
        <f t="shared" si="32"/>
        <v>0</v>
      </c>
      <c r="O35" s="128">
        <f t="shared" si="32"/>
        <v>86.586097560975603</v>
      </c>
      <c r="P35" s="118" t="e">
        <f t="shared" si="15"/>
        <v>#DIV/0!</v>
      </c>
      <c r="Q35" s="31">
        <v>0.1</v>
      </c>
      <c r="R35" s="119">
        <f t="shared" ref="R35" si="33">O35*(1+$Q35)</f>
        <v>95.244707317073164</v>
      </c>
      <c r="S35" s="119">
        <f t="shared" ref="S35" si="34">R35*(1+$Q35)</f>
        <v>104.76917804878049</v>
      </c>
      <c r="T35" s="119">
        <f t="shared" ref="T35" si="35">S35*(1+$Q35)</f>
        <v>115.24609585365855</v>
      </c>
      <c r="U35" s="119">
        <f t="shared" ref="U35" si="36">T35*(1+$Q35)</f>
        <v>126.77070543902441</v>
      </c>
      <c r="V35" s="119">
        <f t="shared" ref="V35" si="37">U35*(1+$Q35)</f>
        <v>139.44777598292686</v>
      </c>
      <c r="W35" s="119">
        <f t="shared" ref="W35" si="38">V35*(1+$Q35)</f>
        <v>153.39255358121954</v>
      </c>
      <c r="X35" s="119">
        <f t="shared" ref="X35" si="39">W35*(1+$Q35)</f>
        <v>168.73180893934151</v>
      </c>
      <c r="Y35" s="119">
        <f t="shared" ref="Y35" si="40">X35*(1+$Q35)</f>
        <v>185.60498983327568</v>
      </c>
      <c r="Z35" s="119">
        <f t="shared" ref="Z35" si="41">Y35*(1+$Q35)</f>
        <v>204.16548881660327</v>
      </c>
      <c r="AA35" s="119">
        <f t="shared" ref="AA35" si="42">Z35*(1+$Q35)</f>
        <v>224.5820376982636</v>
      </c>
      <c r="AB35" s="118" t="e">
        <f>((AA35/N35)^(1/($AA$4-$H$2) ))-1</f>
        <v>#DIV/0!</v>
      </c>
    </row>
    <row r="36" spans="2:28" x14ac:dyDescent="0.2">
      <c r="B36" s="20" t="s">
        <v>279</v>
      </c>
      <c r="C36" s="128">
        <f>(C8+C14-C11-C10)/C26</f>
        <v>0</v>
      </c>
      <c r="D36" s="128">
        <f t="shared" ref="D36:O36" si="43">(D8+D14-D11-D10)/D26</f>
        <v>0</v>
      </c>
      <c r="E36" s="128">
        <f t="shared" si="43"/>
        <v>0</v>
      </c>
      <c r="F36" s="128">
        <f t="shared" si="43"/>
        <v>0</v>
      </c>
      <c r="G36" s="128">
        <f t="shared" si="43"/>
        <v>0</v>
      </c>
      <c r="H36" s="128">
        <f t="shared" si="43"/>
        <v>0</v>
      </c>
      <c r="I36" s="128">
        <f t="shared" si="43"/>
        <v>0</v>
      </c>
      <c r="J36" s="128">
        <f t="shared" si="43"/>
        <v>0</v>
      </c>
      <c r="K36" s="128">
        <f t="shared" si="43"/>
        <v>0</v>
      </c>
      <c r="L36" s="128">
        <f t="shared" si="43"/>
        <v>0</v>
      </c>
      <c r="M36" s="128">
        <f t="shared" si="43"/>
        <v>0</v>
      </c>
      <c r="N36" s="128">
        <f t="shared" si="43"/>
        <v>0</v>
      </c>
      <c r="O36" s="128">
        <f t="shared" si="43"/>
        <v>397.97829268292685</v>
      </c>
      <c r="P36" s="118" t="e">
        <f t="shared" ref="P36" si="44">((O36/N36)^(1/($H$3-$H$2) ))-1</f>
        <v>#DIV/0!</v>
      </c>
      <c r="Q36" s="31">
        <v>0.1</v>
      </c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8"/>
    </row>
    <row r="37" spans="2:28" x14ac:dyDescent="0.2">
      <c r="B37" s="20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9"/>
      <c r="Q37" s="12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8"/>
    </row>
    <row r="38" spans="2:28" x14ac:dyDescent="0.2">
      <c r="B38" s="20" t="s">
        <v>248</v>
      </c>
      <c r="C38" s="128">
        <f t="shared" ref="C38:O38" si="45">C12/C26</f>
        <v>0</v>
      </c>
      <c r="D38" s="128">
        <f t="shared" si="45"/>
        <v>0</v>
      </c>
      <c r="E38" s="128">
        <f t="shared" si="45"/>
        <v>0</v>
      </c>
      <c r="F38" s="128">
        <f t="shared" si="45"/>
        <v>0</v>
      </c>
      <c r="G38" s="128">
        <f t="shared" si="45"/>
        <v>0</v>
      </c>
      <c r="H38" s="128">
        <f t="shared" si="45"/>
        <v>0</v>
      </c>
      <c r="I38" s="128">
        <f t="shared" si="45"/>
        <v>0</v>
      </c>
      <c r="J38" s="128">
        <f t="shared" si="45"/>
        <v>0</v>
      </c>
      <c r="K38" s="128">
        <f t="shared" si="45"/>
        <v>0</v>
      </c>
      <c r="L38" s="128">
        <f t="shared" si="45"/>
        <v>0</v>
      </c>
      <c r="M38" s="128">
        <f t="shared" si="45"/>
        <v>0</v>
      </c>
      <c r="N38" s="128">
        <f t="shared" si="45"/>
        <v>0</v>
      </c>
      <c r="O38" s="128">
        <f t="shared" si="45"/>
        <v>5.5314634146341461</v>
      </c>
      <c r="P38" s="118" t="e">
        <f t="shared" si="15"/>
        <v>#DIV/0!</v>
      </c>
      <c r="Q38" s="31">
        <v>0.1</v>
      </c>
      <c r="R38" s="119">
        <f t="shared" ref="R38:R42" si="46">O38*(1+$Q38)</f>
        <v>6.0846097560975609</v>
      </c>
      <c r="S38" s="119">
        <f t="shared" ref="S38:AA42" si="47">R38*(1+$Q38)</f>
        <v>6.6930707317073175</v>
      </c>
      <c r="T38" s="119">
        <f t="shared" si="47"/>
        <v>7.3623778048780499</v>
      </c>
      <c r="U38" s="119">
        <f t="shared" si="47"/>
        <v>8.0986155853658559</v>
      </c>
      <c r="V38" s="119">
        <f t="shared" si="47"/>
        <v>8.9084771439024415</v>
      </c>
      <c r="W38" s="119">
        <f t="shared" si="47"/>
        <v>9.7993248582926871</v>
      </c>
      <c r="X38" s="119">
        <f t="shared" si="47"/>
        <v>10.779257344121957</v>
      </c>
      <c r="Y38" s="119">
        <f t="shared" si="47"/>
        <v>11.857183078534154</v>
      </c>
      <c r="Z38" s="119">
        <f t="shared" si="47"/>
        <v>13.042901386387571</v>
      </c>
      <c r="AA38" s="119">
        <f t="shared" si="47"/>
        <v>14.34719152502633</v>
      </c>
      <c r="AB38" s="118" t="e">
        <f>((AA38/N38)^(1/($AA$4-$H$2) ))-1</f>
        <v>#DIV/0!</v>
      </c>
    </row>
    <row r="39" spans="2:28" x14ac:dyDescent="0.2">
      <c r="B39" s="20" t="s">
        <v>255</v>
      </c>
      <c r="C39" s="128">
        <f t="shared" ref="C39:O39" si="48">C13/C26</f>
        <v>0</v>
      </c>
      <c r="D39" s="128">
        <f t="shared" si="48"/>
        <v>0</v>
      </c>
      <c r="E39" s="128">
        <f t="shared" si="48"/>
        <v>0</v>
      </c>
      <c r="F39" s="128">
        <f t="shared" si="48"/>
        <v>0</v>
      </c>
      <c r="G39" s="128">
        <f t="shared" si="48"/>
        <v>0</v>
      </c>
      <c r="H39" s="128">
        <f t="shared" si="48"/>
        <v>0</v>
      </c>
      <c r="I39" s="128">
        <f t="shared" si="48"/>
        <v>0</v>
      </c>
      <c r="J39" s="128">
        <f t="shared" si="48"/>
        <v>0</v>
      </c>
      <c r="K39" s="128">
        <f t="shared" si="48"/>
        <v>0</v>
      </c>
      <c r="L39" s="128">
        <f t="shared" si="48"/>
        <v>0</v>
      </c>
      <c r="M39" s="128">
        <f t="shared" si="48"/>
        <v>0</v>
      </c>
      <c r="N39" s="128">
        <f t="shared" si="48"/>
        <v>0</v>
      </c>
      <c r="O39" s="128">
        <f t="shared" si="48"/>
        <v>1.4146341463414633</v>
      </c>
      <c r="P39" s="118" t="e">
        <f t="shared" si="15"/>
        <v>#DIV/0!</v>
      </c>
      <c r="Q39" s="31">
        <v>0.1</v>
      </c>
      <c r="R39" s="119">
        <f t="shared" si="46"/>
        <v>1.5560975609756098</v>
      </c>
      <c r="S39" s="119">
        <f t="shared" si="47"/>
        <v>1.7117073170731709</v>
      </c>
      <c r="T39" s="119">
        <f t="shared" si="47"/>
        <v>1.8828780487804881</v>
      </c>
      <c r="U39" s="119">
        <f t="shared" si="47"/>
        <v>2.0711658536585373</v>
      </c>
      <c r="V39" s="119">
        <f t="shared" si="47"/>
        <v>2.2782824390243914</v>
      </c>
      <c r="W39" s="119">
        <f t="shared" si="47"/>
        <v>2.5061106829268307</v>
      </c>
      <c r="X39" s="119">
        <f t="shared" si="47"/>
        <v>2.7567217512195139</v>
      </c>
      <c r="Y39" s="119">
        <f t="shared" si="47"/>
        <v>3.0323939263414657</v>
      </c>
      <c r="Z39" s="119">
        <f t="shared" si="47"/>
        <v>3.3356333189756127</v>
      </c>
      <c r="AA39" s="119">
        <f t="shared" si="47"/>
        <v>3.6691966508731744</v>
      </c>
      <c r="AB39" s="118" t="e">
        <f>((AA39/N39)^(1/($AA$4-$H$2) ))-1</f>
        <v>#DIV/0!</v>
      </c>
    </row>
    <row r="40" spans="2:28" x14ac:dyDescent="0.2">
      <c r="B40" s="20" t="s">
        <v>256</v>
      </c>
      <c r="C40" s="128">
        <f>(C38+C39)</f>
        <v>0</v>
      </c>
      <c r="D40" s="128">
        <f t="shared" ref="D40:O40" si="49">(D38+D39)</f>
        <v>0</v>
      </c>
      <c r="E40" s="128">
        <f t="shared" si="49"/>
        <v>0</v>
      </c>
      <c r="F40" s="128">
        <f t="shared" si="49"/>
        <v>0</v>
      </c>
      <c r="G40" s="128">
        <f t="shared" si="49"/>
        <v>0</v>
      </c>
      <c r="H40" s="128">
        <f t="shared" si="49"/>
        <v>0</v>
      </c>
      <c r="I40" s="128">
        <f t="shared" si="49"/>
        <v>0</v>
      </c>
      <c r="J40" s="128">
        <f t="shared" si="49"/>
        <v>0</v>
      </c>
      <c r="K40" s="128">
        <f t="shared" si="49"/>
        <v>0</v>
      </c>
      <c r="L40" s="128">
        <f t="shared" si="49"/>
        <v>0</v>
      </c>
      <c r="M40" s="128">
        <f t="shared" si="49"/>
        <v>0</v>
      </c>
      <c r="N40" s="128">
        <f t="shared" si="49"/>
        <v>0</v>
      </c>
      <c r="O40" s="128">
        <f t="shared" si="49"/>
        <v>6.946097560975609</v>
      </c>
      <c r="P40" s="118" t="e">
        <f t="shared" si="15"/>
        <v>#DIV/0!</v>
      </c>
      <c r="Q40" s="31">
        <v>0.1</v>
      </c>
      <c r="R40" s="119">
        <f t="shared" si="46"/>
        <v>7.6407073170731703</v>
      </c>
      <c r="S40" s="119">
        <f t="shared" si="47"/>
        <v>8.4047780487804875</v>
      </c>
      <c r="T40" s="119">
        <f t="shared" si="47"/>
        <v>9.2452558536585379</v>
      </c>
      <c r="U40" s="119">
        <f t="shared" si="47"/>
        <v>10.169781439024392</v>
      </c>
      <c r="V40" s="119">
        <f t="shared" si="47"/>
        <v>11.186759582926832</v>
      </c>
      <c r="W40" s="119">
        <f t="shared" si="47"/>
        <v>12.305435541219516</v>
      </c>
      <c r="X40" s="119">
        <f t="shared" si="47"/>
        <v>13.535979095341469</v>
      </c>
      <c r="Y40" s="119">
        <f t="shared" si="47"/>
        <v>14.889577004875617</v>
      </c>
      <c r="Z40" s="119">
        <f t="shared" si="47"/>
        <v>16.37853470536318</v>
      </c>
      <c r="AA40" s="119">
        <f t="shared" si="47"/>
        <v>18.0163881758995</v>
      </c>
      <c r="AB40" s="118" t="e">
        <f>((AA40/N40)^(1/($AA$4-$H$2) ))-1</f>
        <v>#DIV/0!</v>
      </c>
    </row>
    <row r="41" spans="2:28" x14ac:dyDescent="0.2">
      <c r="B41" s="20" t="s">
        <v>249</v>
      </c>
      <c r="C41" s="128">
        <f t="shared" ref="C41:O41" si="50">C14/C26</f>
        <v>0</v>
      </c>
      <c r="D41" s="128">
        <f t="shared" si="50"/>
        <v>0</v>
      </c>
      <c r="E41" s="128">
        <f t="shared" si="50"/>
        <v>0</v>
      </c>
      <c r="F41" s="128">
        <f t="shared" si="50"/>
        <v>0</v>
      </c>
      <c r="G41" s="128">
        <f t="shared" si="50"/>
        <v>0</v>
      </c>
      <c r="H41" s="128">
        <f t="shared" si="50"/>
        <v>0</v>
      </c>
      <c r="I41" s="128">
        <f t="shared" si="50"/>
        <v>0</v>
      </c>
      <c r="J41" s="128">
        <f t="shared" si="50"/>
        <v>0</v>
      </c>
      <c r="K41" s="128">
        <f t="shared" si="50"/>
        <v>0</v>
      </c>
      <c r="L41" s="128">
        <f t="shared" si="50"/>
        <v>0</v>
      </c>
      <c r="M41" s="128">
        <f t="shared" si="50"/>
        <v>0</v>
      </c>
      <c r="N41" s="128">
        <f t="shared" si="50"/>
        <v>0</v>
      </c>
      <c r="O41" s="128">
        <f t="shared" si="50"/>
        <v>311.3921951219512</v>
      </c>
      <c r="P41" s="118" t="e">
        <f t="shared" si="15"/>
        <v>#DIV/0!</v>
      </c>
      <c r="Q41" s="31">
        <v>0.1</v>
      </c>
      <c r="R41" s="119">
        <f t="shared" si="46"/>
        <v>342.53141463414636</v>
      </c>
      <c r="S41" s="119">
        <f t="shared" si="47"/>
        <v>376.78455609756105</v>
      </c>
      <c r="T41" s="119">
        <f t="shared" si="47"/>
        <v>414.46301170731721</v>
      </c>
      <c r="U41" s="119">
        <f t="shared" si="47"/>
        <v>455.90931287804898</v>
      </c>
      <c r="V41" s="119">
        <f t="shared" si="47"/>
        <v>501.50024416585393</v>
      </c>
      <c r="W41" s="119">
        <f t="shared" si="47"/>
        <v>551.65026858243937</v>
      </c>
      <c r="X41" s="119">
        <f t="shared" si="47"/>
        <v>606.81529544068337</v>
      </c>
      <c r="Y41" s="119">
        <f t="shared" si="47"/>
        <v>667.49682498475181</v>
      </c>
      <c r="Z41" s="119">
        <f t="shared" si="47"/>
        <v>734.24650748322711</v>
      </c>
      <c r="AA41" s="119">
        <f t="shared" si="47"/>
        <v>807.67115823154984</v>
      </c>
      <c r="AB41" s="118" t="e">
        <f>((AA41/N41)^(1/($AA$4-$H$2) ))-1</f>
        <v>#DIV/0!</v>
      </c>
    </row>
    <row r="42" spans="2:28" x14ac:dyDescent="0.2">
      <c r="B42" s="20" t="s">
        <v>250</v>
      </c>
      <c r="C42" s="128">
        <f t="shared" ref="C42:O42" si="51">C15/C26</f>
        <v>0</v>
      </c>
      <c r="D42" s="128">
        <f t="shared" si="51"/>
        <v>0</v>
      </c>
      <c r="E42" s="128">
        <f t="shared" si="51"/>
        <v>0</v>
      </c>
      <c r="F42" s="128">
        <f t="shared" si="51"/>
        <v>0</v>
      </c>
      <c r="G42" s="128">
        <f t="shared" si="51"/>
        <v>0</v>
      </c>
      <c r="H42" s="128">
        <f t="shared" si="51"/>
        <v>0</v>
      </c>
      <c r="I42" s="128">
        <f t="shared" si="51"/>
        <v>0</v>
      </c>
      <c r="J42" s="128">
        <f t="shared" si="51"/>
        <v>0</v>
      </c>
      <c r="K42" s="128">
        <f t="shared" si="51"/>
        <v>0</v>
      </c>
      <c r="L42" s="128">
        <f t="shared" si="51"/>
        <v>0</v>
      </c>
      <c r="M42" s="128">
        <f t="shared" si="51"/>
        <v>0</v>
      </c>
      <c r="N42" s="128">
        <f t="shared" si="51"/>
        <v>0</v>
      </c>
      <c r="O42" s="128">
        <f t="shared" si="51"/>
        <v>307.79414634146337</v>
      </c>
      <c r="P42" s="118" t="e">
        <f t="shared" si="15"/>
        <v>#DIV/0!</v>
      </c>
      <c r="Q42" s="31">
        <v>0.1</v>
      </c>
      <c r="R42" s="119">
        <f t="shared" si="46"/>
        <v>338.57356097560972</v>
      </c>
      <c r="S42" s="119">
        <f t="shared" si="47"/>
        <v>372.43091707317075</v>
      </c>
      <c r="T42" s="119">
        <f t="shared" si="47"/>
        <v>409.67400878048784</v>
      </c>
      <c r="U42" s="119">
        <f t="shared" si="47"/>
        <v>450.64140965853665</v>
      </c>
      <c r="V42" s="119">
        <f t="shared" si="47"/>
        <v>495.70555062439036</v>
      </c>
      <c r="W42" s="119">
        <f t="shared" si="47"/>
        <v>545.2761056868294</v>
      </c>
      <c r="X42" s="119">
        <f t="shared" si="47"/>
        <v>599.80371625551243</v>
      </c>
      <c r="Y42" s="119">
        <f t="shared" si="47"/>
        <v>659.78408788106367</v>
      </c>
      <c r="Z42" s="119">
        <f t="shared" si="47"/>
        <v>725.7624966691701</v>
      </c>
      <c r="AA42" s="119">
        <f t="shared" si="47"/>
        <v>798.33874633608718</v>
      </c>
      <c r="AB42" s="118" t="e">
        <f>((AA42/N42)^(1/($AA$4-$H$2) ))-1</f>
        <v>#DIV/0!</v>
      </c>
    </row>
    <row r="43" spans="2:28" x14ac:dyDescent="0.2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29"/>
      <c r="Q43" s="12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29"/>
    </row>
    <row r="44" spans="2:28" x14ac:dyDescent="0.2">
      <c r="B44" s="108" t="s">
        <v>83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29"/>
      <c r="Q44" s="12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29"/>
    </row>
    <row r="45" spans="2:28" x14ac:dyDescent="0.2">
      <c r="B45" s="20" t="s">
        <v>82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18" t="e">
        <f t="shared" ref="P45:P51" si="52">((O45/N45)^(1/($H$3-$H$2) ))-1</f>
        <v>#DIV/0!</v>
      </c>
      <c r="Q45" s="31">
        <v>0.1</v>
      </c>
      <c r="R45" s="119">
        <f t="shared" ref="R45:R51" si="53">O45*(1+$Q45)</f>
        <v>0</v>
      </c>
      <c r="S45" s="119">
        <f t="shared" ref="S45:AA51" si="54">R45*(1+$Q45)</f>
        <v>0</v>
      </c>
      <c r="T45" s="119">
        <f t="shared" si="54"/>
        <v>0</v>
      </c>
      <c r="U45" s="119">
        <f t="shared" si="54"/>
        <v>0</v>
      </c>
      <c r="V45" s="119">
        <f t="shared" si="54"/>
        <v>0</v>
      </c>
      <c r="W45" s="119">
        <f t="shared" si="54"/>
        <v>0</v>
      </c>
      <c r="X45" s="119">
        <f t="shared" si="54"/>
        <v>0</v>
      </c>
      <c r="Y45" s="119">
        <f t="shared" si="54"/>
        <v>0</v>
      </c>
      <c r="Z45" s="119">
        <f t="shared" si="54"/>
        <v>0</v>
      </c>
      <c r="AA45" s="119">
        <f t="shared" si="54"/>
        <v>0</v>
      </c>
      <c r="AB45" s="118" t="e">
        <f t="shared" ref="AB45:AB51" si="55">((AA45/N45)^(1/($AA$4-$H$2) ))-1</f>
        <v>#DIV/0!</v>
      </c>
    </row>
    <row r="46" spans="2:28" x14ac:dyDescent="0.2">
      <c r="B46" s="20" t="s">
        <v>84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18" t="e">
        <f t="shared" si="52"/>
        <v>#DIV/0!</v>
      </c>
      <c r="Q46" s="31">
        <v>0.1</v>
      </c>
      <c r="R46" s="119">
        <f t="shared" si="53"/>
        <v>0</v>
      </c>
      <c r="S46" s="119">
        <f t="shared" si="54"/>
        <v>0</v>
      </c>
      <c r="T46" s="119">
        <f t="shared" si="54"/>
        <v>0</v>
      </c>
      <c r="U46" s="119">
        <f t="shared" si="54"/>
        <v>0</v>
      </c>
      <c r="V46" s="119">
        <f t="shared" si="54"/>
        <v>0</v>
      </c>
      <c r="W46" s="119">
        <f t="shared" si="54"/>
        <v>0</v>
      </c>
      <c r="X46" s="119">
        <f t="shared" si="54"/>
        <v>0</v>
      </c>
      <c r="Y46" s="119">
        <f t="shared" si="54"/>
        <v>0</v>
      </c>
      <c r="Z46" s="119">
        <f t="shared" si="54"/>
        <v>0</v>
      </c>
      <c r="AA46" s="119">
        <f t="shared" si="54"/>
        <v>0</v>
      </c>
      <c r="AB46" s="118" t="e">
        <f t="shared" si="55"/>
        <v>#DIV/0!</v>
      </c>
    </row>
    <row r="47" spans="2:28" x14ac:dyDescent="0.2">
      <c r="B47" s="20" t="s">
        <v>85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18" t="e">
        <f t="shared" si="52"/>
        <v>#DIV/0!</v>
      </c>
      <c r="Q47" s="31">
        <v>0.1</v>
      </c>
      <c r="R47" s="119">
        <f t="shared" si="53"/>
        <v>0</v>
      </c>
      <c r="S47" s="119">
        <f t="shared" si="54"/>
        <v>0</v>
      </c>
      <c r="T47" s="119">
        <f t="shared" si="54"/>
        <v>0</v>
      </c>
      <c r="U47" s="119">
        <f t="shared" si="54"/>
        <v>0</v>
      </c>
      <c r="V47" s="119">
        <f t="shared" si="54"/>
        <v>0</v>
      </c>
      <c r="W47" s="119">
        <f t="shared" si="54"/>
        <v>0</v>
      </c>
      <c r="X47" s="119">
        <f t="shared" si="54"/>
        <v>0</v>
      </c>
      <c r="Y47" s="119">
        <f t="shared" si="54"/>
        <v>0</v>
      </c>
      <c r="Z47" s="119">
        <f t="shared" si="54"/>
        <v>0</v>
      </c>
      <c r="AA47" s="119">
        <f t="shared" si="54"/>
        <v>0</v>
      </c>
      <c r="AB47" s="118" t="e">
        <f t="shared" si="55"/>
        <v>#DIV/0!</v>
      </c>
    </row>
    <row r="48" spans="2:28" x14ac:dyDescent="0.2">
      <c r="B48" s="20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18" t="e">
        <f t="shared" si="52"/>
        <v>#DIV/0!</v>
      </c>
      <c r="Q48" s="31">
        <v>0.1</v>
      </c>
      <c r="R48" s="119">
        <f t="shared" si="53"/>
        <v>0</v>
      </c>
      <c r="S48" s="119">
        <f t="shared" si="54"/>
        <v>0</v>
      </c>
      <c r="T48" s="119">
        <f t="shared" si="54"/>
        <v>0</v>
      </c>
      <c r="U48" s="119">
        <f t="shared" si="54"/>
        <v>0</v>
      </c>
      <c r="V48" s="119">
        <f t="shared" si="54"/>
        <v>0</v>
      </c>
      <c r="W48" s="119">
        <f t="shared" si="54"/>
        <v>0</v>
      </c>
      <c r="X48" s="119">
        <f t="shared" si="54"/>
        <v>0</v>
      </c>
      <c r="Y48" s="119">
        <f t="shared" si="54"/>
        <v>0</v>
      </c>
      <c r="Z48" s="119">
        <f t="shared" si="54"/>
        <v>0</v>
      </c>
      <c r="AA48" s="119">
        <f t="shared" si="54"/>
        <v>0</v>
      </c>
      <c r="AB48" s="118" t="e">
        <f t="shared" si="55"/>
        <v>#DIV/0!</v>
      </c>
    </row>
    <row r="49" spans="2:28" x14ac:dyDescent="0.2">
      <c r="B49" s="20" t="s">
        <v>78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18" t="e">
        <f t="shared" si="52"/>
        <v>#DIV/0!</v>
      </c>
      <c r="Q49" s="31">
        <v>0.1</v>
      </c>
      <c r="R49" s="119">
        <f t="shared" si="53"/>
        <v>0</v>
      </c>
      <c r="S49" s="119">
        <f t="shared" si="54"/>
        <v>0</v>
      </c>
      <c r="T49" s="119">
        <f t="shared" si="54"/>
        <v>0</v>
      </c>
      <c r="U49" s="119">
        <f t="shared" si="54"/>
        <v>0</v>
      </c>
      <c r="V49" s="119">
        <f t="shared" si="54"/>
        <v>0</v>
      </c>
      <c r="W49" s="119">
        <f t="shared" si="54"/>
        <v>0</v>
      </c>
      <c r="X49" s="119">
        <f t="shared" si="54"/>
        <v>0</v>
      </c>
      <c r="Y49" s="119">
        <f t="shared" si="54"/>
        <v>0</v>
      </c>
      <c r="Z49" s="119">
        <f t="shared" si="54"/>
        <v>0</v>
      </c>
      <c r="AA49" s="119">
        <f t="shared" si="54"/>
        <v>0</v>
      </c>
      <c r="AB49" s="118" t="e">
        <f t="shared" si="55"/>
        <v>#DIV/0!</v>
      </c>
    </row>
    <row r="50" spans="2:28" x14ac:dyDescent="0.2">
      <c r="B50" s="20" t="s">
        <v>79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18" t="e">
        <f t="shared" si="52"/>
        <v>#DIV/0!</v>
      </c>
      <c r="Q50" s="31">
        <v>0.1</v>
      </c>
      <c r="R50" s="119">
        <f t="shared" si="53"/>
        <v>0</v>
      </c>
      <c r="S50" s="119">
        <f t="shared" si="54"/>
        <v>0</v>
      </c>
      <c r="T50" s="119">
        <f t="shared" si="54"/>
        <v>0</v>
      </c>
      <c r="U50" s="119">
        <f t="shared" si="54"/>
        <v>0</v>
      </c>
      <c r="V50" s="119">
        <f t="shared" si="54"/>
        <v>0</v>
      </c>
      <c r="W50" s="119">
        <f t="shared" si="54"/>
        <v>0</v>
      </c>
      <c r="X50" s="119">
        <f t="shared" si="54"/>
        <v>0</v>
      </c>
      <c r="Y50" s="119">
        <f t="shared" si="54"/>
        <v>0</v>
      </c>
      <c r="Z50" s="119">
        <f t="shared" si="54"/>
        <v>0</v>
      </c>
      <c r="AA50" s="119">
        <f t="shared" si="54"/>
        <v>0</v>
      </c>
      <c r="AB50" s="118" t="e">
        <f t="shared" si="55"/>
        <v>#DIV/0!</v>
      </c>
    </row>
    <row r="51" spans="2:28" x14ac:dyDescent="0.2">
      <c r="B51" s="20" t="s">
        <v>80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18" t="e">
        <f t="shared" si="52"/>
        <v>#DIV/0!</v>
      </c>
      <c r="Q51" s="31">
        <v>0.1</v>
      </c>
      <c r="R51" s="119">
        <f t="shared" si="53"/>
        <v>0</v>
      </c>
      <c r="S51" s="119">
        <f t="shared" si="54"/>
        <v>0</v>
      </c>
      <c r="T51" s="119">
        <f t="shared" si="54"/>
        <v>0</v>
      </c>
      <c r="U51" s="119">
        <f t="shared" si="54"/>
        <v>0</v>
      </c>
      <c r="V51" s="119">
        <f t="shared" si="54"/>
        <v>0</v>
      </c>
      <c r="W51" s="119">
        <f t="shared" si="54"/>
        <v>0</v>
      </c>
      <c r="X51" s="119">
        <f t="shared" si="54"/>
        <v>0</v>
      </c>
      <c r="Y51" s="119">
        <f t="shared" si="54"/>
        <v>0</v>
      </c>
      <c r="Z51" s="119">
        <f t="shared" si="54"/>
        <v>0</v>
      </c>
      <c r="AA51" s="119">
        <f t="shared" si="54"/>
        <v>0</v>
      </c>
      <c r="AB51" s="118" t="e">
        <f t="shared" si="55"/>
        <v>#DIV/0!</v>
      </c>
    </row>
    <row r="52" spans="2:28" x14ac:dyDescent="0.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108" t="s">
        <v>244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3"/>
      <c r="Q54" s="23"/>
      <c r="R54" s="122" t="s">
        <v>66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25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-AA29)</f>
        <v>8.5530571098674493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 t="s">
        <v>275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>
        <f>PV($C$2, ($AA$4-$R$4), 0, -AA30)</f>
        <v>108.95686094708068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20" t="s">
        <v>276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21">
        <f>PV($C$2, ($AA$4-$R$4), 0, -AA31)</f>
        <v>104.50335437288783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277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21">
        <f>PV($C$2, ($AA$4-$R$4), 0, -AA32)</f>
        <v>28.981392141283163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2:28" x14ac:dyDescent="0.2">
      <c r="B59" s="20" t="s">
        <v>278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21">
        <f>PV($C$2, ($AA$4-$R$4), 0, -AA38)</f>
        <v>2.396229551509375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2:28" x14ac:dyDescent="0.2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21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2:28" x14ac:dyDescent="0.2">
      <c r="B61" s="20" t="s">
        <v>273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21">
        <f>PV($C$2, ($AA$4-$R$4), 0, -AA34)</f>
        <v>79.975468805797519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2:28" x14ac:dyDescent="0.2">
      <c r="B62" s="20" t="s">
        <v>274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21">
        <f>PV($C$2, ($AA$4-$R$4), 0, -AA35)</f>
        <v>37.50909120660004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21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20" t="s">
        <v>249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21">
        <f>PV($C$2, ($AA$4-$R$4), 0, -AA41)</f>
        <v>134.89507642525822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21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2">
      <c r="B66" s="20" t="s">
        <v>250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21">
        <f>PV($C$2, ($AA$4-$R$4), 0, -AA42)</f>
        <v>133.33640195355014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21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2:28" x14ac:dyDescent="0.2">
      <c r="B68" s="108" t="s">
        <v>251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2:28" x14ac:dyDescent="0.2">
      <c r="B69" s="20" t="s">
        <v>204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>
        <v>700</v>
      </c>
      <c r="N69" s="22">
        <v>750</v>
      </c>
      <c r="O69" s="22">
        <v>820</v>
      </c>
      <c r="P69" s="118">
        <f t="shared" ref="P69:P73" si="56">((O69/M69)^(1/($H$3-$H$2) ))-1</f>
        <v>0.17142857142857149</v>
      </c>
      <c r="Q69" s="31">
        <v>0.1</v>
      </c>
      <c r="R69" s="119">
        <f t="shared" ref="R69:R73" si="57">O69*(1+$Q69)</f>
        <v>902.00000000000011</v>
      </c>
      <c r="S69" s="119">
        <f t="shared" ref="S69:AA73" si="58">R69*(1+$Q69)</f>
        <v>992.20000000000016</v>
      </c>
      <c r="T69" s="119">
        <f t="shared" si="58"/>
        <v>1091.4200000000003</v>
      </c>
      <c r="U69" s="119">
        <f t="shared" si="58"/>
        <v>1200.5620000000004</v>
      </c>
      <c r="V69" s="119">
        <f t="shared" si="58"/>
        <v>1320.6182000000006</v>
      </c>
      <c r="W69" s="119">
        <f t="shared" si="58"/>
        <v>1452.6800200000007</v>
      </c>
      <c r="X69" s="119">
        <f t="shared" si="58"/>
        <v>1597.9480220000009</v>
      </c>
      <c r="Y69" s="119">
        <f t="shared" si="58"/>
        <v>1757.7428242000012</v>
      </c>
      <c r="Z69" s="119">
        <f t="shared" si="58"/>
        <v>1933.5171066200014</v>
      </c>
      <c r="AA69" s="119">
        <f t="shared" si="58"/>
        <v>2126.8688172820016</v>
      </c>
      <c r="AB69" s="118">
        <f t="shared" ref="AB69:AB73" si="59">((AA69/M69)^(1/($AA$4-$H$2) ))-1</f>
        <v>0.10630940847906167</v>
      </c>
    </row>
    <row r="70" spans="2:28" x14ac:dyDescent="0.2">
      <c r="B70" s="20" t="s">
        <v>42</v>
      </c>
      <c r="C70" s="25" t="e">
        <f>C69/C29</f>
        <v>#DIV/0!</v>
      </c>
      <c r="D70" s="25" t="e">
        <f t="shared" ref="D70:O70" si="60">D69/D29</f>
        <v>#DIV/0!</v>
      </c>
      <c r="E70" s="25" t="e">
        <f t="shared" si="60"/>
        <v>#DIV/0!</v>
      </c>
      <c r="F70" s="25" t="e">
        <f t="shared" si="60"/>
        <v>#DIV/0!</v>
      </c>
      <c r="G70" s="25" t="e">
        <f t="shared" si="60"/>
        <v>#DIV/0!</v>
      </c>
      <c r="H70" s="25" t="e">
        <f t="shared" si="60"/>
        <v>#DIV/0!</v>
      </c>
      <c r="I70" s="25" t="e">
        <f t="shared" si="60"/>
        <v>#DIV/0!</v>
      </c>
      <c r="J70" s="25" t="e">
        <f t="shared" si="60"/>
        <v>#DIV/0!</v>
      </c>
      <c r="K70" s="25" t="e">
        <f t="shared" si="60"/>
        <v>#DIV/0!</v>
      </c>
      <c r="L70" s="25" t="e">
        <f t="shared" si="60"/>
        <v>#DIV/0!</v>
      </c>
      <c r="M70" s="25" t="e">
        <f t="shared" si="60"/>
        <v>#DIV/0!</v>
      </c>
      <c r="N70" s="25" t="e">
        <f t="shared" si="60"/>
        <v>#DIV/0!</v>
      </c>
      <c r="O70" s="25">
        <f t="shared" si="60"/>
        <v>41.531809759110565</v>
      </c>
      <c r="P70" s="118" t="e">
        <f t="shared" si="56"/>
        <v>#DIV/0!</v>
      </c>
      <c r="Q70" s="31">
        <v>0.1</v>
      </c>
      <c r="R70" s="119">
        <f t="shared" si="57"/>
        <v>45.684990735021628</v>
      </c>
      <c r="S70" s="119">
        <f t="shared" si="58"/>
        <v>50.253489808523796</v>
      </c>
      <c r="T70" s="119">
        <f t="shared" si="58"/>
        <v>55.278838789376181</v>
      </c>
      <c r="U70" s="119">
        <f t="shared" si="58"/>
        <v>60.806722668313803</v>
      </c>
      <c r="V70" s="119">
        <f t="shared" si="58"/>
        <v>66.887394935145196</v>
      </c>
      <c r="W70" s="119">
        <f t="shared" si="58"/>
        <v>73.576134428659728</v>
      </c>
      <c r="X70" s="119">
        <f t="shared" si="58"/>
        <v>80.933747871525711</v>
      </c>
      <c r="Y70" s="119">
        <f t="shared" si="58"/>
        <v>89.027122658678294</v>
      </c>
      <c r="Z70" s="119">
        <f t="shared" si="58"/>
        <v>97.929834924546128</v>
      </c>
      <c r="AA70" s="119">
        <f t="shared" si="58"/>
        <v>107.72281841700075</v>
      </c>
      <c r="AB70" s="118" t="e">
        <f t="shared" si="59"/>
        <v>#DIV/0!</v>
      </c>
    </row>
    <row r="71" spans="2:28" x14ac:dyDescent="0.2">
      <c r="B71" s="20" t="s">
        <v>259</v>
      </c>
      <c r="C71" s="25" t="e">
        <f>C69/C31</f>
        <v>#DIV/0!</v>
      </c>
      <c r="D71" s="25" t="e">
        <f t="shared" ref="D71:O71" si="61">D69/D31</f>
        <v>#DIV/0!</v>
      </c>
      <c r="E71" s="25" t="e">
        <f t="shared" si="61"/>
        <v>#DIV/0!</v>
      </c>
      <c r="F71" s="25" t="e">
        <f t="shared" si="61"/>
        <v>#DIV/0!</v>
      </c>
      <c r="G71" s="25" t="e">
        <f t="shared" si="61"/>
        <v>#DIV/0!</v>
      </c>
      <c r="H71" s="25" t="e">
        <f t="shared" si="61"/>
        <v>#DIV/0!</v>
      </c>
      <c r="I71" s="25" t="e">
        <f t="shared" si="61"/>
        <v>#DIV/0!</v>
      </c>
      <c r="J71" s="25" t="e">
        <f t="shared" si="61"/>
        <v>#DIV/0!</v>
      </c>
      <c r="K71" s="25" t="e">
        <f t="shared" si="61"/>
        <v>#DIV/0!</v>
      </c>
      <c r="L71" s="25" t="e">
        <f t="shared" si="61"/>
        <v>#DIV/0!</v>
      </c>
      <c r="M71" s="25" t="e">
        <f t="shared" si="61"/>
        <v>#DIV/0!</v>
      </c>
      <c r="N71" s="25" t="e">
        <f t="shared" si="61"/>
        <v>#DIV/0!</v>
      </c>
      <c r="O71" s="25">
        <f t="shared" si="61"/>
        <v>3.3991630496215119</v>
      </c>
      <c r="P71" s="118" t="e">
        <f t="shared" si="56"/>
        <v>#DIV/0!</v>
      </c>
      <c r="Q71" s="31">
        <v>0.1</v>
      </c>
      <c r="R71" s="119">
        <f t="shared" si="57"/>
        <v>3.7390793545836636</v>
      </c>
      <c r="S71" s="119">
        <f t="shared" si="58"/>
        <v>4.1129872900420299</v>
      </c>
      <c r="T71" s="119">
        <f t="shared" si="58"/>
        <v>4.5242860190462331</v>
      </c>
      <c r="U71" s="119">
        <f t="shared" si="58"/>
        <v>4.9767146209508564</v>
      </c>
      <c r="V71" s="119">
        <f t="shared" si="58"/>
        <v>5.4743860830459425</v>
      </c>
      <c r="W71" s="119">
        <f t="shared" si="58"/>
        <v>6.0218246913505373</v>
      </c>
      <c r="X71" s="119">
        <f t="shared" si="58"/>
        <v>6.6240071604855917</v>
      </c>
      <c r="Y71" s="119">
        <f t="shared" si="58"/>
        <v>7.2864078765341516</v>
      </c>
      <c r="Z71" s="119">
        <f t="shared" si="58"/>
        <v>8.0150486641875673</v>
      </c>
      <c r="AA71" s="119">
        <f t="shared" si="58"/>
        <v>8.8165535306063241</v>
      </c>
      <c r="AB71" s="118" t="e">
        <f t="shared" si="59"/>
        <v>#DIV/0!</v>
      </c>
    </row>
    <row r="72" spans="2:28" x14ac:dyDescent="0.2">
      <c r="B72" s="20" t="s">
        <v>260</v>
      </c>
      <c r="C72" s="130" t="e">
        <f>C69/C40</f>
        <v>#DIV/0!</v>
      </c>
      <c r="D72" s="130" t="e">
        <f t="shared" ref="D72:O72" si="62">D69/D40</f>
        <v>#DIV/0!</v>
      </c>
      <c r="E72" s="130" t="e">
        <f t="shared" si="62"/>
        <v>#DIV/0!</v>
      </c>
      <c r="F72" s="130" t="e">
        <f t="shared" si="62"/>
        <v>#DIV/0!</v>
      </c>
      <c r="G72" s="130" t="e">
        <f t="shared" si="62"/>
        <v>#DIV/0!</v>
      </c>
      <c r="H72" s="130" t="e">
        <f t="shared" si="62"/>
        <v>#DIV/0!</v>
      </c>
      <c r="I72" s="130" t="e">
        <f t="shared" si="62"/>
        <v>#DIV/0!</v>
      </c>
      <c r="J72" s="130" t="e">
        <f t="shared" si="62"/>
        <v>#DIV/0!</v>
      </c>
      <c r="K72" s="130" t="e">
        <f t="shared" si="62"/>
        <v>#DIV/0!</v>
      </c>
      <c r="L72" s="130" t="e">
        <f t="shared" si="62"/>
        <v>#DIV/0!</v>
      </c>
      <c r="M72" s="25" t="e">
        <f t="shared" si="62"/>
        <v>#DIV/0!</v>
      </c>
      <c r="N72" s="25" t="e">
        <f t="shared" si="62"/>
        <v>#DIV/0!</v>
      </c>
      <c r="O72" s="25">
        <f t="shared" si="62"/>
        <v>118.0518978896731</v>
      </c>
      <c r="P72" s="118" t="e">
        <f t="shared" si="56"/>
        <v>#DIV/0!</v>
      </c>
      <c r="Q72" s="31">
        <v>0.1</v>
      </c>
      <c r="R72" s="119">
        <f t="shared" si="57"/>
        <v>129.85708767864043</v>
      </c>
      <c r="S72" s="119">
        <f t="shared" si="58"/>
        <v>142.84279644650448</v>
      </c>
      <c r="T72" s="119">
        <f t="shared" si="58"/>
        <v>157.12707609115495</v>
      </c>
      <c r="U72" s="119">
        <f t="shared" si="58"/>
        <v>172.83978370027046</v>
      </c>
      <c r="V72" s="119">
        <f t="shared" si="58"/>
        <v>190.12376207029752</v>
      </c>
      <c r="W72" s="119">
        <f t="shared" si="58"/>
        <v>209.13613827732729</v>
      </c>
      <c r="X72" s="119">
        <f t="shared" si="58"/>
        <v>230.04975210506004</v>
      </c>
      <c r="Y72" s="119">
        <f t="shared" si="58"/>
        <v>253.05472731556605</v>
      </c>
      <c r="Z72" s="119">
        <f t="shared" si="58"/>
        <v>278.3602000471227</v>
      </c>
      <c r="AA72" s="119">
        <f t="shared" si="58"/>
        <v>306.19622005183498</v>
      </c>
      <c r="AB72" s="118" t="e">
        <f t="shared" si="59"/>
        <v>#DIV/0!</v>
      </c>
    </row>
    <row r="73" spans="2:28" x14ac:dyDescent="0.2">
      <c r="B73" s="20" t="s">
        <v>261</v>
      </c>
      <c r="C73" s="130" t="e">
        <f>C69/C42</f>
        <v>#DIV/0!</v>
      </c>
      <c r="D73" s="130" t="e">
        <f t="shared" ref="D73:O73" si="63">D69/D42</f>
        <v>#DIV/0!</v>
      </c>
      <c r="E73" s="130" t="e">
        <f t="shared" si="63"/>
        <v>#DIV/0!</v>
      </c>
      <c r="F73" s="130" t="e">
        <f t="shared" si="63"/>
        <v>#DIV/0!</v>
      </c>
      <c r="G73" s="130" t="e">
        <f t="shared" si="63"/>
        <v>#DIV/0!</v>
      </c>
      <c r="H73" s="130" t="e">
        <f t="shared" si="63"/>
        <v>#DIV/0!</v>
      </c>
      <c r="I73" s="130" t="e">
        <f t="shared" si="63"/>
        <v>#DIV/0!</v>
      </c>
      <c r="J73" s="130" t="e">
        <f t="shared" si="63"/>
        <v>#DIV/0!</v>
      </c>
      <c r="K73" s="130" t="e">
        <f t="shared" si="63"/>
        <v>#DIV/0!</v>
      </c>
      <c r="L73" s="130" t="e">
        <f t="shared" si="63"/>
        <v>#DIV/0!</v>
      </c>
      <c r="M73" s="25" t="e">
        <f t="shared" si="63"/>
        <v>#DIV/0!</v>
      </c>
      <c r="N73" s="25" t="e">
        <f t="shared" si="63"/>
        <v>#DIV/0!</v>
      </c>
      <c r="O73" s="25">
        <f t="shared" si="63"/>
        <v>2.6641182418404448</v>
      </c>
      <c r="P73" s="118" t="e">
        <f t="shared" si="56"/>
        <v>#DIV/0!</v>
      </c>
      <c r="Q73" s="31">
        <v>0.1</v>
      </c>
      <c r="R73" s="119">
        <f t="shared" si="57"/>
        <v>2.9305300660244895</v>
      </c>
      <c r="S73" s="119">
        <f t="shared" si="58"/>
        <v>3.2235830726269388</v>
      </c>
      <c r="T73" s="119">
        <f t="shared" si="58"/>
        <v>3.5459413798896331</v>
      </c>
      <c r="U73" s="119">
        <f t="shared" si="58"/>
        <v>3.9005355178785965</v>
      </c>
      <c r="V73" s="119">
        <f t="shared" si="58"/>
        <v>4.2905890696664564</v>
      </c>
      <c r="W73" s="119">
        <f t="shared" si="58"/>
        <v>4.7196479766331025</v>
      </c>
      <c r="X73" s="119">
        <f t="shared" si="58"/>
        <v>5.1916127742964129</v>
      </c>
      <c r="Y73" s="119">
        <f t="shared" si="58"/>
        <v>5.7107740517260543</v>
      </c>
      <c r="Z73" s="119">
        <f t="shared" si="58"/>
        <v>6.2818514568986599</v>
      </c>
      <c r="AA73" s="119">
        <f t="shared" si="58"/>
        <v>6.9100366025885265</v>
      </c>
      <c r="AB73" s="118" t="e">
        <f t="shared" si="59"/>
        <v>#DIV/0!</v>
      </c>
    </row>
    <row r="74" spans="2:28" x14ac:dyDescent="0.2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2:28" x14ac:dyDescent="0.2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2:28" x14ac:dyDescent="0.2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2:28" x14ac:dyDescent="0.2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2:28" x14ac:dyDescent="0.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</sheetData>
  <pageMargins left="0.7" right="0.7" top="0.75" bottom="0.75" header="0.3" footer="0.3"/>
  <pageSetup orientation="portrait" r:id="rId1"/>
  <ignoredErrors>
    <ignoredError sqref="C70 R45:AA5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6" t="s">
        <v>27</v>
      </c>
      <c r="K5" s="136"/>
      <c r="M5" s="136" t="s">
        <v>65</v>
      </c>
      <c r="N5" s="13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6" t="s">
        <v>36</v>
      </c>
      <c r="K14" s="136"/>
      <c r="L14" s="13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6" t="s">
        <v>27</v>
      </c>
      <c r="S5" s="136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6" t="s">
        <v>36</v>
      </c>
      <c r="S14" s="136"/>
      <c r="T14" s="136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6" t="s">
        <v>27</v>
      </c>
      <c r="C2" s="136"/>
      <c r="E2" s="136" t="s">
        <v>65</v>
      </c>
      <c r="F2" s="136"/>
      <c r="H2" s="140" t="s">
        <v>36</v>
      </c>
      <c r="I2" s="14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7" t="s">
        <v>68</v>
      </c>
      <c r="E10" s="138"/>
      <c r="F10" s="138"/>
      <c r="G10" s="138"/>
      <c r="H10" s="139"/>
      <c r="I10" s="137" t="s">
        <v>72</v>
      </c>
      <c r="J10" s="138"/>
      <c r="K10" s="138"/>
      <c r="L10" s="13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2013-01-24T09:11:58Z</dcterms:modified>
</cp:coreProperties>
</file>
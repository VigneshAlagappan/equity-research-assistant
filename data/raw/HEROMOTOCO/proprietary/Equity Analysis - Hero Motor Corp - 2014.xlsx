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16" i="18" l="1"/>
  <c r="Q14" i="18"/>
  <c r="Q13" i="18"/>
  <c r="Q18" i="18"/>
  <c r="Q15" i="18"/>
  <c r="Q23" i="18"/>
  <c r="Q22" i="18"/>
  <c r="Q21" i="18"/>
  <c r="Q20" i="18"/>
  <c r="S44" i="18"/>
  <c r="P12" i="18"/>
  <c r="O12" i="18"/>
  <c r="N12" i="18"/>
  <c r="M12" i="18"/>
  <c r="I12" i="18" l="1"/>
  <c r="Q25" i="18"/>
  <c r="F115" i="18" l="1"/>
  <c r="F180" i="18" l="1"/>
  <c r="E180" i="18"/>
  <c r="D180" i="18"/>
  <c r="C180" i="18"/>
  <c r="Q191" i="18" l="1"/>
  <c r="Q197" i="18"/>
  <c r="Q196" i="18"/>
  <c r="Q195" i="18"/>
  <c r="Q179" i="18"/>
  <c r="Q50" i="18"/>
  <c r="Q172" i="18" s="1"/>
  <c r="Q51" i="18"/>
  <c r="Q52" i="18"/>
  <c r="Q91" i="18" s="1"/>
  <c r="Q54" i="18"/>
  <c r="Q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6" i="18" s="1"/>
  <c r="Q175" i="18" s="1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3" i="18" l="1"/>
  <c r="T192" i="18"/>
  <c r="T193" i="18" s="1"/>
  <c r="Q178" i="18"/>
  <c r="Q113" i="18"/>
  <c r="Q114" i="18" s="1"/>
  <c r="Q115" i="18"/>
  <c r="G91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R52" i="18"/>
  <c r="R91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K218" i="18" s="1"/>
  <c r="Y38" i="18"/>
  <c r="D210" i="18"/>
  <c r="R55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K217" i="18" l="1"/>
  <c r="R100" i="18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P192" i="18" s="1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91" i="18" s="1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81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91" i="18" l="1"/>
  <c r="G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<sst xmlns="http://schemas.openxmlformats.org/spreadsheetml/2006/main" count="647" uniqueCount="455">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</sst>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164" fontId="16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75552"/>
        <c:axId val="104690048"/>
      </c:lineChart>
      <c:catAx>
        <c:axId val="10397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4690048"/>
        <c:crosses val="autoZero"/>
        <c:auto val="1"/>
        <c:lblAlgn val="ctr"/>
        <c:lblOffset val="100"/>
        <c:noMultiLvlLbl val="0"/>
      </c:catAx>
      <c:valAx>
        <c:axId val="10469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975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D165" activePane="bottomRight" state="frozen"/>
      <selection pane="topRight" activeCell="C1" sqref="C1"/>
      <selection pane="bottomLeft" activeCell="A5" sqref="A5"/>
      <selection pane="bottomRight" activeCell="O192" sqref="O19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7.0000000000000007E-2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1098</v>
      </c>
      <c r="H6" s="147">
        <v>1453</v>
      </c>
      <c r="I6" s="147">
        <v>1969</v>
      </c>
      <c r="J6" s="147">
        <v>2430</v>
      </c>
      <c r="K6" s="147">
        <v>2946</v>
      </c>
      <c r="L6" s="147">
        <v>3760</v>
      </c>
      <c r="M6" s="147">
        <v>3425</v>
      </c>
      <c r="N6" s="147">
        <v>2916</v>
      </c>
      <c r="O6" s="147">
        <v>4249</v>
      </c>
      <c r="P6" s="147">
        <v>4966</v>
      </c>
      <c r="Q6" s="213">
        <v>5582</v>
      </c>
      <c r="R6" s="118">
        <f>((Q6/G6)^(1/($H$2-$H$1) ))-1</f>
        <v>0.19802333391117144</v>
      </c>
      <c r="S6" s="31">
        <f>$L$2</f>
        <v>7.0000000000000007E-2</v>
      </c>
      <c r="T6" s="154">
        <f>Q6*(1+$S6)</f>
        <v>5972.7400000000007</v>
      </c>
      <c r="U6" s="154">
        <f>T6*(1+$S6)</f>
        <v>6390.8318000000008</v>
      </c>
      <c r="V6" s="154">
        <f t="shared" ref="V6:AC6" si="0">U6*(1+$S6)</f>
        <v>6838.1900260000011</v>
      </c>
      <c r="W6" s="154">
        <f t="shared" si="0"/>
        <v>7316.8633278200014</v>
      </c>
      <c r="X6" s="154">
        <f t="shared" si="0"/>
        <v>7829.0437607674021</v>
      </c>
      <c r="Y6" s="154">
        <f t="shared" si="0"/>
        <v>8377.07682402112</v>
      </c>
      <c r="Z6" s="154">
        <f t="shared" si="0"/>
        <v>8963.4722017025997</v>
      </c>
      <c r="AA6" s="154">
        <f t="shared" si="0"/>
        <v>9590.9152558217829</v>
      </c>
      <c r="AB6" s="154">
        <f t="shared" si="0"/>
        <v>10262.279323729308</v>
      </c>
      <c r="AC6" s="154">
        <f t="shared" si="0"/>
        <v>10980.63887639036</v>
      </c>
      <c r="AD6" s="138">
        <f>((AC6/G6)^(1/($AC$3-$H$1) ))-1</f>
        <v>0.12202171846994569</v>
      </c>
      <c r="AE6" s="31">
        <f>$L$1</f>
        <v>0.05</v>
      </c>
      <c r="AF6" s="146">
        <f t="shared" ref="AF6:AF44" si="1">(AC6*(1+AE6))/($C$1-AE6)</f>
        <v>67821.593060058105</v>
      </c>
    </row>
    <row r="7" spans="2:32" x14ac:dyDescent="0.2">
      <c r="B7" s="20" t="s">
        <v>240</v>
      </c>
      <c r="C7" s="141"/>
      <c r="D7" s="141"/>
      <c r="E7" s="147"/>
      <c r="F7" s="147"/>
      <c r="G7" s="147">
        <v>1138</v>
      </c>
      <c r="H7" s="147">
        <v>1493</v>
      </c>
      <c r="I7" s="147">
        <v>2009</v>
      </c>
      <c r="J7" s="147">
        <v>2470</v>
      </c>
      <c r="K7" s="147">
        <v>2986</v>
      </c>
      <c r="L7" s="147">
        <v>3800</v>
      </c>
      <c r="M7" s="147">
        <v>3465</v>
      </c>
      <c r="N7" s="147">
        <v>2956</v>
      </c>
      <c r="O7" s="147">
        <v>4289</v>
      </c>
      <c r="P7" s="147">
        <v>5007</v>
      </c>
      <c r="Q7" s="213">
        <v>5622</v>
      </c>
      <c r="R7" s="118">
        <f>((Q7/G7)^(1/($H$2-$H$1) ))-1</f>
        <v>0.19421679728464158</v>
      </c>
      <c r="S7" s="31">
        <f>$L$2</f>
        <v>7.0000000000000007E-2</v>
      </c>
      <c r="T7" s="154">
        <f t="shared" ref="T7:T44" si="2">Q7*(1+$S7)</f>
        <v>6015.54</v>
      </c>
      <c r="U7" s="154">
        <f t="shared" ref="U7:AC7" si="3">T7*(1+$S7)</f>
        <v>6436.6278000000002</v>
      </c>
      <c r="V7" s="154">
        <f t="shared" si="3"/>
        <v>6887.1917460000004</v>
      </c>
      <c r="W7" s="154">
        <f t="shared" si="3"/>
        <v>7369.295168220001</v>
      </c>
      <c r="X7" s="154">
        <f t="shared" si="3"/>
        <v>7885.1458299954011</v>
      </c>
      <c r="Y7" s="154">
        <f t="shared" si="3"/>
        <v>8437.1060380950803</v>
      </c>
      <c r="Z7" s="154">
        <f t="shared" si="3"/>
        <v>9027.703460761737</v>
      </c>
      <c r="AA7" s="154">
        <f t="shared" si="3"/>
        <v>9659.6427030150589</v>
      </c>
      <c r="AB7" s="154">
        <f t="shared" si="3"/>
        <v>10335.817692226114</v>
      </c>
      <c r="AC7" s="154">
        <f t="shared" si="3"/>
        <v>11059.324930681942</v>
      </c>
      <c r="AD7" s="138">
        <f>((AC7/G7)^(1/($AC$3-$H$1) ))-1</f>
        <v>0.12041604051424515</v>
      </c>
      <c r="AE7" s="31">
        <f>$L$1</f>
        <v>0.05</v>
      </c>
      <c r="AF7" s="146">
        <f t="shared" si="1"/>
        <v>68307.595160094352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0.2377762893503014</v>
      </c>
      <c r="I8" s="151">
        <f t="shared" ref="I8:Q8" si="4">(I7-H7)/I7</f>
        <v>0.25684420109507217</v>
      </c>
      <c r="J8" s="151">
        <f t="shared" si="4"/>
        <v>0.18663967611336033</v>
      </c>
      <c r="K8" s="151">
        <f t="shared" si="4"/>
        <v>0.17280643000669793</v>
      </c>
      <c r="L8" s="151">
        <f t="shared" si="4"/>
        <v>0.21421052631578946</v>
      </c>
      <c r="M8" s="151">
        <f t="shared" si="4"/>
        <v>-9.6681096681096687E-2</v>
      </c>
      <c r="N8" s="151">
        <f t="shared" si="4"/>
        <v>-0.17219215155615697</v>
      </c>
      <c r="O8" s="151">
        <f t="shared" si="4"/>
        <v>0.31079505712287248</v>
      </c>
      <c r="P8" s="151">
        <f t="shared" si="4"/>
        <v>0.14339924106251248</v>
      </c>
      <c r="Q8" s="214">
        <f t="shared" si="4"/>
        <v>0.10939167556029883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1093</v>
      </c>
      <c r="H9" s="147">
        <v>1117</v>
      </c>
      <c r="I9" s="147">
        <v>1193</v>
      </c>
      <c r="J9" s="147">
        <v>1171</v>
      </c>
      <c r="K9" s="147">
        <v>1455</v>
      </c>
      <c r="L9" s="147">
        <v>1678</v>
      </c>
      <c r="M9" s="147">
        <v>3965</v>
      </c>
      <c r="N9" s="147">
        <v>5316</v>
      </c>
      <c r="O9" s="147">
        <v>3520</v>
      </c>
      <c r="P9" s="147">
        <v>2839</v>
      </c>
      <c r="Q9" s="213">
        <v>4423</v>
      </c>
      <c r="R9" s="118">
        <f>((Q9/G9)^(1/($H$2-$H$1) ))-1</f>
        <v>0.16803322748192917</v>
      </c>
      <c r="S9" s="31">
        <f t="shared" ref="S9:S40" si="5">$L$2</f>
        <v>7.0000000000000007E-2</v>
      </c>
      <c r="T9" s="154">
        <f t="shared" si="2"/>
        <v>4732.6100000000006</v>
      </c>
      <c r="U9" s="154">
        <f t="shared" ref="U9" si="6">T9*(1+$S9)</f>
        <v>5063.8927000000012</v>
      </c>
      <c r="V9" s="154">
        <f t="shared" ref="V9" si="7">U9*(1+$S9)</f>
        <v>5418.3651890000019</v>
      </c>
      <c r="W9" s="154">
        <f t="shared" ref="W9" si="8">V9*(1+$S9)</f>
        <v>5797.6507522300026</v>
      </c>
      <c r="X9" s="154">
        <f t="shared" ref="X9" si="9">W9*(1+$S9)</f>
        <v>6203.4863048861034</v>
      </c>
      <c r="Y9" s="154">
        <f t="shared" ref="Y9" si="10">X9*(1+$S9)</f>
        <v>6637.7303462281307</v>
      </c>
      <c r="Z9" s="154">
        <f t="shared" ref="Z9" si="11">Y9*(1+$S9)</f>
        <v>7102.3714704641006</v>
      </c>
      <c r="AA9" s="154">
        <f t="shared" ref="AA9" si="12">Z9*(1+$S9)</f>
        <v>7599.5374733965882</v>
      </c>
      <c r="AB9" s="154">
        <f t="shared" ref="AB9" si="13">AA9*(1+$S9)</f>
        <v>8131.5050965343498</v>
      </c>
      <c r="AC9" s="154">
        <f t="shared" ref="AC9" si="14">AB9*(1+$S9)</f>
        <v>8700.7104532917547</v>
      </c>
      <c r="AD9" s="138">
        <f>((AC9/G9)^(1/($AC$3-$H$1) ))-1</f>
        <v>0.10929416283329862</v>
      </c>
      <c r="AE9" s="31">
        <f t="shared" ref="AE9:AE81" si="15">$L$1</f>
        <v>0.05</v>
      </c>
      <c r="AF9" s="146">
        <f t="shared" si="1"/>
        <v>53739.682211507905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175</v>
      </c>
      <c r="H10" s="147">
        <v>202</v>
      </c>
      <c r="I10" s="147">
        <v>186</v>
      </c>
      <c r="J10" s="147">
        <v>165</v>
      </c>
      <c r="K10" s="147">
        <v>132</v>
      </c>
      <c r="L10" s="147">
        <v>78</v>
      </c>
      <c r="M10" s="147">
        <v>66</v>
      </c>
      <c r="N10" s="147">
        <v>1491</v>
      </c>
      <c r="O10" s="147">
        <v>995</v>
      </c>
      <c r="P10" s="147">
        <v>302</v>
      </c>
      <c r="Q10" s="213">
        <v>24</v>
      </c>
      <c r="R10" s="118">
        <f>((Q10/G10)^(1/($H$2-$H$1) ))-1</f>
        <v>-0.19808127444100709</v>
      </c>
      <c r="S10" s="31">
        <f t="shared" si="5"/>
        <v>7.0000000000000007E-2</v>
      </c>
      <c r="T10" s="154">
        <f t="shared" si="2"/>
        <v>25.68</v>
      </c>
      <c r="U10" s="154">
        <f t="shared" ref="U10:AC10" si="16">T10*(1+$S10)</f>
        <v>27.477600000000002</v>
      </c>
      <c r="V10" s="154">
        <f t="shared" si="16"/>
        <v>29.401032000000004</v>
      </c>
      <c r="W10" s="154">
        <f t="shared" si="16"/>
        <v>31.459104240000006</v>
      </c>
      <c r="X10" s="154">
        <f t="shared" si="16"/>
        <v>33.661241536800006</v>
      </c>
      <c r="Y10" s="154">
        <f t="shared" si="16"/>
        <v>36.017528444376005</v>
      </c>
      <c r="Z10" s="154">
        <f t="shared" si="16"/>
        <v>38.538755435482329</v>
      </c>
      <c r="AA10" s="154">
        <f t="shared" si="16"/>
        <v>41.236468315966093</v>
      </c>
      <c r="AB10" s="154">
        <f t="shared" si="16"/>
        <v>44.123021098083719</v>
      </c>
      <c r="AC10" s="154">
        <f t="shared" si="16"/>
        <v>47.211632574949583</v>
      </c>
      <c r="AD10" s="138">
        <f t="shared" ref="AD10:AD42" si="17">((AC10/G10)^(1/($AC$3-$H$1) ))-1</f>
        <v>-6.3407774411947004E-2</v>
      </c>
      <c r="AE10" s="31">
        <f t="shared" si="15"/>
        <v>0.05</v>
      </c>
      <c r="AF10" s="146">
        <f t="shared" si="1"/>
        <v>291.60126002174746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0.13366336633663367</v>
      </c>
      <c r="I11" s="148">
        <f t="shared" si="18"/>
        <v>-8.6021505376344093E-2</v>
      </c>
      <c r="J11" s="148">
        <f t="shared" si="18"/>
        <v>-0.12727272727272726</v>
      </c>
      <c r="K11" s="148">
        <f t="shared" si="18"/>
        <v>-0.25</v>
      </c>
      <c r="L11" s="148">
        <f t="shared" si="18"/>
        <v>-0.69230769230769229</v>
      </c>
      <c r="M11" s="148">
        <f t="shared" si="18"/>
        <v>-0.18181818181818182</v>
      </c>
      <c r="N11" s="148">
        <f t="shared" si="18"/>
        <v>0.95573440643863183</v>
      </c>
      <c r="O11" s="148">
        <f t="shared" si="18"/>
        <v>-0.4984924623115578</v>
      </c>
      <c r="P11" s="148">
        <f t="shared" si="18"/>
        <v>-2.2947019867549669</v>
      </c>
      <c r="Q11" s="215">
        <f t="shared" si="18"/>
        <v>-11.583333333333334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37</v>
      </c>
      <c r="H12" s="147">
        <v>17</v>
      </c>
      <c r="I12" s="147">
        <f>23+135</f>
        <v>158</v>
      </c>
      <c r="J12" s="147">
        <v>35</v>
      </c>
      <c r="K12" s="147">
        <v>131</v>
      </c>
      <c r="L12" s="147">
        <v>220</v>
      </c>
      <c r="M12" s="147">
        <f>1863+44</f>
        <v>1907</v>
      </c>
      <c r="N12" s="147">
        <f>48+24</f>
        <v>72</v>
      </c>
      <c r="O12" s="147">
        <f>56+20</f>
        <v>76</v>
      </c>
      <c r="P12" s="147">
        <f>181</f>
        <v>181</v>
      </c>
      <c r="Q12" s="213">
        <v>119</v>
      </c>
      <c r="R12" s="118">
        <f>((Q12/G12)^(1/($H$2-$H$1) ))-1</f>
        <v>0.13860134641474153</v>
      </c>
      <c r="S12" s="31">
        <f t="shared" si="5"/>
        <v>7.0000000000000007E-2</v>
      </c>
      <c r="T12" s="154">
        <f t="shared" si="2"/>
        <v>127.33000000000001</v>
      </c>
      <c r="U12" s="154">
        <f t="shared" ref="U12:AC12" si="19">T12*(1+$S12)</f>
        <v>136.24310000000003</v>
      </c>
      <c r="V12" s="154">
        <f t="shared" si="19"/>
        <v>145.78011700000005</v>
      </c>
      <c r="W12" s="154">
        <f t="shared" si="19"/>
        <v>155.98472519000006</v>
      </c>
      <c r="X12" s="154">
        <f t="shared" si="19"/>
        <v>166.90365595330007</v>
      </c>
      <c r="Y12" s="154">
        <f t="shared" si="19"/>
        <v>178.58691187003109</v>
      </c>
      <c r="Z12" s="154">
        <f t="shared" si="19"/>
        <v>191.08799570093328</v>
      </c>
      <c r="AA12" s="154">
        <f t="shared" si="19"/>
        <v>204.46415539999862</v>
      </c>
      <c r="AB12" s="154">
        <f t="shared" si="19"/>
        <v>218.77664627799854</v>
      </c>
      <c r="AC12" s="154">
        <f t="shared" si="19"/>
        <v>234.09101151745844</v>
      </c>
      <c r="AD12" s="138">
        <f t="shared" si="17"/>
        <v>9.6627546140149567E-2</v>
      </c>
      <c r="AE12" s="31">
        <f t="shared" si="15"/>
        <v>0.05</v>
      </c>
      <c r="AF12" s="146">
        <f t="shared" si="1"/>
        <v>1445.8562476078316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1565</v>
      </c>
      <c r="H13" s="147">
        <v>2026</v>
      </c>
      <c r="I13" s="147">
        <v>2061</v>
      </c>
      <c r="J13" s="147">
        <v>1973</v>
      </c>
      <c r="K13" s="147">
        <v>2566</v>
      </c>
      <c r="L13" s="147">
        <v>3368</v>
      </c>
      <c r="M13" s="147">
        <v>3925</v>
      </c>
      <c r="N13" s="147">
        <v>5128</v>
      </c>
      <c r="O13" s="147">
        <v>3964</v>
      </c>
      <c r="P13" s="147">
        <v>3623</v>
      </c>
      <c r="Q13" s="213">
        <f>P13</f>
        <v>3623</v>
      </c>
      <c r="R13" s="118">
        <f>((Q13/G13)^(1/($H$2-$H$1) ))-1</f>
        <v>9.7756454030746287E-2</v>
      </c>
      <c r="S13" s="31">
        <f t="shared" si="5"/>
        <v>7.0000000000000007E-2</v>
      </c>
      <c r="T13" s="154">
        <f t="shared" si="2"/>
        <v>3876.61</v>
      </c>
      <c r="U13" s="154">
        <f t="shared" ref="U13:AC13" si="20">T13*(1+$S13)</f>
        <v>4147.9727000000003</v>
      </c>
      <c r="V13" s="154">
        <f t="shared" si="20"/>
        <v>4438.3307890000006</v>
      </c>
      <c r="W13" s="154">
        <f t="shared" si="20"/>
        <v>4749.0139442300006</v>
      </c>
      <c r="X13" s="154">
        <f t="shared" si="20"/>
        <v>5081.4449203261011</v>
      </c>
      <c r="Y13" s="154">
        <f t="shared" si="20"/>
        <v>5437.1460647489284</v>
      </c>
      <c r="Z13" s="154">
        <f t="shared" si="20"/>
        <v>5817.7462892813537</v>
      </c>
      <c r="AA13" s="154">
        <f t="shared" si="20"/>
        <v>6224.9885295310487</v>
      </c>
      <c r="AB13" s="154">
        <f t="shared" si="20"/>
        <v>6660.7377265982223</v>
      </c>
      <c r="AC13" s="154">
        <f t="shared" si="20"/>
        <v>7126.989367460098</v>
      </c>
      <c r="AD13" s="138">
        <f t="shared" si="17"/>
        <v>7.8746968951330265E-2</v>
      </c>
      <c r="AE13" s="31">
        <f t="shared" si="15"/>
        <v>0.05</v>
      </c>
      <c r="AF13" s="146">
        <f t="shared" si="1"/>
        <v>44019.640210782964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188</v>
      </c>
      <c r="H14" s="147">
        <v>204</v>
      </c>
      <c r="I14" s="147">
        <v>227</v>
      </c>
      <c r="J14" s="147">
        <v>276</v>
      </c>
      <c r="K14" s="147">
        <v>317</v>
      </c>
      <c r="L14" s="147">
        <v>327</v>
      </c>
      <c r="M14" s="147">
        <v>437</v>
      </c>
      <c r="N14" s="147">
        <v>525</v>
      </c>
      <c r="O14" s="147">
        <v>675</v>
      </c>
      <c r="P14" s="147">
        <v>636</v>
      </c>
      <c r="Q14" s="213">
        <f>P14</f>
        <v>636</v>
      </c>
      <c r="R14" s="118">
        <f>((Q14/G14)^(1/($H$2-$H$1) ))-1</f>
        <v>0.14501461378606106</v>
      </c>
      <c r="S14" s="31">
        <f t="shared" si="5"/>
        <v>7.0000000000000007E-2</v>
      </c>
      <c r="T14" s="154">
        <f t="shared" si="2"/>
        <v>680.5200000000001</v>
      </c>
      <c r="U14" s="154">
        <f t="shared" ref="U14" si="21">T14*(1+$S14)</f>
        <v>728.15640000000019</v>
      </c>
      <c r="V14" s="154">
        <f t="shared" ref="V14" si="22">U14*(1+$S14)</f>
        <v>779.12734800000021</v>
      </c>
      <c r="W14" s="154">
        <f t="shared" ref="W14" si="23">V14*(1+$S14)</f>
        <v>833.66626236000025</v>
      </c>
      <c r="X14" s="154">
        <f t="shared" ref="X14" si="24">W14*(1+$S14)</f>
        <v>892.02290072520032</v>
      </c>
      <c r="Y14" s="154">
        <f t="shared" ref="Y14" si="25">X14*(1+$S14)</f>
        <v>954.46450377596443</v>
      </c>
      <c r="Z14" s="154">
        <f t="shared" ref="Z14" si="26">Y14*(1+$S14)</f>
        <v>1021.277019040282</v>
      </c>
      <c r="AA14" s="154">
        <f t="shared" ref="AA14" si="27">Z14*(1+$S14)</f>
        <v>1092.7664103731017</v>
      </c>
      <c r="AB14" s="154">
        <f t="shared" ref="AB14" si="28">AA14*(1+$S14)</f>
        <v>1169.260059099219</v>
      </c>
      <c r="AC14" s="154">
        <f t="shared" ref="AC14" si="29">AB14*(1+$S14)</f>
        <v>1251.1082632361645</v>
      </c>
      <c r="AD14" s="138">
        <f t="shared" ref="AD14" si="30">((AC14/G14)^(1/($AC$3-$H$1) ))-1</f>
        <v>9.9402834056754541E-2</v>
      </c>
      <c r="AE14" s="31">
        <f t="shared" si="15"/>
        <v>0.05</v>
      </c>
      <c r="AF14" s="146">
        <f t="shared" ref="AF14" si="31">(AC14*(1+AE14))/($C$1-AE14)</f>
        <v>7727.4333905763106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269</v>
      </c>
      <c r="H15" s="147">
        <v>311</v>
      </c>
      <c r="I15" s="147">
        <v>408</v>
      </c>
      <c r="J15" s="147">
        <v>646</v>
      </c>
      <c r="K15" s="147">
        <v>745</v>
      </c>
      <c r="L15" s="147">
        <v>694</v>
      </c>
      <c r="M15" s="147">
        <v>2408</v>
      </c>
      <c r="N15" s="147">
        <v>703</v>
      </c>
      <c r="O15" s="147">
        <v>1004</v>
      </c>
      <c r="P15" s="147">
        <v>1482</v>
      </c>
      <c r="Q15" s="213">
        <f>P15</f>
        <v>1482</v>
      </c>
      <c r="R15" s="118">
        <f>((Q15/G15)^(1/($H$2-$H$1) ))-1</f>
        <v>0.20877088686820144</v>
      </c>
      <c r="S15" s="31">
        <f t="shared" si="5"/>
        <v>7.0000000000000007E-2</v>
      </c>
      <c r="T15" s="154">
        <f t="shared" si="2"/>
        <v>1585.74</v>
      </c>
      <c r="U15" s="154">
        <f t="shared" ref="U15:AC15" si="32">T15*(1+$S15)</f>
        <v>1696.7418</v>
      </c>
      <c r="V15" s="154">
        <f t="shared" si="32"/>
        <v>1815.5137260000001</v>
      </c>
      <c r="W15" s="154">
        <f t="shared" si="32"/>
        <v>1942.5996868200002</v>
      </c>
      <c r="X15" s="154">
        <f t="shared" si="32"/>
        <v>2078.5816648974005</v>
      </c>
      <c r="Y15" s="154">
        <f t="shared" si="32"/>
        <v>2224.0823814402188</v>
      </c>
      <c r="Z15" s="154">
        <f t="shared" si="32"/>
        <v>2379.7681481410341</v>
      </c>
      <c r="AA15" s="154">
        <f t="shared" si="32"/>
        <v>2546.3519185109067</v>
      </c>
      <c r="AB15" s="154">
        <f t="shared" si="32"/>
        <v>2724.5965528066704</v>
      </c>
      <c r="AC15" s="154">
        <f t="shared" si="32"/>
        <v>2915.3183115031375</v>
      </c>
      <c r="AD15" s="138">
        <f t="shared" si="17"/>
        <v>0.12654017695532049</v>
      </c>
      <c r="AE15" s="31">
        <f t="shared" si="15"/>
        <v>0.05</v>
      </c>
      <c r="AF15" s="146">
        <f t="shared" si="1"/>
        <v>18006.377806342913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-840</v>
      </c>
      <c r="H16" s="147">
        <v>-1046</v>
      </c>
      <c r="I16" s="147">
        <v>-860</v>
      </c>
      <c r="J16" s="147">
        <v>-694</v>
      </c>
      <c r="K16" s="147">
        <v>-1013</v>
      </c>
      <c r="L16" s="147">
        <v>-1183</v>
      </c>
      <c r="M16" s="147">
        <v>-2101</v>
      </c>
      <c r="N16" s="147">
        <v>-4886</v>
      </c>
      <c r="O16" s="147">
        <v>-2659</v>
      </c>
      <c r="P16" s="147">
        <v>-1448</v>
      </c>
      <c r="Q16" s="213">
        <f>P16</f>
        <v>-1448</v>
      </c>
      <c r="R16" s="118">
        <f>((Q16/G16)^(1/($H$2-$H$1) ))-1</f>
        <v>6.2371927448137798E-2</v>
      </c>
      <c r="S16" s="31">
        <f t="shared" si="5"/>
        <v>7.0000000000000007E-2</v>
      </c>
      <c r="T16" s="154">
        <f t="shared" si="2"/>
        <v>-1549.3600000000001</v>
      </c>
      <c r="U16" s="154">
        <f t="shared" ref="U16:AC16" si="33">T16*(1+$S16)</f>
        <v>-1657.8152000000002</v>
      </c>
      <c r="V16" s="154">
        <f t="shared" si="33"/>
        <v>-1773.8622640000003</v>
      </c>
      <c r="W16" s="154">
        <f t="shared" si="33"/>
        <v>-1898.0326224800006</v>
      </c>
      <c r="X16" s="154">
        <f t="shared" si="33"/>
        <v>-2030.8949060536006</v>
      </c>
      <c r="Y16" s="154">
        <f t="shared" si="33"/>
        <v>-2173.0575494773529</v>
      </c>
      <c r="Z16" s="154">
        <f t="shared" si="33"/>
        <v>-2325.1715779407677</v>
      </c>
      <c r="AA16" s="154">
        <f t="shared" si="33"/>
        <v>-2487.9335883966214</v>
      </c>
      <c r="AB16" s="154">
        <f t="shared" si="33"/>
        <v>-2662.0889395843851</v>
      </c>
      <c r="AC16" s="154">
        <f t="shared" si="33"/>
        <v>-2848.4351653552922</v>
      </c>
      <c r="AD16" s="138">
        <f t="shared" si="17"/>
        <v>6.2958606451219534E-2</v>
      </c>
      <c r="AE16" s="31">
        <f t="shared" si="15"/>
        <v>0.05</v>
      </c>
      <c r="AF16" s="146">
        <f t="shared" si="1"/>
        <v>-17593.2760213121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571</v>
      </c>
      <c r="H18" s="147">
        <v>675</v>
      </c>
      <c r="I18" s="147">
        <v>949</v>
      </c>
      <c r="J18" s="147">
        <v>1165</v>
      </c>
      <c r="K18" s="147">
        <v>1156</v>
      </c>
      <c r="L18" s="147">
        <v>1573</v>
      </c>
      <c r="M18" s="147">
        <v>1658</v>
      </c>
      <c r="N18" s="147">
        <v>4080</v>
      </c>
      <c r="O18" s="147">
        <v>3785</v>
      </c>
      <c r="P18" s="147">
        <v>3070</v>
      </c>
      <c r="Q18" s="213">
        <f>P18</f>
        <v>3070</v>
      </c>
      <c r="R18" s="118">
        <f>((Q18/G18)^(1/($H$2-$H$1) ))-1</f>
        <v>0.20549917800645523</v>
      </c>
      <c r="S18" s="31">
        <f t="shared" si="5"/>
        <v>7.0000000000000007E-2</v>
      </c>
      <c r="T18" s="154">
        <f t="shared" si="2"/>
        <v>3284.9</v>
      </c>
      <c r="U18" s="154">
        <f t="shared" ref="U18:U34" si="34">T18*(1+$S18)</f>
        <v>3514.8430000000003</v>
      </c>
      <c r="V18" s="154">
        <f t="shared" ref="V18:V34" si="35">U18*(1+$S18)</f>
        <v>3760.8820100000007</v>
      </c>
      <c r="W18" s="154">
        <f t="shared" ref="W18:W34" si="36">V18*(1+$S18)</f>
        <v>4024.143750700001</v>
      </c>
      <c r="X18" s="154">
        <f t="shared" ref="X18:X36" si="37">W18*(1+$S18)</f>
        <v>4305.8338132490017</v>
      </c>
      <c r="Y18" s="154">
        <f t="shared" ref="Y18:Y36" si="38">X18*(1+$S18)</f>
        <v>4607.2421801764322</v>
      </c>
      <c r="Z18" s="154">
        <f t="shared" ref="Z18:Z36" si="39">Y18*(1+$S18)</f>
        <v>4929.7491327887828</v>
      </c>
      <c r="AA18" s="154">
        <f t="shared" ref="AA18:AA36" si="40">Z18*(1+$S18)</f>
        <v>5274.8315720839983</v>
      </c>
      <c r="AB18" s="154">
        <f t="shared" ref="AB18:AB36" si="41">AA18*(1+$S18)</f>
        <v>5644.0697821298781</v>
      </c>
      <c r="AC18" s="154">
        <f t="shared" ref="AC18:AC36" si="42">AB18*(1+$S18)</f>
        <v>6039.1546668789697</v>
      </c>
      <c r="AD18" s="138">
        <f t="shared" si="17"/>
        <v>0.125167041292648</v>
      </c>
      <c r="AE18" s="31">
        <f t="shared" si="15"/>
        <v>0.05</v>
      </c>
      <c r="AF18" s="146">
        <f t="shared" si="1"/>
        <v>37300.661177781876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973</v>
      </c>
      <c r="H20" s="147">
        <v>746</v>
      </c>
      <c r="I20" s="147">
        <v>936</v>
      </c>
      <c r="J20" s="147">
        <v>625</v>
      </c>
      <c r="K20" s="147">
        <v>1211</v>
      </c>
      <c r="L20" s="147">
        <v>1359</v>
      </c>
      <c r="M20" s="147">
        <v>2686</v>
      </c>
      <c r="N20" s="147">
        <v>2288</v>
      </c>
      <c r="O20" s="147">
        <v>2359</v>
      </c>
      <c r="P20" s="147">
        <v>1890</v>
      </c>
      <c r="Q20" s="213">
        <f>P20</f>
        <v>1890</v>
      </c>
      <c r="R20" s="118">
        <f>((Q20/G20)^(1/($H$2-$H$1) ))-1</f>
        <v>7.6561324625040728E-2</v>
      </c>
      <c r="S20" s="31">
        <f t="shared" si="5"/>
        <v>7.0000000000000007E-2</v>
      </c>
      <c r="T20" s="154">
        <f t="shared" si="2"/>
        <v>2022.3000000000002</v>
      </c>
      <c r="U20" s="154">
        <f t="shared" ref="U20:U22" si="43">T20*(1+$S20)</f>
        <v>2163.8610000000003</v>
      </c>
      <c r="V20" s="154">
        <f t="shared" ref="V20:V22" si="44">U20*(1+$S20)</f>
        <v>2315.3312700000006</v>
      </c>
      <c r="W20" s="154">
        <f t="shared" ref="W20:W22" si="45">V20*(1+$S20)</f>
        <v>2477.4044589000009</v>
      </c>
      <c r="X20" s="154">
        <f t="shared" ref="X20:X22" si="46">W20*(1+$S20)</f>
        <v>2650.8227710230012</v>
      </c>
      <c r="Y20" s="154">
        <f t="shared" ref="Y20:Y22" si="47">X20*(1+$S20)</f>
        <v>2836.3803649946117</v>
      </c>
      <c r="Z20" s="154">
        <f t="shared" ref="Z20:Z22" si="48">Y20*(1+$S20)</f>
        <v>3034.9269905442347</v>
      </c>
      <c r="AA20" s="154">
        <f t="shared" ref="AA20:AA22" si="49">Z20*(1+$S20)</f>
        <v>3247.3718798823315</v>
      </c>
      <c r="AB20" s="154">
        <f t="shared" ref="AB20:AB22" si="50">AA20*(1+$S20)</f>
        <v>3474.687911474095</v>
      </c>
      <c r="AC20" s="154">
        <f t="shared" ref="AC20:AC22" si="51">AB20*(1+$S20)</f>
        <v>3717.9160652772821</v>
      </c>
      <c r="AD20" s="138">
        <f t="shared" ref="AD20:AD22" si="52">((AC20/G20)^(1/($AC$3-$H$1) ))-1</f>
        <v>6.9324056045170446E-2</v>
      </c>
      <c r="AE20" s="31">
        <f t="shared" si="15"/>
        <v>0.05</v>
      </c>
      <c r="AF20" s="146">
        <f t="shared" si="1"/>
        <v>22963.599226712628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-376</v>
      </c>
      <c r="H21" s="147">
        <v>-562</v>
      </c>
      <c r="I21" s="147">
        <v>-323</v>
      </c>
      <c r="J21" s="147">
        <v>-273</v>
      </c>
      <c r="K21" s="147">
        <v>-781</v>
      </c>
      <c r="L21" s="147">
        <v>-861</v>
      </c>
      <c r="M21" s="147">
        <v>-527</v>
      </c>
      <c r="N21" s="147">
        <v>-1322</v>
      </c>
      <c r="O21" s="147">
        <v>93</v>
      </c>
      <c r="P21" s="147">
        <v>-733</v>
      </c>
      <c r="Q21" s="213">
        <f>P21</f>
        <v>-733</v>
      </c>
      <c r="R21" s="118">
        <f>((Q21/G21)^(1/($H$2-$H$1) ))-1</f>
        <v>7.6993056355493472E-2</v>
      </c>
      <c r="S21" s="31">
        <f t="shared" si="5"/>
        <v>7.0000000000000007E-2</v>
      </c>
      <c r="T21" s="154">
        <f t="shared" si="2"/>
        <v>-784.31000000000006</v>
      </c>
      <c r="U21" s="154">
        <f t="shared" si="43"/>
        <v>-839.21170000000006</v>
      </c>
      <c r="V21" s="154">
        <f t="shared" si="44"/>
        <v>-897.95651900000007</v>
      </c>
      <c r="W21" s="154">
        <f t="shared" si="45"/>
        <v>-960.81347533000019</v>
      </c>
      <c r="X21" s="154">
        <f t="shared" si="46"/>
        <v>-1028.0704186031003</v>
      </c>
      <c r="Y21" s="154">
        <f t="shared" si="47"/>
        <v>-1100.0353479053174</v>
      </c>
      <c r="Z21" s="154">
        <f t="shared" si="48"/>
        <v>-1177.0378222586896</v>
      </c>
      <c r="AA21" s="154">
        <f t="shared" si="49"/>
        <v>-1259.430469816798</v>
      </c>
      <c r="AB21" s="154">
        <f t="shared" si="50"/>
        <v>-1347.5906027039739</v>
      </c>
      <c r="AC21" s="154">
        <f t="shared" si="51"/>
        <v>-1441.9219448932522</v>
      </c>
      <c r="AD21" s="138">
        <f t="shared" si="52"/>
        <v>6.9517007988846302E-2</v>
      </c>
      <c r="AE21" s="31">
        <f t="shared" si="15"/>
        <v>0.05</v>
      </c>
      <c r="AF21" s="146">
        <f t="shared" si="1"/>
        <v>-8905.9884831642048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-583</v>
      </c>
      <c r="H22" s="147">
        <v>-203</v>
      </c>
      <c r="I22" s="147">
        <v>-471</v>
      </c>
      <c r="J22" s="147">
        <v>-474</v>
      </c>
      <c r="K22" s="147">
        <v>-432</v>
      </c>
      <c r="L22" s="147">
        <v>-500</v>
      </c>
      <c r="M22" s="147">
        <v>-2109</v>
      </c>
      <c r="N22" s="147">
        <v>-990</v>
      </c>
      <c r="O22" s="147">
        <v>-2458</v>
      </c>
      <c r="P22" s="147">
        <v>-1056</v>
      </c>
      <c r="Q22" s="213">
        <f>P22</f>
        <v>-1056</v>
      </c>
      <c r="R22" s="118">
        <f>((Q22/G22)^(1/($H$2-$H$1) ))-1</f>
        <v>6.8233396917228184E-2</v>
      </c>
      <c r="S22" s="31">
        <f t="shared" si="5"/>
        <v>7.0000000000000007E-2</v>
      </c>
      <c r="T22" s="154">
        <f t="shared" si="2"/>
        <v>-1129.92</v>
      </c>
      <c r="U22" s="154">
        <f t="shared" si="43"/>
        <v>-1209.0144000000003</v>
      </c>
      <c r="V22" s="154">
        <f t="shared" si="44"/>
        <v>-1293.6454080000003</v>
      </c>
      <c r="W22" s="154">
        <f t="shared" si="45"/>
        <v>-1384.2005865600004</v>
      </c>
      <c r="X22" s="154">
        <f t="shared" si="46"/>
        <v>-1481.0946276192005</v>
      </c>
      <c r="Y22" s="154">
        <f t="shared" si="47"/>
        <v>-1584.7712515525448</v>
      </c>
      <c r="Z22" s="154">
        <f t="shared" si="48"/>
        <v>-1695.7052391612231</v>
      </c>
      <c r="AA22" s="154">
        <f t="shared" si="49"/>
        <v>-1814.4046059025088</v>
      </c>
      <c r="AB22" s="154">
        <f t="shared" si="50"/>
        <v>-1941.4129283156844</v>
      </c>
      <c r="AC22" s="154">
        <f t="shared" si="51"/>
        <v>-2077.3118332977824</v>
      </c>
      <c r="AD22" s="138">
        <f t="shared" si="52"/>
        <v>6.5593731443906567E-2</v>
      </c>
      <c r="AE22" s="31">
        <f t="shared" si="15"/>
        <v>0.05</v>
      </c>
      <c r="AF22" s="146">
        <f t="shared" si="1"/>
        <v>-12830.455440956892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37</v>
      </c>
      <c r="H23" s="147">
        <v>18</v>
      </c>
      <c r="I23" s="147">
        <v>159</v>
      </c>
      <c r="J23" s="147">
        <v>36</v>
      </c>
      <c r="K23" s="147">
        <v>15</v>
      </c>
      <c r="L23" s="147">
        <v>13</v>
      </c>
      <c r="M23" s="147">
        <v>63</v>
      </c>
      <c r="N23" s="147">
        <v>39</v>
      </c>
      <c r="O23" s="147">
        <v>34</v>
      </c>
      <c r="P23" s="147">
        <v>135</v>
      </c>
      <c r="Q23" s="213">
        <f>P23</f>
        <v>135</v>
      </c>
      <c r="R23" s="118">
        <f>((Q23/G23)^(1/($H$2-$H$1) ))-1</f>
        <v>0.15467328003964376</v>
      </c>
      <c r="S23" s="31">
        <f t="shared" si="5"/>
        <v>7.0000000000000007E-2</v>
      </c>
      <c r="T23" s="154">
        <f t="shared" si="2"/>
        <v>144.45000000000002</v>
      </c>
      <c r="U23" s="154">
        <f t="shared" ref="U23" si="53">T23*(1+$S23)</f>
        <v>154.56150000000002</v>
      </c>
      <c r="V23" s="154">
        <f t="shared" ref="V23" si="54">U23*(1+$S23)</f>
        <v>165.38080500000004</v>
      </c>
      <c r="W23" s="154">
        <f t="shared" ref="W23" si="55">V23*(1+$S23)</f>
        <v>176.95746135000005</v>
      </c>
      <c r="X23" s="154">
        <f t="shared" ref="X23" si="56">W23*(1+$S23)</f>
        <v>189.34448364450006</v>
      </c>
      <c r="Y23" s="154">
        <f t="shared" ref="Y23" si="57">X23*(1+$S23)</f>
        <v>202.59859749961507</v>
      </c>
      <c r="Z23" s="154">
        <f t="shared" ref="Z23" si="58">Y23*(1+$S23)</f>
        <v>216.78049932458813</v>
      </c>
      <c r="AA23" s="154">
        <f t="shared" ref="AA23" si="59">Z23*(1+$S23)</f>
        <v>231.95513427730933</v>
      </c>
      <c r="AB23" s="154">
        <f t="shared" ref="AB23" si="60">AA23*(1+$S23)</f>
        <v>248.19199367672098</v>
      </c>
      <c r="AC23" s="154">
        <f t="shared" ref="AC23" si="61">AB23*(1+$S23)</f>
        <v>265.56543323409147</v>
      </c>
      <c r="AD23" s="138">
        <f t="shared" ref="AD23" si="62">((AC23/G23)^(1/($AC$3-$H$1) ))-1</f>
        <v>0.10356645566698885</v>
      </c>
      <c r="AE23" s="31">
        <f t="shared" si="15"/>
        <v>0.05</v>
      </c>
      <c r="AF23" s="146">
        <f t="shared" si="1"/>
        <v>1640.2570876223299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5983</v>
      </c>
      <c r="H25" s="147">
        <v>7581</v>
      </c>
      <c r="I25" s="147">
        <v>8894</v>
      </c>
      <c r="J25" s="147">
        <v>10106</v>
      </c>
      <c r="K25" s="147">
        <v>10547</v>
      </c>
      <c r="L25" s="147">
        <v>12569</v>
      </c>
      <c r="M25" s="147">
        <v>16118</v>
      </c>
      <c r="N25" s="147">
        <v>19632</v>
      </c>
      <c r="O25" s="147">
        <v>24028</v>
      </c>
      <c r="P25" s="147">
        <v>24166</v>
      </c>
      <c r="Q25" s="213">
        <f>25275.47+444.19</f>
        <v>25719.66</v>
      </c>
      <c r="R25" s="118">
        <f>((Q25/G25)^(1/($H$2-$H$1) ))-1</f>
        <v>0.17590382285246897</v>
      </c>
      <c r="S25" s="31">
        <f t="shared" si="5"/>
        <v>7.0000000000000007E-2</v>
      </c>
      <c r="T25" s="154">
        <f t="shared" si="2"/>
        <v>27520.036200000002</v>
      </c>
      <c r="U25" s="154">
        <f t="shared" si="34"/>
        <v>29446.438734000003</v>
      </c>
      <c r="V25" s="154">
        <f t="shared" si="35"/>
        <v>31507.689445380005</v>
      </c>
      <c r="W25" s="154">
        <f t="shared" si="36"/>
        <v>33713.227706556609</v>
      </c>
      <c r="X25" s="154">
        <f t="shared" si="37"/>
        <v>36073.153646015577</v>
      </c>
      <c r="Y25" s="154">
        <f t="shared" si="38"/>
        <v>38598.274401236667</v>
      </c>
      <c r="Z25" s="154">
        <f t="shared" si="39"/>
        <v>41300.153609323235</v>
      </c>
      <c r="AA25" s="154">
        <f t="shared" si="40"/>
        <v>44191.164361975862</v>
      </c>
      <c r="AB25" s="154">
        <f t="shared" si="41"/>
        <v>47284.545867314177</v>
      </c>
      <c r="AC25" s="154">
        <f t="shared" si="42"/>
        <v>50594.464078026169</v>
      </c>
      <c r="AD25" s="138">
        <f t="shared" si="17"/>
        <v>0.11265160787654116</v>
      </c>
      <c r="AE25" s="31">
        <f t="shared" si="15"/>
        <v>0.05</v>
      </c>
      <c r="AF25" s="146">
        <f t="shared" si="1"/>
        <v>312495.2193054558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0.21079013322780635</v>
      </c>
      <c r="I26" s="148">
        <f t="shared" ref="I26" si="63">(I25-H25)/I25</f>
        <v>0.14762761412187991</v>
      </c>
      <c r="J26" s="148">
        <f t="shared" ref="J26" si="64">(J25-I25)/J25</f>
        <v>0.11992875519493371</v>
      </c>
      <c r="K26" s="148">
        <f t="shared" ref="K26" si="65">(K25-J25)/K25</f>
        <v>4.1812837773774536E-2</v>
      </c>
      <c r="L26" s="148">
        <f t="shared" ref="L26" si="66">(L25-K25)/L25</f>
        <v>0.16087198663378152</v>
      </c>
      <c r="M26" s="148">
        <f t="shared" ref="M26" si="67">(M25-L25)/M25</f>
        <v>0.22018860900856185</v>
      </c>
      <c r="N26" s="148">
        <f t="shared" ref="N26" si="68">(N25-M25)/N25</f>
        <v>0.17899348003259985</v>
      </c>
      <c r="O26" s="148">
        <f t="shared" ref="O26" si="69">(O25-N25)/O25</f>
        <v>0.18295322124188446</v>
      </c>
      <c r="P26" s="148">
        <f t="shared" ref="P26:Q26" si="70">(P25-O25)/P25</f>
        <v>5.7105023586857566E-3</v>
      </c>
      <c r="Q26" s="215">
        <f t="shared" si="70"/>
        <v>6.0407485946548274E-2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4814</v>
      </c>
      <c r="H27" s="147">
        <v>6257</v>
      </c>
      <c r="I27" s="147">
        <v>7352</v>
      </c>
      <c r="J27" s="147">
        <v>8707</v>
      </c>
      <c r="K27" s="147">
        <v>8963</v>
      </c>
      <c r="L27" s="147">
        <v>10594</v>
      </c>
      <c r="M27" s="147">
        <v>13084</v>
      </c>
      <c r="N27" s="147">
        <v>16796</v>
      </c>
      <c r="O27" s="147">
        <v>20032</v>
      </c>
      <c r="P27" s="147">
        <v>20446</v>
      </c>
      <c r="Q27" s="213">
        <v>21625</v>
      </c>
      <c r="R27" s="118">
        <f>((Q27/G27)^(1/($H$2-$H$1) ))-1</f>
        <v>0.1816652055516037</v>
      </c>
      <c r="S27" s="31">
        <f t="shared" si="5"/>
        <v>7.0000000000000007E-2</v>
      </c>
      <c r="T27" s="154">
        <f t="shared" si="2"/>
        <v>23138.75</v>
      </c>
      <c r="U27" s="154">
        <f t="shared" si="34"/>
        <v>24758.462500000001</v>
      </c>
      <c r="V27" s="154">
        <f t="shared" si="35"/>
        <v>26491.554875000002</v>
      </c>
      <c r="W27" s="154">
        <f t="shared" si="36"/>
        <v>28345.963716250004</v>
      </c>
      <c r="X27" s="154">
        <f t="shared" si="37"/>
        <v>30330.181176387505</v>
      </c>
      <c r="Y27" s="154">
        <f t="shared" si="38"/>
        <v>32453.293858734633</v>
      </c>
      <c r="Z27" s="154">
        <f t="shared" si="39"/>
        <v>34725.02442884606</v>
      </c>
      <c r="AA27" s="154">
        <f t="shared" si="40"/>
        <v>37155.776138865287</v>
      </c>
      <c r="AB27" s="154">
        <f t="shared" si="41"/>
        <v>39756.680468585859</v>
      </c>
      <c r="AC27" s="154">
        <f t="shared" si="42"/>
        <v>42539.648101386869</v>
      </c>
      <c r="AD27" s="138">
        <f t="shared" si="17"/>
        <v>0.11510147518971614</v>
      </c>
      <c r="AE27" s="31">
        <f t="shared" si="15"/>
        <v>0.05</v>
      </c>
      <c r="AF27" s="146">
        <f t="shared" si="1"/>
        <v>262744.88533209538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0.2306217036918651</v>
      </c>
      <c r="I28" s="148">
        <f t="shared" si="71"/>
        <v>0.14893906420021763</v>
      </c>
      <c r="J28" s="148">
        <f t="shared" si="71"/>
        <v>0.15562191340300907</v>
      </c>
      <c r="K28" s="148">
        <f t="shared" si="71"/>
        <v>2.8561865446836997E-2</v>
      </c>
      <c r="L28" s="148">
        <f t="shared" si="71"/>
        <v>0.15395506890692845</v>
      </c>
      <c r="M28" s="148">
        <f t="shared" si="71"/>
        <v>0.19030877407520636</v>
      </c>
      <c r="N28" s="148">
        <f t="shared" ref="N28" si="72">(N27-M27)/N27</f>
        <v>0.22100500119075969</v>
      </c>
      <c r="O28" s="148">
        <f t="shared" ref="O28" si="73">(O27-N27)/O27</f>
        <v>0.16154153354632589</v>
      </c>
      <c r="P28" s="148">
        <f t="shared" ref="P28:Q28" si="74">(P27-O27)/P27</f>
        <v>2.0248459356353322E-2</v>
      </c>
      <c r="Q28" s="215">
        <f t="shared" si="74"/>
        <v>5.4520231213872831E-2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23</v>
      </c>
      <c r="H29" s="147">
        <v>18</v>
      </c>
      <c r="I29" s="147">
        <v>16</v>
      </c>
      <c r="J29" s="147">
        <v>14</v>
      </c>
      <c r="K29" s="147">
        <v>14</v>
      </c>
      <c r="L29" s="147">
        <v>13</v>
      </c>
      <c r="M29" s="147">
        <v>11</v>
      </c>
      <c r="N29" s="147">
        <v>28</v>
      </c>
      <c r="O29" s="147">
        <v>33</v>
      </c>
      <c r="P29" s="147">
        <v>12</v>
      </c>
      <c r="Q29" s="213">
        <v>11.91</v>
      </c>
      <c r="R29" s="118">
        <f>((Q29/G29)^(1/($H$2-$H$1) ))-1</f>
        <v>-7.0514416038292449E-2</v>
      </c>
      <c r="S29" s="31">
        <f t="shared" si="5"/>
        <v>7.0000000000000007E-2</v>
      </c>
      <c r="T29" s="154">
        <f t="shared" si="2"/>
        <v>12.7437</v>
      </c>
      <c r="U29" s="154">
        <f t="shared" ref="U29" si="75">T29*(1+$S29)</f>
        <v>13.635759000000002</v>
      </c>
      <c r="V29" s="154">
        <f t="shared" ref="V29" si="76">U29*(1+$S29)</f>
        <v>14.590262130000003</v>
      </c>
      <c r="W29" s="154">
        <f t="shared" ref="W29" si="77">V29*(1+$S29)</f>
        <v>15.611580479100004</v>
      </c>
      <c r="X29" s="154">
        <f t="shared" ref="X29" si="78">W29*(1+$S29)</f>
        <v>16.704391112637005</v>
      </c>
      <c r="Y29" s="154">
        <f t="shared" ref="Y29" si="79">X29*(1+$S29)</f>
        <v>17.873698490521598</v>
      </c>
      <c r="Z29" s="154">
        <f t="shared" ref="Z29" si="80">Y29*(1+$S29)</f>
        <v>19.12485738485811</v>
      </c>
      <c r="AA29" s="154">
        <f t="shared" ref="AA29" si="81">Z29*(1+$S29)</f>
        <v>20.463597401798179</v>
      </c>
      <c r="AB29" s="154">
        <f t="shared" ref="AB29" si="82">AA29*(1+$S29)</f>
        <v>21.896049219924052</v>
      </c>
      <c r="AC29" s="154">
        <f t="shared" ref="AC29" si="83">AB29*(1+$S29)</f>
        <v>23.428772665318736</v>
      </c>
      <c r="AD29" s="138">
        <f t="shared" ref="AD29" si="84">((AC29/G29)^(1/($AC$3-$H$1) ))-1</f>
        <v>9.2395919636256707E-4</v>
      </c>
      <c r="AE29" s="31">
        <f t="shared" si="15"/>
        <v>0.05</v>
      </c>
      <c r="AF29" s="146">
        <f t="shared" ref="AF29" si="85">(AC29*(1+AE29))/($C$1-AE29)</f>
        <v>144.70712528579222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-0.27777777777777779</v>
      </c>
      <c r="I30" s="148">
        <f t="shared" si="86"/>
        <v>-0.125</v>
      </c>
      <c r="J30" s="148">
        <f t="shared" si="86"/>
        <v>-0.14285714285714285</v>
      </c>
      <c r="K30" s="148">
        <f t="shared" si="86"/>
        <v>0</v>
      </c>
      <c r="L30" s="148">
        <f t="shared" si="86"/>
        <v>-7.6923076923076927E-2</v>
      </c>
      <c r="M30" s="148">
        <f t="shared" ref="M30" si="87">(M29-L29)/M29</f>
        <v>-0.18181818181818182</v>
      </c>
      <c r="N30" s="148">
        <f t="shared" ref="N30" si="88">(N29-M29)/N29</f>
        <v>0.6071428571428571</v>
      </c>
      <c r="O30" s="148">
        <f t="shared" ref="O30" si="89">(O29-N29)/O29</f>
        <v>0.15151515151515152</v>
      </c>
      <c r="P30" s="148">
        <f t="shared" ref="P30:Q30" si="90">(P29-O29)/P29</f>
        <v>-1.75</v>
      </c>
      <c r="Q30" s="215">
        <f t="shared" si="90"/>
        <v>-7.5566750629722798E-3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3"/>
      <c r="R31" s="118" t="e">
        <f>((Q31/G31)^(1/($H$2-$H$1) ))-1</f>
        <v>#DIV/0!</v>
      </c>
      <c r="S31" s="31">
        <f t="shared" si="5"/>
        <v>7.0000000000000007E-2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3"/>
      <c r="R32" s="118" t="e">
        <f>((Q32/G32)^(1/($H$2-$H$1) ))-1</f>
        <v>#DIV/0!</v>
      </c>
      <c r="S32" s="31">
        <f t="shared" si="5"/>
        <v>7.0000000000000007E-2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213"/>
      <c r="R33" s="118" t="e">
        <f>((Q33/G33)^(1/($H$2-$H$1) ))-1</f>
        <v>#DIV/0!</v>
      </c>
      <c r="S33" s="31">
        <f t="shared" si="5"/>
        <v>7.0000000000000007E-2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213"/>
      <c r="R34" s="118" t="e">
        <f>((Q34/G34)^(1/($H$2-$H$1) ))-1</f>
        <v>#DIV/0!</v>
      </c>
      <c r="S34" s="31">
        <f t="shared" si="5"/>
        <v>7.0000000000000007E-2</v>
      </c>
      <c r="T34" s="154">
        <f t="shared" si="2"/>
        <v>0</v>
      </c>
      <c r="U34" s="154">
        <f t="shared" si="34"/>
        <v>0</v>
      </c>
      <c r="V34" s="154">
        <f t="shared" si="35"/>
        <v>0</v>
      </c>
      <c r="W34" s="154">
        <f t="shared" si="36"/>
        <v>0</v>
      </c>
      <c r="X34" s="154">
        <f t="shared" si="37"/>
        <v>0</v>
      </c>
      <c r="Y34" s="154">
        <f t="shared" si="38"/>
        <v>0</v>
      </c>
      <c r="Z34" s="154">
        <f t="shared" si="39"/>
        <v>0</v>
      </c>
      <c r="AA34" s="154">
        <f t="shared" si="40"/>
        <v>0</v>
      </c>
      <c r="AB34" s="154">
        <f t="shared" si="41"/>
        <v>0</v>
      </c>
      <c r="AC34" s="154">
        <f t="shared" si="42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1002</v>
      </c>
      <c r="H36" s="147">
        <v>1186</v>
      </c>
      <c r="I36" s="147">
        <v>1382</v>
      </c>
      <c r="J36" s="147">
        <v>1201</v>
      </c>
      <c r="K36" s="147">
        <v>1367</v>
      </c>
      <c r="L36" s="147">
        <v>1753</v>
      </c>
      <c r="M36" s="147">
        <v>2743</v>
      </c>
      <c r="N36" s="147">
        <v>2597</v>
      </c>
      <c r="O36" s="147">
        <v>3648</v>
      </c>
      <c r="P36" s="147">
        <v>3321</v>
      </c>
      <c r="Q36" s="213"/>
      <c r="R36" s="118">
        <f>((Q36/G36)^(1/($H$2-$H$1) ))-1</f>
        <v>-1</v>
      </c>
      <c r="S36" s="31">
        <f t="shared" si="5"/>
        <v>7.0000000000000007E-2</v>
      </c>
      <c r="T36" s="154">
        <f t="shared" si="2"/>
        <v>0</v>
      </c>
      <c r="U36" s="154">
        <f t="shared" ref="U36" si="94">T36*(1+$S36)</f>
        <v>0</v>
      </c>
      <c r="V36" s="154">
        <f t="shared" ref="V36" si="95">U36*(1+$S36)</f>
        <v>0</v>
      </c>
      <c r="W36" s="154">
        <f t="shared" ref="W36" si="96">V36*(1+$S36)</f>
        <v>0</v>
      </c>
      <c r="X36" s="154">
        <f t="shared" si="37"/>
        <v>0</v>
      </c>
      <c r="Y36" s="154">
        <f t="shared" si="38"/>
        <v>0</v>
      </c>
      <c r="Z36" s="154">
        <f t="shared" si="39"/>
        <v>0</v>
      </c>
      <c r="AA36" s="154">
        <f t="shared" si="40"/>
        <v>0</v>
      </c>
      <c r="AB36" s="154">
        <f t="shared" si="41"/>
        <v>0</v>
      </c>
      <c r="AC36" s="154">
        <f t="shared" si="42"/>
        <v>0</v>
      </c>
      <c r="AD36" s="138">
        <f t="shared" si="17"/>
        <v>-1</v>
      </c>
      <c r="AE36" s="31">
        <f t="shared" si="15"/>
        <v>0.05</v>
      </c>
      <c r="AF36" s="146">
        <f t="shared" si="1"/>
        <v>0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0.1551433389544688</v>
      </c>
      <c r="I37" s="148">
        <f t="shared" ref="I37" si="99">(I36-H36)/I36</f>
        <v>0.14182344428364688</v>
      </c>
      <c r="J37" s="148">
        <f t="shared" ref="J37" si="100">(J36-I36)/J36</f>
        <v>-0.15070774354704414</v>
      </c>
      <c r="K37" s="148">
        <f t="shared" ref="K37" si="101">(K36-J36)/K36</f>
        <v>0.12143379663496708</v>
      </c>
      <c r="L37" s="148">
        <f t="shared" ref="L37" si="102">(L36-K36)/L36</f>
        <v>0.22019395322304622</v>
      </c>
      <c r="M37" s="148">
        <f t="shared" ref="M37" si="103">(M36-L36)/M36</f>
        <v>0.36091870215092964</v>
      </c>
      <c r="N37" s="148">
        <f t="shared" ref="N37" si="104">(N36-M36)/N36</f>
        <v>-5.6218713900654603E-2</v>
      </c>
      <c r="O37" s="148">
        <f t="shared" ref="O37" si="105">(O36-N36)/O36</f>
        <v>0.28810307017543857</v>
      </c>
      <c r="P37" s="148">
        <f t="shared" ref="P37:Q37" si="106">(P36-O36)/P36</f>
        <v>-9.8464317976513102E-2</v>
      </c>
      <c r="Q37" s="215" t="e">
        <f t="shared" si="106"/>
        <v>#DIV/0!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1072</v>
      </c>
      <c r="H38" s="147">
        <v>1217</v>
      </c>
      <c r="I38" s="147">
        <v>1412</v>
      </c>
      <c r="J38" s="147">
        <v>1246</v>
      </c>
      <c r="K38" s="147">
        <v>1410</v>
      </c>
      <c r="L38" s="147">
        <v>1781</v>
      </c>
      <c r="M38" s="147">
        <v>2831</v>
      </c>
      <c r="N38" s="147">
        <v>2404</v>
      </c>
      <c r="O38" s="147">
        <v>2864</v>
      </c>
      <c r="P38" s="147">
        <v>2566</v>
      </c>
      <c r="Q38" s="213">
        <v>2864</v>
      </c>
      <c r="R38" s="118">
        <f>((Q38/G38)^(1/($H$2-$H$1) ))-1</f>
        <v>0.11537216760869451</v>
      </c>
      <c r="S38" s="31">
        <f t="shared" si="5"/>
        <v>7.0000000000000007E-2</v>
      </c>
      <c r="T38" s="154">
        <f t="shared" si="2"/>
        <v>3064.48</v>
      </c>
      <c r="U38" s="154">
        <f t="shared" ref="U38" si="107">T38*(1+$S38)</f>
        <v>3278.9936000000002</v>
      </c>
      <c r="V38" s="154">
        <f t="shared" ref="V38" si="108">U38*(1+$S38)</f>
        <v>3508.5231520000007</v>
      </c>
      <c r="W38" s="154">
        <f t="shared" ref="W38" si="109">V38*(1+$S38)</f>
        <v>3754.119772640001</v>
      </c>
      <c r="X38" s="154">
        <f t="shared" ref="X38" si="110">W38*(1+$S38)</f>
        <v>4016.9081567248013</v>
      </c>
      <c r="Y38" s="154">
        <f t="shared" ref="Y38" si="111">X38*(1+$S38)</f>
        <v>4298.0917276955379</v>
      </c>
      <c r="Z38" s="154">
        <f t="shared" ref="Z38" si="112">Y38*(1+$S38)</f>
        <v>4598.9581486342258</v>
      </c>
      <c r="AA38" s="154">
        <f t="shared" ref="AA38" si="113">Z38*(1+$S38)</f>
        <v>4920.8852190386224</v>
      </c>
      <c r="AB38" s="154">
        <f t="shared" ref="AB38" si="114">AA38*(1+$S38)</f>
        <v>5265.347184371326</v>
      </c>
      <c r="AC38" s="154">
        <f t="shared" ref="AC38" si="115">AB38*(1+$S38)</f>
        <v>5633.9214872773191</v>
      </c>
      <c r="AD38" s="138">
        <f t="shared" ref="AD38" si="116">((AC38/G38)^(1/($AC$3-$H$1) ))-1</f>
        <v>8.6502675884441604E-2</v>
      </c>
      <c r="AE38" s="31">
        <f t="shared" si="15"/>
        <v>0.05</v>
      </c>
      <c r="AF38" s="146">
        <f t="shared" ref="AF38" si="117">(AC38*(1+AE38))/($C$1-AE38)</f>
        <v>34797.750362595216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0.11914543960558752</v>
      </c>
      <c r="I39" s="148">
        <f t="shared" ref="I39" si="120">(I38-H38)/I38</f>
        <v>0.13810198300283286</v>
      </c>
      <c r="J39" s="148">
        <f t="shared" ref="J39" si="121">(J38-I38)/J38</f>
        <v>-0.1332263242375602</v>
      </c>
      <c r="K39" s="148">
        <f t="shared" ref="K39" si="122">(K38-J38)/K38</f>
        <v>0.11631205673758865</v>
      </c>
      <c r="L39" s="148">
        <f t="shared" ref="L39" si="123">(L38-K38)/L38</f>
        <v>0.20830993823694555</v>
      </c>
      <c r="M39" s="148">
        <f t="shared" ref="M39" si="124">(M38-L38)/M38</f>
        <v>0.37089367714588484</v>
      </c>
      <c r="N39" s="148">
        <f t="shared" ref="N39" si="125">(N38-M38)/N38</f>
        <v>-0.17762063227953412</v>
      </c>
      <c r="O39" s="148">
        <f t="shared" ref="O39" si="126">(O38-N38)/O38</f>
        <v>0.16061452513966482</v>
      </c>
      <c r="P39" s="148">
        <f t="shared" ref="P39:Q39" si="127">(P38-O38)/P38</f>
        <v>-0.11613406079501169</v>
      </c>
      <c r="Q39" s="215">
        <f t="shared" si="127"/>
        <v>0.10405027932960893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728</v>
      </c>
      <c r="H40" s="147">
        <v>810</v>
      </c>
      <c r="I40" s="147">
        <v>971</v>
      </c>
      <c r="J40" s="147">
        <v>858</v>
      </c>
      <c r="K40" s="147">
        <v>968</v>
      </c>
      <c r="L40" s="147">
        <v>1281</v>
      </c>
      <c r="M40" s="147">
        <v>2231</v>
      </c>
      <c r="N40" s="147">
        <v>1927</v>
      </c>
      <c r="O40" s="147">
        <v>2378</v>
      </c>
      <c r="P40" s="147">
        <v>2118</v>
      </c>
      <c r="Q40" s="213">
        <v>2105</v>
      </c>
      <c r="R40" s="118">
        <f>((Q40/G40)^(1/($H$2-$H$1) ))-1</f>
        <v>0.12521531772912509</v>
      </c>
      <c r="S40" s="31">
        <f t="shared" si="5"/>
        <v>7.0000000000000007E-2</v>
      </c>
      <c r="T40" s="154">
        <f t="shared" si="2"/>
        <v>2252.35</v>
      </c>
      <c r="U40" s="154">
        <f t="shared" ref="U40:AC40" si="128">T40*(1+$S40)</f>
        <v>2410.0145000000002</v>
      </c>
      <c r="V40" s="154">
        <f t="shared" si="128"/>
        <v>2578.7155150000003</v>
      </c>
      <c r="W40" s="154">
        <f t="shared" si="128"/>
        <v>2759.2256010500005</v>
      </c>
      <c r="X40" s="154">
        <f t="shared" si="128"/>
        <v>2952.3713931235006</v>
      </c>
      <c r="Y40" s="154">
        <f t="shared" si="128"/>
        <v>3159.037390642146</v>
      </c>
      <c r="Z40" s="154">
        <f t="shared" si="128"/>
        <v>3380.1700079870966</v>
      </c>
      <c r="AA40" s="154">
        <f t="shared" si="128"/>
        <v>3616.7819085461938</v>
      </c>
      <c r="AB40" s="154">
        <f t="shared" si="128"/>
        <v>3869.9566421444274</v>
      </c>
      <c r="AC40" s="154">
        <f t="shared" si="128"/>
        <v>4140.8536070945374</v>
      </c>
      <c r="AD40" s="138">
        <f t="shared" si="17"/>
        <v>9.0807021658839471E-2</v>
      </c>
      <c r="AE40" s="31">
        <f t="shared" si="15"/>
        <v>0.05</v>
      </c>
      <c r="AF40" s="146">
        <f t="shared" si="1"/>
        <v>25575.860514407439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0.10123456790123457</v>
      </c>
      <c r="I41" s="148">
        <f t="shared" si="129"/>
        <v>0.16580844490216273</v>
      </c>
      <c r="J41" s="148">
        <f t="shared" si="129"/>
        <v>-0.13170163170163171</v>
      </c>
      <c r="K41" s="148">
        <f t="shared" si="129"/>
        <v>0.11363636363636363</v>
      </c>
      <c r="L41" s="148">
        <f t="shared" si="129"/>
        <v>0.24434035909445745</v>
      </c>
      <c r="M41" s="148">
        <f t="shared" si="129"/>
        <v>0.42581801882563874</v>
      </c>
      <c r="N41" s="148">
        <f t="shared" si="129"/>
        <v>-0.15775817332641412</v>
      </c>
      <c r="O41" s="148">
        <f t="shared" si="129"/>
        <v>0.18965517241379309</v>
      </c>
      <c r="P41" s="148">
        <f t="shared" si="129"/>
        <v>-0.12275731822474033</v>
      </c>
      <c r="Q41" s="215">
        <f t="shared" si="129"/>
        <v>-6.1757719714964372E-3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19.96</v>
      </c>
      <c r="H42" s="145">
        <v>19.96</v>
      </c>
      <c r="I42" s="145">
        <v>19.96</v>
      </c>
      <c r="J42" s="145">
        <v>19.96</v>
      </c>
      <c r="K42" s="145">
        <v>19.96</v>
      </c>
      <c r="L42" s="145">
        <v>19.96</v>
      </c>
      <c r="M42" s="145">
        <v>19.96</v>
      </c>
      <c r="N42" s="145">
        <v>19.96</v>
      </c>
      <c r="O42" s="145">
        <v>19.96</v>
      </c>
      <c r="P42" s="145">
        <v>19.96</v>
      </c>
      <c r="Q42" s="216">
        <v>19.96</v>
      </c>
      <c r="R42" s="118">
        <f>((Q42/G42)^(1/($H$2-$H$1) ))-1</f>
        <v>0</v>
      </c>
      <c r="S42" s="31">
        <v>0.01</v>
      </c>
      <c r="T42" s="154">
        <f t="shared" si="2"/>
        <v>20.159600000000001</v>
      </c>
      <c r="U42" s="154">
        <f t="shared" ref="U42:AC42" si="130">T42*(1+$S42)</f>
        <v>20.361196</v>
      </c>
      <c r="V42" s="154">
        <f t="shared" si="130"/>
        <v>20.56480796</v>
      </c>
      <c r="W42" s="154">
        <f t="shared" si="130"/>
        <v>20.770456039599999</v>
      </c>
      <c r="X42" s="154">
        <f t="shared" si="130"/>
        <v>20.978160599995999</v>
      </c>
      <c r="Y42" s="154">
        <f t="shared" si="130"/>
        <v>21.187942205995959</v>
      </c>
      <c r="Z42" s="154">
        <f t="shared" si="130"/>
        <v>21.399821628055918</v>
      </c>
      <c r="AA42" s="154">
        <f t="shared" si="130"/>
        <v>21.613819844336476</v>
      </c>
      <c r="AB42" s="154">
        <f t="shared" si="130"/>
        <v>21.82995804277984</v>
      </c>
      <c r="AC42" s="154">
        <f t="shared" si="130"/>
        <v>22.04825762320764</v>
      </c>
      <c r="AD42" s="138">
        <f t="shared" si="17"/>
        <v>4.9875621120889502E-3</v>
      </c>
      <c r="AE42" s="31">
        <f t="shared" si="15"/>
        <v>0.05</v>
      </c>
      <c r="AF42" s="146">
        <f t="shared" si="1"/>
        <v>136.1804147315766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0.94989979959919835</v>
      </c>
      <c r="H43" s="148">
        <f t="shared" ref="H43" si="131">(H42-G42)/H42</f>
        <v>0</v>
      </c>
      <c r="I43" s="148">
        <f t="shared" ref="I43" si="132">(I42-H42)/I42</f>
        <v>0</v>
      </c>
      <c r="J43" s="148">
        <f t="shared" ref="J43" si="133">(J42-I42)/J42</f>
        <v>0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</v>
      </c>
      <c r="O43" s="148">
        <f t="shared" ref="O43" si="138">(O42-N42)/O42</f>
        <v>0</v>
      </c>
      <c r="P43" s="148">
        <f t="shared" ref="P43:Q43" si="139">(P42-O42)/P42</f>
        <v>0</v>
      </c>
      <c r="Q43" s="21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20</v>
      </c>
      <c r="H44" s="145">
        <v>20</v>
      </c>
      <c r="I44" s="145">
        <v>20</v>
      </c>
      <c r="J44" s="145">
        <v>17</v>
      </c>
      <c r="K44" s="145">
        <v>19</v>
      </c>
      <c r="L44" s="145">
        <v>20</v>
      </c>
      <c r="M44" s="145">
        <v>110</v>
      </c>
      <c r="N44" s="145">
        <v>105</v>
      </c>
      <c r="O44" s="145">
        <v>45</v>
      </c>
      <c r="P44" s="145">
        <v>60</v>
      </c>
      <c r="Q44" s="216">
        <v>65</v>
      </c>
      <c r="R44" s="118">
        <f>((Q44/G44)^(1/($H$2-$H$1) ))-1</f>
        <v>0.13992408292122827</v>
      </c>
      <c r="S44" s="31">
        <f>P1</f>
        <v>0.05</v>
      </c>
      <c r="T44" s="154">
        <f t="shared" si="2"/>
        <v>68.25</v>
      </c>
      <c r="U44" s="154">
        <f t="shared" ref="U44" si="140">T44*(1+$S44)</f>
        <v>71.662500000000009</v>
      </c>
      <c r="V44" s="154">
        <f t="shared" ref="V44" si="141">U44*(1+$S44)</f>
        <v>75.245625000000018</v>
      </c>
      <c r="W44" s="154">
        <f t="shared" ref="W44" si="142">V44*(1+$S44)</f>
        <v>79.007906250000019</v>
      </c>
      <c r="X44" s="154">
        <f t="shared" ref="X44" si="143">W44*(1+$S44)</f>
        <v>82.958301562500026</v>
      </c>
      <c r="Y44" s="154">
        <f t="shared" ref="Y44" si="144">X44*(1+$S44)</f>
        <v>87.106216640625036</v>
      </c>
      <c r="Z44" s="154">
        <f t="shared" ref="Z44" si="145">Y44*(1+$S44)</f>
        <v>91.461527472656286</v>
      </c>
      <c r="AA44" s="154">
        <f t="shared" ref="AA44" si="146">Z44*(1+$S44)</f>
        <v>96.034603846289102</v>
      </c>
      <c r="AB44" s="154">
        <f t="shared" ref="AB44" si="147">AA44*(1+$S44)</f>
        <v>100.83633403860357</v>
      </c>
      <c r="AC44" s="154">
        <f t="shared" ref="AC44" si="148">AB44*(1+$S44)</f>
        <v>105.87815074053375</v>
      </c>
      <c r="AD44" s="138">
        <f t="shared" ref="AD44" si="149">((AC44/G44)^(1/($AC$3-$H$1) ))-1</f>
        <v>8.6898070009463257E-2</v>
      </c>
      <c r="AE44" s="31">
        <f t="shared" si="15"/>
        <v>0.05</v>
      </c>
      <c r="AF44" s="146">
        <f t="shared" si="1"/>
        <v>653.95328398564982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213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213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213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217"/>
      <c r="R48" s="127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299.749498997996</v>
      </c>
      <c r="H50" s="133">
        <f t="shared" si="150"/>
        <v>379.80961923847696</v>
      </c>
      <c r="I50" s="133">
        <f t="shared" si="150"/>
        <v>445.59118236472943</v>
      </c>
      <c r="J50" s="133">
        <f t="shared" si="150"/>
        <v>506.31262525050096</v>
      </c>
      <c r="K50" s="133">
        <f t="shared" si="150"/>
        <v>528.40681362725445</v>
      </c>
      <c r="L50" s="133">
        <f t="shared" si="150"/>
        <v>629.70941883767534</v>
      </c>
      <c r="M50" s="133">
        <f t="shared" si="150"/>
        <v>807.51503006012024</v>
      </c>
      <c r="N50" s="133">
        <f t="shared" si="150"/>
        <v>983.56713426853707</v>
      </c>
      <c r="O50" s="133">
        <f t="shared" si="150"/>
        <v>1203.8076152304609</v>
      </c>
      <c r="P50" s="133">
        <f t="shared" si="150"/>
        <v>1210.7214428857715</v>
      </c>
      <c r="Q50" s="133">
        <f t="shared" ref="Q50" si="151">Q25/Q42</f>
        <v>1288.560120240481</v>
      </c>
      <c r="R50" s="118">
        <f>((P50/G50)^(1/($H$2-$H$1) ))-1</f>
        <v>0.16779089643650758</v>
      </c>
      <c r="S50" s="128"/>
      <c r="T50" s="158">
        <f t="shared" ref="T50:AC50" si="152">T25/T42</f>
        <v>1365.1082461953611</v>
      </c>
      <c r="U50" s="158">
        <f t="shared" si="152"/>
        <v>1446.2037855733033</v>
      </c>
      <c r="V50" s="158">
        <f t="shared" si="152"/>
        <v>1532.116881745975</v>
      </c>
      <c r="W50" s="158">
        <f t="shared" si="152"/>
        <v>1623.1337262061322</v>
      </c>
      <c r="X50" s="158">
        <f t="shared" si="152"/>
        <v>1719.5575119213481</v>
      </c>
      <c r="Y50" s="158">
        <f t="shared" si="152"/>
        <v>1821.7094433226164</v>
      </c>
      <c r="Z50" s="158">
        <f t="shared" si="152"/>
        <v>1929.9298062922769</v>
      </c>
      <c r="AA50" s="158">
        <f t="shared" si="152"/>
        <v>2044.5791017155807</v>
      </c>
      <c r="AB50" s="158">
        <f t="shared" si="152"/>
        <v>2166.0392463719522</v>
      </c>
      <c r="AC50" s="158">
        <f t="shared" si="152"/>
        <v>2294.7148451663252</v>
      </c>
      <c r="AD50" s="138">
        <f t="shared" ref="AD50" si="153">((AC50/G50)^(1/($AC$3-$H$1) ))-1</f>
        <v>0.10712972958410005</v>
      </c>
      <c r="AE50" s="31">
        <f t="shared" si="15"/>
        <v>0.05</v>
      </c>
      <c r="AF50" s="146">
        <f t="shared" ref="AF50:AF51" si="154">(AC50*(1+AE50))/($C$1-AE50)</f>
        <v>14173.238749556716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241.1823647294589</v>
      </c>
      <c r="H51" s="133">
        <f t="shared" si="155"/>
        <v>313.47695390781564</v>
      </c>
      <c r="I51" s="133">
        <f t="shared" si="155"/>
        <v>368.33667334669337</v>
      </c>
      <c r="J51" s="133">
        <f t="shared" si="155"/>
        <v>436.22244488977952</v>
      </c>
      <c r="K51" s="133">
        <f t="shared" si="155"/>
        <v>449.04809619238478</v>
      </c>
      <c r="L51" s="133">
        <f t="shared" si="155"/>
        <v>530.76152304609218</v>
      </c>
      <c r="M51" s="133">
        <f t="shared" si="155"/>
        <v>655.51102204408812</v>
      </c>
      <c r="N51" s="133">
        <f t="shared" si="155"/>
        <v>841.48296593186365</v>
      </c>
      <c r="O51" s="133">
        <f t="shared" si="155"/>
        <v>1003.6072144288577</v>
      </c>
      <c r="P51" s="133">
        <f t="shared" si="155"/>
        <v>1024.3486973947895</v>
      </c>
      <c r="Q51" s="133">
        <f t="shared" ref="Q51" si="156">Q27/Q42</f>
        <v>1083.4168336673347</v>
      </c>
      <c r="R51" s="118">
        <f>((P51/G51)^(1/($H$2-$H$1) ))-1</f>
        <v>0.17432725666401661</v>
      </c>
      <c r="S51" s="128"/>
      <c r="T51" s="158">
        <f t="shared" ref="T51:AC51" si="157">T27/T42</f>
        <v>1147.7782297267802</v>
      </c>
      <c r="U51" s="158">
        <f t="shared" si="157"/>
        <v>1215.9630750570841</v>
      </c>
      <c r="V51" s="158">
        <f t="shared" si="157"/>
        <v>1288.1985052584951</v>
      </c>
      <c r="W51" s="158">
        <f t="shared" si="157"/>
        <v>1364.7251491352376</v>
      </c>
      <c r="X51" s="158">
        <f t="shared" si="157"/>
        <v>1445.7979302719843</v>
      </c>
      <c r="Y51" s="158">
        <f t="shared" si="157"/>
        <v>1531.686916228736</v>
      </c>
      <c r="Z51" s="158">
        <f t="shared" si="157"/>
        <v>1622.6782181829185</v>
      </c>
      <c r="AA51" s="158">
        <f t="shared" si="157"/>
        <v>1719.0749440155673</v>
      </c>
      <c r="AB51" s="158">
        <f t="shared" si="157"/>
        <v>1821.1982080164923</v>
      </c>
      <c r="AC51" s="158">
        <f t="shared" si="157"/>
        <v>1929.3882005719274</v>
      </c>
      <c r="AD51" s="138">
        <f t="shared" ref="AD51" si="158">((AC51/G51)^(1/($AC$3-$H$1) ))-1</f>
        <v>0.10956743867178909</v>
      </c>
      <c r="AE51" s="31">
        <f t="shared" si="15"/>
        <v>0.05</v>
      </c>
      <c r="AF51" s="146">
        <f t="shared" si="154"/>
        <v>11916.80947412073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344</v>
      </c>
      <c r="H52" s="133">
        <f t="shared" ref="H52:P52" si="159">H38-H40</f>
        <v>407</v>
      </c>
      <c r="I52" s="133">
        <f t="shared" si="159"/>
        <v>441</v>
      </c>
      <c r="J52" s="133">
        <f t="shared" si="159"/>
        <v>388</v>
      </c>
      <c r="K52" s="133">
        <f t="shared" si="159"/>
        <v>442</v>
      </c>
      <c r="L52" s="133">
        <f t="shared" si="159"/>
        <v>500</v>
      </c>
      <c r="M52" s="133">
        <f t="shared" si="159"/>
        <v>600</v>
      </c>
      <c r="N52" s="133">
        <f t="shared" si="159"/>
        <v>477</v>
      </c>
      <c r="O52" s="133">
        <f t="shared" si="159"/>
        <v>486</v>
      </c>
      <c r="P52" s="133">
        <f t="shared" si="159"/>
        <v>448</v>
      </c>
      <c r="Q52" s="133">
        <f t="shared" ref="Q52" si="160">Q38-Q40</f>
        <v>759</v>
      </c>
      <c r="R52" s="118">
        <f>((P52/G52)^(1/($H$2-$H$1) ))-1</f>
        <v>2.9785136359951725E-2</v>
      </c>
      <c r="S52" s="128"/>
      <c r="T52" s="133">
        <f t="shared" ref="T52:AC52" si="161">T38-T40</f>
        <v>812.13000000000011</v>
      </c>
      <c r="U52" s="133">
        <f t="shared" si="161"/>
        <v>868.97910000000002</v>
      </c>
      <c r="V52" s="133">
        <f t="shared" si="161"/>
        <v>929.80763700000034</v>
      </c>
      <c r="W52" s="133">
        <f t="shared" si="161"/>
        <v>994.8941715900005</v>
      </c>
      <c r="X52" s="133">
        <f t="shared" si="161"/>
        <v>1064.5367636013007</v>
      </c>
      <c r="Y52" s="133">
        <f t="shared" si="161"/>
        <v>1139.0543370533919</v>
      </c>
      <c r="Z52" s="133">
        <f t="shared" si="161"/>
        <v>1218.7881406471292</v>
      </c>
      <c r="AA52" s="133">
        <f t="shared" si="161"/>
        <v>1304.1033104924286</v>
      </c>
      <c r="AB52" s="133">
        <f t="shared" si="161"/>
        <v>1395.3905422268986</v>
      </c>
      <c r="AC52" s="133">
        <f t="shared" si="161"/>
        <v>1493.0678801827817</v>
      </c>
      <c r="AD52" s="138">
        <f t="shared" ref="AD52" si="162">((AC52/G52)^(1/($AC$3-$H$1) ))-1</f>
        <v>7.615804210972632E-2</v>
      </c>
      <c r="AE52" s="31">
        <f t="shared" si="15"/>
        <v>0.05</v>
      </c>
      <c r="AF52" s="146">
        <f t="shared" ref="AF52" si="163">(AC52*(1+AE52))/($C$1-AE52)</f>
        <v>9221.8898481877713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36.472945891783567</v>
      </c>
      <c r="H54" s="133">
        <f t="shared" si="164"/>
        <v>40.581162324649299</v>
      </c>
      <c r="I54" s="133">
        <f t="shared" si="164"/>
        <v>48.647294589178358</v>
      </c>
      <c r="J54" s="133">
        <f t="shared" si="164"/>
        <v>42.985971943887776</v>
      </c>
      <c r="K54" s="133">
        <f t="shared" si="164"/>
        <v>48.496993987975948</v>
      </c>
      <c r="L54" s="133">
        <f t="shared" si="164"/>
        <v>64.178356713426851</v>
      </c>
      <c r="M54" s="133">
        <f t="shared" si="164"/>
        <v>111.77354709418837</v>
      </c>
      <c r="N54" s="133">
        <f t="shared" si="164"/>
        <v>96.543086172344687</v>
      </c>
      <c r="O54" s="133">
        <f t="shared" si="164"/>
        <v>119.13827655310621</v>
      </c>
      <c r="P54" s="133">
        <f t="shared" si="164"/>
        <v>106.11222444889779</v>
      </c>
      <c r="Q54" s="133">
        <f t="shared" ref="Q54" si="165">Q40/Q42</f>
        <v>105.46092184368737</v>
      </c>
      <c r="R54" s="118">
        <f>((P54/G54)^(1/($H$2-$H$1) ))-1</f>
        <v>0.1259853258768493</v>
      </c>
      <c r="S54" s="128"/>
      <c r="T54" s="158">
        <f t="shared" ref="T54:AC54" si="166">T40/T42</f>
        <v>111.7259271017282</v>
      </c>
      <c r="U54" s="158">
        <f t="shared" si="166"/>
        <v>118.3631108899497</v>
      </c>
      <c r="V54" s="158">
        <f t="shared" si="166"/>
        <v>125.39458282400612</v>
      </c>
      <c r="W54" s="158">
        <f t="shared" si="166"/>
        <v>132.8437659620659</v>
      </c>
      <c r="X54" s="158">
        <f t="shared" si="166"/>
        <v>140.73547483109954</v>
      </c>
      <c r="Y54" s="158">
        <f t="shared" si="166"/>
        <v>149.09599808839258</v>
      </c>
      <c r="Z54" s="158">
        <f t="shared" si="166"/>
        <v>157.95318609364364</v>
      </c>
      <c r="AA54" s="158">
        <f t="shared" si="166"/>
        <v>167.33654368336508</v>
      </c>
      <c r="AB54" s="158">
        <f t="shared" si="166"/>
        <v>177.27732845663431</v>
      </c>
      <c r="AC54" s="158">
        <f t="shared" si="166"/>
        <v>187.80865489960266</v>
      </c>
      <c r="AD54" s="138">
        <f t="shared" ref="AD54:AD68" si="167">((AC54/G54)^(1/($AC$3-$H$1) ))-1</f>
        <v>8.5393553892738394E-2</v>
      </c>
      <c r="AE54" s="31">
        <f t="shared" si="15"/>
        <v>0.05</v>
      </c>
      <c r="AF54" s="146">
        <f t="shared" ref="AF54:AF82" si="168">(AC54*(1+AE54))/($C$1-AE54)</f>
        <v>1159.9946332034283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48.747494989979955</v>
      </c>
      <c r="H55" s="133">
        <f t="shared" ref="H55:P55" si="170">H20/H42</f>
        <v>37.374749498997993</v>
      </c>
      <c r="I55" s="133">
        <f t="shared" si="170"/>
        <v>46.893787575150299</v>
      </c>
      <c r="J55" s="133">
        <f t="shared" si="170"/>
        <v>31.312625250501</v>
      </c>
      <c r="K55" s="133">
        <f t="shared" si="170"/>
        <v>60.671342685370739</v>
      </c>
      <c r="L55" s="133">
        <f t="shared" si="170"/>
        <v>68.086172344689373</v>
      </c>
      <c r="M55" s="133">
        <f t="shared" si="170"/>
        <v>134.5691382765531</v>
      </c>
      <c r="N55" s="133">
        <f t="shared" si="170"/>
        <v>114.62925851703406</v>
      </c>
      <c r="O55" s="133">
        <f t="shared" si="170"/>
        <v>118.18637274549097</v>
      </c>
      <c r="P55" s="133">
        <f t="shared" si="170"/>
        <v>94.68937875751503</v>
      </c>
      <c r="Q55" s="133">
        <f t="shared" ref="Q55" si="171">Q20/Q42</f>
        <v>94.68937875751503</v>
      </c>
      <c r="R55" s="118">
        <f>((P55/G55)^(1/($H$2-$H$1) ))-1</f>
        <v>7.6561324625040728E-2</v>
      </c>
      <c r="S55" s="128"/>
      <c r="T55" s="133">
        <f t="shared" ref="T55:AC55" si="172">T20/T42</f>
        <v>100.31449036687236</v>
      </c>
      <c r="U55" s="133">
        <f t="shared" si="172"/>
        <v>106.27376702233013</v>
      </c>
      <c r="V55" s="133">
        <f t="shared" si="172"/>
        <v>112.58706011276561</v>
      </c>
      <c r="W55" s="133">
        <f t="shared" si="172"/>
        <v>119.27540031748437</v>
      </c>
      <c r="X55" s="133">
        <f t="shared" si="172"/>
        <v>126.36106766307752</v>
      </c>
      <c r="Y55" s="133">
        <f t="shared" si="172"/>
        <v>133.86766574207223</v>
      </c>
      <c r="Z55" s="133">
        <f t="shared" si="172"/>
        <v>141.82020034061119</v>
      </c>
      <c r="AA55" s="133">
        <f t="shared" si="172"/>
        <v>150.24516273708318</v>
      </c>
      <c r="AB55" s="133">
        <f t="shared" si="172"/>
        <v>159.17061794918715</v>
      </c>
      <c r="AC55" s="133">
        <f t="shared" si="172"/>
        <v>168.62629822339628</v>
      </c>
      <c r="AD55" s="138">
        <f t="shared" ref="AD55" si="173">((AC55/G55)^(1/($AC$3-$H$1) ))-1</f>
        <v>6.4017204151135321E-2</v>
      </c>
      <c r="AE55" s="31">
        <f t="shared" si="15"/>
        <v>0.05</v>
      </c>
      <c r="AF55" s="146">
        <f t="shared" si="168"/>
        <v>1041.5153713798009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57.014028056112224</v>
      </c>
      <c r="H56" s="133">
        <f t="shared" si="174"/>
        <v>74.799599198396791</v>
      </c>
      <c r="I56" s="133">
        <f t="shared" si="174"/>
        <v>100.65130260521042</v>
      </c>
      <c r="J56" s="133">
        <f t="shared" si="174"/>
        <v>123.74749498997996</v>
      </c>
      <c r="K56" s="133">
        <f t="shared" si="174"/>
        <v>149.59919839679358</v>
      </c>
      <c r="L56" s="133">
        <f t="shared" si="174"/>
        <v>190.38076152304609</v>
      </c>
      <c r="M56" s="133">
        <f t="shared" si="174"/>
        <v>173.59719438877755</v>
      </c>
      <c r="N56" s="133">
        <f t="shared" si="174"/>
        <v>148.09619238476952</v>
      </c>
      <c r="O56" s="133">
        <f t="shared" si="174"/>
        <v>214.87975951903806</v>
      </c>
      <c r="P56" s="133">
        <f t="shared" si="174"/>
        <v>250.85170340681361</v>
      </c>
      <c r="Q56" s="133">
        <f t="shared" ref="Q56" si="175">Q7/Q42</f>
        <v>281.66332665330663</v>
      </c>
      <c r="R56" s="118">
        <f>((P56/G56)^(1/($H$2-$H$1) ))-1</f>
        <v>0.17894301685479208</v>
      </c>
      <c r="S56" s="128"/>
      <c r="T56" s="158">
        <f t="shared" ref="T56:AC56" si="176">T7/T42</f>
        <v>298.39580150399809</v>
      </c>
      <c r="U56" s="158">
        <f t="shared" si="176"/>
        <v>316.12228476166138</v>
      </c>
      <c r="V56" s="158">
        <f t="shared" si="176"/>
        <v>334.90182643067095</v>
      </c>
      <c r="W56" s="158">
        <f t="shared" si="176"/>
        <v>354.79698443645344</v>
      </c>
      <c r="X56" s="158">
        <f t="shared" si="176"/>
        <v>375.87403301683679</v>
      </c>
      <c r="Y56" s="158">
        <f t="shared" si="176"/>
        <v>398.20318349308457</v>
      </c>
      <c r="Z56" s="158">
        <f t="shared" si="176"/>
        <v>421.85881815604017</v>
      </c>
      <c r="AA56" s="158">
        <f t="shared" si="176"/>
        <v>446.91973804649803</v>
      </c>
      <c r="AB56" s="158">
        <f t="shared" si="176"/>
        <v>473.46942545520096</v>
      </c>
      <c r="AC56" s="158">
        <f t="shared" si="176"/>
        <v>501.59632201689601</v>
      </c>
      <c r="AD56" s="138">
        <f t="shared" si="167"/>
        <v>0.11485562881949596</v>
      </c>
      <c r="AE56" s="31">
        <f t="shared" si="15"/>
        <v>0.05</v>
      </c>
      <c r="AF56" s="146">
        <f t="shared" si="168"/>
        <v>3098.0949301043584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55.010020040080157</v>
      </c>
      <c r="H57" s="144">
        <f t="shared" si="177"/>
        <v>72.795591182364731</v>
      </c>
      <c r="I57" s="144">
        <f t="shared" si="177"/>
        <v>98.647294589178358</v>
      </c>
      <c r="J57" s="144">
        <f t="shared" si="177"/>
        <v>121.7434869739479</v>
      </c>
      <c r="K57" s="144">
        <f t="shared" si="177"/>
        <v>147.59519038076152</v>
      </c>
      <c r="L57" s="144">
        <f t="shared" si="177"/>
        <v>188.37675350701403</v>
      </c>
      <c r="M57" s="144">
        <f t="shared" si="177"/>
        <v>171.59318637274549</v>
      </c>
      <c r="N57" s="144">
        <f t="shared" si="177"/>
        <v>146.09218436873746</v>
      </c>
      <c r="O57" s="144">
        <f t="shared" si="177"/>
        <v>212.875751503006</v>
      </c>
      <c r="P57" s="144">
        <f t="shared" si="177"/>
        <v>248.79759519038075</v>
      </c>
      <c r="Q57" s="144">
        <f t="shared" ref="Q57" si="178">Q6/Q42</f>
        <v>279.65931863727451</v>
      </c>
      <c r="R57" s="118">
        <f>((P57/G57)^(1/($H$2-$H$1) ))-1</f>
        <v>0.18255870227364812</v>
      </c>
      <c r="S57" s="128"/>
      <c r="T57" s="157">
        <f t="shared" ref="T57:AC57" si="179">T6/T42</f>
        <v>296.27274350681563</v>
      </c>
      <c r="U57" s="157">
        <f t="shared" si="179"/>
        <v>313.87310450722055</v>
      </c>
      <c r="V57" s="157">
        <f t="shared" si="179"/>
        <v>332.51903150764952</v>
      </c>
      <c r="W57" s="157">
        <f t="shared" si="179"/>
        <v>352.27263733978714</v>
      </c>
      <c r="X57" s="157">
        <f t="shared" si="179"/>
        <v>373.1997247065072</v>
      </c>
      <c r="Y57" s="157">
        <f t="shared" si="179"/>
        <v>395.37000538214124</v>
      </c>
      <c r="Z57" s="157">
        <f t="shared" si="179"/>
        <v>418.85733243454575</v>
      </c>
      <c r="AA57" s="157">
        <f t="shared" si="179"/>
        <v>443.73994624253868</v>
      </c>
      <c r="AB57" s="157">
        <f t="shared" si="179"/>
        <v>470.10073512823408</v>
      </c>
      <c r="AC57" s="157">
        <f t="shared" si="179"/>
        <v>498.02751147248557</v>
      </c>
      <c r="AD57" s="138">
        <f t="shared" si="167"/>
        <v>0.11645333810091829</v>
      </c>
      <c r="AE57" s="31">
        <f t="shared" si="15"/>
        <v>0.05</v>
      </c>
      <c r="AF57" s="146">
        <f t="shared" si="168"/>
        <v>3076.0522767418229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8.7675350701402799</v>
      </c>
      <c r="H58" s="144">
        <f t="shared" si="180"/>
        <v>10.120240480961924</v>
      </c>
      <c r="I58" s="144">
        <f t="shared" si="180"/>
        <v>9.3186372745490971</v>
      </c>
      <c r="J58" s="144">
        <f t="shared" si="180"/>
        <v>8.2665330661322649</v>
      </c>
      <c r="K58" s="144">
        <f t="shared" si="180"/>
        <v>6.6132264529058116</v>
      </c>
      <c r="L58" s="144">
        <f t="shared" si="180"/>
        <v>3.9078156312625247</v>
      </c>
      <c r="M58" s="144">
        <f t="shared" si="180"/>
        <v>3.3066132264529058</v>
      </c>
      <c r="N58" s="144">
        <f t="shared" si="180"/>
        <v>74.699398797595194</v>
      </c>
      <c r="O58" s="144">
        <f t="shared" si="180"/>
        <v>49.84969939879759</v>
      </c>
      <c r="P58" s="144">
        <f t="shared" si="180"/>
        <v>15.130260521042084</v>
      </c>
      <c r="Q58" s="144">
        <f t="shared" ref="Q58" si="181">Q10/Q42</f>
        <v>1.2024048096192383</v>
      </c>
      <c r="R58" s="118">
        <f>((P58/G58)^(1/($H$2-$H$1) ))-1</f>
        <v>6.2502295841081246E-2</v>
      </c>
      <c r="S58" s="128"/>
      <c r="T58" s="157">
        <f t="shared" ref="T58:AC58" si="182">T10/T42</f>
        <v>1.2738347983094902</v>
      </c>
      <c r="U58" s="157">
        <f t="shared" si="182"/>
        <v>1.3495081526645096</v>
      </c>
      <c r="V58" s="157">
        <f t="shared" si="182"/>
        <v>1.4296769538128964</v>
      </c>
      <c r="W58" s="157">
        <f t="shared" si="182"/>
        <v>1.5146082579998013</v>
      </c>
      <c r="X58" s="157">
        <f t="shared" si="182"/>
        <v>1.6045849861978092</v>
      </c>
      <c r="Y58" s="157">
        <f t="shared" si="182"/>
        <v>1.6999068665659958</v>
      </c>
      <c r="Z58" s="157">
        <f t="shared" si="182"/>
        <v>1.8008914328966494</v>
      </c>
      <c r="AA58" s="157">
        <f t="shared" si="182"/>
        <v>1.9078750823756583</v>
      </c>
      <c r="AB58" s="157">
        <f t="shared" si="182"/>
        <v>2.0212141961801531</v>
      </c>
      <c r="AC58" s="157">
        <f t="shared" si="182"/>
        <v>2.1412863266463007</v>
      </c>
      <c r="AD58" s="138">
        <f t="shared" si="167"/>
        <v>-6.8055903478343449E-2</v>
      </c>
      <c r="AE58" s="31">
        <f t="shared" si="15"/>
        <v>0.05</v>
      </c>
      <c r="AF58" s="146">
        <f t="shared" si="168"/>
        <v>13.225592017521272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48.24649298597194</v>
      </c>
      <c r="H60" s="144">
        <f t="shared" si="183"/>
        <v>64.679358717434866</v>
      </c>
      <c r="I60" s="144">
        <f t="shared" si="183"/>
        <v>91.332665330661314</v>
      </c>
      <c r="J60" s="144">
        <f t="shared" si="183"/>
        <v>115.48096192384769</v>
      </c>
      <c r="K60" s="144">
        <f t="shared" si="183"/>
        <v>142.98597194388776</v>
      </c>
      <c r="L60" s="144">
        <f t="shared" si="183"/>
        <v>186.47294589178355</v>
      </c>
      <c r="M60" s="144">
        <f t="shared" si="183"/>
        <v>170.29058116232463</v>
      </c>
      <c r="N60" s="144">
        <f t="shared" si="183"/>
        <v>73.396793587174344</v>
      </c>
      <c r="O60" s="144">
        <f t="shared" si="183"/>
        <v>165.03006012024048</v>
      </c>
      <c r="P60" s="144">
        <f t="shared" si="183"/>
        <v>235.72144288577152</v>
      </c>
      <c r="Q60" s="144">
        <f t="shared" ref="Q60" si="184">(Q7-Q10)/Q42</f>
        <v>280.46092184368734</v>
      </c>
      <c r="R60" s="118">
        <f>((P60/G60)^(1/($H$2-$H$1) ))-1</f>
        <v>0.19274649484350959</v>
      </c>
      <c r="S60" s="128"/>
      <c r="T60" s="157">
        <f t="shared" ref="T60:AC60" si="185">(T7-T10)/T42</f>
        <v>297.12196670568858</v>
      </c>
      <c r="U60" s="157">
        <f t="shared" si="185"/>
        <v>314.77277660899682</v>
      </c>
      <c r="V60" s="157">
        <f t="shared" si="185"/>
        <v>333.47214947685808</v>
      </c>
      <c r="W60" s="157">
        <f t="shared" si="185"/>
        <v>353.28237617845366</v>
      </c>
      <c r="X60" s="157">
        <f t="shared" si="185"/>
        <v>374.26944803063901</v>
      </c>
      <c r="Y60" s="157">
        <f t="shared" si="185"/>
        <v>396.50327662651858</v>
      </c>
      <c r="Z60" s="157">
        <f t="shared" si="185"/>
        <v>420.05792672314357</v>
      </c>
      <c r="AA60" s="157">
        <f t="shared" si="185"/>
        <v>445.01186296412237</v>
      </c>
      <c r="AB60" s="157">
        <f t="shared" si="185"/>
        <v>471.44821125902081</v>
      </c>
      <c r="AC60" s="157">
        <f t="shared" si="185"/>
        <v>499.4550356902497</v>
      </c>
      <c r="AD60" s="138">
        <f t="shared" si="167"/>
        <v>0.123961751214823</v>
      </c>
      <c r="AE60" s="31">
        <f t="shared" si="15"/>
        <v>0.05</v>
      </c>
      <c r="AF60" s="146">
        <f t="shared" si="168"/>
        <v>3084.8693380868367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-6.513026052104208</v>
      </c>
      <c r="H61" s="144">
        <f t="shared" si="186"/>
        <v>8.7174348697394795</v>
      </c>
      <c r="I61" s="144">
        <f t="shared" si="186"/>
        <v>31.563126252505008</v>
      </c>
      <c r="J61" s="144">
        <f t="shared" si="186"/>
        <v>56.813627254509015</v>
      </c>
      <c r="K61" s="144">
        <f t="shared" si="186"/>
        <v>70.090180360721433</v>
      </c>
      <c r="L61" s="144">
        <f t="shared" si="186"/>
        <v>102.40480961923848</v>
      </c>
      <c r="M61" s="144">
        <f t="shared" si="186"/>
        <v>-28.356713426853705</v>
      </c>
      <c r="N61" s="144">
        <f t="shared" si="186"/>
        <v>-192.93587174348696</v>
      </c>
      <c r="O61" s="144">
        <f t="shared" si="186"/>
        <v>-11.322645290581162</v>
      </c>
      <c r="P61" s="144">
        <f t="shared" si="186"/>
        <v>93.486973947895791</v>
      </c>
      <c r="Q61" s="144">
        <f t="shared" ref="Q61" si="187">(Q7-Q10-Q9)/Q42</f>
        <v>58.867735470941881</v>
      </c>
      <c r="R61" s="118">
        <f>((P61/G61)^(1/($H$2-$H$1) ))-1</f>
        <v>-2.3444728354602158</v>
      </c>
      <c r="S61" s="128"/>
      <c r="T61" s="157">
        <f t="shared" ref="T61:AC61" si="188">(T7-T10-T9)/T42</f>
        <v>62.364828667235415</v>
      </c>
      <c r="U61" s="157">
        <f t="shared" si="188"/>
        <v>66.069669974199883</v>
      </c>
      <c r="V61" s="157">
        <f t="shared" si="188"/>
        <v>69.994600863756318</v>
      </c>
      <c r="W61" s="157">
        <f t="shared" si="188"/>
        <v>74.152695964573525</v>
      </c>
      <c r="X61" s="157">
        <f t="shared" si="188"/>
        <v>78.557806615934297</v>
      </c>
      <c r="Y61" s="157">
        <f t="shared" si="188"/>
        <v>83.224607008960149</v>
      </c>
      <c r="Z61" s="157">
        <f t="shared" si="188"/>
        <v>88.16864306889839</v>
      </c>
      <c r="AA61" s="157">
        <f t="shared" si="188"/>
        <v>93.40638424130816</v>
      </c>
      <c r="AB61" s="157">
        <f t="shared" si="188"/>
        <v>98.955278354653259</v>
      </c>
      <c r="AC61" s="157">
        <f t="shared" si="188"/>
        <v>104.83380974205832</v>
      </c>
      <c r="AD61" s="138" t="e">
        <f t="shared" si="167"/>
        <v>#NUM!</v>
      </c>
      <c r="AE61" s="31">
        <f t="shared" si="15"/>
        <v>0.05</v>
      </c>
      <c r="AF61" s="146">
        <f t="shared" si="168"/>
        <v>647.50294252447793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6.9639278557114226</v>
      </c>
      <c r="H62" s="144">
        <f t="shared" si="189"/>
        <v>24.298597194388776</v>
      </c>
      <c r="I62" s="144">
        <f t="shared" si="189"/>
        <v>52.00400801603206</v>
      </c>
      <c r="J62" s="144">
        <f t="shared" si="189"/>
        <v>89.178356713426851</v>
      </c>
      <c r="K62" s="144">
        <f t="shared" si="189"/>
        <v>107.41482965931863</v>
      </c>
      <c r="L62" s="144">
        <f t="shared" si="189"/>
        <v>137.17434869739478</v>
      </c>
      <c r="M62" s="144">
        <f t="shared" si="189"/>
        <v>92.284569138276552</v>
      </c>
      <c r="N62" s="144">
        <f t="shared" si="189"/>
        <v>-157.71543086172343</v>
      </c>
      <c r="O62" s="144">
        <f t="shared" si="189"/>
        <v>38.977955911823649</v>
      </c>
      <c r="P62" s="144">
        <f t="shared" si="189"/>
        <v>167.73547094188376</v>
      </c>
      <c r="Q62" s="144">
        <f t="shared" ref="Q62" si="190">(Q7+Q15-Q10-Q9)/Q42</f>
        <v>133.11623246492985</v>
      </c>
      <c r="R62" s="118">
        <f>((P62/G62)^(1/($H$2-$H$1) ))-1</f>
        <v>0.42406585069548641</v>
      </c>
      <c r="S62" s="128"/>
      <c r="T62" s="157">
        <f t="shared" ref="T62:AC62" si="191">(T7+T15-T10-T9)/T42</f>
        <v>141.02412746284642</v>
      </c>
      <c r="U62" s="157">
        <f t="shared" si="191"/>
        <v>149.40179840123335</v>
      </c>
      <c r="V62" s="157">
        <f t="shared" si="191"/>
        <v>158.27715276170272</v>
      </c>
      <c r="W62" s="157">
        <f t="shared" si="191"/>
        <v>167.67975589606124</v>
      </c>
      <c r="X62" s="157">
        <f t="shared" si="191"/>
        <v>177.64092951364907</v>
      </c>
      <c r="Y62" s="157">
        <f t="shared" si="191"/>
        <v>188.19385601941045</v>
      </c>
      <c r="Z62" s="157">
        <f t="shared" si="191"/>
        <v>199.37368905026653</v>
      </c>
      <c r="AA62" s="157">
        <f t="shared" si="191"/>
        <v>211.21767057800508</v>
      </c>
      <c r="AB62" s="157">
        <f t="shared" si="191"/>
        <v>223.76525496877773</v>
      </c>
      <c r="AC62" s="157">
        <f t="shared" si="191"/>
        <v>237.0582404124674</v>
      </c>
      <c r="AD62" s="138">
        <f t="shared" si="167"/>
        <v>0.19288901598962371</v>
      </c>
      <c r="AE62" s="31">
        <f t="shared" si="15"/>
        <v>0.05</v>
      </c>
      <c r="AF62" s="146">
        <f t="shared" si="168"/>
        <v>1464.1832496064167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1.8537074148296593</v>
      </c>
      <c r="H64" s="144">
        <f t="shared" si="192"/>
        <v>0.85170340681362722</v>
      </c>
      <c r="I64" s="144">
        <f t="shared" si="192"/>
        <v>7.915831663326653</v>
      </c>
      <c r="J64" s="144">
        <f t="shared" si="192"/>
        <v>1.753507014028056</v>
      </c>
      <c r="K64" s="144">
        <f t="shared" si="192"/>
        <v>6.5631262525050094</v>
      </c>
      <c r="L64" s="144">
        <f t="shared" si="192"/>
        <v>11.022044088176353</v>
      </c>
      <c r="M64" s="144">
        <f t="shared" si="192"/>
        <v>95.541082164328657</v>
      </c>
      <c r="N64" s="144">
        <f t="shared" si="192"/>
        <v>3.6072144288577155</v>
      </c>
      <c r="O64" s="144">
        <f t="shared" si="192"/>
        <v>3.8076152304609217</v>
      </c>
      <c r="P64" s="144">
        <f t="shared" si="192"/>
        <v>9.0681362725450896</v>
      </c>
      <c r="Q64" s="144">
        <f t="shared" ref="Q64" si="193">Q12/Q42</f>
        <v>5.9619238476953909</v>
      </c>
      <c r="R64" s="118">
        <f>((P64/G64)^(1/($H$2-$H$1) ))-1</f>
        <v>0.19291236153930447</v>
      </c>
      <c r="S64" s="128"/>
      <c r="T64" s="157">
        <f t="shared" ref="T64:AC64" si="194">T12/T42</f>
        <v>6.3160975416178893</v>
      </c>
      <c r="U64" s="157">
        <f t="shared" si="194"/>
        <v>6.6913112569615274</v>
      </c>
      <c r="V64" s="157">
        <f t="shared" si="194"/>
        <v>7.0888148959889463</v>
      </c>
      <c r="W64" s="157">
        <f t="shared" si="194"/>
        <v>7.5099326125823493</v>
      </c>
      <c r="X64" s="157">
        <f t="shared" si="194"/>
        <v>7.9560672232308063</v>
      </c>
      <c r="Y64" s="157">
        <f t="shared" si="194"/>
        <v>8.4287048800563991</v>
      </c>
      <c r="Z64" s="157">
        <f t="shared" si="194"/>
        <v>8.929420021445889</v>
      </c>
      <c r="AA64" s="157">
        <f t="shared" si="194"/>
        <v>9.4598806167793086</v>
      </c>
      <c r="AB64" s="157">
        <f t="shared" si="194"/>
        <v>10.021853722726597</v>
      </c>
      <c r="AC64" s="157">
        <f t="shared" si="194"/>
        <v>10.617211369621245</v>
      </c>
      <c r="AD64" s="138">
        <f t="shared" si="167"/>
        <v>9.1185192218169675E-2</v>
      </c>
      <c r="AE64" s="31">
        <f t="shared" si="15"/>
        <v>0.05</v>
      </c>
      <c r="AF64" s="146">
        <f t="shared" si="168"/>
        <v>65.57689375354299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78.406813627254508</v>
      </c>
      <c r="H65" s="144">
        <f t="shared" si="195"/>
        <v>101.50300601202404</v>
      </c>
      <c r="I65" s="144">
        <f t="shared" si="195"/>
        <v>103.2565130260521</v>
      </c>
      <c r="J65" s="144">
        <f t="shared" si="195"/>
        <v>98.847695390781553</v>
      </c>
      <c r="K65" s="144">
        <f t="shared" si="195"/>
        <v>128.5571142284569</v>
      </c>
      <c r="L65" s="144">
        <f t="shared" si="195"/>
        <v>168.73747494989979</v>
      </c>
      <c r="M65" s="144">
        <f t="shared" si="195"/>
        <v>196.6432865731463</v>
      </c>
      <c r="N65" s="144">
        <f t="shared" si="195"/>
        <v>256.91382765531063</v>
      </c>
      <c r="O65" s="144">
        <f t="shared" si="195"/>
        <v>198.59719438877755</v>
      </c>
      <c r="P65" s="144">
        <f t="shared" si="195"/>
        <v>181.51302605210421</v>
      </c>
      <c r="Q65" s="144">
        <f t="shared" ref="Q65" si="196">Q13/Q42</f>
        <v>181.51302605210421</v>
      </c>
      <c r="R65" s="118">
        <f>((P65/G65)^(1/($H$2-$H$1) ))-1</f>
        <v>9.7756454030746287E-2</v>
      </c>
      <c r="S65" s="128"/>
      <c r="T65" s="157">
        <f t="shared" ref="T65:AC65" si="197">T13/T42</f>
        <v>192.29597809480347</v>
      </c>
      <c r="U65" s="157">
        <f t="shared" si="197"/>
        <v>203.71950154597994</v>
      </c>
      <c r="V65" s="157">
        <f t="shared" si="197"/>
        <v>215.82165015267182</v>
      </c>
      <c r="W65" s="157">
        <f t="shared" si="197"/>
        <v>228.64273828055332</v>
      </c>
      <c r="X65" s="157">
        <f t="shared" si="197"/>
        <v>242.22547520811096</v>
      </c>
      <c r="Y65" s="157">
        <f t="shared" si="197"/>
        <v>256.6151073986918</v>
      </c>
      <c r="Z65" s="157">
        <f t="shared" si="197"/>
        <v>271.85956922435673</v>
      </c>
      <c r="AA65" s="157">
        <f t="shared" si="197"/>
        <v>288.00964264362545</v>
      </c>
      <c r="AB65" s="157">
        <f t="shared" si="197"/>
        <v>305.11912636502899</v>
      </c>
      <c r="AC65" s="157">
        <f t="shared" si="197"/>
        <v>323.24501505998114</v>
      </c>
      <c r="AD65" s="138">
        <f t="shared" si="167"/>
        <v>7.3393352932874079E-2</v>
      </c>
      <c r="AE65" s="31">
        <f t="shared" si="15"/>
        <v>0.05</v>
      </c>
      <c r="AF65" s="146">
        <f t="shared" si="168"/>
        <v>1996.5133283116484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80.260521042084164</v>
      </c>
      <c r="H66" s="144">
        <f t="shared" si="198"/>
        <v>102.35470941883767</v>
      </c>
      <c r="I66" s="144">
        <f t="shared" si="198"/>
        <v>111.17234468937876</v>
      </c>
      <c r="J66" s="144">
        <f t="shared" si="198"/>
        <v>100.60120240480961</v>
      </c>
      <c r="K66" s="144">
        <f t="shared" si="198"/>
        <v>135.12024048096191</v>
      </c>
      <c r="L66" s="144">
        <f t="shared" si="198"/>
        <v>179.75951903807615</v>
      </c>
      <c r="M66" s="144">
        <f t="shared" si="198"/>
        <v>292.18436873747498</v>
      </c>
      <c r="N66" s="144">
        <f t="shared" si="198"/>
        <v>260.52104208416836</v>
      </c>
      <c r="O66" s="144">
        <f t="shared" ref="O66" si="199">(O64+O65)</f>
        <v>202.40480961923848</v>
      </c>
      <c r="P66" s="144">
        <f t="shared" si="198"/>
        <v>190.58116232464931</v>
      </c>
      <c r="Q66" s="144">
        <f t="shared" ref="Q66" si="200">(Q64+Q65)</f>
        <v>187.47494989979961</v>
      </c>
      <c r="R66" s="118">
        <f>((P66/G66)^(1/($H$2-$H$1) ))-1</f>
        <v>0.10085694980340243</v>
      </c>
      <c r="S66" s="128"/>
      <c r="T66" s="157">
        <f t="shared" ref="T66:AC66" si="201">(T64+T65)</f>
        <v>198.61207563642137</v>
      </c>
      <c r="U66" s="157">
        <f t="shared" si="201"/>
        <v>210.41081280294148</v>
      </c>
      <c r="V66" s="157">
        <f t="shared" si="201"/>
        <v>222.91046504866077</v>
      </c>
      <c r="W66" s="157">
        <f t="shared" si="201"/>
        <v>236.15267089313568</v>
      </c>
      <c r="X66" s="157">
        <f t="shared" si="201"/>
        <v>250.18154243134177</v>
      </c>
      <c r="Y66" s="157">
        <f t="shared" si="201"/>
        <v>265.04381227874819</v>
      </c>
      <c r="Z66" s="157">
        <f t="shared" si="201"/>
        <v>280.78898924580261</v>
      </c>
      <c r="AA66" s="157">
        <f t="shared" si="201"/>
        <v>297.46952326040474</v>
      </c>
      <c r="AB66" s="157">
        <f t="shared" si="201"/>
        <v>315.14098008775557</v>
      </c>
      <c r="AC66" s="157">
        <f t="shared" si="201"/>
        <v>333.8622264296024</v>
      </c>
      <c r="AD66" s="138">
        <f t="shared" si="167"/>
        <v>7.3873846438216706E-2</v>
      </c>
      <c r="AE66" s="31">
        <f t="shared" si="15"/>
        <v>0.05</v>
      </c>
      <c r="AF66" s="146">
        <f t="shared" si="168"/>
        <v>2062.0902220651919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13.476953907815631</v>
      </c>
      <c r="H67" s="144">
        <f t="shared" si="202"/>
        <v>15.581162324649299</v>
      </c>
      <c r="I67" s="144">
        <f t="shared" si="202"/>
        <v>20.440881763527052</v>
      </c>
      <c r="J67" s="144">
        <f t="shared" si="202"/>
        <v>32.364729458917836</v>
      </c>
      <c r="K67" s="144">
        <f t="shared" si="202"/>
        <v>37.324649298597194</v>
      </c>
      <c r="L67" s="144">
        <f t="shared" si="202"/>
        <v>34.769539078156313</v>
      </c>
      <c r="M67" s="144">
        <f t="shared" si="202"/>
        <v>120.64128256513025</v>
      </c>
      <c r="N67" s="144">
        <f t="shared" si="202"/>
        <v>35.220440881763523</v>
      </c>
      <c r="O67" s="144">
        <f t="shared" si="202"/>
        <v>50.300601202404806</v>
      </c>
      <c r="P67" s="144">
        <f t="shared" si="202"/>
        <v>74.24849699398797</v>
      </c>
      <c r="Q67" s="144">
        <f t="shared" ref="Q67" si="203">Q15/Q42</f>
        <v>74.24849699398797</v>
      </c>
      <c r="R67" s="118">
        <f>((P67/G67)^(1/($H$2-$H$1) ))-1</f>
        <v>0.20877088686820144</v>
      </c>
      <c r="S67" s="128"/>
      <c r="T67" s="157">
        <f t="shared" ref="T67:AC67" si="204">T15/T42</f>
        <v>78.659298795611022</v>
      </c>
      <c r="U67" s="157">
        <f t="shared" si="204"/>
        <v>83.332128427033467</v>
      </c>
      <c r="V67" s="157">
        <f t="shared" si="204"/>
        <v>88.282551897946348</v>
      </c>
      <c r="W67" s="157">
        <f t="shared" si="204"/>
        <v>93.527059931487727</v>
      </c>
      <c r="X67" s="157">
        <f t="shared" si="204"/>
        <v>99.08312289771473</v>
      </c>
      <c r="Y67" s="157">
        <f t="shared" si="204"/>
        <v>104.96924901045027</v>
      </c>
      <c r="Z67" s="157">
        <f t="shared" si="204"/>
        <v>111.20504598136812</v>
      </c>
      <c r="AA67" s="157">
        <f t="shared" si="204"/>
        <v>117.81128633669692</v>
      </c>
      <c r="AB67" s="157">
        <f t="shared" si="204"/>
        <v>124.80997661412448</v>
      </c>
      <c r="AC67" s="157">
        <f t="shared" si="204"/>
        <v>132.22443067040911</v>
      </c>
      <c r="AD67" s="138">
        <f t="shared" si="167"/>
        <v>0.120949372336286</v>
      </c>
      <c r="AE67" s="31">
        <f t="shared" si="15"/>
        <v>0.05</v>
      </c>
      <c r="AF67" s="146">
        <f t="shared" si="168"/>
        <v>816.68030708193862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-42.084168336673343</v>
      </c>
      <c r="H68" s="144">
        <f t="shared" si="205"/>
        <v>-52.404809619238478</v>
      </c>
      <c r="I68" s="144">
        <f t="shared" si="205"/>
        <v>-43.086172344689373</v>
      </c>
      <c r="J68" s="144">
        <f t="shared" si="205"/>
        <v>-34.769539078156313</v>
      </c>
      <c r="K68" s="144">
        <f t="shared" si="205"/>
        <v>-50.751503006012022</v>
      </c>
      <c r="L68" s="144">
        <f t="shared" si="205"/>
        <v>-59.268537074148291</v>
      </c>
      <c r="M68" s="144">
        <f t="shared" si="205"/>
        <v>-105.26052104208416</v>
      </c>
      <c r="N68" s="144">
        <f t="shared" si="205"/>
        <v>-244.78957915831663</v>
      </c>
      <c r="O68" s="144">
        <f t="shared" si="205"/>
        <v>-133.21643286573146</v>
      </c>
      <c r="P68" s="144">
        <f t="shared" si="205"/>
        <v>-72.545090180360717</v>
      </c>
      <c r="Q68" s="144">
        <f t="shared" ref="Q68" si="206">Q16/Q42</f>
        <v>-72.545090180360717</v>
      </c>
      <c r="R68" s="118">
        <f>((P68/G68)^(1/($H$2-$H$1) ))-1</f>
        <v>6.2371927448137798E-2</v>
      </c>
      <c r="S68" s="128"/>
      <c r="T68" s="157">
        <f t="shared" ref="T68:AC68" si="207">T16/T42</f>
        <v>-76.854699498005914</v>
      </c>
      <c r="U68" s="157">
        <f t="shared" si="207"/>
        <v>-81.420325210758747</v>
      </c>
      <c r="V68" s="157">
        <f t="shared" si="207"/>
        <v>-86.257176213378088</v>
      </c>
      <c r="W68" s="157">
        <f t="shared" si="207"/>
        <v>-91.381364899321355</v>
      </c>
      <c r="X68" s="157">
        <f t="shared" si="207"/>
        <v>-96.809960833934511</v>
      </c>
      <c r="Y68" s="157">
        <f t="shared" si="207"/>
        <v>-102.56104761614844</v>
      </c>
      <c r="Z68" s="157">
        <f t="shared" si="207"/>
        <v>-108.65378311809788</v>
      </c>
      <c r="AA68" s="157">
        <f t="shared" si="207"/>
        <v>-115.1084633033314</v>
      </c>
      <c r="AB68" s="157">
        <f t="shared" si="207"/>
        <v>-121.94658983620259</v>
      </c>
      <c r="AC68" s="157">
        <f t="shared" si="207"/>
        <v>-129.19094170766016</v>
      </c>
      <c r="AD68" s="138">
        <f t="shared" si="167"/>
        <v>5.7683345072747194E-2</v>
      </c>
      <c r="AE68" s="137"/>
      <c r="AF68" s="146">
        <f t="shared" si="168"/>
        <v>-587.23155321663705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20</v>
      </c>
      <c r="H70" s="159">
        <f t="shared" si="208"/>
        <v>20</v>
      </c>
      <c r="I70" s="159">
        <f t="shared" si="208"/>
        <v>20</v>
      </c>
      <c r="J70" s="159">
        <f t="shared" si="208"/>
        <v>17</v>
      </c>
      <c r="K70" s="159">
        <f t="shared" si="208"/>
        <v>19</v>
      </c>
      <c r="L70" s="159">
        <f t="shared" si="208"/>
        <v>20</v>
      </c>
      <c r="M70" s="159">
        <f t="shared" si="208"/>
        <v>110</v>
      </c>
      <c r="N70" s="159">
        <f t="shared" si="208"/>
        <v>105</v>
      </c>
      <c r="O70" s="159">
        <f t="shared" si="208"/>
        <v>45</v>
      </c>
      <c r="P70" s="159">
        <f t="shared" si="208"/>
        <v>60</v>
      </c>
      <c r="Q70" s="159">
        <f t="shared" ref="Q70" si="209">Q44</f>
        <v>65</v>
      </c>
      <c r="R70" s="118">
        <f>((P70/G70)^(1/($H$2-$H$1) ))-1</f>
        <v>0.12983096390975302</v>
      </c>
      <c r="S70" s="128"/>
      <c r="T70" s="159">
        <f t="shared" ref="T70:AC70" si="210">T44</f>
        <v>68.25</v>
      </c>
      <c r="U70" s="159">
        <f t="shared" si="210"/>
        <v>71.662500000000009</v>
      </c>
      <c r="V70" s="159">
        <f t="shared" si="210"/>
        <v>75.245625000000018</v>
      </c>
      <c r="W70" s="159">
        <f t="shared" si="210"/>
        <v>79.007906250000019</v>
      </c>
      <c r="X70" s="159">
        <f t="shared" si="210"/>
        <v>82.958301562500026</v>
      </c>
      <c r="Y70" s="159">
        <f t="shared" si="210"/>
        <v>87.106216640625036</v>
      </c>
      <c r="Z70" s="159">
        <f t="shared" si="210"/>
        <v>91.461527472656286</v>
      </c>
      <c r="AA70" s="159">
        <f t="shared" si="210"/>
        <v>96.034603846289102</v>
      </c>
      <c r="AB70" s="159">
        <f t="shared" si="210"/>
        <v>100.83633403860357</v>
      </c>
      <c r="AC70" s="159">
        <f t="shared" si="210"/>
        <v>105.87815074053375</v>
      </c>
      <c r="AD70" s="138">
        <f t="shared" ref="AD70" si="211">((AC70/G70)^(1/($AC$3-$H$1) ))-1</f>
        <v>8.6898070009463257E-2</v>
      </c>
      <c r="AE70" s="31">
        <f t="shared" si="15"/>
        <v>0.05</v>
      </c>
      <c r="AF70" s="146">
        <f t="shared" si="168"/>
        <v>653.95328398564982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597</v>
      </c>
      <c r="H72" s="144">
        <f t="shared" si="212"/>
        <v>184</v>
      </c>
      <c r="I72" s="144">
        <f t="shared" si="212"/>
        <v>613</v>
      </c>
      <c r="J72" s="144">
        <f t="shared" si="212"/>
        <v>352</v>
      </c>
      <c r="K72" s="144">
        <f t="shared" si="212"/>
        <v>430</v>
      </c>
      <c r="L72" s="144">
        <f t="shared" si="212"/>
        <v>498</v>
      </c>
      <c r="M72" s="144">
        <f t="shared" si="212"/>
        <v>2159</v>
      </c>
      <c r="N72" s="144">
        <f t="shared" si="212"/>
        <v>966</v>
      </c>
      <c r="O72" s="144">
        <f t="shared" si="212"/>
        <v>2452</v>
      </c>
      <c r="P72" s="144">
        <f t="shared" si="212"/>
        <v>1157</v>
      </c>
      <c r="Q72" s="144">
        <f t="shared" ref="Q72" si="213">Q20+Q21</f>
        <v>1157</v>
      </c>
      <c r="R72" s="118">
        <f>((P72/G72)^(1/($H$2-$H$1) ))-1</f>
        <v>7.6288700608436066E-2</v>
      </c>
      <c r="S72" s="128"/>
      <c r="T72" s="144">
        <f t="shared" ref="T72:AC72" si="214">T20+T21</f>
        <v>1237.9900000000002</v>
      </c>
      <c r="U72" s="144">
        <f t="shared" si="214"/>
        <v>1324.6493000000003</v>
      </c>
      <c r="V72" s="144">
        <f t="shared" si="214"/>
        <v>1417.3747510000005</v>
      </c>
      <c r="W72" s="144">
        <f t="shared" si="214"/>
        <v>1516.5909835700008</v>
      </c>
      <c r="X72" s="144">
        <f t="shared" si="214"/>
        <v>1622.7523524199009</v>
      </c>
      <c r="Y72" s="144">
        <f t="shared" si="214"/>
        <v>1736.3450170892943</v>
      </c>
      <c r="Z72" s="144">
        <f t="shared" si="214"/>
        <v>1857.8891682855451</v>
      </c>
      <c r="AA72" s="144">
        <f t="shared" si="214"/>
        <v>1987.9414100655335</v>
      </c>
      <c r="AB72" s="144">
        <f t="shared" si="214"/>
        <v>2127.0973087701213</v>
      </c>
      <c r="AC72" s="144">
        <f t="shared" si="214"/>
        <v>2275.9941203840299</v>
      </c>
      <c r="AD72" s="138">
        <f t="shared" ref="AD72:AD77" si="215">((AC72/G72)^(1/($AC$3-$H$1) ))-1</f>
        <v>6.9202191481968045E-2</v>
      </c>
      <c r="AE72" s="31">
        <f t="shared" si="15"/>
        <v>0.05</v>
      </c>
      <c r="AF72" s="146">
        <f t="shared" si="168"/>
        <v>14057.610743548421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29.909819639278556</v>
      </c>
      <c r="H74" s="144">
        <f t="shared" si="216"/>
        <v>9.2184368737474944</v>
      </c>
      <c r="I74" s="144">
        <f t="shared" si="216"/>
        <v>30.711422845691381</v>
      </c>
      <c r="J74" s="144">
        <f t="shared" si="216"/>
        <v>17.635270541082164</v>
      </c>
      <c r="K74" s="144">
        <f t="shared" si="216"/>
        <v>21.543086172344687</v>
      </c>
      <c r="L74" s="144">
        <f t="shared" si="216"/>
        <v>24.949899799599198</v>
      </c>
      <c r="M74" s="144">
        <f t="shared" si="216"/>
        <v>108.16633266533066</v>
      </c>
      <c r="N74" s="144">
        <f t="shared" si="216"/>
        <v>48.396793587174344</v>
      </c>
      <c r="O74" s="144">
        <f t="shared" si="216"/>
        <v>122.84569138276552</v>
      </c>
      <c r="P74" s="144">
        <f t="shared" si="216"/>
        <v>57.965931863727455</v>
      </c>
      <c r="Q74" s="144">
        <f t="shared" ref="Q74" si="217">Q72/Q42</f>
        <v>57.965931863727455</v>
      </c>
      <c r="R74" s="118">
        <f>((P74/G74)^(1/($H$2-$H$1) ))-1</f>
        <v>7.6288700608436066E-2</v>
      </c>
      <c r="S74" s="128"/>
      <c r="T74" s="146">
        <f t="shared" ref="T74:AC74" si="218">T72/T42</f>
        <v>61.409452568503355</v>
      </c>
      <c r="U74" s="146">
        <f t="shared" si="218"/>
        <v>65.05753885970158</v>
      </c>
      <c r="V74" s="146">
        <f t="shared" si="218"/>
        <v>68.922343148396735</v>
      </c>
      <c r="W74" s="146">
        <f t="shared" si="218"/>
        <v>73.016739771073773</v>
      </c>
      <c r="X74" s="146">
        <f t="shared" si="218"/>
        <v>77.354367876286091</v>
      </c>
      <c r="Y74" s="146">
        <f t="shared" si="218"/>
        <v>81.949676859035762</v>
      </c>
      <c r="Z74" s="146">
        <f t="shared" si="218"/>
        <v>86.817974494226021</v>
      </c>
      <c r="AA74" s="146">
        <f t="shared" si="218"/>
        <v>91.975477929526605</v>
      </c>
      <c r="AB74" s="146">
        <f t="shared" si="218"/>
        <v>97.439367707518301</v>
      </c>
      <c r="AC74" s="146">
        <f t="shared" si="218"/>
        <v>103.22784499707384</v>
      </c>
      <c r="AD74" s="138">
        <f t="shared" si="215"/>
        <v>6.3895944378580261E-2</v>
      </c>
      <c r="AE74" s="31">
        <f t="shared" si="15"/>
        <v>0.05</v>
      </c>
      <c r="AF74" s="146">
        <f t="shared" si="168"/>
        <v>637.58374851133851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48.747494989979955</v>
      </c>
      <c r="H75" s="144">
        <f t="shared" si="219"/>
        <v>37.374749498997993</v>
      </c>
      <c r="I75" s="144">
        <f t="shared" si="219"/>
        <v>46.893787575150299</v>
      </c>
      <c r="J75" s="144">
        <f t="shared" si="219"/>
        <v>31.312625250501</v>
      </c>
      <c r="K75" s="144">
        <f t="shared" si="219"/>
        <v>60.671342685370739</v>
      </c>
      <c r="L75" s="144">
        <f t="shared" si="219"/>
        <v>68.086172344689373</v>
      </c>
      <c r="M75" s="144">
        <f t="shared" si="219"/>
        <v>134.5691382765531</v>
      </c>
      <c r="N75" s="144">
        <f t="shared" si="219"/>
        <v>114.62925851703406</v>
      </c>
      <c r="O75" s="144">
        <f t="shared" si="219"/>
        <v>118.18637274549097</v>
      </c>
      <c r="P75" s="144">
        <f t="shared" si="219"/>
        <v>94.68937875751503</v>
      </c>
      <c r="Q75" s="144">
        <f t="shared" ref="Q75" si="220">Q20/Q42</f>
        <v>94.68937875751503</v>
      </c>
      <c r="R75" s="118">
        <f>((P75/G75)^(1/($H$2-$H$1) ))-1</f>
        <v>7.6561324625040728E-2</v>
      </c>
      <c r="S75" s="128"/>
      <c r="T75" s="146">
        <f t="shared" ref="T75:AC75" si="221">T20/T42</f>
        <v>100.31449036687236</v>
      </c>
      <c r="U75" s="146">
        <f t="shared" si="221"/>
        <v>106.27376702233013</v>
      </c>
      <c r="V75" s="146">
        <f t="shared" si="221"/>
        <v>112.58706011276561</v>
      </c>
      <c r="W75" s="146">
        <f t="shared" si="221"/>
        <v>119.27540031748437</v>
      </c>
      <c r="X75" s="146">
        <f t="shared" si="221"/>
        <v>126.36106766307752</v>
      </c>
      <c r="Y75" s="146">
        <f t="shared" si="221"/>
        <v>133.86766574207223</v>
      </c>
      <c r="Z75" s="146">
        <f t="shared" si="221"/>
        <v>141.82020034061119</v>
      </c>
      <c r="AA75" s="146">
        <f t="shared" si="221"/>
        <v>150.24516273708318</v>
      </c>
      <c r="AB75" s="146">
        <f t="shared" si="221"/>
        <v>159.17061794918715</v>
      </c>
      <c r="AC75" s="146">
        <f t="shared" si="221"/>
        <v>168.62629822339628</v>
      </c>
      <c r="AD75" s="138">
        <f t="shared" si="215"/>
        <v>6.4017204151135321E-2</v>
      </c>
      <c r="AE75" s="31">
        <f t="shared" si="15"/>
        <v>0.05</v>
      </c>
      <c r="AF75" s="146">
        <f t="shared" si="168"/>
        <v>1041.5153713798009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-18.837675350701403</v>
      </c>
      <c r="H76" s="144">
        <f t="shared" si="222"/>
        <v>-28.1563126252505</v>
      </c>
      <c r="I76" s="144">
        <f t="shared" si="222"/>
        <v>-16.182364729458918</v>
      </c>
      <c r="J76" s="144">
        <f t="shared" si="222"/>
        <v>-13.677354709418838</v>
      </c>
      <c r="K76" s="144">
        <f t="shared" si="222"/>
        <v>-39.128256513026052</v>
      </c>
      <c r="L76" s="144">
        <f t="shared" si="222"/>
        <v>-43.136272545090179</v>
      </c>
      <c r="M76" s="144">
        <f t="shared" si="222"/>
        <v>-26.402805611222444</v>
      </c>
      <c r="N76" s="144">
        <f t="shared" si="222"/>
        <v>-66.232464929859717</v>
      </c>
      <c r="O76" s="144">
        <f t="shared" si="222"/>
        <v>4.6593186372745485</v>
      </c>
      <c r="P76" s="144">
        <f t="shared" si="222"/>
        <v>-36.723446893787575</v>
      </c>
      <c r="Q76" s="144">
        <f t="shared" ref="Q76" si="223">Q21/Q42</f>
        <v>-36.723446893787575</v>
      </c>
      <c r="R76" s="118">
        <f>((P76/G76)^(1/($H$2-$H$1) ))-1</f>
        <v>7.6993056355493472E-2</v>
      </c>
      <c r="S76" s="128"/>
      <c r="T76" s="146">
        <f t="shared" ref="T76:AC76" si="224">T21/T42</f>
        <v>-38.905037798369015</v>
      </c>
      <c r="U76" s="146">
        <f t="shared" si="224"/>
        <v>-41.216228162628568</v>
      </c>
      <c r="V76" s="146">
        <f t="shared" si="224"/>
        <v>-43.664716964368878</v>
      </c>
      <c r="W76" s="146">
        <f t="shared" si="224"/>
        <v>-46.258660546410596</v>
      </c>
      <c r="X76" s="146">
        <f t="shared" si="224"/>
        <v>-49.00669978679143</v>
      </c>
      <c r="Y76" s="146">
        <f t="shared" si="224"/>
        <v>-51.917988883036465</v>
      </c>
      <c r="Z76" s="146">
        <f t="shared" si="224"/>
        <v>-55.002225846385173</v>
      </c>
      <c r="AA76" s="146">
        <f t="shared" si="224"/>
        <v>-58.26968480755658</v>
      </c>
      <c r="AB76" s="146">
        <f t="shared" si="224"/>
        <v>-61.731250241668853</v>
      </c>
      <c r="AC76" s="146">
        <f t="shared" si="224"/>
        <v>-65.398453226322445</v>
      </c>
      <c r="AD76" s="138">
        <f t="shared" si="215"/>
        <v>6.420919851101603E-2</v>
      </c>
      <c r="AE76" s="31">
        <f t="shared" si="15"/>
        <v>0.05</v>
      </c>
      <c r="AF76" s="146">
        <f t="shared" si="168"/>
        <v>-403.93162286846223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-29.208416833667332</v>
      </c>
      <c r="H77" s="144">
        <f t="shared" si="225"/>
        <v>-10.170340681362726</v>
      </c>
      <c r="I77" s="144">
        <f t="shared" si="225"/>
        <v>-23.597194388777552</v>
      </c>
      <c r="J77" s="144">
        <f t="shared" si="225"/>
        <v>-23.747494989979959</v>
      </c>
      <c r="K77" s="144">
        <f t="shared" si="225"/>
        <v>-21.643286573146291</v>
      </c>
      <c r="L77" s="144">
        <f t="shared" si="225"/>
        <v>-25.050100200400802</v>
      </c>
      <c r="M77" s="144">
        <f t="shared" si="225"/>
        <v>-105.66132264529058</v>
      </c>
      <c r="N77" s="144">
        <f t="shared" si="225"/>
        <v>-49.599198396793582</v>
      </c>
      <c r="O77" s="144">
        <f t="shared" si="225"/>
        <v>-123.14629258517033</v>
      </c>
      <c r="P77" s="144">
        <f t="shared" si="225"/>
        <v>-52.905811623246493</v>
      </c>
      <c r="Q77" s="144">
        <f t="shared" ref="Q77" si="226">Q22/Q42</f>
        <v>-52.905811623246493</v>
      </c>
      <c r="R77" s="118">
        <f>((P77/G77)^(1/($H$2-$H$1) ))-1</f>
        <v>6.8233396917228184E-2</v>
      </c>
      <c r="S77" s="128"/>
      <c r="T77" s="146">
        <f t="shared" ref="T77:AC77" si="227">T22/T42</f>
        <v>-56.048731125617572</v>
      </c>
      <c r="U77" s="146">
        <f t="shared" si="227"/>
        <v>-59.378358717238434</v>
      </c>
      <c r="V77" s="146">
        <f t="shared" si="227"/>
        <v>-62.90578596776745</v>
      </c>
      <c r="W77" s="146">
        <f t="shared" si="227"/>
        <v>-66.642763351991263</v>
      </c>
      <c r="X77" s="146">
        <f t="shared" si="227"/>
        <v>-70.601739392703621</v>
      </c>
      <c r="Y77" s="146">
        <f t="shared" si="227"/>
        <v>-74.795902128903847</v>
      </c>
      <c r="Z77" s="146">
        <f t="shared" si="227"/>
        <v>-79.239223047452597</v>
      </c>
      <c r="AA77" s="146">
        <f t="shared" si="227"/>
        <v>-83.946503624529001</v>
      </c>
      <c r="AB77" s="146">
        <f t="shared" si="227"/>
        <v>-88.933424631926769</v>
      </c>
      <c r="AC77" s="146">
        <f t="shared" si="227"/>
        <v>-94.216598372437261</v>
      </c>
      <c r="AD77" s="138">
        <f t="shared" si="215"/>
        <v>6.0305392441322603E-2</v>
      </c>
      <c r="AE77" s="31">
        <f t="shared" si="15"/>
        <v>0.05</v>
      </c>
      <c r="AF77" s="146">
        <f t="shared" si="168"/>
        <v>-581.92604877093606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1.8537074148296593</v>
      </c>
      <c r="H78" s="144">
        <f t="shared" si="228"/>
        <v>0.90180360721442887</v>
      </c>
      <c r="I78" s="144">
        <f t="shared" si="228"/>
        <v>7.9659318637274543</v>
      </c>
      <c r="J78" s="144">
        <f t="shared" si="228"/>
        <v>1.8036072144288577</v>
      </c>
      <c r="K78" s="144">
        <f t="shared" si="228"/>
        <v>0.75150300601202402</v>
      </c>
      <c r="L78" s="144">
        <f t="shared" si="228"/>
        <v>0.65130260521042083</v>
      </c>
      <c r="M78" s="144">
        <f t="shared" si="228"/>
        <v>3.1563126252505009</v>
      </c>
      <c r="N78" s="144">
        <f t="shared" si="228"/>
        <v>1.9539078156312624</v>
      </c>
      <c r="O78" s="144">
        <f t="shared" si="228"/>
        <v>1.7034068136272544</v>
      </c>
      <c r="P78" s="144">
        <f t="shared" si="228"/>
        <v>6.7635270541082164</v>
      </c>
      <c r="Q78" s="144">
        <f t="shared" ref="Q78" si="229">Q23/Q42</f>
        <v>6.7635270541082164</v>
      </c>
      <c r="R78" s="118">
        <f>((P78/G78)^(1/($H$2-$H$1) ))-1</f>
        <v>0.15467328003964376</v>
      </c>
      <c r="S78" s="128"/>
      <c r="T78" s="146">
        <f t="shared" ref="T78:AC78" si="230">T23/T42</f>
        <v>7.1653207404908832</v>
      </c>
      <c r="U78" s="146">
        <f t="shared" si="230"/>
        <v>7.5909833587378674</v>
      </c>
      <c r="V78" s="146">
        <f t="shared" si="230"/>
        <v>8.041932865197543</v>
      </c>
      <c r="W78" s="146">
        <f t="shared" si="230"/>
        <v>8.5196714512488825</v>
      </c>
      <c r="X78" s="146">
        <f t="shared" si="230"/>
        <v>9.0257905473626785</v>
      </c>
      <c r="Y78" s="146">
        <f t="shared" si="230"/>
        <v>9.5619761244337287</v>
      </c>
      <c r="Z78" s="146">
        <f t="shared" si="230"/>
        <v>10.130014310043654</v>
      </c>
      <c r="AA78" s="146">
        <f t="shared" si="230"/>
        <v>10.73179733836308</v>
      </c>
      <c r="AB78" s="146">
        <f t="shared" si="230"/>
        <v>11.369329853513364</v>
      </c>
      <c r="AC78" s="146">
        <f t="shared" si="230"/>
        <v>12.044735587385444</v>
      </c>
      <c r="AD78" s="138">
        <f t="shared" ref="AD78" si="231">((AC78/G78)^(1/($AC$3-$H$1) ))-1</f>
        <v>9.8089665256877234E-2</v>
      </c>
      <c r="AE78" s="31">
        <f t="shared" si="15"/>
        <v>0.05</v>
      </c>
      <c r="AF78" s="146">
        <f t="shared" si="168"/>
        <v>74.393955098557171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50.200400801603202</v>
      </c>
      <c r="H80" s="144">
        <f t="shared" si="232"/>
        <v>59.418837675350701</v>
      </c>
      <c r="I80" s="144">
        <f t="shared" si="232"/>
        <v>69.238476953907806</v>
      </c>
      <c r="J80" s="144">
        <f t="shared" si="232"/>
        <v>60.170340681362724</v>
      </c>
      <c r="K80" s="144">
        <f t="shared" si="232"/>
        <v>68.486973947895791</v>
      </c>
      <c r="L80" s="144">
        <f t="shared" si="232"/>
        <v>87.825651302605209</v>
      </c>
      <c r="M80" s="144">
        <f t="shared" si="232"/>
        <v>137.42484969939881</v>
      </c>
      <c r="N80" s="144">
        <f t="shared" si="232"/>
        <v>130.11022044088176</v>
      </c>
      <c r="O80" s="144">
        <f t="shared" si="232"/>
        <v>182.76553106212424</v>
      </c>
      <c r="P80" s="144">
        <f t="shared" si="232"/>
        <v>166.38276553106212</v>
      </c>
      <c r="Q80" s="144">
        <f t="shared" ref="Q80" si="233">Q36/Q42</f>
        <v>0</v>
      </c>
      <c r="R80" s="118">
        <f>((P80/G80)^(1/($H$2-$H$1) ))-1</f>
        <v>0.14241093235107338</v>
      </c>
      <c r="S80" s="128"/>
      <c r="T80" s="144">
        <f t="shared" ref="T80:AC80" si="234">T36/T42</f>
        <v>0</v>
      </c>
      <c r="U80" s="144">
        <f t="shared" si="234"/>
        <v>0</v>
      </c>
      <c r="V80" s="144">
        <f t="shared" si="234"/>
        <v>0</v>
      </c>
      <c r="W80" s="144">
        <f t="shared" si="234"/>
        <v>0</v>
      </c>
      <c r="X80" s="144">
        <f t="shared" si="234"/>
        <v>0</v>
      </c>
      <c r="Y80" s="144">
        <f t="shared" si="234"/>
        <v>0</v>
      </c>
      <c r="Z80" s="144">
        <f t="shared" si="234"/>
        <v>0</v>
      </c>
      <c r="AA80" s="144">
        <f t="shared" si="234"/>
        <v>0</v>
      </c>
      <c r="AB80" s="144">
        <f t="shared" si="234"/>
        <v>0</v>
      </c>
      <c r="AC80" s="144">
        <f t="shared" si="234"/>
        <v>0</v>
      </c>
      <c r="AD80" s="138">
        <f t="shared" ref="AD80:AD82" si="235">((AC80/G80)^(1/($AC$3-$H$1) ))-1</f>
        <v>-1</v>
      </c>
      <c r="AE80" s="31">
        <f t="shared" si="15"/>
        <v>0.05</v>
      </c>
      <c r="AF80" s="146">
        <f t="shared" si="168"/>
        <v>0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36.472945891783567</v>
      </c>
      <c r="H81" s="144">
        <f t="shared" si="236"/>
        <v>40.581162324649299</v>
      </c>
      <c r="I81" s="144">
        <f t="shared" si="236"/>
        <v>48.647294589178358</v>
      </c>
      <c r="J81" s="144">
        <f t="shared" si="236"/>
        <v>42.985971943887776</v>
      </c>
      <c r="K81" s="144">
        <f t="shared" si="236"/>
        <v>48.496993987975948</v>
      </c>
      <c r="L81" s="144">
        <f t="shared" si="236"/>
        <v>64.178356713426851</v>
      </c>
      <c r="M81" s="144">
        <f t="shared" si="236"/>
        <v>111.77354709418837</v>
      </c>
      <c r="N81" s="144">
        <f t="shared" si="236"/>
        <v>96.543086172344687</v>
      </c>
      <c r="O81" s="144">
        <f t="shared" si="236"/>
        <v>119.13827655310621</v>
      </c>
      <c r="P81" s="144">
        <f t="shared" si="236"/>
        <v>106.11222444889779</v>
      </c>
      <c r="Q81" s="144">
        <f t="shared" ref="Q81" si="237">Q40/Q42</f>
        <v>105.46092184368737</v>
      </c>
      <c r="R81" s="118">
        <f>((P81/G81)^(1/($H$2-$H$1) ))-1</f>
        <v>0.1259853258768493</v>
      </c>
      <c r="S81" s="128"/>
      <c r="T81" s="144">
        <f t="shared" ref="T81:AC81" si="238">T40/T42</f>
        <v>111.7259271017282</v>
      </c>
      <c r="U81" s="144">
        <f t="shared" si="238"/>
        <v>118.3631108899497</v>
      </c>
      <c r="V81" s="144">
        <f t="shared" si="238"/>
        <v>125.39458282400612</v>
      </c>
      <c r="W81" s="144">
        <f t="shared" si="238"/>
        <v>132.8437659620659</v>
      </c>
      <c r="X81" s="144">
        <f t="shared" si="238"/>
        <v>140.73547483109954</v>
      </c>
      <c r="Y81" s="144">
        <f t="shared" si="238"/>
        <v>149.09599808839258</v>
      </c>
      <c r="Z81" s="144">
        <f t="shared" si="238"/>
        <v>157.95318609364364</v>
      </c>
      <c r="AA81" s="144">
        <f t="shared" si="238"/>
        <v>167.33654368336508</v>
      </c>
      <c r="AB81" s="144">
        <f t="shared" si="238"/>
        <v>177.27732845663431</v>
      </c>
      <c r="AC81" s="144">
        <f t="shared" si="238"/>
        <v>187.80865489960266</v>
      </c>
      <c r="AD81" s="138">
        <f t="shared" si="235"/>
        <v>8.5393553892738394E-2</v>
      </c>
      <c r="AE81" s="31">
        <f t="shared" si="15"/>
        <v>0.05</v>
      </c>
      <c r="AF81" s="146">
        <f t="shared" si="168"/>
        <v>1159.9946332034283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55.010020040080157</v>
      </c>
      <c r="H82" s="144">
        <f t="shared" si="239"/>
        <v>72.795591182364731</v>
      </c>
      <c r="I82" s="144">
        <f t="shared" si="239"/>
        <v>98.647294589178358</v>
      </c>
      <c r="J82" s="144">
        <f t="shared" si="239"/>
        <v>121.7434869739479</v>
      </c>
      <c r="K82" s="144">
        <f t="shared" si="239"/>
        <v>147.59519038076152</v>
      </c>
      <c r="L82" s="144">
        <f t="shared" si="239"/>
        <v>188.37675350701403</v>
      </c>
      <c r="M82" s="144">
        <f t="shared" si="239"/>
        <v>171.59318637274549</v>
      </c>
      <c r="N82" s="144">
        <f t="shared" si="239"/>
        <v>146.09218436873746</v>
      </c>
      <c r="O82" s="144">
        <f t="shared" si="239"/>
        <v>212.875751503006</v>
      </c>
      <c r="P82" s="144">
        <f t="shared" si="239"/>
        <v>248.79759519038075</v>
      </c>
      <c r="Q82" s="144">
        <f t="shared" ref="Q82" si="240">Q6/Q42</f>
        <v>279.65931863727451</v>
      </c>
      <c r="R82" s="118">
        <f>((P82/G82)^(1/($H$2-$H$1) ))-1</f>
        <v>0.18255870227364812</v>
      </c>
      <c r="S82" s="128"/>
      <c r="T82" s="144">
        <f t="shared" ref="T82:AC82" si="241">T6/T42</f>
        <v>296.27274350681563</v>
      </c>
      <c r="U82" s="144">
        <f t="shared" si="241"/>
        <v>313.87310450722055</v>
      </c>
      <c r="V82" s="144">
        <f t="shared" si="241"/>
        <v>332.51903150764952</v>
      </c>
      <c r="W82" s="144">
        <f t="shared" si="241"/>
        <v>352.27263733978714</v>
      </c>
      <c r="X82" s="144">
        <f t="shared" si="241"/>
        <v>373.1997247065072</v>
      </c>
      <c r="Y82" s="144">
        <f t="shared" si="241"/>
        <v>395.37000538214124</v>
      </c>
      <c r="Z82" s="144">
        <f t="shared" si="241"/>
        <v>418.85733243454575</v>
      </c>
      <c r="AA82" s="144">
        <f t="shared" si="241"/>
        <v>443.73994624253868</v>
      </c>
      <c r="AB82" s="144">
        <f t="shared" si="241"/>
        <v>470.10073512823408</v>
      </c>
      <c r="AC82" s="144">
        <f t="shared" si="241"/>
        <v>498.02751147248557</v>
      </c>
      <c r="AD82" s="138">
        <f t="shared" si="235"/>
        <v>0.11645333810091829</v>
      </c>
      <c r="AE82" s="31">
        <f t="shared" ref="AE82" si="242">$L$1</f>
        <v>0.05</v>
      </c>
      <c r="AF82" s="146">
        <f t="shared" si="168"/>
        <v>3076.0522767418229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0.16747451111482534</v>
      </c>
      <c r="H86" s="152">
        <f t="shared" si="243"/>
        <v>0.15644374093127555</v>
      </c>
      <c r="I86" s="152">
        <f t="shared" si="243"/>
        <v>0.15538565324938161</v>
      </c>
      <c r="J86" s="152">
        <f t="shared" si="243"/>
        <v>0.11884029289530972</v>
      </c>
      <c r="K86" s="152">
        <f t="shared" si="243"/>
        <v>0.12961031572959136</v>
      </c>
      <c r="L86" s="152">
        <f t="shared" si="243"/>
        <v>0.13947012491049407</v>
      </c>
      <c r="M86" s="152">
        <f t="shared" si="243"/>
        <v>0.17018240476485916</v>
      </c>
      <c r="N86" s="152">
        <f t="shared" si="243"/>
        <v>0.13228402607986961</v>
      </c>
      <c r="O86" s="152">
        <f t="shared" si="243"/>
        <v>0.15182287331446645</v>
      </c>
      <c r="P86" s="152">
        <f t="shared" si="243"/>
        <v>0.13742448067532897</v>
      </c>
      <c r="Q86" s="152">
        <f t="shared" ref="Q86" si="244">Q36/Q25</f>
        <v>0</v>
      </c>
      <c r="R86" s="118">
        <f t="shared" ref="R86:R138" si="245">((P86/G86)^(1/($H$2-$H$1) ))-1</f>
        <v>-2.1733312156209439E-2</v>
      </c>
      <c r="S86" s="152"/>
      <c r="T86" s="152">
        <f t="shared" ref="T86:AC86" si="246">T36/T25</f>
        <v>0</v>
      </c>
      <c r="U86" s="152">
        <f t="shared" si="246"/>
        <v>0</v>
      </c>
      <c r="V86" s="152">
        <f t="shared" si="246"/>
        <v>0</v>
      </c>
      <c r="W86" s="152">
        <f t="shared" si="246"/>
        <v>0</v>
      </c>
      <c r="X86" s="152">
        <f t="shared" si="246"/>
        <v>0</v>
      </c>
      <c r="Y86" s="152">
        <f t="shared" si="246"/>
        <v>0</v>
      </c>
      <c r="Z86" s="152">
        <f t="shared" si="246"/>
        <v>0</v>
      </c>
      <c r="AA86" s="152">
        <f t="shared" si="246"/>
        <v>0</v>
      </c>
      <c r="AB86" s="152">
        <f t="shared" si="246"/>
        <v>0</v>
      </c>
      <c r="AC86" s="152">
        <f t="shared" si="246"/>
        <v>0</v>
      </c>
      <c r="AD86" s="138">
        <f t="shared" ref="AD86:AD125" si="247">((AC86/G86)^(1/($AC$3-$H$1) ))-1</f>
        <v>-1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0.12167808791576132</v>
      </c>
      <c r="H87" s="152">
        <f t="shared" si="248"/>
        <v>0.10684606252473289</v>
      </c>
      <c r="I87" s="152">
        <f t="shared" si="248"/>
        <v>0.1091747245333933</v>
      </c>
      <c r="J87" s="152">
        <f t="shared" si="248"/>
        <v>8.4900059370670883E-2</v>
      </c>
      <c r="K87" s="152">
        <f t="shared" si="248"/>
        <v>9.1779652981890586E-2</v>
      </c>
      <c r="L87" s="152">
        <f t="shared" si="248"/>
        <v>0.10191741586442836</v>
      </c>
      <c r="M87" s="152">
        <f t="shared" si="248"/>
        <v>0.13841667700707283</v>
      </c>
      <c r="N87" s="152">
        <f t="shared" si="248"/>
        <v>9.81560717196414E-2</v>
      </c>
      <c r="O87" s="152">
        <f t="shared" si="248"/>
        <v>9.8967870817379719E-2</v>
      </c>
      <c r="P87" s="152">
        <f t="shared" si="248"/>
        <v>8.7643797070264012E-2</v>
      </c>
      <c r="Q87" s="152">
        <f t="shared" ref="Q87" si="249">Q40/Q25</f>
        <v>8.1844005713916909E-2</v>
      </c>
      <c r="R87" s="118">
        <f t="shared" si="245"/>
        <v>-3.5798849509126263E-2</v>
      </c>
      <c r="S87" s="152"/>
      <c r="T87" s="152">
        <f t="shared" ref="T87:AC87" si="250">T40/T25</f>
        <v>8.1844005713916895E-2</v>
      </c>
      <c r="U87" s="152">
        <f t="shared" si="250"/>
        <v>8.1844005713916895E-2</v>
      </c>
      <c r="V87" s="152">
        <f t="shared" si="250"/>
        <v>8.1844005713916895E-2</v>
      </c>
      <c r="W87" s="152">
        <f t="shared" si="250"/>
        <v>8.1844005713916895E-2</v>
      </c>
      <c r="X87" s="152">
        <f t="shared" si="250"/>
        <v>8.1844005713916881E-2</v>
      </c>
      <c r="Y87" s="152">
        <f t="shared" si="250"/>
        <v>8.1844005713916895E-2</v>
      </c>
      <c r="Z87" s="152">
        <f t="shared" si="250"/>
        <v>8.1844005713916895E-2</v>
      </c>
      <c r="AA87" s="152">
        <f t="shared" si="250"/>
        <v>8.1844005713916909E-2</v>
      </c>
      <c r="AB87" s="152">
        <f t="shared" si="250"/>
        <v>8.1844005713916909E-2</v>
      </c>
      <c r="AC87" s="152">
        <f t="shared" si="250"/>
        <v>8.1844005713916909E-2</v>
      </c>
      <c r="AD87" s="138">
        <f t="shared" si="247"/>
        <v>-1.9632907608331474E-2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0.63971880492091393</v>
      </c>
      <c r="H88" s="152">
        <f t="shared" si="251"/>
        <v>0.54253181513730742</v>
      </c>
      <c r="I88" s="152">
        <f t="shared" si="251"/>
        <v>0.48332503733200599</v>
      </c>
      <c r="J88" s="152">
        <f t="shared" si="251"/>
        <v>0.3473684210526316</v>
      </c>
      <c r="K88" s="152">
        <f t="shared" si="251"/>
        <v>0.32417950435365039</v>
      </c>
      <c r="L88" s="152">
        <f t="shared" si="251"/>
        <v>0.33710526315789474</v>
      </c>
      <c r="M88" s="152">
        <f t="shared" si="251"/>
        <v>0.64386724386724392</v>
      </c>
      <c r="N88" s="152">
        <f t="shared" si="251"/>
        <v>0.65189445196211093</v>
      </c>
      <c r="O88" s="152">
        <f t="shared" si="251"/>
        <v>0.55444159477733734</v>
      </c>
      <c r="P88" s="152">
        <f t="shared" ref="P88:Q88" si="252">P40/P7</f>
        <v>0.42300778909526665</v>
      </c>
      <c r="Q88" s="152">
        <f t="shared" si="252"/>
        <v>0.37442191390964069</v>
      </c>
      <c r="R88" s="118">
        <f t="shared" si="245"/>
        <v>-4.491963582703451E-2</v>
      </c>
      <c r="S88" s="20"/>
      <c r="T88" s="152">
        <f t="shared" ref="T88" si="253">T40/T7</f>
        <v>0.37442191390964069</v>
      </c>
      <c r="U88" s="152">
        <f t="shared" ref="U88:AC88" si="254">U40/U7</f>
        <v>0.37442191390964075</v>
      </c>
      <c r="V88" s="152">
        <f t="shared" si="254"/>
        <v>0.37442191390964075</v>
      </c>
      <c r="W88" s="152">
        <f t="shared" si="254"/>
        <v>0.37442191390964069</v>
      </c>
      <c r="X88" s="152">
        <f t="shared" si="254"/>
        <v>0.37442191390964075</v>
      </c>
      <c r="Y88" s="152">
        <f t="shared" si="254"/>
        <v>0.37442191390964069</v>
      </c>
      <c r="Z88" s="152">
        <f t="shared" si="254"/>
        <v>0.37442191390964069</v>
      </c>
      <c r="AA88" s="152">
        <f t="shared" si="254"/>
        <v>0.37442191390964075</v>
      </c>
      <c r="AB88" s="152">
        <f t="shared" si="254"/>
        <v>0.37442191390964075</v>
      </c>
      <c r="AC88" s="152">
        <f t="shared" si="254"/>
        <v>0.37442191390964075</v>
      </c>
      <c r="AD88" s="138">
        <f t="shared" si="247"/>
        <v>-2.6426807350790726E-2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0.5544554455445545</v>
      </c>
      <c r="H89" s="152">
        <f t="shared" ref="H89:O89" si="256">(H40)/(H7+H10)</f>
        <v>0.47787610619469029</v>
      </c>
      <c r="I89" s="152">
        <f t="shared" si="256"/>
        <v>0.44236902050113897</v>
      </c>
      <c r="J89" s="152">
        <f t="shared" si="256"/>
        <v>0.32561669829222012</v>
      </c>
      <c r="K89" s="152">
        <f t="shared" si="256"/>
        <v>0.3104554201411161</v>
      </c>
      <c r="L89" s="152">
        <f t="shared" si="256"/>
        <v>0.33032490974729239</v>
      </c>
      <c r="M89" s="152">
        <f t="shared" si="256"/>
        <v>0.63183234211271599</v>
      </c>
      <c r="N89" s="152">
        <f t="shared" si="256"/>
        <v>0.43332583764335508</v>
      </c>
      <c r="O89" s="152">
        <f t="shared" si="256"/>
        <v>0.45003785011355035</v>
      </c>
      <c r="P89" s="152">
        <f t="shared" ref="P89:Q89" si="257">(P40)/(P7+P10)</f>
        <v>0.39894518741759277</v>
      </c>
      <c r="Q89" s="152">
        <f t="shared" si="257"/>
        <v>0.37283032235210767</v>
      </c>
      <c r="R89" s="118">
        <f t="shared" si="245"/>
        <v>-3.5912867704336437E-2</v>
      </c>
      <c r="S89" s="20"/>
      <c r="T89" s="152">
        <f t="shared" ref="T89:AC89" si="258">(T40)/(T7+T10)</f>
        <v>0.37283032235210767</v>
      </c>
      <c r="U89" s="152">
        <f t="shared" si="258"/>
        <v>0.37283032235210772</v>
      </c>
      <c r="V89" s="152">
        <f t="shared" si="258"/>
        <v>0.37283032235210772</v>
      </c>
      <c r="W89" s="152">
        <f t="shared" si="258"/>
        <v>0.37283032235210772</v>
      </c>
      <c r="X89" s="152">
        <f t="shared" si="258"/>
        <v>0.37283032235210772</v>
      </c>
      <c r="Y89" s="152">
        <f t="shared" si="258"/>
        <v>0.37283032235210772</v>
      </c>
      <c r="Z89" s="152">
        <f t="shared" si="258"/>
        <v>0.37283032235210772</v>
      </c>
      <c r="AA89" s="152">
        <f t="shared" si="258"/>
        <v>0.37283032235210772</v>
      </c>
      <c r="AB89" s="152">
        <f t="shared" si="258"/>
        <v>0.37283032235210772</v>
      </c>
      <c r="AC89" s="152">
        <f t="shared" si="258"/>
        <v>0.37283032235210772</v>
      </c>
      <c r="AD89" s="138">
        <f t="shared" si="247"/>
        <v>-1.9647572266916269E-2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0.16262744442587332</v>
      </c>
      <c r="H90" s="152">
        <f t="shared" ref="H90:P90" si="259">H20/H25</f>
        <v>9.8403904498087322E-2</v>
      </c>
      <c r="I90" s="152">
        <f t="shared" si="259"/>
        <v>0.10523948729480549</v>
      </c>
      <c r="J90" s="152">
        <f t="shared" si="259"/>
        <v>6.1844448842271915E-2</v>
      </c>
      <c r="K90" s="152">
        <f t="shared" si="259"/>
        <v>0.11481937991846022</v>
      </c>
      <c r="L90" s="152">
        <f t="shared" si="259"/>
        <v>0.10812316015593922</v>
      </c>
      <c r="M90" s="152">
        <f t="shared" si="259"/>
        <v>0.16664598585432436</v>
      </c>
      <c r="N90" s="152">
        <f t="shared" si="259"/>
        <v>0.11654441727791361</v>
      </c>
      <c r="O90" s="152">
        <f t="shared" si="259"/>
        <v>9.817712668553355E-2</v>
      </c>
      <c r="P90" s="152">
        <f t="shared" si="259"/>
        <v>7.8209054042870152E-2</v>
      </c>
      <c r="Q90" s="152">
        <f t="shared" ref="Q90" si="260">Q20/Q25</f>
        <v>7.3484641709882628E-2</v>
      </c>
      <c r="R90" s="118">
        <f t="shared" si="245"/>
        <v>-7.8121495971455346E-2</v>
      </c>
      <c r="S90" s="20"/>
      <c r="T90" s="152">
        <f t="shared" ref="T90:AC90" si="261">T20/T25</f>
        <v>7.3484641709882628E-2</v>
      </c>
      <c r="U90" s="152">
        <f t="shared" si="261"/>
        <v>7.3484641709882642E-2</v>
      </c>
      <c r="V90" s="152">
        <f t="shared" si="261"/>
        <v>7.3484641709882642E-2</v>
      </c>
      <c r="W90" s="152">
        <f t="shared" si="261"/>
        <v>7.3484641709882642E-2</v>
      </c>
      <c r="X90" s="152">
        <f t="shared" si="261"/>
        <v>7.3484641709882642E-2</v>
      </c>
      <c r="Y90" s="152">
        <f t="shared" si="261"/>
        <v>7.3484641709882642E-2</v>
      </c>
      <c r="Z90" s="152">
        <f t="shared" si="261"/>
        <v>7.3484641709882656E-2</v>
      </c>
      <c r="AA90" s="152">
        <f t="shared" si="261"/>
        <v>7.3484641709882656E-2</v>
      </c>
      <c r="AB90" s="152">
        <f t="shared" si="261"/>
        <v>7.3484641709882656E-2</v>
      </c>
      <c r="AC90" s="152">
        <f t="shared" si="261"/>
        <v>7.348464170988267E-2</v>
      </c>
      <c r="AD90" s="138">
        <f t="shared" si="247"/>
        <v>-3.8940807279342127E-2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5.7496239344810296E-2</v>
      </c>
      <c r="H91" s="152">
        <f t="shared" ref="H91:P91" si="262">H52/H25</f>
        <v>5.3686848700699119E-2</v>
      </c>
      <c r="I91" s="152">
        <f t="shared" si="262"/>
        <v>4.9583989206206429E-2</v>
      </c>
      <c r="J91" s="152">
        <f t="shared" si="262"/>
        <v>3.8393033841282405E-2</v>
      </c>
      <c r="K91" s="152">
        <f t="shared" si="262"/>
        <v>4.1907651464871527E-2</v>
      </c>
      <c r="L91" s="152">
        <f t="shared" si="262"/>
        <v>3.9780412125069615E-2</v>
      </c>
      <c r="M91" s="152">
        <f t="shared" si="262"/>
        <v>3.7225462216155851E-2</v>
      </c>
      <c r="N91" s="152">
        <f t="shared" si="262"/>
        <v>2.4297066014669928E-2</v>
      </c>
      <c r="O91" s="152">
        <f t="shared" si="262"/>
        <v>2.0226402530381223E-2</v>
      </c>
      <c r="P91" s="152">
        <f t="shared" si="262"/>
        <v>1.8538442439791442E-2</v>
      </c>
      <c r="Q91" s="152">
        <f t="shared" ref="Q91" si="263">Q52/Q25</f>
        <v>2.9510498972381439E-2</v>
      </c>
      <c r="R91" s="118">
        <f t="shared" si="245"/>
        <v>-0.11817677333988297</v>
      </c>
      <c r="S91" s="20"/>
      <c r="T91" s="152">
        <f t="shared" ref="T91:AC91" si="264">T52/T25</f>
        <v>2.9510498972381439E-2</v>
      </c>
      <c r="U91" s="152">
        <f t="shared" si="264"/>
        <v>2.9510498972381435E-2</v>
      </c>
      <c r="V91" s="152">
        <f t="shared" si="264"/>
        <v>2.9510498972381446E-2</v>
      </c>
      <c r="W91" s="152">
        <f t="shared" si="264"/>
        <v>2.9510498972381446E-2</v>
      </c>
      <c r="X91" s="152">
        <f t="shared" si="264"/>
        <v>2.9510498972381446E-2</v>
      </c>
      <c r="Y91" s="152">
        <f t="shared" si="264"/>
        <v>2.9510498972381449E-2</v>
      </c>
      <c r="Z91" s="152">
        <f t="shared" si="264"/>
        <v>2.9510498972381446E-2</v>
      </c>
      <c r="AA91" s="152">
        <f t="shared" si="264"/>
        <v>2.9510498972381453E-2</v>
      </c>
      <c r="AB91" s="152">
        <f t="shared" si="264"/>
        <v>2.9510498972381449E-2</v>
      </c>
      <c r="AC91" s="152">
        <f t="shared" si="264"/>
        <v>2.9510498972381453E-2</v>
      </c>
      <c r="AD91" s="138">
        <f t="shared" si="247"/>
        <v>-3.2798735478809515E-2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3.8442253050309208E-3</v>
      </c>
      <c r="H93" s="152">
        <f t="shared" ref="H93:P93" si="265">H29/H25</f>
        <v>2.3743569449940641E-3</v>
      </c>
      <c r="I93" s="152">
        <f t="shared" si="265"/>
        <v>1.7989655947829998E-3</v>
      </c>
      <c r="J93" s="152">
        <f t="shared" si="265"/>
        <v>1.385315654066891E-3</v>
      </c>
      <c r="K93" s="152">
        <f t="shared" si="265"/>
        <v>1.3273916753579217E-3</v>
      </c>
      <c r="L93" s="152">
        <f t="shared" si="265"/>
        <v>1.03429071525181E-3</v>
      </c>
      <c r="M93" s="152">
        <f t="shared" si="265"/>
        <v>6.8246680729619057E-4</v>
      </c>
      <c r="N93" s="152">
        <f t="shared" si="265"/>
        <v>1.4262428687856561E-3</v>
      </c>
      <c r="O93" s="152">
        <f t="shared" si="265"/>
        <v>1.3733977026802065E-3</v>
      </c>
      <c r="P93" s="152">
        <f t="shared" si="265"/>
        <v>4.9656542249441361E-4</v>
      </c>
      <c r="Q93" s="152">
        <f t="shared" ref="Q93" si="266">Q29/Q25</f>
        <v>4.63069885060689E-4</v>
      </c>
      <c r="R93" s="118">
        <f t="shared" si="245"/>
        <v>-0.20339899665750738</v>
      </c>
      <c r="S93" s="20"/>
      <c r="T93" s="152">
        <f t="shared" ref="T93:AC93" si="267">T29/T25</f>
        <v>4.6306988506068894E-4</v>
      </c>
      <c r="U93" s="152">
        <f t="shared" si="267"/>
        <v>4.63069885060689E-4</v>
      </c>
      <c r="V93" s="152">
        <f t="shared" si="267"/>
        <v>4.63069885060689E-4</v>
      </c>
      <c r="W93" s="152">
        <f t="shared" si="267"/>
        <v>4.63069885060689E-4</v>
      </c>
      <c r="X93" s="152">
        <f t="shared" si="267"/>
        <v>4.6306988506068894E-4</v>
      </c>
      <c r="Y93" s="152">
        <f t="shared" si="267"/>
        <v>4.63069885060689E-4</v>
      </c>
      <c r="Z93" s="152">
        <f t="shared" si="267"/>
        <v>4.63069885060689E-4</v>
      </c>
      <c r="AA93" s="152">
        <f t="shared" si="267"/>
        <v>4.63069885060689E-4</v>
      </c>
      <c r="AB93" s="152">
        <f t="shared" si="267"/>
        <v>4.63069885060689E-4</v>
      </c>
      <c r="AC93" s="152">
        <f t="shared" si="267"/>
        <v>4.63069885060689E-4</v>
      </c>
      <c r="AD93" s="138">
        <f t="shared" si="247"/>
        <v>-0.10041566280878078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2.2954091816367265E-2</v>
      </c>
      <c r="H94" s="152">
        <f t="shared" ref="H94:P94" si="268">H29/H36</f>
        <v>1.5177065767284991E-2</v>
      </c>
      <c r="I94" s="152">
        <f t="shared" si="268"/>
        <v>1.1577424023154847E-2</v>
      </c>
      <c r="J94" s="152">
        <f t="shared" si="268"/>
        <v>1.1656952539550375E-2</v>
      </c>
      <c r="K94" s="152">
        <f t="shared" si="268"/>
        <v>1.0241404535479151E-2</v>
      </c>
      <c r="L94" s="152">
        <f t="shared" si="268"/>
        <v>7.4158585282373072E-3</v>
      </c>
      <c r="M94" s="152">
        <f t="shared" si="268"/>
        <v>4.0102078016769956E-3</v>
      </c>
      <c r="N94" s="152">
        <f t="shared" si="268"/>
        <v>1.078167115902965E-2</v>
      </c>
      <c r="O94" s="152">
        <f t="shared" si="268"/>
        <v>9.0460526315789477E-3</v>
      </c>
      <c r="P94" s="152">
        <f t="shared" si="268"/>
        <v>3.6133694670280035E-3</v>
      </c>
      <c r="Q94" s="152" t="e">
        <f t="shared" ref="Q94" si="269">Q29/Q36</f>
        <v>#DIV/0!</v>
      </c>
      <c r="R94" s="118">
        <f t="shared" ref="R94" si="270">((P94/G94)^(1/($H$2-$H$1) ))-1</f>
        <v>-0.18570159523852281</v>
      </c>
      <c r="S94" s="20"/>
      <c r="T94" s="152" t="e">
        <f t="shared" ref="T94:AC94" si="271">T29/T36</f>
        <v>#DIV/0!</v>
      </c>
      <c r="U94" s="152" t="e">
        <f t="shared" si="271"/>
        <v>#DIV/0!</v>
      </c>
      <c r="V94" s="152" t="e">
        <f t="shared" si="271"/>
        <v>#DIV/0!</v>
      </c>
      <c r="W94" s="152" t="e">
        <f t="shared" si="271"/>
        <v>#DIV/0!</v>
      </c>
      <c r="X94" s="152" t="e">
        <f t="shared" si="271"/>
        <v>#DIV/0!</v>
      </c>
      <c r="Y94" s="152" t="e">
        <f t="shared" si="271"/>
        <v>#DIV/0!</v>
      </c>
      <c r="Z94" s="152" t="e">
        <f t="shared" si="271"/>
        <v>#DIV/0!</v>
      </c>
      <c r="AA94" s="152" t="e">
        <f t="shared" si="271"/>
        <v>#DIV/0!</v>
      </c>
      <c r="AB94" s="152" t="e">
        <f t="shared" si="271"/>
        <v>#DIV/0!</v>
      </c>
      <c r="AC94" s="152" t="e">
        <f t="shared" si="271"/>
        <v>#DIV/0!</v>
      </c>
      <c r="AD94" s="138" t="e">
        <f t="shared" ref="AD94" si="272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3.1593406593406592E-2</v>
      </c>
      <c r="H95" s="171">
        <f t="shared" si="273"/>
        <v>2.2222222222222223E-2</v>
      </c>
      <c r="I95" s="171">
        <f t="shared" si="273"/>
        <v>1.6477857878475798E-2</v>
      </c>
      <c r="J95" s="171">
        <f t="shared" si="273"/>
        <v>1.6317016317016316E-2</v>
      </c>
      <c r="K95" s="171">
        <f t="shared" si="273"/>
        <v>1.4462809917355372E-2</v>
      </c>
      <c r="L95" s="171">
        <f t="shared" si="273"/>
        <v>1.0148321623731461E-2</v>
      </c>
      <c r="M95" s="171">
        <f t="shared" si="273"/>
        <v>4.9305244285073957E-3</v>
      </c>
      <c r="N95" s="171">
        <f t="shared" si="273"/>
        <v>1.4530358069538143E-2</v>
      </c>
      <c r="O95" s="171">
        <f t="shared" si="273"/>
        <v>1.3877207737594618E-2</v>
      </c>
      <c r="P95" s="171">
        <f t="shared" si="273"/>
        <v>5.6657223796033997E-3</v>
      </c>
      <c r="Q95" s="171">
        <f t="shared" ref="Q95" si="274">Q29/Q40</f>
        <v>5.6579572446555822E-3</v>
      </c>
      <c r="R95" s="118">
        <f t="shared" ref="R95" si="275">((P95/G95)^(1/($H$2-$H$1) ))-1</f>
        <v>-0.17382280353332502</v>
      </c>
      <c r="S95" s="20"/>
      <c r="T95" s="171">
        <f t="shared" ref="T95:AC95" si="276">T29/T40</f>
        <v>5.6579572446555822E-3</v>
      </c>
      <c r="U95" s="171">
        <f t="shared" si="276"/>
        <v>5.6579572446555822E-3</v>
      </c>
      <c r="V95" s="171">
        <f t="shared" si="276"/>
        <v>5.6579572446555822E-3</v>
      </c>
      <c r="W95" s="171">
        <f t="shared" si="276"/>
        <v>5.6579572446555822E-3</v>
      </c>
      <c r="X95" s="171">
        <f t="shared" si="276"/>
        <v>5.6579572446555822E-3</v>
      </c>
      <c r="Y95" s="171">
        <f t="shared" si="276"/>
        <v>5.657957244655583E-3</v>
      </c>
      <c r="Z95" s="171">
        <f t="shared" si="276"/>
        <v>5.6579572446555822E-3</v>
      </c>
      <c r="AA95" s="171">
        <f t="shared" si="276"/>
        <v>5.6579572446555813E-3</v>
      </c>
      <c r="AB95" s="171">
        <f t="shared" si="276"/>
        <v>5.6579572446555822E-3</v>
      </c>
      <c r="AC95" s="171">
        <f t="shared" si="276"/>
        <v>5.6579572446555813E-3</v>
      </c>
      <c r="AD95" s="138">
        <f t="shared" ref="AD95" si="277">((AC95/G95)^(1/($AC$3-$H$1) ))-1</f>
        <v>-8.2400516936339208E-2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0.6216216216216216</v>
      </c>
      <c r="H96" s="171">
        <f t="shared" si="278"/>
        <v>1.0588235294117647</v>
      </c>
      <c r="I96" s="171">
        <f t="shared" si="278"/>
        <v>0.10126582278481013</v>
      </c>
      <c r="J96" s="171">
        <f t="shared" si="278"/>
        <v>0.4</v>
      </c>
      <c r="K96" s="171">
        <f t="shared" si="278"/>
        <v>0.10687022900763359</v>
      </c>
      <c r="L96" s="171">
        <f t="shared" si="278"/>
        <v>5.909090909090909E-2</v>
      </c>
      <c r="M96" s="171">
        <f t="shared" si="278"/>
        <v>5.7682223387519665E-3</v>
      </c>
      <c r="N96" s="171">
        <f t="shared" si="278"/>
        <v>0.3888888888888889</v>
      </c>
      <c r="O96" s="171">
        <f t="shared" si="278"/>
        <v>0.43421052631578949</v>
      </c>
      <c r="P96" s="171">
        <f t="shared" si="278"/>
        <v>6.6298342541436461E-2</v>
      </c>
      <c r="Q96" s="171">
        <f t="shared" ref="Q96" si="279">Q29/Q12</f>
        <v>0.10008403361344538</v>
      </c>
      <c r="R96" s="118">
        <f t="shared" si="245"/>
        <v>-0.22017456622281795</v>
      </c>
      <c r="S96" s="20"/>
      <c r="T96" s="152">
        <f t="shared" ref="T96:AC96" si="280">T29/T12</f>
        <v>0.10008403361344537</v>
      </c>
      <c r="U96" s="152">
        <f t="shared" si="280"/>
        <v>0.10008403361344537</v>
      </c>
      <c r="V96" s="152">
        <f t="shared" si="280"/>
        <v>0.10008403361344537</v>
      </c>
      <c r="W96" s="152">
        <f t="shared" si="280"/>
        <v>0.10008403361344537</v>
      </c>
      <c r="X96" s="152">
        <f t="shared" si="280"/>
        <v>0.10008403361344537</v>
      </c>
      <c r="Y96" s="152">
        <f t="shared" si="280"/>
        <v>0.10008403361344537</v>
      </c>
      <c r="Z96" s="152">
        <f t="shared" si="280"/>
        <v>0.10008403361344537</v>
      </c>
      <c r="AA96" s="152">
        <f t="shared" si="280"/>
        <v>0.10008403361344537</v>
      </c>
      <c r="AB96" s="152">
        <f t="shared" si="280"/>
        <v>0.10008403361344537</v>
      </c>
      <c r="AC96" s="152">
        <f t="shared" si="280"/>
        <v>0.10008403361344537</v>
      </c>
      <c r="AD96" s="138">
        <f t="shared" si="247"/>
        <v>-8.7270821602684734E-2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0.6216216216216216</v>
      </c>
      <c r="H97" s="171">
        <f t="shared" ref="H97:P97" si="281">H29/H23</f>
        <v>1</v>
      </c>
      <c r="I97" s="171">
        <f t="shared" si="281"/>
        <v>0.10062893081761007</v>
      </c>
      <c r="J97" s="171">
        <f t="shared" si="281"/>
        <v>0.3888888888888889</v>
      </c>
      <c r="K97" s="171">
        <f t="shared" si="281"/>
        <v>0.93333333333333335</v>
      </c>
      <c r="L97" s="171">
        <f t="shared" si="281"/>
        <v>1</v>
      </c>
      <c r="M97" s="171">
        <f t="shared" si="281"/>
        <v>0.17460317460317459</v>
      </c>
      <c r="N97" s="171">
        <f t="shared" si="281"/>
        <v>0.71794871794871795</v>
      </c>
      <c r="O97" s="171">
        <f t="shared" si="281"/>
        <v>0.97058823529411764</v>
      </c>
      <c r="P97" s="171">
        <f t="shared" si="281"/>
        <v>8.8888888888888892E-2</v>
      </c>
      <c r="Q97" s="171">
        <f t="shared" ref="Q97" si="282">Q29/Q23</f>
        <v>8.822222222222223E-2</v>
      </c>
      <c r="R97" s="118">
        <f t="shared" ref="R97" si="283">((P97/G97)^(1/($H$2-$H$1) ))-1</f>
        <v>-0.19434924504045703</v>
      </c>
      <c r="S97" s="20"/>
      <c r="T97" s="171">
        <f t="shared" ref="T97:AC97" si="284">T29/T23</f>
        <v>8.8222222222222216E-2</v>
      </c>
      <c r="U97" s="171">
        <f t="shared" si="284"/>
        <v>8.8222222222222216E-2</v>
      </c>
      <c r="V97" s="171">
        <f t="shared" si="284"/>
        <v>8.8222222222222216E-2</v>
      </c>
      <c r="W97" s="171">
        <f t="shared" si="284"/>
        <v>8.822222222222223E-2</v>
      </c>
      <c r="X97" s="171">
        <f t="shared" si="284"/>
        <v>8.8222222222222216E-2</v>
      </c>
      <c r="Y97" s="171">
        <f t="shared" si="284"/>
        <v>8.822222222222223E-2</v>
      </c>
      <c r="Z97" s="171">
        <f t="shared" si="284"/>
        <v>8.822222222222223E-2</v>
      </c>
      <c r="AA97" s="171">
        <f t="shared" si="284"/>
        <v>8.822222222222223E-2</v>
      </c>
      <c r="AB97" s="171">
        <f t="shared" si="284"/>
        <v>8.822222222222223E-2</v>
      </c>
      <c r="AC97" s="171">
        <f t="shared" si="284"/>
        <v>8.8222222222222216E-2</v>
      </c>
      <c r="AD97" s="138">
        <f t="shared" ref="AD97" si="285">((AC97/G97)^(1/($AC$3-$H$1) ))-1</f>
        <v>-9.300980103512646E-2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260.13043478260869</v>
      </c>
      <c r="H99" s="127">
        <f t="shared" ref="H99:P99" si="286">1/H93</f>
        <v>421.16666666666669</v>
      </c>
      <c r="I99" s="127">
        <f t="shared" si="286"/>
        <v>555.875</v>
      </c>
      <c r="J99" s="127">
        <f t="shared" si="286"/>
        <v>721.85714285714289</v>
      </c>
      <c r="K99" s="127">
        <f t="shared" si="286"/>
        <v>753.35714285714278</v>
      </c>
      <c r="L99" s="127">
        <f t="shared" si="286"/>
        <v>966.84615384615381</v>
      </c>
      <c r="M99" s="127">
        <f t="shared" si="286"/>
        <v>1465.2727272727273</v>
      </c>
      <c r="N99" s="127">
        <f t="shared" si="286"/>
        <v>701.14285714285711</v>
      </c>
      <c r="O99" s="127">
        <f t="shared" si="286"/>
        <v>728.12121212121212</v>
      </c>
      <c r="P99" s="127">
        <f t="shared" si="286"/>
        <v>2013.8333333333335</v>
      </c>
      <c r="Q99" s="127">
        <f t="shared" ref="Q99" si="287">1/Q93</f>
        <v>2159.501259445844</v>
      </c>
      <c r="R99" s="118">
        <f t="shared" si="245"/>
        <v>0.25533359335985861</v>
      </c>
      <c r="S99" s="20"/>
      <c r="T99" s="127">
        <f t="shared" ref="T99:AC99" si="288">1/T93</f>
        <v>2159.501259445844</v>
      </c>
      <c r="U99" s="127">
        <f t="shared" si="288"/>
        <v>2159.501259445844</v>
      </c>
      <c r="V99" s="127">
        <f t="shared" si="288"/>
        <v>2159.501259445844</v>
      </c>
      <c r="W99" s="127">
        <f t="shared" si="288"/>
        <v>2159.501259445844</v>
      </c>
      <c r="X99" s="127">
        <f t="shared" si="288"/>
        <v>2159.501259445844</v>
      </c>
      <c r="Y99" s="127">
        <f t="shared" si="288"/>
        <v>2159.501259445844</v>
      </c>
      <c r="Z99" s="127">
        <f t="shared" si="288"/>
        <v>2159.501259445844</v>
      </c>
      <c r="AA99" s="127">
        <f t="shared" si="288"/>
        <v>2159.501259445844</v>
      </c>
      <c r="AB99" s="127">
        <f t="shared" si="288"/>
        <v>2159.501259445844</v>
      </c>
      <c r="AC99" s="127">
        <f t="shared" si="288"/>
        <v>2159.501259445844</v>
      </c>
      <c r="AD99" s="138">
        <f t="shared" si="247"/>
        <v>0.11162451218560521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43.565217391304351</v>
      </c>
      <c r="H100" s="127">
        <f t="shared" si="289"/>
        <v>65.888888888888886</v>
      </c>
      <c r="I100" s="127">
        <f t="shared" si="289"/>
        <v>86.375</v>
      </c>
      <c r="J100" s="127">
        <f t="shared" si="289"/>
        <v>85.785714285714292</v>
      </c>
      <c r="K100" s="127">
        <f t="shared" si="289"/>
        <v>97.642857142857139</v>
      </c>
      <c r="L100" s="127">
        <f t="shared" si="289"/>
        <v>134.84615384615384</v>
      </c>
      <c r="M100" s="127">
        <f t="shared" si="289"/>
        <v>249.36363636363637</v>
      </c>
      <c r="N100" s="127">
        <f t="shared" si="289"/>
        <v>92.75</v>
      </c>
      <c r="O100" s="127">
        <f t="shared" si="289"/>
        <v>110.54545454545455</v>
      </c>
      <c r="P100" s="127">
        <f t="shared" si="289"/>
        <v>276.75</v>
      </c>
      <c r="Q100" s="127" t="e">
        <f t="shared" ref="Q100" si="290">1/Q94</f>
        <v>#DIV/0!</v>
      </c>
      <c r="R100" s="118">
        <f t="shared" si="245"/>
        <v>0.22805103651519265</v>
      </c>
      <c r="S100" s="20"/>
      <c r="T100" s="127" t="e">
        <f t="shared" ref="T100:AC100" si="291">1/T94</f>
        <v>#DIV/0!</v>
      </c>
      <c r="U100" s="127" t="e">
        <f t="shared" si="291"/>
        <v>#DIV/0!</v>
      </c>
      <c r="V100" s="127" t="e">
        <f t="shared" si="291"/>
        <v>#DIV/0!</v>
      </c>
      <c r="W100" s="127" t="e">
        <f t="shared" si="291"/>
        <v>#DIV/0!</v>
      </c>
      <c r="X100" s="127" t="e">
        <f t="shared" si="291"/>
        <v>#DIV/0!</v>
      </c>
      <c r="Y100" s="127" t="e">
        <f t="shared" si="291"/>
        <v>#DIV/0!</v>
      </c>
      <c r="Z100" s="127" t="e">
        <f t="shared" si="291"/>
        <v>#DIV/0!</v>
      </c>
      <c r="AA100" s="127" t="e">
        <f t="shared" si="291"/>
        <v>#DIV/0!</v>
      </c>
      <c r="AB100" s="127" t="e">
        <f t="shared" si="291"/>
        <v>#DIV/0!</v>
      </c>
      <c r="AC100" s="127" t="e">
        <f t="shared" si="291"/>
        <v>#DIV/0!</v>
      </c>
      <c r="AD100" s="138" t="e">
        <f t="shared" si="247"/>
        <v>#DIV/0!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31.65217391304348</v>
      </c>
      <c r="H101" s="127">
        <f t="shared" si="289"/>
        <v>45</v>
      </c>
      <c r="I101" s="127">
        <f t="shared" si="289"/>
        <v>60.6875</v>
      </c>
      <c r="J101" s="127">
        <f t="shared" si="289"/>
        <v>61.285714285714292</v>
      </c>
      <c r="K101" s="127">
        <f t="shared" si="289"/>
        <v>69.142857142857139</v>
      </c>
      <c r="L101" s="127">
        <f t="shared" si="289"/>
        <v>98.538461538461533</v>
      </c>
      <c r="M101" s="127">
        <f t="shared" si="289"/>
        <v>202.81818181818181</v>
      </c>
      <c r="N101" s="127">
        <f t="shared" si="289"/>
        <v>68.821428571428569</v>
      </c>
      <c r="O101" s="127">
        <f t="shared" si="289"/>
        <v>72.060606060606062</v>
      </c>
      <c r="P101" s="127">
        <f t="shared" si="289"/>
        <v>176.5</v>
      </c>
      <c r="Q101" s="127">
        <f t="shared" ref="Q101" si="292">1/Q95</f>
        <v>176.74223341729638</v>
      </c>
      <c r="R101" s="118">
        <f t="shared" si="245"/>
        <v>0.21039409496741834</v>
      </c>
      <c r="S101" s="20"/>
      <c r="T101" s="127">
        <f t="shared" ref="T101:AC101" si="293">1/T95</f>
        <v>176.74223341729638</v>
      </c>
      <c r="U101" s="127">
        <f t="shared" si="293"/>
        <v>176.74223341729638</v>
      </c>
      <c r="V101" s="127">
        <f t="shared" si="293"/>
        <v>176.74223341729638</v>
      </c>
      <c r="W101" s="127">
        <f t="shared" si="293"/>
        <v>176.74223341729638</v>
      </c>
      <c r="X101" s="127">
        <f t="shared" si="293"/>
        <v>176.74223341729638</v>
      </c>
      <c r="Y101" s="127">
        <f t="shared" si="293"/>
        <v>176.74223341729635</v>
      </c>
      <c r="Z101" s="127">
        <f t="shared" si="293"/>
        <v>176.74223341729638</v>
      </c>
      <c r="AA101" s="127">
        <f t="shared" si="293"/>
        <v>176.7422334172964</v>
      </c>
      <c r="AB101" s="127">
        <f t="shared" si="293"/>
        <v>176.74223341729638</v>
      </c>
      <c r="AC101" s="127">
        <f t="shared" si="293"/>
        <v>176.7422334172964</v>
      </c>
      <c r="AD101" s="138">
        <f t="shared" si="247"/>
        <v>8.9800090842708569E-2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1.6086956521739131</v>
      </c>
      <c r="H102" s="127">
        <f t="shared" si="289"/>
        <v>0.94444444444444442</v>
      </c>
      <c r="I102" s="127">
        <f t="shared" si="289"/>
        <v>9.875</v>
      </c>
      <c r="J102" s="127">
        <f t="shared" si="289"/>
        <v>2.5</v>
      </c>
      <c r="K102" s="127">
        <f t="shared" si="289"/>
        <v>9.3571428571428577</v>
      </c>
      <c r="L102" s="127">
        <f t="shared" si="289"/>
        <v>16.923076923076923</v>
      </c>
      <c r="M102" s="127">
        <f t="shared" si="289"/>
        <v>173.36363636363637</v>
      </c>
      <c r="N102" s="127">
        <f t="shared" si="289"/>
        <v>2.5714285714285712</v>
      </c>
      <c r="O102" s="127">
        <f t="shared" si="289"/>
        <v>2.3030303030303028</v>
      </c>
      <c r="P102" s="127">
        <f t="shared" si="289"/>
        <v>15.083333333333334</v>
      </c>
      <c r="Q102" s="127">
        <f t="shared" ref="Q102" si="294">1/Q96</f>
        <v>9.9916036943744757</v>
      </c>
      <c r="R102" s="118">
        <f t="shared" si="245"/>
        <v>0.28233827301114656</v>
      </c>
      <c r="S102" s="20"/>
      <c r="T102" s="127">
        <f t="shared" ref="T102:AC102" si="295">1/T96</f>
        <v>9.9916036943744757</v>
      </c>
      <c r="U102" s="127">
        <f t="shared" si="295"/>
        <v>9.9916036943744757</v>
      </c>
      <c r="V102" s="127">
        <f t="shared" si="295"/>
        <v>9.9916036943744757</v>
      </c>
      <c r="W102" s="127">
        <f t="shared" si="295"/>
        <v>9.9916036943744757</v>
      </c>
      <c r="X102" s="127">
        <f t="shared" si="295"/>
        <v>9.9916036943744757</v>
      </c>
      <c r="Y102" s="127">
        <f t="shared" si="295"/>
        <v>9.9916036943744757</v>
      </c>
      <c r="Z102" s="127">
        <f t="shared" si="295"/>
        <v>9.9916036943744757</v>
      </c>
      <c r="AA102" s="127">
        <f t="shared" si="295"/>
        <v>9.9916036943744757</v>
      </c>
      <c r="AB102" s="127">
        <f t="shared" si="295"/>
        <v>9.9916036943744757</v>
      </c>
      <c r="AC102" s="127">
        <f t="shared" si="295"/>
        <v>9.9916036943744757</v>
      </c>
      <c r="AD102" s="138">
        <f t="shared" si="247"/>
        <v>9.5615242361294817E-2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1.6086956521739131</v>
      </c>
      <c r="H103" s="127">
        <f t="shared" si="289"/>
        <v>1</v>
      </c>
      <c r="I103" s="127">
        <f t="shared" si="289"/>
        <v>9.9375</v>
      </c>
      <c r="J103" s="127">
        <f t="shared" si="289"/>
        <v>2.5714285714285712</v>
      </c>
      <c r="K103" s="127">
        <f t="shared" si="289"/>
        <v>1.0714285714285714</v>
      </c>
      <c r="L103" s="127">
        <f t="shared" si="289"/>
        <v>1</v>
      </c>
      <c r="M103" s="127">
        <f t="shared" si="289"/>
        <v>5.7272727272727275</v>
      </c>
      <c r="N103" s="127">
        <f t="shared" si="289"/>
        <v>1.3928571428571428</v>
      </c>
      <c r="O103" s="127">
        <f t="shared" si="289"/>
        <v>1.0303030303030303</v>
      </c>
      <c r="P103" s="127">
        <f t="shared" si="289"/>
        <v>11.25</v>
      </c>
      <c r="Q103" s="127">
        <f t="shared" ref="Q103" si="296">1/Q97</f>
        <v>11.335012594458437</v>
      </c>
      <c r="R103" s="118">
        <f t="shared" si="245"/>
        <v>0.24123262324779504</v>
      </c>
      <c r="S103" s="20"/>
      <c r="T103" s="127">
        <f t="shared" ref="T103:AC103" si="297">1/T97</f>
        <v>11.335012594458439</v>
      </c>
      <c r="U103" s="127">
        <f t="shared" si="297"/>
        <v>11.335012594458439</v>
      </c>
      <c r="V103" s="127">
        <f t="shared" si="297"/>
        <v>11.335012594458439</v>
      </c>
      <c r="W103" s="127">
        <f t="shared" si="297"/>
        <v>11.335012594458437</v>
      </c>
      <c r="X103" s="127">
        <f t="shared" si="297"/>
        <v>11.335012594458439</v>
      </c>
      <c r="Y103" s="127">
        <f t="shared" si="297"/>
        <v>11.335012594458437</v>
      </c>
      <c r="Z103" s="127">
        <f t="shared" si="297"/>
        <v>11.335012594458437</v>
      </c>
      <c r="AA103" s="127">
        <f t="shared" si="297"/>
        <v>11.335012594458437</v>
      </c>
      <c r="AB103" s="127">
        <f t="shared" si="297"/>
        <v>11.335012594458437</v>
      </c>
      <c r="AC103" s="127">
        <f t="shared" si="297"/>
        <v>11.335012594458439</v>
      </c>
      <c r="AD103" s="138">
        <f t="shared" si="247"/>
        <v>0.10254774653714716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-1427</v>
      </c>
      <c r="H106" s="163">
        <f t="shared" si="298"/>
        <v>-1841</v>
      </c>
      <c r="I106" s="163">
        <f t="shared" si="298"/>
        <v>-2033</v>
      </c>
      <c r="J106" s="163">
        <f t="shared" si="298"/>
        <v>-1843</v>
      </c>
      <c r="K106" s="163">
        <f t="shared" si="298"/>
        <v>-2565</v>
      </c>
      <c r="L106" s="163">
        <f t="shared" si="298"/>
        <v>-3510</v>
      </c>
      <c r="M106" s="163">
        <f t="shared" si="298"/>
        <v>-5766</v>
      </c>
      <c r="N106" s="163">
        <f t="shared" si="298"/>
        <v>-3709</v>
      </c>
      <c r="O106" s="163">
        <f t="shared" si="298"/>
        <v>-3045</v>
      </c>
      <c r="P106" s="163">
        <f>P10-(P12+P13)</f>
        <v>-3502</v>
      </c>
      <c r="Q106" s="163">
        <f>Q10-(Q12+Q13)</f>
        <v>-3718</v>
      </c>
      <c r="R106" s="118">
        <f t="shared" si="245"/>
        <v>0.10489587469610129</v>
      </c>
      <c r="S106" s="20"/>
      <c r="T106" s="163">
        <f>T10-(T12+T13)</f>
        <v>-3978.26</v>
      </c>
      <c r="U106" s="163">
        <f t="shared" ref="U106:AC106" si="299">U10-(U12+U13)</f>
        <v>-4256.7381999999998</v>
      </c>
      <c r="V106" s="163">
        <f t="shared" si="299"/>
        <v>-4554.709874000001</v>
      </c>
      <c r="W106" s="163">
        <f t="shared" si="299"/>
        <v>-4873.5395651800009</v>
      </c>
      <c r="X106" s="163">
        <f t="shared" si="299"/>
        <v>-5214.6873347426008</v>
      </c>
      <c r="Y106" s="163">
        <f t="shared" si="299"/>
        <v>-5579.7154481745838</v>
      </c>
      <c r="Z106" s="163">
        <f t="shared" si="299"/>
        <v>-5970.2955295468046</v>
      </c>
      <c r="AA106" s="163">
        <f t="shared" si="299"/>
        <v>-6388.216216615082</v>
      </c>
      <c r="AB106" s="163">
        <f t="shared" si="299"/>
        <v>-6835.3913517781366</v>
      </c>
      <c r="AC106" s="163">
        <f t="shared" si="299"/>
        <v>-7313.868746402607</v>
      </c>
      <c r="AD106" s="138">
        <f t="shared" si="247"/>
        <v>8.5140966698043608E-2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1.2749562171628721</v>
      </c>
      <c r="H107" s="152">
        <f t="shared" si="300"/>
        <v>1.2</v>
      </c>
      <c r="I107" s="152">
        <f t="shared" si="300"/>
        <v>1.0231822971548998</v>
      </c>
      <c r="J107" s="152">
        <f t="shared" si="300"/>
        <v>0.736480686695279</v>
      </c>
      <c r="K107" s="152">
        <f t="shared" si="300"/>
        <v>0.83737024221453282</v>
      </c>
      <c r="L107" s="152">
        <f t="shared" si="300"/>
        <v>0.81436745073108707</v>
      </c>
      <c r="M107" s="152">
        <f t="shared" si="300"/>
        <v>1.3455971049457178</v>
      </c>
      <c r="N107" s="152">
        <f t="shared" si="300"/>
        <v>0.47230392156862744</v>
      </c>
      <c r="O107" s="152">
        <f t="shared" si="300"/>
        <v>0.62826948480845446</v>
      </c>
      <c r="P107" s="152">
        <f t="shared" si="300"/>
        <v>0.6899022801302932</v>
      </c>
      <c r="Q107" s="152">
        <f t="shared" ref="Q107" si="301">Q40/Q18</f>
        <v>0.68566775244299671</v>
      </c>
      <c r="R107" s="118">
        <f t="shared" si="245"/>
        <v>-6.5959275278062446E-2</v>
      </c>
      <c r="S107" s="20"/>
      <c r="T107" s="152">
        <f t="shared" ref="T107:AC107" si="302">T40/T18</f>
        <v>0.68566775244299671</v>
      </c>
      <c r="U107" s="152">
        <f t="shared" si="302"/>
        <v>0.68566775244299671</v>
      </c>
      <c r="V107" s="152">
        <f t="shared" si="302"/>
        <v>0.68566775244299671</v>
      </c>
      <c r="W107" s="152">
        <f t="shared" si="302"/>
        <v>0.68566775244299671</v>
      </c>
      <c r="X107" s="152">
        <f t="shared" si="302"/>
        <v>0.6856677524429966</v>
      </c>
      <c r="Y107" s="152">
        <f t="shared" si="302"/>
        <v>0.6856677524429966</v>
      </c>
      <c r="Z107" s="152">
        <f t="shared" si="302"/>
        <v>0.6856677524429966</v>
      </c>
      <c r="AA107" s="152">
        <f t="shared" si="302"/>
        <v>0.6856677524429966</v>
      </c>
      <c r="AB107" s="152">
        <f t="shared" si="302"/>
        <v>0.68566775244299671</v>
      </c>
      <c r="AC107" s="152">
        <f t="shared" si="302"/>
        <v>0.68566775244299671</v>
      </c>
      <c r="AD107" s="138">
        <f t="shared" si="247"/>
        <v>-3.0537705400910053E-2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0.12167808791576132</v>
      </c>
      <c r="H108" s="152">
        <f t="shared" si="303"/>
        <v>0.10684606252473289</v>
      </c>
      <c r="I108" s="152">
        <f t="shared" si="303"/>
        <v>0.1091747245333933</v>
      </c>
      <c r="J108" s="152">
        <f t="shared" si="303"/>
        <v>8.4900059370670883E-2</v>
      </c>
      <c r="K108" s="152">
        <f t="shared" si="303"/>
        <v>9.1779652981890586E-2</v>
      </c>
      <c r="L108" s="152">
        <f t="shared" si="303"/>
        <v>0.10191741586442836</v>
      </c>
      <c r="M108" s="152">
        <f t="shared" si="303"/>
        <v>0.13841667700707283</v>
      </c>
      <c r="N108" s="152">
        <f t="shared" si="303"/>
        <v>9.81560717196414E-2</v>
      </c>
      <c r="O108" s="152">
        <f t="shared" si="303"/>
        <v>9.8967870817379719E-2</v>
      </c>
      <c r="P108" s="152">
        <f t="shared" si="303"/>
        <v>8.7643797070264012E-2</v>
      </c>
      <c r="Q108" s="152">
        <f t="shared" ref="Q108" si="304">Q40/Q25</f>
        <v>8.1844005713916909E-2</v>
      </c>
      <c r="R108" s="118">
        <f t="shared" si="245"/>
        <v>-3.5798849509126263E-2</v>
      </c>
      <c r="S108" s="20"/>
      <c r="T108" s="152">
        <f t="shared" ref="T108:AC108" si="305">T40/T25</f>
        <v>8.1844005713916895E-2</v>
      </c>
      <c r="U108" s="152">
        <f t="shared" si="305"/>
        <v>8.1844005713916895E-2</v>
      </c>
      <c r="V108" s="152">
        <f t="shared" si="305"/>
        <v>8.1844005713916895E-2</v>
      </c>
      <c r="W108" s="152">
        <f t="shared" si="305"/>
        <v>8.1844005713916895E-2</v>
      </c>
      <c r="X108" s="152">
        <f t="shared" si="305"/>
        <v>8.1844005713916881E-2</v>
      </c>
      <c r="Y108" s="152">
        <f t="shared" si="305"/>
        <v>8.1844005713916895E-2</v>
      </c>
      <c r="Z108" s="152">
        <f t="shared" si="305"/>
        <v>8.1844005713916895E-2</v>
      </c>
      <c r="AA108" s="152">
        <f t="shared" si="305"/>
        <v>8.1844005713916909E-2</v>
      </c>
      <c r="AB108" s="152">
        <f t="shared" si="305"/>
        <v>8.1844005713916909E-2</v>
      </c>
      <c r="AC108" s="152">
        <f t="shared" si="305"/>
        <v>8.1844005713916909E-2</v>
      </c>
      <c r="AD108" s="138">
        <f t="shared" si="247"/>
        <v>-1.9632907608331474E-2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10.478108581436077</v>
      </c>
      <c r="H109" s="152">
        <f t="shared" si="306"/>
        <v>11.231111111111112</v>
      </c>
      <c r="I109" s="152">
        <f t="shared" si="306"/>
        <v>9.3719704952581662</v>
      </c>
      <c r="J109" s="152">
        <f t="shared" si="306"/>
        <v>8.6746781115879834</v>
      </c>
      <c r="K109" s="152">
        <f t="shared" si="306"/>
        <v>9.1237024221453282</v>
      </c>
      <c r="L109" s="152">
        <f t="shared" si="306"/>
        <v>7.9904640813731724</v>
      </c>
      <c r="M109" s="152">
        <f t="shared" si="306"/>
        <v>9.7213510253317246</v>
      </c>
      <c r="N109" s="152">
        <f t="shared" si="306"/>
        <v>4.8117647058823527</v>
      </c>
      <c r="O109" s="152">
        <f t="shared" si="306"/>
        <v>6.3482166446499342</v>
      </c>
      <c r="P109" s="152">
        <f>P25/P18</f>
        <v>7.8716612377850161</v>
      </c>
      <c r="Q109" s="152">
        <f>Q25/Q18</f>
        <v>8.3777394136807821</v>
      </c>
      <c r="R109" s="118">
        <f t="shared" si="245"/>
        <v>-3.12802217188618E-2</v>
      </c>
      <c r="S109" s="20"/>
      <c r="T109" s="152">
        <f>T25/T18</f>
        <v>8.3777394136807821</v>
      </c>
      <c r="U109" s="152">
        <f t="shared" ref="U109:AC109" si="307">U25/U18</f>
        <v>8.3777394136807821</v>
      </c>
      <c r="V109" s="152">
        <f t="shared" si="307"/>
        <v>8.3777394136807821</v>
      </c>
      <c r="W109" s="152">
        <f t="shared" si="307"/>
        <v>8.3777394136807821</v>
      </c>
      <c r="X109" s="152">
        <f t="shared" si="307"/>
        <v>8.3777394136807821</v>
      </c>
      <c r="Y109" s="152">
        <f t="shared" si="307"/>
        <v>8.3777394136807821</v>
      </c>
      <c r="Z109" s="152">
        <f t="shared" si="307"/>
        <v>8.3777394136807803</v>
      </c>
      <c r="AA109" s="152">
        <f t="shared" si="307"/>
        <v>8.3777394136807803</v>
      </c>
      <c r="AB109" s="152">
        <f t="shared" si="307"/>
        <v>8.3777394136807803</v>
      </c>
      <c r="AC109" s="152">
        <f t="shared" si="307"/>
        <v>8.3777394136807803</v>
      </c>
      <c r="AD109" s="138">
        <f t="shared" si="247"/>
        <v>-1.1123178120937882E-2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399.20000000000005</v>
      </c>
      <c r="H111" s="165">
        <f t="shared" ref="H111:P111" si="309">H70*H42</f>
        <v>399.20000000000005</v>
      </c>
      <c r="I111" s="165">
        <f t="shared" si="309"/>
        <v>399.20000000000005</v>
      </c>
      <c r="J111" s="165">
        <f t="shared" si="309"/>
        <v>339.32</v>
      </c>
      <c r="K111" s="165">
        <f t="shared" si="309"/>
        <v>379.24</v>
      </c>
      <c r="L111" s="165">
        <f t="shared" si="309"/>
        <v>399.20000000000005</v>
      </c>
      <c r="M111" s="165">
        <f t="shared" si="309"/>
        <v>2195.6</v>
      </c>
      <c r="N111" s="165">
        <f t="shared" si="309"/>
        <v>2095.8000000000002</v>
      </c>
      <c r="O111" s="165">
        <f t="shared" si="309"/>
        <v>898.2</v>
      </c>
      <c r="P111" s="165">
        <f t="shared" si="309"/>
        <v>1197.6000000000001</v>
      </c>
      <c r="Q111" s="165">
        <f t="shared" ref="Q111" si="310">Q70*Q42</f>
        <v>1297.4000000000001</v>
      </c>
      <c r="R111" s="118">
        <f t="shared" si="245"/>
        <v>0.12983096390975302</v>
      </c>
      <c r="S111" s="20"/>
      <c r="T111" s="165">
        <f t="shared" ref="T111:AC111" si="311">T70*T42</f>
        <v>1375.8927000000001</v>
      </c>
      <c r="U111" s="165">
        <f t="shared" si="311"/>
        <v>1459.1342083500001</v>
      </c>
      <c r="V111" s="165">
        <f t="shared" si="311"/>
        <v>1547.4118279551753</v>
      </c>
      <c r="W111" s="165">
        <f t="shared" si="311"/>
        <v>1641.0302435464635</v>
      </c>
      <c r="X111" s="165">
        <f t="shared" si="311"/>
        <v>1740.3125732810245</v>
      </c>
      <c r="Y111" s="165">
        <f t="shared" si="311"/>
        <v>1845.6014839645268</v>
      </c>
      <c r="Z111" s="165">
        <f t="shared" si="311"/>
        <v>1957.2603737443806</v>
      </c>
      <c r="AA111" s="165">
        <f t="shared" si="311"/>
        <v>2075.6746263559153</v>
      </c>
      <c r="AB111" s="165">
        <f t="shared" si="311"/>
        <v>2201.2529412504487</v>
      </c>
      <c r="AC111" s="165">
        <f t="shared" si="311"/>
        <v>2334.428744196101</v>
      </c>
      <c r="AD111" s="138">
        <f t="shared" si="247"/>
        <v>9.2319041643145194E-2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467.06400000000008</v>
      </c>
      <c r="H112" s="165">
        <f t="shared" si="312"/>
        <v>467.06400000000008</v>
      </c>
      <c r="I112" s="165">
        <f t="shared" si="312"/>
        <v>467.06400000000008</v>
      </c>
      <c r="J112" s="165">
        <f t="shared" si="312"/>
        <v>397.00439999999998</v>
      </c>
      <c r="K112" s="165">
        <f t="shared" si="312"/>
        <v>443.71080000000001</v>
      </c>
      <c r="L112" s="165">
        <f t="shared" si="312"/>
        <v>467.06400000000008</v>
      </c>
      <c r="M112" s="165">
        <f t="shared" si="312"/>
        <v>2568.8519999999999</v>
      </c>
      <c r="N112" s="165">
        <f t="shared" si="312"/>
        <v>2452.0860000000002</v>
      </c>
      <c r="O112" s="165">
        <f t="shared" si="312"/>
        <v>1050.894</v>
      </c>
      <c r="P112" s="165">
        <f t="shared" si="312"/>
        <v>1401.1920000000002</v>
      </c>
      <c r="Q112" s="165">
        <f t="shared" ref="Q112" si="313">(Q111*0.17)+Q111</f>
        <v>1517.9580000000001</v>
      </c>
      <c r="R112" s="118">
        <f t="shared" si="245"/>
        <v>0.12983096390975302</v>
      </c>
      <c r="S112" s="20"/>
      <c r="T112" s="165">
        <f t="shared" ref="T112:AC112" si="314">(T111*0.17)+T111</f>
        <v>1609.7944590000002</v>
      </c>
      <c r="U112" s="165">
        <f t="shared" si="314"/>
        <v>1707.1870237695002</v>
      </c>
      <c r="V112" s="165">
        <f t="shared" si="314"/>
        <v>1810.4718387075552</v>
      </c>
      <c r="W112" s="165">
        <f t="shared" si="314"/>
        <v>1920.0053849493622</v>
      </c>
      <c r="X112" s="165">
        <f t="shared" si="314"/>
        <v>2036.1657107387987</v>
      </c>
      <c r="Y112" s="165">
        <f t="shared" si="314"/>
        <v>2159.3537362384964</v>
      </c>
      <c r="Z112" s="165">
        <f t="shared" si="314"/>
        <v>2289.9946372809254</v>
      </c>
      <c r="AA112" s="165">
        <f t="shared" si="314"/>
        <v>2428.5393128364208</v>
      </c>
      <c r="AB112" s="165">
        <f t="shared" si="314"/>
        <v>2575.4659412630249</v>
      </c>
      <c r="AC112" s="165">
        <f t="shared" si="314"/>
        <v>2731.2816307094381</v>
      </c>
      <c r="AD112" s="138">
        <f t="shared" si="247"/>
        <v>9.2319041643145194E-2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0.64157142857142868</v>
      </c>
      <c r="H113" s="152">
        <f t="shared" si="315"/>
        <v>0.57662222222222237</v>
      </c>
      <c r="I113" s="152">
        <f t="shared" si="315"/>
        <v>0.48101338825952633</v>
      </c>
      <c r="J113" s="152">
        <f t="shared" si="315"/>
        <v>0.4627090909090909</v>
      </c>
      <c r="K113" s="152">
        <f t="shared" si="315"/>
        <v>0.45837892561983473</v>
      </c>
      <c r="L113" s="152">
        <f t="shared" si="315"/>
        <v>0.36460889929742396</v>
      </c>
      <c r="M113" s="152">
        <f t="shared" si="315"/>
        <v>1.151435230838189</v>
      </c>
      <c r="N113" s="152">
        <f t="shared" si="315"/>
        <v>1.2724888427607681</v>
      </c>
      <c r="O113" s="152">
        <f t="shared" si="315"/>
        <v>0.44192346509671993</v>
      </c>
      <c r="P113" s="152">
        <f t="shared" si="315"/>
        <v>0.6615637393767706</v>
      </c>
      <c r="Q113" s="152">
        <f t="shared" ref="Q113" si="316">Q112/Q40</f>
        <v>0.72112019002375305</v>
      </c>
      <c r="R113" s="118">
        <f t="shared" si="245"/>
        <v>3.4153535970007365E-3</v>
      </c>
      <c r="S113" s="20"/>
      <c r="T113" s="152">
        <f t="shared" ref="T113:AC113" si="317">T112/T40</f>
        <v>0.71471772104690667</v>
      </c>
      <c r="U113" s="152">
        <f t="shared" si="317"/>
        <v>0.70837209642078924</v>
      </c>
      <c r="V113" s="152">
        <f t="shared" si="317"/>
        <v>0.70208281145256735</v>
      </c>
      <c r="W113" s="152">
        <f t="shared" si="317"/>
        <v>0.69584936593032487</v>
      </c>
      <c r="X113" s="152">
        <f t="shared" si="317"/>
        <v>0.68967126408327983</v>
      </c>
      <c r="Y113" s="152">
        <f t="shared" si="317"/>
        <v>0.68354801454235359</v>
      </c>
      <c r="Z113" s="152">
        <f t="shared" si="317"/>
        <v>0.67747913030108964</v>
      </c>
      <c r="AA113" s="152">
        <f t="shared" si="317"/>
        <v>0.67146412867692085</v>
      </c>
      <c r="AB113" s="152">
        <f t="shared" si="317"/>
        <v>0.66550253127278014</v>
      </c>
      <c r="AC113" s="152">
        <f t="shared" si="317"/>
        <v>0.65959386393904984</v>
      </c>
      <c r="AD113" s="138">
        <f t="shared" si="247"/>
        <v>1.3861480117778324E-3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0.35842857142857132</v>
      </c>
      <c r="H114" s="152">
        <f t="shared" ref="H114:P114" si="318">1-H113</f>
        <v>0.42337777777777763</v>
      </c>
      <c r="I114" s="152">
        <f t="shared" si="318"/>
        <v>0.51898661174047367</v>
      </c>
      <c r="J114" s="152">
        <f t="shared" si="318"/>
        <v>0.53729090909090904</v>
      </c>
      <c r="K114" s="152">
        <f t="shared" si="318"/>
        <v>0.54162107438016527</v>
      </c>
      <c r="L114" s="152">
        <f t="shared" si="318"/>
        <v>0.63539110070257609</v>
      </c>
      <c r="M114" s="152">
        <f t="shared" si="318"/>
        <v>-0.15143523083818899</v>
      </c>
      <c r="N114" s="152">
        <f t="shared" si="318"/>
        <v>-0.27248884276076812</v>
      </c>
      <c r="O114" s="152">
        <f t="shared" si="318"/>
        <v>0.55807653490328013</v>
      </c>
      <c r="P114" s="152">
        <f t="shared" si="318"/>
        <v>0.3384362606232294</v>
      </c>
      <c r="Q114" s="152">
        <f t="shared" ref="Q114" si="319">1-Q113</f>
        <v>0.27887980997624695</v>
      </c>
      <c r="R114" s="118">
        <f t="shared" si="245"/>
        <v>-6.3567787793966657E-3</v>
      </c>
      <c r="S114" s="20"/>
      <c r="T114" s="152">
        <f t="shared" ref="T114:AC114" si="320">1-T113</f>
        <v>0.28528227895309333</v>
      </c>
      <c r="U114" s="152">
        <f t="shared" si="320"/>
        <v>0.29162790357921076</v>
      </c>
      <c r="V114" s="152">
        <f t="shared" si="320"/>
        <v>0.29791718854743265</v>
      </c>
      <c r="W114" s="152">
        <f t="shared" si="320"/>
        <v>0.30415063406967513</v>
      </c>
      <c r="X114" s="152">
        <f t="shared" si="320"/>
        <v>0.31032873591672017</v>
      </c>
      <c r="Y114" s="152">
        <f t="shared" si="320"/>
        <v>0.31645198545764641</v>
      </c>
      <c r="Z114" s="152">
        <f t="shared" si="320"/>
        <v>0.32252086969891036</v>
      </c>
      <c r="AA114" s="152">
        <f t="shared" si="320"/>
        <v>0.32853587132307915</v>
      </c>
      <c r="AB114" s="152">
        <f t="shared" si="320"/>
        <v>0.33449746872721986</v>
      </c>
      <c r="AC114" s="152">
        <f t="shared" si="320"/>
        <v>0.34040613606095016</v>
      </c>
      <c r="AD114" s="138">
        <f t="shared" si="247"/>
        <v>-2.5761746890409221E-3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0.48002466598150062</v>
      </c>
      <c r="H115" s="152">
        <f t="shared" si="321"/>
        <v>0.62609115281501349</v>
      </c>
      <c r="I115" s="152">
        <f t="shared" si="321"/>
        <v>0.49900000000000011</v>
      </c>
      <c r="J115" s="152">
        <f t="shared" si="321"/>
        <v>0.63520703999999995</v>
      </c>
      <c r="K115" s="152">
        <f t="shared" si="321"/>
        <v>0.3664003303055326</v>
      </c>
      <c r="L115" s="152">
        <f t="shared" si="321"/>
        <v>0.34368211920529806</v>
      </c>
      <c r="M115" s="152">
        <f t="shared" si="321"/>
        <v>0.95638570364854802</v>
      </c>
      <c r="N115" s="152">
        <f t="shared" si="321"/>
        <v>1.0717159090909092</v>
      </c>
      <c r="O115" s="152">
        <f t="shared" si="321"/>
        <v>0.44548283170835101</v>
      </c>
      <c r="P115" s="152">
        <f t="shared" si="321"/>
        <v>0.74137142857142868</v>
      </c>
      <c r="Q115" s="152">
        <f>Q112/Q20</f>
        <v>0.80315238095238095</v>
      </c>
      <c r="R115" s="118">
        <f t="shared" si="245"/>
        <v>4.9481286449952755E-2</v>
      </c>
      <c r="S115" s="20"/>
      <c r="T115" s="152">
        <f>T112/T20</f>
        <v>0.7960215887850467</v>
      </c>
      <c r="U115" s="152">
        <f t="shared" ref="U115:AC115" si="322">U112/U20</f>
        <v>0.78895410738929161</v>
      </c>
      <c r="V115" s="152">
        <f t="shared" si="322"/>
        <v>0.78194937466013437</v>
      </c>
      <c r="W115" s="152">
        <f t="shared" si="322"/>
        <v>0.77500683348324517</v>
      </c>
      <c r="X115" s="152">
        <f t="shared" si="322"/>
        <v>0.76812593169063692</v>
      </c>
      <c r="Y115" s="152">
        <f t="shared" si="322"/>
        <v>0.76130612201674808</v>
      </c>
      <c r="Z115" s="152">
        <f t="shared" si="322"/>
        <v>0.75454686205491706</v>
      </c>
      <c r="AA115" s="152">
        <f t="shared" si="322"/>
        <v>0.74784761421424228</v>
      </c>
      <c r="AB115" s="152">
        <f t="shared" si="322"/>
        <v>0.74120784567682629</v>
      </c>
      <c r="AC115" s="152">
        <f t="shared" si="322"/>
        <v>0.73462702835539651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0.80461307036603713</v>
      </c>
      <c r="H120" s="152">
        <f t="shared" ref="H120:P120" si="329">H27/H25</f>
        <v>0.82535285582376994</v>
      </c>
      <c r="I120" s="152">
        <f t="shared" si="329"/>
        <v>0.82662469080278844</v>
      </c>
      <c r="J120" s="152">
        <f t="shared" si="329"/>
        <v>0.86156738571145852</v>
      </c>
      <c r="K120" s="152">
        <f t="shared" si="329"/>
        <v>0.84981511330236081</v>
      </c>
      <c r="L120" s="152">
        <f t="shared" si="329"/>
        <v>0.84286737210597507</v>
      </c>
      <c r="M120" s="152">
        <f t="shared" si="329"/>
        <v>0.81176324606030525</v>
      </c>
      <c r="N120" s="152">
        <f t="shared" si="329"/>
        <v>0.85554197229013851</v>
      </c>
      <c r="O120" s="152">
        <f t="shared" si="329"/>
        <v>0.83369402363908773</v>
      </c>
      <c r="P120" s="152">
        <f t="shared" si="329"/>
        <v>0.84606471902673175</v>
      </c>
      <c r="Q120" s="152">
        <f t="shared" ref="Q120" si="330">Q27/Q25</f>
        <v>0.84079649575460946</v>
      </c>
      <c r="R120" s="118">
        <f t="shared" si="245"/>
        <v>5.5972008751348223E-3</v>
      </c>
      <c r="S120" s="20"/>
      <c r="T120" s="152">
        <f t="shared" ref="T120:AC120" si="331">T27/T25</f>
        <v>0.84079649575460946</v>
      </c>
      <c r="U120" s="152">
        <f t="shared" si="331"/>
        <v>0.84079649575460946</v>
      </c>
      <c r="V120" s="152">
        <f t="shared" si="331"/>
        <v>0.84079649575460946</v>
      </c>
      <c r="W120" s="152">
        <f t="shared" si="331"/>
        <v>0.84079649575460946</v>
      </c>
      <c r="X120" s="152">
        <f t="shared" si="331"/>
        <v>0.84079649575460935</v>
      </c>
      <c r="Y120" s="152">
        <f t="shared" si="331"/>
        <v>0.84079649575460935</v>
      </c>
      <c r="Z120" s="152">
        <f t="shared" si="331"/>
        <v>0.84079649575460935</v>
      </c>
      <c r="AA120" s="152">
        <f t="shared" si="331"/>
        <v>0.84079649575460946</v>
      </c>
      <c r="AB120" s="152">
        <f t="shared" si="331"/>
        <v>0.84079649575460946</v>
      </c>
      <c r="AC120" s="152">
        <f t="shared" si="331"/>
        <v>0.84079649575460946</v>
      </c>
      <c r="AD120" s="138">
        <f t="shared" si="247"/>
        <v>2.2018278640252298E-3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>
        <f t="shared" ref="H121:P121" si="332">H33/H25</f>
        <v>0</v>
      </c>
      <c r="I121" s="152">
        <f t="shared" si="332"/>
        <v>0</v>
      </c>
      <c r="J121" s="152">
        <f t="shared" si="332"/>
        <v>0</v>
      </c>
      <c r="K121" s="152">
        <f t="shared" si="332"/>
        <v>0</v>
      </c>
      <c r="L121" s="152">
        <f t="shared" si="332"/>
        <v>0</v>
      </c>
      <c r="M121" s="152">
        <f t="shared" si="332"/>
        <v>0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 t="shared" ref="Q121" si="333">Q33/Q25</f>
        <v>0</v>
      </c>
      <c r="R121" s="118" t="e">
        <f t="shared" si="245"/>
        <v>#DIV/0!</v>
      </c>
      <c r="S121" s="20"/>
      <c r="T121" s="152">
        <f t="shared" ref="T121:AC121" si="334">T33/T25</f>
        <v>0</v>
      </c>
      <c r="U121" s="152">
        <f t="shared" si="334"/>
        <v>0</v>
      </c>
      <c r="V121" s="152">
        <f t="shared" si="334"/>
        <v>0</v>
      </c>
      <c r="W121" s="152">
        <f t="shared" si="334"/>
        <v>0</v>
      </c>
      <c r="X121" s="152">
        <f t="shared" si="334"/>
        <v>0</v>
      </c>
      <c r="Y121" s="152">
        <f t="shared" si="334"/>
        <v>0</v>
      </c>
      <c r="Z121" s="152">
        <f t="shared" si="334"/>
        <v>0</v>
      </c>
      <c r="AA121" s="152">
        <f t="shared" si="334"/>
        <v>0</v>
      </c>
      <c r="AB121" s="152">
        <f t="shared" si="334"/>
        <v>0</v>
      </c>
      <c r="AC121" s="152">
        <f t="shared" si="334"/>
        <v>0</v>
      </c>
      <c r="AD121" s="138" t="e">
        <f t="shared" si="247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>
        <f t="shared" ref="H122:P122" si="335">H34/H25</f>
        <v>0</v>
      </c>
      <c r="I122" s="152">
        <f t="shared" si="335"/>
        <v>0</v>
      </c>
      <c r="J122" s="152">
        <f t="shared" si="335"/>
        <v>0</v>
      </c>
      <c r="K122" s="152">
        <f t="shared" si="335"/>
        <v>0</v>
      </c>
      <c r="L122" s="152">
        <f t="shared" si="335"/>
        <v>0</v>
      </c>
      <c r="M122" s="152">
        <f t="shared" si="335"/>
        <v>0</v>
      </c>
      <c r="N122" s="152">
        <f t="shared" si="335"/>
        <v>0</v>
      </c>
      <c r="O122" s="152">
        <f t="shared" si="335"/>
        <v>0</v>
      </c>
      <c r="P122" s="152">
        <f t="shared" si="335"/>
        <v>0</v>
      </c>
      <c r="Q122" s="152">
        <f t="shared" ref="Q122" si="336">Q34/Q25</f>
        <v>0</v>
      </c>
      <c r="R122" s="118" t="e">
        <f t="shared" si="245"/>
        <v>#DIV/0!</v>
      </c>
      <c r="S122" s="20"/>
      <c r="T122" s="152">
        <f t="shared" ref="T122:AC122" si="337">T34/T25</f>
        <v>0</v>
      </c>
      <c r="U122" s="152">
        <f t="shared" si="337"/>
        <v>0</v>
      </c>
      <c r="V122" s="152">
        <f t="shared" si="337"/>
        <v>0</v>
      </c>
      <c r="W122" s="152">
        <f t="shared" si="337"/>
        <v>0</v>
      </c>
      <c r="X122" s="152">
        <f t="shared" si="337"/>
        <v>0</v>
      </c>
      <c r="Y122" s="152">
        <f t="shared" si="337"/>
        <v>0</v>
      </c>
      <c r="Z122" s="152">
        <f t="shared" si="337"/>
        <v>0</v>
      </c>
      <c r="AA122" s="152">
        <f t="shared" si="337"/>
        <v>0</v>
      </c>
      <c r="AB122" s="152">
        <f t="shared" si="337"/>
        <v>0</v>
      </c>
      <c r="AC122" s="152">
        <f t="shared" si="337"/>
        <v>0</v>
      </c>
      <c r="AD122" s="138" t="e">
        <f t="shared" si="247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0.24611161939615736</v>
      </c>
      <c r="H125" s="25">
        <f t="shared" ref="H125:AC125" si="338">H15/H9</f>
        <v>0.27842435094001788</v>
      </c>
      <c r="I125" s="25">
        <f t="shared" si="338"/>
        <v>0.34199497066219614</v>
      </c>
      <c r="J125" s="25">
        <f t="shared" si="338"/>
        <v>0.55166524338172507</v>
      </c>
      <c r="K125" s="25">
        <f t="shared" si="338"/>
        <v>0.51202749140893467</v>
      </c>
      <c r="L125" s="25">
        <f t="shared" si="338"/>
        <v>0.41358760429082242</v>
      </c>
      <c r="M125" s="25">
        <f t="shared" si="338"/>
        <v>0.60731399747793191</v>
      </c>
      <c r="N125" s="25">
        <f t="shared" si="338"/>
        <v>0.13224228743416103</v>
      </c>
      <c r="O125" s="25">
        <f t="shared" si="338"/>
        <v>0.28522727272727272</v>
      </c>
      <c r="P125" s="25">
        <f t="shared" si="338"/>
        <v>0.52201479394152872</v>
      </c>
      <c r="Q125" s="25">
        <f t="shared" ref="Q125" si="339">Q15/Q9</f>
        <v>0.33506669681211848</v>
      </c>
      <c r="R125" s="118">
        <f t="shared" si="245"/>
        <v>8.7134830747637393E-2</v>
      </c>
      <c r="S125" s="20"/>
      <c r="T125" s="20">
        <f t="shared" si="338"/>
        <v>0.33506669681211843</v>
      </c>
      <c r="U125" s="20">
        <f t="shared" si="338"/>
        <v>0.33506669681211837</v>
      </c>
      <c r="V125" s="20">
        <f t="shared" si="338"/>
        <v>0.33506669681211837</v>
      </c>
      <c r="W125" s="20">
        <f t="shared" si="338"/>
        <v>0.33506669681211837</v>
      </c>
      <c r="X125" s="20">
        <f t="shared" si="338"/>
        <v>0.33506669681211837</v>
      </c>
      <c r="Y125" s="20">
        <f t="shared" si="338"/>
        <v>0.33506669681211843</v>
      </c>
      <c r="Z125" s="20">
        <f t="shared" si="338"/>
        <v>0.33506669681211837</v>
      </c>
      <c r="AA125" s="20">
        <f t="shared" si="338"/>
        <v>0.33506669681211837</v>
      </c>
      <c r="AB125" s="20">
        <f t="shared" si="338"/>
        <v>0.33506669681211837</v>
      </c>
      <c r="AC125" s="20">
        <f t="shared" si="338"/>
        <v>0.33506669681211837</v>
      </c>
      <c r="AD125" s="138">
        <f t="shared" si="247"/>
        <v>1.5546835726578667E-2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3.385178408051235E-2</v>
      </c>
      <c r="H126" s="25">
        <f t="shared" ref="H126:P126" si="340">H12/H9</f>
        <v>1.521933751119069E-2</v>
      </c>
      <c r="I126" s="25">
        <f t="shared" si="340"/>
        <v>0.13243922883487008</v>
      </c>
      <c r="J126" s="25">
        <f t="shared" si="340"/>
        <v>2.9888983774551667E-2</v>
      </c>
      <c r="K126" s="25">
        <f t="shared" si="340"/>
        <v>9.0034364261168384E-2</v>
      </c>
      <c r="L126" s="25">
        <f t="shared" si="340"/>
        <v>0.13110846245530394</v>
      </c>
      <c r="M126" s="25">
        <f t="shared" si="340"/>
        <v>0.48095838587641865</v>
      </c>
      <c r="N126" s="25">
        <f t="shared" si="340"/>
        <v>1.3544018058690745E-2</v>
      </c>
      <c r="O126" s="25">
        <f t="shared" si="340"/>
        <v>2.1590909090909091E-2</v>
      </c>
      <c r="P126" s="25">
        <f t="shared" si="340"/>
        <v>6.375484325466714E-2</v>
      </c>
      <c r="Q126" s="25">
        <f t="shared" ref="Q126" si="341">Q12/Q9</f>
        <v>2.6904815735925843E-2</v>
      </c>
      <c r="R126" s="118">
        <f t="shared" si="245"/>
        <v>7.2872115259836834E-2</v>
      </c>
      <c r="S126" s="128"/>
      <c r="T126" s="20">
        <f t="shared" ref="T126:AC126" si="342">T12/T9</f>
        <v>2.6904815735925843E-2</v>
      </c>
      <c r="U126" s="20">
        <f t="shared" si="342"/>
        <v>2.690481573592584E-2</v>
      </c>
      <c r="V126" s="20">
        <f t="shared" si="342"/>
        <v>2.690481573592584E-2</v>
      </c>
      <c r="W126" s="20">
        <f t="shared" si="342"/>
        <v>2.690481573592584E-2</v>
      </c>
      <c r="X126" s="20">
        <f t="shared" si="342"/>
        <v>2.690481573592584E-2</v>
      </c>
      <c r="Y126" s="20">
        <f t="shared" si="342"/>
        <v>2.690481573592584E-2</v>
      </c>
      <c r="Z126" s="20">
        <f t="shared" si="342"/>
        <v>2.690481573592584E-2</v>
      </c>
      <c r="AA126" s="20">
        <f t="shared" si="342"/>
        <v>2.690481573592584E-2</v>
      </c>
      <c r="AB126" s="20">
        <f t="shared" si="342"/>
        <v>2.690481573592584E-2</v>
      </c>
      <c r="AC126" s="20">
        <f t="shared" si="342"/>
        <v>2.690481573592584E-2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16.619444444444444</v>
      </c>
      <c r="H127" s="25">
        <f t="shared" ref="H127:P127" si="344">H25/360</f>
        <v>21.058333333333334</v>
      </c>
      <c r="I127" s="25">
        <f t="shared" si="344"/>
        <v>24.705555555555556</v>
      </c>
      <c r="J127" s="25">
        <f t="shared" si="344"/>
        <v>28.072222222222223</v>
      </c>
      <c r="K127" s="25">
        <f t="shared" si="344"/>
        <v>29.297222222222221</v>
      </c>
      <c r="L127" s="25">
        <f t="shared" si="344"/>
        <v>34.913888888888891</v>
      </c>
      <c r="M127" s="25">
        <f t="shared" si="344"/>
        <v>44.772222222222226</v>
      </c>
      <c r="N127" s="25">
        <f t="shared" si="344"/>
        <v>54.533333333333331</v>
      </c>
      <c r="O127" s="25">
        <f t="shared" si="344"/>
        <v>66.74444444444444</v>
      </c>
      <c r="P127" s="25">
        <f t="shared" si="344"/>
        <v>67.12777777777778</v>
      </c>
      <c r="Q127" s="25">
        <f t="shared" ref="Q127" si="345">Q25/360</f>
        <v>71.4435</v>
      </c>
      <c r="R127" s="118">
        <f t="shared" si="245"/>
        <v>0.16779089643650758</v>
      </c>
      <c r="S127" s="128"/>
      <c r="T127" s="25">
        <f t="shared" ref="T127:AC127" si="346">T25/360</f>
        <v>76.444545000000005</v>
      </c>
      <c r="U127" s="25">
        <f t="shared" si="346"/>
        <v>81.79566315000001</v>
      </c>
      <c r="V127" s="25">
        <f t="shared" si="346"/>
        <v>87.52135957050001</v>
      </c>
      <c r="W127" s="25">
        <f t="shared" si="346"/>
        <v>93.647854740435022</v>
      </c>
      <c r="X127" s="25">
        <f t="shared" si="346"/>
        <v>100.20320457226549</v>
      </c>
      <c r="Y127" s="25">
        <f t="shared" si="346"/>
        <v>107.21742889232408</v>
      </c>
      <c r="Z127" s="25">
        <f t="shared" si="346"/>
        <v>114.72264891478676</v>
      </c>
      <c r="AA127" s="25">
        <f t="shared" si="346"/>
        <v>122.75323433882184</v>
      </c>
      <c r="AB127" s="25">
        <f t="shared" si="346"/>
        <v>131.34596074253938</v>
      </c>
      <c r="AC127" s="25">
        <f t="shared" si="346"/>
        <v>140.54017799451714</v>
      </c>
      <c r="AD127" s="118">
        <f t="shared" ref="AD127:AD138" si="347">((AC127/T127)^(1/($H$2-$H$1) ))-1</f>
        <v>7.0000000000000062E-2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13.372222222222222</v>
      </c>
      <c r="H128" s="25">
        <f t="shared" ref="H128:P128" si="348">H27/360</f>
        <v>17.380555555555556</v>
      </c>
      <c r="I128" s="25">
        <f t="shared" si="348"/>
        <v>20.422222222222221</v>
      </c>
      <c r="J128" s="25">
        <f t="shared" si="348"/>
        <v>24.18611111111111</v>
      </c>
      <c r="K128" s="25">
        <f t="shared" si="348"/>
        <v>24.897222222222222</v>
      </c>
      <c r="L128" s="25">
        <f t="shared" si="348"/>
        <v>29.427777777777777</v>
      </c>
      <c r="M128" s="25">
        <f t="shared" si="348"/>
        <v>36.344444444444441</v>
      </c>
      <c r="N128" s="25">
        <f t="shared" si="348"/>
        <v>46.655555555555559</v>
      </c>
      <c r="O128" s="25">
        <f t="shared" si="348"/>
        <v>55.644444444444446</v>
      </c>
      <c r="P128" s="25">
        <f t="shared" si="348"/>
        <v>56.794444444444444</v>
      </c>
      <c r="Q128" s="25">
        <f t="shared" ref="Q128" si="349">Q27/360</f>
        <v>60.069444444444443</v>
      </c>
      <c r="R128" s="118">
        <f t="shared" si="245"/>
        <v>0.17432725666401661</v>
      </c>
      <c r="S128" s="128"/>
      <c r="T128" s="25">
        <f t="shared" ref="T128:AC128" si="350">T27/360</f>
        <v>64.274305555555557</v>
      </c>
      <c r="U128" s="25">
        <f t="shared" si="350"/>
        <v>68.773506944444449</v>
      </c>
      <c r="V128" s="25">
        <f t="shared" si="350"/>
        <v>73.587652430555565</v>
      </c>
      <c r="W128" s="25">
        <f t="shared" si="350"/>
        <v>78.73878810069445</v>
      </c>
      <c r="X128" s="25">
        <f t="shared" si="350"/>
        <v>84.250503267743071</v>
      </c>
      <c r="Y128" s="25">
        <f t="shared" si="350"/>
        <v>90.148038496485086</v>
      </c>
      <c r="Z128" s="25">
        <f t="shared" si="350"/>
        <v>96.458401191239062</v>
      </c>
      <c r="AA128" s="25">
        <f t="shared" si="350"/>
        <v>103.2104892746258</v>
      </c>
      <c r="AB128" s="25">
        <f t="shared" si="350"/>
        <v>110.4352235238496</v>
      </c>
      <c r="AC128" s="25">
        <f t="shared" si="350"/>
        <v>118.16568917051907</v>
      </c>
      <c r="AD128" s="118">
        <f t="shared" si="347"/>
        <v>7.0000000000000062E-2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0.15377855887521968</v>
      </c>
      <c r="H130" s="25">
        <f t="shared" ref="H130:P130" si="351">H10/H7</f>
        <v>0.13529805760214333</v>
      </c>
      <c r="I130" s="25">
        <f t="shared" si="351"/>
        <v>9.2583374813339975E-2</v>
      </c>
      <c r="J130" s="25">
        <f t="shared" si="351"/>
        <v>6.6801619433198386E-2</v>
      </c>
      <c r="K130" s="25">
        <f t="shared" si="351"/>
        <v>4.4206296048225048E-2</v>
      </c>
      <c r="L130" s="25">
        <f t="shared" si="351"/>
        <v>2.0526315789473684E-2</v>
      </c>
      <c r="M130" s="25">
        <f t="shared" si="351"/>
        <v>1.9047619047619049E-2</v>
      </c>
      <c r="N130" s="25">
        <f t="shared" si="351"/>
        <v>0.50439783491204326</v>
      </c>
      <c r="O130" s="25">
        <f t="shared" si="351"/>
        <v>0.23198880858008861</v>
      </c>
      <c r="P130" s="25">
        <f t="shared" si="351"/>
        <v>6.031555821849411E-2</v>
      </c>
      <c r="Q130" s="25">
        <f t="shared" ref="Q130" si="352">Q10/Q7</f>
        <v>4.2689434364994666E-3</v>
      </c>
      <c r="R130" s="118">
        <f t="shared" si="245"/>
        <v>-9.8767047557865584E-2</v>
      </c>
      <c r="S130" s="128"/>
      <c r="T130" s="25">
        <f t="shared" ref="T130:AC130" si="353">T10/T7</f>
        <v>4.2689434364994666E-3</v>
      </c>
      <c r="U130" s="25">
        <f t="shared" si="353"/>
        <v>4.2689434364994666E-3</v>
      </c>
      <c r="V130" s="25">
        <f t="shared" si="353"/>
        <v>4.2689434364994666E-3</v>
      </c>
      <c r="W130" s="25">
        <f t="shared" si="353"/>
        <v>4.2689434364994666E-3</v>
      </c>
      <c r="X130" s="25">
        <f t="shared" si="353"/>
        <v>4.2689434364994666E-3</v>
      </c>
      <c r="Y130" s="25">
        <f t="shared" si="353"/>
        <v>4.2689434364994658E-3</v>
      </c>
      <c r="Z130" s="25">
        <f t="shared" si="353"/>
        <v>4.2689434364994658E-3</v>
      </c>
      <c r="AA130" s="25">
        <f t="shared" si="353"/>
        <v>4.2689434364994658E-3</v>
      </c>
      <c r="AB130" s="25">
        <f t="shared" si="353"/>
        <v>4.2689434364994649E-3</v>
      </c>
      <c r="AC130" s="25">
        <f t="shared" si="353"/>
        <v>4.2689434364994658E-3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0.13328255902513328</v>
      </c>
      <c r="H131" s="25">
        <f t="shared" ref="H131:P131" si="354">H10/(H10+H7)</f>
        <v>0.1191740412979351</v>
      </c>
      <c r="I131" s="25">
        <f t="shared" si="354"/>
        <v>8.47380410022779E-2</v>
      </c>
      <c r="J131" s="25">
        <f t="shared" si="354"/>
        <v>6.2618595825426948E-2</v>
      </c>
      <c r="K131" s="25">
        <f t="shared" si="354"/>
        <v>4.2334830019243104E-2</v>
      </c>
      <c r="L131" s="25">
        <f t="shared" si="354"/>
        <v>2.0113460546673543E-2</v>
      </c>
      <c r="M131" s="25">
        <f t="shared" si="354"/>
        <v>1.8691588785046728E-2</v>
      </c>
      <c r="N131" s="25">
        <f t="shared" si="354"/>
        <v>0.33528221272768161</v>
      </c>
      <c r="O131" s="25">
        <f t="shared" si="354"/>
        <v>0.18830431491294475</v>
      </c>
      <c r="P131" s="25">
        <f t="shared" si="354"/>
        <v>5.688453569410435E-2</v>
      </c>
      <c r="Q131" s="25">
        <f t="shared" ref="Q131" si="355">Q10/(Q10+Q7)</f>
        <v>4.2507970244420826E-3</v>
      </c>
      <c r="R131" s="118">
        <f t="shared" si="245"/>
        <v>-9.0268080840850362E-2</v>
      </c>
      <c r="S131" s="128"/>
      <c r="T131" s="25">
        <f t="shared" ref="T131:AC131" si="356">T10/(T10+T7)</f>
        <v>4.2507970244420826E-3</v>
      </c>
      <c r="U131" s="25">
        <f t="shared" si="356"/>
        <v>4.2507970244420826E-3</v>
      </c>
      <c r="V131" s="25">
        <f t="shared" si="356"/>
        <v>4.2507970244420835E-3</v>
      </c>
      <c r="W131" s="25">
        <f t="shared" si="356"/>
        <v>4.2507970244420835E-3</v>
      </c>
      <c r="X131" s="25">
        <f t="shared" si="356"/>
        <v>4.2507970244420826E-3</v>
      </c>
      <c r="Y131" s="25">
        <f t="shared" si="356"/>
        <v>4.2507970244420826E-3</v>
      </c>
      <c r="Z131" s="25">
        <f t="shared" si="356"/>
        <v>4.2507970244420826E-3</v>
      </c>
      <c r="AA131" s="25">
        <f t="shared" si="356"/>
        <v>4.2507970244420818E-3</v>
      </c>
      <c r="AB131" s="25">
        <f t="shared" si="356"/>
        <v>4.2507970244420818E-3</v>
      </c>
      <c r="AC131" s="25">
        <f t="shared" si="356"/>
        <v>4.2507970244420818E-3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-840</v>
      </c>
      <c r="H133" s="25">
        <f t="shared" ref="H133:P133" si="357">H16</f>
        <v>-1046</v>
      </c>
      <c r="I133" s="25">
        <f t="shared" si="357"/>
        <v>-860</v>
      </c>
      <c r="J133" s="25">
        <f t="shared" si="357"/>
        <v>-694</v>
      </c>
      <c r="K133" s="25">
        <f t="shared" si="357"/>
        <v>-1013</v>
      </c>
      <c r="L133" s="25">
        <f t="shared" si="357"/>
        <v>-1183</v>
      </c>
      <c r="M133" s="25">
        <f t="shared" si="357"/>
        <v>-2101</v>
      </c>
      <c r="N133" s="25">
        <f t="shared" si="357"/>
        <v>-4886</v>
      </c>
      <c r="O133" s="25">
        <f t="shared" si="357"/>
        <v>-2659</v>
      </c>
      <c r="P133" s="25">
        <f t="shared" si="357"/>
        <v>-1448</v>
      </c>
      <c r="Q133" s="25">
        <f t="shared" ref="Q133" si="358">Q16</f>
        <v>-1448</v>
      </c>
      <c r="R133" s="118">
        <f t="shared" si="245"/>
        <v>6.2371927448137798E-2</v>
      </c>
      <c r="S133" s="128"/>
      <c r="T133" s="25">
        <f t="shared" ref="T133:AC133" si="359">T16</f>
        <v>-1549.3600000000001</v>
      </c>
      <c r="U133" s="25">
        <f t="shared" si="359"/>
        <v>-1657.8152000000002</v>
      </c>
      <c r="V133" s="25">
        <f t="shared" si="359"/>
        <v>-1773.8622640000003</v>
      </c>
      <c r="W133" s="25">
        <f t="shared" si="359"/>
        <v>-1898.0326224800006</v>
      </c>
      <c r="X133" s="25">
        <f t="shared" si="359"/>
        <v>-2030.8949060536006</v>
      </c>
      <c r="Y133" s="25">
        <f t="shared" si="359"/>
        <v>-2173.0575494773529</v>
      </c>
      <c r="Z133" s="25">
        <f t="shared" si="359"/>
        <v>-2325.1715779407677</v>
      </c>
      <c r="AA133" s="25">
        <f t="shared" si="359"/>
        <v>-2487.9335883966214</v>
      </c>
      <c r="AB133" s="25">
        <f t="shared" si="359"/>
        <v>-2662.0889395843851</v>
      </c>
      <c r="AC133" s="25">
        <f t="shared" si="359"/>
        <v>-2848.4351653552922</v>
      </c>
      <c r="AD133" s="118">
        <f t="shared" si="347"/>
        <v>7.0000000000000062E-2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-51.245194718368708</v>
      </c>
      <c r="H134" s="119">
        <f t="shared" si="360"/>
        <v>-50.361429890515765</v>
      </c>
      <c r="I134" s="119">
        <f t="shared" si="360"/>
        <v>-35.293456262648974</v>
      </c>
      <c r="J134" s="119">
        <f t="shared" si="360"/>
        <v>-25.065307737977438</v>
      </c>
      <c r="K134" s="119">
        <f t="shared" si="360"/>
        <v>-35.056888214658194</v>
      </c>
      <c r="L134" s="119">
        <f t="shared" si="360"/>
        <v>-34.353966107088873</v>
      </c>
      <c r="M134" s="119">
        <f t="shared" si="360"/>
        <v>-47.57817347065393</v>
      </c>
      <c r="N134" s="119">
        <f t="shared" si="360"/>
        <v>-90.840973920130395</v>
      </c>
      <c r="O134" s="119">
        <f t="shared" si="360"/>
        <v>-40.391834526385885</v>
      </c>
      <c r="P134" s="119">
        <f t="shared" si="360"/>
        <v>-21.870396424728959</v>
      </c>
      <c r="Q134" s="119">
        <f t="shared" ref="Q134" si="361">Q133*365/Q25</f>
        <v>-20.549260760056704</v>
      </c>
      <c r="R134" s="118">
        <f t="shared" si="245"/>
        <v>-9.0272127749971176E-2</v>
      </c>
      <c r="S134" s="128"/>
      <c r="T134" s="119">
        <f t="shared" ref="T134:AC134" si="362">T133*365/T25</f>
        <v>-20.549260760056704</v>
      </c>
      <c r="U134" s="119">
        <f t="shared" si="362"/>
        <v>-20.549260760056704</v>
      </c>
      <c r="V134" s="119">
        <f t="shared" si="362"/>
        <v>-20.549260760056704</v>
      </c>
      <c r="W134" s="119">
        <f t="shared" si="362"/>
        <v>-20.549260760056704</v>
      </c>
      <c r="X134" s="119">
        <f t="shared" si="362"/>
        <v>-20.549260760056701</v>
      </c>
      <c r="Y134" s="119">
        <f t="shared" si="362"/>
        <v>-20.549260760056704</v>
      </c>
      <c r="Z134" s="119">
        <f t="shared" si="362"/>
        <v>-20.549260760056704</v>
      </c>
      <c r="AA134" s="119">
        <f t="shared" si="362"/>
        <v>-20.549260760056704</v>
      </c>
      <c r="AB134" s="119">
        <f t="shared" si="362"/>
        <v>-20.549260760056704</v>
      </c>
      <c r="AC134" s="119">
        <f t="shared" si="362"/>
        <v>-20.549260760056704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2.182626121808835</v>
      </c>
      <c r="H135" s="133">
        <f t="shared" ref="H135:P135" si="363">H80/H29</f>
        <v>3.3010465375194835</v>
      </c>
      <c r="I135" s="133">
        <f t="shared" si="363"/>
        <v>4.3274048096192379</v>
      </c>
      <c r="J135" s="133">
        <f t="shared" si="363"/>
        <v>4.2978814772401943</v>
      </c>
      <c r="K135" s="133">
        <f t="shared" si="363"/>
        <v>4.8919267105639852</v>
      </c>
      <c r="L135" s="133">
        <f t="shared" si="363"/>
        <v>6.7558193309696311</v>
      </c>
      <c r="M135" s="133">
        <f t="shared" si="363"/>
        <v>12.493168154490801</v>
      </c>
      <c r="N135" s="133">
        <f t="shared" si="363"/>
        <v>4.6467935871743489</v>
      </c>
      <c r="O135" s="133">
        <f t="shared" si="363"/>
        <v>5.5383494261249773</v>
      </c>
      <c r="P135" s="133">
        <f t="shared" si="363"/>
        <v>13.865230460921843</v>
      </c>
      <c r="Q135" s="133">
        <f t="shared" ref="Q135" si="364">Q80/Q29</f>
        <v>0</v>
      </c>
      <c r="R135" s="118">
        <f t="shared" si="245"/>
        <v>0.22805103651519265</v>
      </c>
      <c r="S135" s="128"/>
      <c r="T135" s="133">
        <f t="shared" ref="T135:AC135" si="365">T80/T29</f>
        <v>0</v>
      </c>
      <c r="U135" s="133">
        <f t="shared" si="365"/>
        <v>0</v>
      </c>
      <c r="V135" s="133">
        <f t="shared" si="365"/>
        <v>0</v>
      </c>
      <c r="W135" s="133">
        <f t="shared" si="365"/>
        <v>0</v>
      </c>
      <c r="X135" s="133">
        <f t="shared" si="365"/>
        <v>0</v>
      </c>
      <c r="Y135" s="133">
        <f t="shared" si="365"/>
        <v>0</v>
      </c>
      <c r="Z135" s="133">
        <f t="shared" si="365"/>
        <v>0</v>
      </c>
      <c r="AA135" s="133">
        <f t="shared" si="365"/>
        <v>0</v>
      </c>
      <c r="AB135" s="133">
        <f t="shared" si="365"/>
        <v>0</v>
      </c>
      <c r="AC135" s="133">
        <f t="shared" si="365"/>
        <v>0</v>
      </c>
      <c r="AD135" s="118" t="e">
        <f t="shared" si="347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31.824468085106382</v>
      </c>
      <c r="H137" s="180">
        <f t="shared" ref="H137:P137" si="366">H25/H14</f>
        <v>37.161764705882355</v>
      </c>
      <c r="I137" s="180">
        <f t="shared" si="366"/>
        <v>39.180616740088105</v>
      </c>
      <c r="J137" s="180">
        <f t="shared" si="366"/>
        <v>36.615942028985508</v>
      </c>
      <c r="K137" s="180">
        <f t="shared" si="366"/>
        <v>33.271293375394322</v>
      </c>
      <c r="L137" s="180">
        <f t="shared" si="366"/>
        <v>38.437308868501532</v>
      </c>
      <c r="M137" s="180">
        <f t="shared" si="366"/>
        <v>36.883295194508008</v>
      </c>
      <c r="N137" s="180">
        <f t="shared" si="366"/>
        <v>37.394285714285715</v>
      </c>
      <c r="O137" s="180">
        <f t="shared" si="366"/>
        <v>35.59703703703704</v>
      </c>
      <c r="P137" s="180">
        <f t="shared" si="366"/>
        <v>37.996855345911946</v>
      </c>
      <c r="Q137" s="180">
        <f t="shared" ref="Q137" si="367">Q25/Q14</f>
        <v>40.439716981132072</v>
      </c>
      <c r="R137" s="118">
        <f t="shared" si="245"/>
        <v>1.9891696032713124E-2</v>
      </c>
      <c r="S137" s="128"/>
      <c r="T137" s="20">
        <f t="shared" ref="T137" si="368">T25/T14</f>
        <v>40.439716981132072</v>
      </c>
      <c r="U137" s="20">
        <f t="shared" ref="U137:AC137" si="369">U25/U14</f>
        <v>40.439716981132072</v>
      </c>
      <c r="V137" s="20">
        <f t="shared" si="369"/>
        <v>40.439716981132072</v>
      </c>
      <c r="W137" s="20">
        <f t="shared" si="369"/>
        <v>40.439716981132072</v>
      </c>
      <c r="X137" s="20">
        <f t="shared" si="369"/>
        <v>40.439716981132079</v>
      </c>
      <c r="Y137" s="20">
        <f t="shared" si="369"/>
        <v>40.439716981132072</v>
      </c>
      <c r="Z137" s="20">
        <f t="shared" si="369"/>
        <v>40.439716981132072</v>
      </c>
      <c r="AA137" s="20">
        <f t="shared" si="369"/>
        <v>40.439716981132072</v>
      </c>
      <c r="AB137" s="20">
        <f t="shared" si="369"/>
        <v>40.439716981132072</v>
      </c>
      <c r="AC137" s="20">
        <f t="shared" si="369"/>
        <v>40.439716981132065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25.606382978723403</v>
      </c>
      <c r="H138" s="180">
        <f t="shared" ref="H138:P138" si="370">H27/H14</f>
        <v>30.671568627450981</v>
      </c>
      <c r="I138" s="180">
        <f t="shared" si="370"/>
        <v>32.387665198237883</v>
      </c>
      <c r="J138" s="180">
        <f t="shared" si="370"/>
        <v>31.547101449275363</v>
      </c>
      <c r="K138" s="180">
        <f t="shared" si="370"/>
        <v>28.274447949526813</v>
      </c>
      <c r="L138" s="180">
        <f t="shared" si="370"/>
        <v>32.397553516819571</v>
      </c>
      <c r="M138" s="180">
        <f t="shared" si="370"/>
        <v>29.940503432494278</v>
      </c>
      <c r="N138" s="180">
        <f t="shared" si="370"/>
        <v>31.992380952380952</v>
      </c>
      <c r="O138" s="180">
        <f t="shared" si="370"/>
        <v>29.677037037037039</v>
      </c>
      <c r="P138" s="180">
        <f t="shared" si="370"/>
        <v>32.147798742138363</v>
      </c>
      <c r="Q138" s="180">
        <f t="shared" ref="Q138" si="371">Q27/Q14</f>
        <v>34.001572327044023</v>
      </c>
      <c r="R138" s="118">
        <f t="shared" si="245"/>
        <v>2.5600234726290028E-2</v>
      </c>
      <c r="S138" s="128"/>
      <c r="T138" s="20">
        <f t="shared" ref="T138:AC138" si="372">T27/T14</f>
        <v>34.001572327044023</v>
      </c>
      <c r="U138" s="20">
        <f t="shared" si="372"/>
        <v>34.001572327044016</v>
      </c>
      <c r="V138" s="20">
        <f t="shared" si="372"/>
        <v>34.001572327044016</v>
      </c>
      <c r="W138" s="20">
        <f t="shared" si="372"/>
        <v>34.001572327044023</v>
      </c>
      <c r="X138" s="20">
        <f t="shared" si="372"/>
        <v>34.001572327044016</v>
      </c>
      <c r="Y138" s="20">
        <f t="shared" si="372"/>
        <v>34.001572327044016</v>
      </c>
      <c r="Z138" s="20">
        <f t="shared" si="372"/>
        <v>34.001572327044016</v>
      </c>
      <c r="AA138" s="20">
        <f t="shared" si="372"/>
        <v>34.001572327044023</v>
      </c>
      <c r="AB138" s="20">
        <f t="shared" si="372"/>
        <v>34.001572327044016</v>
      </c>
      <c r="AC138" s="20">
        <f t="shared" si="372"/>
        <v>34.001572327044016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74.580980142102391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225.10649996833155</v>
      </c>
      <c r="T142" s="133">
        <f>PV($C$1, ($AC$3-$T$3), 0, -AC54)</f>
        <v>31.367299175915051</v>
      </c>
      <c r="U142" s="133">
        <f>PV($C$1, ($AC$3-$T$3), 0, -AF54)</f>
        <v>193.73920079241651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601.21080419095495</v>
      </c>
      <c r="T143" s="133">
        <f>PV($C$1, ($AC$3-$T$3), 0, -AC56)</f>
        <v>83.77527599382158</v>
      </c>
      <c r="U143" s="133">
        <f>PV($C$1, ($AC$3-$T$3), 0, -AF56)</f>
        <v>517.43552819713341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596.93324599678238</v>
      </c>
      <c r="T144" s="133">
        <f>PV($C$1, ($AC$3-$T$3), 0, -AC57)</f>
        <v>83.179222802830324</v>
      </c>
      <c r="U144" s="133">
        <f>PV($C$1, ($AC$3-$T$3), 0, -AF57)</f>
        <v>513.75402319395209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2.5665349165035427</v>
      </c>
      <c r="T145" s="133">
        <f>PV($C$1, ($AC$3-$T$3), 0, -AC58)</f>
        <v>0.35763191459475585</v>
      </c>
      <c r="U145" s="133">
        <f>PV($C$1, ($AC$3-$T$3), 0, -AF58)</f>
        <v>2.2089030019087867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12.725735627663402</v>
      </c>
      <c r="T146" s="133">
        <f>PV($C$1, ($AC$3-$T$3), 0, -AC64)</f>
        <v>1.7732582431989985</v>
      </c>
      <c r="U146" s="133">
        <f>PV($C$1, ($AC$3-$T$3), 0, -AF64)</f>
        <v>10.952477384464403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598.64426927445129</v>
      </c>
      <c r="T148" s="133">
        <f>PV($C$1, ($AC$3-$T$3), 0, -AC60)</f>
        <v>83.417644079226818</v>
      </c>
      <c r="U148" s="133">
        <f>PV($C$1, ($AC$3-$T$3), 0, -$AF$60)</f>
        <v>515.22662519522453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125.65327195381909</v>
      </c>
      <c r="T149" s="133">
        <f>PV($C$1, ($AC$3-$T$3), 0, -AC61)</f>
        <v>17.509062485368229</v>
      </c>
      <c r="U149" s="133">
        <f>PV($C$1, ($AC$3-$T$3), 0, -$AF$61)</f>
        <v>108.14420946845085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284.13680304791285</v>
      </c>
      <c r="T150" s="133">
        <f>PV($C$1, ($AC$3-$T$3), 0, -AC62)</f>
        <v>39.59283321159441</v>
      </c>
      <c r="U150" s="133">
        <f>PV($C$1, ($AC$3-$T$3), 0, -$AF$62)</f>
        <v>244.54396983631847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158.48353109409379</v>
      </c>
      <c r="T152" s="133">
        <f>PV($C$1, ($AC$3-$T$3), 0, -AC67)</f>
        <v>22.083770726226181</v>
      </c>
      <c r="U152" s="133">
        <f>PV($C$1, ($AC$3-$T$3), 0, -AF67)</f>
        <v>136.3997603678676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-119.65496875880908</v>
      </c>
      <c r="T153" s="133">
        <f>PV($C$1, ($AC$3-$T$3), 0, -AC68)</f>
        <v>-21.577125513883608</v>
      </c>
      <c r="U153" s="133">
        <f>PV($C$1, ($AC$3-$T$3), 0, -AF68)</f>
        <v>-98.077843244925475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280.58029756355467</v>
      </c>
      <c r="T155" s="133">
        <f>PV($C$1, ($AC$3-$T$3), 0, -AC12)</f>
        <v>39.097254578528108</v>
      </c>
      <c r="U155" s="133">
        <f>PV($C$1, ($AC$3-$T$3), 0, -AF12)</f>
        <v>241.48304298502654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14.057129136450634</v>
      </c>
      <c r="T156" s="140">
        <f>T155/P42</f>
        <v>1.9587802895054163</v>
      </c>
      <c r="U156" s="140">
        <f>U155/P42</f>
        <v>12.098348846945218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615.98452087270118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506.76299262728799</v>
      </c>
      <c r="U159" s="133">
        <f>PV($C$1, ($AC$3-$T$3), 0, -AF70)</f>
        <v>109.22152824541321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13241.420802574681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10893.556258594212</v>
      </c>
      <c r="U161" s="133">
        <f>PV($C$1, ($AC$3-$T$3), 0, -AF72)</f>
        <v>2347.8645439804695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600.56540652160095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494.07787430458143</v>
      </c>
      <c r="U163" s="133">
        <f>PV($C$1, ($AC$3-$T$3), 0, -AF74)</f>
        <v>106.48753221701952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981.04461393761903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807.09350253730202</v>
      </c>
      <c r="U164" s="133">
        <f>PV($C$1, ($AC$3-$T$3), 0, -AF75)</f>
        <v>173.95111140031707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-380.47920741601826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-313.0156282327207</v>
      </c>
      <c r="U165" s="133">
        <f>PV($C$1, ($AC$3-$T$3), 0, -AF76)</f>
        <v>-67.46357918329754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-548.13921286673303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-450.94748078274637</v>
      </c>
      <c r="U166" s="133">
        <f>PV($C$1, ($AC$3-$T$3), 0, -AF77)</f>
        <v>-97.191732083986636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70.074615281258488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57.649535895521559</v>
      </c>
      <c r="U168" s="133">
        <f>PV($C$1, ($AC$3-$T$3), 0, -AF78)</f>
        <v>12.425079385736929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1985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2590</v>
      </c>
      <c r="Q170" s="20"/>
      <c r="R170" s="20">
        <v>1200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500</v>
      </c>
      <c r="H171" s="22">
        <v>550</v>
      </c>
      <c r="I171" s="22">
        <v>870</v>
      </c>
      <c r="J171" s="22">
        <v>650</v>
      </c>
      <c r="K171" s="22">
        <v>690</v>
      </c>
      <c r="L171" s="22">
        <v>1000</v>
      </c>
      <c r="M171" s="22">
        <v>2000</v>
      </c>
      <c r="N171" s="22">
        <v>1550</v>
      </c>
      <c r="O171" s="22">
        <v>1890</v>
      </c>
      <c r="P171" s="22">
        <v>1435</v>
      </c>
      <c r="Q171" s="22">
        <v>2500</v>
      </c>
      <c r="R171" s="118">
        <f t="shared" ref="R171:R176" si="377">((P171/G171)^(1/($H$2-$H$1) ))-1</f>
        <v>0.1242833169870261</v>
      </c>
      <c r="S171" s="31">
        <f>L2-3%</f>
        <v>4.0000000000000008E-2</v>
      </c>
      <c r="T171" s="119">
        <f t="shared" ref="T171" si="378">P171*(1+$S171)</f>
        <v>1492.4</v>
      </c>
      <c r="U171" s="119">
        <f t="shared" ref="U171:AC171" si="379">T171*(1+$S171)</f>
        <v>1552.0960000000002</v>
      </c>
      <c r="V171" s="119">
        <f t="shared" si="379"/>
        <v>1614.1798400000002</v>
      </c>
      <c r="W171" s="119">
        <f t="shared" si="379"/>
        <v>1678.7470336000003</v>
      </c>
      <c r="X171" s="119">
        <f t="shared" si="379"/>
        <v>1745.8969149440004</v>
      </c>
      <c r="Y171" s="119">
        <f t="shared" si="379"/>
        <v>1815.7327915417604</v>
      </c>
      <c r="Z171" s="119">
        <f t="shared" si="379"/>
        <v>1888.3621032034309</v>
      </c>
      <c r="AA171" s="119">
        <f t="shared" si="379"/>
        <v>1963.8965873315683</v>
      </c>
      <c r="AB171" s="119">
        <f t="shared" si="379"/>
        <v>2042.4524508248312</v>
      </c>
      <c r="AC171" s="119">
        <f t="shared" si="379"/>
        <v>2124.1505488578246</v>
      </c>
      <c r="AD171" s="138">
        <f t="shared" ref="AD171:AD176" si="380">((AC171/G171)^(1/($AC$3-$H$1) ))-1</f>
        <v>7.5005693737088874E-2</v>
      </c>
      <c r="AE171" s="31">
        <v>0.08</v>
      </c>
      <c r="AF171" s="127">
        <f t="shared" ref="AF171:AF179" si="381">(AC171*(1+AD171))/($C$1-AE171)</f>
        <v>16310.528102692311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1.6680595019221127</v>
      </c>
      <c r="H172" s="25">
        <f t="shared" si="382"/>
        <v>1.4480939190080464</v>
      </c>
      <c r="I172" s="25">
        <f t="shared" si="382"/>
        <v>1.9524623341578593</v>
      </c>
      <c r="J172" s="25">
        <f t="shared" si="382"/>
        <v>1.2837918068474174</v>
      </c>
      <c r="K172" s="25">
        <f t="shared" si="382"/>
        <v>1.3058120792642458</v>
      </c>
      <c r="L172" s="25">
        <f t="shared" si="382"/>
        <v>1.5880340520327791</v>
      </c>
      <c r="M172" s="25">
        <f t="shared" si="382"/>
        <v>2.4767340861149028</v>
      </c>
      <c r="N172" s="25">
        <f t="shared" si="382"/>
        <v>1.5758964955175223</v>
      </c>
      <c r="O172" s="25">
        <f t="shared" si="382"/>
        <v>1.5700183119693691</v>
      </c>
      <c r="P172" s="25">
        <f t="shared" si="382"/>
        <v>1.1852437308615411</v>
      </c>
      <c r="Q172" s="25">
        <f t="shared" ref="Q172" si="383">Q171/Q50</f>
        <v>1.9401500641921394</v>
      </c>
      <c r="R172" s="118">
        <f t="shared" ref="R172" si="384">((P172/G172)^(1/($H$2-$H$1) ))-1</f>
        <v>-3.7256309825880796E-2</v>
      </c>
      <c r="S172" s="128"/>
      <c r="T172" s="25">
        <f t="shared" ref="T172:AC172" si="385">T171/T50</f>
        <v>1.093246637517141</v>
      </c>
      <c r="U172" s="25">
        <f t="shared" si="385"/>
        <v>1.0732208112598178</v>
      </c>
      <c r="V172" s="25">
        <f t="shared" si="385"/>
        <v>1.0535618132217874</v>
      </c>
      <c r="W172" s="25">
        <f t="shared" si="385"/>
        <v>1.0342629239328649</v>
      </c>
      <c r="X172" s="25">
        <f t="shared" si="385"/>
        <v>1.015317547008487</v>
      </c>
      <c r="Y172" s="25">
        <f t="shared" si="385"/>
        <v>0.99671920689506055</v>
      </c>
      <c r="Z172" s="25">
        <f t="shared" si="385"/>
        <v>0.97846154665660889</v>
      </c>
      <c r="AA172" s="25">
        <f t="shared" si="385"/>
        <v>0.96053832580196452</v>
      </c>
      <c r="AB172" s="25">
        <f t="shared" si="385"/>
        <v>0.94294341815176019</v>
      </c>
      <c r="AC172" s="25">
        <f t="shared" si="385"/>
        <v>0.92567080974449456</v>
      </c>
      <c r="AD172" s="138">
        <f t="shared" ref="AD172" si="386">((AC172/G172)^(1/($AC$3-$H$1) ))-1</f>
        <v>-2.9015602226740711E-2</v>
      </c>
      <c r="AE172" s="31">
        <v>0.08</v>
      </c>
      <c r="AF172" s="127">
        <f t="shared" ref="AF172" si="387">(AC172*(1+AD172))/($C$1-AE172)</f>
        <v>6.420085098114594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13.708791208791208</v>
      </c>
      <c r="H173" s="25">
        <f t="shared" si="388"/>
        <v>13.553086419753086</v>
      </c>
      <c r="I173" s="25">
        <f t="shared" si="388"/>
        <v>17.883831101956744</v>
      </c>
      <c r="J173" s="25">
        <f t="shared" si="388"/>
        <v>15.121212121212121</v>
      </c>
      <c r="K173" s="25">
        <f t="shared" si="388"/>
        <v>14.227685950413225</v>
      </c>
      <c r="L173" s="25">
        <f t="shared" si="388"/>
        <v>15.581576893052304</v>
      </c>
      <c r="M173" s="25">
        <f t="shared" si="388"/>
        <v>17.893321380546841</v>
      </c>
      <c r="N173" s="25">
        <f t="shared" si="388"/>
        <v>16.055007784120395</v>
      </c>
      <c r="O173" s="25">
        <f t="shared" si="388"/>
        <v>15.863919259882254</v>
      </c>
      <c r="P173" s="25">
        <f t="shared" si="388"/>
        <v>13.523418319169028</v>
      </c>
      <c r="Q173" s="25">
        <f t="shared" ref="Q173" si="389">Q171/Q54</f>
        <v>23.705463182897862</v>
      </c>
      <c r="R173" s="118">
        <f t="shared" si="377"/>
        <v>-1.5115728870603862E-3</v>
      </c>
      <c r="S173" s="128"/>
      <c r="T173" s="119">
        <f t="shared" ref="T173:AC173" si="390">T171/T54</f>
        <v>13.357687322130221</v>
      </c>
      <c r="U173" s="119">
        <f t="shared" si="390"/>
        <v>13.11300445155662</v>
      </c>
      <c r="V173" s="119">
        <f t="shared" si="390"/>
        <v>12.872803622350535</v>
      </c>
      <c r="W173" s="119">
        <f t="shared" si="390"/>
        <v>12.637002733567291</v>
      </c>
      <c r="X173" s="119">
        <f t="shared" si="390"/>
        <v>12.405521188167366</v>
      </c>
      <c r="Y173" s="119">
        <f t="shared" si="390"/>
        <v>12.178279865468227</v>
      </c>
      <c r="Z173" s="119">
        <f t="shared" si="390"/>
        <v>11.95520109410077</v>
      </c>
      <c r="AA173" s="119">
        <f t="shared" si="390"/>
        <v>11.736208625461165</v>
      </c>
      <c r="AB173" s="119">
        <f t="shared" si="390"/>
        <v>11.52122760764898</v>
      </c>
      <c r="AC173" s="119">
        <f t="shared" si="390"/>
        <v>11.310184559882702</v>
      </c>
      <c r="AD173" s="138">
        <f t="shared" si="380"/>
        <v>-9.5705931902707597E-3</v>
      </c>
      <c r="AE173" s="31">
        <v>0.08</v>
      </c>
      <c r="AF173" s="127">
        <f t="shared" si="381"/>
        <v>80.013852746808439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9.0892531876138438</v>
      </c>
      <c r="H174" s="25">
        <f t="shared" si="391"/>
        <v>7.5554026152787337</v>
      </c>
      <c r="I174" s="25">
        <f t="shared" si="391"/>
        <v>8.8192991366175715</v>
      </c>
      <c r="J174" s="25">
        <f t="shared" si="391"/>
        <v>5.3390946502057615</v>
      </c>
      <c r="K174" s="25">
        <f t="shared" si="391"/>
        <v>4.6749490835030549</v>
      </c>
      <c r="L174" s="25">
        <f t="shared" si="391"/>
        <v>5.3085106382978724</v>
      </c>
      <c r="M174" s="25">
        <f t="shared" si="391"/>
        <v>11.655474452554744</v>
      </c>
      <c r="N174" s="25">
        <f t="shared" si="391"/>
        <v>10.609739368998628</v>
      </c>
      <c r="O174" s="25">
        <f t="shared" si="391"/>
        <v>8.8784184514003304</v>
      </c>
      <c r="P174" s="25">
        <f t="shared" si="391"/>
        <v>5.7677406363270238</v>
      </c>
      <c r="Q174" s="25">
        <f t="shared" ref="Q174" si="392">Q171/Q57</f>
        <v>8.9394482264421367</v>
      </c>
      <c r="R174" s="118">
        <f t="shared" si="377"/>
        <v>-4.9279063419497726E-2</v>
      </c>
      <c r="S174" s="128"/>
      <c r="T174" s="119">
        <f t="shared" ref="T174:AC174" si="393">T171/T57</f>
        <v>5.0372504143826786</v>
      </c>
      <c r="U174" s="119">
        <f t="shared" si="393"/>
        <v>4.9449792852967906</v>
      </c>
      <c r="V174" s="119">
        <f t="shared" si="393"/>
        <v>4.8543983563324753</v>
      </c>
      <c r="W174" s="119">
        <f t="shared" si="393"/>
        <v>4.7654766668146085</v>
      </c>
      <c r="X174" s="119">
        <f t="shared" si="393"/>
        <v>4.6781838231981911</v>
      </c>
      <c r="Y174" s="119">
        <f t="shared" si="393"/>
        <v>4.5924899886797954</v>
      </c>
      <c r="Z174" s="119">
        <f t="shared" si="393"/>
        <v>4.5083658729993052</v>
      </c>
      <c r="AA174" s="119">
        <f t="shared" si="393"/>
        <v>4.425782722428476</v>
      </c>
      <c r="AB174" s="119">
        <f t="shared" si="393"/>
        <v>4.3447123099428699</v>
      </c>
      <c r="AC174" s="119">
        <f t="shared" si="393"/>
        <v>4.2651269255738233</v>
      </c>
      <c r="AD174" s="138">
        <f t="shared" si="380"/>
        <v>-3.7124385721602815E-2</v>
      </c>
      <c r="AE174" s="31">
        <v>0.08</v>
      </c>
      <c r="AF174" s="127">
        <f t="shared" si="381"/>
        <v>29.334190774551615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6.2297128589263426</v>
      </c>
      <c r="H175" s="25">
        <f t="shared" si="394"/>
        <v>5.3734703866862459</v>
      </c>
      <c r="I175" s="25">
        <f t="shared" si="394"/>
        <v>7.8256872465074352</v>
      </c>
      <c r="J175" s="25">
        <f t="shared" si="394"/>
        <v>6.4611553784860565</v>
      </c>
      <c r="K175" s="25">
        <f t="shared" si="394"/>
        <v>5.1065628476084539</v>
      </c>
      <c r="L175" s="25">
        <f t="shared" si="394"/>
        <v>5.5629877369007801</v>
      </c>
      <c r="M175" s="25">
        <f t="shared" si="394"/>
        <v>6.8449931412894367</v>
      </c>
      <c r="N175" s="25">
        <f t="shared" si="394"/>
        <v>5.9496153846153845</v>
      </c>
      <c r="O175" s="25">
        <f t="shared" si="394"/>
        <v>9.3377227722772282</v>
      </c>
      <c r="P175" s="25">
        <f t="shared" si="394"/>
        <v>7.5296004206098841</v>
      </c>
      <c r="Q175" s="25">
        <f t="shared" ref="Q175" si="395">Q171/Q66</f>
        <v>13.335114911811864</v>
      </c>
      <c r="R175" s="118">
        <f t="shared" si="377"/>
        <v>2.1280119263276775E-2</v>
      </c>
      <c r="S175" s="128"/>
      <c r="T175" s="119">
        <f t="shared" ref="T175:AC175" si="396">T171/T66</f>
        <v>7.5141453268530496</v>
      </c>
      <c r="U175" s="119">
        <f t="shared" si="396"/>
        <v>7.3765030386228441</v>
      </c>
      <c r="V175" s="119">
        <f t="shared" si="396"/>
        <v>7.2413820483826496</v>
      </c>
      <c r="W175" s="119">
        <f t="shared" si="396"/>
        <v>7.1087361716085384</v>
      </c>
      <c r="X175" s="119">
        <f t="shared" si="396"/>
        <v>6.9785200697734657</v>
      </c>
      <c r="Y175" s="119">
        <f t="shared" si="396"/>
        <v>6.8506892348505133</v>
      </c>
      <c r="Z175" s="119">
        <f t="shared" si="396"/>
        <v>6.7251999740999784</v>
      </c>
      <c r="AA175" s="119">
        <f t="shared" si="396"/>
        <v>6.6020093951351573</v>
      </c>
      <c r="AB175" s="119">
        <f t="shared" si="396"/>
        <v>6.481075391261653</v>
      </c>
      <c r="AC175" s="119">
        <f t="shared" si="396"/>
        <v>6.3623566270852718</v>
      </c>
      <c r="AD175" s="138">
        <f t="shared" si="380"/>
        <v>1.0539853471860372E-3</v>
      </c>
      <c r="AE175" s="31">
        <v>0.08</v>
      </c>
      <c r="AF175" s="127">
        <f t="shared" si="381"/>
        <v>45.493303269598506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-11.880952380952381</v>
      </c>
      <c r="H176" s="25">
        <f t="shared" si="397"/>
        <v>-10.495219885277246</v>
      </c>
      <c r="I176" s="25">
        <f t="shared" si="397"/>
        <v>-20.192093023255815</v>
      </c>
      <c r="J176" s="25">
        <f t="shared" si="397"/>
        <v>-18.694524495677232</v>
      </c>
      <c r="K176" s="25">
        <f t="shared" si="397"/>
        <v>-13.595656465942744</v>
      </c>
      <c r="L176" s="25">
        <f t="shared" si="397"/>
        <v>-16.872358410819952</v>
      </c>
      <c r="M176" s="25">
        <f t="shared" si="397"/>
        <v>-19.000475963826752</v>
      </c>
      <c r="N176" s="25">
        <f t="shared" si="397"/>
        <v>-6.3319688907081462</v>
      </c>
      <c r="O176" s="25">
        <f t="shared" si="397"/>
        <v>-14.18743888679955</v>
      </c>
      <c r="P176" s="25">
        <f t="shared" si="397"/>
        <v>-19.780801104972376</v>
      </c>
      <c r="Q176" s="25">
        <f t="shared" ref="Q176" si="398">Q171/Q68</f>
        <v>-34.461325966850829</v>
      </c>
      <c r="R176" s="118">
        <f t="shared" si="377"/>
        <v>5.8276567687177039E-2</v>
      </c>
      <c r="S176" s="128"/>
      <c r="T176" s="119">
        <f t="shared" ref="T176:AC176" si="399">T171/T68</f>
        <v>-19.418461196881292</v>
      </c>
      <c r="U176" s="119">
        <f t="shared" si="399"/>
        <v>-19.062758543181413</v>
      </c>
      <c r="V176" s="119">
        <f t="shared" si="399"/>
        <v>-18.713571564259581</v>
      </c>
      <c r="W176" s="119">
        <f t="shared" si="399"/>
        <v>-18.37078090756847</v>
      </c>
      <c r="X176" s="119">
        <f t="shared" si="399"/>
        <v>-18.034269406831701</v>
      </c>
      <c r="Y176" s="119">
        <f t="shared" si="399"/>
        <v>-17.703922041996279</v>
      </c>
      <c r="Z176" s="119">
        <f t="shared" si="399"/>
        <v>-17.379625899918587</v>
      </c>
      <c r="AA176" s="119">
        <f t="shared" si="399"/>
        <v>-17.061270135770549</v>
      </c>
      <c r="AB176" s="119">
        <f t="shared" si="399"/>
        <v>-16.748745935152694</v>
      </c>
      <c r="AC176" s="119">
        <f t="shared" si="399"/>
        <v>-16.441946476901304</v>
      </c>
      <c r="AD176" s="138">
        <f t="shared" si="380"/>
        <v>1.6377632062600123E-2</v>
      </c>
      <c r="AE176" s="31">
        <v>0.08</v>
      </c>
      <c r="AF176" s="127">
        <f t="shared" si="381"/>
        <v>-119.36590447637826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71.798561151079141</v>
      </c>
      <c r="H177" s="182">
        <f t="shared" si="400"/>
        <v>22.635051546391754</v>
      </c>
      <c r="I177" s="182">
        <f t="shared" si="400"/>
        <v>16.729479768786128</v>
      </c>
      <c r="J177" s="182">
        <f t="shared" si="400"/>
        <v>7.2887640449438207</v>
      </c>
      <c r="K177" s="182">
        <f t="shared" si="400"/>
        <v>6.423694029850747</v>
      </c>
      <c r="L177" s="182">
        <f t="shared" si="400"/>
        <v>7.2899926953981016</v>
      </c>
      <c r="M177" s="182">
        <f t="shared" si="400"/>
        <v>21.672095548317046</v>
      </c>
      <c r="N177" s="182">
        <f t="shared" si="400"/>
        <v>-9.8278271918678541</v>
      </c>
      <c r="O177" s="182">
        <f t="shared" si="400"/>
        <v>48.488946015424162</v>
      </c>
      <c r="P177" s="182">
        <f t="shared" si="400"/>
        <v>8.5551373954599761</v>
      </c>
      <c r="Q177" s="182">
        <f t="shared" ref="Q177" si="401">Q171/Q62</f>
        <v>18.780579601053823</v>
      </c>
      <c r="R177" s="118">
        <f t="shared" ref="R177:R180" si="402">((P177/G177)^(1/($H$2-$H$1) ))-1</f>
        <v>-0.21051170742002712</v>
      </c>
      <c r="S177" s="128"/>
      <c r="T177" s="135">
        <f t="shared" ref="T177:AC177" si="403">T171/T62</f>
        <v>10.582586305263126</v>
      </c>
      <c r="U177" s="135">
        <f t="shared" si="403"/>
        <v>10.388737060792886</v>
      </c>
      <c r="V177" s="135">
        <f t="shared" si="403"/>
        <v>10.198438699679292</v>
      </c>
      <c r="W177" s="135">
        <f t="shared" si="403"/>
        <v>10.011626177703864</v>
      </c>
      <c r="X177" s="135">
        <f t="shared" si="403"/>
        <v>9.8282356421122756</v>
      </c>
      <c r="Y177" s="135">
        <f t="shared" si="403"/>
        <v>9.6482044097894697</v>
      </c>
      <c r="Z177" s="135">
        <f t="shared" si="403"/>
        <v>9.4714709458344473</v>
      </c>
      <c r="AA177" s="135">
        <f t="shared" si="403"/>
        <v>9.2979748425275766</v>
      </c>
      <c r="AB177" s="135">
        <f t="shared" si="403"/>
        <v>9.1276567986831445</v>
      </c>
      <c r="AC177" s="135">
        <f t="shared" si="403"/>
        <v>8.9604585993801678</v>
      </c>
      <c r="AD177" s="138">
        <f t="shared" ref="AD177" si="404">((AC177/G177)^(1/($AC$3-$H$1) ))-1</f>
        <v>-9.882170149310876E-2</v>
      </c>
      <c r="AE177" s="31">
        <v>0.08</v>
      </c>
      <c r="AF177" s="127">
        <f t="shared" si="381"/>
        <v>57.678363103077572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7.2945891783567141E-2</v>
      </c>
      <c r="H178" s="161">
        <f t="shared" si="405"/>
        <v>7.3783931499362354E-2</v>
      </c>
      <c r="I178" s="161">
        <f t="shared" si="405"/>
        <v>5.5916430562273974E-2</v>
      </c>
      <c r="J178" s="161">
        <f t="shared" si="405"/>
        <v>6.6132264529058113E-2</v>
      </c>
      <c r="K178" s="161">
        <f t="shared" si="405"/>
        <v>7.0285498533298477E-2</v>
      </c>
      <c r="L178" s="161">
        <f t="shared" si="405"/>
        <v>6.4178356713426851E-2</v>
      </c>
      <c r="M178" s="161">
        <f t="shared" si="405"/>
        <v>5.588677354709419E-2</v>
      </c>
      <c r="N178" s="161">
        <f t="shared" si="405"/>
        <v>6.2285862046673988E-2</v>
      </c>
      <c r="O178" s="161">
        <f t="shared" si="405"/>
        <v>6.3036125160373657E-2</v>
      </c>
      <c r="P178" s="161">
        <f t="shared" si="405"/>
        <v>7.3945801009684869E-2</v>
      </c>
      <c r="Q178" s="161">
        <f t="shared" ref="Q178" si="406">Q54/Q171</f>
        <v>4.2184368737474949E-2</v>
      </c>
      <c r="R178" s="118">
        <f t="shared" si="402"/>
        <v>1.5138611986029726E-3</v>
      </c>
      <c r="S178" s="128"/>
      <c r="T178" s="161">
        <f t="shared" ref="T178:AC178" si="407">T54/T171</f>
        <v>7.4863258577947067E-2</v>
      </c>
      <c r="U178" s="161">
        <f t="shared" si="407"/>
        <v>7.626017391317913E-2</v>
      </c>
      <c r="V178" s="161">
        <f t="shared" si="407"/>
        <v>7.7683155071498172E-2</v>
      </c>
      <c r="W178" s="161">
        <f t="shared" si="407"/>
        <v>7.913268842964874E-2</v>
      </c>
      <c r="X178" s="161">
        <f t="shared" si="407"/>
        <v>8.0609269439950657E-2</v>
      </c>
      <c r="Y178" s="161">
        <f t="shared" si="407"/>
        <v>8.2113402799645088E-2</v>
      </c>
      <c r="Z178" s="161">
        <f t="shared" si="407"/>
        <v>8.3645602623400844E-2</v>
      </c>
      <c r="AA178" s="161">
        <f t="shared" si="407"/>
        <v>8.5206392619039339E-2</v>
      </c>
      <c r="AB178" s="161">
        <f t="shared" si="407"/>
        <v>8.6796306266538545E-2</v>
      </c>
      <c r="AC178" s="161">
        <f t="shared" si="407"/>
        <v>8.8415887000377211E-2</v>
      </c>
      <c r="AD178" s="138">
        <f t="shared" ref="AD178:AD180" si="408">((AC178/G178)^(1/($AC$3-$H$1) ))-1</f>
        <v>9.6630745457151335E-3</v>
      </c>
      <c r="AE178" s="31">
        <v>0.08</v>
      </c>
      <c r="AF178" s="127">
        <f t="shared" si="381"/>
        <v>0.63764468791062401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0.04</v>
      </c>
      <c r="H179" s="152">
        <f t="shared" si="409"/>
        <v>3.6363636363636362E-2</v>
      </c>
      <c r="I179" s="152">
        <f t="shared" si="409"/>
        <v>2.2988505747126436E-2</v>
      </c>
      <c r="J179" s="152">
        <f t="shared" si="409"/>
        <v>2.6153846153846153E-2</v>
      </c>
      <c r="K179" s="152">
        <f t="shared" si="409"/>
        <v>2.753623188405797E-2</v>
      </c>
      <c r="L179" s="152">
        <f t="shared" si="409"/>
        <v>0.02</v>
      </c>
      <c r="M179" s="152">
        <f t="shared" si="409"/>
        <v>5.5E-2</v>
      </c>
      <c r="N179" s="152">
        <f t="shared" si="409"/>
        <v>6.7741935483870974E-2</v>
      </c>
      <c r="O179" s="152">
        <f t="shared" si="409"/>
        <v>2.3809523809523808E-2</v>
      </c>
      <c r="P179" s="152">
        <f t="shared" si="409"/>
        <v>4.1811846689895474E-2</v>
      </c>
      <c r="Q179" s="152">
        <f t="shared" ref="Q179" si="410">Q44/Q171</f>
        <v>2.5999999999999999E-2</v>
      </c>
      <c r="R179" s="118">
        <f t="shared" si="402"/>
        <v>4.9343851668939287E-3</v>
      </c>
      <c r="S179" s="128"/>
      <c r="T179" s="152">
        <f t="shared" ref="T179:AC179" si="411">T44/T171</f>
        <v>4.573170731707317E-2</v>
      </c>
      <c r="U179" s="152">
        <f t="shared" si="411"/>
        <v>4.6171435272045029E-2</v>
      </c>
      <c r="V179" s="152">
        <f t="shared" si="411"/>
        <v>4.6615391380430082E-2</v>
      </c>
      <c r="W179" s="152">
        <f t="shared" si="411"/>
        <v>4.7063616297549599E-2</v>
      </c>
      <c r="X179" s="152">
        <f t="shared" si="411"/>
        <v>4.7516151069641424E-2</v>
      </c>
      <c r="Y179" s="152">
        <f t="shared" si="411"/>
        <v>4.7973037137618746E-2</v>
      </c>
      <c r="Z179" s="152">
        <f t="shared" si="411"/>
        <v>4.8434316340865077E-2</v>
      </c>
      <c r="AA179" s="152">
        <f t="shared" si="411"/>
        <v>4.8900030921065707E-2</v>
      </c>
      <c r="AB179" s="152">
        <f t="shared" si="411"/>
        <v>4.9370223526075951E-2</v>
      </c>
      <c r="AC179" s="152">
        <f t="shared" si="411"/>
        <v>4.9844937213826684E-2</v>
      </c>
      <c r="AD179" s="138">
        <f t="shared" si="408"/>
        <v>1.1062617009062192E-2</v>
      </c>
      <c r="AE179" s="31">
        <v>0.08</v>
      </c>
      <c r="AF179" s="127">
        <f t="shared" si="381"/>
        <v>0.35997394760045714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1.9583987441130295</v>
      </c>
      <c r="H180" s="181">
        <f t="shared" si="412"/>
        <v>1.9361552028218691</v>
      </c>
      <c r="I180" s="181">
        <f t="shared" si="412"/>
        <v>2.5548330145652489</v>
      </c>
      <c r="J180" s="181">
        <f t="shared" si="412"/>
        <v>2.16017316017316</v>
      </c>
      <c r="K180" s="181">
        <f t="shared" si="412"/>
        <v>2.0325265643447463</v>
      </c>
      <c r="L180" s="181">
        <f t="shared" si="412"/>
        <v>2.2259395561503288</v>
      </c>
      <c r="M180" s="181">
        <f t="shared" si="412"/>
        <v>2.5561887686495481</v>
      </c>
      <c r="N180" s="181">
        <f t="shared" si="412"/>
        <v>2.2935725405886274</v>
      </c>
      <c r="O180" s="181">
        <f t="shared" si="412"/>
        <v>2.2662741799831787</v>
      </c>
      <c r="P180" s="181">
        <f>(P173)/($L$2*100)</f>
        <v>1.9319169027384324</v>
      </c>
      <c r="Q180" s="181">
        <f>(Q173)/($L$2*100)</f>
        <v>3.3864947404139798</v>
      </c>
      <c r="R180" s="118">
        <f t="shared" si="402"/>
        <v>-1.5115728870603862E-3</v>
      </c>
      <c r="S180" s="128"/>
      <c r="T180" s="181">
        <f>(T173)/($L$2*100)</f>
        <v>1.9082410460186028</v>
      </c>
      <c r="U180" s="181">
        <f t="shared" ref="U180:AC180" si="413">(U173)/($L$2*100)</f>
        <v>1.873286350222374</v>
      </c>
      <c r="V180" s="181">
        <f t="shared" si="413"/>
        <v>1.8389719460500762</v>
      </c>
      <c r="W180" s="181">
        <f t="shared" si="413"/>
        <v>1.805286104795327</v>
      </c>
      <c r="X180" s="181">
        <f t="shared" si="413"/>
        <v>1.7722173125953378</v>
      </c>
      <c r="Y180" s="181">
        <f t="shared" si="413"/>
        <v>1.7397542664954608</v>
      </c>
      <c r="Z180" s="181">
        <f t="shared" si="413"/>
        <v>1.7078858705858242</v>
      </c>
      <c r="AA180" s="181">
        <f t="shared" si="413"/>
        <v>1.6766012322087376</v>
      </c>
      <c r="AB180" s="181">
        <f t="shared" si="413"/>
        <v>1.6458896582355682</v>
      </c>
      <c r="AC180" s="181">
        <f t="shared" si="413"/>
        <v>1.6157406514118142</v>
      </c>
      <c r="AD180" s="138">
        <f t="shared" si="408"/>
        <v>-9.5705931902707597E-3</v>
      </c>
      <c r="AE180" s="31">
        <v>0.08</v>
      </c>
      <c r="AF180" s="181">
        <f>(AF173)/($L$2*100)</f>
        <v>11.430550392401203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0.9583987441130295</v>
      </c>
      <c r="H181" s="152">
        <f t="shared" si="414"/>
        <v>0.93615520282186915</v>
      </c>
      <c r="I181" s="152">
        <f t="shared" si="414"/>
        <v>1.5548330145652489</v>
      </c>
      <c r="J181" s="152">
        <f t="shared" si="414"/>
        <v>1.16017316017316</v>
      </c>
      <c r="K181" s="152">
        <f t="shared" si="414"/>
        <v>1.0325265643447463</v>
      </c>
      <c r="L181" s="152">
        <f t="shared" si="414"/>
        <v>1.2259395561503288</v>
      </c>
      <c r="M181" s="152">
        <f t="shared" si="414"/>
        <v>1.5561887686495481</v>
      </c>
      <c r="N181" s="152">
        <f t="shared" si="414"/>
        <v>1.2935725405886274</v>
      </c>
      <c r="O181" s="152">
        <f t="shared" si="414"/>
        <v>1.2662741799831787</v>
      </c>
      <c r="P181" s="152">
        <f t="shared" si="414"/>
        <v>0.93191690273843242</v>
      </c>
      <c r="Q181" s="152">
        <f>Q180-1</f>
        <v>2.3864947404139798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0.75360619165091958</v>
      </c>
      <c r="Q184" s="128">
        <f>(Q171-T159)/Q171</f>
        <v>0.79729480294908484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0.80199525920006065</v>
      </c>
      <c r="N185" s="20"/>
      <c r="O185" s="20"/>
      <c r="P185" s="128">
        <f>(Q171-S150)/Q171</f>
        <v>0.8863452787808348</v>
      </c>
      <c r="Q185" s="128">
        <f>(Q171-T150)/Q171</f>
        <v>0.98416286671536213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0.58103776711431709</v>
      </c>
      <c r="N186" s="20"/>
      <c r="O186" s="20"/>
      <c r="P186" s="128">
        <f>(Q171-S143)/Q171</f>
        <v>0.75951567832361799</v>
      </c>
      <c r="Q186" s="128">
        <f>(Q171-T143)/Q171</f>
        <v>0.96648988960247129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0.99020409119411112</v>
      </c>
      <c r="N187" s="20"/>
      <c r="O187" s="20"/>
      <c r="P187" s="128">
        <f>(Q171-S156)/Q171</f>
        <v>0.99437714834541968</v>
      </c>
      <c r="Q187" s="128">
        <f>(Q171-T156)/Q171</f>
        <v>0.99921648788419792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0.95116751548344358</v>
      </c>
      <c r="N188" s="20"/>
      <c r="O188" s="20"/>
      <c r="P188" s="128">
        <f>(Q171-S168)/Q171</f>
        <v>0.97197015388749664</v>
      </c>
      <c r="Q188" s="128">
        <f>(Q171-T168)/Q171</f>
        <v>0.9769401856417913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11.105854341619212</v>
      </c>
      <c r="Q189" s="25">
        <f>Q171/T142</f>
        <v>79.700837039855529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9.0042599987332619E-2</v>
      </c>
      <c r="Q190" s="152">
        <f>1/Q189</f>
        <v>1.254691967036602E-2</v>
      </c>
      <c r="R190" s="20"/>
      <c r="S190" s="20"/>
      <c r="T190" s="129">
        <f>Q171-T191</f>
        <v>2421.6899708507926</v>
      </c>
      <c r="U190" s="185">
        <f>T190-U191</f>
        <v>2339.4644402441249</v>
      </c>
      <c r="V190" s="185">
        <f t="shared" ref="V190:X190" si="415">U190-V191</f>
        <v>2253.1276331071235</v>
      </c>
      <c r="W190" s="185">
        <f t="shared" si="415"/>
        <v>2162.4739856132724</v>
      </c>
      <c r="X190" s="185">
        <f t="shared" si="415"/>
        <v>2067.2876557447285</v>
      </c>
      <c r="Y190" s="185">
        <f>X190-Y191</f>
        <v>1967.3420093827574</v>
      </c>
      <c r="Z190" s="185">
        <f t="shared" ref="Z190:AC190" si="416">Y190-Z191</f>
        <v>1862.3990807026878</v>
      </c>
      <c r="AA190" s="185">
        <f t="shared" si="416"/>
        <v>1752.2090055886147</v>
      </c>
      <c r="AB190" s="185">
        <f t="shared" si="416"/>
        <v>1636.5094267188379</v>
      </c>
      <c r="AC190" s="185">
        <f t="shared" si="416"/>
        <v>1515.0248689055722</v>
      </c>
      <c r="AD190" s="185">
        <f t="shared" ref="AD190" si="417">AC190-AD191</f>
        <v>1387.4660832016432</v>
      </c>
      <c r="AE190" s="185">
        <f t="shared" ref="AE190" si="418">AD190-AE191</f>
        <v>1253.5293582125178</v>
      </c>
      <c r="AF190" s="185">
        <f t="shared" ref="AF190" si="419">AE190-AF191</f>
        <v>1112.8957969739361</v>
      </c>
      <c r="AG190" s="185">
        <f t="shared" ref="AG190" si="420">AF190-AG191</f>
        <v>965.23055767342521</v>
      </c>
      <c r="AH190" s="185">
        <f t="shared" ref="AH190" si="421">AG190-AH191</f>
        <v>810.18205640788892</v>
      </c>
      <c r="AI190" s="185">
        <f t="shared" ref="AI190" si="422">AH190-AI191</f>
        <v>647.38113007907577</v>
      </c>
      <c r="AJ190" s="185">
        <f t="shared" ref="AJ190" si="423">AI190-AJ191</f>
        <v>476.44015743382192</v>
      </c>
      <c r="AK190" s="185">
        <f t="shared" ref="AK190" si="424">AJ190-AK191</f>
        <v>296.95213615630541</v>
      </c>
      <c r="AL190" s="185">
        <f t="shared" ref="AL190" si="425">AK190-AL191</f>
        <v>108.48971381491305</v>
      </c>
      <c r="AM190" s="185">
        <f t="shared" ref="AM190" si="426">AL190-AM191</f>
        <v>-89.39582964354895</v>
      </c>
      <c r="AN190" s="185">
        <f t="shared" ref="AN190" si="427">AM190-AN191</f>
        <v>-297.17565027493401</v>
      </c>
      <c r="AO190" s="185">
        <f t="shared" ref="AO190" si="428">AN190-AO191</f>
        <v>-515.34446193788835</v>
      </c>
      <c r="AP190" s="185">
        <f t="shared" ref="AP190" si="429">AO190-AP191</f>
        <v>-744.42171418399039</v>
      </c>
      <c r="AQ190" s="185">
        <f t="shared" ref="AQ190" si="430">AP190-AQ191</f>
        <v>-984.95282904239752</v>
      </c>
      <c r="AR190" s="185">
        <f t="shared" ref="AR190" si="431">AQ190-AR191</f>
        <v>-1237.5104996437251</v>
      </c>
      <c r="AS190" s="185">
        <f t="shared" ref="AS190" si="432">AR190-AS191</f>
        <v>-1502.696053775119</v>
      </c>
      <c r="AT190" s="185">
        <f t="shared" ref="AT190" si="433">AS190-AT191</f>
        <v>-1781.1408856130827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0.03</v>
      </c>
      <c r="J191" s="190"/>
      <c r="K191" s="184">
        <f>P1</f>
        <v>0.05</v>
      </c>
      <c r="L191" s="191">
        <v>7.0000000000000007E-2</v>
      </c>
      <c r="M191" s="190"/>
      <c r="N191" s="191">
        <v>0.12</v>
      </c>
      <c r="O191" s="190"/>
      <c r="P191" s="181">
        <f>Q171/R141</f>
        <v>33.520610687022902</v>
      </c>
      <c r="Q191" s="181" t="e">
        <f>Q171/S141</f>
        <v>#DIV/0!</v>
      </c>
      <c r="R191" s="20"/>
      <c r="S191" s="20"/>
      <c r="T191" s="186">
        <f>R141*(1+$K$191)</f>
        <v>78.310029149207509</v>
      </c>
      <c r="U191" s="186">
        <f>T191*(1+$K$191)</f>
        <v>82.225530606667888</v>
      </c>
      <c r="V191" s="186">
        <f t="shared" ref="V191:AC191" si="434">U191*(1+$K$191)</f>
        <v>86.336807137001287</v>
      </c>
      <c r="W191" s="186">
        <f t="shared" si="434"/>
        <v>90.653647493851352</v>
      </c>
      <c r="X191" s="186">
        <f t="shared" si="434"/>
        <v>95.186329868543922</v>
      </c>
      <c r="Y191" s="186">
        <f t="shared" si="434"/>
        <v>99.945646361971129</v>
      </c>
      <c r="Z191" s="186">
        <f t="shared" si="434"/>
        <v>104.94292868006968</v>
      </c>
      <c r="AA191" s="186">
        <f t="shared" si="434"/>
        <v>110.19007511407317</v>
      </c>
      <c r="AB191" s="186">
        <f t="shared" si="434"/>
        <v>115.69957886977683</v>
      </c>
      <c r="AC191" s="186">
        <f t="shared" si="434"/>
        <v>121.48455781326568</v>
      </c>
      <c r="AD191" s="186">
        <f t="shared" ref="AD191" si="435">AC191*(1+$K$191)</f>
        <v>127.55878570392898</v>
      </c>
      <c r="AE191" s="186">
        <f t="shared" ref="AE191" si="436">AD191*(1+$K$191)</f>
        <v>133.93672498912542</v>
      </c>
      <c r="AF191" s="186">
        <f t="shared" ref="AF191" si="437">AE191*(1+$K$191)</f>
        <v>140.63356123858171</v>
      </c>
      <c r="AG191" s="186">
        <f t="shared" ref="AG191" si="438">AF191*(1+$K$191)</f>
        <v>147.66523930051079</v>
      </c>
      <c r="AH191" s="186">
        <f t="shared" ref="AH191" si="439">AG191*(1+$K$191)</f>
        <v>155.04850126553634</v>
      </c>
      <c r="AI191" s="186">
        <f t="shared" ref="AI191" si="440">AH191*(1+$K$191)</f>
        <v>162.80092632881318</v>
      </c>
      <c r="AJ191" s="186">
        <f t="shared" ref="AJ191" si="441">AI191*(1+$K$191)</f>
        <v>170.94097264525385</v>
      </c>
      <c r="AK191" s="186">
        <f t="shared" ref="AK191" si="442">AJ191*(1+$K$191)</f>
        <v>179.48802127751654</v>
      </c>
      <c r="AL191" s="186">
        <f t="shared" ref="AL191" si="443">AK191*(1+$K$191)</f>
        <v>188.46242234139237</v>
      </c>
      <c r="AM191" s="186">
        <f t="shared" ref="AM191" si="444">AL191*(1+$K$191)</f>
        <v>197.885543458462</v>
      </c>
      <c r="AN191" s="186">
        <f t="shared" ref="AN191" si="445">AM191*(1+$K$191)</f>
        <v>207.77982063138509</v>
      </c>
      <c r="AO191" s="186">
        <f t="shared" ref="AO191" si="446">AN191*(1+$K$191)</f>
        <v>218.16881166295437</v>
      </c>
      <c r="AP191" s="186">
        <f t="shared" ref="AP191" si="447">AO191*(1+$K$191)</f>
        <v>229.07725224610209</v>
      </c>
      <c r="AQ191" s="186">
        <f t="shared" ref="AQ191" si="448">AP191*(1+$K$191)</f>
        <v>240.53111485840719</v>
      </c>
      <c r="AR191" s="186">
        <f t="shared" ref="AR191" si="449">AQ191*(1+$K$191)</f>
        <v>252.55767060132757</v>
      </c>
      <c r="AS191" s="186">
        <f t="shared" ref="AS191" si="450">AR191*(1+$K$191)</f>
        <v>265.18555413139399</v>
      </c>
      <c r="AT191" s="186">
        <f t="shared" ref="AT191" si="451">AS191*(1+$K$191)</f>
        <v>278.4448318379637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1200</v>
      </c>
      <c r="G192" s="191">
        <v>0</v>
      </c>
      <c r="H192" s="192">
        <v>11</v>
      </c>
      <c r="I192" s="191">
        <v>0.03</v>
      </c>
      <c r="J192" s="190">
        <v>9</v>
      </c>
      <c r="K192" s="184">
        <v>0</v>
      </c>
      <c r="L192" s="191">
        <v>7.0000000000000007E-2</v>
      </c>
      <c r="M192" s="190">
        <v>8</v>
      </c>
      <c r="N192" s="191">
        <v>0.12</v>
      </c>
      <c r="O192" s="190">
        <v>7</v>
      </c>
      <c r="P192" s="181">
        <f>Q171/P54</f>
        <v>23.55996222851747</v>
      </c>
      <c r="Q192" s="181">
        <f>Q171/Q54</f>
        <v>23.705463182897862</v>
      </c>
      <c r="R192" s="20"/>
      <c r="S192" s="20"/>
      <c r="T192" s="186">
        <f>Q54*(1+$K$192)</f>
        <v>105.46092184368737</v>
      </c>
      <c r="U192" s="186">
        <f>T192*(1+$K$192)</f>
        <v>105.46092184368737</v>
      </c>
      <c r="V192" s="186">
        <f t="shared" ref="V192:AC192" si="452">U192*(1+$K$192)</f>
        <v>105.46092184368737</v>
      </c>
      <c r="W192" s="186">
        <f t="shared" si="452"/>
        <v>105.46092184368737</v>
      </c>
      <c r="X192" s="186">
        <f t="shared" si="452"/>
        <v>105.46092184368737</v>
      </c>
      <c r="Y192" s="186">
        <f t="shared" si="452"/>
        <v>105.46092184368737</v>
      </c>
      <c r="Z192" s="186">
        <f t="shared" si="452"/>
        <v>105.46092184368737</v>
      </c>
      <c r="AA192" s="186">
        <f t="shared" si="452"/>
        <v>105.46092184368737</v>
      </c>
      <c r="AB192" s="186">
        <f t="shared" si="452"/>
        <v>105.46092184368737</v>
      </c>
      <c r="AC192" s="186">
        <f t="shared" si="452"/>
        <v>105.46092184368737</v>
      </c>
      <c r="AD192" s="186">
        <f t="shared" ref="AD192" si="453">AC192*(1+$K$192)</f>
        <v>105.46092184368737</v>
      </c>
      <c r="AE192" s="186">
        <f t="shared" ref="AE192" si="454">AD192*(1+$K$192)</f>
        <v>105.46092184368737</v>
      </c>
      <c r="AF192" s="186">
        <f t="shared" ref="AF192" si="455">AE192*(1+$K$192)</f>
        <v>105.46092184368737</v>
      </c>
      <c r="AG192" s="186">
        <f t="shared" ref="AG192" si="456">AF192*(1+$K$192)</f>
        <v>105.46092184368737</v>
      </c>
      <c r="AH192" s="186">
        <f t="shared" ref="AH192" si="457">AG192*(1+$K$192)</f>
        <v>105.46092184368737</v>
      </c>
      <c r="AI192" s="186">
        <f t="shared" ref="AI192" si="458">AH192*(1+$K$192)</f>
        <v>105.46092184368737</v>
      </c>
      <c r="AJ192" s="186">
        <f t="shared" ref="AJ192" si="459">AI192*(1+$K$192)</f>
        <v>105.46092184368737</v>
      </c>
      <c r="AK192" s="186">
        <f t="shared" ref="AK192" si="460">AJ192*(1+$K$192)</f>
        <v>105.46092184368737</v>
      </c>
      <c r="AL192" s="186">
        <f t="shared" ref="AL192" si="461">AK192*(1+$K$192)</f>
        <v>105.46092184368737</v>
      </c>
      <c r="AM192" s="186">
        <f t="shared" ref="AM192" si="462">AL192*(1+$K$192)</f>
        <v>105.46092184368737</v>
      </c>
      <c r="AN192" s="186">
        <f t="shared" ref="AN192" si="463">AM192*(1+$K$192)</f>
        <v>105.46092184368737</v>
      </c>
      <c r="AO192" s="186">
        <f t="shared" ref="AO192" si="464">AN192*(1+$K$192)</f>
        <v>105.46092184368737</v>
      </c>
      <c r="AP192" s="186">
        <f t="shared" ref="AP192" si="465">AO192*(1+$K$192)</f>
        <v>105.46092184368737</v>
      </c>
      <c r="AQ192" s="186">
        <f t="shared" ref="AQ192" si="466">AP192*(1+$K$192)</f>
        <v>105.46092184368737</v>
      </c>
      <c r="AR192" s="186">
        <f t="shared" ref="AR192" si="467">AQ192*(1+$K$192)</f>
        <v>105.46092184368737</v>
      </c>
      <c r="AS192" s="186">
        <f t="shared" ref="AS192" si="468">AR192*(1+$K$192)</f>
        <v>105.46092184368737</v>
      </c>
      <c r="AT192" s="186">
        <f t="shared" ref="AT192" si="469">AS192*(1+$K$192)</f>
        <v>105.46092184368737</v>
      </c>
    </row>
    <row r="193" spans="2:46" x14ac:dyDescent="0.2">
      <c r="B193" s="20"/>
      <c r="C193" s="20"/>
      <c r="D193" s="20"/>
      <c r="E193" s="23" t="s">
        <v>454</v>
      </c>
      <c r="F193" s="22">
        <v>2500</v>
      </c>
      <c r="G193" s="191">
        <v>0</v>
      </c>
      <c r="H193" s="192">
        <v>23</v>
      </c>
      <c r="I193" s="191">
        <v>0.03</v>
      </c>
      <c r="J193" s="190">
        <v>17</v>
      </c>
      <c r="K193" s="20"/>
      <c r="L193" s="191">
        <v>7.0000000000000007E-2</v>
      </c>
      <c r="M193" s="190">
        <v>13</v>
      </c>
      <c r="N193" s="191">
        <v>0.12</v>
      </c>
      <c r="O193" s="190">
        <v>11</v>
      </c>
      <c r="P193" s="20"/>
      <c r="Q193" s="20"/>
      <c r="R193" s="20"/>
      <c r="S193" s="20"/>
      <c r="T193" s="129">
        <f>Q171-T192</f>
        <v>2394.5390781563128</v>
      </c>
      <c r="U193" s="185">
        <f>T193-U192</f>
        <v>2289.0781563126257</v>
      </c>
      <c r="V193" s="185">
        <f t="shared" ref="V193:AA193" si="470">U193-V192</f>
        <v>2183.6172344689385</v>
      </c>
      <c r="W193" s="185">
        <f t="shared" si="470"/>
        <v>2078.1563126252513</v>
      </c>
      <c r="X193" s="185">
        <f t="shared" si="470"/>
        <v>1972.6953907815639</v>
      </c>
      <c r="Y193" s="185">
        <f t="shared" si="470"/>
        <v>1867.2344689378765</v>
      </c>
      <c r="Z193" s="185">
        <f t="shared" si="470"/>
        <v>1761.7735470941891</v>
      </c>
      <c r="AA193" s="185">
        <f t="shared" si="470"/>
        <v>1656.3126252505017</v>
      </c>
      <c r="AB193" s="185">
        <f>AA193-AB192</f>
        <v>1550.8517034068143</v>
      </c>
      <c r="AC193" s="185">
        <f t="shared" ref="AC193" si="471">AB193-AC192</f>
        <v>1445.3907815631269</v>
      </c>
      <c r="AD193" s="185">
        <f t="shared" ref="AD193" si="472">AC193-AD192</f>
        <v>1339.9298597194395</v>
      </c>
      <c r="AE193" s="185">
        <f t="shared" ref="AE193" si="473">AD193-AE192</f>
        <v>1234.4689378757521</v>
      </c>
      <c r="AF193" s="185">
        <f t="shared" ref="AF193" si="474">AE193-AF192</f>
        <v>1129.0080160320647</v>
      </c>
      <c r="AG193" s="185">
        <f t="shared" ref="AG193" si="475">AF193-AG192</f>
        <v>1023.5470941883773</v>
      </c>
      <c r="AH193" s="185">
        <f t="shared" ref="AH193" si="476">AG193-AH192</f>
        <v>918.08617234468988</v>
      </c>
      <c r="AI193" s="185">
        <f t="shared" ref="AI193" si="477">AH193-AI192</f>
        <v>812.62525050100248</v>
      </c>
      <c r="AJ193" s="185">
        <f t="shared" ref="AJ193" si="478">AI193-AJ192</f>
        <v>707.16432865731508</v>
      </c>
      <c r="AK193" s="185">
        <f t="shared" ref="AK193" si="479">AJ193-AK192</f>
        <v>601.70340681362768</v>
      </c>
      <c r="AL193" s="185">
        <f t="shared" ref="AL193" si="480">AK193-AL192</f>
        <v>496.24248496994028</v>
      </c>
      <c r="AM193" s="185">
        <f t="shared" ref="AM193" si="481">AL193-AM192</f>
        <v>390.78156312625288</v>
      </c>
      <c r="AN193" s="185">
        <f t="shared" ref="AN193" si="482">AM193-AN192</f>
        <v>285.32064128256548</v>
      </c>
      <c r="AO193" s="185">
        <f t="shared" ref="AO193" si="483">AN193-AO192</f>
        <v>179.8597194388781</v>
      </c>
      <c r="AP193" s="185">
        <f t="shared" ref="AP193" si="484">AO193-AP192</f>
        <v>74.398797595190729</v>
      </c>
      <c r="AQ193" s="185">
        <f t="shared" ref="AQ193" si="485">AP193-AQ192</f>
        <v>-31.062124248496644</v>
      </c>
      <c r="AR193" s="185">
        <f t="shared" ref="AR193" si="486">AQ193-AR192</f>
        <v>-136.52304609218402</v>
      </c>
      <c r="AS193" s="185">
        <f t="shared" ref="AS193" si="487">AR193-AS192</f>
        <v>-241.98396793587139</v>
      </c>
      <c r="AT193" s="185">
        <f t="shared" ref="AT193" si="488">AS193-AT192</f>
        <v>-347.44488977955876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0.15377855887521968</v>
      </c>
      <c r="H195" s="25">
        <f t="shared" si="489"/>
        <v>0.13529805760214333</v>
      </c>
      <c r="I195" s="25">
        <f t="shared" si="489"/>
        <v>9.2583374813339975E-2</v>
      </c>
      <c r="J195" s="25">
        <f t="shared" si="489"/>
        <v>6.6801619433198386E-2</v>
      </c>
      <c r="K195" s="25">
        <f t="shared" si="489"/>
        <v>4.4206296048225048E-2</v>
      </c>
      <c r="L195" s="25">
        <f t="shared" si="489"/>
        <v>2.0526315789473684E-2</v>
      </c>
      <c r="M195" s="25">
        <f t="shared" si="489"/>
        <v>1.9047619047619049E-2</v>
      </c>
      <c r="N195" s="25">
        <f t="shared" si="489"/>
        <v>0.50439783491204326</v>
      </c>
      <c r="O195" s="25">
        <f t="shared" si="489"/>
        <v>0.23198880858008861</v>
      </c>
      <c r="P195" s="25">
        <f t="shared" si="489"/>
        <v>6.031555821849411E-2</v>
      </c>
      <c r="Q195" s="25">
        <f t="shared" ref="Q195" si="490">Q10/Q7</f>
        <v>4.2689434364994666E-3</v>
      </c>
      <c r="R195" s="118">
        <f t="shared" ref="R195:R197" si="491">((P195/G195)^(1/($H$2-$H$1) ))-1</f>
        <v>-9.8767047557865584E-2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4.7297297297297298</v>
      </c>
      <c r="H196" s="112">
        <f t="shared" ref="H196:P196" si="492">H10/H12</f>
        <v>11.882352941176471</v>
      </c>
      <c r="I196" s="112">
        <f t="shared" si="492"/>
        <v>1.1772151898734178</v>
      </c>
      <c r="J196" s="112">
        <f t="shared" si="492"/>
        <v>4.7142857142857144</v>
      </c>
      <c r="K196" s="112">
        <f t="shared" si="492"/>
        <v>1.0076335877862594</v>
      </c>
      <c r="L196" s="112">
        <f t="shared" si="492"/>
        <v>0.35454545454545455</v>
      </c>
      <c r="M196" s="112">
        <f t="shared" si="492"/>
        <v>3.4609334032511797E-2</v>
      </c>
      <c r="N196" s="112">
        <f t="shared" si="492"/>
        <v>20.708333333333332</v>
      </c>
      <c r="O196" s="112">
        <f t="shared" si="492"/>
        <v>13.092105263157896</v>
      </c>
      <c r="P196" s="112">
        <f t="shared" si="492"/>
        <v>1.6685082872928176</v>
      </c>
      <c r="Q196" s="112">
        <f t="shared" ref="Q196" si="493">Q10/Q12</f>
        <v>0.20168067226890757</v>
      </c>
      <c r="R196" s="118">
        <f t="shared" si="491"/>
        <v>-0.10932074300072248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0.10923845193508115</v>
      </c>
      <c r="H197" s="25">
        <f t="shared" ref="H197:P197" si="494">H10/(H12+H13)</f>
        <v>9.8874204601076848E-2</v>
      </c>
      <c r="I197" s="25">
        <f t="shared" si="494"/>
        <v>8.382154123479045E-2</v>
      </c>
      <c r="J197" s="25">
        <f t="shared" si="494"/>
        <v>8.2171314741035853E-2</v>
      </c>
      <c r="K197" s="25">
        <f t="shared" si="494"/>
        <v>4.8943270300333706E-2</v>
      </c>
      <c r="L197" s="25">
        <f t="shared" si="494"/>
        <v>2.1739130434782608E-2</v>
      </c>
      <c r="M197" s="25">
        <f t="shared" si="494"/>
        <v>1.131687242798354E-2</v>
      </c>
      <c r="N197" s="25">
        <f t="shared" si="494"/>
        <v>0.28673076923076923</v>
      </c>
      <c r="O197" s="25">
        <f t="shared" si="494"/>
        <v>0.24628712871287128</v>
      </c>
      <c r="P197" s="25">
        <f t="shared" si="494"/>
        <v>7.9390115667718197E-2</v>
      </c>
      <c r="Q197" s="25">
        <f t="shared" ref="Q197" si="495">Q10/(Q12+Q13)</f>
        <v>6.4136825227151259E-3</v>
      </c>
      <c r="R197" s="118">
        <f t="shared" si="491"/>
        <v>-3.4840724736461826E-2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430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430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2700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2700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6.2790697674418601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430</v>
      </c>
      <c r="H214" s="20"/>
      <c r="I214" s="20" t="s">
        <v>28</v>
      </c>
      <c r="J214" s="127"/>
      <c r="K214" s="21">
        <f>G214</f>
        <v>430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2700</v>
      </c>
      <c r="H215" s="20"/>
      <c r="I215" s="20" t="s">
        <v>29</v>
      </c>
      <c r="J215" s="20"/>
      <c r="K215" s="21">
        <f>G215</f>
        <v>2700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5.2790697674418601</v>
      </c>
      <c r="H217" s="20"/>
      <c r="I217" s="23" t="s">
        <v>393</v>
      </c>
      <c r="J217" s="23"/>
      <c r="K217" s="23">
        <f>(K215-K214)/K214</f>
        <v>5.2790697674418601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394</v>
      </c>
      <c r="J218" s="23"/>
      <c r="K218" s="23">
        <f>K215/K214</f>
        <v>6.2790697674418601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5.2790697674418601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2014-06-17T16:05:58Z</dcterms:modified>
</cp:coreProperties>
</file>
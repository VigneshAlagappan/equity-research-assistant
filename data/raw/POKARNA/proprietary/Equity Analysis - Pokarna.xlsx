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S201" i="18"/>
  <c r="R201"/>
  <c r="Q201"/>
  <c r="P201"/>
  <c r="O201"/>
  <c r="N201"/>
  <c r="M201"/>
  <c r="L201"/>
  <c r="K201"/>
  <c r="J201"/>
  <c r="I201"/>
  <c r="H201" s="1"/>
  <c r="F201" s="1"/>
  <c r="G201"/>
  <c r="V201" s="1"/>
  <c r="U60"/>
  <c r="T60"/>
  <c r="S60"/>
  <c r="R60"/>
  <c r="Q60"/>
  <c r="P60"/>
  <c r="O60"/>
  <c r="N60"/>
  <c r="M60"/>
  <c r="L60"/>
  <c r="K60"/>
  <c r="J60"/>
  <c r="I60"/>
  <c r="H60"/>
  <c r="G60"/>
  <c r="U58"/>
  <c r="T58"/>
  <c r="S58"/>
  <c r="R58"/>
  <c r="Q58"/>
  <c r="P58"/>
  <c r="O58"/>
  <c r="N58"/>
  <c r="M58"/>
  <c r="L58"/>
  <c r="K58"/>
  <c r="J58"/>
  <c r="I58"/>
  <c r="H58"/>
  <c r="G58"/>
  <c r="U56"/>
  <c r="T56"/>
  <c r="S56"/>
  <c r="R56"/>
  <c r="Q56"/>
  <c r="P56"/>
  <c r="O56"/>
  <c r="N56"/>
  <c r="M56"/>
  <c r="L56"/>
  <c r="K56"/>
  <c r="J56"/>
  <c r="I56"/>
  <c r="H56"/>
  <c r="G56"/>
  <c r="U54"/>
  <c r="T54"/>
  <c r="S54"/>
  <c r="R54"/>
  <c r="Q54"/>
  <c r="P54"/>
  <c r="O54"/>
  <c r="N54"/>
  <c r="M54"/>
  <c r="L54"/>
  <c r="K54"/>
  <c r="J54"/>
  <c r="I54"/>
  <c r="H54"/>
  <c r="G54"/>
  <c r="U52"/>
  <c r="T52"/>
  <c r="S52"/>
  <c r="R52"/>
  <c r="Q52"/>
  <c r="P52"/>
  <c r="O52"/>
  <c r="N52"/>
  <c r="M52"/>
  <c r="L52"/>
  <c r="K52"/>
  <c r="J52"/>
  <c r="I52"/>
  <c r="H52"/>
  <c r="G52"/>
  <c r="J49"/>
  <c r="I49"/>
  <c r="H49" s="1"/>
  <c r="G49" s="1"/>
  <c r="V49" s="1"/>
  <c r="U48"/>
  <c r="T48"/>
  <c r="S48"/>
  <c r="R48"/>
  <c r="Q48"/>
  <c r="P48"/>
  <c r="O48"/>
  <c r="N48"/>
  <c r="M48"/>
  <c r="L48"/>
  <c r="J47"/>
  <c r="K48" s="1"/>
  <c r="U46"/>
  <c r="T46"/>
  <c r="S46"/>
  <c r="R46"/>
  <c r="Q46"/>
  <c r="P46"/>
  <c r="O46"/>
  <c r="N46"/>
  <c r="M46"/>
  <c r="L46"/>
  <c r="K46"/>
  <c r="J45"/>
  <c r="J46" s="1"/>
  <c r="I45"/>
  <c r="H45" s="1"/>
  <c r="U44"/>
  <c r="T44"/>
  <c r="S44"/>
  <c r="R44"/>
  <c r="Q44"/>
  <c r="P44"/>
  <c r="O44"/>
  <c r="N44"/>
  <c r="M44"/>
  <c r="L44"/>
  <c r="J43"/>
  <c r="K44" s="1"/>
  <c r="J42"/>
  <c r="I42" s="1"/>
  <c r="H42" s="1"/>
  <c r="G42" s="1"/>
  <c r="V42" s="1"/>
  <c r="J41"/>
  <c r="I41" s="1"/>
  <c r="H41" s="1"/>
  <c r="G41" s="1"/>
  <c r="V41" s="1"/>
  <c r="J40"/>
  <c r="I40" s="1"/>
  <c r="H40" s="1"/>
  <c r="G40" s="1"/>
  <c r="V40" s="1"/>
  <c r="U39"/>
  <c r="T39"/>
  <c r="S39"/>
  <c r="R39"/>
  <c r="Q39"/>
  <c r="P39"/>
  <c r="O39"/>
  <c r="N39"/>
  <c r="M39"/>
  <c r="L39"/>
  <c r="K39"/>
  <c r="J38"/>
  <c r="J39" s="1"/>
  <c r="I38"/>
  <c r="H38" s="1"/>
  <c r="U37"/>
  <c r="T37"/>
  <c r="S37"/>
  <c r="R37"/>
  <c r="Q37"/>
  <c r="P37"/>
  <c r="O37"/>
  <c r="N37"/>
  <c r="M37"/>
  <c r="L37"/>
  <c r="J36"/>
  <c r="K37" s="1"/>
  <c r="U30"/>
  <c r="T30"/>
  <c r="S30"/>
  <c r="R30"/>
  <c r="Q30"/>
  <c r="P30"/>
  <c r="O30"/>
  <c r="N30"/>
  <c r="M30"/>
  <c r="L30"/>
  <c r="K30"/>
  <c r="J30"/>
  <c r="I30"/>
  <c r="H30"/>
  <c r="G30"/>
  <c r="T28"/>
  <c r="S28"/>
  <c r="R28"/>
  <c r="Q28"/>
  <c r="P28"/>
  <c r="O28"/>
  <c r="N28"/>
  <c r="M28"/>
  <c r="L28"/>
  <c r="K28"/>
  <c r="J28"/>
  <c r="I28"/>
  <c r="H28"/>
  <c r="G28"/>
  <c r="U27"/>
  <c r="U28" s="1"/>
  <c r="U26"/>
  <c r="T26"/>
  <c r="S26"/>
  <c r="R26"/>
  <c r="Q26"/>
  <c r="P26"/>
  <c r="O26"/>
  <c r="N26"/>
  <c r="M26"/>
  <c r="L26"/>
  <c r="K26"/>
  <c r="J26"/>
  <c r="I26"/>
  <c r="H26"/>
  <c r="G26"/>
  <c r="U11"/>
  <c r="T11"/>
  <c r="S11"/>
  <c r="R11"/>
  <c r="Q11"/>
  <c r="P11"/>
  <c r="O11"/>
  <c r="N11"/>
  <c r="M11"/>
  <c r="L11"/>
  <c r="K11"/>
  <c r="J11"/>
  <c r="I11"/>
  <c r="H11"/>
  <c r="G11"/>
  <c r="U8"/>
  <c r="T8"/>
  <c r="S8"/>
  <c r="R8"/>
  <c r="Q8"/>
  <c r="P8"/>
  <c r="O8"/>
  <c r="N8"/>
  <c r="M8"/>
  <c r="L8"/>
  <c r="K8"/>
  <c r="J8"/>
  <c r="I8"/>
  <c r="H8"/>
  <c r="G8"/>
  <c r="U250"/>
  <c r="U249"/>
  <c r="U248"/>
  <c r="X57"/>
  <c r="X59"/>
  <c r="V250"/>
  <c r="V249"/>
  <c r="V248"/>
  <c r="V7"/>
  <c r="V9"/>
  <c r="V10"/>
  <c r="V12"/>
  <c r="V13"/>
  <c r="V14"/>
  <c r="V15"/>
  <c r="V16"/>
  <c r="V18"/>
  <c r="V20"/>
  <c r="V21"/>
  <c r="V22"/>
  <c r="V23"/>
  <c r="V25"/>
  <c r="V29"/>
  <c r="V31"/>
  <c r="V32"/>
  <c r="V33"/>
  <c r="V34"/>
  <c r="V51"/>
  <c r="V53"/>
  <c r="V55"/>
  <c r="V57"/>
  <c r="V59"/>
  <c r="V61"/>
  <c r="V62"/>
  <c r="V63"/>
  <c r="V6"/>
  <c r="U66"/>
  <c r="U67"/>
  <c r="U68"/>
  <c r="U70"/>
  <c r="U71"/>
  <c r="U72"/>
  <c r="S245" s="1"/>
  <c r="U73"/>
  <c r="U74"/>
  <c r="U75"/>
  <c r="U76"/>
  <c r="U78"/>
  <c r="U79"/>
  <c r="U80"/>
  <c r="U82"/>
  <c r="U83"/>
  <c r="U84"/>
  <c r="U207" s="1"/>
  <c r="U85"/>
  <c r="U86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3"/>
  <c r="U119" s="1"/>
  <c r="U114"/>
  <c r="U115"/>
  <c r="U121" s="1"/>
  <c r="U116"/>
  <c r="U118"/>
  <c r="U120"/>
  <c r="U122"/>
  <c r="U124"/>
  <c r="U125"/>
  <c r="U126"/>
  <c r="U127"/>
  <c r="U128"/>
  <c r="U129"/>
  <c r="U130"/>
  <c r="U131"/>
  <c r="U132"/>
  <c r="U134"/>
  <c r="U135"/>
  <c r="U136"/>
  <c r="U137"/>
  <c r="U139"/>
  <c r="U140" s="1"/>
  <c r="U145"/>
  <c r="U146"/>
  <c r="U147"/>
  <c r="U150"/>
  <c r="U151"/>
  <c r="U154"/>
  <c r="U155"/>
  <c r="U156"/>
  <c r="U159"/>
  <c r="U160"/>
  <c r="U162"/>
  <c r="U163" s="1"/>
  <c r="U164"/>
  <c r="U166"/>
  <c r="U202"/>
  <c r="U204"/>
  <c r="U205"/>
  <c r="U206"/>
  <c r="U208"/>
  <c r="U209"/>
  <c r="U211"/>
  <c r="U212"/>
  <c r="U214"/>
  <c r="U141" l="1"/>
  <c r="H39"/>
  <c r="G38"/>
  <c r="H46"/>
  <c r="G45"/>
  <c r="V122"/>
  <c r="V82"/>
  <c r="V76"/>
  <c r="V70"/>
  <c r="V166"/>
  <c r="V135"/>
  <c r="V120"/>
  <c r="V114"/>
  <c r="V109"/>
  <c r="V105"/>
  <c r="V85"/>
  <c r="I39"/>
  <c r="J44"/>
  <c r="I46"/>
  <c r="U203"/>
  <c r="U167"/>
  <c r="U157"/>
  <c r="U149"/>
  <c r="V149" s="1"/>
  <c r="V72"/>
  <c r="V27"/>
  <c r="I36"/>
  <c r="I43"/>
  <c r="I47"/>
  <c r="U143"/>
  <c r="G211"/>
  <c r="V211" s="1"/>
  <c r="G212"/>
  <c r="V212" s="1"/>
  <c r="G66"/>
  <c r="G67"/>
  <c r="V67" s="1"/>
  <c r="G68"/>
  <c r="V68" s="1"/>
  <c r="G70"/>
  <c r="G204" s="1"/>
  <c r="V204" s="1"/>
  <c r="G71"/>
  <c r="G72"/>
  <c r="G73"/>
  <c r="V73" s="1"/>
  <c r="G74"/>
  <c r="V74" s="1"/>
  <c r="G75"/>
  <c r="G206" s="1"/>
  <c r="V206" s="1"/>
  <c r="G76"/>
  <c r="G78"/>
  <c r="V78" s="1"/>
  <c r="G79"/>
  <c r="V79" s="1"/>
  <c r="G80"/>
  <c r="G209" s="1"/>
  <c r="V209" s="1"/>
  <c r="G82"/>
  <c r="G83"/>
  <c r="V83" s="1"/>
  <c r="G85"/>
  <c r="G86"/>
  <c r="G208" s="1"/>
  <c r="V208" s="1"/>
  <c r="G88"/>
  <c r="G139" s="1"/>
  <c r="G140" s="1"/>
  <c r="G141" s="1"/>
  <c r="G142" s="1"/>
  <c r="G90"/>
  <c r="G92" s="1"/>
  <c r="V92" s="1"/>
  <c r="G93"/>
  <c r="V93" s="1"/>
  <c r="G94"/>
  <c r="V94" s="1"/>
  <c r="G95"/>
  <c r="V95" s="1"/>
  <c r="G96"/>
  <c r="V96" s="1"/>
  <c r="G98"/>
  <c r="G99"/>
  <c r="V99" s="1"/>
  <c r="G100"/>
  <c r="V100" s="1"/>
  <c r="G102"/>
  <c r="G105"/>
  <c r="G106"/>
  <c r="V106" s="1"/>
  <c r="G107"/>
  <c r="V107" s="1"/>
  <c r="G108"/>
  <c r="V108" s="1"/>
  <c r="G109"/>
  <c r="G110"/>
  <c r="V110" s="1"/>
  <c r="G112"/>
  <c r="G118" s="1"/>
  <c r="V118" s="1"/>
  <c r="G113"/>
  <c r="G119" s="1"/>
  <c r="V119" s="1"/>
  <c r="G114"/>
  <c r="G120" s="1"/>
  <c r="G115"/>
  <c r="G121" s="1"/>
  <c r="V121" s="1"/>
  <c r="G116"/>
  <c r="G122" s="1"/>
  <c r="G134"/>
  <c r="V134" s="1"/>
  <c r="G135"/>
  <c r="G136"/>
  <c r="V136" s="1"/>
  <c r="G137"/>
  <c r="V137" s="1"/>
  <c r="G145"/>
  <c r="V145" s="1"/>
  <c r="G146"/>
  <c r="V146" s="1"/>
  <c r="G147"/>
  <c r="V147" s="1"/>
  <c r="G149"/>
  <c r="G150"/>
  <c r="V150" s="1"/>
  <c r="G151"/>
  <c r="V151" s="1"/>
  <c r="G154"/>
  <c r="V154" s="1"/>
  <c r="G155"/>
  <c r="V155" s="1"/>
  <c r="G156"/>
  <c r="V156" s="1"/>
  <c r="G157"/>
  <c r="G159"/>
  <c r="V159" s="1"/>
  <c r="G160"/>
  <c r="V160" s="1"/>
  <c r="G162"/>
  <c r="G163" s="1"/>
  <c r="V163" s="1"/>
  <c r="G166"/>
  <c r="G167"/>
  <c r="AI232"/>
  <c r="AJ231"/>
  <c r="AI231"/>
  <c r="AI230"/>
  <c r="AI229"/>
  <c r="G205" l="1"/>
  <c r="V205" s="1"/>
  <c r="V71"/>
  <c r="G202"/>
  <c r="V202" s="1"/>
  <c r="V66"/>
  <c r="H47"/>
  <c r="I48" s="1"/>
  <c r="H36"/>
  <c r="I37" s="1"/>
  <c r="U142"/>
  <c r="V142" s="1"/>
  <c r="V141"/>
  <c r="G164"/>
  <c r="V164" s="1"/>
  <c r="V98"/>
  <c r="H43"/>
  <c r="I44" s="1"/>
  <c r="U215"/>
  <c r="U216"/>
  <c r="V45"/>
  <c r="G46"/>
  <c r="G39"/>
  <c r="V38"/>
  <c r="V75"/>
  <c r="V167"/>
  <c r="J48"/>
  <c r="J37"/>
  <c r="V90"/>
  <c r="V115"/>
  <c r="V80"/>
  <c r="V86"/>
  <c r="V162"/>
  <c r="V157"/>
  <c r="V113"/>
  <c r="V139"/>
  <c r="V88"/>
  <c r="V112"/>
  <c r="V116"/>
  <c r="V102"/>
  <c r="V140"/>
  <c r="G203"/>
  <c r="G216" s="1"/>
  <c r="G217" s="1"/>
  <c r="G84"/>
  <c r="G143"/>
  <c r="V143" s="1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07" i="18" l="1"/>
  <c r="V207" s="1"/>
  <c r="V84"/>
  <c r="V216"/>
  <c r="U217"/>
  <c r="V217" s="1"/>
  <c r="G215"/>
  <c r="V215"/>
  <c r="G43"/>
  <c r="H44"/>
  <c r="G36"/>
  <c r="H37"/>
  <c r="G47"/>
  <c r="H48"/>
  <c r="V203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G48" i="18" l="1"/>
  <c r="V47"/>
  <c r="G37"/>
  <c r="V36"/>
  <c r="G44"/>
  <c r="V43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W49"/>
  <c r="X49" s="1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0" l="1"/>
  <c r="Y40" s="1"/>
  <c r="Z40" s="1"/>
  <c r="AA40" s="1"/>
  <c r="AB40" s="1"/>
  <c r="AC40" s="1"/>
  <c r="AD40" s="1"/>
  <c r="AE40" s="1"/>
  <c r="AF40" s="1"/>
  <c r="AG40" s="1"/>
  <c r="AH40" s="1"/>
  <c r="X45"/>
  <c r="Y45" s="1"/>
  <c r="Z45" s="1"/>
  <c r="AA45" s="1"/>
  <c r="AB45" s="1"/>
  <c r="AC45" s="1"/>
  <c r="AD45" s="1"/>
  <c r="AE45" s="1"/>
  <c r="AF45" s="1"/>
  <c r="AG45" s="1"/>
  <c r="AH45" s="1"/>
  <c r="G130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1" l="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X42"/>
  <c r="Y42" s="1"/>
  <c r="Z42" s="1"/>
  <c r="AA42" s="1"/>
  <c r="AB42" s="1"/>
  <c r="AC42" s="1"/>
  <c r="AD42" s="1"/>
  <c r="AE42" s="1"/>
  <c r="AF42" s="1"/>
  <c r="AG42" s="1"/>
  <c r="AH42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X128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S102"/>
  <c r="R102"/>
  <c r="Q102"/>
  <c r="P102"/>
  <c r="O102"/>
  <c r="N102"/>
  <c r="M102"/>
  <c r="L102"/>
  <c r="K102"/>
  <c r="J102"/>
  <c r="S170" s="1"/>
  <c r="S244" l="1"/>
  <c r="U220"/>
  <c r="T170"/>
  <c r="U225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C1"/>
  <c r="AJ47" s="1"/>
  <c r="U219" l="1"/>
  <c r="U221"/>
  <c r="U222" s="1"/>
  <c r="U224"/>
  <c r="V225"/>
  <c r="U226"/>
  <c r="T225"/>
  <c r="G225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U227" l="1"/>
  <c r="G222"/>
  <c r="V222" s="1"/>
  <c r="V221"/>
  <c r="X224"/>
  <c r="G224"/>
  <c r="V224" s="1"/>
  <c r="G226"/>
  <c r="G227" s="1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7" l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25" l="1"/>
  <c r="X129" s="1"/>
  <c r="X55"/>
  <c r="X130" s="1"/>
  <c r="J65" i="20"/>
  <c r="P64"/>
  <c r="F78"/>
  <c r="G78" s="1"/>
  <c r="X132" i="18"/>
  <c r="X124"/>
  <c r="X68"/>
  <c r="X110" s="1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125" l="1"/>
  <c r="X131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S237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K214"/>
  <c r="X244"/>
  <c r="X243" s="1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Y57"/>
  <c r="X206" l="1"/>
  <c r="X230" s="1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X229" l="1"/>
  <c r="X231"/>
  <c r="X232" s="1"/>
  <c r="Y23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U230"/>
  <c r="G229"/>
  <c r="G231"/>
  <c r="G232" s="1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<sst xmlns="http://schemas.openxmlformats.org/spreadsheetml/2006/main" count="783" uniqueCount="517">
  <si>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</si>
  <si>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</si>
  <si>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</si>
  <si>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</si>
  <si>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</si>
  <si>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</si>
  <si>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</si>
  <si>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</si>
  <si>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</si>
  <si>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</si>
  <si>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</si>
  <si>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</si>
  <si>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</si>
  <si>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</si>
  <si>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</si>
  <si>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</si>
  <si>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</si>
  <si>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</si>
  <si>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</si>
  <si>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</si>
  <si>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</si>
  <si>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</si>
  <si>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</si>
  <si>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</si>
  <si>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</si>
  <si>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</si>
  <si>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</si>
  <si>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</si>
  <si>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</si>
  <si>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</si>
  <si>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</si>
  <si>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</si>
  <si>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</si>
  <si>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</si>
  <si>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</si>
  <si>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</si>
  <si>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</si>
  <si>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</si>
  <si>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</si>
  <si>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</si>
  <si>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</si>
  <si>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</si>
  <si>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</si>
  <si>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</si>
  <si>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</si>
  <si>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</si>
  <si>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</si>
  <si>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</si>
  <si>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</si>
  <si>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</si>
  <si>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</si>
  <si>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</si>
  <si>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</si>
  <si>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</si>
  <si>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</si>
  <si>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</si>
  <si>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</si>
  <si>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</si>
  <si>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</si>
  <si>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</si>
  <si>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</si>
  <si>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</si>
  <si>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</si>
  <si>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</si>
  <si>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</si>
  <si>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</si>
  <si>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</si>
  <si>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</si>
  <si>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</si>
  <si>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</si>
  <si>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</si>
  <si>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</si>
  <si>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</si>
  <si>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</si>
  <si>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</si>
  <si>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</si>
  <si>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</si>
  <si>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</si>
  <si>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</si>
  <si>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</si>
  <si>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</si>
  <si>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</si>
  <si>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</si>
  <si>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</si>
  <si>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</si>
  <si>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</si>
  <si>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</si>
  <si>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</si>
  <si>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</si>
  <si>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</si>
  <si>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</si>
  <si>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</si>
  <si>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</si>
  <si>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</si>
  <si>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</si>
  <si>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</si>
  <si>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</si>
  <si>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</si>
  <si>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</si>
  <si>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</si>
  <si>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</si>
  <si>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</si>
  <si>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</si>
  <si>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</si>
  <si>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</si>
  <si>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</si>
  <si>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</si>
  <si>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</si>
  <si>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</si>
  <si>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</si>
  <si>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</si>
  <si>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</si>
  <si>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</si>
  <si>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</si>
  <si>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</si>
  <si>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</si>
  <si>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</si>
  <si>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</si>
  <si>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</si>
  <si>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</si>
  <si>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</si>
  <si>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</si>
  <si>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</si>
  <si>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</si>
  <si>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</si>
  <si>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</si>
  <si>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</si>
  <si>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</si>
  <si>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</si>
  <si>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</si>
  <si>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</si>
  <si>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</si>
  <si>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</si>
  <si>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</si>
  <si>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</si>
  <si>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</si>
  <si>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</si>
  <si>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</si>
  <si>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</si>
  <si>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</si>
  <si>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</si>
  <si>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</si>
  <si>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</si>
  <si>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</si>
  <si>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</si>
  <si>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</si>
  <si>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</si>
  <si>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</si>
  <si>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</si>
  <si>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</si>
  <si>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</si>
  <si>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</si>
  <si>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</si>
  <si>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</si>
  <si>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</si>
  <si>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</si>
  <si>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</si>
  <si>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</si>
  <si>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</si>
  <si>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</si>
  <si>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</si>
  <si>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</si>
  <si>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</si>
  <si>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</si>
  <si>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</si>
  <si>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</si>
  <si>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</si>
  <si>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</si>
  <si>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</si>
  <si>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</si>
  <si>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</si>
  <si>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</si>
  <si>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</si>
  <si>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</si>
  <si>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</si>
  <si>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</si>
  <si>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</si>
  <si>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</si>
  <si>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</si>
  <si>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</si>
  <si>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</si>
  <si>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</si>
  <si>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</si>
  <si>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</si>
  <si>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</si>
  <si>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</si>
  <si>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</si>
  <si>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</si>
  <si>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</si>
  <si>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</si>
  <si>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</si>
  <si>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</si>
  <si>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</si>
  <si>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</si>
  <si>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</si>
  <si>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</si>
  <si>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</si>
  <si>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</si>
  <si>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</si>
  <si>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</si>
  <si>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</si>
  <si>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</si>
  <si>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</si>
  <si>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</si>
  <si>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</si>
  <si>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</si>
  <si>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</si>
  <si>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</si>
  <si>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</si>
  <si>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</si>
  <si>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</si>
  <si>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</si>
  <si>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</si>
  <si>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</si>
  <si>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</si>
  <si>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</si>
  <si>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</si>
  <si>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</si>
  <si>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</si>
  <si>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</si>
  <si>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</si>
  <si>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</si>
  <si>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</si>
  <si>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</si>
  <si>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</si>
  <si>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</si>
  <si>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</si>
  <si>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</si>
  <si>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</si>
  <si>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</si>
  <si>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</si>
  <si>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</si>
  <si>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</si>
  <si>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</si>
  <si>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</si>
  <si>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</si>
  <si>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</si>
  <si>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</si>
  <si>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</si>
  <si>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</si>
  <si>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</si>
  <si>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</si>
  <si>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</si>
  <si>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</si>
  <si>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</si>
  <si>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</si>
  <si>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</si>
  <si>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</si>
  <si>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</si>
  <si>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</si>
  <si>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</si>
  <si>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</si>
  <si>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</si>
  <si>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</si>
  <si>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</si>
  <si>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</si>
  <si>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</si>
  <si>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</si>
  <si>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</si>
  <si>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</si>
  <si>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</si>
  <si>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</si>
  <si>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</si>
  <si>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</si>
  <si>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</si>
  <si>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</si>
  <si>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</si>
  <si>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</si>
  <si>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</si>
  <si>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</si>
  <si>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</si>
  <si>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</si>
  <si>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</si>
  <si>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</si>
  <si>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</si>
  <si>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</si>
  <si>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</si>
  <si>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</si>
  <si>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</si>
  <si>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</si>
  <si>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</si>
  <si>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</si>
  <si>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</si>
  <si>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</si>
  <si>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</si>
  <si>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</si>
  <si>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</si>
  <si>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</si>
  <si>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</si>
  <si>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</si>
  <si>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</si>
  <si>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</si>
  <si>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</si>
  <si>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</si>
  <si>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</si>
  <si>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</si>
  <si>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</si>
  <si>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</si>
  <si>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</si>
  <si>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</si>
  <si>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</si>
  <si>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</si>
  <si>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</si>
  <si>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</si>
  <si>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</si>
  <si>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</si>
  <si>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</si>
  <si>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</si>
  <si>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</si>
  <si>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</si>
  <si>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</si>
  <si>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</si>
  <si>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</si>
  <si>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</si>
  <si>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</si>
  <si>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</si>
  <si>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</si>
  <si>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</si>
  <si>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</si>
  <si>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</si>
  <si>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</si>
  <si>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</si>
  <si>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</si>
  <si>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</si>
  <si>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</si>
  <si>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</si>
  <si>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</si>
  <si>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</si>
  <si>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</si>
  <si>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</si>
  <si>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</si>
  <si>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</si>
  <si>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</si>
  <si>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</si>
  <si>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</si>
  <si>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</si>
  <si>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</si>
  <si>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</si>
  <si>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</si>
  <si>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</si>
  <si>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</si>
  <si>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</si>
  <si>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</si>
  <si>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</si>
  <si>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</si>
  <si>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</si>
  <si>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</si>
  <si>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</si>
  <si>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</si>
  <si>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</si>
  <si>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</si>
  <si>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</si>
  <si>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</si>
  <si>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</si>
  <si>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</si>
  <si>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</si>
  <si>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</si>
  <si>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</si>
  <si>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</si>
  <si>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</si>
  <si>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</si>
  <si>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</si>
  <si>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</si>
  <si>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</si>
  <si>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</si>
  <si>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</si>
  <si>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</si>
  <si>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</si>
  <si>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</si>
  <si>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</si>
  <si>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</si>
  <si>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</si>
  <si>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</si>
  <si>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</si>
  <si>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</si>
  <si>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</si>
  <si>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</si>
  <si>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</si>
  <si>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</si>
  <si>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</si>
  <si>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</si>
  <si>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</si>
  <si>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</si>
  <si>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</si>
  <si>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</si>
  <si>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</si>
  <si>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</si>
  <si>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</si>
  <si>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</si>
  <si>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</si>
  <si>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</si>
  <si>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</si>
  <si>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</si>
  <si>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</si>
  <si>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</si>
  <si>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</si>
  <si>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</si>
  <si>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</si>
  <si>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</si>
  <si>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</si>
  <si>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</si>
  <si>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</si>
  <si>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</si>
  <si>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</si>
  <si>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</si>
  <si>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</si>
  <si>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</si>
  <si>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</si>
  <si>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</si>
  <si>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</si>
  <si>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</si>
  <si>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</si>
  <si>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</si>
  <si>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</si>
  <si>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</si>
  <si>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</si>
  <si>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</si>
  <si>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</si>
  <si>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</si>
  <si>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</si>
  <si>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</si>
  <si>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</si>
  <si>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</si>
  <si>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</si>
  <si>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</si>
  <si>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</si>
  <si>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</si>
  <si>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</si>
  <si>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</si>
  <si>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</si>
  <si>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</si>
  <si>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</si>
  <si>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</si>
  <si>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</si>
  <si>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</si>
  <si>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</si>
  <si>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</si>
  <si>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</si>
  <si>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</si>
  <si>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</si>
  <si>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</si>
  <si>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</si>
  <si>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</si>
  <si>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</si>
  <si>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</si>
  <si>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</si>
  <si>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</si>
  <si>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</si>
  <si>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</si>
  <si>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</si>
  <si>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</si>
  <si>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</si>
  <si>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</si>
  <si>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</si>
  <si>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</si>
  <si>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</si>
  <si>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</si>
  <si>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</si>
  <si>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</si>
  <si>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</si>
  <si>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</si>
  <si>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</si>
  <si>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</si>
  <si>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</si>
  <si>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</si>
  <si>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</si>
  <si>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</si>
  <si>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</si>
  <si>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</si>
  <si>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</si>
  <si>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</si>
  <si>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</si>
  <si>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</si>
  <si>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</si>
  <si>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</si>
  <si>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</si>
  <si>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</si>
  <si>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</si>
  <si>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</si>
  <si>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</si>
  <si>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</si>
  <si>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</si>
  <si>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</si>
  <si>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</si>
  <si>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</si>
  <si>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</si>
  <si>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</si>
  <si>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</si>
  <si>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</si>
  <si>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</si>
  <si>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</si>
  <si>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</si>
  <si>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</si>
  <si>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</si>
  <si>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</si>
  <si>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</si>
  <si>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</si>
  <si>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</si>
  <si>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</si>
  <si>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</si>
  <si>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</si>
  <si>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</si>
  <si>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</si>
  <si>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</si>
  <si>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</si>
  <si>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</si>
  <si>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</si>
  <si>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</si>
  <si>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</si>
  <si>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</si>
  <si>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</si>
  <si>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</si>
  <si>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</si>
  <si>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</si>
  <si>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t>0,12</t>
  </si>
  <si>
    <t>10x2</t>
  </si>
  <si>
    <t>DUMMY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</si>
</sst>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174" fontId="5" fillId="16" borderId="1" xfId="2" applyNumberFormat="1" applyFont="1" applyFill="1" applyBorder="1" applyAlignment="1">
      <alignment horizontal="center" vertical="center"/>
    </xf>
    <xf numFmtId="174" fontId="4" fillId="16" borderId="1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8363904"/>
        <c:axId val="38365440"/>
      </c:lineChart>
      <c:catAx>
        <c:axId val="38363904"/>
        <c:scaling>
          <c:orientation val="minMax"/>
        </c:scaling>
        <c:axPos val="b"/>
        <c:tickLblPos val="nextTo"/>
        <c:crossAx val="38365440"/>
        <c:crosses val="autoZero"/>
        <c:auto val="1"/>
        <c:lblAlgn val="ctr"/>
        <c:lblOffset val="100"/>
      </c:catAx>
      <c:valAx>
        <c:axId val="38365440"/>
        <c:scaling>
          <c:orientation val="minMax"/>
        </c:scaling>
        <c:axPos val="l"/>
        <c:majorGridlines/>
        <c:numFmt formatCode="General" sourceLinked="1"/>
        <c:tickLblPos val="nextTo"/>
        <c:crossAx val="3836390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77" l="0.70000000000000062" r="0.70000000000000062" t="0.750000000000006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8" t="s">
        <v>440</v>
      </c>
      <c r="C3" s="288"/>
      <c r="D3" s="288"/>
      <c r="G3" s="288" t="s">
        <v>441</v>
      </c>
      <c r="H3" s="288"/>
      <c r="I3" s="288"/>
      <c r="P3" s="297" t="s">
        <v>442</v>
      </c>
      <c r="Q3" s="298"/>
      <c r="R3" s="298"/>
      <c r="S3" s="299"/>
      <c r="T3" s="297" t="s">
        <v>443</v>
      </c>
      <c r="U3" s="298"/>
      <c r="V3" s="298"/>
      <c r="W3" s="299"/>
    </row>
    <row r="4" spans="2:23">
      <c r="B4" s="184" t="s">
        <v>444</v>
      </c>
      <c r="C4" s="300">
        <v>9500000</v>
      </c>
      <c r="D4" s="300"/>
      <c r="G4" s="184" t="s">
        <v>445</v>
      </c>
      <c r="H4" s="290">
        <v>200000</v>
      </c>
      <c r="I4" s="290"/>
      <c r="K4" s="185" t="s">
        <v>446</v>
      </c>
      <c r="L4" s="185" t="s">
        <v>78</v>
      </c>
      <c r="M4" s="185" t="s">
        <v>393</v>
      </c>
      <c r="N4" s="185" t="s">
        <v>447</v>
      </c>
      <c r="O4" s="185" t="s">
        <v>448</v>
      </c>
      <c r="P4" s="186" t="s">
        <v>449</v>
      </c>
      <c r="Q4" s="187" t="s">
        <v>287</v>
      </c>
      <c r="R4" s="187" t="s">
        <v>448</v>
      </c>
      <c r="S4" s="188" t="s">
        <v>450</v>
      </c>
      <c r="T4" s="186" t="s">
        <v>449</v>
      </c>
      <c r="U4" s="187" t="s">
        <v>287</v>
      </c>
      <c r="V4" s="187" t="s">
        <v>448</v>
      </c>
      <c r="W4" s="188" t="s">
        <v>450</v>
      </c>
    </row>
    <row r="5" spans="2:23">
      <c r="B5" s="184" t="s">
        <v>451</v>
      </c>
      <c r="C5" s="291">
        <v>0.08</v>
      </c>
      <c r="D5" s="292"/>
      <c r="G5" s="184" t="s">
        <v>451</v>
      </c>
      <c r="H5" s="296">
        <v>0.12</v>
      </c>
      <c r="I5" s="296"/>
      <c r="K5" s="184" t="s">
        <v>452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>
      <c r="B6" s="184" t="s">
        <v>453</v>
      </c>
      <c r="C6" s="290">
        <v>30</v>
      </c>
      <c r="D6" s="290"/>
      <c r="G6" s="184" t="s">
        <v>453</v>
      </c>
      <c r="H6" s="290">
        <v>10</v>
      </c>
      <c r="I6" s="290"/>
      <c r="K6" s="184" t="s">
        <v>454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455</v>
      </c>
    </row>
    <row r="7" spans="2:23">
      <c r="B7" s="184"/>
      <c r="C7" s="289"/>
      <c r="D7" s="289"/>
      <c r="G7" s="184"/>
      <c r="H7" s="289"/>
      <c r="I7" s="289"/>
      <c r="K7" s="184" t="s">
        <v>456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>
      <c r="B8" s="184"/>
      <c r="C8" s="289"/>
      <c r="D8" s="289"/>
      <c r="G8" s="184"/>
      <c r="H8" s="289"/>
      <c r="I8" s="289"/>
      <c r="K8" s="184" t="s">
        <v>457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>
      <c r="B9" s="202" t="s">
        <v>445</v>
      </c>
      <c r="C9" s="287">
        <f>C4*(1/(1+C5)^C6)</f>
        <v>944084.6592231117</v>
      </c>
      <c r="D9" s="287"/>
      <c r="G9" s="202" t="s">
        <v>458</v>
      </c>
      <c r="H9" s="287">
        <f>H4*((1+H5)^H6)</f>
        <v>621169.64166884217</v>
      </c>
      <c r="I9" s="287"/>
      <c r="K9" s="184" t="s">
        <v>459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>
      <c r="B10" s="202" t="s">
        <v>460</v>
      </c>
      <c r="C10" s="287">
        <f>C4-C9</f>
        <v>8555915.3407768887</v>
      </c>
      <c r="D10" s="287"/>
      <c r="G10" s="202" t="s">
        <v>460</v>
      </c>
      <c r="H10" s="295">
        <f>H9-H4</f>
        <v>421169.64166884217</v>
      </c>
      <c r="I10" s="295"/>
      <c r="K10" s="184" t="s">
        <v>461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>
      <c r="K11" s="184" t="s">
        <v>462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>
      <c r="K12" s="184" t="s">
        <v>463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>
      <c r="K13" s="208" t="s">
        <v>322</v>
      </c>
    </row>
    <row r="14" spans="2:23">
      <c r="B14" s="288" t="s">
        <v>464</v>
      </c>
      <c r="C14" s="288"/>
      <c r="D14" s="288"/>
      <c r="G14" s="288" t="s">
        <v>465</v>
      </c>
      <c r="H14" s="288"/>
      <c r="I14" s="288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>
      <c r="B15" s="184" t="s">
        <v>466</v>
      </c>
      <c r="C15" s="290">
        <v>24000</v>
      </c>
      <c r="D15" s="290"/>
      <c r="G15" s="184" t="s">
        <v>466</v>
      </c>
      <c r="H15" s="290">
        <v>200000</v>
      </c>
      <c r="I15" s="290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>
      <c r="B16" s="184" t="s">
        <v>451</v>
      </c>
      <c r="C16" s="291">
        <v>0.1</v>
      </c>
      <c r="D16" s="292"/>
      <c r="G16" s="184" t="s">
        <v>451</v>
      </c>
      <c r="H16" s="291">
        <v>0.12</v>
      </c>
      <c r="I16" s="292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18">
      <c r="B17" s="184" t="s">
        <v>453</v>
      </c>
      <c r="C17" s="290">
        <v>20</v>
      </c>
      <c r="D17" s="290"/>
      <c r="G17" s="184" t="s">
        <v>453</v>
      </c>
      <c r="H17" s="290">
        <v>10</v>
      </c>
      <c r="I17" s="290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18">
      <c r="B18" s="184"/>
      <c r="C18" s="289"/>
      <c r="D18" s="289"/>
      <c r="G18" s="184"/>
      <c r="H18" s="289"/>
      <c r="I18" s="289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18">
      <c r="B19" s="202" t="s">
        <v>467</v>
      </c>
      <c r="C19" s="283">
        <f>( ( 1-  (1/ ( (1+C16)^C17) ) ) / C16)</f>
        <v>8.5135637197585652</v>
      </c>
      <c r="D19" s="284"/>
      <c r="G19" s="202" t="s">
        <v>468</v>
      </c>
      <c r="H19" s="283">
        <f>( ((1+H16)^H17) -1 ) / H16</f>
        <v>17.548735069535095</v>
      </c>
      <c r="I19" s="284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18">
      <c r="B20" s="202" t="s">
        <v>469</v>
      </c>
      <c r="C20" s="293">
        <f>C19 * C15</f>
        <v>204325.52927420556</v>
      </c>
      <c r="D20" s="294"/>
      <c r="G20" s="202" t="s">
        <v>470</v>
      </c>
      <c r="H20" s="283">
        <f>H19 * H15</f>
        <v>3509747.013907019</v>
      </c>
      <c r="I20" s="284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18">
      <c r="B21" s="202"/>
      <c r="C21" s="285"/>
      <c r="D21" s="286"/>
      <c r="G21" s="202"/>
      <c r="H21" s="285"/>
      <c r="I21" s="286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18">
      <c r="B22" s="202"/>
      <c r="C22" s="287"/>
      <c r="D22" s="287"/>
      <c r="G22" s="202"/>
      <c r="H22" s="287"/>
      <c r="I22" s="287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18">
      <c r="B26" s="288" t="s">
        <v>471</v>
      </c>
      <c r="C26" s="288"/>
      <c r="D26" s="288"/>
      <c r="G26" s="288" t="s">
        <v>472</v>
      </c>
      <c r="H26" s="288"/>
      <c r="I26" s="288"/>
      <c r="K26" s="288" t="s">
        <v>15</v>
      </c>
      <c r="L26" s="288"/>
    </row>
    <row r="27" spans="2:18">
      <c r="B27" s="184" t="s">
        <v>466</v>
      </c>
      <c r="C27" s="290">
        <v>100</v>
      </c>
      <c r="D27" s="290"/>
      <c r="G27" s="184" t="s">
        <v>466</v>
      </c>
      <c r="H27" s="290">
        <v>200000</v>
      </c>
      <c r="I27" s="290"/>
      <c r="K27" s="10" t="s">
        <v>16</v>
      </c>
      <c r="L27" s="11">
        <v>45</v>
      </c>
      <c r="M27" s="215">
        <f>L27*M39</f>
        <v>9375000</v>
      </c>
      <c r="N27" t="s">
        <v>473</v>
      </c>
    </row>
    <row r="28" spans="2:18">
      <c r="B28" s="184" t="s">
        <v>451</v>
      </c>
      <c r="C28" s="291">
        <v>0.05</v>
      </c>
      <c r="D28" s="292"/>
      <c r="G28" s="184" t="s">
        <v>451</v>
      </c>
      <c r="H28" s="291">
        <v>0.12</v>
      </c>
      <c r="I28" s="292"/>
      <c r="K28" s="10" t="s">
        <v>17</v>
      </c>
      <c r="L28" s="11">
        <v>240</v>
      </c>
      <c r="M28" s="216"/>
      <c r="R28">
        <v>416</v>
      </c>
    </row>
    <row r="29" spans="2:18">
      <c r="B29" s="184" t="s">
        <v>453</v>
      </c>
      <c r="C29" s="290">
        <v>3</v>
      </c>
      <c r="D29" s="290"/>
      <c r="G29" s="184" t="s">
        <v>453</v>
      </c>
      <c r="H29" s="290">
        <v>11</v>
      </c>
      <c r="I29" s="290"/>
      <c r="K29" s="10" t="s">
        <v>18</v>
      </c>
      <c r="L29" s="12">
        <v>10</v>
      </c>
      <c r="M29" s="217">
        <f>L27/100000</f>
        <v>4.4999999999999999E-4</v>
      </c>
      <c r="N29" t="s">
        <v>474</v>
      </c>
    </row>
    <row r="30" spans="2:18" ht="15.75" thickBot="1">
      <c r="B30" s="184"/>
      <c r="C30" s="289"/>
      <c r="D30" s="289"/>
      <c r="G30" s="184"/>
      <c r="H30" s="289"/>
      <c r="I30" s="289"/>
      <c r="K30" s="13" t="s">
        <v>19</v>
      </c>
      <c r="L30" s="3">
        <f>((L28/L27)^(1/L29))-1</f>
        <v>0.18222427548378417</v>
      </c>
      <c r="M30" s="217">
        <f>L28/100000</f>
        <v>2.3999999999999998E-3</v>
      </c>
      <c r="N30" t="s">
        <v>475</v>
      </c>
    </row>
    <row r="31" spans="2:18">
      <c r="B31" s="202" t="s">
        <v>467</v>
      </c>
      <c r="C31" s="283">
        <f>( ( ( 1-  (1/ ( (1+C28)^C29) ) ) / C28) ) * (1+C28)</f>
        <v>2.859410430839004</v>
      </c>
      <c r="D31" s="284"/>
      <c r="G31" s="202" t="s">
        <v>468</v>
      </c>
      <c r="H31" s="283">
        <f>(( ((1+H28)^H29) -1 ) / H28 ) * ( 1+H28)</f>
        <v>23.133133271224832</v>
      </c>
      <c r="I31" s="284"/>
      <c r="K31" s="13" t="s">
        <v>20</v>
      </c>
      <c r="L31" s="14">
        <f>L29*12</f>
        <v>120</v>
      </c>
      <c r="P31" s="218" t="s">
        <v>476</v>
      </c>
      <c r="Q31" s="219" t="s">
        <v>477</v>
      </c>
    </row>
    <row r="32" spans="2:18">
      <c r="B32" s="202" t="s">
        <v>478</v>
      </c>
      <c r="C32" s="283">
        <f>C31 * C27</f>
        <v>285.94104308390041</v>
      </c>
      <c r="D32" s="284"/>
      <c r="G32" s="202" t="s">
        <v>479</v>
      </c>
      <c r="H32" s="283">
        <f>H31 * H27</f>
        <v>4626626.6542449668</v>
      </c>
      <c r="I32" s="284"/>
      <c r="K32" s="10" t="s">
        <v>18</v>
      </c>
      <c r="L32" s="15">
        <f>L31/12</f>
        <v>10</v>
      </c>
      <c r="M32">
        <v>62.56</v>
      </c>
      <c r="P32" s="220">
        <v>0.05</v>
      </c>
      <c r="Q32" s="221">
        <v>14</v>
      </c>
    </row>
    <row r="33" spans="2:17">
      <c r="B33" s="202"/>
      <c r="C33" s="285"/>
      <c r="D33" s="286"/>
      <c r="G33" s="202"/>
      <c r="H33" s="285"/>
      <c r="I33" s="286"/>
      <c r="K33" s="13" t="s">
        <v>21</v>
      </c>
      <c r="L33" s="3">
        <f>((L28/L27)^(1/L32))-1</f>
        <v>0.18222427548378417</v>
      </c>
      <c r="P33" s="220">
        <v>0.08</v>
      </c>
      <c r="Q33" s="221">
        <v>9</v>
      </c>
    </row>
    <row r="34" spans="2:17">
      <c r="B34" s="202"/>
      <c r="C34" s="287"/>
      <c r="D34" s="287"/>
      <c r="G34" s="202"/>
      <c r="H34" s="287"/>
      <c r="I34" s="287"/>
      <c r="P34" s="220">
        <v>0.1</v>
      </c>
      <c r="Q34" s="221">
        <v>10</v>
      </c>
    </row>
    <row r="35" spans="2:17">
      <c r="P35" s="220">
        <v>0.15</v>
      </c>
      <c r="Q35" s="221">
        <v>5</v>
      </c>
    </row>
    <row r="36" spans="2:17">
      <c r="B36" s="288" t="s">
        <v>24</v>
      </c>
      <c r="C36" s="288"/>
      <c r="D36" s="288"/>
      <c r="E36" s="222"/>
      <c r="G36" s="288" t="s">
        <v>53</v>
      </c>
      <c r="H36" s="288"/>
      <c r="K36" s="288" t="s">
        <v>337</v>
      </c>
      <c r="L36" s="288"/>
      <c r="P36" s="220">
        <v>0.2</v>
      </c>
      <c r="Q36" s="221">
        <v>4</v>
      </c>
    </row>
    <row r="37" spans="2:17">
      <c r="B37" s="19" t="s">
        <v>25</v>
      </c>
      <c r="C37" s="19"/>
      <c r="D37" s="223">
        <v>1000000</v>
      </c>
      <c r="E37" s="222"/>
      <c r="G37" s="19" t="s">
        <v>29</v>
      </c>
      <c r="H37" s="44">
        <v>342</v>
      </c>
      <c r="K37" s="10" t="s">
        <v>16</v>
      </c>
      <c r="L37" s="11">
        <f>L27</f>
        <v>45</v>
      </c>
      <c r="M37" s="216">
        <v>50000000</v>
      </c>
      <c r="N37" t="s">
        <v>480</v>
      </c>
      <c r="P37" s="220">
        <v>0.25</v>
      </c>
      <c r="Q37" s="221">
        <v>3</v>
      </c>
    </row>
    <row r="38" spans="2:17">
      <c r="B38" s="19" t="s">
        <v>26</v>
      </c>
      <c r="C38" s="19"/>
      <c r="D38" s="21">
        <v>0.66</v>
      </c>
      <c r="E38" s="222"/>
      <c r="G38" s="19" t="s">
        <v>26</v>
      </c>
      <c r="H38" s="21">
        <v>0.12</v>
      </c>
      <c r="K38" s="10" t="s">
        <v>17</v>
      </c>
      <c r="L38" s="11">
        <f>L28</f>
        <v>240</v>
      </c>
      <c r="M38" s="216">
        <f>L38/L37</f>
        <v>5.333333333333333</v>
      </c>
      <c r="N38" t="s">
        <v>481</v>
      </c>
      <c r="P38" s="220">
        <v>0.3</v>
      </c>
      <c r="Q38" s="221">
        <v>2.5</v>
      </c>
    </row>
    <row r="39" spans="2:17">
      <c r="B39" s="19" t="s">
        <v>27</v>
      </c>
      <c r="C39" s="19"/>
      <c r="D39" s="224">
        <v>6</v>
      </c>
      <c r="E39" s="222"/>
      <c r="G39" s="19" t="s">
        <v>27</v>
      </c>
      <c r="H39" s="22">
        <v>10</v>
      </c>
      <c r="K39" s="10" t="s">
        <v>482</v>
      </c>
      <c r="L39" s="10"/>
      <c r="M39" s="216">
        <f>M37/L38</f>
        <v>208333.33333333334</v>
      </c>
      <c r="N39" t="s">
        <v>483</v>
      </c>
      <c r="P39" s="225">
        <v>0.4</v>
      </c>
      <c r="Q39" s="226">
        <v>2</v>
      </c>
    </row>
    <row r="40" spans="2:17">
      <c r="B40" s="19" t="s">
        <v>28</v>
      </c>
      <c r="C40" s="19"/>
      <c r="D40" s="23">
        <v>500000</v>
      </c>
      <c r="E40" s="222"/>
      <c r="G40" s="19" t="s">
        <v>28</v>
      </c>
      <c r="H40" s="20">
        <v>0</v>
      </c>
      <c r="K40" s="10" t="s">
        <v>338</v>
      </c>
      <c r="L40" s="189">
        <f>(L38-L37)/L37</f>
        <v>4.333333333333333</v>
      </c>
      <c r="P40" s="225">
        <v>0.5</v>
      </c>
      <c r="Q40" s="226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2"/>
      <c r="G41" s="24" t="s">
        <v>54</v>
      </c>
      <c r="H41" s="45">
        <f>PV(H38,H39,H40,-H37)</f>
        <v>110.11484691401803</v>
      </c>
      <c r="K41" s="10" t="s">
        <v>339</v>
      </c>
      <c r="L41" s="227">
        <f>L38/L37</f>
        <v>5.333333333333333</v>
      </c>
      <c r="P41" s="225">
        <v>0.75</v>
      </c>
      <c r="Q41" s="226">
        <v>1.3</v>
      </c>
    </row>
    <row r="42" spans="2:17" ht="15.75" thickBot="1">
      <c r="B42" s="228" t="s">
        <v>484</v>
      </c>
      <c r="D42" s="229">
        <f>D41/10000000</f>
        <v>3.6018262604416011</v>
      </c>
      <c r="P42" s="230">
        <v>1</v>
      </c>
      <c r="Q42" s="231">
        <v>1</v>
      </c>
    </row>
    <row r="43" spans="2:17" ht="15.75" thickBot="1">
      <c r="C43" s="282" t="s">
        <v>458</v>
      </c>
      <c r="D43" s="282"/>
      <c r="E43" s="282"/>
      <c r="F43" s="282"/>
      <c r="J43" s="282" t="s">
        <v>458</v>
      </c>
      <c r="K43" s="282"/>
      <c r="L43" s="282"/>
      <c r="M43" s="282"/>
    </row>
    <row r="44" spans="2:17" ht="15.75" thickBot="1">
      <c r="B44" s="232"/>
      <c r="C44" s="275" t="s">
        <v>485</v>
      </c>
      <c r="D44" s="276"/>
      <c r="E44" s="233" t="s">
        <v>486</v>
      </c>
      <c r="F44" s="233"/>
      <c r="G44" s="234"/>
      <c r="I44" s="232"/>
      <c r="J44" s="275" t="s">
        <v>487</v>
      </c>
      <c r="K44" s="276"/>
      <c r="L44" s="233" t="s">
        <v>488</v>
      </c>
      <c r="M44" s="233"/>
      <c r="N44" s="234"/>
    </row>
    <row r="45" spans="2:17" ht="15.75" thickBot="1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</row>
    <row r="46" spans="2:17" ht="15.75" thickBot="1">
      <c r="B46" s="277" t="s">
        <v>489</v>
      </c>
      <c r="C46" s="278"/>
      <c r="D46" s="278"/>
      <c r="E46" s="278"/>
      <c r="F46" s="278"/>
      <c r="G46" s="279"/>
      <c r="I46" s="277" t="s">
        <v>489</v>
      </c>
      <c r="J46" s="278"/>
      <c r="K46" s="278"/>
      <c r="L46" s="278"/>
      <c r="M46" s="278"/>
      <c r="N46" s="279"/>
    </row>
    <row r="47" spans="2:17">
      <c r="B47" s="200"/>
      <c r="C47" s="197"/>
      <c r="D47" s="235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17" ht="30">
      <c r="B48" s="236" t="s">
        <v>14</v>
      </c>
      <c r="C48" s="237" t="s">
        <v>490</v>
      </c>
      <c r="D48" s="237" t="s">
        <v>491</v>
      </c>
      <c r="E48" s="237" t="s">
        <v>492</v>
      </c>
      <c r="F48" s="237" t="s">
        <v>493</v>
      </c>
      <c r="G48" s="238" t="s">
        <v>494</v>
      </c>
      <c r="I48" s="236" t="s">
        <v>14</v>
      </c>
      <c r="J48" s="237" t="s">
        <v>490</v>
      </c>
      <c r="K48" s="237" t="s">
        <v>495</v>
      </c>
      <c r="L48" s="237" t="s">
        <v>492</v>
      </c>
      <c r="M48" s="237" t="s">
        <v>493</v>
      </c>
      <c r="N48" s="238" t="s">
        <v>494</v>
      </c>
      <c r="O48" s="239" t="s">
        <v>496</v>
      </c>
      <c r="P48" s="240" t="s">
        <v>4</v>
      </c>
    </row>
    <row r="49" spans="1:16">
      <c r="A49">
        <v>2013</v>
      </c>
      <c r="B49" s="241">
        <v>0</v>
      </c>
      <c r="C49" s="242">
        <v>0</v>
      </c>
      <c r="D49" s="243">
        <v>1000000</v>
      </c>
      <c r="E49" s="244">
        <v>0.5</v>
      </c>
      <c r="F49" s="245">
        <f xml:space="preserve"> (C49) * E49</f>
        <v>0</v>
      </c>
      <c r="G49" s="246">
        <f>C49+D49+F49</f>
        <v>1000000</v>
      </c>
      <c r="H49" s="216"/>
      <c r="I49" s="241">
        <v>0</v>
      </c>
      <c r="J49" s="242">
        <v>1</v>
      </c>
      <c r="K49" s="243">
        <v>0</v>
      </c>
      <c r="L49" s="244">
        <v>3</v>
      </c>
      <c r="M49" s="242">
        <f xml:space="preserve"> (J49+K49) * L49</f>
        <v>3</v>
      </c>
      <c r="N49" s="247">
        <f>J49+K49+M49</f>
        <v>4</v>
      </c>
      <c r="O49">
        <v>2015</v>
      </c>
      <c r="P49" s="248">
        <f t="shared" ref="P49:P64" si="1">N49/10000000</f>
        <v>3.9999999999999998E-7</v>
      </c>
    </row>
    <row r="50" spans="1:16">
      <c r="A50">
        <f>A49+1</f>
        <v>2014</v>
      </c>
      <c r="B50" s="241">
        <f>B49+1</f>
        <v>1</v>
      </c>
      <c r="C50" s="242">
        <f t="shared" ref="C50:C79" si="2">G49</f>
        <v>1000000</v>
      </c>
      <c r="D50" s="243">
        <v>1500000</v>
      </c>
      <c r="E50" s="244">
        <f>E49</f>
        <v>0.5</v>
      </c>
      <c r="F50" s="245">
        <f t="shared" ref="F50:F79" si="3" xml:space="preserve"> (C50) * E50</f>
        <v>500000</v>
      </c>
      <c r="G50" s="246">
        <f t="shared" ref="G50:G80" si="4">C50+D50+F50</f>
        <v>3000000</v>
      </c>
      <c r="H50" s="216"/>
      <c r="I50" s="241">
        <f>I49+1</f>
        <v>1</v>
      </c>
      <c r="J50" s="242">
        <f>N49</f>
        <v>4</v>
      </c>
      <c r="K50" s="243">
        <v>0</v>
      </c>
      <c r="L50" s="244">
        <v>2</v>
      </c>
      <c r="M50" s="242">
        <f t="shared" ref="M50:M80" si="5" xml:space="preserve"> (J50+K50) * L50</f>
        <v>8</v>
      </c>
      <c r="N50" s="247">
        <f t="shared" ref="N50:N80" si="6">J50+K50+M50</f>
        <v>12</v>
      </c>
      <c r="O50">
        <f t="shared" ref="O50:O64" si="7">O49+1</f>
        <v>2016</v>
      </c>
      <c r="P50" s="248">
        <f t="shared" si="1"/>
        <v>1.1999999999999999E-6</v>
      </c>
    </row>
    <row r="51" spans="1:16">
      <c r="A51">
        <f t="shared" ref="A51:B66" si="8">A50+1</f>
        <v>2015</v>
      </c>
      <c r="B51" s="241">
        <f t="shared" si="8"/>
        <v>2</v>
      </c>
      <c r="C51" s="242">
        <f t="shared" si="2"/>
        <v>3000000</v>
      </c>
      <c r="D51" s="243">
        <v>2000000</v>
      </c>
      <c r="E51" s="244">
        <f>E50</f>
        <v>0.5</v>
      </c>
      <c r="F51" s="245">
        <f t="shared" si="3"/>
        <v>1500000</v>
      </c>
      <c r="G51" s="246">
        <f t="shared" si="4"/>
        <v>6500000</v>
      </c>
      <c r="H51" s="216"/>
      <c r="I51" s="241">
        <f t="shared" ref="I51:I79" si="9">I50+1</f>
        <v>2</v>
      </c>
      <c r="J51" s="242">
        <f t="shared" ref="J51:J80" si="10">N50</f>
        <v>12</v>
      </c>
      <c r="K51" s="243">
        <v>0</v>
      </c>
      <c r="L51" s="244">
        <v>0.8</v>
      </c>
      <c r="M51" s="242">
        <f t="shared" si="5"/>
        <v>9.6000000000000014</v>
      </c>
      <c r="N51" s="247">
        <f t="shared" si="6"/>
        <v>21.6</v>
      </c>
      <c r="O51">
        <f t="shared" si="7"/>
        <v>2017</v>
      </c>
      <c r="P51" s="248">
        <f t="shared" si="1"/>
        <v>2.1600000000000001E-6</v>
      </c>
    </row>
    <row r="52" spans="1:16">
      <c r="A52">
        <f t="shared" si="8"/>
        <v>2016</v>
      </c>
      <c r="B52" s="241">
        <f t="shared" si="8"/>
        <v>3</v>
      </c>
      <c r="C52" s="242">
        <f t="shared" si="2"/>
        <v>6500000</v>
      </c>
      <c r="D52" s="243">
        <v>2500000</v>
      </c>
      <c r="E52" s="244">
        <f t="shared" ref="E52:E70" si="11">E51</f>
        <v>0.5</v>
      </c>
      <c r="F52" s="245">
        <f t="shared" si="3"/>
        <v>3250000</v>
      </c>
      <c r="G52" s="246">
        <f t="shared" si="4"/>
        <v>12250000</v>
      </c>
      <c r="H52" s="216"/>
      <c r="I52" s="241">
        <f t="shared" si="9"/>
        <v>3</v>
      </c>
      <c r="J52" s="242">
        <f t="shared" si="10"/>
        <v>21.6</v>
      </c>
      <c r="K52" s="243">
        <v>0</v>
      </c>
      <c r="L52" s="249">
        <v>0.4</v>
      </c>
      <c r="M52" s="242">
        <f t="shared" si="5"/>
        <v>8.64</v>
      </c>
      <c r="N52" s="247">
        <f t="shared" si="6"/>
        <v>30.240000000000002</v>
      </c>
      <c r="O52">
        <f t="shared" si="7"/>
        <v>2018</v>
      </c>
      <c r="P52" s="248">
        <f t="shared" si="1"/>
        <v>3.0240000000000002E-6</v>
      </c>
    </row>
    <row r="53" spans="1:16">
      <c r="A53">
        <f t="shared" si="8"/>
        <v>2017</v>
      </c>
      <c r="B53" s="241">
        <f t="shared" si="8"/>
        <v>4</v>
      </c>
      <c r="C53" s="242">
        <f t="shared" si="2"/>
        <v>12250000</v>
      </c>
      <c r="D53" s="243">
        <v>3000000</v>
      </c>
      <c r="E53" s="244">
        <f t="shared" si="11"/>
        <v>0.5</v>
      </c>
      <c r="F53" s="245">
        <f t="shared" si="3"/>
        <v>6125000</v>
      </c>
      <c r="G53" s="246">
        <f t="shared" si="4"/>
        <v>21375000</v>
      </c>
      <c r="H53" s="216"/>
      <c r="I53" s="241">
        <f t="shared" si="9"/>
        <v>4</v>
      </c>
      <c r="J53" s="242">
        <f t="shared" si="10"/>
        <v>30.240000000000002</v>
      </c>
      <c r="K53" s="243">
        <v>0</v>
      </c>
      <c r="L53" s="249">
        <v>0.3</v>
      </c>
      <c r="M53" s="242">
        <f t="shared" si="5"/>
        <v>9.072000000000001</v>
      </c>
      <c r="N53" s="247">
        <f t="shared" si="6"/>
        <v>39.312000000000005</v>
      </c>
      <c r="O53">
        <f t="shared" si="7"/>
        <v>2019</v>
      </c>
      <c r="P53" s="248">
        <f t="shared" si="1"/>
        <v>3.9312000000000006E-6</v>
      </c>
    </row>
    <row r="54" spans="1:16">
      <c r="A54">
        <f t="shared" si="8"/>
        <v>2018</v>
      </c>
      <c r="B54" s="241">
        <f t="shared" si="8"/>
        <v>5</v>
      </c>
      <c r="C54" s="242">
        <f t="shared" si="2"/>
        <v>21375000</v>
      </c>
      <c r="D54" s="243">
        <v>3500000</v>
      </c>
      <c r="E54" s="244">
        <f t="shared" si="11"/>
        <v>0.5</v>
      </c>
      <c r="F54" s="245">
        <f t="shared" si="3"/>
        <v>10687500</v>
      </c>
      <c r="G54" s="246">
        <f t="shared" si="4"/>
        <v>35562500</v>
      </c>
      <c r="H54" s="216"/>
      <c r="I54" s="241">
        <f t="shared" si="9"/>
        <v>5</v>
      </c>
      <c r="J54" s="242">
        <f t="shared" si="10"/>
        <v>39.312000000000005</v>
      </c>
      <c r="K54" s="243">
        <v>0</v>
      </c>
      <c r="L54" s="244">
        <v>0.2</v>
      </c>
      <c r="M54" s="242">
        <f t="shared" si="5"/>
        <v>7.8624000000000009</v>
      </c>
      <c r="N54" s="247">
        <f t="shared" si="6"/>
        <v>47.174400000000006</v>
      </c>
      <c r="O54">
        <f t="shared" si="7"/>
        <v>2020</v>
      </c>
      <c r="P54" s="248">
        <f t="shared" si="1"/>
        <v>4.7174400000000002E-6</v>
      </c>
    </row>
    <row r="55" spans="1:16">
      <c r="A55">
        <f t="shared" si="8"/>
        <v>2019</v>
      </c>
      <c r="B55" s="241">
        <f t="shared" si="8"/>
        <v>6</v>
      </c>
      <c r="C55" s="242">
        <f t="shared" si="2"/>
        <v>35562500</v>
      </c>
      <c r="D55" s="243">
        <v>4000000</v>
      </c>
      <c r="E55" s="244">
        <f t="shared" si="11"/>
        <v>0.5</v>
      </c>
      <c r="F55" s="245">
        <f t="shared" si="3"/>
        <v>17781250</v>
      </c>
      <c r="G55" s="246">
        <f t="shared" si="4"/>
        <v>57343750</v>
      </c>
      <c r="H55" s="216"/>
      <c r="I55" s="241">
        <f t="shared" si="9"/>
        <v>6</v>
      </c>
      <c r="J55" s="242">
        <f t="shared" si="10"/>
        <v>47.174400000000006</v>
      </c>
      <c r="K55" s="243">
        <v>0</v>
      </c>
      <c r="L55" s="244">
        <f t="shared" ref="L55:L67" si="12">L54</f>
        <v>0.2</v>
      </c>
      <c r="M55" s="242">
        <f t="shared" si="5"/>
        <v>9.4348800000000015</v>
      </c>
      <c r="N55" s="247">
        <f t="shared" si="6"/>
        <v>56.609280000000005</v>
      </c>
      <c r="O55">
        <f t="shared" si="7"/>
        <v>2021</v>
      </c>
      <c r="P55" s="248">
        <f t="shared" si="1"/>
        <v>5.6609280000000002E-6</v>
      </c>
    </row>
    <row r="56" spans="1:16">
      <c r="A56">
        <f t="shared" si="8"/>
        <v>2020</v>
      </c>
      <c r="B56" s="241">
        <f t="shared" si="8"/>
        <v>7</v>
      </c>
      <c r="C56" s="242">
        <f t="shared" si="2"/>
        <v>57343750</v>
      </c>
      <c r="D56" s="243">
        <v>5000000</v>
      </c>
      <c r="E56" s="244">
        <f t="shared" si="11"/>
        <v>0.5</v>
      </c>
      <c r="F56" s="245">
        <f t="shared" si="3"/>
        <v>28671875</v>
      </c>
      <c r="G56" s="246">
        <f t="shared" si="4"/>
        <v>91015625</v>
      </c>
      <c r="H56" s="216">
        <f>G56/10000000</f>
        <v>9.1015625</v>
      </c>
      <c r="I56" s="241">
        <f t="shared" si="9"/>
        <v>7</v>
      </c>
      <c r="J56" s="242">
        <f t="shared" si="10"/>
        <v>56.609280000000005</v>
      </c>
      <c r="K56" s="243">
        <v>0</v>
      </c>
      <c r="L56" s="244">
        <f t="shared" si="12"/>
        <v>0.2</v>
      </c>
      <c r="M56" s="242">
        <f t="shared" si="5"/>
        <v>11.321856000000002</v>
      </c>
      <c r="N56" s="247">
        <f t="shared" si="6"/>
        <v>67.931136000000009</v>
      </c>
      <c r="O56">
        <f t="shared" si="7"/>
        <v>2022</v>
      </c>
      <c r="P56" s="248">
        <f t="shared" si="1"/>
        <v>6.7931136000000013E-6</v>
      </c>
    </row>
    <row r="57" spans="1:16">
      <c r="A57">
        <f t="shared" si="8"/>
        <v>2021</v>
      </c>
      <c r="B57" s="241">
        <f t="shared" si="8"/>
        <v>8</v>
      </c>
      <c r="C57" s="242">
        <f t="shared" si="2"/>
        <v>91015625</v>
      </c>
      <c r="D57" s="243">
        <v>0</v>
      </c>
      <c r="E57" s="244">
        <f t="shared" si="11"/>
        <v>0.5</v>
      </c>
      <c r="F57" s="245">
        <f t="shared" si="3"/>
        <v>45507812.5</v>
      </c>
      <c r="G57" s="246">
        <f t="shared" si="4"/>
        <v>136523437.5</v>
      </c>
      <c r="H57" s="216"/>
      <c r="I57" s="241">
        <f t="shared" si="9"/>
        <v>8</v>
      </c>
      <c r="J57" s="242">
        <f t="shared" si="10"/>
        <v>67.931136000000009</v>
      </c>
      <c r="K57" s="243">
        <v>0</v>
      </c>
      <c r="L57" s="244">
        <f t="shared" si="12"/>
        <v>0.2</v>
      </c>
      <c r="M57" s="242">
        <f t="shared" si="5"/>
        <v>13.586227200000003</v>
      </c>
      <c r="N57" s="247">
        <f t="shared" si="6"/>
        <v>81.517363200000005</v>
      </c>
      <c r="O57">
        <f t="shared" si="7"/>
        <v>2023</v>
      </c>
      <c r="P57" s="248">
        <f t="shared" si="1"/>
        <v>8.1517363199999998E-6</v>
      </c>
    </row>
    <row r="58" spans="1:16">
      <c r="A58">
        <f t="shared" si="8"/>
        <v>2022</v>
      </c>
      <c r="B58" s="241">
        <f t="shared" si="8"/>
        <v>9</v>
      </c>
      <c r="C58" s="242">
        <f t="shared" si="2"/>
        <v>136523437.5</v>
      </c>
      <c r="D58" s="243">
        <v>0</v>
      </c>
      <c r="E58" s="244">
        <f t="shared" si="11"/>
        <v>0.5</v>
      </c>
      <c r="F58" s="245">
        <f t="shared" si="3"/>
        <v>68261718.75</v>
      </c>
      <c r="G58" s="246">
        <f t="shared" si="4"/>
        <v>204785156.25</v>
      </c>
      <c r="H58" s="216"/>
      <c r="I58" s="241">
        <f t="shared" si="9"/>
        <v>9</v>
      </c>
      <c r="J58" s="242">
        <f t="shared" si="10"/>
        <v>81.517363200000005</v>
      </c>
      <c r="K58" s="243">
        <v>0</v>
      </c>
      <c r="L58" s="244">
        <f t="shared" si="12"/>
        <v>0.2</v>
      </c>
      <c r="M58" s="242">
        <f t="shared" si="5"/>
        <v>16.303472640000003</v>
      </c>
      <c r="N58" s="247">
        <f t="shared" si="6"/>
        <v>97.820835840000001</v>
      </c>
      <c r="O58">
        <f t="shared" si="7"/>
        <v>2024</v>
      </c>
      <c r="P58" s="248">
        <f t="shared" si="1"/>
        <v>9.7820835840000005E-6</v>
      </c>
    </row>
    <row r="59" spans="1:16">
      <c r="A59">
        <f t="shared" si="8"/>
        <v>2023</v>
      </c>
      <c r="B59" s="241">
        <f t="shared" si="8"/>
        <v>10</v>
      </c>
      <c r="C59" s="242">
        <f t="shared" si="2"/>
        <v>204785156.25</v>
      </c>
      <c r="D59" s="243">
        <v>0</v>
      </c>
      <c r="E59" s="244">
        <f t="shared" si="11"/>
        <v>0.5</v>
      </c>
      <c r="F59" s="245">
        <f t="shared" si="3"/>
        <v>102392578.125</v>
      </c>
      <c r="G59" s="246">
        <f t="shared" si="4"/>
        <v>307177734.375</v>
      </c>
      <c r="H59" s="216"/>
      <c r="I59" s="241">
        <f t="shared" si="9"/>
        <v>10</v>
      </c>
      <c r="J59" s="242">
        <f t="shared" si="10"/>
        <v>97.820835840000001</v>
      </c>
      <c r="K59" s="243">
        <v>0</v>
      </c>
      <c r="L59" s="244">
        <f t="shared" si="12"/>
        <v>0.2</v>
      </c>
      <c r="M59" s="242">
        <f t="shared" si="5"/>
        <v>19.564167168000001</v>
      </c>
      <c r="N59" s="247">
        <f t="shared" si="6"/>
        <v>117.385003008</v>
      </c>
      <c r="O59">
        <f t="shared" si="7"/>
        <v>2025</v>
      </c>
      <c r="P59" s="248">
        <f t="shared" si="1"/>
        <v>1.17385003008E-5</v>
      </c>
    </row>
    <row r="60" spans="1:16">
      <c r="A60">
        <f t="shared" si="8"/>
        <v>2024</v>
      </c>
      <c r="B60" s="241">
        <f t="shared" si="8"/>
        <v>11</v>
      </c>
      <c r="C60" s="242">
        <f t="shared" si="2"/>
        <v>307177734.375</v>
      </c>
      <c r="D60" s="243">
        <v>0</v>
      </c>
      <c r="E60" s="244">
        <f t="shared" si="11"/>
        <v>0.5</v>
      </c>
      <c r="F60" s="245">
        <f t="shared" si="3"/>
        <v>153588867.1875</v>
      </c>
      <c r="G60" s="246">
        <f t="shared" si="4"/>
        <v>460766601.5625</v>
      </c>
      <c r="H60" s="216"/>
      <c r="I60" s="241">
        <f t="shared" si="9"/>
        <v>11</v>
      </c>
      <c r="J60" s="242">
        <f t="shared" si="10"/>
        <v>117.385003008</v>
      </c>
      <c r="K60" s="243">
        <v>0</v>
      </c>
      <c r="L60" s="244">
        <f t="shared" si="12"/>
        <v>0.2</v>
      </c>
      <c r="M60" s="242">
        <f t="shared" si="5"/>
        <v>23.4770006016</v>
      </c>
      <c r="N60" s="247">
        <f t="shared" si="6"/>
        <v>140.86200360960001</v>
      </c>
      <c r="O60">
        <f t="shared" si="7"/>
        <v>2026</v>
      </c>
      <c r="P60" s="248">
        <f t="shared" si="1"/>
        <v>1.4086200360960001E-5</v>
      </c>
    </row>
    <row r="61" spans="1:16">
      <c r="A61">
        <f t="shared" si="8"/>
        <v>2025</v>
      </c>
      <c r="B61" s="241">
        <f t="shared" si="8"/>
        <v>12</v>
      </c>
      <c r="C61" s="242">
        <f t="shared" si="2"/>
        <v>460766601.5625</v>
      </c>
      <c r="D61" s="243">
        <v>0</v>
      </c>
      <c r="E61" s="244">
        <f t="shared" si="11"/>
        <v>0.5</v>
      </c>
      <c r="F61" s="245">
        <f t="shared" si="3"/>
        <v>230383300.78125</v>
      </c>
      <c r="G61" s="246">
        <f t="shared" si="4"/>
        <v>691149902.34375</v>
      </c>
      <c r="H61" s="216"/>
      <c r="I61" s="241">
        <f t="shared" si="9"/>
        <v>12</v>
      </c>
      <c r="J61" s="242">
        <f t="shared" si="10"/>
        <v>140.86200360960001</v>
      </c>
      <c r="K61" s="243">
        <v>0</v>
      </c>
      <c r="L61" s="244">
        <f t="shared" si="12"/>
        <v>0.2</v>
      </c>
      <c r="M61" s="242">
        <f t="shared" si="5"/>
        <v>28.172400721920003</v>
      </c>
      <c r="N61" s="247">
        <f t="shared" si="6"/>
        <v>169.03440433152002</v>
      </c>
      <c r="O61">
        <f t="shared" si="7"/>
        <v>2027</v>
      </c>
      <c r="P61" s="248">
        <f t="shared" si="1"/>
        <v>1.6903440433152003E-5</v>
      </c>
    </row>
    <row r="62" spans="1:16">
      <c r="A62">
        <f t="shared" si="8"/>
        <v>2026</v>
      </c>
      <c r="B62" s="241">
        <f t="shared" si="8"/>
        <v>13</v>
      </c>
      <c r="C62" s="242">
        <f t="shared" si="2"/>
        <v>691149902.34375</v>
      </c>
      <c r="D62" s="243">
        <v>0</v>
      </c>
      <c r="E62" s="244">
        <f t="shared" si="11"/>
        <v>0.5</v>
      </c>
      <c r="F62" s="245">
        <f t="shared" si="3"/>
        <v>345574951.171875</v>
      </c>
      <c r="G62" s="246">
        <f t="shared" si="4"/>
        <v>1036724853.515625</v>
      </c>
      <c r="H62" s="216"/>
      <c r="I62" s="241">
        <f t="shared" si="9"/>
        <v>13</v>
      </c>
      <c r="J62" s="242">
        <f t="shared" si="10"/>
        <v>169.03440433152002</v>
      </c>
      <c r="K62" s="243">
        <v>0</v>
      </c>
      <c r="L62" s="244">
        <f t="shared" si="12"/>
        <v>0.2</v>
      </c>
      <c r="M62" s="242">
        <f t="shared" si="5"/>
        <v>33.806880866304006</v>
      </c>
      <c r="N62" s="247">
        <f t="shared" si="6"/>
        <v>202.84128519782402</v>
      </c>
      <c r="O62">
        <f t="shared" si="7"/>
        <v>2028</v>
      </c>
      <c r="P62" s="248">
        <f t="shared" si="1"/>
        <v>2.0284128519782403E-5</v>
      </c>
    </row>
    <row r="63" spans="1:16">
      <c r="A63">
        <f t="shared" si="8"/>
        <v>2027</v>
      </c>
      <c r="B63" s="241">
        <f t="shared" si="8"/>
        <v>14</v>
      </c>
      <c r="C63" s="242">
        <f t="shared" si="2"/>
        <v>1036724853.515625</v>
      </c>
      <c r="D63" s="243">
        <v>0</v>
      </c>
      <c r="E63" s="244">
        <f t="shared" si="11"/>
        <v>0.5</v>
      </c>
      <c r="F63" s="245">
        <f t="shared" si="3"/>
        <v>518362426.7578125</v>
      </c>
      <c r="G63" s="246">
        <f t="shared" si="4"/>
        <v>1555087280.2734375</v>
      </c>
      <c r="H63" s="216"/>
      <c r="I63" s="241">
        <f t="shared" si="9"/>
        <v>14</v>
      </c>
      <c r="J63" s="242">
        <f t="shared" si="10"/>
        <v>202.84128519782402</v>
      </c>
      <c r="K63" s="243">
        <v>0</v>
      </c>
      <c r="L63" s="244">
        <f t="shared" si="12"/>
        <v>0.2</v>
      </c>
      <c r="M63" s="242">
        <f t="shared" si="5"/>
        <v>40.568257039564806</v>
      </c>
      <c r="N63" s="247">
        <f t="shared" si="6"/>
        <v>243.40954223738882</v>
      </c>
      <c r="O63">
        <f t="shared" si="7"/>
        <v>2029</v>
      </c>
      <c r="P63" s="248">
        <f t="shared" si="1"/>
        <v>2.4340954223738881E-5</v>
      </c>
    </row>
    <row r="64" spans="1:16">
      <c r="A64">
        <f t="shared" si="8"/>
        <v>2028</v>
      </c>
      <c r="B64" s="241">
        <f t="shared" si="8"/>
        <v>15</v>
      </c>
      <c r="C64" s="242">
        <f t="shared" si="2"/>
        <v>1555087280.2734375</v>
      </c>
      <c r="D64" s="243">
        <v>0</v>
      </c>
      <c r="E64" s="244">
        <f t="shared" si="11"/>
        <v>0.5</v>
      </c>
      <c r="F64" s="245">
        <f t="shared" si="3"/>
        <v>777543640.13671875</v>
      </c>
      <c r="G64" s="246">
        <f t="shared" si="4"/>
        <v>2332630920.4101562</v>
      </c>
      <c r="H64" s="216"/>
      <c r="I64" s="241">
        <f t="shared" si="9"/>
        <v>15</v>
      </c>
      <c r="J64" s="242">
        <f t="shared" si="10"/>
        <v>243.40954223738882</v>
      </c>
      <c r="K64" s="243">
        <v>0</v>
      </c>
      <c r="L64" s="244">
        <f t="shared" si="12"/>
        <v>0.2</v>
      </c>
      <c r="M64" s="242">
        <f t="shared" si="5"/>
        <v>48.681908447477767</v>
      </c>
      <c r="N64" s="247">
        <f t="shared" si="6"/>
        <v>292.09145068486657</v>
      </c>
      <c r="O64">
        <f t="shared" si="7"/>
        <v>2030</v>
      </c>
      <c r="P64" s="248">
        <f t="shared" si="1"/>
        <v>2.9209145068486657E-5</v>
      </c>
    </row>
    <row r="65" spans="1:14">
      <c r="A65">
        <f t="shared" si="8"/>
        <v>2029</v>
      </c>
      <c r="B65" s="241">
        <f t="shared" si="8"/>
        <v>16</v>
      </c>
      <c r="C65" s="242">
        <f t="shared" si="2"/>
        <v>2332630920.4101562</v>
      </c>
      <c r="D65" s="243">
        <v>0</v>
      </c>
      <c r="E65" s="244">
        <f t="shared" si="11"/>
        <v>0.5</v>
      </c>
      <c r="F65" s="245">
        <f t="shared" si="3"/>
        <v>1166315460.2050781</v>
      </c>
      <c r="G65" s="246">
        <f t="shared" si="4"/>
        <v>3498946380.6152344</v>
      </c>
      <c r="H65" s="216"/>
      <c r="I65" s="241">
        <f t="shared" si="9"/>
        <v>16</v>
      </c>
      <c r="J65" s="242">
        <f t="shared" si="10"/>
        <v>292.09145068486657</v>
      </c>
      <c r="K65" s="243">
        <v>0</v>
      </c>
      <c r="L65" s="244">
        <f t="shared" si="12"/>
        <v>0.2</v>
      </c>
      <c r="M65" s="242">
        <f t="shared" si="5"/>
        <v>58.418290136973319</v>
      </c>
      <c r="N65" s="247">
        <f t="shared" si="6"/>
        <v>350.5097408218399</v>
      </c>
    </row>
    <row r="66" spans="1:14">
      <c r="A66" s="250">
        <f t="shared" si="8"/>
        <v>2030</v>
      </c>
      <c r="B66" s="241">
        <f t="shared" si="8"/>
        <v>17</v>
      </c>
      <c r="C66" s="242">
        <f t="shared" si="2"/>
        <v>3498946380.6152344</v>
      </c>
      <c r="D66" s="243">
        <v>0</v>
      </c>
      <c r="E66" s="244">
        <f t="shared" si="11"/>
        <v>0.5</v>
      </c>
      <c r="F66" s="245">
        <f t="shared" si="3"/>
        <v>1749473190.3076172</v>
      </c>
      <c r="G66" s="251">
        <f t="shared" si="4"/>
        <v>5248419570.9228516</v>
      </c>
      <c r="H66" s="216">
        <f>G66/10000000</f>
        <v>524.84195709228516</v>
      </c>
      <c r="I66" s="241">
        <f t="shared" si="9"/>
        <v>17</v>
      </c>
      <c r="J66" s="242">
        <f t="shared" si="10"/>
        <v>350.5097408218399</v>
      </c>
      <c r="K66" s="243">
        <v>0</v>
      </c>
      <c r="L66" s="244">
        <f t="shared" si="12"/>
        <v>0.2</v>
      </c>
      <c r="M66" s="242">
        <f t="shared" si="5"/>
        <v>70.101948164367982</v>
      </c>
      <c r="N66" s="247">
        <f t="shared" si="6"/>
        <v>420.61168898620787</v>
      </c>
    </row>
    <row r="67" spans="1:14">
      <c r="A67">
        <f t="shared" ref="A67:B79" si="13">A66+1</f>
        <v>2031</v>
      </c>
      <c r="B67" s="241">
        <f t="shared" si="13"/>
        <v>18</v>
      </c>
      <c r="C67" s="242">
        <f t="shared" si="2"/>
        <v>5248419570.9228516</v>
      </c>
      <c r="D67" s="243">
        <v>0</v>
      </c>
      <c r="E67" s="244">
        <v>0</v>
      </c>
      <c r="F67" s="245">
        <f t="shared" si="3"/>
        <v>0</v>
      </c>
      <c r="G67" s="246">
        <f t="shared" si="4"/>
        <v>5248419570.9228516</v>
      </c>
      <c r="H67" s="252"/>
      <c r="I67" s="241">
        <f t="shared" si="9"/>
        <v>18</v>
      </c>
      <c r="J67" s="242">
        <f t="shared" si="10"/>
        <v>420.61168898620787</v>
      </c>
      <c r="K67" s="243">
        <v>0</v>
      </c>
      <c r="L67" s="244">
        <f t="shared" si="12"/>
        <v>0.2</v>
      </c>
      <c r="M67" s="242">
        <f t="shared" si="5"/>
        <v>84.122337797241585</v>
      </c>
      <c r="N67" s="247">
        <f t="shared" si="6"/>
        <v>504.73402678344945</v>
      </c>
    </row>
    <row r="68" spans="1:14">
      <c r="B68" s="241">
        <f t="shared" si="13"/>
        <v>19</v>
      </c>
      <c r="C68" s="242">
        <f t="shared" si="2"/>
        <v>5248419570.9228516</v>
      </c>
      <c r="D68" s="243">
        <v>0</v>
      </c>
      <c r="E68" s="244">
        <v>0</v>
      </c>
      <c r="F68" s="245">
        <f t="shared" si="3"/>
        <v>0</v>
      </c>
      <c r="G68" s="246">
        <f t="shared" si="4"/>
        <v>5248419570.9228516</v>
      </c>
      <c r="H68" s="253" t="e">
        <f>H49/C49</f>
        <v>#DIV/0!</v>
      </c>
      <c r="I68" s="241">
        <f t="shared" si="9"/>
        <v>19</v>
      </c>
      <c r="J68" s="242">
        <f t="shared" si="10"/>
        <v>504.73402678344945</v>
      </c>
      <c r="K68" s="243"/>
      <c r="L68" s="244"/>
      <c r="M68" s="242">
        <f t="shared" si="5"/>
        <v>0</v>
      </c>
      <c r="N68" s="247">
        <f t="shared" si="6"/>
        <v>504.73402678344945</v>
      </c>
    </row>
    <row r="69" spans="1:14">
      <c r="B69" s="241">
        <f t="shared" si="13"/>
        <v>20</v>
      </c>
      <c r="C69" s="242">
        <f t="shared" si="2"/>
        <v>5248419570.9228516</v>
      </c>
      <c r="D69" s="243">
        <v>0</v>
      </c>
      <c r="E69" s="244">
        <f t="shared" si="11"/>
        <v>0</v>
      </c>
      <c r="F69" s="245">
        <f t="shared" si="3"/>
        <v>0</v>
      </c>
      <c r="G69" s="246">
        <f t="shared" si="4"/>
        <v>5248419570.9228516</v>
      </c>
      <c r="H69" s="253">
        <f t="shared" ref="H69:H88" si="14">H50/C50</f>
        <v>0</v>
      </c>
      <c r="I69" s="241">
        <f t="shared" si="9"/>
        <v>20</v>
      </c>
      <c r="J69" s="242">
        <f t="shared" si="10"/>
        <v>504.73402678344945</v>
      </c>
      <c r="K69" s="243"/>
      <c r="L69" s="244"/>
      <c r="M69" s="242">
        <f t="shared" si="5"/>
        <v>0</v>
      </c>
      <c r="N69" s="247">
        <f t="shared" si="6"/>
        <v>504.73402678344945</v>
      </c>
    </row>
    <row r="70" spans="1:14">
      <c r="B70" s="241">
        <f t="shared" si="13"/>
        <v>21</v>
      </c>
      <c r="C70" s="242">
        <f t="shared" si="2"/>
        <v>5248419570.9228516</v>
      </c>
      <c r="D70" s="243"/>
      <c r="E70" s="244">
        <f t="shared" si="11"/>
        <v>0</v>
      </c>
      <c r="F70" s="245">
        <f t="shared" si="3"/>
        <v>0</v>
      </c>
      <c r="G70" s="246">
        <f t="shared" si="4"/>
        <v>5248419570.9228516</v>
      </c>
      <c r="H70" s="253">
        <f t="shared" si="14"/>
        <v>0</v>
      </c>
      <c r="I70" s="241">
        <f t="shared" si="9"/>
        <v>21</v>
      </c>
      <c r="J70" s="242">
        <f t="shared" si="10"/>
        <v>504.73402678344945</v>
      </c>
      <c r="K70" s="243"/>
      <c r="L70" s="244"/>
      <c r="M70" s="242">
        <f t="shared" si="5"/>
        <v>0</v>
      </c>
      <c r="N70" s="247">
        <f t="shared" si="6"/>
        <v>504.73402678344945</v>
      </c>
    </row>
    <row r="71" spans="1:14">
      <c r="B71" s="241">
        <f t="shared" si="13"/>
        <v>22</v>
      </c>
      <c r="C71" s="242">
        <f t="shared" si="2"/>
        <v>5248419570.9228516</v>
      </c>
      <c r="D71" s="243"/>
      <c r="E71" s="244"/>
      <c r="F71" s="245">
        <f t="shared" si="3"/>
        <v>0</v>
      </c>
      <c r="G71" s="246">
        <f t="shared" si="4"/>
        <v>5248419570.9228516</v>
      </c>
      <c r="H71" s="253">
        <f t="shared" si="14"/>
        <v>0</v>
      </c>
      <c r="I71" s="241">
        <f t="shared" si="9"/>
        <v>22</v>
      </c>
      <c r="J71" s="242">
        <f t="shared" si="10"/>
        <v>504.73402678344945</v>
      </c>
      <c r="K71" s="243"/>
      <c r="L71" s="244"/>
      <c r="M71" s="242">
        <f t="shared" si="5"/>
        <v>0</v>
      </c>
      <c r="N71" s="247">
        <f t="shared" si="6"/>
        <v>504.73402678344945</v>
      </c>
    </row>
    <row r="72" spans="1:14">
      <c r="B72" s="241">
        <f t="shared" si="13"/>
        <v>23</v>
      </c>
      <c r="C72" s="242">
        <f t="shared" si="2"/>
        <v>5248419570.9228516</v>
      </c>
      <c r="D72" s="243"/>
      <c r="E72" s="244"/>
      <c r="F72" s="245">
        <f t="shared" si="3"/>
        <v>0</v>
      </c>
      <c r="G72" s="246">
        <f t="shared" si="4"/>
        <v>5248419570.9228516</v>
      </c>
      <c r="H72" s="253">
        <f t="shared" si="14"/>
        <v>0</v>
      </c>
      <c r="I72" s="241">
        <f t="shared" si="9"/>
        <v>23</v>
      </c>
      <c r="J72" s="242">
        <f t="shared" si="10"/>
        <v>504.73402678344945</v>
      </c>
      <c r="K72" s="243"/>
      <c r="L72" s="244"/>
      <c r="M72" s="242">
        <f t="shared" si="5"/>
        <v>0</v>
      </c>
      <c r="N72" s="247">
        <f t="shared" si="6"/>
        <v>504.73402678344945</v>
      </c>
    </row>
    <row r="73" spans="1:14">
      <c r="B73" s="241">
        <f t="shared" si="13"/>
        <v>24</v>
      </c>
      <c r="C73" s="242">
        <f t="shared" si="2"/>
        <v>5248419570.9228516</v>
      </c>
      <c r="D73" s="243"/>
      <c r="E73" s="244"/>
      <c r="F73" s="245">
        <f t="shared" si="3"/>
        <v>0</v>
      </c>
      <c r="G73" s="246">
        <f t="shared" si="4"/>
        <v>5248419570.9228516</v>
      </c>
      <c r="H73" s="253">
        <f t="shared" si="14"/>
        <v>0</v>
      </c>
      <c r="I73" s="241">
        <f t="shared" si="9"/>
        <v>24</v>
      </c>
      <c r="J73" s="242">
        <f t="shared" si="10"/>
        <v>504.73402678344945</v>
      </c>
      <c r="K73" s="243"/>
      <c r="L73" s="244"/>
      <c r="M73" s="242">
        <f t="shared" si="5"/>
        <v>0</v>
      </c>
      <c r="N73" s="247">
        <f t="shared" si="6"/>
        <v>504.73402678344945</v>
      </c>
    </row>
    <row r="74" spans="1:14">
      <c r="B74" s="241">
        <f t="shared" si="13"/>
        <v>25</v>
      </c>
      <c r="C74" s="242">
        <f t="shared" si="2"/>
        <v>5248419570.9228516</v>
      </c>
      <c r="D74" s="243"/>
      <c r="E74" s="244"/>
      <c r="F74" s="245">
        <f t="shared" si="3"/>
        <v>0</v>
      </c>
      <c r="G74" s="246">
        <f t="shared" si="4"/>
        <v>5248419570.9228516</v>
      </c>
      <c r="H74" s="253">
        <f t="shared" si="14"/>
        <v>0</v>
      </c>
      <c r="I74" s="241">
        <f t="shared" si="9"/>
        <v>25</v>
      </c>
      <c r="J74" s="242">
        <f t="shared" si="10"/>
        <v>504.73402678344945</v>
      </c>
      <c r="K74" s="243"/>
      <c r="L74" s="244"/>
      <c r="M74" s="242">
        <f t="shared" si="5"/>
        <v>0</v>
      </c>
      <c r="N74" s="247">
        <f t="shared" si="6"/>
        <v>504.73402678344945</v>
      </c>
    </row>
    <row r="75" spans="1:14">
      <c r="B75" s="241">
        <f t="shared" si="13"/>
        <v>26</v>
      </c>
      <c r="C75" s="242">
        <f t="shared" si="2"/>
        <v>5248419570.9228516</v>
      </c>
      <c r="D75" s="243"/>
      <c r="E75" s="244"/>
      <c r="F75" s="245">
        <f t="shared" si="3"/>
        <v>0</v>
      </c>
      <c r="G75" s="246">
        <f t="shared" si="4"/>
        <v>5248419570.9228516</v>
      </c>
      <c r="H75" s="253">
        <f t="shared" si="14"/>
        <v>1.5871934604904632E-7</v>
      </c>
      <c r="I75" s="241">
        <f t="shared" si="9"/>
        <v>26</v>
      </c>
      <c r="J75" s="242">
        <f t="shared" si="10"/>
        <v>504.73402678344945</v>
      </c>
      <c r="K75" s="243"/>
      <c r="L75" s="244"/>
      <c r="M75" s="242">
        <f t="shared" si="5"/>
        <v>0</v>
      </c>
      <c r="N75" s="247">
        <f t="shared" si="6"/>
        <v>504.73402678344945</v>
      </c>
    </row>
    <row r="76" spans="1:14">
      <c r="B76" s="241">
        <f t="shared" si="13"/>
        <v>27</v>
      </c>
      <c r="C76" s="242">
        <f t="shared" si="2"/>
        <v>5248419570.9228516</v>
      </c>
      <c r="D76" s="243"/>
      <c r="E76" s="244"/>
      <c r="F76" s="245">
        <f t="shared" si="3"/>
        <v>0</v>
      </c>
      <c r="G76" s="246">
        <f t="shared" si="4"/>
        <v>5248419570.9228516</v>
      </c>
      <c r="H76" s="253">
        <f t="shared" si="14"/>
        <v>0</v>
      </c>
      <c r="I76" s="241">
        <f t="shared" si="9"/>
        <v>27</v>
      </c>
      <c r="J76" s="242">
        <f t="shared" si="10"/>
        <v>504.73402678344945</v>
      </c>
      <c r="K76" s="243"/>
      <c r="L76" s="244"/>
      <c r="M76" s="242">
        <f t="shared" si="5"/>
        <v>0</v>
      </c>
      <c r="N76" s="247">
        <f t="shared" si="6"/>
        <v>504.73402678344945</v>
      </c>
    </row>
    <row r="77" spans="1:14">
      <c r="B77" s="241">
        <f t="shared" si="13"/>
        <v>28</v>
      </c>
      <c r="C77" s="242">
        <f t="shared" si="2"/>
        <v>5248419570.9228516</v>
      </c>
      <c r="D77" s="243"/>
      <c r="E77" s="244"/>
      <c r="F77" s="245">
        <f t="shared" si="3"/>
        <v>0</v>
      </c>
      <c r="G77" s="246">
        <f t="shared" si="4"/>
        <v>5248419570.9228516</v>
      </c>
      <c r="H77" s="253">
        <f t="shared" si="14"/>
        <v>0</v>
      </c>
      <c r="I77" s="241">
        <f t="shared" si="9"/>
        <v>28</v>
      </c>
      <c r="J77" s="242">
        <f t="shared" si="10"/>
        <v>504.73402678344945</v>
      </c>
      <c r="K77" s="243"/>
      <c r="L77" s="244"/>
      <c r="M77" s="242">
        <f t="shared" si="5"/>
        <v>0</v>
      </c>
      <c r="N77" s="247">
        <f t="shared" si="6"/>
        <v>504.73402678344945</v>
      </c>
    </row>
    <row r="78" spans="1:14">
      <c r="B78" s="241">
        <f t="shared" si="13"/>
        <v>29</v>
      </c>
      <c r="C78" s="242">
        <f t="shared" si="2"/>
        <v>5248419570.9228516</v>
      </c>
      <c r="D78" s="243"/>
      <c r="E78" s="244"/>
      <c r="F78" s="245">
        <f t="shared" si="3"/>
        <v>0</v>
      </c>
      <c r="G78" s="246">
        <f t="shared" si="4"/>
        <v>5248419570.9228516</v>
      </c>
      <c r="H78" s="253">
        <f t="shared" si="14"/>
        <v>0</v>
      </c>
      <c r="I78" s="241">
        <f t="shared" si="9"/>
        <v>29</v>
      </c>
      <c r="J78" s="242">
        <f t="shared" si="10"/>
        <v>504.73402678344945</v>
      </c>
      <c r="K78" s="243"/>
      <c r="L78" s="244"/>
      <c r="M78" s="242">
        <f t="shared" si="5"/>
        <v>0</v>
      </c>
      <c r="N78" s="247">
        <f t="shared" si="6"/>
        <v>504.73402678344945</v>
      </c>
    </row>
    <row r="79" spans="1:14">
      <c r="B79" s="241">
        <f t="shared" si="13"/>
        <v>30</v>
      </c>
      <c r="C79" s="242">
        <f t="shared" si="2"/>
        <v>5248419570.9228516</v>
      </c>
      <c r="D79" s="243"/>
      <c r="E79" s="244"/>
      <c r="F79" s="245">
        <f t="shared" si="3"/>
        <v>0</v>
      </c>
      <c r="G79" s="246">
        <f t="shared" si="4"/>
        <v>5248419570.9228516</v>
      </c>
      <c r="H79" s="253">
        <f t="shared" si="14"/>
        <v>0</v>
      </c>
      <c r="I79" s="241">
        <f t="shared" si="9"/>
        <v>30</v>
      </c>
      <c r="J79" s="242">
        <f t="shared" si="10"/>
        <v>504.73402678344945</v>
      </c>
      <c r="K79" s="243"/>
      <c r="L79" s="244"/>
      <c r="M79" s="242">
        <f t="shared" si="5"/>
        <v>0</v>
      </c>
      <c r="N79" s="247">
        <f t="shared" si="6"/>
        <v>504.73402678344945</v>
      </c>
    </row>
    <row r="80" spans="1:14" ht="15.75" thickBot="1">
      <c r="B80" s="241"/>
      <c r="C80" s="254"/>
      <c r="D80" s="243"/>
      <c r="E80" s="244"/>
      <c r="F80" s="254"/>
      <c r="G80" s="246">
        <f t="shared" si="4"/>
        <v>0</v>
      </c>
      <c r="H80" s="253">
        <f t="shared" si="14"/>
        <v>0</v>
      </c>
      <c r="I80" s="241"/>
      <c r="J80" s="242">
        <f t="shared" si="10"/>
        <v>504.73402678344945</v>
      </c>
      <c r="K80" s="243"/>
      <c r="L80" s="244"/>
      <c r="M80" s="242">
        <f t="shared" si="5"/>
        <v>0</v>
      </c>
      <c r="N80" s="247">
        <f t="shared" si="6"/>
        <v>504.73402678344945</v>
      </c>
    </row>
    <row r="81" spans="2:14" ht="15.75" thickBot="1">
      <c r="B81" s="280" t="s">
        <v>497</v>
      </c>
      <c r="C81" s="281"/>
      <c r="D81" s="255">
        <f>SUM(D48:D80)</f>
        <v>22500000</v>
      </c>
      <c r="E81" s="256"/>
      <c r="F81" s="256"/>
      <c r="G81" s="257">
        <f>G78</f>
        <v>5248419570.9228516</v>
      </c>
      <c r="H81" s="253">
        <f t="shared" si="14"/>
        <v>0</v>
      </c>
      <c r="I81" s="280" t="s">
        <v>497</v>
      </c>
      <c r="J81" s="281"/>
      <c r="K81" s="258">
        <f>SUM(K48:K80)</f>
        <v>0</v>
      </c>
      <c r="L81" s="256"/>
      <c r="M81" s="255"/>
      <c r="N81" s="259">
        <f>N78</f>
        <v>504.73402678344945</v>
      </c>
    </row>
    <row r="82" spans="2:14" ht="15.75" thickBot="1">
      <c r="B82" s="260"/>
      <c r="C82" s="261" t="s">
        <v>498</v>
      </c>
      <c r="D82" s="262">
        <f>D81/10000000</f>
        <v>2.25</v>
      </c>
      <c r="E82" s="261"/>
      <c r="F82" s="261"/>
      <c r="G82" s="263">
        <f>G81/10000000</f>
        <v>524.84195709228516</v>
      </c>
      <c r="H82" s="253">
        <f t="shared" si="14"/>
        <v>0</v>
      </c>
      <c r="I82" s="260"/>
      <c r="J82" s="261" t="s">
        <v>498</v>
      </c>
      <c r="K82" s="262">
        <f>K81/10000000</f>
        <v>0</v>
      </c>
      <c r="L82" s="261"/>
      <c r="M82" s="261"/>
      <c r="N82" s="263">
        <f>N81/10000000</f>
        <v>5.0473402678344942E-5</v>
      </c>
    </row>
    <row r="83" spans="2:14">
      <c r="G83" s="264"/>
      <c r="H83" s="253">
        <f t="shared" si="14"/>
        <v>0</v>
      </c>
    </row>
    <row r="84" spans="2:14" ht="15.75" thickBot="1">
      <c r="C84" s="282" t="s">
        <v>499</v>
      </c>
      <c r="D84" s="282"/>
      <c r="E84" s="282"/>
      <c r="F84" s="282"/>
      <c r="H84" s="253">
        <f t="shared" si="14"/>
        <v>0</v>
      </c>
      <c r="J84" s="282" t="s">
        <v>499</v>
      </c>
      <c r="K84" s="282"/>
      <c r="L84" s="282"/>
      <c r="M84" s="282"/>
    </row>
    <row r="85" spans="2:14" ht="15.75" thickBot="1">
      <c r="H85" s="253">
        <f t="shared" si="14"/>
        <v>1.4999999999999999E-7</v>
      </c>
    </row>
    <row r="86" spans="2:14" ht="15.75" thickBot="1">
      <c r="B86" s="232"/>
      <c r="C86" s="275" t="s">
        <v>485</v>
      </c>
      <c r="D86" s="276"/>
      <c r="E86" s="233" t="s">
        <v>486</v>
      </c>
      <c r="F86" s="233"/>
      <c r="G86" s="234"/>
      <c r="H86" s="253">
        <f t="shared" si="14"/>
        <v>0</v>
      </c>
      <c r="I86" s="232"/>
      <c r="J86" s="275" t="s">
        <v>500</v>
      </c>
      <c r="K86" s="276"/>
      <c r="L86" s="233" t="s">
        <v>501</v>
      </c>
      <c r="M86" s="233"/>
      <c r="N86" s="234"/>
    </row>
    <row r="87" spans="2:14" ht="15.75" thickBot="1">
      <c r="B87" s="200"/>
      <c r="C87" s="197"/>
      <c r="D87" s="197"/>
      <c r="E87" s="197"/>
      <c r="F87" s="197"/>
      <c r="G87" s="198"/>
      <c r="H87" s="253" t="e">
        <f t="shared" si="14"/>
        <v>#DIV/0!</v>
      </c>
      <c r="I87" s="200"/>
      <c r="J87" s="197"/>
      <c r="K87" s="197"/>
      <c r="L87" s="197"/>
      <c r="M87" s="197"/>
      <c r="N87" s="198"/>
    </row>
    <row r="88" spans="2:14" ht="15.75" thickBot="1">
      <c r="B88" s="277" t="s">
        <v>502</v>
      </c>
      <c r="C88" s="278"/>
      <c r="D88" s="278"/>
      <c r="E88" s="278"/>
      <c r="F88" s="278"/>
      <c r="G88" s="279"/>
      <c r="H88" s="253">
        <f t="shared" si="14"/>
        <v>0</v>
      </c>
      <c r="I88" s="277" t="s">
        <v>502</v>
      </c>
      <c r="J88" s="278"/>
      <c r="K88" s="278"/>
      <c r="L88" s="278"/>
      <c r="M88" s="278"/>
      <c r="N88" s="279"/>
    </row>
    <row r="89" spans="2:14">
      <c r="B89" s="265"/>
      <c r="C89" s="266"/>
      <c r="D89" s="266"/>
      <c r="E89" s="266"/>
      <c r="F89" s="266"/>
      <c r="G89" s="267">
        <f>G124</f>
        <v>1413.1902480939689</v>
      </c>
      <c r="I89" s="265"/>
      <c r="J89" s="266"/>
      <c r="K89" s="266"/>
      <c r="L89" s="266"/>
      <c r="M89" s="266"/>
      <c r="N89" s="267">
        <f>N124</f>
        <v>285.94104308390024</v>
      </c>
    </row>
    <row r="90" spans="2:14" ht="30">
      <c r="B90" s="236" t="s">
        <v>14</v>
      </c>
      <c r="C90" s="237" t="s">
        <v>490</v>
      </c>
      <c r="D90" s="237" t="s">
        <v>503</v>
      </c>
      <c r="E90" s="237" t="s">
        <v>492</v>
      </c>
      <c r="F90" s="237" t="s">
        <v>504</v>
      </c>
      <c r="G90" s="238" t="s">
        <v>505</v>
      </c>
      <c r="I90" s="236" t="s">
        <v>14</v>
      </c>
      <c r="J90" s="237" t="s">
        <v>506</v>
      </c>
      <c r="K90" s="237" t="s">
        <v>507</v>
      </c>
      <c r="L90" s="237" t="s">
        <v>492</v>
      </c>
      <c r="M90" s="237" t="s">
        <v>504</v>
      </c>
      <c r="N90" s="238" t="s">
        <v>505</v>
      </c>
    </row>
    <row r="91" spans="2:14">
      <c r="B91" s="241">
        <v>0</v>
      </c>
      <c r="C91" s="254">
        <v>0</v>
      </c>
      <c r="D91" s="254">
        <v>100</v>
      </c>
      <c r="E91" s="268">
        <v>0.06</v>
      </c>
      <c r="F91" s="254">
        <f>((1/(1+E91) ) ^ (B91 + 1) ) * D91</f>
        <v>94.339622641509422</v>
      </c>
      <c r="G91" s="269">
        <f>F91+C91</f>
        <v>94.339622641509422</v>
      </c>
      <c r="I91" s="241">
        <v>0</v>
      </c>
      <c r="J91" s="254">
        <v>0</v>
      </c>
      <c r="K91" s="254">
        <v>100</v>
      </c>
      <c r="L91" s="268">
        <v>0</v>
      </c>
      <c r="M91" s="254">
        <f t="shared" ref="M91:M92" si="15">((1/(1+L91) ) ^ (I91) ) * K91</f>
        <v>100</v>
      </c>
      <c r="N91" s="269">
        <f>M91+J91</f>
        <v>100</v>
      </c>
    </row>
    <row r="92" spans="2:14">
      <c r="B92" s="241">
        <f>B91+1</f>
        <v>1</v>
      </c>
      <c r="C92" s="254">
        <f>G91</f>
        <v>94.339622641509422</v>
      </c>
      <c r="D92" s="254">
        <v>200</v>
      </c>
      <c r="E92" s="268">
        <v>0.06</v>
      </c>
      <c r="F92" s="254">
        <f>((1/(1+E92) ) ^ (B92 + 1) ) * D92</f>
        <v>177.99928800284795</v>
      </c>
      <c r="G92" s="269">
        <f>F92+C92</f>
        <v>272.33891064435738</v>
      </c>
      <c r="I92" s="241">
        <f>I91+1</f>
        <v>1</v>
      </c>
      <c r="J92" s="254">
        <f>N91</f>
        <v>100</v>
      </c>
      <c r="K92" s="254">
        <v>100</v>
      </c>
      <c r="L92" s="268">
        <v>0.05</v>
      </c>
      <c r="M92" s="254">
        <f t="shared" si="15"/>
        <v>95.238095238095227</v>
      </c>
      <c r="N92" s="269">
        <f>M92+J92</f>
        <v>195.23809523809524</v>
      </c>
    </row>
    <row r="93" spans="2:14">
      <c r="B93" s="241">
        <f t="shared" ref="B93:B121" si="16">B92+1</f>
        <v>2</v>
      </c>
      <c r="C93" s="254">
        <f t="shared" ref="C93:C121" si="17">G92</f>
        <v>272.33891064435738</v>
      </c>
      <c r="D93" s="254">
        <v>200</v>
      </c>
      <c r="E93" s="268">
        <v>0.06</v>
      </c>
      <c r="F93" s="254">
        <f t="shared" ref="F93:F121" si="18">((1/(1+E93) ) ^ (B93 + 1) ) * D93</f>
        <v>167.9238566064603</v>
      </c>
      <c r="G93" s="269">
        <f t="shared" ref="G93:G121" si="19">F93+C93</f>
        <v>440.26276725081766</v>
      </c>
      <c r="I93" s="241">
        <f t="shared" ref="I93:I121" si="20">I92+1</f>
        <v>2</v>
      </c>
      <c r="J93" s="254">
        <f t="shared" ref="J93:J121" si="21">N92</f>
        <v>195.23809523809524</v>
      </c>
      <c r="K93" s="254">
        <v>100</v>
      </c>
      <c r="L93" s="268">
        <v>0.05</v>
      </c>
      <c r="M93" s="254">
        <f>((1/(1+L93) ) ^ (I93) ) * K93</f>
        <v>90.702947845804985</v>
      </c>
      <c r="N93" s="269">
        <f t="shared" ref="N93:N121" si="22">M93+J93</f>
        <v>285.94104308390024</v>
      </c>
    </row>
    <row r="94" spans="2:14">
      <c r="B94" s="241">
        <f t="shared" si="16"/>
        <v>3</v>
      </c>
      <c r="C94" s="254">
        <f t="shared" si="17"/>
        <v>440.26276725081766</v>
      </c>
      <c r="D94" s="254">
        <v>200</v>
      </c>
      <c r="E94" s="268">
        <v>0.06</v>
      </c>
      <c r="F94" s="254">
        <f t="shared" si="18"/>
        <v>158.41873264760403</v>
      </c>
      <c r="G94" s="269">
        <f t="shared" si="19"/>
        <v>598.68149989842163</v>
      </c>
      <c r="I94" s="241">
        <f t="shared" si="20"/>
        <v>3</v>
      </c>
      <c r="J94" s="254">
        <f t="shared" si="21"/>
        <v>285.94104308390024</v>
      </c>
      <c r="K94" s="254"/>
      <c r="L94" s="268">
        <v>0.05</v>
      </c>
      <c r="M94" s="254">
        <f t="shared" ref="M94:M121" si="23">((1/(1+L94) ) ^ (I94) ) * K94</f>
        <v>0</v>
      </c>
      <c r="N94" s="269">
        <f t="shared" si="22"/>
        <v>285.94104308390024</v>
      </c>
    </row>
    <row r="95" spans="2:14">
      <c r="B95" s="241">
        <f t="shared" si="16"/>
        <v>4</v>
      </c>
      <c r="C95" s="254">
        <f t="shared" si="17"/>
        <v>598.68149989842163</v>
      </c>
      <c r="D95" s="254">
        <v>200</v>
      </c>
      <c r="E95" s="268">
        <v>0.06</v>
      </c>
      <c r="F95" s="254">
        <f t="shared" si="18"/>
        <v>149.45163457321135</v>
      </c>
      <c r="G95" s="269">
        <f t="shared" si="19"/>
        <v>748.13313447163296</v>
      </c>
      <c r="I95" s="241">
        <f t="shared" si="20"/>
        <v>4</v>
      </c>
      <c r="J95" s="254">
        <f t="shared" si="21"/>
        <v>285.94104308390024</v>
      </c>
      <c r="K95" s="254"/>
      <c r="L95" s="268">
        <v>0.05</v>
      </c>
      <c r="M95" s="254">
        <f t="shared" si="23"/>
        <v>0</v>
      </c>
      <c r="N95" s="269">
        <f t="shared" si="22"/>
        <v>285.94104308390024</v>
      </c>
    </row>
    <row r="96" spans="2:14">
      <c r="B96" s="241">
        <f t="shared" si="16"/>
        <v>5</v>
      </c>
      <c r="C96" s="254">
        <f t="shared" si="17"/>
        <v>748.13313447163296</v>
      </c>
      <c r="D96" s="254">
        <v>0</v>
      </c>
      <c r="E96" s="268">
        <v>0.06</v>
      </c>
      <c r="F96" s="254">
        <f t="shared" si="18"/>
        <v>0</v>
      </c>
      <c r="G96" s="269">
        <f t="shared" si="19"/>
        <v>748.13313447163296</v>
      </c>
      <c r="I96" s="241">
        <f t="shared" si="20"/>
        <v>5</v>
      </c>
      <c r="J96" s="254">
        <f t="shared" si="21"/>
        <v>285.94104308390024</v>
      </c>
      <c r="K96" s="254"/>
      <c r="L96" s="268">
        <v>0.05</v>
      </c>
      <c r="M96" s="254">
        <f t="shared" si="23"/>
        <v>0</v>
      </c>
      <c r="N96" s="269">
        <f t="shared" si="22"/>
        <v>285.94104308390024</v>
      </c>
    </row>
    <row r="97" spans="2:14">
      <c r="B97" s="241">
        <f t="shared" si="16"/>
        <v>6</v>
      </c>
      <c r="C97" s="254">
        <f t="shared" si="17"/>
        <v>748.13313447163296</v>
      </c>
      <c r="D97" s="254">
        <v>1000</v>
      </c>
      <c r="E97" s="268">
        <v>0.06</v>
      </c>
      <c r="F97" s="254">
        <f t="shared" si="18"/>
        <v>665.05711362233581</v>
      </c>
      <c r="G97" s="269">
        <f t="shared" si="19"/>
        <v>1413.1902480939689</v>
      </c>
      <c r="I97" s="241">
        <f t="shared" si="20"/>
        <v>6</v>
      </c>
      <c r="J97" s="254">
        <f t="shared" si="21"/>
        <v>285.94104308390024</v>
      </c>
      <c r="K97" s="254"/>
      <c r="L97" s="268">
        <v>0.05</v>
      </c>
      <c r="M97" s="254">
        <f t="shared" si="23"/>
        <v>0</v>
      </c>
      <c r="N97" s="269">
        <f t="shared" si="22"/>
        <v>285.94104308390024</v>
      </c>
    </row>
    <row r="98" spans="2:14">
      <c r="B98" s="241">
        <f t="shared" si="16"/>
        <v>7</v>
      </c>
      <c r="C98" s="254">
        <f t="shared" si="17"/>
        <v>1413.1902480939689</v>
      </c>
      <c r="D98" s="254"/>
      <c r="E98" s="268">
        <v>0.05</v>
      </c>
      <c r="F98" s="254">
        <f t="shared" si="18"/>
        <v>0</v>
      </c>
      <c r="G98" s="269">
        <f t="shared" si="19"/>
        <v>1413.1902480939689</v>
      </c>
      <c r="I98" s="241">
        <f t="shared" si="20"/>
        <v>7</v>
      </c>
      <c r="J98" s="254">
        <f t="shared" si="21"/>
        <v>285.94104308390024</v>
      </c>
      <c r="K98" s="254"/>
      <c r="L98" s="268">
        <v>0.05</v>
      </c>
      <c r="M98" s="254">
        <f t="shared" si="23"/>
        <v>0</v>
      </c>
      <c r="N98" s="269">
        <f t="shared" si="22"/>
        <v>285.94104308390024</v>
      </c>
    </row>
    <row r="99" spans="2:14">
      <c r="B99" s="241">
        <f t="shared" si="16"/>
        <v>8</v>
      </c>
      <c r="C99" s="254">
        <f t="shared" si="17"/>
        <v>1413.1902480939689</v>
      </c>
      <c r="D99" s="254"/>
      <c r="E99" s="268">
        <v>0.05</v>
      </c>
      <c r="F99" s="254">
        <f t="shared" si="18"/>
        <v>0</v>
      </c>
      <c r="G99" s="269">
        <f t="shared" si="19"/>
        <v>1413.1902480939689</v>
      </c>
      <c r="I99" s="241">
        <f t="shared" si="20"/>
        <v>8</v>
      </c>
      <c r="J99" s="254">
        <f t="shared" si="21"/>
        <v>285.94104308390024</v>
      </c>
      <c r="K99" s="254"/>
      <c r="L99" s="268">
        <v>0.05</v>
      </c>
      <c r="M99" s="254">
        <f t="shared" si="23"/>
        <v>0</v>
      </c>
      <c r="N99" s="269">
        <f t="shared" si="22"/>
        <v>285.94104308390024</v>
      </c>
    </row>
    <row r="100" spans="2:14">
      <c r="B100" s="241">
        <f t="shared" si="16"/>
        <v>9</v>
      </c>
      <c r="C100" s="254">
        <f t="shared" si="17"/>
        <v>1413.1902480939689</v>
      </c>
      <c r="D100" s="254"/>
      <c r="E100" s="268">
        <v>0.05</v>
      </c>
      <c r="F100" s="254">
        <f t="shared" si="18"/>
        <v>0</v>
      </c>
      <c r="G100" s="269">
        <f t="shared" si="19"/>
        <v>1413.1902480939689</v>
      </c>
      <c r="I100" s="241">
        <f t="shared" si="20"/>
        <v>9</v>
      </c>
      <c r="J100" s="254">
        <f t="shared" si="21"/>
        <v>285.94104308390024</v>
      </c>
      <c r="K100" s="254"/>
      <c r="L100" s="268">
        <v>0.05</v>
      </c>
      <c r="M100" s="254">
        <f t="shared" si="23"/>
        <v>0</v>
      </c>
      <c r="N100" s="269">
        <f t="shared" si="22"/>
        <v>285.94104308390024</v>
      </c>
    </row>
    <row r="101" spans="2:14">
      <c r="B101" s="241">
        <f t="shared" si="16"/>
        <v>10</v>
      </c>
      <c r="C101" s="254">
        <f t="shared" si="17"/>
        <v>1413.1902480939689</v>
      </c>
      <c r="D101" s="254"/>
      <c r="E101" s="268">
        <v>0.05</v>
      </c>
      <c r="F101" s="254">
        <f t="shared" si="18"/>
        <v>0</v>
      </c>
      <c r="G101" s="269">
        <f t="shared" si="19"/>
        <v>1413.1902480939689</v>
      </c>
      <c r="I101" s="241">
        <f t="shared" si="20"/>
        <v>10</v>
      </c>
      <c r="J101" s="254">
        <f t="shared" si="21"/>
        <v>285.94104308390024</v>
      </c>
      <c r="K101" s="254"/>
      <c r="L101" s="268">
        <v>0.05</v>
      </c>
      <c r="M101" s="254">
        <f t="shared" si="23"/>
        <v>0</v>
      </c>
      <c r="N101" s="269">
        <f t="shared" si="22"/>
        <v>285.94104308390024</v>
      </c>
    </row>
    <row r="102" spans="2:14">
      <c r="B102" s="241">
        <f t="shared" si="16"/>
        <v>11</v>
      </c>
      <c r="C102" s="254">
        <f t="shared" si="17"/>
        <v>1413.1902480939689</v>
      </c>
      <c r="D102" s="254"/>
      <c r="E102" s="268">
        <v>0.05</v>
      </c>
      <c r="F102" s="254">
        <f t="shared" si="18"/>
        <v>0</v>
      </c>
      <c r="G102" s="269">
        <f t="shared" si="19"/>
        <v>1413.1902480939689</v>
      </c>
      <c r="I102" s="241">
        <f t="shared" si="20"/>
        <v>11</v>
      </c>
      <c r="J102" s="254">
        <f t="shared" si="21"/>
        <v>285.94104308390024</v>
      </c>
      <c r="K102" s="254"/>
      <c r="L102" s="268">
        <v>0.05</v>
      </c>
      <c r="M102" s="254">
        <f t="shared" si="23"/>
        <v>0</v>
      </c>
      <c r="N102" s="269">
        <f t="shared" si="22"/>
        <v>285.94104308390024</v>
      </c>
    </row>
    <row r="103" spans="2:14">
      <c r="B103" s="241">
        <f t="shared" si="16"/>
        <v>12</v>
      </c>
      <c r="C103" s="254">
        <f t="shared" si="17"/>
        <v>1413.1902480939689</v>
      </c>
      <c r="D103" s="254"/>
      <c r="E103" s="268">
        <v>0.05</v>
      </c>
      <c r="F103" s="254">
        <f t="shared" si="18"/>
        <v>0</v>
      </c>
      <c r="G103" s="269">
        <f t="shared" si="19"/>
        <v>1413.1902480939689</v>
      </c>
      <c r="I103" s="241">
        <f t="shared" si="20"/>
        <v>12</v>
      </c>
      <c r="J103" s="254">
        <f t="shared" si="21"/>
        <v>285.94104308390024</v>
      </c>
      <c r="K103" s="254"/>
      <c r="L103" s="268">
        <v>0.05</v>
      </c>
      <c r="M103" s="254">
        <f t="shared" si="23"/>
        <v>0</v>
      </c>
      <c r="N103" s="269">
        <f t="shared" si="22"/>
        <v>285.94104308390024</v>
      </c>
    </row>
    <row r="104" spans="2:14">
      <c r="B104" s="241">
        <f t="shared" si="16"/>
        <v>13</v>
      </c>
      <c r="C104" s="254">
        <f t="shared" si="17"/>
        <v>1413.1902480939689</v>
      </c>
      <c r="D104" s="254"/>
      <c r="E104" s="268">
        <v>0.05</v>
      </c>
      <c r="F104" s="254">
        <f t="shared" si="18"/>
        <v>0</v>
      </c>
      <c r="G104" s="269">
        <f t="shared" si="19"/>
        <v>1413.1902480939689</v>
      </c>
      <c r="I104" s="241">
        <f t="shared" si="20"/>
        <v>13</v>
      </c>
      <c r="J104" s="254">
        <f t="shared" si="21"/>
        <v>285.94104308390024</v>
      </c>
      <c r="K104" s="254"/>
      <c r="L104" s="268">
        <v>0.05</v>
      </c>
      <c r="M104" s="254">
        <f t="shared" si="23"/>
        <v>0</v>
      </c>
      <c r="N104" s="269">
        <f t="shared" si="22"/>
        <v>285.94104308390024</v>
      </c>
    </row>
    <row r="105" spans="2:14">
      <c r="B105" s="241">
        <f t="shared" si="16"/>
        <v>14</v>
      </c>
      <c r="C105" s="254">
        <f t="shared" si="17"/>
        <v>1413.1902480939689</v>
      </c>
      <c r="D105" s="254"/>
      <c r="E105" s="268">
        <v>0.05</v>
      </c>
      <c r="F105" s="254">
        <f t="shared" si="18"/>
        <v>0</v>
      </c>
      <c r="G105" s="269">
        <f t="shared" si="19"/>
        <v>1413.1902480939689</v>
      </c>
      <c r="I105" s="241">
        <f t="shared" si="20"/>
        <v>14</v>
      </c>
      <c r="J105" s="254">
        <f t="shared" si="21"/>
        <v>285.94104308390024</v>
      </c>
      <c r="K105" s="254"/>
      <c r="L105" s="268">
        <v>0.05</v>
      </c>
      <c r="M105" s="254">
        <f t="shared" si="23"/>
        <v>0</v>
      </c>
      <c r="N105" s="269">
        <f t="shared" si="22"/>
        <v>285.94104308390024</v>
      </c>
    </row>
    <row r="106" spans="2:14">
      <c r="B106" s="241">
        <f t="shared" si="16"/>
        <v>15</v>
      </c>
      <c r="C106" s="254">
        <f t="shared" si="17"/>
        <v>1413.1902480939689</v>
      </c>
      <c r="D106" s="254"/>
      <c r="E106" s="268">
        <v>0.05</v>
      </c>
      <c r="F106" s="254">
        <f t="shared" si="18"/>
        <v>0</v>
      </c>
      <c r="G106" s="269">
        <f t="shared" si="19"/>
        <v>1413.1902480939689</v>
      </c>
      <c r="I106" s="241">
        <f t="shared" si="20"/>
        <v>15</v>
      </c>
      <c r="J106" s="254">
        <f t="shared" si="21"/>
        <v>285.94104308390024</v>
      </c>
      <c r="K106" s="254"/>
      <c r="L106" s="268">
        <v>0.05</v>
      </c>
      <c r="M106" s="254">
        <f t="shared" si="23"/>
        <v>0</v>
      </c>
      <c r="N106" s="269">
        <f t="shared" si="22"/>
        <v>285.94104308390024</v>
      </c>
    </row>
    <row r="107" spans="2:14">
      <c r="B107" s="241">
        <f t="shared" si="16"/>
        <v>16</v>
      </c>
      <c r="C107" s="254">
        <f t="shared" si="17"/>
        <v>1413.1902480939689</v>
      </c>
      <c r="D107" s="254"/>
      <c r="E107" s="268">
        <v>0.05</v>
      </c>
      <c r="F107" s="254">
        <f t="shared" si="18"/>
        <v>0</v>
      </c>
      <c r="G107" s="269">
        <f t="shared" si="19"/>
        <v>1413.1902480939689</v>
      </c>
      <c r="I107" s="241">
        <f t="shared" si="20"/>
        <v>16</v>
      </c>
      <c r="J107" s="254">
        <f t="shared" si="21"/>
        <v>285.94104308390024</v>
      </c>
      <c r="K107" s="254"/>
      <c r="L107" s="268">
        <v>0.05</v>
      </c>
      <c r="M107" s="254">
        <f t="shared" si="23"/>
        <v>0</v>
      </c>
      <c r="N107" s="269">
        <f t="shared" si="22"/>
        <v>285.94104308390024</v>
      </c>
    </row>
    <row r="108" spans="2:14">
      <c r="B108" s="241">
        <f t="shared" si="16"/>
        <v>17</v>
      </c>
      <c r="C108" s="254">
        <f t="shared" si="17"/>
        <v>1413.1902480939689</v>
      </c>
      <c r="D108" s="254"/>
      <c r="E108" s="268">
        <v>0.05</v>
      </c>
      <c r="F108" s="254">
        <f t="shared" si="18"/>
        <v>0</v>
      </c>
      <c r="G108" s="269">
        <f t="shared" si="19"/>
        <v>1413.1902480939689</v>
      </c>
      <c r="I108" s="241">
        <f t="shared" si="20"/>
        <v>17</v>
      </c>
      <c r="J108" s="254">
        <f t="shared" si="21"/>
        <v>285.94104308390024</v>
      </c>
      <c r="K108" s="254"/>
      <c r="L108" s="268">
        <v>0.05</v>
      </c>
      <c r="M108" s="254">
        <f t="shared" si="23"/>
        <v>0</v>
      </c>
      <c r="N108" s="269">
        <f t="shared" si="22"/>
        <v>285.94104308390024</v>
      </c>
    </row>
    <row r="109" spans="2:14">
      <c r="B109" s="241">
        <f t="shared" si="16"/>
        <v>18</v>
      </c>
      <c r="C109" s="254">
        <f t="shared" si="17"/>
        <v>1413.1902480939689</v>
      </c>
      <c r="D109" s="254"/>
      <c r="E109" s="268">
        <v>0.05</v>
      </c>
      <c r="F109" s="254">
        <f t="shared" si="18"/>
        <v>0</v>
      </c>
      <c r="G109" s="269">
        <f t="shared" si="19"/>
        <v>1413.1902480939689</v>
      </c>
      <c r="I109" s="241">
        <f t="shared" si="20"/>
        <v>18</v>
      </c>
      <c r="J109" s="254">
        <f t="shared" si="21"/>
        <v>285.94104308390024</v>
      </c>
      <c r="K109" s="254"/>
      <c r="L109" s="268">
        <v>0.05</v>
      </c>
      <c r="M109" s="254">
        <f t="shared" si="23"/>
        <v>0</v>
      </c>
      <c r="N109" s="269">
        <f t="shared" si="22"/>
        <v>285.94104308390024</v>
      </c>
    </row>
    <row r="110" spans="2:14">
      <c r="B110" s="241">
        <f t="shared" si="16"/>
        <v>19</v>
      </c>
      <c r="C110" s="254">
        <f t="shared" si="17"/>
        <v>1413.1902480939689</v>
      </c>
      <c r="D110" s="254"/>
      <c r="E110" s="268">
        <v>0.05</v>
      </c>
      <c r="F110" s="254">
        <f t="shared" si="18"/>
        <v>0</v>
      </c>
      <c r="G110" s="269">
        <f t="shared" si="19"/>
        <v>1413.1902480939689</v>
      </c>
      <c r="I110" s="241">
        <f t="shared" si="20"/>
        <v>19</v>
      </c>
      <c r="J110" s="254">
        <f t="shared" si="21"/>
        <v>285.94104308390024</v>
      </c>
      <c r="K110" s="254"/>
      <c r="L110" s="268">
        <v>0.05</v>
      </c>
      <c r="M110" s="254">
        <f t="shared" si="23"/>
        <v>0</v>
      </c>
      <c r="N110" s="269">
        <f t="shared" si="22"/>
        <v>285.94104308390024</v>
      </c>
    </row>
    <row r="111" spans="2:14">
      <c r="B111" s="241">
        <f t="shared" si="16"/>
        <v>20</v>
      </c>
      <c r="C111" s="254">
        <f t="shared" si="17"/>
        <v>1413.1902480939689</v>
      </c>
      <c r="D111" s="254"/>
      <c r="E111" s="268">
        <v>0.05</v>
      </c>
      <c r="F111" s="254">
        <f t="shared" si="18"/>
        <v>0</v>
      </c>
      <c r="G111" s="269">
        <f t="shared" si="19"/>
        <v>1413.1902480939689</v>
      </c>
      <c r="I111" s="241">
        <f t="shared" si="20"/>
        <v>20</v>
      </c>
      <c r="J111" s="254">
        <f t="shared" si="21"/>
        <v>285.94104308390024</v>
      </c>
      <c r="K111" s="254"/>
      <c r="L111" s="268">
        <v>0.05</v>
      </c>
      <c r="M111" s="254">
        <f t="shared" si="23"/>
        <v>0</v>
      </c>
      <c r="N111" s="269">
        <f t="shared" si="22"/>
        <v>285.94104308390024</v>
      </c>
    </row>
    <row r="112" spans="2:14">
      <c r="B112" s="241">
        <f t="shared" si="16"/>
        <v>21</v>
      </c>
      <c r="C112" s="254">
        <f t="shared" si="17"/>
        <v>1413.1902480939689</v>
      </c>
      <c r="D112" s="254"/>
      <c r="E112" s="268">
        <v>0.05</v>
      </c>
      <c r="F112" s="254">
        <f t="shared" si="18"/>
        <v>0</v>
      </c>
      <c r="G112" s="269">
        <f t="shared" si="19"/>
        <v>1413.1902480939689</v>
      </c>
      <c r="I112" s="241">
        <f t="shared" si="20"/>
        <v>21</v>
      </c>
      <c r="J112" s="254">
        <f t="shared" si="21"/>
        <v>285.94104308390024</v>
      </c>
      <c r="K112" s="254"/>
      <c r="L112" s="268">
        <v>0.05</v>
      </c>
      <c r="M112" s="254">
        <f t="shared" si="23"/>
        <v>0</v>
      </c>
      <c r="N112" s="269">
        <f t="shared" si="22"/>
        <v>285.94104308390024</v>
      </c>
    </row>
    <row r="113" spans="2:14">
      <c r="B113" s="241">
        <f t="shared" si="16"/>
        <v>22</v>
      </c>
      <c r="C113" s="254">
        <f t="shared" si="17"/>
        <v>1413.1902480939689</v>
      </c>
      <c r="D113" s="254"/>
      <c r="E113" s="268">
        <v>0.05</v>
      </c>
      <c r="F113" s="254">
        <f t="shared" si="18"/>
        <v>0</v>
      </c>
      <c r="G113" s="269">
        <f t="shared" si="19"/>
        <v>1413.1902480939689</v>
      </c>
      <c r="I113" s="241">
        <f t="shared" si="20"/>
        <v>22</v>
      </c>
      <c r="J113" s="254">
        <f t="shared" si="21"/>
        <v>285.94104308390024</v>
      </c>
      <c r="K113" s="254"/>
      <c r="L113" s="268">
        <v>0.05</v>
      </c>
      <c r="M113" s="254">
        <f t="shared" si="23"/>
        <v>0</v>
      </c>
      <c r="N113" s="269">
        <f t="shared" si="22"/>
        <v>285.94104308390024</v>
      </c>
    </row>
    <row r="114" spans="2:14">
      <c r="B114" s="241">
        <f t="shared" si="16"/>
        <v>23</v>
      </c>
      <c r="C114" s="254">
        <f t="shared" si="17"/>
        <v>1413.1902480939689</v>
      </c>
      <c r="D114" s="254"/>
      <c r="E114" s="268">
        <v>0.05</v>
      </c>
      <c r="F114" s="254">
        <f t="shared" si="18"/>
        <v>0</v>
      </c>
      <c r="G114" s="269">
        <f t="shared" si="19"/>
        <v>1413.1902480939689</v>
      </c>
      <c r="I114" s="241">
        <f t="shared" si="20"/>
        <v>23</v>
      </c>
      <c r="J114" s="254">
        <f t="shared" si="21"/>
        <v>285.94104308390024</v>
      </c>
      <c r="K114" s="254"/>
      <c r="L114" s="268">
        <v>0.05</v>
      </c>
      <c r="M114" s="254">
        <f t="shared" si="23"/>
        <v>0</v>
      </c>
      <c r="N114" s="269">
        <f t="shared" si="22"/>
        <v>285.94104308390024</v>
      </c>
    </row>
    <row r="115" spans="2:14">
      <c r="B115" s="241">
        <f t="shared" si="16"/>
        <v>24</v>
      </c>
      <c r="C115" s="254">
        <f t="shared" si="17"/>
        <v>1413.1902480939689</v>
      </c>
      <c r="D115" s="254"/>
      <c r="E115" s="268">
        <v>0.05</v>
      </c>
      <c r="F115" s="254">
        <f t="shared" si="18"/>
        <v>0</v>
      </c>
      <c r="G115" s="269">
        <f t="shared" si="19"/>
        <v>1413.1902480939689</v>
      </c>
      <c r="I115" s="241">
        <f t="shared" si="20"/>
        <v>24</v>
      </c>
      <c r="J115" s="254">
        <f t="shared" si="21"/>
        <v>285.94104308390024</v>
      </c>
      <c r="K115" s="254"/>
      <c r="L115" s="268">
        <v>0.05</v>
      </c>
      <c r="M115" s="254">
        <f t="shared" si="23"/>
        <v>0</v>
      </c>
      <c r="N115" s="269">
        <f t="shared" si="22"/>
        <v>285.94104308390024</v>
      </c>
    </row>
    <row r="116" spans="2:14">
      <c r="B116" s="241">
        <f t="shared" si="16"/>
        <v>25</v>
      </c>
      <c r="C116" s="254">
        <f t="shared" si="17"/>
        <v>1413.1902480939689</v>
      </c>
      <c r="D116" s="254"/>
      <c r="E116" s="268">
        <v>0.05</v>
      </c>
      <c r="F116" s="254">
        <f t="shared" si="18"/>
        <v>0</v>
      </c>
      <c r="G116" s="269">
        <f t="shared" si="19"/>
        <v>1413.1902480939689</v>
      </c>
      <c r="I116" s="241">
        <f t="shared" si="20"/>
        <v>25</v>
      </c>
      <c r="J116" s="254">
        <f t="shared" si="21"/>
        <v>285.94104308390024</v>
      </c>
      <c r="K116" s="254"/>
      <c r="L116" s="268">
        <v>0.05</v>
      </c>
      <c r="M116" s="254">
        <f t="shared" si="23"/>
        <v>0</v>
      </c>
      <c r="N116" s="269">
        <f t="shared" si="22"/>
        <v>285.94104308390024</v>
      </c>
    </row>
    <row r="117" spans="2:14">
      <c r="B117" s="241">
        <f t="shared" si="16"/>
        <v>26</v>
      </c>
      <c r="C117" s="254">
        <f t="shared" si="17"/>
        <v>1413.1902480939689</v>
      </c>
      <c r="D117" s="254"/>
      <c r="E117" s="268">
        <v>0.05</v>
      </c>
      <c r="F117" s="254">
        <f t="shared" si="18"/>
        <v>0</v>
      </c>
      <c r="G117" s="269">
        <f t="shared" si="19"/>
        <v>1413.1902480939689</v>
      </c>
      <c r="I117" s="241">
        <f t="shared" si="20"/>
        <v>26</v>
      </c>
      <c r="J117" s="254">
        <f t="shared" si="21"/>
        <v>285.94104308390024</v>
      </c>
      <c r="K117" s="254"/>
      <c r="L117" s="268">
        <v>0.05</v>
      </c>
      <c r="M117" s="254">
        <f t="shared" si="23"/>
        <v>0</v>
      </c>
      <c r="N117" s="269">
        <f t="shared" si="22"/>
        <v>285.94104308390024</v>
      </c>
    </row>
    <row r="118" spans="2:14">
      <c r="B118" s="241">
        <f t="shared" si="16"/>
        <v>27</v>
      </c>
      <c r="C118" s="254">
        <f t="shared" si="17"/>
        <v>1413.1902480939689</v>
      </c>
      <c r="D118" s="254"/>
      <c r="E118" s="268">
        <v>0.05</v>
      </c>
      <c r="F118" s="254">
        <f t="shared" si="18"/>
        <v>0</v>
      </c>
      <c r="G118" s="269">
        <f t="shared" si="19"/>
        <v>1413.1902480939689</v>
      </c>
      <c r="I118" s="241">
        <f t="shared" si="20"/>
        <v>27</v>
      </c>
      <c r="J118" s="254">
        <f t="shared" si="21"/>
        <v>285.94104308390024</v>
      </c>
      <c r="K118" s="254"/>
      <c r="L118" s="268">
        <v>0.05</v>
      </c>
      <c r="M118" s="254">
        <f t="shared" si="23"/>
        <v>0</v>
      </c>
      <c r="N118" s="269">
        <f t="shared" si="22"/>
        <v>285.94104308390024</v>
      </c>
    </row>
    <row r="119" spans="2:14">
      <c r="B119" s="241">
        <f t="shared" si="16"/>
        <v>28</v>
      </c>
      <c r="C119" s="254">
        <f t="shared" si="17"/>
        <v>1413.1902480939689</v>
      </c>
      <c r="D119" s="254"/>
      <c r="E119" s="268">
        <v>0.05</v>
      </c>
      <c r="F119" s="254">
        <f t="shared" si="18"/>
        <v>0</v>
      </c>
      <c r="G119" s="269">
        <f t="shared" si="19"/>
        <v>1413.1902480939689</v>
      </c>
      <c r="I119" s="241">
        <f t="shared" si="20"/>
        <v>28</v>
      </c>
      <c r="J119" s="254">
        <f t="shared" si="21"/>
        <v>285.94104308390024</v>
      </c>
      <c r="K119" s="254"/>
      <c r="L119" s="268">
        <v>0.05</v>
      </c>
      <c r="M119" s="254">
        <f t="shared" si="23"/>
        <v>0</v>
      </c>
      <c r="N119" s="269">
        <f t="shared" si="22"/>
        <v>285.94104308390024</v>
      </c>
    </row>
    <row r="120" spans="2:14">
      <c r="B120" s="241">
        <f t="shared" si="16"/>
        <v>29</v>
      </c>
      <c r="C120" s="254">
        <f t="shared" si="17"/>
        <v>1413.1902480939689</v>
      </c>
      <c r="D120" s="254"/>
      <c r="E120" s="268">
        <v>0.05</v>
      </c>
      <c r="F120" s="254">
        <f t="shared" si="18"/>
        <v>0</v>
      </c>
      <c r="G120" s="269">
        <f t="shared" si="19"/>
        <v>1413.1902480939689</v>
      </c>
      <c r="I120" s="241">
        <f t="shared" si="20"/>
        <v>29</v>
      </c>
      <c r="J120" s="254">
        <f t="shared" si="21"/>
        <v>285.94104308390024</v>
      </c>
      <c r="K120" s="254"/>
      <c r="L120" s="268">
        <v>0.05</v>
      </c>
      <c r="M120" s="254">
        <f t="shared" si="23"/>
        <v>0</v>
      </c>
      <c r="N120" s="269">
        <f t="shared" si="22"/>
        <v>285.94104308390024</v>
      </c>
    </row>
    <row r="121" spans="2:14">
      <c r="B121" s="241">
        <f t="shared" si="16"/>
        <v>30</v>
      </c>
      <c r="C121" s="254">
        <f t="shared" si="17"/>
        <v>1413.1902480939689</v>
      </c>
      <c r="D121" s="254"/>
      <c r="E121" s="268">
        <v>0.05</v>
      </c>
      <c r="F121" s="254">
        <f t="shared" si="18"/>
        <v>0</v>
      </c>
      <c r="G121" s="269">
        <f t="shared" si="19"/>
        <v>1413.1902480939689</v>
      </c>
      <c r="I121" s="241">
        <f t="shared" si="20"/>
        <v>30</v>
      </c>
      <c r="J121" s="254">
        <f t="shared" si="21"/>
        <v>285.94104308390024</v>
      </c>
      <c r="K121" s="254"/>
      <c r="L121" s="268">
        <v>0.05</v>
      </c>
      <c r="M121" s="254">
        <f t="shared" si="23"/>
        <v>0</v>
      </c>
      <c r="N121" s="269">
        <f t="shared" si="22"/>
        <v>285.94104308390024</v>
      </c>
    </row>
    <row r="122" spans="2:14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>
      <c r="B124" s="280" t="s">
        <v>508</v>
      </c>
      <c r="C124" s="281"/>
      <c r="D124" s="258">
        <f>SUM(D91:D123)</f>
        <v>1900</v>
      </c>
      <c r="E124" s="256"/>
      <c r="F124" s="256"/>
      <c r="G124" s="270">
        <f>G121</f>
        <v>1413.1902480939689</v>
      </c>
      <c r="I124" s="280" t="s">
        <v>508</v>
      </c>
      <c r="J124" s="281"/>
      <c r="K124" s="258">
        <f>SUM(K91:K123)</f>
        <v>300</v>
      </c>
      <c r="L124" s="256"/>
      <c r="M124" s="256"/>
      <c r="N124" s="270">
        <f>N121</f>
        <v>285.94104308390024</v>
      </c>
    </row>
    <row r="125" spans="2:14" ht="15.75" thickBot="1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K199" activePane="bottomRight" state="frozen"/>
      <selection pane="topRight" activeCell="C1" sqref="C1"/>
      <selection pane="bottomLeft" activeCell="A5" sqref="A5"/>
      <selection pane="bottomRight" activeCell="U234" sqref="U234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0.12</v>
      </c>
      <c r="I1" s="89" t="s">
        <v>210</v>
      </c>
      <c r="K1" s="108">
        <v>2004</v>
      </c>
      <c r="M1" s="89" t="s">
        <v>272</v>
      </c>
      <c r="O1" s="140">
        <v>0.05</v>
      </c>
      <c r="Q1" s="89" t="s">
        <v>343</v>
      </c>
      <c r="S1" s="140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0">
        <v>0.08</v>
      </c>
      <c r="Q2" s="89" t="s">
        <v>409</v>
      </c>
      <c r="S2" s="140">
        <v>0.12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241</v>
      </c>
      <c r="AJ2" s="306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7" t="s">
        <v>242</v>
      </c>
      <c r="AJ3" s="308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321" t="s">
        <v>516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>
        <v>39</v>
      </c>
      <c r="G6" s="125">
        <v>52</v>
      </c>
      <c r="H6" s="125">
        <v>63</v>
      </c>
      <c r="I6" s="125">
        <v>72</v>
      </c>
      <c r="J6" s="125">
        <v>78</v>
      </c>
      <c r="K6" s="125">
        <v>82</v>
      </c>
      <c r="L6" s="125">
        <v>82</v>
      </c>
      <c r="M6" s="125">
        <v>68</v>
      </c>
      <c r="N6" s="125">
        <v>47</v>
      </c>
      <c r="O6" s="125">
        <v>16</v>
      </c>
      <c r="P6" s="125">
        <v>9</v>
      </c>
      <c r="Q6" s="125">
        <v>20</v>
      </c>
      <c r="R6" s="125">
        <v>47</v>
      </c>
      <c r="S6" s="181">
        <v>90</v>
      </c>
      <c r="T6" s="181">
        <v>158</v>
      </c>
      <c r="U6" s="181">
        <v>158</v>
      </c>
      <c r="V6" s="101">
        <f>((U6/G6)^(1/($K$2-$K$1) ))-1</f>
        <v>8.2618059396776244E-2</v>
      </c>
      <c r="W6" s="21">
        <f>$O$2</f>
        <v>0.08</v>
      </c>
      <c r="X6" s="131">
        <f>U6*(1+$W6)</f>
        <v>170.64000000000001</v>
      </c>
      <c r="Y6" s="131">
        <f>X6*(1+$W6)</f>
        <v>184.29120000000003</v>
      </c>
      <c r="Z6" s="131">
        <f t="shared" ref="Z6:AG6" si="0">Y6*(1+$W6)</f>
        <v>199.03449600000005</v>
      </c>
      <c r="AA6" s="131">
        <f t="shared" si="0"/>
        <v>214.95725568000006</v>
      </c>
      <c r="AB6" s="131">
        <f t="shared" si="0"/>
        <v>232.15383613440008</v>
      </c>
      <c r="AC6" s="131">
        <f t="shared" si="0"/>
        <v>250.72614302515211</v>
      </c>
      <c r="AD6" s="131">
        <f t="shared" si="0"/>
        <v>270.78423446716431</v>
      </c>
      <c r="AE6" s="131">
        <f t="shared" si="0"/>
        <v>292.44697322453749</v>
      </c>
      <c r="AF6" s="131">
        <f t="shared" si="0"/>
        <v>315.84273108250051</v>
      </c>
      <c r="AG6" s="131">
        <f t="shared" si="0"/>
        <v>341.11014956910054</v>
      </c>
      <c r="AH6" s="116">
        <f>((AG6/J6)^(1/($AG$3-$K$1) ))-1</f>
        <v>6.6254485758064696E-2</v>
      </c>
      <c r="AI6" s="21">
        <f>$O$1</f>
        <v>0.05</v>
      </c>
      <c r="AJ6" s="124">
        <f t="shared" ref="AJ6:AJ59" si="1">(AG6*(1+AI6))/($C$1-AI6)</f>
        <v>5116.6522435365096</v>
      </c>
    </row>
    <row r="7" spans="2:36">
      <c r="B7" s="10" t="s">
        <v>198</v>
      </c>
      <c r="C7" s="119"/>
      <c r="D7" s="119"/>
      <c r="E7" s="125"/>
      <c r="F7" s="125">
        <v>46</v>
      </c>
      <c r="G7" s="125">
        <v>58</v>
      </c>
      <c r="H7" s="125">
        <v>70</v>
      </c>
      <c r="I7" s="125">
        <v>78</v>
      </c>
      <c r="J7" s="125">
        <v>84</v>
      </c>
      <c r="K7" s="125">
        <v>88</v>
      </c>
      <c r="L7" s="125">
        <v>88</v>
      </c>
      <c r="M7" s="125">
        <v>75</v>
      </c>
      <c r="N7" s="125">
        <v>53</v>
      </c>
      <c r="O7" s="125">
        <v>22</v>
      </c>
      <c r="P7" s="125">
        <v>15</v>
      </c>
      <c r="Q7" s="125">
        <v>26</v>
      </c>
      <c r="R7" s="125">
        <v>53</v>
      </c>
      <c r="S7" s="181">
        <v>97</v>
      </c>
      <c r="T7" s="181">
        <v>164</v>
      </c>
      <c r="U7" s="181">
        <v>164</v>
      </c>
      <c r="V7" s="101">
        <f t="shared" ref="V7:V70" si="2">((U7/G7)^(1/($K$2-$K$1) ))-1</f>
        <v>7.7070149051350789E-2</v>
      </c>
      <c r="W7" s="21">
        <f>$O$2</f>
        <v>0.08</v>
      </c>
      <c r="X7" s="131">
        <f>U7*(1+$W7)</f>
        <v>177.12</v>
      </c>
      <c r="Y7" s="131">
        <f t="shared" ref="Y7:AG7" si="3">X7*(1+$W7)</f>
        <v>191.28960000000001</v>
      </c>
      <c r="Z7" s="131">
        <f t="shared" si="3"/>
        <v>206.59276800000004</v>
      </c>
      <c r="AA7" s="131">
        <f t="shared" si="3"/>
        <v>223.12018944000005</v>
      </c>
      <c r="AB7" s="131">
        <f t="shared" si="3"/>
        <v>240.96980459520006</v>
      </c>
      <c r="AC7" s="131">
        <f t="shared" si="3"/>
        <v>260.2473889628161</v>
      </c>
      <c r="AD7" s="131">
        <f t="shared" si="3"/>
        <v>281.06718007984142</v>
      </c>
      <c r="AE7" s="131">
        <f t="shared" si="3"/>
        <v>303.55255448622876</v>
      </c>
      <c r="AF7" s="131">
        <f t="shared" si="3"/>
        <v>327.83675884512706</v>
      </c>
      <c r="AG7" s="131">
        <f t="shared" si="3"/>
        <v>354.06369955273726</v>
      </c>
      <c r="AH7" s="116">
        <f>((AG7/J7)^(1/($AG$3-$K$1) ))-1</f>
        <v>6.4548149685591083E-2</v>
      </c>
      <c r="AI7" s="21">
        <f>$O$1</f>
        <v>0.05</v>
      </c>
      <c r="AJ7" s="124">
        <f t="shared" si="1"/>
        <v>5310.9554932910596</v>
      </c>
    </row>
    <row r="8" spans="2:36">
      <c r="B8" s="10"/>
      <c r="C8" s="119"/>
      <c r="D8" s="119"/>
      <c r="E8" s="125"/>
      <c r="F8" s="271"/>
      <c r="G8" s="271">
        <f>(G7-F7)/G7</f>
        <v>0.20689655172413793</v>
      </c>
      <c r="H8" s="128">
        <f>(H7-G7)/H7</f>
        <v>0.17142857142857143</v>
      </c>
      <c r="I8" s="128">
        <f t="shared" ref="I8:R8" si="4">(I7-H7)/I7</f>
        <v>0.10256410256410256</v>
      </c>
      <c r="J8" s="128">
        <f t="shared" si="4"/>
        <v>7.1428571428571425E-2</v>
      </c>
      <c r="K8" s="128">
        <f t="shared" si="4"/>
        <v>4.5454545454545456E-2</v>
      </c>
      <c r="L8" s="128">
        <f t="shared" si="4"/>
        <v>0</v>
      </c>
      <c r="M8" s="128">
        <f t="shared" si="4"/>
        <v>-0.17333333333333334</v>
      </c>
      <c r="N8" s="128">
        <f t="shared" si="4"/>
        <v>-0.41509433962264153</v>
      </c>
      <c r="O8" s="128">
        <f t="shared" si="4"/>
        <v>-1.4090909090909092</v>
      </c>
      <c r="P8" s="128">
        <f t="shared" si="4"/>
        <v>-0.46666666666666667</v>
      </c>
      <c r="Q8" s="128">
        <f t="shared" si="4"/>
        <v>0.42307692307692307</v>
      </c>
      <c r="R8" s="128">
        <f t="shared" si="4"/>
        <v>0.50943396226415094</v>
      </c>
      <c r="S8" s="128">
        <f t="shared" ref="S8:U8" si="5">(S7-R7)/R7</f>
        <v>0.83018867924528306</v>
      </c>
      <c r="T8" s="128">
        <f t="shared" si="5"/>
        <v>0.69072164948453607</v>
      </c>
      <c r="U8" s="128">
        <f t="shared" si="5"/>
        <v>0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>
        <v>9</v>
      </c>
      <c r="G9" s="125">
        <v>12</v>
      </c>
      <c r="H9" s="125">
        <v>15</v>
      </c>
      <c r="I9" s="125">
        <v>19</v>
      </c>
      <c r="J9" s="125">
        <v>32</v>
      </c>
      <c r="K9" s="125">
        <v>40</v>
      </c>
      <c r="L9" s="125">
        <v>40</v>
      </c>
      <c r="M9" s="125">
        <v>30</v>
      </c>
      <c r="N9" s="125">
        <v>156</v>
      </c>
      <c r="O9" s="125">
        <v>133</v>
      </c>
      <c r="P9" s="125">
        <v>123</v>
      </c>
      <c r="Q9" s="125">
        <v>111</v>
      </c>
      <c r="R9" s="125">
        <v>100</v>
      </c>
      <c r="S9" s="181">
        <v>83</v>
      </c>
      <c r="T9" s="181">
        <v>98</v>
      </c>
      <c r="U9" s="181">
        <v>98</v>
      </c>
      <c r="V9" s="101">
        <f t="shared" si="2"/>
        <v>0.16183929081630111</v>
      </c>
      <c r="W9" s="21">
        <f t="shared" ref="W9:W55" si="6">$O$2</f>
        <v>0.08</v>
      </c>
      <c r="X9" s="131">
        <f t="shared" ref="X9:X59" si="7">U9*(1+$W9)</f>
        <v>105.84</v>
      </c>
      <c r="Y9" s="131">
        <f t="shared" ref="Y9" si="8">X9*(1+$W9)</f>
        <v>114.30720000000001</v>
      </c>
      <c r="Z9" s="131">
        <f t="shared" ref="Z9" si="9">Y9*(1+$W9)</f>
        <v>123.45177600000002</v>
      </c>
      <c r="AA9" s="131">
        <f t="shared" ref="AA9" si="10">Z9*(1+$W9)</f>
        <v>133.32791808000005</v>
      </c>
      <c r="AB9" s="131">
        <f t="shared" ref="AB9" si="11">AA9*(1+$W9)</f>
        <v>143.99415152640006</v>
      </c>
      <c r="AC9" s="131">
        <f t="shared" ref="AC9" si="12">AB9*(1+$W9)</f>
        <v>155.51368364851209</v>
      </c>
      <c r="AD9" s="131">
        <f t="shared" ref="AD9" si="13">AC9*(1+$W9)</f>
        <v>167.95477834039306</v>
      </c>
      <c r="AE9" s="131">
        <f t="shared" ref="AE9" si="14">AD9*(1+$W9)</f>
        <v>181.39116060762453</v>
      </c>
      <c r="AF9" s="131">
        <f t="shared" ref="AF9" si="15">AE9*(1+$W9)</f>
        <v>195.9024534562345</v>
      </c>
      <c r="AG9" s="131">
        <f t="shared" ref="AG9" si="16">AF9*(1+$W9)</f>
        <v>211.57464973273326</v>
      </c>
      <c r="AH9" s="116">
        <f>((AG9/J9)^(1/($AG$3-$K$1) ))-1</f>
        <v>8.5589942096929272E-2</v>
      </c>
      <c r="AI9" s="21">
        <f t="shared" ref="AI9:AI99" si="17">$O$1</f>
        <v>0.05</v>
      </c>
      <c r="AJ9" s="124">
        <f t="shared" si="1"/>
        <v>3173.6197459909995</v>
      </c>
    </row>
    <row r="10" spans="2:36">
      <c r="B10" s="10" t="s">
        <v>3</v>
      </c>
      <c r="C10" s="119"/>
      <c r="D10" s="119"/>
      <c r="E10" s="125"/>
      <c r="F10" s="125">
        <v>46</v>
      </c>
      <c r="G10" s="125">
        <v>68</v>
      </c>
      <c r="H10" s="125">
        <v>79</v>
      </c>
      <c r="I10" s="125">
        <v>92</v>
      </c>
      <c r="J10" s="125">
        <v>188</v>
      </c>
      <c r="K10" s="125">
        <v>244</v>
      </c>
      <c r="L10" s="125">
        <v>285</v>
      </c>
      <c r="M10" s="125">
        <v>298</v>
      </c>
      <c r="N10" s="125">
        <v>202</v>
      </c>
      <c r="O10" s="125">
        <v>237</v>
      </c>
      <c r="P10" s="125">
        <v>252</v>
      </c>
      <c r="Q10" s="125">
        <v>277</v>
      </c>
      <c r="R10" s="125">
        <v>260</v>
      </c>
      <c r="S10" s="181">
        <v>245</v>
      </c>
      <c r="T10" s="181">
        <v>235</v>
      </c>
      <c r="U10" s="181">
        <v>235</v>
      </c>
      <c r="V10" s="101">
        <f t="shared" si="2"/>
        <v>9.2618366077901637E-2</v>
      </c>
      <c r="W10" s="21">
        <f t="shared" si="6"/>
        <v>0.08</v>
      </c>
      <c r="X10" s="131">
        <f t="shared" si="7"/>
        <v>253.8</v>
      </c>
      <c r="Y10" s="131">
        <f t="shared" ref="Y10:AG10" si="18">X10*(1+$W10)</f>
        <v>274.10400000000004</v>
      </c>
      <c r="Z10" s="131">
        <f t="shared" si="18"/>
        <v>296.03232000000008</v>
      </c>
      <c r="AA10" s="131">
        <f t="shared" si="18"/>
        <v>319.71490560000012</v>
      </c>
      <c r="AB10" s="131">
        <f t="shared" si="18"/>
        <v>345.29209804800013</v>
      </c>
      <c r="AC10" s="131">
        <f t="shared" si="18"/>
        <v>372.91546589184014</v>
      </c>
      <c r="AD10" s="131">
        <f t="shared" si="18"/>
        <v>402.74870316318737</v>
      </c>
      <c r="AE10" s="131">
        <f t="shared" si="18"/>
        <v>434.9685994162424</v>
      </c>
      <c r="AF10" s="131">
        <f t="shared" si="18"/>
        <v>469.76608736954182</v>
      </c>
      <c r="AG10" s="131">
        <f t="shared" si="18"/>
        <v>507.34737435910517</v>
      </c>
      <c r="AH10" s="116">
        <f t="shared" ref="AH10:AH57" si="19">((AG10/J10)^(1/($AG$3-$K$1) ))-1</f>
        <v>4.4108295882075987E-2</v>
      </c>
      <c r="AI10" s="21">
        <f t="shared" si="17"/>
        <v>0.05</v>
      </c>
      <c r="AJ10" s="124">
        <f t="shared" si="1"/>
        <v>7610.2106153865789</v>
      </c>
    </row>
    <row r="11" spans="2:36">
      <c r="B11" s="10"/>
      <c r="C11" s="119"/>
      <c r="D11" s="119"/>
      <c r="E11" s="125"/>
      <c r="F11" s="271"/>
      <c r="G11" s="271">
        <f>(G10-F10)/G10</f>
        <v>0.3235294117647059</v>
      </c>
      <c r="H11" s="271">
        <f t="shared" ref="H11:R11" si="20">(H10-G10)/H10</f>
        <v>0.13924050632911392</v>
      </c>
      <c r="I11" s="271">
        <f t="shared" si="20"/>
        <v>0.14130434782608695</v>
      </c>
      <c r="J11" s="271">
        <f t="shared" si="20"/>
        <v>0.51063829787234039</v>
      </c>
      <c r="K11" s="271">
        <f t="shared" si="20"/>
        <v>0.22950819672131148</v>
      </c>
      <c r="L11" s="271">
        <f t="shared" si="20"/>
        <v>0.14385964912280702</v>
      </c>
      <c r="M11" s="271">
        <f t="shared" si="20"/>
        <v>4.3624161073825503E-2</v>
      </c>
      <c r="N11" s="271">
        <f t="shared" si="20"/>
        <v>-0.47524752475247523</v>
      </c>
      <c r="O11" s="271">
        <f t="shared" si="20"/>
        <v>0.14767932489451477</v>
      </c>
      <c r="P11" s="271">
        <f t="shared" si="20"/>
        <v>5.9523809523809521E-2</v>
      </c>
      <c r="Q11" s="271">
        <f t="shared" si="20"/>
        <v>9.0252707581227443E-2</v>
      </c>
      <c r="R11" s="271">
        <f t="shared" si="20"/>
        <v>-6.5384615384615388E-2</v>
      </c>
      <c r="S11" s="128">
        <f t="shared" ref="S11:U11" si="21">(S10-R10)/R10</f>
        <v>-5.7692307692307696E-2</v>
      </c>
      <c r="T11" s="128">
        <f t="shared" si="21"/>
        <v>-4.0816326530612242E-2</v>
      </c>
      <c r="U11" s="128">
        <f t="shared" si="21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7"/>
        <v>0.05</v>
      </c>
      <c r="AJ11" s="131"/>
    </row>
    <row r="12" spans="2:36">
      <c r="B12" s="10" t="s">
        <v>2</v>
      </c>
      <c r="C12" s="119"/>
      <c r="D12" s="119"/>
      <c r="E12" s="125"/>
      <c r="F12" s="125">
        <v>1</v>
      </c>
      <c r="G12" s="125">
        <v>2</v>
      </c>
      <c r="H12" s="125">
        <v>2</v>
      </c>
      <c r="I12" s="125">
        <v>5</v>
      </c>
      <c r="J12" s="125">
        <v>60</v>
      </c>
      <c r="K12" s="125">
        <v>9</v>
      </c>
      <c r="L12" s="125">
        <v>4</v>
      </c>
      <c r="M12" s="125">
        <v>5</v>
      </c>
      <c r="N12" s="125">
        <v>3</v>
      </c>
      <c r="O12" s="125">
        <v>7</v>
      </c>
      <c r="P12" s="125">
        <v>11</v>
      </c>
      <c r="Q12" s="125">
        <v>6</v>
      </c>
      <c r="R12" s="125">
        <v>12</v>
      </c>
      <c r="S12" s="181">
        <v>13</v>
      </c>
      <c r="T12" s="181">
        <v>27</v>
      </c>
      <c r="U12" s="181">
        <v>27</v>
      </c>
      <c r="V12" s="101">
        <f t="shared" si="2"/>
        <v>0.20430953907994742</v>
      </c>
      <c r="W12" s="21">
        <f t="shared" si="6"/>
        <v>0.08</v>
      </c>
      <c r="X12" s="131">
        <f t="shared" si="7"/>
        <v>29.160000000000004</v>
      </c>
      <c r="Y12" s="131">
        <f t="shared" ref="Y12:AG12" si="22">X12*(1+$W12)</f>
        <v>31.492800000000006</v>
      </c>
      <c r="Z12" s="131">
        <f t="shared" si="22"/>
        <v>34.01222400000001</v>
      </c>
      <c r="AA12" s="131">
        <f t="shared" si="22"/>
        <v>36.733201920000013</v>
      </c>
      <c r="AB12" s="131">
        <f t="shared" si="22"/>
        <v>39.671858073600013</v>
      </c>
      <c r="AC12" s="131">
        <f t="shared" si="22"/>
        <v>42.845606719488018</v>
      </c>
      <c r="AD12" s="131">
        <f t="shared" si="22"/>
        <v>46.273255257047062</v>
      </c>
      <c r="AE12" s="131">
        <f t="shared" si="22"/>
        <v>49.97511567761083</v>
      </c>
      <c r="AF12" s="131">
        <f t="shared" si="22"/>
        <v>53.973124931819697</v>
      </c>
      <c r="AG12" s="131">
        <f t="shared" si="22"/>
        <v>58.29097492636528</v>
      </c>
      <c r="AH12" s="116">
        <f t="shared" si="19"/>
        <v>-1.2556147447426724E-3</v>
      </c>
      <c r="AI12" s="21">
        <f t="shared" si="17"/>
        <v>0.05</v>
      </c>
      <c r="AJ12" s="124">
        <f t="shared" si="1"/>
        <v>874.36462389547933</v>
      </c>
    </row>
    <row r="13" spans="2:36">
      <c r="B13" s="10" t="s">
        <v>191</v>
      </c>
      <c r="C13" s="119"/>
      <c r="D13" s="119"/>
      <c r="E13" s="125"/>
      <c r="F13" s="125">
        <v>0.12</v>
      </c>
      <c r="G13" s="125" t="s">
        <v>514</v>
      </c>
      <c r="H13" s="125">
        <v>0</v>
      </c>
      <c r="I13" s="125">
        <v>0</v>
      </c>
      <c r="J13" s="125">
        <v>0</v>
      </c>
      <c r="K13" s="125">
        <v>0</v>
      </c>
      <c r="L13" s="125">
        <v>0</v>
      </c>
      <c r="M13" s="125">
        <v>0</v>
      </c>
      <c r="N13" s="125">
        <v>0</v>
      </c>
      <c r="O13" s="125">
        <v>0</v>
      </c>
      <c r="P13" s="125">
        <v>0</v>
      </c>
      <c r="Q13" s="125">
        <v>0</v>
      </c>
      <c r="R13" s="125">
        <v>0</v>
      </c>
      <c r="S13" s="181">
        <v>0</v>
      </c>
      <c r="T13" s="181">
        <v>0</v>
      </c>
      <c r="U13" s="181">
        <v>0</v>
      </c>
      <c r="V13" s="101" t="e">
        <f t="shared" si="2"/>
        <v>#VALUE!</v>
      </c>
      <c r="W13" s="21">
        <f t="shared" si="6"/>
        <v>0.08</v>
      </c>
      <c r="X13" s="131">
        <f t="shared" si="7"/>
        <v>0</v>
      </c>
      <c r="Y13" s="131">
        <f t="shared" ref="Y13:AG13" si="23">X13*(1+$W13)</f>
        <v>0</v>
      </c>
      <c r="Z13" s="131">
        <f t="shared" si="23"/>
        <v>0</v>
      </c>
      <c r="AA13" s="131">
        <f t="shared" si="23"/>
        <v>0</v>
      </c>
      <c r="AB13" s="131">
        <f t="shared" si="23"/>
        <v>0</v>
      </c>
      <c r="AC13" s="131">
        <f t="shared" si="23"/>
        <v>0</v>
      </c>
      <c r="AD13" s="131">
        <f t="shared" si="23"/>
        <v>0</v>
      </c>
      <c r="AE13" s="131">
        <f t="shared" si="23"/>
        <v>0</v>
      </c>
      <c r="AF13" s="131">
        <f t="shared" si="23"/>
        <v>0</v>
      </c>
      <c r="AG13" s="131">
        <f t="shared" si="23"/>
        <v>0</v>
      </c>
      <c r="AH13" s="116" t="e">
        <f t="shared" si="19"/>
        <v>#DIV/0!</v>
      </c>
      <c r="AI13" s="21">
        <f t="shared" si="17"/>
        <v>0.05</v>
      </c>
      <c r="AJ13" s="124">
        <f t="shared" si="1"/>
        <v>0</v>
      </c>
    </row>
    <row r="14" spans="2:36">
      <c r="B14" s="10" t="s">
        <v>318</v>
      </c>
      <c r="C14" s="119"/>
      <c r="D14" s="119"/>
      <c r="E14" s="125"/>
      <c r="F14" s="125">
        <v>15</v>
      </c>
      <c r="G14" s="125">
        <v>9</v>
      </c>
      <c r="H14" s="125">
        <v>23</v>
      </c>
      <c r="I14" s="125">
        <v>28</v>
      </c>
      <c r="J14" s="125">
        <v>90</v>
      </c>
      <c r="K14" s="125">
        <v>182</v>
      </c>
      <c r="L14" s="125">
        <v>242</v>
      </c>
      <c r="M14" s="125">
        <v>47</v>
      </c>
      <c r="N14" s="125">
        <v>63</v>
      </c>
      <c r="O14" s="125">
        <v>67</v>
      </c>
      <c r="P14" s="125">
        <v>68</v>
      </c>
      <c r="Q14" s="125">
        <v>80</v>
      </c>
      <c r="R14" s="125">
        <v>77</v>
      </c>
      <c r="S14" s="181">
        <v>89</v>
      </c>
      <c r="T14" s="181">
        <v>98</v>
      </c>
      <c r="U14" s="181">
        <v>98</v>
      </c>
      <c r="V14" s="101">
        <f t="shared" si="2"/>
        <v>0.1859605825283599</v>
      </c>
      <c r="W14" s="21">
        <f t="shared" si="6"/>
        <v>0.08</v>
      </c>
      <c r="X14" s="131">
        <f t="shared" si="7"/>
        <v>105.84</v>
      </c>
      <c r="Y14" s="131">
        <f t="shared" ref="Y14" si="24">X14*(1+$W14)</f>
        <v>114.30720000000001</v>
      </c>
      <c r="Z14" s="131">
        <f t="shared" ref="Z14" si="25">Y14*(1+$W14)</f>
        <v>123.45177600000002</v>
      </c>
      <c r="AA14" s="131">
        <f t="shared" ref="AA14" si="26">Z14*(1+$W14)</f>
        <v>133.32791808000005</v>
      </c>
      <c r="AB14" s="131">
        <f t="shared" ref="AB14" si="27">AA14*(1+$W14)</f>
        <v>143.99415152640006</v>
      </c>
      <c r="AC14" s="131">
        <f t="shared" ref="AC14" si="28">AB14*(1+$W14)</f>
        <v>155.51368364851209</v>
      </c>
      <c r="AD14" s="131">
        <f t="shared" ref="AD14" si="29">AC14*(1+$W14)</f>
        <v>167.95477834039306</v>
      </c>
      <c r="AE14" s="131">
        <f t="shared" ref="AE14" si="30">AD14*(1+$W14)</f>
        <v>181.39116060762453</v>
      </c>
      <c r="AF14" s="131">
        <f t="shared" ref="AF14" si="31">AE14*(1+$W14)</f>
        <v>195.9024534562345</v>
      </c>
      <c r="AG14" s="131">
        <f t="shared" ref="AG14" si="32">AF14*(1+$W14)</f>
        <v>211.57464973273326</v>
      </c>
      <c r="AH14" s="116">
        <f t="shared" ref="AH14" si="33">((AG14/J14)^(1/($AG$3-$K$1) ))-1</f>
        <v>3.786304586521827E-2</v>
      </c>
      <c r="AI14" s="21">
        <f t="shared" si="17"/>
        <v>0.05</v>
      </c>
      <c r="AJ14" s="124">
        <f t="shared" ref="AJ14" si="34">(AG14*(1+AI14))/($C$1-AI14)</f>
        <v>3173.6197459909995</v>
      </c>
    </row>
    <row r="15" spans="2:36">
      <c r="B15" s="10" t="s">
        <v>11</v>
      </c>
      <c r="C15" s="119"/>
      <c r="D15" s="119"/>
      <c r="E15" s="125"/>
      <c r="F15" s="125">
        <v>53</v>
      </c>
      <c r="G15" s="125">
        <v>60</v>
      </c>
      <c r="H15" s="125">
        <v>67</v>
      </c>
      <c r="I15" s="125">
        <v>87</v>
      </c>
      <c r="J15" s="125">
        <v>158</v>
      </c>
      <c r="K15" s="125">
        <v>105</v>
      </c>
      <c r="L15" s="125">
        <v>84</v>
      </c>
      <c r="M15" s="125">
        <v>80</v>
      </c>
      <c r="N15" s="125">
        <v>99</v>
      </c>
      <c r="O15" s="125">
        <v>109</v>
      </c>
      <c r="P15" s="125">
        <v>115</v>
      </c>
      <c r="Q15" s="125">
        <v>139</v>
      </c>
      <c r="R15" s="125">
        <v>158</v>
      </c>
      <c r="S15" s="181">
        <v>180</v>
      </c>
      <c r="T15" s="181">
        <v>191</v>
      </c>
      <c r="U15" s="181">
        <v>191</v>
      </c>
      <c r="V15" s="101">
        <f t="shared" si="2"/>
        <v>8.6225893234532558E-2</v>
      </c>
      <c r="W15" s="21">
        <f t="shared" si="6"/>
        <v>0.08</v>
      </c>
      <c r="X15" s="131">
        <f t="shared" si="7"/>
        <v>206.28</v>
      </c>
      <c r="Y15" s="131">
        <f t="shared" ref="Y15:AG15" si="35">X15*(1+$W15)</f>
        <v>222.78240000000002</v>
      </c>
      <c r="Z15" s="131">
        <f t="shared" si="35"/>
        <v>240.60499200000004</v>
      </c>
      <c r="AA15" s="131">
        <f t="shared" si="35"/>
        <v>259.85339136000005</v>
      </c>
      <c r="AB15" s="131">
        <f t="shared" si="35"/>
        <v>280.64166266880005</v>
      </c>
      <c r="AC15" s="131">
        <f t="shared" si="35"/>
        <v>303.09299568230409</v>
      </c>
      <c r="AD15" s="131">
        <f t="shared" si="35"/>
        <v>327.34043533688845</v>
      </c>
      <c r="AE15" s="131">
        <f t="shared" si="35"/>
        <v>353.52767016383956</v>
      </c>
      <c r="AF15" s="131">
        <f t="shared" si="35"/>
        <v>381.80988377694678</v>
      </c>
      <c r="AG15" s="131">
        <f t="shared" si="35"/>
        <v>412.35467447910253</v>
      </c>
      <c r="AH15" s="116">
        <f t="shared" si="19"/>
        <v>4.2590215892588823E-2</v>
      </c>
      <c r="AI15" s="21">
        <f t="shared" si="17"/>
        <v>0.05</v>
      </c>
      <c r="AJ15" s="124">
        <f t="shared" si="1"/>
        <v>6185.3201171865394</v>
      </c>
    </row>
    <row r="16" spans="2:36">
      <c r="B16" s="10" t="s">
        <v>12</v>
      </c>
      <c r="C16" s="119"/>
      <c r="D16" s="119"/>
      <c r="E16" s="125"/>
      <c r="F16" s="125">
        <v>48</v>
      </c>
      <c r="G16" s="125">
        <v>54</v>
      </c>
      <c r="H16" s="125">
        <v>62</v>
      </c>
      <c r="I16" s="125">
        <v>78</v>
      </c>
      <c r="J16" s="125">
        <v>150</v>
      </c>
      <c r="K16" s="125">
        <v>84</v>
      </c>
      <c r="L16" s="125">
        <v>52</v>
      </c>
      <c r="M16" s="125">
        <v>43</v>
      </c>
      <c r="N16" s="125">
        <v>-58</v>
      </c>
      <c r="O16" s="125">
        <v>-39</v>
      </c>
      <c r="P16" s="125">
        <v>-15</v>
      </c>
      <c r="Q16" s="125">
        <v>41</v>
      </c>
      <c r="R16" s="125">
        <v>67</v>
      </c>
      <c r="S16" s="181">
        <v>82</v>
      </c>
      <c r="T16" s="181">
        <v>129</v>
      </c>
      <c r="U16" s="181">
        <v>129</v>
      </c>
      <c r="V16" s="101">
        <f t="shared" si="2"/>
        <v>6.4177314027223709E-2</v>
      </c>
      <c r="W16" s="21">
        <f t="shared" si="6"/>
        <v>0.08</v>
      </c>
      <c r="X16" s="131">
        <f t="shared" si="7"/>
        <v>139.32000000000002</v>
      </c>
      <c r="Y16" s="131">
        <f t="shared" ref="Y16:AG16" si="36">X16*(1+$W16)</f>
        <v>150.46560000000002</v>
      </c>
      <c r="Z16" s="131">
        <f t="shared" si="36"/>
        <v>162.50284800000003</v>
      </c>
      <c r="AA16" s="131">
        <f t="shared" si="36"/>
        <v>175.50307584000004</v>
      </c>
      <c r="AB16" s="131">
        <f t="shared" si="36"/>
        <v>189.54332190720004</v>
      </c>
      <c r="AC16" s="131">
        <f t="shared" si="36"/>
        <v>204.70678765977607</v>
      </c>
      <c r="AD16" s="131">
        <f t="shared" si="36"/>
        <v>221.08333067255816</v>
      </c>
      <c r="AE16" s="131">
        <f t="shared" si="36"/>
        <v>238.76999712636282</v>
      </c>
      <c r="AF16" s="131">
        <f t="shared" si="36"/>
        <v>257.87159689647189</v>
      </c>
      <c r="AG16" s="131">
        <f t="shared" si="36"/>
        <v>278.50132464818967</v>
      </c>
      <c r="AH16" s="116">
        <f t="shared" si="19"/>
        <v>2.7268980166886836E-2</v>
      </c>
      <c r="AI16" s="21">
        <f t="shared" si="17"/>
        <v>0.05</v>
      </c>
      <c r="AJ16" s="124">
        <f t="shared" si="1"/>
        <v>4177.5198697228461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1"/>
      <c r="T17" s="181"/>
      <c r="U17" s="181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>
        <v>37</v>
      </c>
      <c r="G18" s="125">
        <v>71</v>
      </c>
      <c r="H18" s="125">
        <v>82</v>
      </c>
      <c r="I18" s="125">
        <v>90</v>
      </c>
      <c r="J18" s="125">
        <v>96</v>
      </c>
      <c r="K18" s="125">
        <v>108</v>
      </c>
      <c r="L18" s="125">
        <v>116</v>
      </c>
      <c r="M18" s="125">
        <v>322</v>
      </c>
      <c r="N18" s="125">
        <v>308</v>
      </c>
      <c r="O18" s="125">
        <v>295</v>
      </c>
      <c r="P18" s="125">
        <v>280</v>
      </c>
      <c r="Q18" s="125">
        <v>258</v>
      </c>
      <c r="R18" s="125">
        <v>240</v>
      </c>
      <c r="S18" s="181">
        <v>238</v>
      </c>
      <c r="T18" s="181">
        <v>267</v>
      </c>
      <c r="U18" s="181">
        <v>267</v>
      </c>
      <c r="V18" s="101">
        <f t="shared" si="2"/>
        <v>9.9232331602772339E-2</v>
      </c>
      <c r="W18" s="21">
        <f t="shared" si="6"/>
        <v>0.08</v>
      </c>
      <c r="X18" s="131">
        <f t="shared" si="7"/>
        <v>288.36</v>
      </c>
      <c r="Y18" s="131">
        <f t="shared" ref="Y18:Y34" si="37">X18*(1+$W18)</f>
        <v>311.42880000000002</v>
      </c>
      <c r="Z18" s="131">
        <f t="shared" ref="Z18:Z34" si="38">Y18*(1+$W18)</f>
        <v>336.34310400000004</v>
      </c>
      <c r="AA18" s="131">
        <f t="shared" ref="AA18:AA34" si="39">Z18*(1+$W18)</f>
        <v>363.25055232000005</v>
      </c>
      <c r="AB18" s="131">
        <f t="shared" ref="AB18:AB51" si="40">AA18*(1+$W18)</f>
        <v>392.31059650560007</v>
      </c>
      <c r="AC18" s="131">
        <f t="shared" ref="AC18:AC51" si="41">AB18*(1+$W18)</f>
        <v>423.6954442260481</v>
      </c>
      <c r="AD18" s="131">
        <f t="shared" ref="AD18:AD51" si="42">AC18*(1+$W18)</f>
        <v>457.59107976413196</v>
      </c>
      <c r="AE18" s="131">
        <f t="shared" ref="AE18:AE51" si="43">AD18*(1+$W18)</f>
        <v>494.19836614526253</v>
      </c>
      <c r="AF18" s="131">
        <f t="shared" ref="AF18:AF51" si="44">AE18*(1+$W18)</f>
        <v>533.73423543688352</v>
      </c>
      <c r="AG18" s="131">
        <f t="shared" ref="AG18:AG51" si="45">AF18*(1+$W18)</f>
        <v>576.43297427183427</v>
      </c>
      <c r="AH18" s="116">
        <f t="shared" si="19"/>
        <v>8.1052664274319897E-2</v>
      </c>
      <c r="AI18" s="21">
        <f t="shared" si="17"/>
        <v>0.05</v>
      </c>
      <c r="AJ18" s="124">
        <f t="shared" si="1"/>
        <v>8646.4946140775137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1"/>
      <c r="T19" s="181"/>
      <c r="U19" s="181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1"/>
      <c r="T20" s="181"/>
      <c r="U20" s="181"/>
      <c r="V20" s="101" t="e">
        <f t="shared" si="2"/>
        <v>#DIV/0!</v>
      </c>
      <c r="W20" s="21">
        <f t="shared" si="6"/>
        <v>0.08</v>
      </c>
      <c r="X20" s="131">
        <f t="shared" si="7"/>
        <v>0</v>
      </c>
      <c r="Y20" s="131">
        <f t="shared" ref="Y20:Y22" si="46">X20*(1+$W20)</f>
        <v>0</v>
      </c>
      <c r="Z20" s="131">
        <f t="shared" ref="Z20:Z22" si="47">Y20*(1+$W20)</f>
        <v>0</v>
      </c>
      <c r="AA20" s="131">
        <f t="shared" ref="AA20:AA22" si="48">Z20*(1+$W20)</f>
        <v>0</v>
      </c>
      <c r="AB20" s="131">
        <f t="shared" ref="AB20:AB22" si="49">AA20*(1+$W20)</f>
        <v>0</v>
      </c>
      <c r="AC20" s="131">
        <f t="shared" ref="AC20:AC22" si="50">AB20*(1+$W20)</f>
        <v>0</v>
      </c>
      <c r="AD20" s="131">
        <f t="shared" ref="AD20:AD22" si="51">AC20*(1+$W20)</f>
        <v>0</v>
      </c>
      <c r="AE20" s="131">
        <f t="shared" ref="AE20:AE22" si="52">AD20*(1+$W20)</f>
        <v>0</v>
      </c>
      <c r="AF20" s="131">
        <f t="shared" ref="AF20:AF22" si="53">AE20*(1+$W20)</f>
        <v>0</v>
      </c>
      <c r="AG20" s="131">
        <f t="shared" ref="AG20:AG22" si="54">AF20*(1+$W20)</f>
        <v>0</v>
      </c>
      <c r="AH20" s="116" t="e">
        <f t="shared" ref="AH20:AH22" si="55">((AG20/J20)^(1/($AG$3-$K$1) ))-1</f>
        <v>#DIV/0!</v>
      </c>
      <c r="AI20" s="21">
        <f t="shared" si="17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1"/>
      <c r="T21" s="181"/>
      <c r="U21" s="181"/>
      <c r="V21" s="101" t="e">
        <f t="shared" si="2"/>
        <v>#DIV/0!</v>
      </c>
      <c r="W21" s="21">
        <f t="shared" si="6"/>
        <v>0.08</v>
      </c>
      <c r="X21" s="131">
        <f t="shared" si="7"/>
        <v>0</v>
      </c>
      <c r="Y21" s="131">
        <f t="shared" si="46"/>
        <v>0</v>
      </c>
      <c r="Z21" s="131">
        <f t="shared" si="47"/>
        <v>0</v>
      </c>
      <c r="AA21" s="131">
        <f t="shared" si="48"/>
        <v>0</v>
      </c>
      <c r="AB21" s="131">
        <f t="shared" si="49"/>
        <v>0</v>
      </c>
      <c r="AC21" s="131">
        <f t="shared" si="50"/>
        <v>0</v>
      </c>
      <c r="AD21" s="131">
        <f t="shared" si="51"/>
        <v>0</v>
      </c>
      <c r="AE21" s="131">
        <f t="shared" si="52"/>
        <v>0</v>
      </c>
      <c r="AF21" s="131">
        <f t="shared" si="53"/>
        <v>0</v>
      </c>
      <c r="AG21" s="131">
        <f t="shared" si="54"/>
        <v>0</v>
      </c>
      <c r="AH21" s="116" t="e">
        <f t="shared" si="55"/>
        <v>#DIV/0!</v>
      </c>
      <c r="AI21" s="21">
        <f t="shared" si="17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1"/>
      <c r="T22" s="181"/>
      <c r="U22" s="181"/>
      <c r="V22" s="101" t="e">
        <f t="shared" si="2"/>
        <v>#DIV/0!</v>
      </c>
      <c r="W22" s="21">
        <f t="shared" si="6"/>
        <v>0.08</v>
      </c>
      <c r="X22" s="131">
        <f t="shared" si="7"/>
        <v>0</v>
      </c>
      <c r="Y22" s="131">
        <f t="shared" si="46"/>
        <v>0</v>
      </c>
      <c r="Z22" s="131">
        <f t="shared" si="47"/>
        <v>0</v>
      </c>
      <c r="AA22" s="131">
        <f t="shared" si="48"/>
        <v>0</v>
      </c>
      <c r="AB22" s="131">
        <f t="shared" si="49"/>
        <v>0</v>
      </c>
      <c r="AC22" s="131">
        <f t="shared" si="50"/>
        <v>0</v>
      </c>
      <c r="AD22" s="131">
        <f t="shared" si="51"/>
        <v>0</v>
      </c>
      <c r="AE22" s="131">
        <f t="shared" si="52"/>
        <v>0</v>
      </c>
      <c r="AF22" s="131">
        <f t="shared" si="53"/>
        <v>0</v>
      </c>
      <c r="AG22" s="131">
        <f t="shared" si="54"/>
        <v>0</v>
      </c>
      <c r="AH22" s="116" t="e">
        <f t="shared" si="55"/>
        <v>#DIV/0!</v>
      </c>
      <c r="AI22" s="21">
        <f t="shared" si="17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1"/>
      <c r="T23" s="181"/>
      <c r="U23" s="181"/>
      <c r="V23" s="101" t="e">
        <f t="shared" si="2"/>
        <v>#DIV/0!</v>
      </c>
      <c r="W23" s="21">
        <f t="shared" si="6"/>
        <v>0.08</v>
      </c>
      <c r="X23" s="131">
        <f t="shared" si="7"/>
        <v>0</v>
      </c>
      <c r="Y23" s="131">
        <f t="shared" ref="Y23" si="56">X23*(1+$W23)</f>
        <v>0</v>
      </c>
      <c r="Z23" s="131">
        <f t="shared" ref="Z23" si="57">Y23*(1+$W23)</f>
        <v>0</v>
      </c>
      <c r="AA23" s="131">
        <f t="shared" ref="AA23" si="58">Z23*(1+$W23)</f>
        <v>0</v>
      </c>
      <c r="AB23" s="131">
        <f t="shared" ref="AB23" si="59">AA23*(1+$W23)</f>
        <v>0</v>
      </c>
      <c r="AC23" s="131">
        <f t="shared" ref="AC23" si="60">AB23*(1+$W23)</f>
        <v>0</v>
      </c>
      <c r="AD23" s="131">
        <f t="shared" ref="AD23" si="61">AC23*(1+$W23)</f>
        <v>0</v>
      </c>
      <c r="AE23" s="131">
        <f t="shared" ref="AE23" si="62">AD23*(1+$W23)</f>
        <v>0</v>
      </c>
      <c r="AF23" s="131">
        <f t="shared" ref="AF23" si="63">AE23*(1+$W23)</f>
        <v>0</v>
      </c>
      <c r="AG23" s="131">
        <f t="shared" ref="AG23" si="64">AF23*(1+$W23)</f>
        <v>0</v>
      </c>
      <c r="AH23" s="116" t="e">
        <f t="shared" ref="AH23" si="65">((AG23/J23)^(1/($AG$3-$K$1) ))-1</f>
        <v>#DIV/0!</v>
      </c>
      <c r="AI23" s="21">
        <f t="shared" si="17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1"/>
      <c r="T24" s="181"/>
      <c r="U24" s="181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>
        <v>99</v>
      </c>
      <c r="G25" s="125">
        <v>112</v>
      </c>
      <c r="H25" s="125">
        <v>140</v>
      </c>
      <c r="I25" s="125">
        <v>160</v>
      </c>
      <c r="J25" s="125">
        <v>172</v>
      </c>
      <c r="K25" s="125">
        <v>162</v>
      </c>
      <c r="L25" s="125">
        <v>141</v>
      </c>
      <c r="M25" s="125">
        <v>140</v>
      </c>
      <c r="N25" s="125">
        <v>180</v>
      </c>
      <c r="O25" s="125">
        <v>193</v>
      </c>
      <c r="P25" s="125">
        <v>227</v>
      </c>
      <c r="Q25" s="125">
        <v>247</v>
      </c>
      <c r="R25" s="125">
        <v>335</v>
      </c>
      <c r="S25" s="181">
        <v>384</v>
      </c>
      <c r="T25" s="181">
        <v>398</v>
      </c>
      <c r="U25" s="181">
        <v>334</v>
      </c>
      <c r="V25" s="101">
        <f t="shared" si="2"/>
        <v>8.1172246400094794E-2</v>
      </c>
      <c r="W25" s="21">
        <f t="shared" si="6"/>
        <v>0.08</v>
      </c>
      <c r="X25" s="131">
        <f t="shared" si="7"/>
        <v>360.72</v>
      </c>
      <c r="Y25" s="131">
        <f t="shared" si="37"/>
        <v>389.57760000000007</v>
      </c>
      <c r="Z25" s="131">
        <f t="shared" si="38"/>
        <v>420.74380800000012</v>
      </c>
      <c r="AA25" s="131">
        <f t="shared" si="39"/>
        <v>454.40331264000014</v>
      </c>
      <c r="AB25" s="131">
        <f t="shared" si="40"/>
        <v>490.75557765120016</v>
      </c>
      <c r="AC25" s="131">
        <f t="shared" si="41"/>
        <v>530.01602386329625</v>
      </c>
      <c r="AD25" s="131">
        <f t="shared" si="42"/>
        <v>572.41730577236001</v>
      </c>
      <c r="AE25" s="131">
        <f t="shared" si="43"/>
        <v>618.21069023414884</v>
      </c>
      <c r="AF25" s="131">
        <f t="shared" si="44"/>
        <v>667.66754545288074</v>
      </c>
      <c r="AG25" s="131">
        <f t="shared" si="45"/>
        <v>721.0809490891113</v>
      </c>
      <c r="AH25" s="116">
        <f t="shared" si="19"/>
        <v>6.4298097590101078E-2</v>
      </c>
      <c r="AI25" s="21">
        <f t="shared" si="17"/>
        <v>0.05</v>
      </c>
      <c r="AJ25" s="124">
        <f t="shared" si="1"/>
        <v>10816.214236336671</v>
      </c>
    </row>
    <row r="26" spans="2:36" s="106" customFormat="1">
      <c r="B26" s="13"/>
      <c r="C26" s="126"/>
      <c r="D26" s="126"/>
      <c r="E26" s="127"/>
      <c r="F26" s="271"/>
      <c r="G26" s="271">
        <f>(G25-F25)/G25</f>
        <v>0.11607142857142858</v>
      </c>
      <c r="H26" s="271">
        <f>(H25-G25)/H25</f>
        <v>0.2</v>
      </c>
      <c r="I26" s="271">
        <f t="shared" ref="I26:R26" si="66">(I25-H25)/I25</f>
        <v>0.125</v>
      </c>
      <c r="J26" s="271">
        <f t="shared" si="66"/>
        <v>6.9767441860465115E-2</v>
      </c>
      <c r="K26" s="271">
        <f t="shared" si="66"/>
        <v>-6.1728395061728392E-2</v>
      </c>
      <c r="L26" s="271">
        <f t="shared" si="66"/>
        <v>-0.14893617021276595</v>
      </c>
      <c r="M26" s="271">
        <f t="shared" si="66"/>
        <v>-7.1428571428571426E-3</v>
      </c>
      <c r="N26" s="271">
        <f t="shared" si="66"/>
        <v>0.22222222222222221</v>
      </c>
      <c r="O26" s="271">
        <f t="shared" si="66"/>
        <v>6.7357512953367879E-2</v>
      </c>
      <c r="P26" s="271">
        <f t="shared" si="66"/>
        <v>0.14977973568281938</v>
      </c>
      <c r="Q26" s="271">
        <f t="shared" si="66"/>
        <v>8.0971659919028341E-2</v>
      </c>
      <c r="R26" s="271">
        <f t="shared" si="66"/>
        <v>0.2626865671641791</v>
      </c>
      <c r="S26" s="128">
        <f t="shared" ref="S26:U26" si="67">(S25-R25)/R25</f>
        <v>0.14626865671641792</v>
      </c>
      <c r="T26" s="128">
        <f t="shared" si="67"/>
        <v>3.6458333333333336E-2</v>
      </c>
      <c r="U26" s="128">
        <f t="shared" si="67"/>
        <v>-0.16080402010050251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>
        <v>72</v>
      </c>
      <c r="G27" s="125">
        <v>87</v>
      </c>
      <c r="H27" s="125">
        <v>113</v>
      </c>
      <c r="I27" s="125">
        <v>135</v>
      </c>
      <c r="J27" s="125">
        <v>145</v>
      </c>
      <c r="K27" s="125">
        <v>137</v>
      </c>
      <c r="L27" s="125">
        <v>122</v>
      </c>
      <c r="M27" s="125">
        <v>123</v>
      </c>
      <c r="N27" s="125">
        <v>153</v>
      </c>
      <c r="O27" s="125">
        <v>162</v>
      </c>
      <c r="P27" s="125">
        <v>175</v>
      </c>
      <c r="Q27" s="125">
        <v>192</v>
      </c>
      <c r="R27" s="125">
        <v>236</v>
      </c>
      <c r="S27" s="181">
        <v>263</v>
      </c>
      <c r="T27" s="181">
        <v>256</v>
      </c>
      <c r="U27" s="181">
        <f>279-27-120</f>
        <v>132</v>
      </c>
      <c r="V27" s="101">
        <f t="shared" si="2"/>
        <v>3.0225931184502786E-2</v>
      </c>
      <c r="W27" s="21">
        <f t="shared" si="6"/>
        <v>0.08</v>
      </c>
      <c r="X27" s="131">
        <f t="shared" si="7"/>
        <v>142.56</v>
      </c>
      <c r="Y27" s="131">
        <f t="shared" si="37"/>
        <v>153.96480000000003</v>
      </c>
      <c r="Z27" s="131">
        <f t="shared" si="38"/>
        <v>166.28198400000005</v>
      </c>
      <c r="AA27" s="131">
        <f t="shared" si="39"/>
        <v>179.58454272000006</v>
      </c>
      <c r="AB27" s="131">
        <f t="shared" si="40"/>
        <v>193.95130613760008</v>
      </c>
      <c r="AC27" s="131">
        <f t="shared" si="41"/>
        <v>209.46741062860809</v>
      </c>
      <c r="AD27" s="131">
        <f t="shared" si="42"/>
        <v>226.22480347889675</v>
      </c>
      <c r="AE27" s="131">
        <f t="shared" si="43"/>
        <v>244.32278775720849</v>
      </c>
      <c r="AF27" s="131">
        <f t="shared" si="44"/>
        <v>263.86861077778519</v>
      </c>
      <c r="AG27" s="131">
        <f t="shared" si="45"/>
        <v>284.97809964000805</v>
      </c>
      <c r="AH27" s="116">
        <f t="shared" si="19"/>
        <v>2.9813100618627519E-2</v>
      </c>
      <c r="AI27" s="21">
        <f t="shared" si="17"/>
        <v>0.05</v>
      </c>
      <c r="AJ27" s="124">
        <f t="shared" si="1"/>
        <v>4274.6714946001212</v>
      </c>
    </row>
    <row r="28" spans="2:36" s="106" customFormat="1">
      <c r="B28" s="13"/>
      <c r="C28" s="126"/>
      <c r="D28" s="126"/>
      <c r="E28" s="127"/>
      <c r="F28" s="271"/>
      <c r="G28" s="271">
        <f t="shared" ref="G28:R28" si="68">(G27-F27)/G27</f>
        <v>0.17241379310344829</v>
      </c>
      <c r="H28" s="271">
        <f t="shared" si="68"/>
        <v>0.23008849557522124</v>
      </c>
      <c r="I28" s="271">
        <f t="shared" si="68"/>
        <v>0.16296296296296298</v>
      </c>
      <c r="J28" s="271">
        <f t="shared" si="68"/>
        <v>6.8965517241379309E-2</v>
      </c>
      <c r="K28" s="271">
        <f t="shared" si="68"/>
        <v>-5.8394160583941604E-2</v>
      </c>
      <c r="L28" s="271">
        <f t="shared" si="68"/>
        <v>-0.12295081967213115</v>
      </c>
      <c r="M28" s="271">
        <f t="shared" si="68"/>
        <v>8.130081300813009E-3</v>
      </c>
      <c r="N28" s="271">
        <f t="shared" si="68"/>
        <v>0.19607843137254902</v>
      </c>
      <c r="O28" s="271">
        <f t="shared" si="68"/>
        <v>5.5555555555555552E-2</v>
      </c>
      <c r="P28" s="271">
        <f t="shared" si="68"/>
        <v>7.4285714285714288E-2</v>
      </c>
      <c r="Q28" s="271">
        <f t="shared" si="68"/>
        <v>8.8541666666666671E-2</v>
      </c>
      <c r="R28" s="271">
        <f t="shared" si="68"/>
        <v>0.1864406779661017</v>
      </c>
      <c r="S28" s="128">
        <f t="shared" ref="S28:U28" si="69">(S27-R27)/R27</f>
        <v>0.11440677966101695</v>
      </c>
      <c r="T28" s="128">
        <f t="shared" si="69"/>
        <v>-2.6615969581749048E-2</v>
      </c>
      <c r="U28" s="128">
        <f t="shared" si="69"/>
        <v>-0.484375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>
        <v>4</v>
      </c>
      <c r="G29" s="125">
        <v>4</v>
      </c>
      <c r="H29" s="125">
        <v>6</v>
      </c>
      <c r="I29" s="125">
        <v>7</v>
      </c>
      <c r="J29" s="125">
        <v>7</v>
      </c>
      <c r="K29" s="125">
        <v>9</v>
      </c>
      <c r="L29" s="125">
        <v>16</v>
      </c>
      <c r="M29" s="125">
        <v>20</v>
      </c>
      <c r="N29" s="125">
        <v>25</v>
      </c>
      <c r="O29" s="125">
        <v>28</v>
      </c>
      <c r="P29" s="125">
        <v>34</v>
      </c>
      <c r="Q29" s="125">
        <v>32</v>
      </c>
      <c r="R29" s="125">
        <v>32</v>
      </c>
      <c r="S29" s="181">
        <v>37</v>
      </c>
      <c r="T29" s="181">
        <v>33</v>
      </c>
      <c r="U29" s="181">
        <v>27</v>
      </c>
      <c r="V29" s="101">
        <f t="shared" si="2"/>
        <v>0.1461355510668394</v>
      </c>
      <c r="W29" s="21">
        <f t="shared" si="6"/>
        <v>0.08</v>
      </c>
      <c r="X29" s="131">
        <f t="shared" si="7"/>
        <v>29.160000000000004</v>
      </c>
      <c r="Y29" s="131">
        <f t="shared" ref="Y29" si="70">X29*(1+$W29)</f>
        <v>31.492800000000006</v>
      </c>
      <c r="Z29" s="131">
        <f t="shared" ref="Z29" si="71">Y29*(1+$W29)</f>
        <v>34.01222400000001</v>
      </c>
      <c r="AA29" s="131">
        <f t="shared" ref="AA29" si="72">Z29*(1+$W29)</f>
        <v>36.733201920000013</v>
      </c>
      <c r="AB29" s="131">
        <f t="shared" ref="AB29" si="73">AA29*(1+$W29)</f>
        <v>39.671858073600013</v>
      </c>
      <c r="AC29" s="131">
        <f t="shared" ref="AC29" si="74">AB29*(1+$W29)</f>
        <v>42.845606719488018</v>
      </c>
      <c r="AD29" s="131">
        <f t="shared" ref="AD29" si="75">AC29*(1+$W29)</f>
        <v>46.273255257047062</v>
      </c>
      <c r="AE29" s="131">
        <f t="shared" ref="AE29" si="76">AD29*(1+$W29)</f>
        <v>49.97511567761083</v>
      </c>
      <c r="AF29" s="131">
        <f t="shared" ref="AF29" si="77">AE29*(1+$W29)</f>
        <v>53.973124931819697</v>
      </c>
      <c r="AG29" s="131">
        <f t="shared" ref="AG29" si="78">AF29*(1+$W29)</f>
        <v>58.29097492636528</v>
      </c>
      <c r="AH29" s="116">
        <f t="shared" ref="AH29" si="79">((AG29/J29)^(1/($AG$3-$K$1) ))-1</f>
        <v>9.6533443005159425E-2</v>
      </c>
      <c r="AI29" s="21">
        <f t="shared" si="17"/>
        <v>0.05</v>
      </c>
      <c r="AJ29" s="124">
        <f t="shared" ref="AJ29" si="80">(AG29*(1+AI29))/($C$1-AI29)</f>
        <v>874.36462389547933</v>
      </c>
    </row>
    <row r="30" spans="2:36" s="106" customFormat="1">
      <c r="B30" s="13"/>
      <c r="C30" s="126"/>
      <c r="D30" s="126"/>
      <c r="E30" s="127"/>
      <c r="F30" s="271"/>
      <c r="G30" s="271">
        <f t="shared" ref="G30:R30" si="81">(G29-F29)/G29</f>
        <v>0</v>
      </c>
      <c r="H30" s="271">
        <f t="shared" si="81"/>
        <v>0.33333333333333331</v>
      </c>
      <c r="I30" s="271">
        <f t="shared" si="81"/>
        <v>0.14285714285714285</v>
      </c>
      <c r="J30" s="271">
        <f t="shared" si="81"/>
        <v>0</v>
      </c>
      <c r="K30" s="271">
        <f t="shared" si="81"/>
        <v>0.22222222222222221</v>
      </c>
      <c r="L30" s="271">
        <f t="shared" si="81"/>
        <v>0.4375</v>
      </c>
      <c r="M30" s="271">
        <f t="shared" si="81"/>
        <v>0.2</v>
      </c>
      <c r="N30" s="271">
        <f t="shared" si="81"/>
        <v>0.2</v>
      </c>
      <c r="O30" s="271">
        <f t="shared" si="81"/>
        <v>0.10714285714285714</v>
      </c>
      <c r="P30" s="271">
        <f t="shared" si="81"/>
        <v>0.17647058823529413</v>
      </c>
      <c r="Q30" s="271">
        <f t="shared" si="81"/>
        <v>-6.25E-2</v>
      </c>
      <c r="R30" s="271">
        <f t="shared" si="81"/>
        <v>0</v>
      </c>
      <c r="S30" s="128">
        <f t="shared" ref="S30:U30" si="82">(S29-R29)/R29</f>
        <v>0.15625</v>
      </c>
      <c r="T30" s="128">
        <f t="shared" si="82"/>
        <v>-0.10810810810810811</v>
      </c>
      <c r="U30" s="128">
        <f t="shared" si="82"/>
        <v>-0.18181818181818182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8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1">
        <v>0</v>
      </c>
      <c r="T31" s="181">
        <v>0</v>
      </c>
      <c r="U31" s="181">
        <v>0</v>
      </c>
      <c r="V31" s="101" t="e">
        <f t="shared" si="2"/>
        <v>#DIV/0!</v>
      </c>
      <c r="W31" s="21">
        <f t="shared" si="6"/>
        <v>0.08</v>
      </c>
      <c r="X31" s="131">
        <f t="shared" si="7"/>
        <v>0</v>
      </c>
      <c r="Y31" s="131">
        <f>X31*(1+$W31)</f>
        <v>0</v>
      </c>
      <c r="Z31" s="131">
        <f t="shared" ref="Z31:AG32" si="83">Y31*(1+$W31)</f>
        <v>0</v>
      </c>
      <c r="AA31" s="131">
        <f t="shared" si="83"/>
        <v>0</v>
      </c>
      <c r="AB31" s="131">
        <f t="shared" si="83"/>
        <v>0</v>
      </c>
      <c r="AC31" s="131">
        <f t="shared" si="83"/>
        <v>0</v>
      </c>
      <c r="AD31" s="131">
        <f t="shared" si="83"/>
        <v>0</v>
      </c>
      <c r="AE31" s="131">
        <f t="shared" si="83"/>
        <v>0</v>
      </c>
      <c r="AF31" s="131">
        <f t="shared" si="83"/>
        <v>0</v>
      </c>
      <c r="AG31" s="131">
        <f t="shared" si="83"/>
        <v>0</v>
      </c>
      <c r="AH31" s="116" t="e">
        <f t="shared" ref="AH31" si="84">((AG31/J31)^(1/($AG$3-$K$1) ))-1</f>
        <v>#DIV/0!</v>
      </c>
      <c r="AI31" s="21">
        <f t="shared" si="17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1"/>
      <c r="T32" s="181"/>
      <c r="U32" s="181"/>
      <c r="V32" s="101" t="e">
        <f t="shared" si="2"/>
        <v>#DIV/0!</v>
      </c>
      <c r="W32" s="21">
        <f t="shared" si="6"/>
        <v>0.08</v>
      </c>
      <c r="X32" s="131">
        <f t="shared" si="7"/>
        <v>0</v>
      </c>
      <c r="Y32" s="131">
        <f>X32*(1+$W32)</f>
        <v>0</v>
      </c>
      <c r="Z32" s="131">
        <f t="shared" si="83"/>
        <v>0</v>
      </c>
      <c r="AA32" s="131">
        <f t="shared" si="83"/>
        <v>0</v>
      </c>
      <c r="AB32" s="131">
        <f t="shared" si="83"/>
        <v>0</v>
      </c>
      <c r="AC32" s="131">
        <f t="shared" si="83"/>
        <v>0</v>
      </c>
      <c r="AD32" s="131">
        <f t="shared" si="83"/>
        <v>0</v>
      </c>
      <c r="AE32" s="131">
        <f t="shared" si="83"/>
        <v>0</v>
      </c>
      <c r="AF32" s="131">
        <f t="shared" si="83"/>
        <v>0</v>
      </c>
      <c r="AG32" s="131">
        <f t="shared" si="83"/>
        <v>0</v>
      </c>
      <c r="AH32" s="116" t="e">
        <f t="shared" ref="AH32" si="85">((AG32/J32)^(1/($AG$3-$K$1) ))-1</f>
        <v>#DIV/0!</v>
      </c>
      <c r="AI32" s="21">
        <f t="shared" si="17"/>
        <v>0.05</v>
      </c>
      <c r="AJ32" s="124">
        <f t="shared" si="1"/>
        <v>0</v>
      </c>
    </row>
    <row r="33" spans="1:36">
      <c r="B33" s="10" t="s">
        <v>509</v>
      </c>
      <c r="C33" s="119"/>
      <c r="D33" s="119"/>
      <c r="E33" s="125"/>
      <c r="F33" s="125">
        <v>41</v>
      </c>
      <c r="G33" s="125">
        <v>50</v>
      </c>
      <c r="H33" s="125">
        <v>72</v>
      </c>
      <c r="I33" s="125">
        <v>80</v>
      </c>
      <c r="J33" s="125">
        <v>86</v>
      </c>
      <c r="K33" s="125">
        <v>74</v>
      </c>
      <c r="L33" s="125">
        <v>63</v>
      </c>
      <c r="M33" s="125">
        <v>65</v>
      </c>
      <c r="N33" s="125">
        <v>80</v>
      </c>
      <c r="O33" s="125">
        <v>84</v>
      </c>
      <c r="P33" s="125">
        <v>81</v>
      </c>
      <c r="Q33" s="125">
        <v>93</v>
      </c>
      <c r="R33" s="125">
        <v>124</v>
      </c>
      <c r="S33" s="181">
        <v>137</v>
      </c>
      <c r="T33" s="181">
        <v>128</v>
      </c>
      <c r="U33" s="181">
        <v>128</v>
      </c>
      <c r="V33" s="101">
        <f t="shared" si="2"/>
        <v>6.9448800053393267E-2</v>
      </c>
      <c r="W33" s="21">
        <f t="shared" si="6"/>
        <v>0.08</v>
      </c>
      <c r="X33" s="131">
        <f t="shared" si="7"/>
        <v>138.24</v>
      </c>
      <c r="Y33" s="131">
        <f t="shared" si="37"/>
        <v>149.29920000000001</v>
      </c>
      <c r="Z33" s="131">
        <f t="shared" si="38"/>
        <v>161.24313600000002</v>
      </c>
      <c r="AA33" s="131">
        <f t="shared" si="39"/>
        <v>174.14258688000004</v>
      </c>
      <c r="AB33" s="131">
        <f t="shared" si="40"/>
        <v>188.07399383040004</v>
      </c>
      <c r="AC33" s="131">
        <f t="shared" si="41"/>
        <v>203.11991333683207</v>
      </c>
      <c r="AD33" s="131">
        <f t="shared" si="42"/>
        <v>219.36950640377864</v>
      </c>
      <c r="AE33" s="131">
        <f t="shared" si="43"/>
        <v>236.91906691608096</v>
      </c>
      <c r="AF33" s="131">
        <f t="shared" si="44"/>
        <v>255.87259226936746</v>
      </c>
      <c r="AG33" s="131">
        <f t="shared" si="45"/>
        <v>276.34239965091689</v>
      </c>
      <c r="AH33" s="116">
        <f t="shared" si="19"/>
        <v>5.2061829675967619E-2</v>
      </c>
      <c r="AI33" s="21">
        <f t="shared" si="17"/>
        <v>0.05</v>
      </c>
      <c r="AJ33" s="124">
        <f t="shared" si="1"/>
        <v>4145.1359947637538</v>
      </c>
    </row>
    <row r="34" spans="1:36">
      <c r="B34" s="10" t="s">
        <v>510</v>
      </c>
      <c r="C34" s="119"/>
      <c r="D34" s="119"/>
      <c r="E34" s="125"/>
      <c r="F34" s="125">
        <v>0.79</v>
      </c>
      <c r="G34" s="125">
        <v>1</v>
      </c>
      <c r="H34" s="125">
        <v>1</v>
      </c>
      <c r="I34" s="125">
        <v>1</v>
      </c>
      <c r="J34" s="125">
        <v>1</v>
      </c>
      <c r="K34" s="125">
        <v>2</v>
      </c>
      <c r="L34" s="125">
        <v>5</v>
      </c>
      <c r="M34" s="125">
        <v>2</v>
      </c>
      <c r="N34" s="125">
        <v>39</v>
      </c>
      <c r="O34" s="125">
        <v>40</v>
      </c>
      <c r="P34" s="125">
        <v>52</v>
      </c>
      <c r="Q34" s="125">
        <v>53</v>
      </c>
      <c r="R34" s="125">
        <v>59</v>
      </c>
      <c r="S34" s="181">
        <v>68</v>
      </c>
      <c r="T34" s="181">
        <v>70</v>
      </c>
      <c r="U34" s="181">
        <v>120</v>
      </c>
      <c r="V34" s="101">
        <f t="shared" si="2"/>
        <v>0.40770919098948455</v>
      </c>
      <c r="W34" s="21">
        <f t="shared" si="6"/>
        <v>0.08</v>
      </c>
      <c r="X34" s="131">
        <f t="shared" si="7"/>
        <v>129.60000000000002</v>
      </c>
      <c r="Y34" s="131">
        <f t="shared" si="37"/>
        <v>139.96800000000005</v>
      </c>
      <c r="Z34" s="131">
        <f t="shared" si="38"/>
        <v>151.16544000000005</v>
      </c>
      <c r="AA34" s="131">
        <f t="shared" si="39"/>
        <v>163.25867520000006</v>
      </c>
      <c r="AB34" s="131">
        <f t="shared" si="40"/>
        <v>176.31936921600007</v>
      </c>
      <c r="AC34" s="131">
        <f t="shared" si="41"/>
        <v>190.42491875328008</v>
      </c>
      <c r="AD34" s="131">
        <f t="shared" si="42"/>
        <v>205.6589122535425</v>
      </c>
      <c r="AE34" s="131">
        <f t="shared" si="43"/>
        <v>222.11162523382592</v>
      </c>
      <c r="AF34" s="131">
        <f t="shared" si="44"/>
        <v>239.88055525253202</v>
      </c>
      <c r="AG34" s="131">
        <f t="shared" si="45"/>
        <v>259.07099967273462</v>
      </c>
      <c r="AH34" s="116">
        <f t="shared" si="19"/>
        <v>0.27330150445502421</v>
      </c>
      <c r="AI34" s="21">
        <f t="shared" si="17"/>
        <v>0.05</v>
      </c>
      <c r="AJ34" s="124">
        <f t="shared" si="1"/>
        <v>3886.0649950910197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1" t="s">
        <v>423</v>
      </c>
      <c r="B36" s="178" t="s">
        <v>417</v>
      </c>
      <c r="C36" s="119"/>
      <c r="D36" s="119"/>
      <c r="E36" s="125"/>
      <c r="F36" s="181"/>
      <c r="G36" s="181">
        <f t="shared" ref="G36:I36" si="86">H36</f>
        <v>0</v>
      </c>
      <c r="H36" s="181">
        <f t="shared" si="86"/>
        <v>0</v>
      </c>
      <c r="I36" s="181">
        <f t="shared" si="86"/>
        <v>0</v>
      </c>
      <c r="J36" s="181">
        <f>K36</f>
        <v>0</v>
      </c>
      <c r="K36" s="181">
        <v>0</v>
      </c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>
        <v>0</v>
      </c>
      <c r="U36" s="181">
        <v>0</v>
      </c>
      <c r="V36" s="101" t="e">
        <f t="shared" si="2"/>
        <v>#DIV/0!</v>
      </c>
      <c r="W36" s="21">
        <f t="shared" si="6"/>
        <v>0.08</v>
      </c>
      <c r="X36" s="131">
        <f t="shared" si="7"/>
        <v>0</v>
      </c>
      <c r="Y36" s="131">
        <f t="shared" ref="Y36:Y49" si="87">X36*(1+$W36)</f>
        <v>0</v>
      </c>
      <c r="Z36" s="131">
        <f t="shared" ref="Z36:Z49" si="88">Y36*(1+$W36)</f>
        <v>0</v>
      </c>
      <c r="AA36" s="131">
        <f t="shared" ref="AA36:AA49" si="89">Z36*(1+$W36)</f>
        <v>0</v>
      </c>
      <c r="AB36" s="131">
        <f t="shared" ref="AB36:AB49" si="90">AA36*(1+$W36)</f>
        <v>0</v>
      </c>
      <c r="AC36" s="131">
        <f t="shared" ref="AC36:AC49" si="91">AB36*(1+$W36)</f>
        <v>0</v>
      </c>
      <c r="AD36" s="131">
        <f t="shared" ref="AD36:AD49" si="92">AC36*(1+$W36)</f>
        <v>0</v>
      </c>
      <c r="AE36" s="131">
        <f t="shared" ref="AE36:AE49" si="93">AD36*(1+$W36)</f>
        <v>0</v>
      </c>
      <c r="AF36" s="131">
        <f t="shared" ref="AF36:AF49" si="94">AE36*(1+$W36)</f>
        <v>0</v>
      </c>
      <c r="AG36" s="131">
        <f t="shared" ref="AG36:AG49" si="95">AF36*(1+$W36)</f>
        <v>0</v>
      </c>
      <c r="AH36" s="116" t="e">
        <f t="shared" ref="AH36:AH49" si="96">((AG36/J36)^(1/($AG$3-$K$1) ))-1</f>
        <v>#DIV/0!</v>
      </c>
      <c r="AI36" s="21">
        <f t="shared" si="17"/>
        <v>0.05</v>
      </c>
      <c r="AJ36" s="124">
        <f t="shared" ref="AJ36:AJ49" si="97">(AG36*(1+AI36))/($C$1-AI36)</f>
        <v>0</v>
      </c>
    </row>
    <row r="37" spans="1:36">
      <c r="A37" s="301"/>
      <c r="B37" s="178"/>
      <c r="C37" s="119"/>
      <c r="D37" s="119"/>
      <c r="E37" s="125"/>
      <c r="F37" s="128"/>
      <c r="G37" s="128" t="e">
        <f t="shared" ref="G37:H37" si="98">(G36-E36)/E36</f>
        <v>#DIV/0!</v>
      </c>
      <c r="H37" s="128" t="e">
        <f t="shared" si="98"/>
        <v>#DIV/0!</v>
      </c>
      <c r="I37" s="128" t="e">
        <f t="shared" ref="I37:U37" si="99">(I36-H36)/H36</f>
        <v>#DIV/0!</v>
      </c>
      <c r="J37" s="128" t="e">
        <f t="shared" si="99"/>
        <v>#DIV/0!</v>
      </c>
      <c r="K37" s="128" t="e">
        <f t="shared" si="99"/>
        <v>#DIV/0!</v>
      </c>
      <c r="L37" s="128" t="e">
        <f t="shared" si="99"/>
        <v>#DIV/0!</v>
      </c>
      <c r="M37" s="128" t="e">
        <f t="shared" si="99"/>
        <v>#DIV/0!</v>
      </c>
      <c r="N37" s="128" t="e">
        <f t="shared" si="99"/>
        <v>#DIV/0!</v>
      </c>
      <c r="O37" s="128" t="e">
        <f t="shared" si="99"/>
        <v>#DIV/0!</v>
      </c>
      <c r="P37" s="128" t="e">
        <f t="shared" si="99"/>
        <v>#DIV/0!</v>
      </c>
      <c r="Q37" s="128" t="e">
        <f t="shared" si="99"/>
        <v>#DIV/0!</v>
      </c>
      <c r="R37" s="128" t="e">
        <f t="shared" si="99"/>
        <v>#DIV/0!</v>
      </c>
      <c r="S37" s="128" t="e">
        <f t="shared" si="99"/>
        <v>#DIV/0!</v>
      </c>
      <c r="T37" s="128" t="e">
        <f t="shared" si="99"/>
        <v>#DIV/0!</v>
      </c>
      <c r="U37" s="128" t="e">
        <f t="shared" si="99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1"/>
      <c r="B38" s="178" t="s">
        <v>418</v>
      </c>
      <c r="C38" s="119"/>
      <c r="D38" s="119"/>
      <c r="E38" s="125"/>
      <c r="F38" s="181"/>
      <c r="G38" s="181">
        <f t="shared" ref="G38:I38" si="100">H38</f>
        <v>0</v>
      </c>
      <c r="H38" s="181">
        <f t="shared" si="100"/>
        <v>0</v>
      </c>
      <c r="I38" s="181">
        <f t="shared" si="100"/>
        <v>0</v>
      </c>
      <c r="J38" s="181">
        <f>K38</f>
        <v>0</v>
      </c>
      <c r="K38" s="181">
        <v>0</v>
      </c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>
        <v>0</v>
      </c>
      <c r="U38" s="181">
        <v>0</v>
      </c>
      <c r="V38" s="101" t="e">
        <f t="shared" si="2"/>
        <v>#DIV/0!</v>
      </c>
      <c r="W38" s="21">
        <f t="shared" si="6"/>
        <v>0.08</v>
      </c>
      <c r="X38" s="131">
        <f t="shared" si="7"/>
        <v>0</v>
      </c>
      <c r="Y38" s="131">
        <f t="shared" si="87"/>
        <v>0</v>
      </c>
      <c r="Z38" s="131">
        <f t="shared" si="88"/>
        <v>0</v>
      </c>
      <c r="AA38" s="131">
        <f t="shared" si="89"/>
        <v>0</v>
      </c>
      <c r="AB38" s="131">
        <f t="shared" si="90"/>
        <v>0</v>
      </c>
      <c r="AC38" s="131">
        <f t="shared" si="91"/>
        <v>0</v>
      </c>
      <c r="AD38" s="131">
        <f t="shared" si="92"/>
        <v>0</v>
      </c>
      <c r="AE38" s="131">
        <f t="shared" si="93"/>
        <v>0</v>
      </c>
      <c r="AF38" s="131">
        <f t="shared" si="94"/>
        <v>0</v>
      </c>
      <c r="AG38" s="131">
        <f t="shared" si="95"/>
        <v>0</v>
      </c>
      <c r="AH38" s="116" t="e">
        <f t="shared" si="96"/>
        <v>#DIV/0!</v>
      </c>
      <c r="AI38" s="21">
        <f t="shared" si="17"/>
        <v>0.05</v>
      </c>
      <c r="AJ38" s="124">
        <f t="shared" si="97"/>
        <v>0</v>
      </c>
    </row>
    <row r="39" spans="1:36">
      <c r="A39" s="301"/>
      <c r="B39" s="178"/>
      <c r="C39" s="119"/>
      <c r="D39" s="119"/>
      <c r="E39" s="125"/>
      <c r="F39" s="128"/>
      <c r="G39" s="128" t="e">
        <f t="shared" ref="G39:H39" si="101">(G38-E38)/E38</f>
        <v>#DIV/0!</v>
      </c>
      <c r="H39" s="128" t="e">
        <f t="shared" si="101"/>
        <v>#DIV/0!</v>
      </c>
      <c r="I39" s="128" t="e">
        <f t="shared" ref="I39:U39" si="102">(I38-H38)/H38</f>
        <v>#DIV/0!</v>
      </c>
      <c r="J39" s="128" t="e">
        <f t="shared" si="102"/>
        <v>#DIV/0!</v>
      </c>
      <c r="K39" s="128" t="e">
        <f t="shared" si="102"/>
        <v>#DIV/0!</v>
      </c>
      <c r="L39" s="128" t="e">
        <f t="shared" si="102"/>
        <v>#DIV/0!</v>
      </c>
      <c r="M39" s="128" t="e">
        <f t="shared" si="102"/>
        <v>#DIV/0!</v>
      </c>
      <c r="N39" s="128" t="e">
        <f t="shared" si="102"/>
        <v>#DIV/0!</v>
      </c>
      <c r="O39" s="128" t="e">
        <f t="shared" si="102"/>
        <v>#DIV/0!</v>
      </c>
      <c r="P39" s="128" t="e">
        <f t="shared" si="102"/>
        <v>#DIV/0!</v>
      </c>
      <c r="Q39" s="128" t="e">
        <f t="shared" si="102"/>
        <v>#DIV/0!</v>
      </c>
      <c r="R39" s="128" t="e">
        <f t="shared" si="102"/>
        <v>#DIV/0!</v>
      </c>
      <c r="S39" s="128" t="e">
        <f t="shared" si="102"/>
        <v>#DIV/0!</v>
      </c>
      <c r="T39" s="128" t="e">
        <f t="shared" si="102"/>
        <v>#DIV/0!</v>
      </c>
      <c r="U39" s="128" t="e">
        <f t="shared" si="102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1"/>
      <c r="B40" s="178" t="s">
        <v>422</v>
      </c>
      <c r="C40" s="119"/>
      <c r="D40" s="119"/>
      <c r="E40" s="125"/>
      <c r="F40" s="181"/>
      <c r="G40" s="181">
        <f t="shared" ref="G40:I43" si="103">H40</f>
        <v>0</v>
      </c>
      <c r="H40" s="181">
        <f t="shared" si="103"/>
        <v>0</v>
      </c>
      <c r="I40" s="181">
        <f t="shared" si="103"/>
        <v>0</v>
      </c>
      <c r="J40" s="181">
        <f>K40</f>
        <v>0</v>
      </c>
      <c r="K40" s="181">
        <v>0</v>
      </c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>
        <v>0</v>
      </c>
      <c r="U40" s="181">
        <v>0</v>
      </c>
      <c r="V40" s="101" t="e">
        <f t="shared" si="2"/>
        <v>#DIV/0!</v>
      </c>
      <c r="W40" s="21">
        <f t="shared" si="6"/>
        <v>0.08</v>
      </c>
      <c r="X40" s="131">
        <f t="shared" si="7"/>
        <v>0</v>
      </c>
      <c r="Y40" s="131">
        <f t="shared" si="87"/>
        <v>0</v>
      </c>
      <c r="Z40" s="131">
        <f t="shared" si="88"/>
        <v>0</v>
      </c>
      <c r="AA40" s="131">
        <f t="shared" si="89"/>
        <v>0</v>
      </c>
      <c r="AB40" s="131">
        <f t="shared" si="90"/>
        <v>0</v>
      </c>
      <c r="AC40" s="131">
        <f t="shared" si="91"/>
        <v>0</v>
      </c>
      <c r="AD40" s="131">
        <f t="shared" si="92"/>
        <v>0</v>
      </c>
      <c r="AE40" s="131">
        <f t="shared" si="93"/>
        <v>0</v>
      </c>
      <c r="AF40" s="131">
        <f t="shared" si="94"/>
        <v>0</v>
      </c>
      <c r="AG40" s="131">
        <f t="shared" si="95"/>
        <v>0</v>
      </c>
      <c r="AH40" s="116" t="e">
        <f t="shared" si="96"/>
        <v>#DIV/0!</v>
      </c>
      <c r="AI40" s="21">
        <f t="shared" si="17"/>
        <v>0.05</v>
      </c>
      <c r="AJ40" s="124">
        <f t="shared" si="97"/>
        <v>0</v>
      </c>
    </row>
    <row r="41" spans="1:36">
      <c r="A41" s="301"/>
      <c r="B41" s="178" t="s">
        <v>419</v>
      </c>
      <c r="C41" s="119"/>
      <c r="D41" s="119"/>
      <c r="E41" s="125"/>
      <c r="F41" s="181"/>
      <c r="G41" s="181">
        <f t="shared" si="103"/>
        <v>0</v>
      </c>
      <c r="H41" s="181">
        <f t="shared" si="103"/>
        <v>0</v>
      </c>
      <c r="I41" s="181">
        <f t="shared" si="103"/>
        <v>0</v>
      </c>
      <c r="J41" s="181">
        <f>K41</f>
        <v>0</v>
      </c>
      <c r="K41" s="181">
        <v>0</v>
      </c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>
        <v>0</v>
      </c>
      <c r="U41" s="181">
        <v>0</v>
      </c>
      <c r="V41" s="101" t="e">
        <f t="shared" si="2"/>
        <v>#DIV/0!</v>
      </c>
      <c r="W41" s="21">
        <f t="shared" si="6"/>
        <v>0.08</v>
      </c>
      <c r="X41" s="131">
        <f t="shared" si="7"/>
        <v>0</v>
      </c>
      <c r="Y41" s="131">
        <f t="shared" si="87"/>
        <v>0</v>
      </c>
      <c r="Z41" s="131">
        <f t="shared" si="88"/>
        <v>0</v>
      </c>
      <c r="AA41" s="131">
        <f t="shared" si="89"/>
        <v>0</v>
      </c>
      <c r="AB41" s="131">
        <f t="shared" si="90"/>
        <v>0</v>
      </c>
      <c r="AC41" s="131">
        <f t="shared" si="91"/>
        <v>0</v>
      </c>
      <c r="AD41" s="131">
        <f t="shared" si="92"/>
        <v>0</v>
      </c>
      <c r="AE41" s="131">
        <f t="shared" si="93"/>
        <v>0</v>
      </c>
      <c r="AF41" s="131">
        <f t="shared" si="94"/>
        <v>0</v>
      </c>
      <c r="AG41" s="131">
        <f t="shared" si="95"/>
        <v>0</v>
      </c>
      <c r="AH41" s="116" t="e">
        <f t="shared" si="96"/>
        <v>#DIV/0!</v>
      </c>
      <c r="AI41" s="21">
        <f t="shared" si="17"/>
        <v>0.05</v>
      </c>
      <c r="AJ41" s="124">
        <f t="shared" si="97"/>
        <v>0</v>
      </c>
    </row>
    <row r="42" spans="1:36">
      <c r="A42" s="301"/>
      <c r="B42" s="178" t="s">
        <v>421</v>
      </c>
      <c r="C42" s="119"/>
      <c r="D42" s="119"/>
      <c r="E42" s="125"/>
      <c r="F42" s="181"/>
      <c r="G42" s="181">
        <f t="shared" si="103"/>
        <v>0</v>
      </c>
      <c r="H42" s="181">
        <f t="shared" si="103"/>
        <v>0</v>
      </c>
      <c r="I42" s="181">
        <f t="shared" si="103"/>
        <v>0</v>
      </c>
      <c r="J42" s="181">
        <f>K42</f>
        <v>0</v>
      </c>
      <c r="K42" s="181">
        <v>0</v>
      </c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>
        <v>0</v>
      </c>
      <c r="U42" s="181">
        <v>0</v>
      </c>
      <c r="V42" s="101" t="e">
        <f t="shared" si="2"/>
        <v>#DIV/0!</v>
      </c>
      <c r="W42" s="21">
        <f t="shared" si="6"/>
        <v>0.08</v>
      </c>
      <c r="X42" s="131">
        <f t="shared" si="7"/>
        <v>0</v>
      </c>
      <c r="Y42" s="131">
        <f t="shared" si="87"/>
        <v>0</v>
      </c>
      <c r="Z42" s="131">
        <f t="shared" si="88"/>
        <v>0</v>
      </c>
      <c r="AA42" s="131">
        <f t="shared" si="89"/>
        <v>0</v>
      </c>
      <c r="AB42" s="131">
        <f t="shared" si="90"/>
        <v>0</v>
      </c>
      <c r="AC42" s="131">
        <f t="shared" si="91"/>
        <v>0</v>
      </c>
      <c r="AD42" s="131">
        <f t="shared" si="92"/>
        <v>0</v>
      </c>
      <c r="AE42" s="131">
        <f t="shared" si="93"/>
        <v>0</v>
      </c>
      <c r="AF42" s="131">
        <f t="shared" si="94"/>
        <v>0</v>
      </c>
      <c r="AG42" s="131">
        <f t="shared" si="95"/>
        <v>0</v>
      </c>
      <c r="AH42" s="116" t="e">
        <f t="shared" si="96"/>
        <v>#DIV/0!</v>
      </c>
      <c r="AI42" s="21">
        <f t="shared" si="17"/>
        <v>0.05</v>
      </c>
      <c r="AJ42" s="124">
        <f t="shared" si="97"/>
        <v>0</v>
      </c>
    </row>
    <row r="43" spans="1:36">
      <c r="A43" s="301"/>
      <c r="B43" s="178" t="s">
        <v>420</v>
      </c>
      <c r="C43" s="119"/>
      <c r="D43" s="119"/>
      <c r="E43" s="125"/>
      <c r="F43" s="181"/>
      <c r="G43" s="181">
        <f t="shared" si="103"/>
        <v>0</v>
      </c>
      <c r="H43" s="181">
        <f t="shared" si="103"/>
        <v>0</v>
      </c>
      <c r="I43" s="181">
        <f t="shared" si="103"/>
        <v>0</v>
      </c>
      <c r="J43" s="181">
        <f>K43</f>
        <v>0</v>
      </c>
      <c r="K43" s="181">
        <v>0</v>
      </c>
      <c r="L43" s="181">
        <v>0</v>
      </c>
      <c r="M43" s="181">
        <v>0</v>
      </c>
      <c r="N43" s="181">
        <v>0</v>
      </c>
      <c r="O43" s="181">
        <v>0</v>
      </c>
      <c r="P43" s="181">
        <v>0</v>
      </c>
      <c r="Q43" s="181">
        <v>0</v>
      </c>
      <c r="R43" s="181">
        <v>0</v>
      </c>
      <c r="S43" s="181">
        <v>0</v>
      </c>
      <c r="T43" s="181">
        <v>0</v>
      </c>
      <c r="U43" s="181">
        <v>0</v>
      </c>
      <c r="V43" s="101" t="e">
        <f t="shared" si="2"/>
        <v>#DIV/0!</v>
      </c>
      <c r="W43" s="21">
        <f t="shared" si="6"/>
        <v>0.08</v>
      </c>
      <c r="X43" s="131">
        <f t="shared" si="7"/>
        <v>0</v>
      </c>
      <c r="Y43" s="131">
        <f t="shared" si="87"/>
        <v>0</v>
      </c>
      <c r="Z43" s="131">
        <f t="shared" si="88"/>
        <v>0</v>
      </c>
      <c r="AA43" s="131">
        <f t="shared" si="89"/>
        <v>0</v>
      </c>
      <c r="AB43" s="131">
        <f t="shared" si="90"/>
        <v>0</v>
      </c>
      <c r="AC43" s="131">
        <f t="shared" si="91"/>
        <v>0</v>
      </c>
      <c r="AD43" s="131">
        <f t="shared" si="92"/>
        <v>0</v>
      </c>
      <c r="AE43" s="131">
        <f t="shared" si="93"/>
        <v>0</v>
      </c>
      <c r="AF43" s="131">
        <f t="shared" si="94"/>
        <v>0</v>
      </c>
      <c r="AG43" s="131">
        <f t="shared" si="95"/>
        <v>0</v>
      </c>
      <c r="AH43" s="116" t="e">
        <f t="shared" si="96"/>
        <v>#DIV/0!</v>
      </c>
      <c r="AI43" s="21">
        <f t="shared" si="17"/>
        <v>0.05</v>
      </c>
      <c r="AJ43" s="124">
        <f t="shared" si="97"/>
        <v>0</v>
      </c>
    </row>
    <row r="44" spans="1:36">
      <c r="A44" s="301"/>
      <c r="B44" s="178"/>
      <c r="C44" s="119"/>
      <c r="D44" s="119"/>
      <c r="E44" s="125"/>
      <c r="F44" s="128"/>
      <c r="G44" s="128" t="e">
        <f t="shared" ref="G44:H44" si="104">(G43-E43)/E43</f>
        <v>#DIV/0!</v>
      </c>
      <c r="H44" s="128" t="e">
        <f t="shared" si="104"/>
        <v>#DIV/0!</v>
      </c>
      <c r="I44" s="128" t="e">
        <f t="shared" ref="I44:U44" si="105">(I43-H43)/H43</f>
        <v>#DIV/0!</v>
      </c>
      <c r="J44" s="128" t="e">
        <f t="shared" si="105"/>
        <v>#DIV/0!</v>
      </c>
      <c r="K44" s="128" t="e">
        <f t="shared" si="105"/>
        <v>#DIV/0!</v>
      </c>
      <c r="L44" s="128" t="e">
        <f t="shared" si="105"/>
        <v>#DIV/0!</v>
      </c>
      <c r="M44" s="128" t="e">
        <f t="shared" si="105"/>
        <v>#DIV/0!</v>
      </c>
      <c r="N44" s="128" t="e">
        <f t="shared" si="105"/>
        <v>#DIV/0!</v>
      </c>
      <c r="O44" s="128" t="e">
        <f t="shared" si="105"/>
        <v>#DIV/0!</v>
      </c>
      <c r="P44" s="128" t="e">
        <f t="shared" si="105"/>
        <v>#DIV/0!</v>
      </c>
      <c r="Q44" s="128" t="e">
        <f t="shared" si="105"/>
        <v>#DIV/0!</v>
      </c>
      <c r="R44" s="128" t="e">
        <f t="shared" si="105"/>
        <v>#DIV/0!</v>
      </c>
      <c r="S44" s="128" t="e">
        <f t="shared" si="105"/>
        <v>#DIV/0!</v>
      </c>
      <c r="T44" s="128" t="e">
        <f t="shared" si="105"/>
        <v>#DIV/0!</v>
      </c>
      <c r="U44" s="128" t="e">
        <f t="shared" si="105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1"/>
      <c r="B45" s="178" t="s">
        <v>191</v>
      </c>
      <c r="C45" s="119"/>
      <c r="D45" s="119"/>
      <c r="E45" s="125"/>
      <c r="F45" s="181"/>
      <c r="G45" s="181">
        <f t="shared" ref="G45:I45" si="106">H45</f>
        <v>0</v>
      </c>
      <c r="H45" s="181">
        <f t="shared" si="106"/>
        <v>0</v>
      </c>
      <c r="I45" s="181">
        <f t="shared" si="106"/>
        <v>0</v>
      </c>
      <c r="J45" s="181">
        <f>K45</f>
        <v>0</v>
      </c>
      <c r="K45" s="181">
        <v>0</v>
      </c>
      <c r="L45" s="181">
        <v>0</v>
      </c>
      <c r="M45" s="181">
        <v>0</v>
      </c>
      <c r="N45" s="181">
        <v>0</v>
      </c>
      <c r="O45" s="181">
        <v>0</v>
      </c>
      <c r="P45" s="181">
        <v>0</v>
      </c>
      <c r="Q45" s="181">
        <v>0</v>
      </c>
      <c r="R45" s="181">
        <v>0</v>
      </c>
      <c r="S45" s="181">
        <v>0</v>
      </c>
      <c r="T45" s="181">
        <v>0</v>
      </c>
      <c r="U45" s="181">
        <v>1</v>
      </c>
      <c r="V45" s="101" t="e">
        <f t="shared" si="2"/>
        <v>#DIV/0!</v>
      </c>
      <c r="W45" s="21">
        <f t="shared" si="6"/>
        <v>0.08</v>
      </c>
      <c r="X45" s="131">
        <f t="shared" si="7"/>
        <v>1.08</v>
      </c>
      <c r="Y45" s="131">
        <f t="shared" si="87"/>
        <v>1.1664000000000001</v>
      </c>
      <c r="Z45" s="131">
        <f t="shared" si="88"/>
        <v>1.2597120000000002</v>
      </c>
      <c r="AA45" s="131">
        <f t="shared" si="89"/>
        <v>1.3604889600000003</v>
      </c>
      <c r="AB45" s="131">
        <f t="shared" si="90"/>
        <v>1.4693280768000003</v>
      </c>
      <c r="AC45" s="131">
        <f t="shared" si="91"/>
        <v>1.5868743229440005</v>
      </c>
      <c r="AD45" s="131">
        <f t="shared" si="92"/>
        <v>1.7138242687795207</v>
      </c>
      <c r="AE45" s="131">
        <f t="shared" si="93"/>
        <v>1.8509302102818825</v>
      </c>
      <c r="AF45" s="131">
        <f t="shared" si="94"/>
        <v>1.9990046271044333</v>
      </c>
      <c r="AG45" s="131">
        <f t="shared" si="95"/>
        <v>2.1589249972727882</v>
      </c>
      <c r="AH45" s="116" t="e">
        <f t="shared" si="96"/>
        <v>#DIV/0!</v>
      </c>
      <c r="AI45" s="21">
        <f t="shared" si="17"/>
        <v>0.05</v>
      </c>
      <c r="AJ45" s="124">
        <f t="shared" si="97"/>
        <v>32.383874959091827</v>
      </c>
    </row>
    <row r="46" spans="1:36">
      <c r="A46" s="179"/>
      <c r="B46" s="178"/>
      <c r="C46" s="119"/>
      <c r="D46" s="119"/>
      <c r="E46" s="125"/>
      <c r="F46" s="128"/>
      <c r="G46" s="128" t="e">
        <f t="shared" ref="G46:H46" si="107">(G45-E45)/E45</f>
        <v>#DIV/0!</v>
      </c>
      <c r="H46" s="128" t="e">
        <f t="shared" si="107"/>
        <v>#DIV/0!</v>
      </c>
      <c r="I46" s="128" t="e">
        <f t="shared" ref="I46:U46" si="108">(I45-H45)/H45</f>
        <v>#DIV/0!</v>
      </c>
      <c r="J46" s="128" t="e">
        <f t="shared" si="108"/>
        <v>#DIV/0!</v>
      </c>
      <c r="K46" s="128" t="e">
        <f t="shared" si="108"/>
        <v>#DIV/0!</v>
      </c>
      <c r="L46" s="128" t="e">
        <f t="shared" si="108"/>
        <v>#DIV/0!</v>
      </c>
      <c r="M46" s="128" t="e">
        <f t="shared" si="108"/>
        <v>#DIV/0!</v>
      </c>
      <c r="N46" s="128" t="e">
        <f t="shared" si="108"/>
        <v>#DIV/0!</v>
      </c>
      <c r="O46" s="128" t="e">
        <f t="shared" si="108"/>
        <v>#DIV/0!</v>
      </c>
      <c r="P46" s="128" t="e">
        <f t="shared" si="108"/>
        <v>#DIV/0!</v>
      </c>
      <c r="Q46" s="128" t="e">
        <f t="shared" si="108"/>
        <v>#DIV/0!</v>
      </c>
      <c r="R46" s="128" t="e">
        <f t="shared" si="108"/>
        <v>#DIV/0!</v>
      </c>
      <c r="S46" s="128" t="e">
        <f t="shared" si="108"/>
        <v>#DIV/0!</v>
      </c>
      <c r="T46" s="128" t="e">
        <f t="shared" si="108"/>
        <v>#DIV/0!</v>
      </c>
      <c r="U46" s="128" t="e">
        <f t="shared" si="108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79"/>
      <c r="B47" s="178" t="s">
        <v>433</v>
      </c>
      <c r="C47" s="119"/>
      <c r="D47" s="119"/>
      <c r="E47" s="125"/>
      <c r="F47" s="181"/>
      <c r="G47" s="181">
        <f t="shared" ref="G47:I47" si="109">H47</f>
        <v>0</v>
      </c>
      <c r="H47" s="181">
        <f t="shared" si="109"/>
        <v>0</v>
      </c>
      <c r="I47" s="181">
        <f t="shared" si="109"/>
        <v>0</v>
      </c>
      <c r="J47" s="181">
        <f>K47</f>
        <v>0</v>
      </c>
      <c r="K47" s="181">
        <v>0</v>
      </c>
      <c r="L47" s="181">
        <v>0</v>
      </c>
      <c r="M47" s="181">
        <v>0</v>
      </c>
      <c r="N47" s="181">
        <v>0</v>
      </c>
      <c r="O47" s="181">
        <v>0</v>
      </c>
      <c r="P47" s="181">
        <v>0</v>
      </c>
      <c r="Q47" s="181">
        <v>0</v>
      </c>
      <c r="R47" s="181">
        <v>0</v>
      </c>
      <c r="S47" s="181">
        <v>0</v>
      </c>
      <c r="T47" s="181">
        <v>0</v>
      </c>
      <c r="U47" s="181">
        <v>1</v>
      </c>
      <c r="V47" s="101" t="e">
        <f t="shared" si="2"/>
        <v>#DIV/0!</v>
      </c>
      <c r="W47" s="21">
        <f t="shared" si="6"/>
        <v>0.08</v>
      </c>
      <c r="X47" s="131">
        <f t="shared" si="7"/>
        <v>1.08</v>
      </c>
      <c r="Y47" s="131">
        <f t="shared" ref="Y47" si="110">X47*(1+$W47)</f>
        <v>1.1664000000000001</v>
      </c>
      <c r="Z47" s="131">
        <f t="shared" ref="Z47" si="111">Y47*(1+$W47)</f>
        <v>1.2597120000000002</v>
      </c>
      <c r="AA47" s="131">
        <f t="shared" ref="AA47" si="112">Z47*(1+$W47)</f>
        <v>1.3604889600000003</v>
      </c>
      <c r="AB47" s="131">
        <f t="shared" ref="AB47" si="113">AA47*(1+$W47)</f>
        <v>1.4693280768000003</v>
      </c>
      <c r="AC47" s="131">
        <f t="shared" ref="AC47" si="114">AB47*(1+$W47)</f>
        <v>1.5868743229440005</v>
      </c>
      <c r="AD47" s="131">
        <f t="shared" ref="AD47" si="115">AC47*(1+$W47)</f>
        <v>1.7138242687795207</v>
      </c>
      <c r="AE47" s="131">
        <f t="shared" ref="AE47" si="116">AD47*(1+$W47)</f>
        <v>1.8509302102818825</v>
      </c>
      <c r="AF47" s="131">
        <f t="shared" ref="AF47" si="117">AE47*(1+$W47)</f>
        <v>1.9990046271044333</v>
      </c>
      <c r="AG47" s="131">
        <f t="shared" ref="AG47" si="118">AF47*(1+$W47)</f>
        <v>2.1589249972727882</v>
      </c>
      <c r="AH47" s="116" t="e">
        <f t="shared" ref="AH47" si="119">((AG47/J47)^(1/($AG$3-$K$1) ))-1</f>
        <v>#DIV/0!</v>
      </c>
      <c r="AI47" s="21">
        <f t="shared" si="17"/>
        <v>0.05</v>
      </c>
      <c r="AJ47" s="124">
        <f t="shared" si="97"/>
        <v>32.383874959091827</v>
      </c>
    </row>
    <row r="48" spans="1:36">
      <c r="A48" s="179"/>
      <c r="B48" s="178"/>
      <c r="C48" s="119"/>
      <c r="D48" s="119"/>
      <c r="E48" s="125"/>
      <c r="F48" s="128"/>
      <c r="G48" s="128" t="e">
        <f t="shared" ref="G48:H48" si="120">(G47-E47)/E47</f>
        <v>#DIV/0!</v>
      </c>
      <c r="H48" s="128" t="e">
        <f t="shared" si="120"/>
        <v>#DIV/0!</v>
      </c>
      <c r="I48" s="128" t="e">
        <f t="shared" ref="I48:U48" si="121">(I47-H47)/H47</f>
        <v>#DIV/0!</v>
      </c>
      <c r="J48" s="128" t="e">
        <f t="shared" si="121"/>
        <v>#DIV/0!</v>
      </c>
      <c r="K48" s="128" t="e">
        <f t="shared" si="121"/>
        <v>#DIV/0!</v>
      </c>
      <c r="L48" s="128" t="e">
        <f t="shared" si="121"/>
        <v>#DIV/0!</v>
      </c>
      <c r="M48" s="128" t="e">
        <f t="shared" si="121"/>
        <v>#DIV/0!</v>
      </c>
      <c r="N48" s="128" t="e">
        <f t="shared" si="121"/>
        <v>#DIV/0!</v>
      </c>
      <c r="O48" s="128" t="e">
        <f t="shared" si="121"/>
        <v>#DIV/0!</v>
      </c>
      <c r="P48" s="128" t="e">
        <f t="shared" si="121"/>
        <v>#DIV/0!</v>
      </c>
      <c r="Q48" s="128" t="e">
        <f t="shared" si="121"/>
        <v>#DIV/0!</v>
      </c>
      <c r="R48" s="128" t="e">
        <f t="shared" si="121"/>
        <v>#DIV/0!</v>
      </c>
      <c r="S48" s="128" t="e">
        <f t="shared" si="121"/>
        <v>#DIV/0!</v>
      </c>
      <c r="T48" s="128" t="e">
        <f t="shared" si="121"/>
        <v>#DIV/0!</v>
      </c>
      <c r="U48" s="128" t="e">
        <f t="shared" si="121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79"/>
      <c r="B49" s="178" t="s">
        <v>424</v>
      </c>
      <c r="C49" s="119"/>
      <c r="D49" s="119"/>
      <c r="E49" s="125"/>
      <c r="F49" s="181"/>
      <c r="G49" s="181">
        <f t="shared" ref="G49:I49" si="122">H49</f>
        <v>0</v>
      </c>
      <c r="H49" s="181">
        <f t="shared" si="122"/>
        <v>0</v>
      </c>
      <c r="I49" s="181">
        <f t="shared" si="122"/>
        <v>0</v>
      </c>
      <c r="J49" s="181">
        <f>K49</f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81">
        <v>1</v>
      </c>
      <c r="V49" s="101" t="e">
        <f t="shared" si="2"/>
        <v>#DIV/0!</v>
      </c>
      <c r="W49" s="21">
        <f t="shared" si="6"/>
        <v>0.08</v>
      </c>
      <c r="X49" s="131">
        <f t="shared" si="7"/>
        <v>1.08</v>
      </c>
      <c r="Y49" s="131">
        <f t="shared" si="87"/>
        <v>1.1664000000000001</v>
      </c>
      <c r="Z49" s="131">
        <f t="shared" si="88"/>
        <v>1.2597120000000002</v>
      </c>
      <c r="AA49" s="131">
        <f t="shared" si="89"/>
        <v>1.3604889600000003</v>
      </c>
      <c r="AB49" s="131">
        <f t="shared" si="90"/>
        <v>1.4693280768000003</v>
      </c>
      <c r="AC49" s="131">
        <f t="shared" si="91"/>
        <v>1.5868743229440005</v>
      </c>
      <c r="AD49" s="131">
        <f t="shared" si="92"/>
        <v>1.7138242687795207</v>
      </c>
      <c r="AE49" s="131">
        <f t="shared" si="93"/>
        <v>1.8509302102818825</v>
      </c>
      <c r="AF49" s="131">
        <f t="shared" si="94"/>
        <v>1.9990046271044333</v>
      </c>
      <c r="AG49" s="131">
        <f t="shared" si="95"/>
        <v>2.1589249972727882</v>
      </c>
      <c r="AH49" s="116" t="e">
        <f t="shared" si="96"/>
        <v>#DIV/0!</v>
      </c>
      <c r="AI49" s="21">
        <f t="shared" si="17"/>
        <v>0.05</v>
      </c>
      <c r="AJ49" s="124">
        <f t="shared" si="97"/>
        <v>32.383874959091827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>
        <v>28</v>
      </c>
      <c r="G51" s="125">
        <v>25</v>
      </c>
      <c r="H51" s="125">
        <v>27</v>
      </c>
      <c r="I51" s="125">
        <v>23</v>
      </c>
      <c r="J51" s="125">
        <v>26</v>
      </c>
      <c r="K51" s="125">
        <v>24</v>
      </c>
      <c r="L51" s="125">
        <v>15</v>
      </c>
      <c r="M51" s="125">
        <v>20</v>
      </c>
      <c r="N51" s="125">
        <v>25</v>
      </c>
      <c r="O51" s="125">
        <v>28</v>
      </c>
      <c r="P51" s="125">
        <v>35</v>
      </c>
      <c r="Q51" s="125">
        <v>46</v>
      </c>
      <c r="R51" s="125">
        <v>83</v>
      </c>
      <c r="S51" s="181">
        <v>133</v>
      </c>
      <c r="T51" s="181">
        <v>132</v>
      </c>
      <c r="U51" s="181">
        <v>132</v>
      </c>
      <c r="V51" s="101">
        <f t="shared" si="2"/>
        <v>0.12620307485042725</v>
      </c>
      <c r="W51" s="21">
        <f t="shared" si="6"/>
        <v>0.08</v>
      </c>
      <c r="X51" s="131">
        <f t="shared" si="7"/>
        <v>142.56</v>
      </c>
      <c r="Y51" s="131">
        <f t="shared" ref="Y51" si="123">X51*(1+$W51)</f>
        <v>153.96480000000003</v>
      </c>
      <c r="Z51" s="131">
        <f t="shared" ref="Z51" si="124">Y51*(1+$W51)</f>
        <v>166.28198400000005</v>
      </c>
      <c r="AA51" s="131">
        <f t="shared" ref="AA51" si="125">Z51*(1+$W51)</f>
        <v>179.58454272000006</v>
      </c>
      <c r="AB51" s="131">
        <f t="shared" si="40"/>
        <v>193.95130613760008</v>
      </c>
      <c r="AC51" s="131">
        <f t="shared" si="41"/>
        <v>209.46741062860809</v>
      </c>
      <c r="AD51" s="131">
        <f t="shared" si="42"/>
        <v>226.22480347889675</v>
      </c>
      <c r="AE51" s="131">
        <f t="shared" si="43"/>
        <v>244.32278775720849</v>
      </c>
      <c r="AF51" s="131">
        <f t="shared" si="44"/>
        <v>263.86861077778519</v>
      </c>
      <c r="AG51" s="131">
        <f t="shared" si="45"/>
        <v>284.97809964000805</v>
      </c>
      <c r="AH51" s="116">
        <f t="shared" si="19"/>
        <v>0.10971218263646532</v>
      </c>
      <c r="AI51" s="21">
        <f t="shared" si="17"/>
        <v>0.05</v>
      </c>
      <c r="AJ51" s="124">
        <f t="shared" si="1"/>
        <v>4274.6714946001212</v>
      </c>
    </row>
    <row r="52" spans="1:36" s="106" customFormat="1">
      <c r="B52" s="13"/>
      <c r="C52" s="126"/>
      <c r="D52" s="126"/>
      <c r="E52" s="127"/>
      <c r="F52" s="271"/>
      <c r="G52" s="271">
        <f t="shared" ref="G52:R52" si="126">(G51-F51)/G51</f>
        <v>-0.12</v>
      </c>
      <c r="H52" s="271">
        <f t="shared" si="126"/>
        <v>7.407407407407407E-2</v>
      </c>
      <c r="I52" s="271">
        <f t="shared" si="126"/>
        <v>-0.17391304347826086</v>
      </c>
      <c r="J52" s="271">
        <f t="shared" si="126"/>
        <v>0.11538461538461539</v>
      </c>
      <c r="K52" s="271">
        <f t="shared" si="126"/>
        <v>-8.3333333333333329E-2</v>
      </c>
      <c r="L52" s="271">
        <f t="shared" si="126"/>
        <v>-0.6</v>
      </c>
      <c r="M52" s="271">
        <f t="shared" si="126"/>
        <v>0.25</v>
      </c>
      <c r="N52" s="271">
        <f t="shared" si="126"/>
        <v>0.2</v>
      </c>
      <c r="O52" s="271">
        <f t="shared" si="126"/>
        <v>0.10714285714285714</v>
      </c>
      <c r="P52" s="271">
        <f t="shared" si="126"/>
        <v>0.2</v>
      </c>
      <c r="Q52" s="271">
        <f t="shared" si="126"/>
        <v>0.2391304347826087</v>
      </c>
      <c r="R52" s="271">
        <f t="shared" si="126"/>
        <v>0.44578313253012047</v>
      </c>
      <c r="S52" s="128">
        <f t="shared" ref="S52:U52" si="127">(S51-R51)/R51</f>
        <v>0.60240963855421692</v>
      </c>
      <c r="T52" s="128">
        <f t="shared" si="127"/>
        <v>-7.5187969924812026E-3</v>
      </c>
      <c r="U52" s="128">
        <f t="shared" si="127"/>
        <v>0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>
        <v>20</v>
      </c>
      <c r="G53" s="125">
        <v>17</v>
      </c>
      <c r="H53" s="125">
        <v>16</v>
      </c>
      <c r="I53" s="125">
        <v>12</v>
      </c>
      <c r="J53" s="125">
        <v>12</v>
      </c>
      <c r="K53" s="125">
        <v>7</v>
      </c>
      <c r="L53" s="125">
        <v>1</v>
      </c>
      <c r="M53" s="125">
        <v>-13</v>
      </c>
      <c r="N53" s="125">
        <v>-22</v>
      </c>
      <c r="O53" s="125">
        <v>-30</v>
      </c>
      <c r="P53" s="125">
        <v>-5</v>
      </c>
      <c r="Q53" s="125">
        <v>2</v>
      </c>
      <c r="R53" s="125">
        <v>43</v>
      </c>
      <c r="S53" s="181">
        <v>66</v>
      </c>
      <c r="T53" s="181">
        <v>89</v>
      </c>
      <c r="U53" s="181">
        <v>55</v>
      </c>
      <c r="V53" s="101">
        <f t="shared" si="2"/>
        <v>8.7482838254914652E-2</v>
      </c>
      <c r="W53" s="21">
        <f t="shared" si="6"/>
        <v>0.08</v>
      </c>
      <c r="X53" s="131">
        <f t="shared" si="7"/>
        <v>59.400000000000006</v>
      </c>
      <c r="Y53" s="131">
        <f t="shared" ref="Y53" si="128">X53*(1+$W53)</f>
        <v>64.152000000000015</v>
      </c>
      <c r="Z53" s="131">
        <f t="shared" ref="Z53" si="129">Y53*(1+$W53)</f>
        <v>69.284160000000014</v>
      </c>
      <c r="AA53" s="131">
        <f t="shared" ref="AA53" si="130">Z53*(1+$W53)</f>
        <v>74.826892800000024</v>
      </c>
      <c r="AB53" s="131">
        <f t="shared" ref="AB53" si="131">AA53*(1+$W53)</f>
        <v>80.813044224000038</v>
      </c>
      <c r="AC53" s="131">
        <f t="shared" ref="AC53" si="132">AB53*(1+$W53)</f>
        <v>87.278087761920048</v>
      </c>
      <c r="AD53" s="131">
        <f t="shared" ref="AD53" si="133">AC53*(1+$W53)</f>
        <v>94.260334782873656</v>
      </c>
      <c r="AE53" s="131">
        <f t="shared" ref="AE53" si="134">AD53*(1+$W53)</f>
        <v>101.80116156550355</v>
      </c>
      <c r="AF53" s="131">
        <f t="shared" ref="AF53" si="135">AE53*(1+$W53)</f>
        <v>109.94525449074384</v>
      </c>
      <c r="AG53" s="131">
        <f t="shared" ref="AG53" si="136">AF53*(1+$W53)</f>
        <v>118.74087485000335</v>
      </c>
      <c r="AH53" s="116">
        <f t="shared" ref="AH53" si="137">((AG53/J53)^(1/($AG$3-$K$1) ))-1</f>
        <v>0.10478835235713047</v>
      </c>
      <c r="AI53" s="21">
        <f t="shared" si="17"/>
        <v>0.05</v>
      </c>
      <c r="AJ53" s="124">
        <f t="shared" ref="AJ53" si="138">(AG53*(1+AI53))/($C$1-AI53)</f>
        <v>1781.1131227500507</v>
      </c>
    </row>
    <row r="54" spans="1:36" s="106" customFormat="1">
      <c r="B54" s="13"/>
      <c r="C54" s="126"/>
      <c r="D54" s="126"/>
      <c r="E54" s="127"/>
      <c r="F54" s="271"/>
      <c r="G54" s="271">
        <f t="shared" ref="G54:R54" si="139">(G53-F53)/G53</f>
        <v>-0.17647058823529413</v>
      </c>
      <c r="H54" s="271">
        <f t="shared" si="139"/>
        <v>-6.25E-2</v>
      </c>
      <c r="I54" s="271">
        <f t="shared" si="139"/>
        <v>-0.33333333333333331</v>
      </c>
      <c r="J54" s="271">
        <f t="shared" si="139"/>
        <v>0</v>
      </c>
      <c r="K54" s="271">
        <f t="shared" si="139"/>
        <v>-0.7142857142857143</v>
      </c>
      <c r="L54" s="271">
        <f t="shared" si="139"/>
        <v>-6</v>
      </c>
      <c r="M54" s="271">
        <f t="shared" si="139"/>
        <v>1.0769230769230769</v>
      </c>
      <c r="N54" s="271">
        <f t="shared" si="139"/>
        <v>0.40909090909090912</v>
      </c>
      <c r="O54" s="271">
        <f t="shared" si="139"/>
        <v>0.26666666666666666</v>
      </c>
      <c r="P54" s="271">
        <f t="shared" si="139"/>
        <v>-5</v>
      </c>
      <c r="Q54" s="271">
        <f t="shared" si="139"/>
        <v>3.5</v>
      </c>
      <c r="R54" s="271">
        <f t="shared" si="139"/>
        <v>0.95348837209302328</v>
      </c>
      <c r="S54" s="128">
        <f t="shared" ref="S54:U54" si="140">(S53-R53)/R53</f>
        <v>0.53488372093023251</v>
      </c>
      <c r="T54" s="128">
        <f t="shared" si="140"/>
        <v>0.34848484848484851</v>
      </c>
      <c r="U54" s="128">
        <f t="shared" si="140"/>
        <v>-0.38202247191011235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>
        <v>18</v>
      </c>
      <c r="G55" s="125">
        <v>15</v>
      </c>
      <c r="H55" s="125">
        <v>14</v>
      </c>
      <c r="I55" s="125">
        <v>11</v>
      </c>
      <c r="J55" s="125">
        <v>9</v>
      </c>
      <c r="K55" s="125">
        <v>5</v>
      </c>
      <c r="L55" s="125">
        <v>0.31</v>
      </c>
      <c r="M55" s="125">
        <v>-14</v>
      </c>
      <c r="N55" s="125">
        <v>-21</v>
      </c>
      <c r="O55" s="125">
        <v>-31</v>
      </c>
      <c r="P55" s="125">
        <v>-6</v>
      </c>
      <c r="Q55" s="125">
        <v>11</v>
      </c>
      <c r="R55" s="125">
        <v>32</v>
      </c>
      <c r="S55" s="181">
        <v>51</v>
      </c>
      <c r="T55" s="181">
        <v>70</v>
      </c>
      <c r="U55" s="181">
        <v>46</v>
      </c>
      <c r="V55" s="101">
        <f t="shared" si="2"/>
        <v>8.3332813949207107E-2</v>
      </c>
      <c r="W55" s="21">
        <f t="shared" si="6"/>
        <v>0.08</v>
      </c>
      <c r="X55" s="131">
        <f t="shared" si="7"/>
        <v>49.680000000000007</v>
      </c>
      <c r="Y55" s="131">
        <f t="shared" ref="Y55:AG55" si="141">X55*(1+$W55)</f>
        <v>53.65440000000001</v>
      </c>
      <c r="Z55" s="131">
        <f t="shared" si="141"/>
        <v>57.946752000000011</v>
      </c>
      <c r="AA55" s="131">
        <f t="shared" si="141"/>
        <v>62.582492160000015</v>
      </c>
      <c r="AB55" s="131">
        <f t="shared" si="141"/>
        <v>67.589091532800026</v>
      </c>
      <c r="AC55" s="131">
        <f t="shared" si="141"/>
        <v>72.996218855424033</v>
      </c>
      <c r="AD55" s="131">
        <f t="shared" si="141"/>
        <v>78.835916363857962</v>
      </c>
      <c r="AE55" s="131">
        <f t="shared" si="141"/>
        <v>85.1427896729666</v>
      </c>
      <c r="AF55" s="131">
        <f t="shared" si="141"/>
        <v>91.954212846803941</v>
      </c>
      <c r="AG55" s="131">
        <f t="shared" si="141"/>
        <v>99.310549874548258</v>
      </c>
      <c r="AH55" s="116">
        <f t="shared" si="19"/>
        <v>0.11003604556971958</v>
      </c>
      <c r="AI55" s="21">
        <f t="shared" si="17"/>
        <v>0.05</v>
      </c>
      <c r="AJ55" s="124">
        <f t="shared" si="1"/>
        <v>1489.658248118224</v>
      </c>
    </row>
    <row r="56" spans="1:36" s="106" customFormat="1">
      <c r="B56" s="13"/>
      <c r="C56" s="126"/>
      <c r="D56" s="126"/>
      <c r="E56" s="127"/>
      <c r="F56" s="271"/>
      <c r="G56" s="271">
        <f>(G55-F55)/G55</f>
        <v>-0.2</v>
      </c>
      <c r="H56" s="271">
        <f t="shared" ref="H56:R56" si="142">(H55-G55)/H55</f>
        <v>-7.1428571428571425E-2</v>
      </c>
      <c r="I56" s="271">
        <f t="shared" si="142"/>
        <v>-0.27272727272727271</v>
      </c>
      <c r="J56" s="271">
        <f t="shared" si="142"/>
        <v>-0.22222222222222221</v>
      </c>
      <c r="K56" s="271">
        <f t="shared" si="142"/>
        <v>-0.8</v>
      </c>
      <c r="L56" s="271">
        <f t="shared" si="142"/>
        <v>-15.129032258064518</v>
      </c>
      <c r="M56" s="271">
        <f t="shared" si="142"/>
        <v>1.0221428571428572</v>
      </c>
      <c r="N56" s="271">
        <f t="shared" si="142"/>
        <v>0.33333333333333331</v>
      </c>
      <c r="O56" s="271">
        <f>(O55-N55)/O55</f>
        <v>0.32258064516129031</v>
      </c>
      <c r="P56" s="271">
        <f t="shared" si="142"/>
        <v>-4.166666666666667</v>
      </c>
      <c r="Q56" s="271">
        <f t="shared" si="142"/>
        <v>1.5454545454545454</v>
      </c>
      <c r="R56" s="271">
        <f t="shared" si="142"/>
        <v>0.65625</v>
      </c>
      <c r="S56" s="128">
        <f t="shared" ref="S56:U56" si="143">(S55-R55)/R55</f>
        <v>0.59375</v>
      </c>
      <c r="T56" s="128">
        <f t="shared" si="143"/>
        <v>0.37254901960784315</v>
      </c>
      <c r="U56" s="128">
        <f t="shared" si="143"/>
        <v>-0.34285714285714286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274">
        <v>0.62</v>
      </c>
      <c r="G57" s="274">
        <v>0.62</v>
      </c>
      <c r="H57" s="274">
        <v>0.62</v>
      </c>
      <c r="I57" s="274">
        <v>0.62</v>
      </c>
      <c r="J57" s="274">
        <v>0.62</v>
      </c>
      <c r="K57" s="274">
        <v>0.62</v>
      </c>
      <c r="L57" s="273">
        <v>0.62</v>
      </c>
      <c r="M57" s="273">
        <v>0.62</v>
      </c>
      <c r="N57" s="273">
        <v>0.62</v>
      </c>
      <c r="O57" s="273">
        <v>0.62</v>
      </c>
      <c r="P57" s="273">
        <v>0.62</v>
      </c>
      <c r="Q57" s="123">
        <v>0.62</v>
      </c>
      <c r="R57" s="123">
        <v>0.62</v>
      </c>
      <c r="S57" s="123">
        <v>0.62</v>
      </c>
      <c r="T57" s="123">
        <v>0.62</v>
      </c>
      <c r="U57" s="123">
        <v>3.5</v>
      </c>
      <c r="V57" s="101">
        <f t="shared" si="2"/>
        <v>0.13159538657356373</v>
      </c>
      <c r="W57" s="21">
        <v>0.02</v>
      </c>
      <c r="X57" s="322">
        <f t="shared" si="7"/>
        <v>3.5700000000000003</v>
      </c>
      <c r="Y57" s="118">
        <f>X57*(1+$W57)</f>
        <v>3.6414000000000004</v>
      </c>
      <c r="Z57" s="118">
        <f t="shared" ref="Z57:AG57" si="144">Y57*(1+$W57)</f>
        <v>3.7142280000000003</v>
      </c>
      <c r="AA57" s="118">
        <f t="shared" si="144"/>
        <v>3.7885125600000005</v>
      </c>
      <c r="AB57" s="118">
        <f t="shared" si="144"/>
        <v>3.8642828112000007</v>
      </c>
      <c r="AC57" s="118">
        <f t="shared" si="144"/>
        <v>3.941568467424001</v>
      </c>
      <c r="AD57" s="118">
        <f t="shared" si="144"/>
        <v>4.0203998367724809</v>
      </c>
      <c r="AE57" s="118">
        <f t="shared" si="144"/>
        <v>4.1008078335079308</v>
      </c>
      <c r="AF57" s="118">
        <f t="shared" si="144"/>
        <v>4.1828239901780897</v>
      </c>
      <c r="AG57" s="118">
        <f t="shared" si="144"/>
        <v>4.2664804699816514</v>
      </c>
      <c r="AH57" s="116">
        <f t="shared" si="19"/>
        <v>8.7478766100471228E-2</v>
      </c>
      <c r="AI57" s="21">
        <f t="shared" si="17"/>
        <v>0.05</v>
      </c>
      <c r="AJ57" s="124">
        <f t="shared" si="1"/>
        <v>63.997207049724778</v>
      </c>
    </row>
    <row r="58" spans="1:36">
      <c r="B58" s="10"/>
      <c r="C58" s="120"/>
      <c r="D58" s="120"/>
      <c r="E58" s="121"/>
      <c r="F58" s="271"/>
      <c r="G58" s="271">
        <f t="shared" ref="G58" si="145">(G57-E57)/G57</f>
        <v>1</v>
      </c>
      <c r="H58" s="271">
        <f>(H57-F57)/H57</f>
        <v>0</v>
      </c>
      <c r="I58" s="271">
        <f t="shared" ref="I58:R58" si="146">(I57-H57)/I57</f>
        <v>0</v>
      </c>
      <c r="J58" s="271">
        <f t="shared" si="146"/>
        <v>0</v>
      </c>
      <c r="K58" s="271">
        <f t="shared" si="146"/>
        <v>0</v>
      </c>
      <c r="L58" s="271">
        <f t="shared" si="146"/>
        <v>0</v>
      </c>
      <c r="M58" s="271">
        <f t="shared" si="146"/>
        <v>0</v>
      </c>
      <c r="N58" s="271">
        <f t="shared" si="146"/>
        <v>0</v>
      </c>
      <c r="O58" s="271">
        <f t="shared" si="146"/>
        <v>0</v>
      </c>
      <c r="P58" s="271">
        <f t="shared" si="146"/>
        <v>0</v>
      </c>
      <c r="Q58" s="271">
        <f t="shared" si="146"/>
        <v>0</v>
      </c>
      <c r="R58" s="271">
        <f t="shared" si="146"/>
        <v>0</v>
      </c>
      <c r="S58" s="128">
        <f t="shared" ref="S58:U58" si="147">(S57-R57)/R57</f>
        <v>0</v>
      </c>
      <c r="T58" s="128">
        <f t="shared" si="147"/>
        <v>0</v>
      </c>
      <c r="U58" s="128">
        <f t="shared" si="147"/>
        <v>4.6451612903225801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274">
        <v>3.5</v>
      </c>
      <c r="G59" s="274">
        <v>2</v>
      </c>
      <c r="H59" s="274">
        <v>3.5</v>
      </c>
      <c r="I59" s="274">
        <v>3.5</v>
      </c>
      <c r="J59" s="274">
        <v>3.5</v>
      </c>
      <c r="K59" s="274">
        <v>1.5</v>
      </c>
      <c r="L59" s="274">
        <v>0</v>
      </c>
      <c r="M59" s="274">
        <v>0</v>
      </c>
      <c r="N59" s="274">
        <v>0</v>
      </c>
      <c r="O59" s="274">
        <v>0</v>
      </c>
      <c r="P59" s="274">
        <v>0</v>
      </c>
      <c r="Q59" s="125">
        <v>2</v>
      </c>
      <c r="R59" s="125">
        <v>3</v>
      </c>
      <c r="S59" s="181">
        <v>10</v>
      </c>
      <c r="T59" s="181">
        <v>3</v>
      </c>
      <c r="U59" s="123">
        <v>0.6</v>
      </c>
      <c r="V59" s="101">
        <f t="shared" si="2"/>
        <v>-8.2403986307143851E-2</v>
      </c>
      <c r="W59" s="21">
        <v>0.02</v>
      </c>
      <c r="X59" s="118">
        <f t="shared" si="7"/>
        <v>0.61199999999999999</v>
      </c>
      <c r="Y59" s="118">
        <f t="shared" ref="Y59" si="148">X59*(1+$W59)</f>
        <v>0.62424000000000002</v>
      </c>
      <c r="Z59" s="118">
        <f t="shared" ref="Z59" si="149">Y59*(1+$W59)</f>
        <v>0.63672479999999998</v>
      </c>
      <c r="AA59" s="118">
        <f t="shared" ref="AA59" si="150">Z59*(1+$W59)</f>
        <v>0.64945929599999996</v>
      </c>
      <c r="AB59" s="118">
        <f t="shared" ref="AB59" si="151">AA59*(1+$W59)</f>
        <v>0.66244848191999994</v>
      </c>
      <c r="AC59" s="118">
        <f t="shared" ref="AC59" si="152">AB59*(1+$W59)</f>
        <v>0.6756974515584</v>
      </c>
      <c r="AD59" s="118">
        <f t="shared" ref="AD59" si="153">AC59*(1+$W59)</f>
        <v>0.68921140058956798</v>
      </c>
      <c r="AE59" s="118">
        <f t="shared" ref="AE59" si="154">AD59*(1+$W59)</f>
        <v>0.70299562860135933</v>
      </c>
      <c r="AF59" s="118">
        <f t="shared" ref="AF59" si="155">AE59*(1+$W59)</f>
        <v>0.71705554117338655</v>
      </c>
      <c r="AG59" s="118">
        <f t="shared" ref="AG59" si="156">AF59*(1+$W59)</f>
        <v>0.73139665199685433</v>
      </c>
      <c r="AH59" s="116">
        <f t="shared" ref="AH59" si="157">((AG59/J59)^(1/($AG$3-$K$1) ))-1</f>
        <v>-6.5802985709581763E-2</v>
      </c>
      <c r="AI59" s="21">
        <f t="shared" si="17"/>
        <v>0.05</v>
      </c>
      <c r="AJ59" s="124">
        <f t="shared" si="1"/>
        <v>10.970949779952816</v>
      </c>
    </row>
    <row r="60" spans="1:36">
      <c r="B60" s="10"/>
      <c r="C60" s="123"/>
      <c r="D60" s="123"/>
      <c r="E60" s="123"/>
      <c r="F60" s="128"/>
      <c r="G60" s="128" t="e">
        <f t="shared" ref="G60:H60" si="158">(G59-E59)/E59</f>
        <v>#DIV/0!</v>
      </c>
      <c r="H60" s="128">
        <f t="shared" si="158"/>
        <v>0</v>
      </c>
      <c r="I60" s="128">
        <f t="shared" ref="I60:U60" si="159">(I59-H59)/H59</f>
        <v>0</v>
      </c>
      <c r="J60" s="128">
        <f t="shared" si="159"/>
        <v>0</v>
      </c>
      <c r="K60" s="128">
        <f t="shared" si="159"/>
        <v>-0.5714285714285714</v>
      </c>
      <c r="L60" s="128">
        <f t="shared" si="159"/>
        <v>-1</v>
      </c>
      <c r="M60" s="128" t="e">
        <f t="shared" si="159"/>
        <v>#DIV/0!</v>
      </c>
      <c r="N60" s="128" t="e">
        <f t="shared" si="159"/>
        <v>#DIV/0!</v>
      </c>
      <c r="O60" s="128" t="e">
        <f t="shared" si="159"/>
        <v>#DIV/0!</v>
      </c>
      <c r="P60" s="128" t="e">
        <f t="shared" si="159"/>
        <v>#DIV/0!</v>
      </c>
      <c r="Q60" s="128" t="e">
        <f t="shared" si="159"/>
        <v>#DIV/0!</v>
      </c>
      <c r="R60" s="128">
        <f t="shared" si="159"/>
        <v>0.5</v>
      </c>
      <c r="S60" s="128">
        <f t="shared" si="159"/>
        <v>2.3333333333333335</v>
      </c>
      <c r="T60" s="128">
        <f t="shared" si="159"/>
        <v>-0.7</v>
      </c>
      <c r="U60" s="128">
        <f t="shared" si="159"/>
        <v>-0.79999999999999993</v>
      </c>
      <c r="V60" s="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 t="s">
        <v>515</v>
      </c>
      <c r="V61" s="101" t="e">
        <f t="shared" si="2"/>
        <v>#VALUE!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01" t="e">
        <f t="shared" si="2"/>
        <v>#DIV/0!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01" t="e">
        <f t="shared" si="2"/>
        <v>#DIV/0!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160">G25/G57</f>
        <v>180.64516129032259</v>
      </c>
      <c r="H66" s="112">
        <f t="shared" ref="H66:I66" si="161">H25/H57</f>
        <v>225.80645161290323</v>
      </c>
      <c r="I66" s="112">
        <f t="shared" si="161"/>
        <v>258.06451612903226</v>
      </c>
      <c r="J66" s="112">
        <f t="shared" ref="J66:S66" si="162">J25/J57</f>
        <v>277.41935483870969</v>
      </c>
      <c r="K66" s="112">
        <f t="shared" si="162"/>
        <v>261.29032258064518</v>
      </c>
      <c r="L66" s="112">
        <f t="shared" si="162"/>
        <v>227.41935483870967</v>
      </c>
      <c r="M66" s="112">
        <f t="shared" si="162"/>
        <v>225.80645161290323</v>
      </c>
      <c r="N66" s="112">
        <f t="shared" si="162"/>
        <v>290.32258064516128</v>
      </c>
      <c r="O66" s="112">
        <f t="shared" si="162"/>
        <v>311.29032258064518</v>
      </c>
      <c r="P66" s="112">
        <f t="shared" si="162"/>
        <v>366.12903225806451</v>
      </c>
      <c r="Q66" s="112">
        <f t="shared" si="162"/>
        <v>398.38709677419354</v>
      </c>
      <c r="R66" s="112">
        <f t="shared" si="162"/>
        <v>540.32258064516134</v>
      </c>
      <c r="S66" s="112">
        <f t="shared" si="162"/>
        <v>619.35483870967744</v>
      </c>
      <c r="T66" s="112">
        <f t="shared" ref="T66:U66" si="163">T25/T57</f>
        <v>641.9354838709678</v>
      </c>
      <c r="U66" s="112">
        <f t="shared" si="163"/>
        <v>95.428571428571431</v>
      </c>
      <c r="V66" s="101">
        <f t="shared" si="2"/>
        <v>-4.455933699601633E-2</v>
      </c>
      <c r="W66" s="110"/>
      <c r="X66" s="135">
        <f t="shared" ref="X66:AG66" si="164">X25/X57</f>
        <v>101.04201680672269</v>
      </c>
      <c r="Y66" s="135">
        <f t="shared" si="164"/>
        <v>106.98566485417697</v>
      </c>
      <c r="Z66" s="135">
        <f t="shared" si="164"/>
        <v>113.27893925736387</v>
      </c>
      <c r="AA66" s="135">
        <f t="shared" si="164"/>
        <v>119.94240627250292</v>
      </c>
      <c r="AB66" s="135">
        <f t="shared" si="164"/>
        <v>126.99784193559131</v>
      </c>
      <c r="AC66" s="135">
        <f t="shared" si="164"/>
        <v>134.46830322592024</v>
      </c>
      <c r="AD66" s="135">
        <f t="shared" si="164"/>
        <v>142.37820341568028</v>
      </c>
      <c r="AE66" s="135">
        <f t="shared" si="164"/>
        <v>150.75339185189674</v>
      </c>
      <c r="AF66" s="135">
        <f t="shared" si="164"/>
        <v>159.62123843142007</v>
      </c>
      <c r="AG66" s="135">
        <f t="shared" si="164"/>
        <v>169.01072304503305</v>
      </c>
      <c r="AH66" s="116">
        <f t="shared" ref="AH66" si="165">((AG66/J66)^(1/($AG$3-$K$1) ))-1</f>
        <v>-2.1315973454353099E-2</v>
      </c>
      <c r="AI66" s="21">
        <f t="shared" si="17"/>
        <v>0.05</v>
      </c>
      <c r="AJ66" s="124">
        <f t="shared" ref="AJ66:AJ67" si="166">(AG66*(1+AI66))/($C$1-AI66)</f>
        <v>2535.1608456754961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167">G27/G57</f>
        <v>140.32258064516128</v>
      </c>
      <c r="H67" s="112">
        <f t="shared" ref="H67:I67" si="168">H27/H57</f>
        <v>182.25806451612902</v>
      </c>
      <c r="I67" s="112">
        <f t="shared" si="168"/>
        <v>217.74193548387098</v>
      </c>
      <c r="J67" s="112">
        <f t="shared" ref="J67:S67" si="169">J27/J57</f>
        <v>233.87096774193549</v>
      </c>
      <c r="K67" s="112">
        <f t="shared" si="169"/>
        <v>220.96774193548387</v>
      </c>
      <c r="L67" s="112">
        <f t="shared" si="169"/>
        <v>196.7741935483871</v>
      </c>
      <c r="M67" s="112">
        <f t="shared" si="169"/>
        <v>198.38709677419354</v>
      </c>
      <c r="N67" s="112">
        <f t="shared" si="169"/>
        <v>246.7741935483871</v>
      </c>
      <c r="O67" s="112">
        <f t="shared" si="169"/>
        <v>261.29032258064518</v>
      </c>
      <c r="P67" s="112">
        <f t="shared" si="169"/>
        <v>282.25806451612902</v>
      </c>
      <c r="Q67" s="112">
        <f t="shared" si="169"/>
        <v>309.67741935483872</v>
      </c>
      <c r="R67" s="112">
        <f t="shared" si="169"/>
        <v>380.64516129032256</v>
      </c>
      <c r="S67" s="112">
        <f t="shared" si="169"/>
        <v>424.19354838709677</v>
      </c>
      <c r="T67" s="112">
        <f t="shared" ref="T67:U67" si="170">T27/T57</f>
        <v>412.90322580645164</v>
      </c>
      <c r="U67" s="112">
        <f t="shared" si="170"/>
        <v>37.714285714285715</v>
      </c>
      <c r="V67" s="101">
        <f t="shared" si="2"/>
        <v>-8.9581008010296448E-2</v>
      </c>
      <c r="W67" s="110"/>
      <c r="X67" s="135">
        <f t="shared" ref="X67:AG67" si="171">X27/X57</f>
        <v>39.932773109243698</v>
      </c>
      <c r="Y67" s="135">
        <f t="shared" si="171"/>
        <v>42.281759762728626</v>
      </c>
      <c r="Z67" s="135">
        <f t="shared" si="171"/>
        <v>44.768922101712668</v>
      </c>
      <c r="AA67" s="135">
        <f t="shared" si="171"/>
        <v>47.402388107695764</v>
      </c>
      <c r="AB67" s="135">
        <f t="shared" si="171"/>
        <v>50.190763878736696</v>
      </c>
      <c r="AC67" s="135">
        <f t="shared" si="171"/>
        <v>53.143161753956498</v>
      </c>
      <c r="AD67" s="135">
        <f t="shared" si="171"/>
        <v>56.269230092424529</v>
      </c>
      <c r="AE67" s="135">
        <f t="shared" si="171"/>
        <v>59.579184803743615</v>
      </c>
      <c r="AF67" s="135">
        <f t="shared" si="171"/>
        <v>63.083842733375597</v>
      </c>
      <c r="AG67" s="135">
        <f t="shared" si="171"/>
        <v>66.794657011809463</v>
      </c>
      <c r="AH67" s="116">
        <f t="shared" ref="AH67" si="172">((AG67/J67)^(1/($AG$3-$K$1) ))-1</f>
        <v>-5.3026934667077641E-2</v>
      </c>
      <c r="AI67" s="21">
        <f t="shared" si="17"/>
        <v>0.05</v>
      </c>
      <c r="AJ67" s="124">
        <f t="shared" si="166"/>
        <v>1001.9198551771422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173">G53-G55</f>
        <v>2</v>
      </c>
      <c r="H68" s="112">
        <f t="shared" ref="H68:I68" si="174">H53-H55</f>
        <v>2</v>
      </c>
      <c r="I68" s="112">
        <f t="shared" si="174"/>
        <v>1</v>
      </c>
      <c r="J68" s="112">
        <f>J53-J55</f>
        <v>3</v>
      </c>
      <c r="K68" s="112">
        <f t="shared" ref="K68:S68" si="175">K53-K55</f>
        <v>2</v>
      </c>
      <c r="L68" s="112">
        <f t="shared" si="175"/>
        <v>0.69</v>
      </c>
      <c r="M68" s="112">
        <f t="shared" si="175"/>
        <v>1</v>
      </c>
      <c r="N68" s="112">
        <f t="shared" si="175"/>
        <v>-1</v>
      </c>
      <c r="O68" s="112">
        <f t="shared" si="175"/>
        <v>1</v>
      </c>
      <c r="P68" s="112">
        <f t="shared" si="175"/>
        <v>1</v>
      </c>
      <c r="Q68" s="112">
        <f t="shared" si="175"/>
        <v>-9</v>
      </c>
      <c r="R68" s="112">
        <f t="shared" si="175"/>
        <v>11</v>
      </c>
      <c r="S68" s="112">
        <f t="shared" si="175"/>
        <v>15</v>
      </c>
      <c r="T68" s="112">
        <f t="shared" ref="T68:U68" si="176">T53-T55</f>
        <v>19</v>
      </c>
      <c r="U68" s="112">
        <f t="shared" si="176"/>
        <v>9</v>
      </c>
      <c r="V68" s="101">
        <f t="shared" si="2"/>
        <v>0.11341748386021711</v>
      </c>
      <c r="W68" s="110"/>
      <c r="X68" s="112">
        <f t="shared" ref="X68:AG68" si="177">X53-X55</f>
        <v>9.7199999999999989</v>
      </c>
      <c r="Y68" s="112">
        <f t="shared" si="177"/>
        <v>10.497600000000006</v>
      </c>
      <c r="Z68" s="112">
        <f t="shared" si="177"/>
        <v>11.337408000000003</v>
      </c>
      <c r="AA68" s="112">
        <f t="shared" si="177"/>
        <v>12.244400640000009</v>
      </c>
      <c r="AB68" s="112">
        <f t="shared" si="177"/>
        <v>13.223952691200012</v>
      </c>
      <c r="AC68" s="112">
        <f t="shared" si="177"/>
        <v>14.281868906496015</v>
      </c>
      <c r="AD68" s="112">
        <f t="shared" si="177"/>
        <v>15.424418419015694</v>
      </c>
      <c r="AE68" s="112">
        <f t="shared" si="177"/>
        <v>16.658371892536948</v>
      </c>
      <c r="AF68" s="112">
        <f t="shared" si="177"/>
        <v>17.991041643939894</v>
      </c>
      <c r="AG68" s="112">
        <f t="shared" si="177"/>
        <v>19.430324975455093</v>
      </c>
      <c r="AH68" s="116">
        <f t="shared" ref="AH68" si="178">((AG68/J68)^(1/($AG$3-$K$1) ))-1</f>
        <v>8.4617156869407406E-2</v>
      </c>
      <c r="AI68" s="21">
        <f t="shared" si="17"/>
        <v>0.05</v>
      </c>
      <c r="AJ68" s="124">
        <f t="shared" ref="AJ68" si="179">(AG68*(1+AI68))/($C$1-AI68)</f>
        <v>291.45487463182644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0"/>
      <c r="W69" s="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180">G51/G57</f>
        <v>40.322580645161288</v>
      </c>
      <c r="H70" s="15">
        <f t="shared" ref="H70:I70" si="181">H51/H57</f>
        <v>43.548387096774192</v>
      </c>
      <c r="I70" s="15">
        <f t="shared" si="181"/>
        <v>37.096774193548384</v>
      </c>
      <c r="J70" s="15">
        <f t="shared" ref="J70:S70" si="182">J51/J57</f>
        <v>41.935483870967744</v>
      </c>
      <c r="K70" s="15">
        <f t="shared" si="182"/>
        <v>38.70967741935484</v>
      </c>
      <c r="L70" s="15">
        <f t="shared" si="182"/>
        <v>24.193548387096776</v>
      </c>
      <c r="M70" s="15">
        <f t="shared" si="182"/>
        <v>32.258064516129032</v>
      </c>
      <c r="N70" s="15">
        <f t="shared" si="182"/>
        <v>40.322580645161288</v>
      </c>
      <c r="O70" s="15">
        <f t="shared" si="182"/>
        <v>45.161290322580648</v>
      </c>
      <c r="P70" s="15">
        <f t="shared" si="182"/>
        <v>56.451612903225808</v>
      </c>
      <c r="Q70" s="15">
        <f t="shared" si="182"/>
        <v>74.193548387096769</v>
      </c>
      <c r="R70" s="15">
        <f t="shared" si="182"/>
        <v>133.87096774193549</v>
      </c>
      <c r="S70" s="15">
        <f t="shared" si="182"/>
        <v>214.51612903225808</v>
      </c>
      <c r="T70" s="15">
        <f>T51/T57</f>
        <v>212.90322580645162</v>
      </c>
      <c r="U70" s="15">
        <f>U51/U57</f>
        <v>37.714285714285715</v>
      </c>
      <c r="V70" s="101">
        <f t="shared" si="2"/>
        <v>-4.765229504393842E-3</v>
      </c>
      <c r="W70" s="110"/>
      <c r="X70" s="96">
        <f>X51/X57</f>
        <v>39.932773109243698</v>
      </c>
      <c r="Y70" s="96">
        <f t="shared" ref="Y70:AG70" si="183">Y51/Y57</f>
        <v>42.281759762728626</v>
      </c>
      <c r="Z70" s="96">
        <f t="shared" si="183"/>
        <v>44.768922101712668</v>
      </c>
      <c r="AA70" s="96">
        <f t="shared" si="183"/>
        <v>47.402388107695764</v>
      </c>
      <c r="AB70" s="96">
        <f t="shared" si="183"/>
        <v>50.190763878736696</v>
      </c>
      <c r="AC70" s="96">
        <f t="shared" si="183"/>
        <v>53.143161753956498</v>
      </c>
      <c r="AD70" s="96">
        <f t="shared" si="183"/>
        <v>56.269230092424529</v>
      </c>
      <c r="AE70" s="96">
        <f t="shared" si="183"/>
        <v>59.579184803743615</v>
      </c>
      <c r="AF70" s="96">
        <f t="shared" si="183"/>
        <v>63.083842733375597</v>
      </c>
      <c r="AG70" s="96">
        <f t="shared" si="183"/>
        <v>66.794657011809463</v>
      </c>
      <c r="AH70" s="116">
        <f t="shared" ref="AH70:AH71" si="184">((AG70/J70)^(1/($AG$3-$K$1) ))-1</f>
        <v>2.0444920148390056E-2</v>
      </c>
      <c r="AI70" s="21">
        <f t="shared" si="17"/>
        <v>0.05</v>
      </c>
      <c r="AJ70" s="124">
        <f t="shared" ref="AJ70:AJ71" si="185">(AG70*(1+AI70))/($C$1-AI70)</f>
        <v>1001.9198551771422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186">G53/G57</f>
        <v>27.419354838709676</v>
      </c>
      <c r="H71" s="15">
        <f t="shared" ref="H71:I71" si="187">H53/H57</f>
        <v>25.806451612903228</v>
      </c>
      <c r="I71" s="15">
        <f t="shared" si="187"/>
        <v>19.35483870967742</v>
      </c>
      <c r="J71" s="15">
        <f t="shared" ref="J71:S71" si="188">J53/J57</f>
        <v>19.35483870967742</v>
      </c>
      <c r="K71" s="15">
        <f t="shared" si="188"/>
        <v>11.290322580645162</v>
      </c>
      <c r="L71" s="15">
        <f t="shared" si="188"/>
        <v>1.6129032258064517</v>
      </c>
      <c r="M71" s="15">
        <f t="shared" si="188"/>
        <v>-20.967741935483872</v>
      </c>
      <c r="N71" s="15">
        <f t="shared" si="188"/>
        <v>-35.483870967741936</v>
      </c>
      <c r="O71" s="15">
        <f t="shared" si="188"/>
        <v>-48.387096774193552</v>
      </c>
      <c r="P71" s="15">
        <f t="shared" si="188"/>
        <v>-8.064516129032258</v>
      </c>
      <c r="Q71" s="15">
        <f t="shared" si="188"/>
        <v>3.2258064516129035</v>
      </c>
      <c r="R71" s="15">
        <f t="shared" si="188"/>
        <v>69.354838709677423</v>
      </c>
      <c r="S71" s="15">
        <f t="shared" si="188"/>
        <v>106.45161290322581</v>
      </c>
      <c r="T71" s="15">
        <f>T53/T57</f>
        <v>143.54838709677421</v>
      </c>
      <c r="U71" s="15">
        <f>U53/U57</f>
        <v>15.714285714285714</v>
      </c>
      <c r="V71" s="101">
        <f t="shared" ref="V71:V134" si="189">((U71/G71)^(1/($K$2-$K$1) ))-1</f>
        <v>-3.8982615908518814E-2</v>
      </c>
      <c r="W71" s="110"/>
      <c r="X71" s="96">
        <f>X53/X57</f>
        <v>16.638655462184875</v>
      </c>
      <c r="Y71" s="96">
        <f t="shared" ref="Y71:AG71" si="190">Y53/Y57</f>
        <v>17.617399901136928</v>
      </c>
      <c r="Z71" s="96">
        <f t="shared" si="190"/>
        <v>18.653717542380278</v>
      </c>
      <c r="AA71" s="96">
        <f t="shared" si="190"/>
        <v>19.750995044873235</v>
      </c>
      <c r="AB71" s="96">
        <f t="shared" si="190"/>
        <v>20.912818282806956</v>
      </c>
      <c r="AC71" s="96">
        <f t="shared" si="190"/>
        <v>22.142984064148543</v>
      </c>
      <c r="AD71" s="96">
        <f t="shared" si="190"/>
        <v>23.445512538510222</v>
      </c>
      <c r="AE71" s="96">
        <f t="shared" si="190"/>
        <v>24.824660334893178</v>
      </c>
      <c r="AF71" s="96">
        <f t="shared" si="190"/>
        <v>26.284934472239833</v>
      </c>
      <c r="AG71" s="96">
        <f t="shared" si="190"/>
        <v>27.831107088253944</v>
      </c>
      <c r="AH71" s="116">
        <f t="shared" si="184"/>
        <v>1.5917171715203793E-2</v>
      </c>
      <c r="AI71" s="21">
        <f t="shared" si="17"/>
        <v>0.05</v>
      </c>
      <c r="AJ71" s="124">
        <f t="shared" si="185"/>
        <v>417.46660632380923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191">G55/G57</f>
        <v>24.193548387096776</v>
      </c>
      <c r="H72" s="112">
        <f t="shared" ref="H72:I72" si="192">H55/H57</f>
        <v>22.580645161290324</v>
      </c>
      <c r="I72" s="112">
        <f t="shared" si="192"/>
        <v>17.741935483870968</v>
      </c>
      <c r="J72" s="112">
        <f t="shared" ref="J72:S72" si="193">J55/J57</f>
        <v>14.516129032258064</v>
      </c>
      <c r="K72" s="112">
        <f t="shared" si="193"/>
        <v>8.064516129032258</v>
      </c>
      <c r="L72" s="112">
        <f t="shared" si="193"/>
        <v>0.5</v>
      </c>
      <c r="M72" s="112">
        <f t="shared" si="193"/>
        <v>-22.580645161290324</v>
      </c>
      <c r="N72" s="112">
        <f t="shared" si="193"/>
        <v>-33.870967741935488</v>
      </c>
      <c r="O72" s="112">
        <f t="shared" si="193"/>
        <v>-50</v>
      </c>
      <c r="P72" s="112">
        <f t="shared" si="193"/>
        <v>-9.67741935483871</v>
      </c>
      <c r="Q72" s="112">
        <f t="shared" si="193"/>
        <v>17.741935483870968</v>
      </c>
      <c r="R72" s="112">
        <f t="shared" si="193"/>
        <v>51.612903225806456</v>
      </c>
      <c r="S72" s="112">
        <f t="shared" si="193"/>
        <v>82.258064516129039</v>
      </c>
      <c r="T72" s="112">
        <f t="shared" ref="T72:U72" si="194">T55/T57</f>
        <v>112.90322580645162</v>
      </c>
      <c r="U72" s="112">
        <f t="shared" si="194"/>
        <v>13.142857142857142</v>
      </c>
      <c r="V72" s="101">
        <f t="shared" si="189"/>
        <v>-4.2650025969524497E-2</v>
      </c>
      <c r="W72" s="110"/>
      <c r="X72" s="135">
        <f t="shared" ref="X72:AG72" si="195">X55/X57</f>
        <v>13.915966386554622</v>
      </c>
      <c r="Y72" s="135">
        <f t="shared" si="195"/>
        <v>14.734552644587248</v>
      </c>
      <c r="Z72" s="135">
        <f t="shared" si="195"/>
        <v>15.601291035445321</v>
      </c>
      <c r="AA72" s="135">
        <f t="shared" si="195"/>
        <v>16.51901403753034</v>
      </c>
      <c r="AB72" s="135">
        <f t="shared" si="195"/>
        <v>17.490720745620361</v>
      </c>
      <c r="AC72" s="135">
        <f t="shared" si="195"/>
        <v>18.519586671833324</v>
      </c>
      <c r="AD72" s="135">
        <f t="shared" si="195"/>
        <v>19.60897412311764</v>
      </c>
      <c r="AE72" s="135">
        <f t="shared" si="195"/>
        <v>20.762443189183383</v>
      </c>
      <c r="AF72" s="135">
        <f t="shared" si="195"/>
        <v>21.983763376782406</v>
      </c>
      <c r="AG72" s="135">
        <f t="shared" si="195"/>
        <v>23.276925928357844</v>
      </c>
      <c r="AH72" s="116">
        <f t="shared" ref="AH72:AH86" si="196">((AG72/J72)^(1/($AG$3-$K$1) ))-1</f>
        <v>2.0742730959368627E-2</v>
      </c>
      <c r="AI72" s="21">
        <f t="shared" si="17"/>
        <v>0.05</v>
      </c>
      <c r="AJ72" s="124">
        <f t="shared" ref="AJ72:AJ100" si="197">(AG72*(1+AI72))/($C$1-AI72)</f>
        <v>349.15388892536771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198">G20/G57</f>
        <v>0</v>
      </c>
      <c r="H73" s="112">
        <f t="shared" ref="H73:I73" si="199">H20/H57</f>
        <v>0</v>
      </c>
      <c r="I73" s="112">
        <f t="shared" si="199"/>
        <v>0</v>
      </c>
      <c r="J73" s="112">
        <f>J20/J57</f>
        <v>0</v>
      </c>
      <c r="K73" s="112">
        <f t="shared" ref="K73:S73" si="200">K20/K57</f>
        <v>0</v>
      </c>
      <c r="L73" s="112">
        <f t="shared" si="200"/>
        <v>0</v>
      </c>
      <c r="M73" s="112">
        <f t="shared" si="200"/>
        <v>0</v>
      </c>
      <c r="N73" s="112">
        <f t="shared" si="200"/>
        <v>0</v>
      </c>
      <c r="O73" s="112">
        <f t="shared" si="200"/>
        <v>0</v>
      </c>
      <c r="P73" s="112">
        <f t="shared" si="200"/>
        <v>0</v>
      </c>
      <c r="Q73" s="112">
        <f t="shared" si="200"/>
        <v>0</v>
      </c>
      <c r="R73" s="112">
        <f t="shared" si="200"/>
        <v>0</v>
      </c>
      <c r="S73" s="112">
        <f t="shared" si="200"/>
        <v>0</v>
      </c>
      <c r="T73" s="112">
        <f t="shared" ref="T73:U73" si="201">T20/T57</f>
        <v>0</v>
      </c>
      <c r="U73" s="112">
        <f t="shared" si="201"/>
        <v>0</v>
      </c>
      <c r="V73" s="101" t="e">
        <f t="shared" si="189"/>
        <v>#DIV/0!</v>
      </c>
      <c r="W73" s="110"/>
      <c r="X73" s="112">
        <f t="shared" ref="X73:AG73" si="202">X20/X57</f>
        <v>0</v>
      </c>
      <c r="Y73" s="112">
        <f t="shared" si="202"/>
        <v>0</v>
      </c>
      <c r="Z73" s="112">
        <f t="shared" si="202"/>
        <v>0</v>
      </c>
      <c r="AA73" s="112">
        <f t="shared" si="202"/>
        <v>0</v>
      </c>
      <c r="AB73" s="112">
        <f t="shared" si="202"/>
        <v>0</v>
      </c>
      <c r="AC73" s="112">
        <f t="shared" si="202"/>
        <v>0</v>
      </c>
      <c r="AD73" s="112">
        <f t="shared" si="202"/>
        <v>0</v>
      </c>
      <c r="AE73" s="112">
        <f t="shared" si="202"/>
        <v>0</v>
      </c>
      <c r="AF73" s="112">
        <f t="shared" si="202"/>
        <v>0</v>
      </c>
      <c r="AG73" s="112">
        <f t="shared" si="202"/>
        <v>0</v>
      </c>
      <c r="AH73" s="116" t="e">
        <f t="shared" ref="AH73" si="203">((AG73/J73)^(1/($AG$3-$K$1) ))-1</f>
        <v>#DIV/0!</v>
      </c>
      <c r="AI73" s="21">
        <f t="shared" si="17"/>
        <v>0.05</v>
      </c>
      <c r="AJ73" s="124">
        <f t="shared" si="197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04">G7/G57</f>
        <v>93.548387096774192</v>
      </c>
      <c r="H74" s="112">
        <f t="shared" ref="H74:I74" si="205">H7/H57</f>
        <v>112.90322580645162</v>
      </c>
      <c r="I74" s="112">
        <f t="shared" si="205"/>
        <v>125.80645161290323</v>
      </c>
      <c r="J74" s="112">
        <f t="shared" ref="J74:S74" si="206">J7/J57</f>
        <v>135.48387096774195</v>
      </c>
      <c r="K74" s="112">
        <f t="shared" si="206"/>
        <v>141.93548387096774</v>
      </c>
      <c r="L74" s="112">
        <f t="shared" si="206"/>
        <v>141.93548387096774</v>
      </c>
      <c r="M74" s="112">
        <f t="shared" si="206"/>
        <v>120.96774193548387</v>
      </c>
      <c r="N74" s="112">
        <f t="shared" si="206"/>
        <v>85.483870967741936</v>
      </c>
      <c r="O74" s="112">
        <f t="shared" si="206"/>
        <v>35.483870967741936</v>
      </c>
      <c r="P74" s="112">
        <f t="shared" si="206"/>
        <v>24.193548387096776</v>
      </c>
      <c r="Q74" s="112">
        <f t="shared" si="206"/>
        <v>41.935483870967744</v>
      </c>
      <c r="R74" s="112">
        <f t="shared" si="206"/>
        <v>85.483870967741936</v>
      </c>
      <c r="S74" s="112">
        <f t="shared" si="206"/>
        <v>156.45161290322579</v>
      </c>
      <c r="T74" s="112">
        <f t="shared" ref="T74:U74" si="207">T7/T57</f>
        <v>264.51612903225805</v>
      </c>
      <c r="U74" s="112">
        <f t="shared" si="207"/>
        <v>46.857142857142854</v>
      </c>
      <c r="V74" s="101">
        <f t="shared" si="189"/>
        <v>-4.8184393617327848E-2</v>
      </c>
      <c r="W74" s="110"/>
      <c r="X74" s="135">
        <f t="shared" ref="X74:AG74" si="208">X7/X57</f>
        <v>49.613445378151255</v>
      </c>
      <c r="Y74" s="135">
        <f t="shared" si="208"/>
        <v>52.53188334157192</v>
      </c>
      <c r="Z74" s="135">
        <f t="shared" si="208"/>
        <v>55.621994126370275</v>
      </c>
      <c r="AA74" s="135">
        <f t="shared" si="208"/>
        <v>58.893876133803822</v>
      </c>
      <c r="AB74" s="135">
        <f t="shared" si="208"/>
        <v>62.358221788733459</v>
      </c>
      <c r="AC74" s="135">
        <f t="shared" si="208"/>
        <v>66.026352482188372</v>
      </c>
      <c r="AD74" s="135">
        <f t="shared" si="208"/>
        <v>69.910255569375934</v>
      </c>
      <c r="AE74" s="135">
        <f t="shared" si="208"/>
        <v>74.022623544045103</v>
      </c>
      <c r="AF74" s="135">
        <f t="shared" si="208"/>
        <v>78.376895517224227</v>
      </c>
      <c r="AG74" s="135">
        <f t="shared" si="208"/>
        <v>82.987301135884479</v>
      </c>
      <c r="AH74" s="116">
        <f t="shared" si="196"/>
        <v>-2.1086036003356567E-2</v>
      </c>
      <c r="AI74" s="21">
        <f t="shared" si="17"/>
        <v>0.05</v>
      </c>
      <c r="AJ74" s="124">
        <f t="shared" si="197"/>
        <v>1244.8095170382674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09">G6/G57</f>
        <v>83.870967741935488</v>
      </c>
      <c r="H75" s="122">
        <f t="shared" ref="H75:I75" si="210">H6/H57</f>
        <v>101.61290322580645</v>
      </c>
      <c r="I75" s="122">
        <f t="shared" si="210"/>
        <v>116.12903225806451</v>
      </c>
      <c r="J75" s="122">
        <f t="shared" ref="J75:S75" si="211">J6/J57</f>
        <v>125.80645161290323</v>
      </c>
      <c r="K75" s="122">
        <f t="shared" si="211"/>
        <v>132.25806451612902</v>
      </c>
      <c r="L75" s="122">
        <f t="shared" si="211"/>
        <v>132.25806451612902</v>
      </c>
      <c r="M75" s="122">
        <f t="shared" si="211"/>
        <v>109.6774193548387</v>
      </c>
      <c r="N75" s="122">
        <f t="shared" si="211"/>
        <v>75.806451612903231</v>
      </c>
      <c r="O75" s="122">
        <f t="shared" si="211"/>
        <v>25.806451612903228</v>
      </c>
      <c r="P75" s="122">
        <f t="shared" si="211"/>
        <v>14.516129032258064</v>
      </c>
      <c r="Q75" s="122">
        <f t="shared" si="211"/>
        <v>32.258064516129032</v>
      </c>
      <c r="R75" s="122">
        <f t="shared" si="211"/>
        <v>75.806451612903231</v>
      </c>
      <c r="S75" s="122">
        <f t="shared" si="211"/>
        <v>145.16129032258064</v>
      </c>
      <c r="T75" s="122">
        <f t="shared" ref="T75:U75" si="212">T6/T57</f>
        <v>254.83870967741936</v>
      </c>
      <c r="U75" s="122">
        <f t="shared" si="212"/>
        <v>45.142857142857146</v>
      </c>
      <c r="V75" s="101">
        <f t="shared" si="189"/>
        <v>-4.3281660351310869E-2</v>
      </c>
      <c r="W75" s="110"/>
      <c r="X75" s="134">
        <f t="shared" ref="X75:AG75" si="213">X6/X57</f>
        <v>47.798319327731093</v>
      </c>
      <c r="Y75" s="134">
        <f t="shared" si="213"/>
        <v>50.609985170538806</v>
      </c>
      <c r="Z75" s="134">
        <f t="shared" si="213"/>
        <v>53.58704312174698</v>
      </c>
      <c r="AA75" s="134">
        <f t="shared" si="213"/>
        <v>56.739222128908565</v>
      </c>
      <c r="AB75" s="134">
        <f t="shared" si="213"/>
        <v>60.076823430609068</v>
      </c>
      <c r="AC75" s="134">
        <f t="shared" si="213"/>
        <v>63.6107542206449</v>
      </c>
      <c r="AD75" s="134">
        <f t="shared" si="213"/>
        <v>67.352563292447542</v>
      </c>
      <c r="AE75" s="134">
        <f t="shared" si="213"/>
        <v>71.314478780238588</v>
      </c>
      <c r="AF75" s="134">
        <f t="shared" si="213"/>
        <v>75.509448120252614</v>
      </c>
      <c r="AG75" s="134">
        <f t="shared" si="213"/>
        <v>79.95118036262042</v>
      </c>
      <c r="AH75" s="116">
        <f t="shared" si="196"/>
        <v>-1.9516960702151143E-2</v>
      </c>
      <c r="AI75" s="21">
        <f t="shared" si="17"/>
        <v>0.05</v>
      </c>
      <c r="AJ75" s="124">
        <f t="shared" si="197"/>
        <v>1199.2677054393066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14">G10/G57</f>
        <v>109.6774193548387</v>
      </c>
      <c r="H76" s="122">
        <f t="shared" ref="H76:I76" si="215">H10/H57</f>
        <v>127.41935483870968</v>
      </c>
      <c r="I76" s="122">
        <f t="shared" si="215"/>
        <v>148.38709677419354</v>
      </c>
      <c r="J76" s="122">
        <f t="shared" ref="J76:S76" si="216">J10/J57</f>
        <v>303.22580645161293</v>
      </c>
      <c r="K76" s="122">
        <f t="shared" si="216"/>
        <v>393.54838709677421</v>
      </c>
      <c r="L76" s="122">
        <f t="shared" si="216"/>
        <v>459.67741935483872</v>
      </c>
      <c r="M76" s="122">
        <f t="shared" si="216"/>
        <v>480.64516129032256</v>
      </c>
      <c r="N76" s="122">
        <f t="shared" si="216"/>
        <v>325.80645161290323</v>
      </c>
      <c r="O76" s="122">
        <f t="shared" si="216"/>
        <v>382.25806451612902</v>
      </c>
      <c r="P76" s="122">
        <f t="shared" si="216"/>
        <v>406.45161290322579</v>
      </c>
      <c r="Q76" s="122">
        <f t="shared" si="216"/>
        <v>446.77419354838707</v>
      </c>
      <c r="R76" s="122">
        <f t="shared" si="216"/>
        <v>419.35483870967744</v>
      </c>
      <c r="S76" s="122">
        <f t="shared" si="216"/>
        <v>395.16129032258067</v>
      </c>
      <c r="T76" s="122">
        <f t="shared" ref="T76:U76" si="217">T10/T57</f>
        <v>379.03225806451616</v>
      </c>
      <c r="U76" s="122">
        <f t="shared" si="217"/>
        <v>67.142857142857139</v>
      </c>
      <c r="V76" s="101">
        <f t="shared" si="189"/>
        <v>-3.4444308414585567E-2</v>
      </c>
      <c r="W76" s="110"/>
      <c r="X76" s="134">
        <f t="shared" ref="X76:AG76" si="218">X10/X57</f>
        <v>71.092436974789919</v>
      </c>
      <c r="Y76" s="134">
        <f t="shared" si="218"/>
        <v>75.274345032130498</v>
      </c>
      <c r="Z76" s="134">
        <f t="shared" si="218"/>
        <v>79.702247681079371</v>
      </c>
      <c r="AA76" s="134">
        <f t="shared" si="218"/>
        <v>84.390615191731101</v>
      </c>
      <c r="AB76" s="134">
        <f t="shared" si="218"/>
        <v>89.354769026538804</v>
      </c>
      <c r="AC76" s="134">
        <f t="shared" si="218"/>
        <v>94.610931910452848</v>
      </c>
      <c r="AD76" s="134">
        <f t="shared" si="218"/>
        <v>100.17628084636185</v>
      </c>
      <c r="AE76" s="134">
        <f t="shared" si="218"/>
        <v>106.06900324908902</v>
      </c>
      <c r="AF76" s="134">
        <f t="shared" si="218"/>
        <v>112.30835638138836</v>
      </c>
      <c r="AG76" s="134">
        <f t="shared" si="218"/>
        <v>118.91473028617592</v>
      </c>
      <c r="AH76" s="116">
        <f t="shared" si="196"/>
        <v>-3.9881670861413809E-2</v>
      </c>
      <c r="AI76" s="21">
        <f t="shared" si="17"/>
        <v>0.05</v>
      </c>
      <c r="AJ76" s="124">
        <f t="shared" si="197"/>
        <v>1783.7209542926391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0"/>
      <c r="W77" s="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19">(G7-G10)/G57</f>
        <v>-16.129032258064516</v>
      </c>
      <c r="H78" s="122">
        <f t="shared" ref="H78:I78" si="220">(H7-H10)/H57</f>
        <v>-14.516129032258064</v>
      </c>
      <c r="I78" s="122">
        <f t="shared" si="220"/>
        <v>-22.580645161290324</v>
      </c>
      <c r="J78" s="122">
        <f t="shared" ref="J78:S78" si="221">(J7-J10)/J57</f>
        <v>-167.74193548387098</v>
      </c>
      <c r="K78" s="122">
        <f t="shared" si="221"/>
        <v>-251.61290322580646</v>
      </c>
      <c r="L78" s="122">
        <f t="shared" si="221"/>
        <v>-317.74193548387098</v>
      </c>
      <c r="M78" s="122">
        <f t="shared" si="221"/>
        <v>-359.67741935483872</v>
      </c>
      <c r="N78" s="122">
        <f t="shared" si="221"/>
        <v>-240.32258064516128</v>
      </c>
      <c r="O78" s="122">
        <f t="shared" si="221"/>
        <v>-346.77419354838707</v>
      </c>
      <c r="P78" s="122">
        <f t="shared" si="221"/>
        <v>-382.25806451612902</v>
      </c>
      <c r="Q78" s="122">
        <f t="shared" si="221"/>
        <v>-404.83870967741933</v>
      </c>
      <c r="R78" s="122">
        <f t="shared" si="221"/>
        <v>-333.87096774193549</v>
      </c>
      <c r="S78" s="122">
        <f t="shared" si="221"/>
        <v>-238.70967741935485</v>
      </c>
      <c r="T78" s="122">
        <f t="shared" ref="T78:U78" si="222">(T7-T10)/T57</f>
        <v>-114.51612903225806</v>
      </c>
      <c r="U78" s="122">
        <f t="shared" si="222"/>
        <v>-20.285714285714285</v>
      </c>
      <c r="V78" s="101">
        <f t="shared" si="189"/>
        <v>1.651314614560162E-2</v>
      </c>
      <c r="W78" s="110"/>
      <c r="X78" s="134">
        <f t="shared" ref="X78:AG78" si="223">(X7-X10)/X57</f>
        <v>-21.478991596638657</v>
      </c>
      <c r="Y78" s="134">
        <f t="shared" si="223"/>
        <v>-22.742461690558585</v>
      </c>
      <c r="Z78" s="134">
        <f t="shared" si="223"/>
        <v>-24.080253554709092</v>
      </c>
      <c r="AA78" s="134">
        <f t="shared" si="223"/>
        <v>-25.496739057927279</v>
      </c>
      <c r="AB78" s="134">
        <f t="shared" si="223"/>
        <v>-26.996547237805348</v>
      </c>
      <c r="AC78" s="134">
        <f t="shared" si="223"/>
        <v>-28.584579428264476</v>
      </c>
      <c r="AD78" s="134">
        <f t="shared" si="223"/>
        <v>-30.266025276985914</v>
      </c>
      <c r="AE78" s="134">
        <f t="shared" si="223"/>
        <v>-32.046379705043911</v>
      </c>
      <c r="AF78" s="134">
        <f t="shared" si="223"/>
        <v>-33.931460864164144</v>
      </c>
      <c r="AG78" s="134">
        <f t="shared" si="223"/>
        <v>-35.927429150291438</v>
      </c>
      <c r="AH78" s="116">
        <f t="shared" si="196"/>
        <v>-6.4801775665828898E-2</v>
      </c>
      <c r="AI78" s="21">
        <f t="shared" si="17"/>
        <v>0.05</v>
      </c>
      <c r="AJ78" s="124">
        <f t="shared" si="197"/>
        <v>-538.91143725437166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24">(G7-G10-G9)/G57</f>
        <v>-35.483870967741936</v>
      </c>
      <c r="H79" s="122">
        <f t="shared" ref="H79:I79" si="225">(H7-H10-H9)/H57</f>
        <v>-38.70967741935484</v>
      </c>
      <c r="I79" s="122">
        <f t="shared" si="225"/>
        <v>-53.225806451612904</v>
      </c>
      <c r="J79" s="122">
        <f t="shared" ref="J79:S79" si="226">(J7-J10-J9)/J57</f>
        <v>-219.35483870967741</v>
      </c>
      <c r="K79" s="122">
        <f t="shared" si="226"/>
        <v>-316.12903225806451</v>
      </c>
      <c r="L79" s="122">
        <f t="shared" si="226"/>
        <v>-382.25806451612902</v>
      </c>
      <c r="M79" s="122">
        <f t="shared" si="226"/>
        <v>-408.06451612903226</v>
      </c>
      <c r="N79" s="122">
        <f t="shared" si="226"/>
        <v>-491.93548387096774</v>
      </c>
      <c r="O79" s="122">
        <f t="shared" si="226"/>
        <v>-561.29032258064512</v>
      </c>
      <c r="P79" s="122">
        <f t="shared" si="226"/>
        <v>-580.64516129032256</v>
      </c>
      <c r="Q79" s="122">
        <f t="shared" si="226"/>
        <v>-583.87096774193549</v>
      </c>
      <c r="R79" s="122">
        <f t="shared" si="226"/>
        <v>-495.16129032258067</v>
      </c>
      <c r="S79" s="122">
        <f t="shared" si="226"/>
        <v>-372.58064516129031</v>
      </c>
      <c r="T79" s="122">
        <f t="shared" ref="T79:U79" si="227">(T7-T10-T9)/T57</f>
        <v>-272.58064516129031</v>
      </c>
      <c r="U79" s="122">
        <f t="shared" si="227"/>
        <v>-48.285714285714285</v>
      </c>
      <c r="V79" s="101">
        <f t="shared" si="189"/>
        <v>2.2247982405404709E-2</v>
      </c>
      <c r="W79" s="110"/>
      <c r="X79" s="134">
        <f t="shared" ref="X79:AG79" si="228">(X7-X10-X9)/X57</f>
        <v>-51.126050420168063</v>
      </c>
      <c r="Y79" s="134">
        <f t="shared" si="228"/>
        <v>-54.133465150766199</v>
      </c>
      <c r="Z79" s="134">
        <f t="shared" si="228"/>
        <v>-57.31778663022304</v>
      </c>
      <c r="AA79" s="134">
        <f t="shared" si="228"/>
        <v>-60.689421137883222</v>
      </c>
      <c r="AB79" s="134">
        <f t="shared" si="228"/>
        <v>-64.259387087170467</v>
      </c>
      <c r="AC79" s="134">
        <f t="shared" si="228"/>
        <v>-68.039351033474603</v>
      </c>
      <c r="AD79" s="134">
        <f t="shared" si="228"/>
        <v>-72.041665800149588</v>
      </c>
      <c r="AE79" s="134">
        <f t="shared" si="228"/>
        <v>-76.279410847217221</v>
      </c>
      <c r="AF79" s="134">
        <f t="shared" si="228"/>
        <v>-80.766435014700576</v>
      </c>
      <c r="AG79" s="134">
        <f t="shared" si="228"/>
        <v>-85.5174017802712</v>
      </c>
      <c r="AH79" s="116">
        <f t="shared" si="196"/>
        <v>-4.0127918901525783E-2</v>
      </c>
      <c r="AI79" s="21">
        <f t="shared" si="17"/>
        <v>0.05</v>
      </c>
      <c r="AJ79" s="124">
        <f t="shared" si="197"/>
        <v>-1282.7610267040682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229">(G7+G15-G10-G9)/G57</f>
        <v>61.29032258064516</v>
      </c>
      <c r="H80" s="122">
        <f t="shared" ref="H80:I80" si="230">(H7+H15-H10-H9)/H57</f>
        <v>69.354838709677423</v>
      </c>
      <c r="I80" s="122">
        <f t="shared" si="230"/>
        <v>87.096774193548384</v>
      </c>
      <c r="J80" s="122">
        <f t="shared" ref="J80:S80" si="231">(J7+J15-J10-J9)/J57</f>
        <v>35.483870967741936</v>
      </c>
      <c r="K80" s="122">
        <f t="shared" si="231"/>
        <v>-146.7741935483871</v>
      </c>
      <c r="L80" s="122">
        <f t="shared" si="231"/>
        <v>-246.7741935483871</v>
      </c>
      <c r="M80" s="122">
        <f t="shared" si="231"/>
        <v>-279.03225806451616</v>
      </c>
      <c r="N80" s="122">
        <f t="shared" si="231"/>
        <v>-332.25806451612902</v>
      </c>
      <c r="O80" s="122">
        <f t="shared" si="231"/>
        <v>-385.48387096774195</v>
      </c>
      <c r="P80" s="122">
        <f t="shared" si="231"/>
        <v>-395.16129032258067</v>
      </c>
      <c r="Q80" s="122">
        <f t="shared" si="231"/>
        <v>-359.67741935483872</v>
      </c>
      <c r="R80" s="122">
        <f t="shared" si="231"/>
        <v>-240.32258064516128</v>
      </c>
      <c r="S80" s="122">
        <f t="shared" si="231"/>
        <v>-82.258064516129039</v>
      </c>
      <c r="T80" s="122">
        <f t="shared" ref="T80:U80" si="232">(T7+T15-T10-T9)/T57</f>
        <v>35.483870967741936</v>
      </c>
      <c r="U80" s="122">
        <f t="shared" si="232"/>
        <v>6.2857142857142856</v>
      </c>
      <c r="V80" s="101">
        <f t="shared" si="189"/>
        <v>-0.15012612231439282</v>
      </c>
      <c r="W80" s="110"/>
      <c r="X80" s="134">
        <f t="shared" ref="X80:AG80" si="233">(X7+X15-X10-X9)/X57</f>
        <v>6.6554621848739384</v>
      </c>
      <c r="Y80" s="134">
        <f t="shared" si="233"/>
        <v>7.0469599604547559</v>
      </c>
      <c r="Z80" s="134">
        <f t="shared" si="233"/>
        <v>7.4614870169521001</v>
      </c>
      <c r="AA80" s="134">
        <f t="shared" si="233"/>
        <v>7.9003980179492714</v>
      </c>
      <c r="AB80" s="134">
        <f t="shared" si="233"/>
        <v>8.365127313122759</v>
      </c>
      <c r="AC80" s="134">
        <f t="shared" si="233"/>
        <v>8.8571936256593897</v>
      </c>
      <c r="AD80" s="134">
        <f t="shared" si="233"/>
        <v>9.3782050154040828</v>
      </c>
      <c r="AE80" s="134">
        <f t="shared" si="233"/>
        <v>9.9298641339572633</v>
      </c>
      <c r="AF80" s="134">
        <f t="shared" si="233"/>
        <v>10.51397378889593</v>
      </c>
      <c r="AG80" s="134">
        <f t="shared" si="233"/>
        <v>11.13244283530158</v>
      </c>
      <c r="AH80" s="116">
        <f t="shared" si="196"/>
        <v>-4.9151596046286161E-2</v>
      </c>
      <c r="AI80" s="21">
        <f t="shared" si="17"/>
        <v>0.05</v>
      </c>
      <c r="AJ80" s="124">
        <f t="shared" si="197"/>
        <v>166.98664252952372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0"/>
      <c r="W81" s="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234">G12/G57</f>
        <v>3.2258064516129035</v>
      </c>
      <c r="H82" s="122">
        <f t="shared" ref="H82:I82" si="235">H12/H57</f>
        <v>3.2258064516129035</v>
      </c>
      <c r="I82" s="122">
        <f t="shared" si="235"/>
        <v>8.064516129032258</v>
      </c>
      <c r="J82" s="122">
        <f t="shared" ref="J82:S82" si="236">J12/J57</f>
        <v>96.774193548387103</v>
      </c>
      <c r="K82" s="122">
        <f t="shared" si="236"/>
        <v>14.516129032258064</v>
      </c>
      <c r="L82" s="122">
        <f t="shared" si="236"/>
        <v>6.4516129032258069</v>
      </c>
      <c r="M82" s="122">
        <f t="shared" si="236"/>
        <v>8.064516129032258</v>
      </c>
      <c r="N82" s="122">
        <f t="shared" si="236"/>
        <v>4.838709677419355</v>
      </c>
      <c r="O82" s="122">
        <f t="shared" si="236"/>
        <v>11.290322580645162</v>
      </c>
      <c r="P82" s="122">
        <f t="shared" si="236"/>
        <v>17.741935483870968</v>
      </c>
      <c r="Q82" s="122">
        <f t="shared" si="236"/>
        <v>9.67741935483871</v>
      </c>
      <c r="R82" s="122">
        <f t="shared" si="236"/>
        <v>19.35483870967742</v>
      </c>
      <c r="S82" s="122">
        <f t="shared" si="236"/>
        <v>20.967741935483872</v>
      </c>
      <c r="T82" s="122">
        <f t="shared" ref="T82:U82" si="237">T12/T57</f>
        <v>43.548387096774192</v>
      </c>
      <c r="U82" s="122">
        <f t="shared" si="237"/>
        <v>7.7142857142857144</v>
      </c>
      <c r="V82" s="101">
        <f t="shared" si="189"/>
        <v>6.4258084973782159E-2</v>
      </c>
      <c r="W82" s="110"/>
      <c r="X82" s="134">
        <f t="shared" ref="X82:AG82" si="238">X12/X57</f>
        <v>8.1680672268907575</v>
      </c>
      <c r="Y82" s="134">
        <f t="shared" si="238"/>
        <v>8.6485417696490376</v>
      </c>
      <c r="Z82" s="134">
        <f t="shared" si="238"/>
        <v>9.1572795208048632</v>
      </c>
      <c r="AA82" s="134">
        <f t="shared" si="238"/>
        <v>9.6959430220286791</v>
      </c>
      <c r="AB82" s="134">
        <f t="shared" si="238"/>
        <v>10.266292611559777</v>
      </c>
      <c r="AC82" s="134">
        <f t="shared" si="238"/>
        <v>10.870192176945647</v>
      </c>
      <c r="AD82" s="134">
        <f t="shared" si="238"/>
        <v>11.509615246177745</v>
      </c>
      <c r="AE82" s="134">
        <f t="shared" si="238"/>
        <v>12.186651437129377</v>
      </c>
      <c r="AF82" s="134">
        <f t="shared" si="238"/>
        <v>12.903513286372281</v>
      </c>
      <c r="AG82" s="134">
        <f t="shared" si="238"/>
        <v>13.662543479688299</v>
      </c>
      <c r="AH82" s="116">
        <f t="shared" si="196"/>
        <v>-8.1596426166003821E-2</v>
      </c>
      <c r="AI82" s="21">
        <f t="shared" si="17"/>
        <v>0.05</v>
      </c>
      <c r="AJ82" s="124">
        <f t="shared" si="197"/>
        <v>204.93815219532451</v>
      </c>
    </row>
    <row r="83" spans="2:36">
      <c r="B83" s="10" t="s">
        <v>213</v>
      </c>
      <c r="C83" s="109"/>
      <c r="D83" s="109"/>
      <c r="E83" s="109"/>
      <c r="F83" s="122"/>
      <c r="G83" s="122" t="e">
        <f t="shared" ref="G83" si="239">G13/G57</f>
        <v>#VALUE!</v>
      </c>
      <c r="H83" s="122">
        <f t="shared" ref="H83:I83" si="240">H13/H57</f>
        <v>0</v>
      </c>
      <c r="I83" s="122">
        <f t="shared" si="240"/>
        <v>0</v>
      </c>
      <c r="J83" s="122">
        <f t="shared" ref="J83:S83" si="241">J13/J57</f>
        <v>0</v>
      </c>
      <c r="K83" s="122">
        <f t="shared" si="241"/>
        <v>0</v>
      </c>
      <c r="L83" s="122">
        <f t="shared" si="241"/>
        <v>0</v>
      </c>
      <c r="M83" s="122">
        <f t="shared" si="241"/>
        <v>0</v>
      </c>
      <c r="N83" s="122">
        <f t="shared" si="241"/>
        <v>0</v>
      </c>
      <c r="O83" s="122">
        <f t="shared" si="241"/>
        <v>0</v>
      </c>
      <c r="P83" s="122">
        <f t="shared" si="241"/>
        <v>0</v>
      </c>
      <c r="Q83" s="122">
        <f t="shared" si="241"/>
        <v>0</v>
      </c>
      <c r="R83" s="122">
        <f t="shared" si="241"/>
        <v>0</v>
      </c>
      <c r="S83" s="122">
        <f t="shared" si="241"/>
        <v>0</v>
      </c>
      <c r="T83" s="122">
        <f t="shared" ref="T83:U83" si="242">T13/T57</f>
        <v>0</v>
      </c>
      <c r="U83" s="122">
        <f t="shared" si="242"/>
        <v>0</v>
      </c>
      <c r="V83" s="101" t="e">
        <f t="shared" si="189"/>
        <v>#VALUE!</v>
      </c>
      <c r="W83" s="110"/>
      <c r="X83" s="134">
        <f t="shared" ref="X83:AG83" si="243">X13/X57</f>
        <v>0</v>
      </c>
      <c r="Y83" s="134">
        <f t="shared" si="243"/>
        <v>0</v>
      </c>
      <c r="Z83" s="134">
        <f t="shared" si="243"/>
        <v>0</v>
      </c>
      <c r="AA83" s="134">
        <f t="shared" si="243"/>
        <v>0</v>
      </c>
      <c r="AB83" s="134">
        <f t="shared" si="243"/>
        <v>0</v>
      </c>
      <c r="AC83" s="134">
        <f t="shared" si="243"/>
        <v>0</v>
      </c>
      <c r="AD83" s="134">
        <f t="shared" si="243"/>
        <v>0</v>
      </c>
      <c r="AE83" s="134">
        <f t="shared" si="243"/>
        <v>0</v>
      </c>
      <c r="AF83" s="134">
        <f t="shared" si="243"/>
        <v>0</v>
      </c>
      <c r="AG83" s="134">
        <f t="shared" si="243"/>
        <v>0</v>
      </c>
      <c r="AH83" s="116" t="e">
        <f t="shared" si="196"/>
        <v>#DIV/0!</v>
      </c>
      <c r="AI83" s="21">
        <f t="shared" si="17"/>
        <v>0.05</v>
      </c>
      <c r="AJ83" s="124">
        <f t="shared" si="197"/>
        <v>0</v>
      </c>
    </row>
    <row r="84" spans="2:36">
      <c r="B84" s="10" t="s">
        <v>214</v>
      </c>
      <c r="C84" s="109"/>
      <c r="D84" s="109"/>
      <c r="E84" s="109"/>
      <c r="F84" s="122"/>
      <c r="G84" s="122" t="e">
        <f t="shared" ref="G84" si="244">(G82+G83)</f>
        <v>#VALUE!</v>
      </c>
      <c r="H84" s="122">
        <f t="shared" ref="H84:I84" si="245">(H82+H83)</f>
        <v>3.2258064516129035</v>
      </c>
      <c r="I84" s="122">
        <f t="shared" si="245"/>
        <v>8.064516129032258</v>
      </c>
      <c r="J84" s="122">
        <f t="shared" ref="J84:S84" si="246">(J82+J83)</f>
        <v>96.774193548387103</v>
      </c>
      <c r="K84" s="122">
        <f t="shared" si="246"/>
        <v>14.516129032258064</v>
      </c>
      <c r="L84" s="122">
        <f t="shared" si="246"/>
        <v>6.4516129032258069</v>
      </c>
      <c r="M84" s="122">
        <f t="shared" si="246"/>
        <v>8.064516129032258</v>
      </c>
      <c r="N84" s="122">
        <f t="shared" si="246"/>
        <v>4.838709677419355</v>
      </c>
      <c r="O84" s="122">
        <f t="shared" si="246"/>
        <v>11.290322580645162</v>
      </c>
      <c r="P84" s="122">
        <f t="shared" si="246"/>
        <v>17.741935483870968</v>
      </c>
      <c r="Q84" s="122">
        <f t="shared" si="246"/>
        <v>9.67741935483871</v>
      </c>
      <c r="R84" s="122">
        <f t="shared" ref="R84" si="247">(R82+R83)</f>
        <v>19.35483870967742</v>
      </c>
      <c r="S84" s="122">
        <f t="shared" si="246"/>
        <v>20.967741935483872</v>
      </c>
      <c r="T84" s="122">
        <f t="shared" ref="T84:U84" si="248">(T82+T83)</f>
        <v>43.548387096774192</v>
      </c>
      <c r="U84" s="122">
        <f t="shared" si="248"/>
        <v>7.7142857142857144</v>
      </c>
      <c r="V84" s="101" t="e">
        <f t="shared" si="189"/>
        <v>#VALUE!</v>
      </c>
      <c r="W84" s="110"/>
      <c r="X84" s="134">
        <f t="shared" ref="X84:AG84" si="249">(X82+X83)</f>
        <v>8.1680672268907575</v>
      </c>
      <c r="Y84" s="134">
        <f t="shared" si="249"/>
        <v>8.6485417696490376</v>
      </c>
      <c r="Z84" s="134">
        <f t="shared" si="249"/>
        <v>9.1572795208048632</v>
      </c>
      <c r="AA84" s="134">
        <f t="shared" si="249"/>
        <v>9.6959430220286791</v>
      </c>
      <c r="AB84" s="134">
        <f t="shared" si="249"/>
        <v>10.266292611559777</v>
      </c>
      <c r="AC84" s="134">
        <f t="shared" si="249"/>
        <v>10.870192176945647</v>
      </c>
      <c r="AD84" s="134">
        <f t="shared" si="249"/>
        <v>11.509615246177745</v>
      </c>
      <c r="AE84" s="134">
        <f t="shared" si="249"/>
        <v>12.186651437129377</v>
      </c>
      <c r="AF84" s="134">
        <f t="shared" si="249"/>
        <v>12.903513286372281</v>
      </c>
      <c r="AG84" s="134">
        <f t="shared" si="249"/>
        <v>13.662543479688299</v>
      </c>
      <c r="AH84" s="116">
        <f t="shared" si="196"/>
        <v>-8.1596426166003821E-2</v>
      </c>
      <c r="AI84" s="21">
        <f t="shared" si="17"/>
        <v>0.05</v>
      </c>
      <c r="AJ84" s="124">
        <f t="shared" si="197"/>
        <v>204.93815219532451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250">G15/G57</f>
        <v>96.774193548387103</v>
      </c>
      <c r="H85" s="122">
        <f t="shared" ref="H85:I85" si="251">H15/H57</f>
        <v>108.06451612903226</v>
      </c>
      <c r="I85" s="122">
        <f t="shared" si="251"/>
        <v>140.32258064516128</v>
      </c>
      <c r="J85" s="122">
        <f t="shared" ref="J85:S85" si="252">J15/J57</f>
        <v>254.83870967741936</v>
      </c>
      <c r="K85" s="122">
        <f t="shared" si="252"/>
        <v>169.35483870967741</v>
      </c>
      <c r="L85" s="122">
        <f t="shared" si="252"/>
        <v>135.48387096774195</v>
      </c>
      <c r="M85" s="122">
        <f t="shared" si="252"/>
        <v>129.03225806451613</v>
      </c>
      <c r="N85" s="122">
        <f t="shared" si="252"/>
        <v>159.67741935483872</v>
      </c>
      <c r="O85" s="122">
        <f t="shared" si="252"/>
        <v>175.80645161290323</v>
      </c>
      <c r="P85" s="122">
        <f t="shared" si="252"/>
        <v>185.48387096774195</v>
      </c>
      <c r="Q85" s="122">
        <f t="shared" si="252"/>
        <v>224.19354838709677</v>
      </c>
      <c r="R85" s="122">
        <f t="shared" si="252"/>
        <v>254.83870967741936</v>
      </c>
      <c r="S85" s="122">
        <f t="shared" si="252"/>
        <v>290.32258064516128</v>
      </c>
      <c r="T85" s="122">
        <f t="shared" ref="T85:U85" si="253">T15/T57</f>
        <v>308.06451612903226</v>
      </c>
      <c r="U85" s="122">
        <f t="shared" si="253"/>
        <v>54.571428571428569</v>
      </c>
      <c r="V85" s="101">
        <f t="shared" si="189"/>
        <v>-4.0093388394246254E-2</v>
      </c>
      <c r="W85" s="110"/>
      <c r="X85" s="134">
        <f t="shared" ref="X85:AG85" si="254">X15/X57</f>
        <v>57.78151260504201</v>
      </c>
      <c r="Y85" s="134">
        <f t="shared" si="254"/>
        <v>61.180425111220956</v>
      </c>
      <c r="Z85" s="134">
        <f t="shared" si="254"/>
        <v>64.779273647175131</v>
      </c>
      <c r="AA85" s="134">
        <f t="shared" si="254"/>
        <v>68.589819155832501</v>
      </c>
      <c r="AB85" s="134">
        <f t="shared" si="254"/>
        <v>72.624514400293222</v>
      </c>
      <c r="AC85" s="134">
        <f t="shared" si="254"/>
        <v>76.896544659134008</v>
      </c>
      <c r="AD85" s="134">
        <f t="shared" si="254"/>
        <v>81.419870815553665</v>
      </c>
      <c r="AE85" s="134">
        <f t="shared" si="254"/>
        <v>86.209274981174474</v>
      </c>
      <c r="AF85" s="134">
        <f t="shared" si="254"/>
        <v>91.280408803596515</v>
      </c>
      <c r="AG85" s="134">
        <f t="shared" si="254"/>
        <v>96.649844615572775</v>
      </c>
      <c r="AH85" s="116">
        <f t="shared" si="196"/>
        <v>-4.1277633740698927E-2</v>
      </c>
      <c r="AI85" s="21">
        <f t="shared" si="17"/>
        <v>0.05</v>
      </c>
      <c r="AJ85" s="124">
        <f t="shared" si="197"/>
        <v>1449.7476692335918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255">G16/G57</f>
        <v>87.096774193548384</v>
      </c>
      <c r="H86" s="122">
        <f t="shared" ref="H86:I86" si="256">H16/H57</f>
        <v>100</v>
      </c>
      <c r="I86" s="122">
        <f t="shared" si="256"/>
        <v>125.80645161290323</v>
      </c>
      <c r="J86" s="122">
        <f t="shared" ref="J86:S86" si="257">J16/J57</f>
        <v>241.93548387096774</v>
      </c>
      <c r="K86" s="122">
        <f t="shared" si="257"/>
        <v>135.48387096774195</v>
      </c>
      <c r="L86" s="122">
        <f t="shared" si="257"/>
        <v>83.870967741935488</v>
      </c>
      <c r="M86" s="122">
        <f t="shared" si="257"/>
        <v>69.354838709677423</v>
      </c>
      <c r="N86" s="122">
        <f t="shared" si="257"/>
        <v>-93.548387096774192</v>
      </c>
      <c r="O86" s="122">
        <f t="shared" si="257"/>
        <v>-62.903225806451616</v>
      </c>
      <c r="P86" s="122">
        <f t="shared" si="257"/>
        <v>-24.193548387096776</v>
      </c>
      <c r="Q86" s="122">
        <f t="shared" si="257"/>
        <v>66.129032258064512</v>
      </c>
      <c r="R86" s="122">
        <f t="shared" si="257"/>
        <v>108.06451612903226</v>
      </c>
      <c r="S86" s="122">
        <f t="shared" si="257"/>
        <v>132.25806451612902</v>
      </c>
      <c r="T86" s="122">
        <f t="shared" ref="T86:U86" si="258">T16/T57</f>
        <v>208.06451612903226</v>
      </c>
      <c r="U86" s="122">
        <f t="shared" si="258"/>
        <v>36.857142857142854</v>
      </c>
      <c r="V86" s="101">
        <f t="shared" si="189"/>
        <v>-5.9577896257141716E-2</v>
      </c>
      <c r="W86" s="110"/>
      <c r="X86" s="134">
        <f t="shared" ref="X86:AG86" si="259">X16/X57</f>
        <v>39.025210084033617</v>
      </c>
      <c r="Y86" s="134">
        <f t="shared" si="259"/>
        <v>41.320810677212066</v>
      </c>
      <c r="Z86" s="134">
        <f t="shared" si="259"/>
        <v>43.751446599401007</v>
      </c>
      <c r="AA86" s="134">
        <f t="shared" si="259"/>
        <v>46.325061105248125</v>
      </c>
      <c r="AB86" s="134">
        <f t="shared" si="259"/>
        <v>49.050064699674486</v>
      </c>
      <c r="AC86" s="134">
        <f t="shared" si="259"/>
        <v>51.935362623184751</v>
      </c>
      <c r="AD86" s="134">
        <f t="shared" si="259"/>
        <v>54.990383953960333</v>
      </c>
      <c r="AE86" s="134">
        <f t="shared" si="259"/>
        <v>58.22511242184035</v>
      </c>
      <c r="AF86" s="134">
        <f t="shared" si="259"/>
        <v>61.650119034889784</v>
      </c>
      <c r="AG86" s="134">
        <f t="shared" si="259"/>
        <v>65.276596625177433</v>
      </c>
      <c r="AH86" s="116">
        <f t="shared" si="196"/>
        <v>-5.5366401451209302E-2</v>
      </c>
      <c r="AI86" s="115"/>
      <c r="AJ86" s="124">
        <f t="shared" si="197"/>
        <v>543.97163854314533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0"/>
      <c r="W87" s="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7"/>
        <v>0.05</v>
      </c>
      <c r="AJ87" s="124">
        <f t="shared" si="197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260">G59</f>
        <v>2</v>
      </c>
      <c r="H88" s="136">
        <f t="shared" ref="H88:I88" si="261">H59</f>
        <v>3.5</v>
      </c>
      <c r="I88" s="136">
        <f t="shared" si="261"/>
        <v>3.5</v>
      </c>
      <c r="J88" s="136">
        <f t="shared" ref="J88:S88" si="262">J59</f>
        <v>3.5</v>
      </c>
      <c r="K88" s="136">
        <f t="shared" si="262"/>
        <v>1.5</v>
      </c>
      <c r="L88" s="136">
        <f t="shared" si="262"/>
        <v>0</v>
      </c>
      <c r="M88" s="136">
        <f t="shared" si="262"/>
        <v>0</v>
      </c>
      <c r="N88" s="136">
        <f t="shared" si="262"/>
        <v>0</v>
      </c>
      <c r="O88" s="136">
        <f t="shared" si="262"/>
        <v>0</v>
      </c>
      <c r="P88" s="136">
        <f t="shared" si="262"/>
        <v>0</v>
      </c>
      <c r="Q88" s="136">
        <f t="shared" si="262"/>
        <v>2</v>
      </c>
      <c r="R88" s="136">
        <f t="shared" si="262"/>
        <v>3</v>
      </c>
      <c r="S88" s="136">
        <f t="shared" si="262"/>
        <v>10</v>
      </c>
      <c r="T88" s="136">
        <f t="shared" ref="T88:U88" si="263">T59</f>
        <v>3</v>
      </c>
      <c r="U88" s="136">
        <f t="shared" si="263"/>
        <v>0.6</v>
      </c>
      <c r="V88" s="101">
        <f t="shared" si="189"/>
        <v>-8.2403986307143851E-2</v>
      </c>
      <c r="W88" s="110"/>
      <c r="X88" s="136">
        <f t="shared" ref="X88:AG88" si="264">X59</f>
        <v>0.61199999999999999</v>
      </c>
      <c r="Y88" s="136">
        <f t="shared" si="264"/>
        <v>0.62424000000000002</v>
      </c>
      <c r="Z88" s="136">
        <f t="shared" si="264"/>
        <v>0.63672479999999998</v>
      </c>
      <c r="AA88" s="136">
        <f t="shared" si="264"/>
        <v>0.64945929599999996</v>
      </c>
      <c r="AB88" s="136">
        <f t="shared" si="264"/>
        <v>0.66244848191999994</v>
      </c>
      <c r="AC88" s="136">
        <f t="shared" si="264"/>
        <v>0.6756974515584</v>
      </c>
      <c r="AD88" s="136">
        <f t="shared" si="264"/>
        <v>0.68921140058956798</v>
      </c>
      <c r="AE88" s="136">
        <f t="shared" si="264"/>
        <v>0.70299562860135933</v>
      </c>
      <c r="AF88" s="136">
        <f t="shared" si="264"/>
        <v>0.71705554117338655</v>
      </c>
      <c r="AG88" s="136">
        <f t="shared" si="264"/>
        <v>0.73139665199685433</v>
      </c>
      <c r="AH88" s="116">
        <f t="shared" ref="AH88" si="265">((AG88/J88)^(1/($AG$3-$K$1) ))-1</f>
        <v>-6.5802985709581763E-2</v>
      </c>
      <c r="AI88" s="21">
        <f t="shared" si="17"/>
        <v>0.05</v>
      </c>
      <c r="AJ88" s="124">
        <f t="shared" si="197"/>
        <v>10.970949779952816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0"/>
      <c r="W89" s="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266">G20+G21</f>
        <v>0</v>
      </c>
      <c r="H90" s="122">
        <f t="shared" ref="H90:I90" si="267">H20+H21</f>
        <v>0</v>
      </c>
      <c r="I90" s="122">
        <f t="shared" si="267"/>
        <v>0</v>
      </c>
      <c r="J90" s="122">
        <f t="shared" ref="J90:S90" si="268">J20+J21</f>
        <v>0</v>
      </c>
      <c r="K90" s="122">
        <f t="shared" si="268"/>
        <v>0</v>
      </c>
      <c r="L90" s="122">
        <f t="shared" si="268"/>
        <v>0</v>
      </c>
      <c r="M90" s="122">
        <f t="shared" si="268"/>
        <v>0</v>
      </c>
      <c r="N90" s="122">
        <f t="shared" si="268"/>
        <v>0</v>
      </c>
      <c r="O90" s="122">
        <f t="shared" si="268"/>
        <v>0</v>
      </c>
      <c r="P90" s="122">
        <f t="shared" si="268"/>
        <v>0</v>
      </c>
      <c r="Q90" s="122">
        <f t="shared" si="268"/>
        <v>0</v>
      </c>
      <c r="R90" s="122">
        <f t="shared" si="268"/>
        <v>0</v>
      </c>
      <c r="S90" s="122">
        <f t="shared" si="268"/>
        <v>0</v>
      </c>
      <c r="T90" s="122">
        <f t="shared" ref="T90:U90" si="269">T20+T21</f>
        <v>0</v>
      </c>
      <c r="U90" s="122">
        <f t="shared" si="269"/>
        <v>0</v>
      </c>
      <c r="V90" s="101" t="e">
        <f t="shared" si="189"/>
        <v>#DIV/0!</v>
      </c>
      <c r="W90" s="110"/>
      <c r="X90" s="122">
        <f t="shared" ref="X90:AG90" si="270">X20+X21</f>
        <v>0</v>
      </c>
      <c r="Y90" s="122">
        <f t="shared" si="270"/>
        <v>0</v>
      </c>
      <c r="Z90" s="122">
        <f t="shared" si="270"/>
        <v>0</v>
      </c>
      <c r="AA90" s="122">
        <f t="shared" si="270"/>
        <v>0</v>
      </c>
      <c r="AB90" s="122">
        <f t="shared" si="270"/>
        <v>0</v>
      </c>
      <c r="AC90" s="122">
        <f t="shared" si="270"/>
        <v>0</v>
      </c>
      <c r="AD90" s="122">
        <f t="shared" si="270"/>
        <v>0</v>
      </c>
      <c r="AE90" s="122">
        <f t="shared" si="270"/>
        <v>0</v>
      </c>
      <c r="AF90" s="122">
        <f t="shared" si="270"/>
        <v>0</v>
      </c>
      <c r="AG90" s="122">
        <f t="shared" si="270"/>
        <v>0</v>
      </c>
      <c r="AH90" s="116" t="e">
        <f t="shared" ref="AH90:AH95" si="271">((AG90/J90)^(1/($AG$3-$K$1) ))-1</f>
        <v>#DIV/0!</v>
      </c>
      <c r="AI90" s="21">
        <f t="shared" si="17"/>
        <v>0.05</v>
      </c>
      <c r="AJ90" s="124">
        <f t="shared" si="197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0"/>
      <c r="W91" s="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272">G90/G57</f>
        <v>0</v>
      </c>
      <c r="H92" s="122">
        <f t="shared" ref="H92:I92" si="273">H90/H57</f>
        <v>0</v>
      </c>
      <c r="I92" s="122">
        <f t="shared" si="273"/>
        <v>0</v>
      </c>
      <c r="J92" s="122">
        <f t="shared" ref="J92:S92" si="274">J90/J57</f>
        <v>0</v>
      </c>
      <c r="K92" s="122">
        <f t="shared" si="274"/>
        <v>0</v>
      </c>
      <c r="L92" s="122">
        <f t="shared" si="274"/>
        <v>0</v>
      </c>
      <c r="M92" s="122">
        <f t="shared" si="274"/>
        <v>0</v>
      </c>
      <c r="N92" s="122">
        <f t="shared" si="274"/>
        <v>0</v>
      </c>
      <c r="O92" s="122">
        <f t="shared" si="274"/>
        <v>0</v>
      </c>
      <c r="P92" s="122">
        <f t="shared" si="274"/>
        <v>0</v>
      </c>
      <c r="Q92" s="122">
        <f t="shared" si="274"/>
        <v>0</v>
      </c>
      <c r="R92" s="122">
        <f t="shared" si="274"/>
        <v>0</v>
      </c>
      <c r="S92" s="122">
        <f t="shared" si="274"/>
        <v>0</v>
      </c>
      <c r="T92" s="122">
        <f t="shared" ref="T92:U92" si="275">T90/T57</f>
        <v>0</v>
      </c>
      <c r="U92" s="122">
        <f t="shared" si="275"/>
        <v>0</v>
      </c>
      <c r="V92" s="101" t="e">
        <f t="shared" si="189"/>
        <v>#DIV/0!</v>
      </c>
      <c r="W92" s="110"/>
      <c r="X92" s="124">
        <f t="shared" ref="X92:AG92" si="276">X90/X57</f>
        <v>0</v>
      </c>
      <c r="Y92" s="124">
        <f t="shared" si="276"/>
        <v>0</v>
      </c>
      <c r="Z92" s="124">
        <f t="shared" si="276"/>
        <v>0</v>
      </c>
      <c r="AA92" s="124">
        <f t="shared" si="276"/>
        <v>0</v>
      </c>
      <c r="AB92" s="124">
        <f t="shared" si="276"/>
        <v>0</v>
      </c>
      <c r="AC92" s="124">
        <f t="shared" si="276"/>
        <v>0</v>
      </c>
      <c r="AD92" s="124">
        <f t="shared" si="276"/>
        <v>0</v>
      </c>
      <c r="AE92" s="124">
        <f t="shared" si="276"/>
        <v>0</v>
      </c>
      <c r="AF92" s="124">
        <f t="shared" si="276"/>
        <v>0</v>
      </c>
      <c r="AG92" s="124">
        <f t="shared" si="276"/>
        <v>0</v>
      </c>
      <c r="AH92" s="116" t="e">
        <f t="shared" si="271"/>
        <v>#DIV/0!</v>
      </c>
      <c r="AI92" s="21">
        <f t="shared" si="17"/>
        <v>0.05</v>
      </c>
      <c r="AJ92" s="124">
        <f t="shared" si="197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277">G20/G57</f>
        <v>0</v>
      </c>
      <c r="H93" s="122">
        <f t="shared" ref="H93:I93" si="278">H20/H57</f>
        <v>0</v>
      </c>
      <c r="I93" s="122">
        <f t="shared" si="278"/>
        <v>0</v>
      </c>
      <c r="J93" s="122">
        <f t="shared" ref="J93:S93" si="279">J20/J57</f>
        <v>0</v>
      </c>
      <c r="K93" s="122">
        <f t="shared" si="279"/>
        <v>0</v>
      </c>
      <c r="L93" s="122">
        <f t="shared" si="279"/>
        <v>0</v>
      </c>
      <c r="M93" s="122">
        <f t="shared" si="279"/>
        <v>0</v>
      </c>
      <c r="N93" s="122">
        <f t="shared" si="279"/>
        <v>0</v>
      </c>
      <c r="O93" s="122">
        <f t="shared" si="279"/>
        <v>0</v>
      </c>
      <c r="P93" s="122">
        <f t="shared" si="279"/>
        <v>0</v>
      </c>
      <c r="Q93" s="122">
        <f t="shared" si="279"/>
        <v>0</v>
      </c>
      <c r="R93" s="122">
        <f t="shared" si="279"/>
        <v>0</v>
      </c>
      <c r="S93" s="122">
        <f t="shared" si="279"/>
        <v>0</v>
      </c>
      <c r="T93" s="122">
        <f t="shared" ref="T93:U93" si="280">T20/T57</f>
        <v>0</v>
      </c>
      <c r="U93" s="122">
        <f t="shared" si="280"/>
        <v>0</v>
      </c>
      <c r="V93" s="101" t="e">
        <f t="shared" si="189"/>
        <v>#DIV/0!</v>
      </c>
      <c r="W93" s="110"/>
      <c r="X93" s="124">
        <f t="shared" ref="X93:AG93" si="281">X20/X57</f>
        <v>0</v>
      </c>
      <c r="Y93" s="124">
        <f t="shared" si="281"/>
        <v>0</v>
      </c>
      <c r="Z93" s="124">
        <f t="shared" si="281"/>
        <v>0</v>
      </c>
      <c r="AA93" s="124">
        <f t="shared" si="281"/>
        <v>0</v>
      </c>
      <c r="AB93" s="124">
        <f t="shared" si="281"/>
        <v>0</v>
      </c>
      <c r="AC93" s="124">
        <f t="shared" si="281"/>
        <v>0</v>
      </c>
      <c r="AD93" s="124">
        <f t="shared" si="281"/>
        <v>0</v>
      </c>
      <c r="AE93" s="124">
        <f t="shared" si="281"/>
        <v>0</v>
      </c>
      <c r="AF93" s="124">
        <f t="shared" si="281"/>
        <v>0</v>
      </c>
      <c r="AG93" s="124">
        <f t="shared" si="281"/>
        <v>0</v>
      </c>
      <c r="AH93" s="116" t="e">
        <f t="shared" si="271"/>
        <v>#DIV/0!</v>
      </c>
      <c r="AI93" s="21">
        <f t="shared" si="17"/>
        <v>0.05</v>
      </c>
      <c r="AJ93" s="124">
        <f t="shared" si="197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282">G21/G57</f>
        <v>0</v>
      </c>
      <c r="H94" s="122">
        <f t="shared" ref="H94:I94" si="283">H21/H57</f>
        <v>0</v>
      </c>
      <c r="I94" s="122">
        <f t="shared" si="283"/>
        <v>0</v>
      </c>
      <c r="J94" s="122">
        <f t="shared" ref="J94:S94" si="284">J21/J57</f>
        <v>0</v>
      </c>
      <c r="K94" s="122">
        <f t="shared" si="284"/>
        <v>0</v>
      </c>
      <c r="L94" s="122">
        <f t="shared" si="284"/>
        <v>0</v>
      </c>
      <c r="M94" s="122">
        <f t="shared" si="284"/>
        <v>0</v>
      </c>
      <c r="N94" s="122">
        <f t="shared" si="284"/>
        <v>0</v>
      </c>
      <c r="O94" s="122">
        <f t="shared" si="284"/>
        <v>0</v>
      </c>
      <c r="P94" s="122">
        <f t="shared" si="284"/>
        <v>0</v>
      </c>
      <c r="Q94" s="122">
        <f t="shared" si="284"/>
        <v>0</v>
      </c>
      <c r="R94" s="122">
        <f t="shared" si="284"/>
        <v>0</v>
      </c>
      <c r="S94" s="122">
        <f t="shared" si="284"/>
        <v>0</v>
      </c>
      <c r="T94" s="122">
        <f t="shared" ref="T94:U94" si="285">T21/T57</f>
        <v>0</v>
      </c>
      <c r="U94" s="122">
        <f t="shared" si="285"/>
        <v>0</v>
      </c>
      <c r="V94" s="101" t="e">
        <f t="shared" si="189"/>
        <v>#DIV/0!</v>
      </c>
      <c r="W94" s="110"/>
      <c r="X94" s="124">
        <f t="shared" ref="X94:AG94" si="286">X21/X57</f>
        <v>0</v>
      </c>
      <c r="Y94" s="124">
        <f t="shared" si="286"/>
        <v>0</v>
      </c>
      <c r="Z94" s="124">
        <f t="shared" si="286"/>
        <v>0</v>
      </c>
      <c r="AA94" s="124">
        <f t="shared" si="286"/>
        <v>0</v>
      </c>
      <c r="AB94" s="124">
        <f t="shared" si="286"/>
        <v>0</v>
      </c>
      <c r="AC94" s="124">
        <f t="shared" si="286"/>
        <v>0</v>
      </c>
      <c r="AD94" s="124">
        <f t="shared" si="286"/>
        <v>0</v>
      </c>
      <c r="AE94" s="124">
        <f t="shared" si="286"/>
        <v>0</v>
      </c>
      <c r="AF94" s="124">
        <f t="shared" si="286"/>
        <v>0</v>
      </c>
      <c r="AG94" s="124">
        <f t="shared" si="286"/>
        <v>0</v>
      </c>
      <c r="AH94" s="116" t="e">
        <f t="shared" si="271"/>
        <v>#DIV/0!</v>
      </c>
      <c r="AI94" s="21">
        <f t="shared" si="17"/>
        <v>0.05</v>
      </c>
      <c r="AJ94" s="124">
        <f t="shared" si="197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287">G22/G57</f>
        <v>0</v>
      </c>
      <c r="H95" s="122">
        <f t="shared" ref="H95:I95" si="288">H22/H57</f>
        <v>0</v>
      </c>
      <c r="I95" s="122">
        <f t="shared" si="288"/>
        <v>0</v>
      </c>
      <c r="J95" s="122">
        <f t="shared" ref="J95:S95" si="289">J22/J57</f>
        <v>0</v>
      </c>
      <c r="K95" s="122">
        <f t="shared" si="289"/>
        <v>0</v>
      </c>
      <c r="L95" s="122">
        <f t="shared" si="289"/>
        <v>0</v>
      </c>
      <c r="M95" s="122">
        <f t="shared" si="289"/>
        <v>0</v>
      </c>
      <c r="N95" s="122">
        <f t="shared" si="289"/>
        <v>0</v>
      </c>
      <c r="O95" s="122">
        <f t="shared" si="289"/>
        <v>0</v>
      </c>
      <c r="P95" s="122">
        <f t="shared" si="289"/>
        <v>0</v>
      </c>
      <c r="Q95" s="122">
        <f t="shared" si="289"/>
        <v>0</v>
      </c>
      <c r="R95" s="122">
        <f t="shared" si="289"/>
        <v>0</v>
      </c>
      <c r="S95" s="122">
        <f t="shared" si="289"/>
        <v>0</v>
      </c>
      <c r="T95" s="122">
        <f t="shared" ref="T95:U95" si="290">T22/T57</f>
        <v>0</v>
      </c>
      <c r="U95" s="122">
        <f t="shared" si="290"/>
        <v>0</v>
      </c>
      <c r="V95" s="101" t="e">
        <f t="shared" si="189"/>
        <v>#DIV/0!</v>
      </c>
      <c r="W95" s="110"/>
      <c r="X95" s="124">
        <f t="shared" ref="X95:AG95" si="291">X22/X57</f>
        <v>0</v>
      </c>
      <c r="Y95" s="124">
        <f t="shared" si="291"/>
        <v>0</v>
      </c>
      <c r="Z95" s="124">
        <f t="shared" si="291"/>
        <v>0</v>
      </c>
      <c r="AA95" s="124">
        <f t="shared" si="291"/>
        <v>0</v>
      </c>
      <c r="AB95" s="124">
        <f t="shared" si="291"/>
        <v>0</v>
      </c>
      <c r="AC95" s="124">
        <f t="shared" si="291"/>
        <v>0</v>
      </c>
      <c r="AD95" s="124">
        <f t="shared" si="291"/>
        <v>0</v>
      </c>
      <c r="AE95" s="124">
        <f t="shared" si="291"/>
        <v>0</v>
      </c>
      <c r="AF95" s="124">
        <f t="shared" si="291"/>
        <v>0</v>
      </c>
      <c r="AG95" s="124">
        <f t="shared" si="291"/>
        <v>0</v>
      </c>
      <c r="AH95" s="116" t="e">
        <f t="shared" si="271"/>
        <v>#DIV/0!</v>
      </c>
      <c r="AI95" s="21">
        <f t="shared" si="17"/>
        <v>0.05</v>
      </c>
      <c r="AJ95" s="124">
        <f t="shared" si="197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292">G23/G57</f>
        <v>0</v>
      </c>
      <c r="H96" s="122">
        <f t="shared" ref="H96:I96" si="293">H23/H57</f>
        <v>0</v>
      </c>
      <c r="I96" s="122">
        <f t="shared" si="293"/>
        <v>0</v>
      </c>
      <c r="J96" s="122">
        <f t="shared" ref="J96:S96" si="294">J23/J57</f>
        <v>0</v>
      </c>
      <c r="K96" s="122">
        <f t="shared" si="294"/>
        <v>0</v>
      </c>
      <c r="L96" s="122">
        <f t="shared" si="294"/>
        <v>0</v>
      </c>
      <c r="M96" s="122">
        <f t="shared" si="294"/>
        <v>0</v>
      </c>
      <c r="N96" s="122">
        <f t="shared" si="294"/>
        <v>0</v>
      </c>
      <c r="O96" s="122">
        <f t="shared" si="294"/>
        <v>0</v>
      </c>
      <c r="P96" s="122">
        <f t="shared" si="294"/>
        <v>0</v>
      </c>
      <c r="Q96" s="122">
        <f t="shared" si="294"/>
        <v>0</v>
      </c>
      <c r="R96" s="122">
        <f t="shared" si="294"/>
        <v>0</v>
      </c>
      <c r="S96" s="122">
        <f t="shared" si="294"/>
        <v>0</v>
      </c>
      <c r="T96" s="122">
        <f t="shared" ref="T96:U96" si="295">T23/T57</f>
        <v>0</v>
      </c>
      <c r="U96" s="122">
        <f t="shared" si="295"/>
        <v>0</v>
      </c>
      <c r="V96" s="101" t="e">
        <f t="shared" si="189"/>
        <v>#DIV/0!</v>
      </c>
      <c r="W96" s="110"/>
      <c r="X96" s="124">
        <f t="shared" ref="X96:AG96" si="296">X23/X57</f>
        <v>0</v>
      </c>
      <c r="Y96" s="124">
        <f t="shared" si="296"/>
        <v>0</v>
      </c>
      <c r="Z96" s="124">
        <f t="shared" si="296"/>
        <v>0</v>
      </c>
      <c r="AA96" s="124">
        <f t="shared" si="296"/>
        <v>0</v>
      </c>
      <c r="AB96" s="124">
        <f t="shared" si="296"/>
        <v>0</v>
      </c>
      <c r="AC96" s="124">
        <f t="shared" si="296"/>
        <v>0</v>
      </c>
      <c r="AD96" s="124">
        <f t="shared" si="296"/>
        <v>0</v>
      </c>
      <c r="AE96" s="124">
        <f t="shared" si="296"/>
        <v>0</v>
      </c>
      <c r="AF96" s="124">
        <f t="shared" si="296"/>
        <v>0</v>
      </c>
      <c r="AG96" s="124">
        <f t="shared" si="296"/>
        <v>0</v>
      </c>
      <c r="AH96" s="116" t="e">
        <f t="shared" ref="AH96" si="297">((AG96/J96)^(1/($AG$3-$K$1) ))-1</f>
        <v>#DIV/0!</v>
      </c>
      <c r="AI96" s="21">
        <f t="shared" si="17"/>
        <v>0.05</v>
      </c>
      <c r="AJ96" s="124">
        <f t="shared" si="197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298">G51/G57</f>
        <v>40.322580645161288</v>
      </c>
      <c r="H98" s="122">
        <f t="shared" ref="H98:I98" si="299">H51/H57</f>
        <v>43.548387096774192</v>
      </c>
      <c r="I98" s="122">
        <f t="shared" si="299"/>
        <v>37.096774193548384</v>
      </c>
      <c r="J98" s="122">
        <f t="shared" ref="J98:S98" si="300">J51/J57</f>
        <v>41.935483870967744</v>
      </c>
      <c r="K98" s="122">
        <f t="shared" si="300"/>
        <v>38.70967741935484</v>
      </c>
      <c r="L98" s="122">
        <f t="shared" si="300"/>
        <v>24.193548387096776</v>
      </c>
      <c r="M98" s="122">
        <f t="shared" si="300"/>
        <v>32.258064516129032</v>
      </c>
      <c r="N98" s="122">
        <f t="shared" si="300"/>
        <v>40.322580645161288</v>
      </c>
      <c r="O98" s="122">
        <f t="shared" si="300"/>
        <v>45.161290322580648</v>
      </c>
      <c r="P98" s="122">
        <f t="shared" si="300"/>
        <v>56.451612903225808</v>
      </c>
      <c r="Q98" s="122">
        <f t="shared" si="300"/>
        <v>74.193548387096769</v>
      </c>
      <c r="R98" s="122">
        <f t="shared" si="300"/>
        <v>133.87096774193549</v>
      </c>
      <c r="S98" s="122">
        <f t="shared" si="300"/>
        <v>214.51612903225808</v>
      </c>
      <c r="T98" s="122">
        <f t="shared" ref="T98:U98" si="301">T51/T57</f>
        <v>212.90322580645162</v>
      </c>
      <c r="U98" s="122">
        <f t="shared" si="301"/>
        <v>37.714285714285715</v>
      </c>
      <c r="V98" s="101">
        <f t="shared" si="189"/>
        <v>-4.765229504393842E-3</v>
      </c>
      <c r="W98" s="110"/>
      <c r="X98" s="122">
        <f t="shared" ref="X98:AG98" si="302">X51/X57</f>
        <v>39.932773109243698</v>
      </c>
      <c r="Y98" s="122">
        <f t="shared" si="302"/>
        <v>42.281759762728626</v>
      </c>
      <c r="Z98" s="122">
        <f t="shared" si="302"/>
        <v>44.768922101712668</v>
      </c>
      <c r="AA98" s="122">
        <f t="shared" si="302"/>
        <v>47.402388107695764</v>
      </c>
      <c r="AB98" s="122">
        <f t="shared" si="302"/>
        <v>50.190763878736696</v>
      </c>
      <c r="AC98" s="122">
        <f t="shared" si="302"/>
        <v>53.143161753956498</v>
      </c>
      <c r="AD98" s="122">
        <f t="shared" si="302"/>
        <v>56.269230092424529</v>
      </c>
      <c r="AE98" s="122">
        <f t="shared" si="302"/>
        <v>59.579184803743615</v>
      </c>
      <c r="AF98" s="122">
        <f t="shared" si="302"/>
        <v>63.083842733375597</v>
      </c>
      <c r="AG98" s="122">
        <f t="shared" si="302"/>
        <v>66.794657011809463</v>
      </c>
      <c r="AH98" s="116">
        <f t="shared" ref="AH98:AH100" si="303">((AG98/J98)^(1/($AG$3-$K$1) ))-1</f>
        <v>2.0444920148390056E-2</v>
      </c>
      <c r="AI98" s="21">
        <f t="shared" si="17"/>
        <v>0.05</v>
      </c>
      <c r="AJ98" s="124">
        <f t="shared" si="197"/>
        <v>1001.9198551771422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04">G55/G57</f>
        <v>24.193548387096776</v>
      </c>
      <c r="H99" s="122">
        <f t="shared" ref="H99:I99" si="305">H55/H57</f>
        <v>22.580645161290324</v>
      </c>
      <c r="I99" s="122">
        <f t="shared" si="305"/>
        <v>17.741935483870968</v>
      </c>
      <c r="J99" s="122">
        <f t="shared" ref="J99:S99" si="306">J55/J57</f>
        <v>14.516129032258064</v>
      </c>
      <c r="K99" s="122">
        <f t="shared" si="306"/>
        <v>8.064516129032258</v>
      </c>
      <c r="L99" s="122">
        <f t="shared" si="306"/>
        <v>0.5</v>
      </c>
      <c r="M99" s="122">
        <f t="shared" si="306"/>
        <v>-22.580645161290324</v>
      </c>
      <c r="N99" s="122">
        <f t="shared" si="306"/>
        <v>-33.870967741935488</v>
      </c>
      <c r="O99" s="122">
        <f t="shared" si="306"/>
        <v>-50</v>
      </c>
      <c r="P99" s="122">
        <f t="shared" si="306"/>
        <v>-9.67741935483871</v>
      </c>
      <c r="Q99" s="122">
        <f t="shared" si="306"/>
        <v>17.741935483870968</v>
      </c>
      <c r="R99" s="122">
        <f t="shared" si="306"/>
        <v>51.612903225806456</v>
      </c>
      <c r="S99" s="122">
        <f t="shared" si="306"/>
        <v>82.258064516129039</v>
      </c>
      <c r="T99" s="122">
        <f t="shared" ref="T99:U99" si="307">T55/T57</f>
        <v>112.90322580645162</v>
      </c>
      <c r="U99" s="122">
        <f t="shared" si="307"/>
        <v>13.142857142857142</v>
      </c>
      <c r="V99" s="101">
        <f t="shared" si="189"/>
        <v>-4.2650025969524497E-2</v>
      </c>
      <c r="W99" s="110"/>
      <c r="X99" s="122">
        <f t="shared" ref="X99:AG99" si="308">X55/X57</f>
        <v>13.915966386554622</v>
      </c>
      <c r="Y99" s="122">
        <f t="shared" si="308"/>
        <v>14.734552644587248</v>
      </c>
      <c r="Z99" s="122">
        <f t="shared" si="308"/>
        <v>15.601291035445321</v>
      </c>
      <c r="AA99" s="122">
        <f t="shared" si="308"/>
        <v>16.51901403753034</v>
      </c>
      <c r="AB99" s="122">
        <f t="shared" si="308"/>
        <v>17.490720745620361</v>
      </c>
      <c r="AC99" s="122">
        <f t="shared" si="308"/>
        <v>18.519586671833324</v>
      </c>
      <c r="AD99" s="122">
        <f t="shared" si="308"/>
        <v>19.60897412311764</v>
      </c>
      <c r="AE99" s="122">
        <f t="shared" si="308"/>
        <v>20.762443189183383</v>
      </c>
      <c r="AF99" s="122">
        <f t="shared" si="308"/>
        <v>21.983763376782406</v>
      </c>
      <c r="AG99" s="122">
        <f t="shared" si="308"/>
        <v>23.276925928357844</v>
      </c>
      <c r="AH99" s="116">
        <f t="shared" si="303"/>
        <v>2.0742730959368627E-2</v>
      </c>
      <c r="AI99" s="21">
        <f t="shared" si="17"/>
        <v>0.05</v>
      </c>
      <c r="AJ99" s="124">
        <f t="shared" si="197"/>
        <v>349.15388892536771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09">G6/G57</f>
        <v>83.870967741935488</v>
      </c>
      <c r="H100" s="122">
        <f t="shared" ref="H100:I100" si="310">H6/H57</f>
        <v>101.61290322580645</v>
      </c>
      <c r="I100" s="122">
        <f t="shared" si="310"/>
        <v>116.12903225806451</v>
      </c>
      <c r="J100" s="122">
        <f t="shared" ref="J100:S100" si="311">J6/J57</f>
        <v>125.80645161290323</v>
      </c>
      <c r="K100" s="122">
        <f t="shared" si="311"/>
        <v>132.25806451612902</v>
      </c>
      <c r="L100" s="122">
        <f t="shared" si="311"/>
        <v>132.25806451612902</v>
      </c>
      <c r="M100" s="122">
        <f t="shared" si="311"/>
        <v>109.6774193548387</v>
      </c>
      <c r="N100" s="122">
        <f t="shared" si="311"/>
        <v>75.806451612903231</v>
      </c>
      <c r="O100" s="122">
        <f t="shared" si="311"/>
        <v>25.806451612903228</v>
      </c>
      <c r="P100" s="122">
        <f t="shared" si="311"/>
        <v>14.516129032258064</v>
      </c>
      <c r="Q100" s="122">
        <f t="shared" si="311"/>
        <v>32.258064516129032</v>
      </c>
      <c r="R100" s="122">
        <f t="shared" si="311"/>
        <v>75.806451612903231</v>
      </c>
      <c r="S100" s="122">
        <f t="shared" si="311"/>
        <v>145.16129032258064</v>
      </c>
      <c r="T100" s="122">
        <f t="shared" ref="T100:U100" si="312">T6/T57</f>
        <v>254.83870967741936</v>
      </c>
      <c r="U100" s="122">
        <f t="shared" si="312"/>
        <v>45.142857142857146</v>
      </c>
      <c r="V100" s="101">
        <f t="shared" si="189"/>
        <v>-4.3281660351310869E-2</v>
      </c>
      <c r="W100" s="110"/>
      <c r="X100" s="122">
        <f t="shared" ref="X100:AG100" si="313">X6/X57</f>
        <v>47.798319327731093</v>
      </c>
      <c r="Y100" s="122">
        <f t="shared" si="313"/>
        <v>50.609985170538806</v>
      </c>
      <c r="Z100" s="122">
        <f t="shared" si="313"/>
        <v>53.58704312174698</v>
      </c>
      <c r="AA100" s="122">
        <f t="shared" si="313"/>
        <v>56.739222128908565</v>
      </c>
      <c r="AB100" s="122">
        <f t="shared" si="313"/>
        <v>60.076823430609068</v>
      </c>
      <c r="AC100" s="122">
        <f t="shared" si="313"/>
        <v>63.6107542206449</v>
      </c>
      <c r="AD100" s="122">
        <f t="shared" si="313"/>
        <v>67.352563292447542</v>
      </c>
      <c r="AE100" s="122">
        <f t="shared" si="313"/>
        <v>71.314478780238588</v>
      </c>
      <c r="AF100" s="122">
        <f t="shared" si="313"/>
        <v>75.509448120252614</v>
      </c>
      <c r="AG100" s="122">
        <f t="shared" si="313"/>
        <v>79.95118036262042</v>
      </c>
      <c r="AH100" s="116">
        <f t="shared" si="303"/>
        <v>-1.9516960702151143E-2</v>
      </c>
      <c r="AI100" s="21">
        <f t="shared" ref="AI100" si="314">$O$1</f>
        <v>0.05</v>
      </c>
      <c r="AJ100" s="124">
        <f t="shared" si="197"/>
        <v>1199.2677054393066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15">G55/$T$57</f>
        <v>24.193548387096776</v>
      </c>
      <c r="H102" s="122">
        <f t="shared" ref="H102:I102" si="316">H55/$T$57</f>
        <v>22.580645161290324</v>
      </c>
      <c r="I102" s="122">
        <f t="shared" si="316"/>
        <v>17.741935483870968</v>
      </c>
      <c r="J102" s="122">
        <f t="shared" ref="J102:T102" si="317">J55/$T$57</f>
        <v>14.516129032258064</v>
      </c>
      <c r="K102" s="122">
        <f t="shared" si="317"/>
        <v>8.064516129032258</v>
      </c>
      <c r="L102" s="122">
        <f t="shared" si="317"/>
        <v>0.5</v>
      </c>
      <c r="M102" s="122">
        <f t="shared" si="317"/>
        <v>-22.580645161290324</v>
      </c>
      <c r="N102" s="122">
        <f t="shared" si="317"/>
        <v>-33.870967741935488</v>
      </c>
      <c r="O102" s="122">
        <f t="shared" si="317"/>
        <v>-50</v>
      </c>
      <c r="P102" s="122">
        <f t="shared" si="317"/>
        <v>-9.67741935483871</v>
      </c>
      <c r="Q102" s="122">
        <f t="shared" si="317"/>
        <v>17.741935483870968</v>
      </c>
      <c r="R102" s="122">
        <f t="shared" si="317"/>
        <v>51.612903225806456</v>
      </c>
      <c r="S102" s="122">
        <f t="shared" si="317"/>
        <v>82.258064516129039</v>
      </c>
      <c r="T102" s="122">
        <f t="shared" si="317"/>
        <v>112.90322580645162</v>
      </c>
      <c r="U102" s="122">
        <f t="shared" ref="U102" si="318">U55/$T$57</f>
        <v>74.193548387096769</v>
      </c>
      <c r="V102" s="101">
        <f t="shared" si="189"/>
        <v>8.3332813949207107E-2</v>
      </c>
      <c r="W102" s="110"/>
      <c r="X102" s="122">
        <f t="shared" ref="X102:AG102" si="319">X55/X57</f>
        <v>13.915966386554622</v>
      </c>
      <c r="Y102" s="122">
        <f t="shared" si="319"/>
        <v>14.734552644587248</v>
      </c>
      <c r="Z102" s="122">
        <f t="shared" si="319"/>
        <v>15.601291035445321</v>
      </c>
      <c r="AA102" s="122">
        <f t="shared" si="319"/>
        <v>16.51901403753034</v>
      </c>
      <c r="AB102" s="122">
        <f t="shared" si="319"/>
        <v>17.490720745620361</v>
      </c>
      <c r="AC102" s="122">
        <f t="shared" si="319"/>
        <v>18.519586671833324</v>
      </c>
      <c r="AD102" s="122">
        <f t="shared" si="319"/>
        <v>19.60897412311764</v>
      </c>
      <c r="AE102" s="122">
        <f t="shared" si="319"/>
        <v>20.762443189183383</v>
      </c>
      <c r="AF102" s="122">
        <f t="shared" si="319"/>
        <v>21.983763376782406</v>
      </c>
      <c r="AG102" s="122">
        <f t="shared" si="319"/>
        <v>23.276925928357844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2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20">G51/G25</f>
        <v>0.22321428571428573</v>
      </c>
      <c r="H105" s="129">
        <f t="shared" ref="H105:I105" si="321">H51/H25</f>
        <v>0.19285714285714287</v>
      </c>
      <c r="I105" s="129">
        <f t="shared" si="321"/>
        <v>0.14374999999999999</v>
      </c>
      <c r="J105" s="129">
        <f t="shared" ref="J105:S105" si="322">J51/J25</f>
        <v>0.15116279069767441</v>
      </c>
      <c r="K105" s="129">
        <f t="shared" si="322"/>
        <v>0.14814814814814814</v>
      </c>
      <c r="L105" s="129">
        <f t="shared" si="322"/>
        <v>0.10638297872340426</v>
      </c>
      <c r="M105" s="129">
        <f t="shared" si="322"/>
        <v>0.14285714285714285</v>
      </c>
      <c r="N105" s="129">
        <f t="shared" si="322"/>
        <v>0.1388888888888889</v>
      </c>
      <c r="O105" s="129">
        <f t="shared" si="322"/>
        <v>0.14507772020725387</v>
      </c>
      <c r="P105" s="129">
        <f t="shared" si="322"/>
        <v>0.15418502202643172</v>
      </c>
      <c r="Q105" s="129">
        <f t="shared" si="322"/>
        <v>0.18623481781376519</v>
      </c>
      <c r="R105" s="129">
        <f t="shared" si="322"/>
        <v>0.24776119402985075</v>
      </c>
      <c r="S105" s="129">
        <f t="shared" si="322"/>
        <v>0.34635416666666669</v>
      </c>
      <c r="T105" s="129">
        <f t="shared" ref="T105:U105" si="323">T51/T25</f>
        <v>0.33165829145728642</v>
      </c>
      <c r="U105" s="129">
        <f t="shared" si="323"/>
        <v>0.39520958083832336</v>
      </c>
      <c r="V105" s="101">
        <f t="shared" si="189"/>
        <v>4.1650004058343626E-2</v>
      </c>
      <c r="W105" s="129"/>
      <c r="X105" s="129">
        <f t="shared" ref="X105:AG105" si="324">X51/X25</f>
        <v>0.3952095808383233</v>
      </c>
      <c r="Y105" s="129">
        <f t="shared" si="324"/>
        <v>0.39520958083832336</v>
      </c>
      <c r="Z105" s="129">
        <f t="shared" si="324"/>
        <v>0.39520958083832336</v>
      </c>
      <c r="AA105" s="129">
        <f t="shared" si="324"/>
        <v>0.39520958083832336</v>
      </c>
      <c r="AB105" s="129">
        <f t="shared" si="324"/>
        <v>0.39520958083832342</v>
      </c>
      <c r="AC105" s="129">
        <f t="shared" si="324"/>
        <v>0.39520958083832336</v>
      </c>
      <c r="AD105" s="129">
        <f t="shared" si="324"/>
        <v>0.3952095808383233</v>
      </c>
      <c r="AE105" s="129">
        <f t="shared" si="324"/>
        <v>0.3952095808383233</v>
      </c>
      <c r="AF105" s="129">
        <f t="shared" si="324"/>
        <v>0.39520958083832336</v>
      </c>
      <c r="AG105" s="129">
        <f t="shared" si="324"/>
        <v>0.39520958083832336</v>
      </c>
      <c r="AH105" s="116">
        <f t="shared" ref="AH105:AH154" si="325">((AG105/J105)^(1/($AG$3-$K$1) ))-1</f>
        <v>4.267045590816676E-2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26">G55/G25</f>
        <v>0.13392857142857142</v>
      </c>
      <c r="H106" s="129">
        <f t="shared" ref="H106:I106" si="327">H55/H25</f>
        <v>0.1</v>
      </c>
      <c r="I106" s="129">
        <f t="shared" si="327"/>
        <v>6.8750000000000006E-2</v>
      </c>
      <c r="J106" s="129">
        <f t="shared" ref="J106:S106" si="328">J55/J25</f>
        <v>5.232558139534884E-2</v>
      </c>
      <c r="K106" s="129">
        <f t="shared" si="328"/>
        <v>3.0864197530864196E-2</v>
      </c>
      <c r="L106" s="129">
        <f t="shared" si="328"/>
        <v>2.1985815602836877E-3</v>
      </c>
      <c r="M106" s="129">
        <f t="shared" si="328"/>
        <v>-0.1</v>
      </c>
      <c r="N106" s="129">
        <f t="shared" si="328"/>
        <v>-0.11666666666666667</v>
      </c>
      <c r="O106" s="129">
        <f t="shared" si="328"/>
        <v>-0.16062176165803108</v>
      </c>
      <c r="P106" s="129">
        <f t="shared" si="328"/>
        <v>-2.643171806167401E-2</v>
      </c>
      <c r="Q106" s="129">
        <f t="shared" si="328"/>
        <v>4.4534412955465584E-2</v>
      </c>
      <c r="R106" s="129">
        <f t="shared" si="328"/>
        <v>9.5522388059701493E-2</v>
      </c>
      <c r="S106" s="129">
        <f t="shared" si="328"/>
        <v>0.1328125</v>
      </c>
      <c r="T106" s="129">
        <f t="shared" ref="T106:U106" si="329">T55/T25</f>
        <v>0.17587939698492464</v>
      </c>
      <c r="U106" s="129">
        <f t="shared" si="329"/>
        <v>0.1377245508982036</v>
      </c>
      <c r="V106" s="101">
        <f t="shared" si="189"/>
        <v>1.9983564656844699E-3</v>
      </c>
      <c r="W106" s="129"/>
      <c r="X106" s="129">
        <f t="shared" ref="X106:AG106" si="330">X55/X25</f>
        <v>0.1377245508982036</v>
      </c>
      <c r="Y106" s="129">
        <f t="shared" si="330"/>
        <v>0.1377245508982036</v>
      </c>
      <c r="Z106" s="129">
        <f t="shared" si="330"/>
        <v>0.13772455089820357</v>
      </c>
      <c r="AA106" s="129">
        <f t="shared" si="330"/>
        <v>0.1377245508982036</v>
      </c>
      <c r="AB106" s="129">
        <f t="shared" si="330"/>
        <v>0.1377245508982036</v>
      </c>
      <c r="AC106" s="129">
        <f t="shared" si="330"/>
        <v>0.1377245508982036</v>
      </c>
      <c r="AD106" s="129">
        <f t="shared" si="330"/>
        <v>0.1377245508982036</v>
      </c>
      <c r="AE106" s="129">
        <f t="shared" si="330"/>
        <v>0.13772455089820357</v>
      </c>
      <c r="AF106" s="129">
        <f t="shared" si="330"/>
        <v>0.1377245508982036</v>
      </c>
      <c r="AG106" s="129">
        <f t="shared" si="330"/>
        <v>0.1377245508982036</v>
      </c>
      <c r="AH106" s="116">
        <f t="shared" si="325"/>
        <v>4.2974753110226471E-2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331">G55/G7</f>
        <v>0.25862068965517243</v>
      </c>
      <c r="H107" s="129">
        <f t="shared" ref="H107:I107" si="332">H55/H7</f>
        <v>0.2</v>
      </c>
      <c r="I107" s="129">
        <f t="shared" si="332"/>
        <v>0.14102564102564102</v>
      </c>
      <c r="J107" s="129">
        <f>J55/J7</f>
        <v>0.10714285714285714</v>
      </c>
      <c r="K107" s="129">
        <f t="shared" ref="K107:R107" si="333">K55/K7</f>
        <v>5.6818181818181816E-2</v>
      </c>
      <c r="L107" s="129">
        <f t="shared" si="333"/>
        <v>3.5227272727272729E-3</v>
      </c>
      <c r="M107" s="129">
        <f t="shared" si="333"/>
        <v>-0.18666666666666668</v>
      </c>
      <c r="N107" s="129">
        <f t="shared" si="333"/>
        <v>-0.39622641509433965</v>
      </c>
      <c r="O107" s="129">
        <f t="shared" si="333"/>
        <v>-1.4090909090909092</v>
      </c>
      <c r="P107" s="129">
        <f t="shared" si="333"/>
        <v>-0.4</v>
      </c>
      <c r="Q107" s="129">
        <f t="shared" si="333"/>
        <v>0.42307692307692307</v>
      </c>
      <c r="R107" s="129">
        <f t="shared" si="333"/>
        <v>0.60377358490566035</v>
      </c>
      <c r="S107" s="129">
        <f t="shared" ref="S107:T107" si="334">S55/S7</f>
        <v>0.52577319587628868</v>
      </c>
      <c r="T107" s="129">
        <f t="shared" si="334"/>
        <v>0.42682926829268292</v>
      </c>
      <c r="U107" s="129">
        <f t="shared" ref="U107" si="335">U55/U7</f>
        <v>0.28048780487804881</v>
      </c>
      <c r="V107" s="101">
        <f t="shared" si="189"/>
        <v>5.8145376170457563E-3</v>
      </c>
      <c r="W107" s="10"/>
      <c r="X107" s="129">
        <f t="shared" ref="X107" si="336">X55/X7</f>
        <v>0.28048780487804881</v>
      </c>
      <c r="Y107" s="129">
        <f t="shared" ref="Y107:AG107" si="337">Y55/Y7</f>
        <v>0.28048780487804881</v>
      </c>
      <c r="Z107" s="129">
        <f t="shared" si="337"/>
        <v>0.28048780487804881</v>
      </c>
      <c r="AA107" s="129">
        <f t="shared" si="337"/>
        <v>0.28048780487804881</v>
      </c>
      <c r="AB107" s="129">
        <f t="shared" si="337"/>
        <v>0.28048780487804881</v>
      </c>
      <c r="AC107" s="129">
        <f t="shared" si="337"/>
        <v>0.28048780487804881</v>
      </c>
      <c r="AD107" s="129">
        <f t="shared" si="337"/>
        <v>0.28048780487804881</v>
      </c>
      <c r="AE107" s="129">
        <f t="shared" si="337"/>
        <v>0.28048780487804875</v>
      </c>
      <c r="AF107" s="129">
        <f t="shared" si="337"/>
        <v>0.28048780487804881</v>
      </c>
      <c r="AG107" s="129">
        <f t="shared" si="337"/>
        <v>0.28048780487804881</v>
      </c>
      <c r="AH107" s="116">
        <f t="shared" si="325"/>
        <v>4.2729768397571366E-2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338">(G55)/(G7+G10)</f>
        <v>0.11904761904761904</v>
      </c>
      <c r="H108" s="129">
        <f t="shared" ref="H108:I108" si="339">(H55)/(H7+H10)</f>
        <v>9.3959731543624164E-2</v>
      </c>
      <c r="I108" s="129">
        <f t="shared" si="339"/>
        <v>6.4705882352941183E-2</v>
      </c>
      <c r="J108" s="129">
        <f>(J55)/(J7+J10)</f>
        <v>3.3088235294117647E-2</v>
      </c>
      <c r="K108" s="129">
        <f t="shared" ref="K108:R108" si="340">(K55)/(K7+K10)</f>
        <v>1.5060240963855422E-2</v>
      </c>
      <c r="L108" s="129">
        <f t="shared" si="340"/>
        <v>8.3109919571045573E-4</v>
      </c>
      <c r="M108" s="129">
        <f t="shared" si="340"/>
        <v>-3.7533512064343161E-2</v>
      </c>
      <c r="N108" s="129">
        <f t="shared" si="340"/>
        <v>-8.2352941176470587E-2</v>
      </c>
      <c r="O108" s="129">
        <f t="shared" si="340"/>
        <v>-0.11969111969111969</v>
      </c>
      <c r="P108" s="129">
        <f t="shared" si="340"/>
        <v>-2.247191011235955E-2</v>
      </c>
      <c r="Q108" s="129">
        <f t="shared" si="340"/>
        <v>3.6303630363036306E-2</v>
      </c>
      <c r="R108" s="129">
        <f t="shared" si="340"/>
        <v>0.10223642172523961</v>
      </c>
      <c r="S108" s="129">
        <f t="shared" ref="S108:T108" si="341">(S55)/(S7+S10)</f>
        <v>0.14912280701754385</v>
      </c>
      <c r="T108" s="129">
        <f t="shared" si="341"/>
        <v>0.17543859649122806</v>
      </c>
      <c r="U108" s="129">
        <f t="shared" ref="U108" si="342">(U55)/(U7+U10)</f>
        <v>0.11528822055137844</v>
      </c>
      <c r="V108" s="101">
        <f t="shared" si="189"/>
        <v>-2.2893977901239371E-3</v>
      </c>
      <c r="W108" s="10"/>
      <c r="X108" s="129">
        <f t="shared" ref="X108:AG108" si="343">(X55)/(X7+X10)</f>
        <v>0.11528822055137845</v>
      </c>
      <c r="Y108" s="129">
        <f t="shared" si="343"/>
        <v>0.11528822055137845</v>
      </c>
      <c r="Z108" s="129">
        <f t="shared" si="343"/>
        <v>0.11528822055137844</v>
      </c>
      <c r="AA108" s="129">
        <f t="shared" si="343"/>
        <v>0.11528822055137844</v>
      </c>
      <c r="AB108" s="129">
        <f t="shared" si="343"/>
        <v>0.11528822055137845</v>
      </c>
      <c r="AC108" s="129">
        <f t="shared" si="343"/>
        <v>0.11528822055137847</v>
      </c>
      <c r="AD108" s="129">
        <f t="shared" si="343"/>
        <v>0.11528822055137845</v>
      </c>
      <c r="AE108" s="129">
        <f t="shared" si="343"/>
        <v>0.11528822055137845</v>
      </c>
      <c r="AF108" s="129">
        <f t="shared" si="343"/>
        <v>0.11528822055137845</v>
      </c>
      <c r="AG108" s="129">
        <f t="shared" si="343"/>
        <v>0.11528822055137845</v>
      </c>
      <c r="AH108" s="116">
        <f t="shared" si="325"/>
        <v>5.5771800426333673E-2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344">G20/G25</f>
        <v>0</v>
      </c>
      <c r="H109" s="129">
        <f t="shared" ref="H109:I109" si="345">H20/H25</f>
        <v>0</v>
      </c>
      <c r="I109" s="129">
        <f t="shared" si="345"/>
        <v>0</v>
      </c>
      <c r="J109" s="129">
        <f>J20/J25</f>
        <v>0</v>
      </c>
      <c r="K109" s="129">
        <f t="shared" ref="K109:S109" si="346">K20/K25</f>
        <v>0</v>
      </c>
      <c r="L109" s="129">
        <f t="shared" si="346"/>
        <v>0</v>
      </c>
      <c r="M109" s="129">
        <f t="shared" si="346"/>
        <v>0</v>
      </c>
      <c r="N109" s="129">
        <f t="shared" si="346"/>
        <v>0</v>
      </c>
      <c r="O109" s="129">
        <f t="shared" si="346"/>
        <v>0</v>
      </c>
      <c r="P109" s="129">
        <f t="shared" si="346"/>
        <v>0</v>
      </c>
      <c r="Q109" s="129">
        <f t="shared" si="346"/>
        <v>0</v>
      </c>
      <c r="R109" s="129">
        <f t="shared" si="346"/>
        <v>0</v>
      </c>
      <c r="S109" s="129">
        <f t="shared" si="346"/>
        <v>0</v>
      </c>
      <c r="T109" s="129">
        <f t="shared" ref="T109:U109" si="347">T20/T25</f>
        <v>0</v>
      </c>
      <c r="U109" s="129">
        <f t="shared" si="347"/>
        <v>0</v>
      </c>
      <c r="V109" s="101" t="e">
        <f t="shared" si="189"/>
        <v>#DIV/0!</v>
      </c>
      <c r="W109" s="10"/>
      <c r="X109" s="129">
        <f t="shared" ref="X109:AG109" si="348">X20/X25</f>
        <v>0</v>
      </c>
      <c r="Y109" s="129">
        <f t="shared" si="348"/>
        <v>0</v>
      </c>
      <c r="Z109" s="129">
        <f t="shared" si="348"/>
        <v>0</v>
      </c>
      <c r="AA109" s="129">
        <f t="shared" si="348"/>
        <v>0</v>
      </c>
      <c r="AB109" s="129">
        <f t="shared" si="348"/>
        <v>0</v>
      </c>
      <c r="AC109" s="129">
        <f t="shared" si="348"/>
        <v>0</v>
      </c>
      <c r="AD109" s="129">
        <f t="shared" si="348"/>
        <v>0</v>
      </c>
      <c r="AE109" s="129">
        <f t="shared" si="348"/>
        <v>0</v>
      </c>
      <c r="AF109" s="129">
        <f t="shared" si="348"/>
        <v>0</v>
      </c>
      <c r="AG109" s="129">
        <f t="shared" si="348"/>
        <v>0</v>
      </c>
      <c r="AH109" s="116" t="e">
        <f t="shared" si="325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349">G68/G25</f>
        <v>1.7857142857142856E-2</v>
      </c>
      <c r="H110" s="129">
        <f t="shared" ref="H110:I110" si="350">H68/H25</f>
        <v>1.4285714285714285E-2</v>
      </c>
      <c r="I110" s="129">
        <f t="shared" si="350"/>
        <v>6.2500000000000003E-3</v>
      </c>
      <c r="J110" s="129">
        <f>J68/J25</f>
        <v>1.7441860465116279E-2</v>
      </c>
      <c r="K110" s="129">
        <f t="shared" ref="K110:S110" si="351">K68/K25</f>
        <v>1.2345679012345678E-2</v>
      </c>
      <c r="L110" s="129">
        <f t="shared" si="351"/>
        <v>4.8936170212765953E-3</v>
      </c>
      <c r="M110" s="129">
        <f t="shared" si="351"/>
        <v>7.1428571428571426E-3</v>
      </c>
      <c r="N110" s="129">
        <f t="shared" si="351"/>
        <v>-5.5555555555555558E-3</v>
      </c>
      <c r="O110" s="129">
        <f t="shared" si="351"/>
        <v>5.1813471502590676E-3</v>
      </c>
      <c r="P110" s="129">
        <f t="shared" si="351"/>
        <v>4.4052863436123352E-3</v>
      </c>
      <c r="Q110" s="129">
        <f t="shared" si="351"/>
        <v>-3.643724696356275E-2</v>
      </c>
      <c r="R110" s="129">
        <f t="shared" si="351"/>
        <v>3.2835820895522387E-2</v>
      </c>
      <c r="S110" s="129">
        <f t="shared" si="351"/>
        <v>3.90625E-2</v>
      </c>
      <c r="T110" s="129">
        <f t="shared" ref="T110:U110" si="352">T68/T25</f>
        <v>4.7738693467336682E-2</v>
      </c>
      <c r="U110" s="129">
        <f t="shared" si="352"/>
        <v>2.6946107784431138E-2</v>
      </c>
      <c r="V110" s="101">
        <f t="shared" si="189"/>
        <v>2.9824329626927604E-2</v>
      </c>
      <c r="W110" s="10"/>
      <c r="X110" s="129">
        <f t="shared" ref="X110:AG110" si="353">X68/X25</f>
        <v>2.6946107784431132E-2</v>
      </c>
      <c r="Y110" s="129">
        <f t="shared" si="353"/>
        <v>2.6946107784431145E-2</v>
      </c>
      <c r="Z110" s="129">
        <f t="shared" si="353"/>
        <v>2.6946107784431138E-2</v>
      </c>
      <c r="AA110" s="129">
        <f t="shared" si="353"/>
        <v>2.6946107784431149E-2</v>
      </c>
      <c r="AB110" s="129">
        <f t="shared" si="353"/>
        <v>2.6946107784431152E-2</v>
      </c>
      <c r="AC110" s="129">
        <f t="shared" si="353"/>
        <v>2.6946107784431152E-2</v>
      </c>
      <c r="AD110" s="129">
        <f t="shared" si="353"/>
        <v>2.6946107784431149E-2</v>
      </c>
      <c r="AE110" s="129">
        <f t="shared" si="353"/>
        <v>2.6946107784431142E-2</v>
      </c>
      <c r="AF110" s="129">
        <f t="shared" si="353"/>
        <v>2.6946107784431128E-2</v>
      </c>
      <c r="AG110" s="129">
        <f t="shared" si="353"/>
        <v>2.6946107784431135E-2</v>
      </c>
      <c r="AH110" s="116">
        <f t="shared" si="325"/>
        <v>1.9091511415189721E-2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2"/>
      <c r="V111" s="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354">G29/G25</f>
        <v>3.5714285714285712E-2</v>
      </c>
      <c r="H112" s="129">
        <f t="shared" ref="H112:I112" si="355">H29/H25</f>
        <v>4.2857142857142858E-2</v>
      </c>
      <c r="I112" s="129">
        <f t="shared" si="355"/>
        <v>4.3749999999999997E-2</v>
      </c>
      <c r="J112" s="129">
        <f>J29/J25</f>
        <v>4.0697674418604654E-2</v>
      </c>
      <c r="K112" s="129">
        <f t="shared" ref="K112:S112" si="356">K29/K25</f>
        <v>5.5555555555555552E-2</v>
      </c>
      <c r="L112" s="129">
        <f t="shared" si="356"/>
        <v>0.11347517730496454</v>
      </c>
      <c r="M112" s="129">
        <f t="shared" si="356"/>
        <v>0.14285714285714285</v>
      </c>
      <c r="N112" s="129">
        <f t="shared" si="356"/>
        <v>0.1388888888888889</v>
      </c>
      <c r="O112" s="129">
        <f t="shared" si="356"/>
        <v>0.14507772020725387</v>
      </c>
      <c r="P112" s="129">
        <f t="shared" si="356"/>
        <v>0.14977973568281938</v>
      </c>
      <c r="Q112" s="129">
        <f t="shared" si="356"/>
        <v>0.12955465587044535</v>
      </c>
      <c r="R112" s="129">
        <f t="shared" si="356"/>
        <v>9.5522388059701493E-2</v>
      </c>
      <c r="S112" s="129">
        <f t="shared" si="356"/>
        <v>9.6354166666666671E-2</v>
      </c>
      <c r="T112" s="129">
        <f t="shared" ref="T112:U112" si="357">T29/T25</f>
        <v>8.2914572864321606E-2</v>
      </c>
      <c r="U112" s="129">
        <f t="shared" si="357"/>
        <v>8.0838323353293412E-2</v>
      </c>
      <c r="V112" s="101">
        <f t="shared" si="189"/>
        <v>6.0085989890184877E-2</v>
      </c>
      <c r="W112" s="10"/>
      <c r="X112" s="129">
        <f t="shared" ref="X112:AG112" si="358">X29/X25</f>
        <v>8.0838323353293412E-2</v>
      </c>
      <c r="Y112" s="129">
        <f t="shared" si="358"/>
        <v>8.0838323353293412E-2</v>
      </c>
      <c r="Z112" s="129">
        <f t="shared" si="358"/>
        <v>8.0838323353293412E-2</v>
      </c>
      <c r="AA112" s="129">
        <f t="shared" si="358"/>
        <v>8.0838323353293412E-2</v>
      </c>
      <c r="AB112" s="129">
        <f t="shared" si="358"/>
        <v>8.0838323353293412E-2</v>
      </c>
      <c r="AC112" s="129">
        <f t="shared" si="358"/>
        <v>8.0838323353293412E-2</v>
      </c>
      <c r="AD112" s="129">
        <f t="shared" si="358"/>
        <v>8.0838323353293398E-2</v>
      </c>
      <c r="AE112" s="129">
        <f t="shared" si="358"/>
        <v>8.0838323353293412E-2</v>
      </c>
      <c r="AF112" s="129">
        <f t="shared" si="358"/>
        <v>8.0838323353293412E-2</v>
      </c>
      <c r="AG112" s="129">
        <f t="shared" si="358"/>
        <v>8.0838323353293412E-2</v>
      </c>
      <c r="AH112" s="116">
        <f t="shared" si="325"/>
        <v>3.0287891604851236E-2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359">G29/G51</f>
        <v>0.16</v>
      </c>
      <c r="H113" s="129">
        <f t="shared" ref="H113:I113" si="360">H29/H51</f>
        <v>0.22222222222222221</v>
      </c>
      <c r="I113" s="129">
        <f t="shared" si="360"/>
        <v>0.30434782608695654</v>
      </c>
      <c r="J113" s="129">
        <f>J29/J51</f>
        <v>0.26923076923076922</v>
      </c>
      <c r="K113" s="129">
        <f t="shared" ref="K113:S113" si="361">K29/K51</f>
        <v>0.375</v>
      </c>
      <c r="L113" s="129">
        <f t="shared" si="361"/>
        <v>1.0666666666666667</v>
      </c>
      <c r="M113" s="129">
        <f t="shared" si="361"/>
        <v>1</v>
      </c>
      <c r="N113" s="129">
        <f t="shared" si="361"/>
        <v>1</v>
      </c>
      <c r="O113" s="129">
        <f t="shared" si="361"/>
        <v>1</v>
      </c>
      <c r="P113" s="129">
        <f t="shared" si="361"/>
        <v>0.97142857142857142</v>
      </c>
      <c r="Q113" s="129">
        <f t="shared" si="361"/>
        <v>0.69565217391304346</v>
      </c>
      <c r="R113" s="129">
        <f t="shared" si="361"/>
        <v>0.38554216867469882</v>
      </c>
      <c r="S113" s="129">
        <f t="shared" si="361"/>
        <v>0.2781954887218045</v>
      </c>
      <c r="T113" s="129">
        <f t="shared" ref="T113:U113" si="362">T29/T51</f>
        <v>0.25</v>
      </c>
      <c r="U113" s="129">
        <f t="shared" si="362"/>
        <v>0.20454545454545456</v>
      </c>
      <c r="V113" s="101">
        <f t="shared" si="189"/>
        <v>1.7698829510884861E-2</v>
      </c>
      <c r="W113" s="10"/>
      <c r="X113" s="129">
        <f t="shared" ref="X113:AG113" si="363">X29/X51</f>
        <v>0.20454545454545456</v>
      </c>
      <c r="Y113" s="129">
        <f t="shared" si="363"/>
        <v>0.20454545454545456</v>
      </c>
      <c r="Z113" s="129">
        <f t="shared" si="363"/>
        <v>0.20454545454545456</v>
      </c>
      <c r="AA113" s="129">
        <f t="shared" si="363"/>
        <v>0.20454545454545456</v>
      </c>
      <c r="AB113" s="129">
        <f t="shared" si="363"/>
        <v>0.20454545454545453</v>
      </c>
      <c r="AC113" s="129">
        <f t="shared" si="363"/>
        <v>0.20454545454545453</v>
      </c>
      <c r="AD113" s="129">
        <f t="shared" si="363"/>
        <v>0.20454545454545456</v>
      </c>
      <c r="AE113" s="129">
        <f t="shared" si="363"/>
        <v>0.20454545454545456</v>
      </c>
      <c r="AF113" s="129">
        <f t="shared" si="363"/>
        <v>0.20454545454545453</v>
      </c>
      <c r="AG113" s="129">
        <f t="shared" si="363"/>
        <v>0.20454545454545453</v>
      </c>
      <c r="AH113" s="116">
        <f t="shared" ref="AH113" si="364">((AG113/J113)^(1/($AG$3-$K$1) ))-1</f>
        <v>-1.1875817745819139E-2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7"/>
      <c r="G114" s="147">
        <f t="shared" ref="G114" si="365">G29/G55</f>
        <v>0.26666666666666666</v>
      </c>
      <c r="H114" s="147">
        <f t="shared" ref="H114:I114" si="366">H29/H55</f>
        <v>0.42857142857142855</v>
      </c>
      <c r="I114" s="147">
        <f t="shared" si="366"/>
        <v>0.63636363636363635</v>
      </c>
      <c r="J114" s="147">
        <f t="shared" ref="J114:S114" si="367">J29/J55</f>
        <v>0.77777777777777779</v>
      </c>
      <c r="K114" s="147">
        <f t="shared" si="367"/>
        <v>1.8</v>
      </c>
      <c r="L114" s="147">
        <f t="shared" si="367"/>
        <v>51.612903225806456</v>
      </c>
      <c r="M114" s="147">
        <f t="shared" si="367"/>
        <v>-1.4285714285714286</v>
      </c>
      <c r="N114" s="147">
        <f t="shared" si="367"/>
        <v>-1.1904761904761905</v>
      </c>
      <c r="O114" s="147">
        <f t="shared" si="367"/>
        <v>-0.90322580645161288</v>
      </c>
      <c r="P114" s="147">
        <f t="shared" si="367"/>
        <v>-5.666666666666667</v>
      </c>
      <c r="Q114" s="147">
        <f t="shared" si="367"/>
        <v>2.9090909090909092</v>
      </c>
      <c r="R114" s="147">
        <f t="shared" si="367"/>
        <v>1</v>
      </c>
      <c r="S114" s="147">
        <f t="shared" si="367"/>
        <v>0.72549019607843135</v>
      </c>
      <c r="T114" s="147">
        <f t="shared" ref="T114:U114" si="368">T29/T55</f>
        <v>0.47142857142857142</v>
      </c>
      <c r="U114" s="147">
        <f t="shared" si="368"/>
        <v>0.58695652173913049</v>
      </c>
      <c r="V114" s="101">
        <f t="shared" si="189"/>
        <v>5.7971785132852949E-2</v>
      </c>
      <c r="W114" s="10"/>
      <c r="X114" s="147">
        <f t="shared" ref="X114:AG114" si="369">X29/X55</f>
        <v>0.58695652173913038</v>
      </c>
      <c r="Y114" s="147">
        <f t="shared" si="369"/>
        <v>0.58695652173913049</v>
      </c>
      <c r="Z114" s="147">
        <f t="shared" si="369"/>
        <v>0.58695652173913049</v>
      </c>
      <c r="AA114" s="147">
        <f t="shared" si="369"/>
        <v>0.58695652173913049</v>
      </c>
      <c r="AB114" s="147">
        <f t="shared" si="369"/>
        <v>0.58695652173913038</v>
      </c>
      <c r="AC114" s="147">
        <f t="shared" si="369"/>
        <v>0.58695652173913038</v>
      </c>
      <c r="AD114" s="147">
        <f t="shared" si="369"/>
        <v>0.58695652173913038</v>
      </c>
      <c r="AE114" s="147">
        <f t="shared" si="369"/>
        <v>0.58695652173913038</v>
      </c>
      <c r="AF114" s="147">
        <f t="shared" si="369"/>
        <v>0.58695652173913038</v>
      </c>
      <c r="AG114" s="147">
        <f t="shared" si="369"/>
        <v>0.58695652173913038</v>
      </c>
      <c r="AH114" s="116">
        <f t="shared" ref="AH114" si="370">((AG114/J114)^(1/($AG$3-$K$1) ))-1</f>
        <v>-1.2164111803801725E-2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7"/>
      <c r="G115" s="147">
        <f t="shared" ref="G115" si="371">G29/G12</f>
        <v>2</v>
      </c>
      <c r="H115" s="147">
        <f t="shared" ref="H115:I115" si="372">H29/H12</f>
        <v>3</v>
      </c>
      <c r="I115" s="147">
        <f t="shared" si="372"/>
        <v>1.4</v>
      </c>
      <c r="J115" s="147">
        <f t="shared" ref="J115:S115" si="373">J29/J12</f>
        <v>0.11666666666666667</v>
      </c>
      <c r="K115" s="147">
        <f t="shared" si="373"/>
        <v>1</v>
      </c>
      <c r="L115" s="147">
        <f t="shared" si="373"/>
        <v>4</v>
      </c>
      <c r="M115" s="147">
        <f t="shared" si="373"/>
        <v>4</v>
      </c>
      <c r="N115" s="147">
        <f t="shared" si="373"/>
        <v>8.3333333333333339</v>
      </c>
      <c r="O115" s="147">
        <f t="shared" si="373"/>
        <v>4</v>
      </c>
      <c r="P115" s="147">
        <f t="shared" si="373"/>
        <v>3.0909090909090908</v>
      </c>
      <c r="Q115" s="147">
        <f t="shared" si="373"/>
        <v>5.333333333333333</v>
      </c>
      <c r="R115" s="147">
        <f t="shared" si="373"/>
        <v>2.6666666666666665</v>
      </c>
      <c r="S115" s="147">
        <f t="shared" si="373"/>
        <v>2.8461538461538463</v>
      </c>
      <c r="T115" s="147">
        <f t="shared" ref="T115:U115" si="374">T29/T12</f>
        <v>1.2222222222222223</v>
      </c>
      <c r="U115" s="147">
        <f t="shared" si="374"/>
        <v>1</v>
      </c>
      <c r="V115" s="101">
        <f t="shared" si="189"/>
        <v>-4.8304846989380423E-2</v>
      </c>
      <c r="W115" s="10"/>
      <c r="X115" s="129">
        <f t="shared" ref="X115:AG115" si="375">X29/X12</f>
        <v>1</v>
      </c>
      <c r="Y115" s="129">
        <f t="shared" si="375"/>
        <v>1</v>
      </c>
      <c r="Z115" s="129">
        <f t="shared" si="375"/>
        <v>1</v>
      </c>
      <c r="AA115" s="129">
        <f t="shared" si="375"/>
        <v>1</v>
      </c>
      <c r="AB115" s="129">
        <f t="shared" si="375"/>
        <v>1</v>
      </c>
      <c r="AC115" s="129">
        <f t="shared" si="375"/>
        <v>1</v>
      </c>
      <c r="AD115" s="129">
        <f t="shared" si="375"/>
        <v>1</v>
      </c>
      <c r="AE115" s="129">
        <f t="shared" si="375"/>
        <v>1</v>
      </c>
      <c r="AF115" s="129">
        <f t="shared" si="375"/>
        <v>1</v>
      </c>
      <c r="AG115" s="129">
        <f t="shared" si="375"/>
        <v>1</v>
      </c>
      <c r="AH115" s="116">
        <f t="shared" si="325"/>
        <v>9.7911997497647452E-2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7"/>
      <c r="G116" s="147" t="e">
        <f t="shared" ref="G116" si="376">G29/G23</f>
        <v>#DIV/0!</v>
      </c>
      <c r="H116" s="147" t="e">
        <f t="shared" ref="H116:I116" si="377">H29/H23</f>
        <v>#DIV/0!</v>
      </c>
      <c r="I116" s="147" t="e">
        <f t="shared" si="377"/>
        <v>#DIV/0!</v>
      </c>
      <c r="J116" s="147" t="e">
        <f>J29/J23</f>
        <v>#DIV/0!</v>
      </c>
      <c r="K116" s="147" t="e">
        <f t="shared" ref="K116:S116" si="378">K29/K23</f>
        <v>#DIV/0!</v>
      </c>
      <c r="L116" s="147" t="e">
        <f t="shared" si="378"/>
        <v>#DIV/0!</v>
      </c>
      <c r="M116" s="147" t="e">
        <f t="shared" si="378"/>
        <v>#DIV/0!</v>
      </c>
      <c r="N116" s="147" t="e">
        <f t="shared" si="378"/>
        <v>#DIV/0!</v>
      </c>
      <c r="O116" s="147" t="e">
        <f t="shared" si="378"/>
        <v>#DIV/0!</v>
      </c>
      <c r="P116" s="147" t="e">
        <f t="shared" si="378"/>
        <v>#DIV/0!</v>
      </c>
      <c r="Q116" s="147" t="e">
        <f t="shared" si="378"/>
        <v>#DIV/0!</v>
      </c>
      <c r="R116" s="147" t="e">
        <f t="shared" si="378"/>
        <v>#DIV/0!</v>
      </c>
      <c r="S116" s="147" t="e">
        <f t="shared" si="378"/>
        <v>#DIV/0!</v>
      </c>
      <c r="T116" s="147" t="e">
        <f t="shared" ref="T116:U116" si="379">T29/T23</f>
        <v>#DIV/0!</v>
      </c>
      <c r="U116" s="147" t="e">
        <f t="shared" si="379"/>
        <v>#DIV/0!</v>
      </c>
      <c r="V116" s="101" t="e">
        <f t="shared" si="189"/>
        <v>#DIV/0!</v>
      </c>
      <c r="W116" s="10"/>
      <c r="X116" s="147" t="e">
        <f t="shared" ref="X116:AG116" si="380">X29/X23</f>
        <v>#DIV/0!</v>
      </c>
      <c r="Y116" s="147" t="e">
        <f t="shared" si="380"/>
        <v>#DIV/0!</v>
      </c>
      <c r="Z116" s="147" t="e">
        <f t="shared" si="380"/>
        <v>#DIV/0!</v>
      </c>
      <c r="AA116" s="147" t="e">
        <f t="shared" si="380"/>
        <v>#DIV/0!</v>
      </c>
      <c r="AB116" s="147" t="e">
        <f t="shared" si="380"/>
        <v>#DIV/0!</v>
      </c>
      <c r="AC116" s="147" t="e">
        <f t="shared" si="380"/>
        <v>#DIV/0!</v>
      </c>
      <c r="AD116" s="147" t="e">
        <f t="shared" si="380"/>
        <v>#DIV/0!</v>
      </c>
      <c r="AE116" s="147" t="e">
        <f t="shared" si="380"/>
        <v>#DIV/0!</v>
      </c>
      <c r="AF116" s="147" t="e">
        <f t="shared" si="380"/>
        <v>#DIV/0!</v>
      </c>
      <c r="AG116" s="147" t="e">
        <f t="shared" si="380"/>
        <v>#DIV/0!</v>
      </c>
      <c r="AH116" s="116" t="e">
        <f t="shared" ref="AH116" si="381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22"/>
      <c r="V117" s="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382">1/G112</f>
        <v>28</v>
      </c>
      <c r="H118" s="109">
        <f t="shared" ref="H118:I118" si="383">1/H112</f>
        <v>23.333333333333332</v>
      </c>
      <c r="I118" s="109">
        <f t="shared" si="383"/>
        <v>22.857142857142858</v>
      </c>
      <c r="J118" s="109">
        <f>1/J112</f>
        <v>24.571428571428569</v>
      </c>
      <c r="K118" s="109">
        <f t="shared" ref="K118:S118" si="384">1/K112</f>
        <v>18</v>
      </c>
      <c r="L118" s="109">
        <f t="shared" si="384"/>
        <v>8.8125</v>
      </c>
      <c r="M118" s="109">
        <f t="shared" si="384"/>
        <v>7</v>
      </c>
      <c r="N118" s="109">
        <f t="shared" si="384"/>
        <v>7.1999999999999993</v>
      </c>
      <c r="O118" s="109">
        <f t="shared" si="384"/>
        <v>6.8928571428571432</v>
      </c>
      <c r="P118" s="109">
        <f t="shared" si="384"/>
        <v>6.6764705882352944</v>
      </c>
      <c r="Q118" s="109">
        <f t="shared" si="384"/>
        <v>7.71875</v>
      </c>
      <c r="R118" s="109">
        <f t="shared" si="384"/>
        <v>10.46875</v>
      </c>
      <c r="S118" s="109">
        <f t="shared" si="384"/>
        <v>10.378378378378377</v>
      </c>
      <c r="T118" s="109">
        <f t="shared" ref="T118:U118" si="385">1/T112</f>
        <v>12.060606060606061</v>
      </c>
      <c r="U118" s="109">
        <f t="shared" si="385"/>
        <v>12.37037037037037</v>
      </c>
      <c r="V118" s="101">
        <f t="shared" si="189"/>
        <v>-5.6680298073186752E-2</v>
      </c>
      <c r="W118" s="10"/>
      <c r="X118" s="109">
        <f t="shared" ref="X118:AG118" si="386">1/X112</f>
        <v>12.37037037037037</v>
      </c>
      <c r="Y118" s="109">
        <f t="shared" si="386"/>
        <v>12.37037037037037</v>
      </c>
      <c r="Z118" s="109">
        <f t="shared" si="386"/>
        <v>12.37037037037037</v>
      </c>
      <c r="AA118" s="109">
        <f t="shared" si="386"/>
        <v>12.37037037037037</v>
      </c>
      <c r="AB118" s="109">
        <f t="shared" si="386"/>
        <v>12.37037037037037</v>
      </c>
      <c r="AC118" s="109">
        <f t="shared" si="386"/>
        <v>12.37037037037037</v>
      </c>
      <c r="AD118" s="109">
        <f t="shared" si="386"/>
        <v>12.370370370370372</v>
      </c>
      <c r="AE118" s="109">
        <f t="shared" si="386"/>
        <v>12.37037037037037</v>
      </c>
      <c r="AF118" s="109">
        <f t="shared" si="386"/>
        <v>12.37037037037037</v>
      </c>
      <c r="AG118" s="109">
        <f t="shared" si="386"/>
        <v>12.37037037037037</v>
      </c>
      <c r="AH118" s="116">
        <f t="shared" si="325"/>
        <v>-2.939750321405088E-2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387">1/G113</f>
        <v>6.25</v>
      </c>
      <c r="H119" s="109">
        <f t="shared" ref="H119:I119" si="388">1/H113</f>
        <v>4.5</v>
      </c>
      <c r="I119" s="109">
        <f t="shared" si="388"/>
        <v>3.2857142857142856</v>
      </c>
      <c r="J119" s="109">
        <f t="shared" ref="J119:S122" si="389">1/J113</f>
        <v>3.7142857142857144</v>
      </c>
      <c r="K119" s="109">
        <f t="shared" si="389"/>
        <v>2.6666666666666665</v>
      </c>
      <c r="L119" s="109">
        <f t="shared" si="389"/>
        <v>0.9375</v>
      </c>
      <c r="M119" s="109">
        <f t="shared" si="389"/>
        <v>1</v>
      </c>
      <c r="N119" s="109">
        <f t="shared" si="389"/>
        <v>1</v>
      </c>
      <c r="O119" s="109">
        <f t="shared" si="389"/>
        <v>1</v>
      </c>
      <c r="P119" s="109">
        <f t="shared" si="389"/>
        <v>1.0294117647058825</v>
      </c>
      <c r="Q119" s="109">
        <f t="shared" si="389"/>
        <v>1.4375</v>
      </c>
      <c r="R119" s="109">
        <f t="shared" si="389"/>
        <v>2.59375</v>
      </c>
      <c r="S119" s="109">
        <f t="shared" si="389"/>
        <v>3.5945945945945947</v>
      </c>
      <c r="T119" s="109">
        <f t="shared" ref="T119:U119" si="390">1/T113</f>
        <v>4</v>
      </c>
      <c r="U119" s="109">
        <f t="shared" si="390"/>
        <v>4.8888888888888884</v>
      </c>
      <c r="V119" s="101">
        <f t="shared" si="189"/>
        <v>-1.739102865961939E-2</v>
      </c>
      <c r="W119" s="10"/>
      <c r="X119" s="109">
        <f t="shared" ref="X119:AG119" si="391">1/X113</f>
        <v>4.8888888888888884</v>
      </c>
      <c r="Y119" s="109">
        <f t="shared" si="391"/>
        <v>4.8888888888888884</v>
      </c>
      <c r="Z119" s="109">
        <f t="shared" si="391"/>
        <v>4.8888888888888884</v>
      </c>
      <c r="AA119" s="109">
        <f t="shared" si="391"/>
        <v>4.8888888888888884</v>
      </c>
      <c r="AB119" s="109">
        <f t="shared" si="391"/>
        <v>4.8888888888888893</v>
      </c>
      <c r="AC119" s="109">
        <f t="shared" si="391"/>
        <v>4.8888888888888893</v>
      </c>
      <c r="AD119" s="109">
        <f t="shared" si="391"/>
        <v>4.8888888888888884</v>
      </c>
      <c r="AE119" s="109">
        <f t="shared" si="391"/>
        <v>4.8888888888888884</v>
      </c>
      <c r="AF119" s="109">
        <f t="shared" si="391"/>
        <v>4.8888888888888893</v>
      </c>
      <c r="AG119" s="109">
        <f t="shared" si="391"/>
        <v>4.8888888888888893</v>
      </c>
      <c r="AH119" s="116">
        <f t="shared" si="325"/>
        <v>1.2018547829410586E-2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392">1/G114</f>
        <v>3.75</v>
      </c>
      <c r="H120" s="109">
        <f t="shared" ref="H120:I120" si="393">1/H114</f>
        <v>2.3333333333333335</v>
      </c>
      <c r="I120" s="109">
        <f t="shared" si="393"/>
        <v>1.5714285714285714</v>
      </c>
      <c r="J120" s="109">
        <f t="shared" si="389"/>
        <v>1.2857142857142856</v>
      </c>
      <c r="K120" s="109">
        <f t="shared" si="389"/>
        <v>0.55555555555555558</v>
      </c>
      <c r="L120" s="109">
        <f t="shared" si="389"/>
        <v>1.9375E-2</v>
      </c>
      <c r="M120" s="109">
        <f t="shared" si="389"/>
        <v>-0.7</v>
      </c>
      <c r="N120" s="109">
        <f t="shared" si="389"/>
        <v>-0.84</v>
      </c>
      <c r="O120" s="109">
        <f t="shared" si="389"/>
        <v>-1.1071428571428572</v>
      </c>
      <c r="P120" s="109">
        <f t="shared" si="389"/>
        <v>-0.1764705882352941</v>
      </c>
      <c r="Q120" s="109">
        <f t="shared" si="389"/>
        <v>0.34375</v>
      </c>
      <c r="R120" s="109">
        <f t="shared" si="389"/>
        <v>1</v>
      </c>
      <c r="S120" s="109">
        <f t="shared" si="389"/>
        <v>1.3783783783783785</v>
      </c>
      <c r="T120" s="109">
        <f t="shared" ref="T120:U120" si="394">1/T114</f>
        <v>2.1212121212121211</v>
      </c>
      <c r="U120" s="109">
        <f t="shared" si="394"/>
        <v>1.7037037037037035</v>
      </c>
      <c r="V120" s="101">
        <f t="shared" si="189"/>
        <v>-5.4795209047633686E-2</v>
      </c>
      <c r="W120" s="10"/>
      <c r="X120" s="109">
        <f t="shared" ref="X120:AG120" si="395">1/X114</f>
        <v>1.7037037037037039</v>
      </c>
      <c r="Y120" s="109">
        <f t="shared" si="395"/>
        <v>1.7037037037037035</v>
      </c>
      <c r="Z120" s="109">
        <f t="shared" si="395"/>
        <v>1.7037037037037035</v>
      </c>
      <c r="AA120" s="109">
        <f t="shared" si="395"/>
        <v>1.7037037037037035</v>
      </c>
      <c r="AB120" s="109">
        <f t="shared" si="395"/>
        <v>1.7037037037037039</v>
      </c>
      <c r="AC120" s="109">
        <f t="shared" si="395"/>
        <v>1.7037037037037039</v>
      </c>
      <c r="AD120" s="109">
        <f t="shared" si="395"/>
        <v>1.7037037037037039</v>
      </c>
      <c r="AE120" s="109">
        <f t="shared" si="395"/>
        <v>1.7037037037037039</v>
      </c>
      <c r="AF120" s="109">
        <f t="shared" si="395"/>
        <v>1.7037037037037039</v>
      </c>
      <c r="AG120" s="109">
        <f t="shared" si="395"/>
        <v>1.7037037037037039</v>
      </c>
      <c r="AH120" s="116">
        <f t="shared" si="325"/>
        <v>1.2313899453494814E-2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396">1/G115</f>
        <v>0.5</v>
      </c>
      <c r="H121" s="109">
        <f t="shared" ref="H121:I121" si="397">1/H115</f>
        <v>0.33333333333333331</v>
      </c>
      <c r="I121" s="109">
        <f t="shared" si="397"/>
        <v>0.7142857142857143</v>
      </c>
      <c r="J121" s="109">
        <f t="shared" si="389"/>
        <v>8.5714285714285712</v>
      </c>
      <c r="K121" s="109">
        <f t="shared" si="389"/>
        <v>1</v>
      </c>
      <c r="L121" s="109">
        <f t="shared" si="389"/>
        <v>0.25</v>
      </c>
      <c r="M121" s="109">
        <f t="shared" si="389"/>
        <v>0.25</v>
      </c>
      <c r="N121" s="109">
        <f t="shared" si="389"/>
        <v>0.12</v>
      </c>
      <c r="O121" s="109">
        <f t="shared" si="389"/>
        <v>0.25</v>
      </c>
      <c r="P121" s="109">
        <f t="shared" si="389"/>
        <v>0.3235294117647059</v>
      </c>
      <c r="Q121" s="109">
        <f t="shared" si="389"/>
        <v>0.1875</v>
      </c>
      <c r="R121" s="109">
        <f t="shared" si="389"/>
        <v>0.375</v>
      </c>
      <c r="S121" s="109">
        <f t="shared" si="389"/>
        <v>0.35135135135135132</v>
      </c>
      <c r="T121" s="109">
        <f t="shared" ref="T121:U121" si="398">1/T115</f>
        <v>0.81818181818181812</v>
      </c>
      <c r="U121" s="109">
        <f t="shared" si="398"/>
        <v>1</v>
      </c>
      <c r="V121" s="101">
        <f t="shared" si="189"/>
        <v>5.0756638653219444E-2</v>
      </c>
      <c r="W121" s="10"/>
      <c r="X121" s="109">
        <f t="shared" ref="X121:AG121" si="399">1/X115</f>
        <v>1</v>
      </c>
      <c r="Y121" s="109">
        <f t="shared" si="399"/>
        <v>1</v>
      </c>
      <c r="Z121" s="109">
        <f t="shared" si="399"/>
        <v>1</v>
      </c>
      <c r="AA121" s="109">
        <f t="shared" si="399"/>
        <v>1</v>
      </c>
      <c r="AB121" s="109">
        <f t="shared" si="399"/>
        <v>1</v>
      </c>
      <c r="AC121" s="109">
        <f t="shared" si="399"/>
        <v>1</v>
      </c>
      <c r="AD121" s="109">
        <f t="shared" si="399"/>
        <v>1</v>
      </c>
      <c r="AE121" s="109">
        <f t="shared" si="399"/>
        <v>1</v>
      </c>
      <c r="AF121" s="109">
        <f t="shared" si="399"/>
        <v>1</v>
      </c>
      <c r="AG121" s="109">
        <f t="shared" si="399"/>
        <v>1</v>
      </c>
      <c r="AH121" s="116">
        <f t="shared" si="325"/>
        <v>-8.9180187228856012E-2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00">1/G116</f>
        <v>#DIV/0!</v>
      </c>
      <c r="H122" s="109" t="e">
        <f t="shared" ref="H122:I122" si="401">1/H116</f>
        <v>#DIV/0!</v>
      </c>
      <c r="I122" s="109" t="e">
        <f t="shared" si="401"/>
        <v>#DIV/0!</v>
      </c>
      <c r="J122" s="109" t="e">
        <f t="shared" si="389"/>
        <v>#DIV/0!</v>
      </c>
      <c r="K122" s="109" t="e">
        <f t="shared" si="389"/>
        <v>#DIV/0!</v>
      </c>
      <c r="L122" s="109" t="e">
        <f t="shared" si="389"/>
        <v>#DIV/0!</v>
      </c>
      <c r="M122" s="109" t="e">
        <f t="shared" si="389"/>
        <v>#DIV/0!</v>
      </c>
      <c r="N122" s="109" t="e">
        <f t="shared" si="389"/>
        <v>#DIV/0!</v>
      </c>
      <c r="O122" s="109" t="e">
        <f t="shared" si="389"/>
        <v>#DIV/0!</v>
      </c>
      <c r="P122" s="109" t="e">
        <f t="shared" si="389"/>
        <v>#DIV/0!</v>
      </c>
      <c r="Q122" s="109" t="e">
        <f t="shared" si="389"/>
        <v>#DIV/0!</v>
      </c>
      <c r="R122" s="109" t="e">
        <f t="shared" si="389"/>
        <v>#DIV/0!</v>
      </c>
      <c r="S122" s="109" t="e">
        <f t="shared" si="389"/>
        <v>#DIV/0!</v>
      </c>
      <c r="T122" s="109" t="e">
        <f t="shared" ref="T122:U122" si="402">1/T116</f>
        <v>#DIV/0!</v>
      </c>
      <c r="U122" s="109" t="e">
        <f t="shared" si="402"/>
        <v>#DIV/0!</v>
      </c>
      <c r="V122" s="101" t="e">
        <f t="shared" si="189"/>
        <v>#DIV/0!</v>
      </c>
      <c r="W122" s="10"/>
      <c r="X122" s="109" t="e">
        <f t="shared" ref="X122:AG122" si="403">1/X116</f>
        <v>#DIV/0!</v>
      </c>
      <c r="Y122" s="109" t="e">
        <f t="shared" si="403"/>
        <v>#DIV/0!</v>
      </c>
      <c r="Z122" s="109" t="e">
        <f t="shared" si="403"/>
        <v>#DIV/0!</v>
      </c>
      <c r="AA122" s="109" t="e">
        <f t="shared" si="403"/>
        <v>#DIV/0!</v>
      </c>
      <c r="AB122" s="109" t="e">
        <f t="shared" si="403"/>
        <v>#DIV/0!</v>
      </c>
      <c r="AC122" s="109" t="e">
        <f t="shared" si="403"/>
        <v>#DIV/0!</v>
      </c>
      <c r="AD122" s="109" t="e">
        <f t="shared" si="403"/>
        <v>#DIV/0!</v>
      </c>
      <c r="AE122" s="109" t="e">
        <f t="shared" si="403"/>
        <v>#DIV/0!</v>
      </c>
      <c r="AF122" s="109" t="e">
        <f t="shared" si="403"/>
        <v>#DIV/0!</v>
      </c>
      <c r="AG122" s="109" t="e">
        <f t="shared" si="403"/>
        <v>#DIV/0!</v>
      </c>
      <c r="AH122" s="116" t="e">
        <f t="shared" si="325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22"/>
      <c r="V123" s="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1" t="s">
        <v>423</v>
      </c>
      <c r="B124" s="178" t="s">
        <v>430</v>
      </c>
      <c r="C124" s="129"/>
      <c r="D124" s="129"/>
      <c r="E124" s="129"/>
      <c r="F124" s="147"/>
      <c r="G124" s="147" t="e">
        <f t="shared" ref="G124" si="404">G25/(G36+G38)</f>
        <v>#DIV/0!</v>
      </c>
      <c r="H124" s="147" t="e">
        <f t="shared" ref="H124:I124" si="405">H25/(H36+H38)</f>
        <v>#DIV/0!</v>
      </c>
      <c r="I124" s="147" t="e">
        <f t="shared" si="405"/>
        <v>#DIV/0!</v>
      </c>
      <c r="J124" s="147" t="e">
        <f t="shared" ref="J124:T124" si="406">J25/(J36+J38)</f>
        <v>#DIV/0!</v>
      </c>
      <c r="K124" s="147" t="e">
        <f t="shared" si="406"/>
        <v>#DIV/0!</v>
      </c>
      <c r="L124" s="147" t="e">
        <f t="shared" si="406"/>
        <v>#DIV/0!</v>
      </c>
      <c r="M124" s="147" t="e">
        <f t="shared" si="406"/>
        <v>#DIV/0!</v>
      </c>
      <c r="N124" s="147" t="e">
        <f t="shared" si="406"/>
        <v>#DIV/0!</v>
      </c>
      <c r="O124" s="147" t="e">
        <f t="shared" si="406"/>
        <v>#DIV/0!</v>
      </c>
      <c r="P124" s="147" t="e">
        <f t="shared" si="406"/>
        <v>#DIV/0!</v>
      </c>
      <c r="Q124" s="147" t="e">
        <f t="shared" si="406"/>
        <v>#DIV/0!</v>
      </c>
      <c r="R124" s="147" t="e">
        <f t="shared" si="406"/>
        <v>#DIV/0!</v>
      </c>
      <c r="S124" s="147" t="e">
        <f t="shared" si="406"/>
        <v>#DIV/0!</v>
      </c>
      <c r="T124" s="147" t="e">
        <f t="shared" si="406"/>
        <v>#DIV/0!</v>
      </c>
      <c r="U124" s="147" t="e">
        <f t="shared" ref="U124" si="407">U25/(U36+U38)</f>
        <v>#DIV/0!</v>
      </c>
      <c r="V124" s="101" t="e">
        <f t="shared" si="189"/>
        <v>#DIV/0!</v>
      </c>
      <c r="W124" s="10"/>
      <c r="X124" s="147" t="e">
        <f t="shared" ref="X124:AG124" si="408">X25/(X36+X38)</f>
        <v>#DIV/0!</v>
      </c>
      <c r="Y124" s="147" t="e">
        <f t="shared" si="408"/>
        <v>#DIV/0!</v>
      </c>
      <c r="Z124" s="147" t="e">
        <f t="shared" si="408"/>
        <v>#DIV/0!</v>
      </c>
      <c r="AA124" s="147" t="e">
        <f t="shared" si="408"/>
        <v>#DIV/0!</v>
      </c>
      <c r="AB124" s="147" t="e">
        <f t="shared" si="408"/>
        <v>#DIV/0!</v>
      </c>
      <c r="AC124" s="147" t="e">
        <f t="shared" si="408"/>
        <v>#DIV/0!</v>
      </c>
      <c r="AD124" s="147" t="e">
        <f t="shared" si="408"/>
        <v>#DIV/0!</v>
      </c>
      <c r="AE124" s="147" t="e">
        <f t="shared" si="408"/>
        <v>#DIV/0!</v>
      </c>
      <c r="AF124" s="147" t="e">
        <f t="shared" si="408"/>
        <v>#DIV/0!</v>
      </c>
      <c r="AG124" s="147" t="e">
        <f t="shared" si="408"/>
        <v>#DIV/0!</v>
      </c>
      <c r="AH124" s="116" t="e">
        <f t="shared" ref="AH124:AH132" si="409">((AG124/J124)^(1/($AG$3-$K$1) ))-1</f>
        <v>#DIV/0!</v>
      </c>
      <c r="AI124" s="124"/>
      <c r="AJ124" s="124"/>
    </row>
    <row r="125" spans="1:36" ht="12" customHeight="1">
      <c r="A125" s="301"/>
      <c r="B125" s="178" t="s">
        <v>425</v>
      </c>
      <c r="C125" s="129"/>
      <c r="D125" s="129"/>
      <c r="E125" s="129"/>
      <c r="F125" s="147"/>
      <c r="G125" s="147" t="e">
        <f t="shared" ref="G125" si="410">G25/G43</f>
        <v>#DIV/0!</v>
      </c>
      <c r="H125" s="147" t="e">
        <f t="shared" ref="H125:I125" si="411">H25/H43</f>
        <v>#DIV/0!</v>
      </c>
      <c r="I125" s="147" t="e">
        <f t="shared" si="411"/>
        <v>#DIV/0!</v>
      </c>
      <c r="J125" s="147" t="e">
        <f t="shared" ref="J125:T125" si="412">J25/J43</f>
        <v>#DIV/0!</v>
      </c>
      <c r="K125" s="147" t="e">
        <f t="shared" si="412"/>
        <v>#DIV/0!</v>
      </c>
      <c r="L125" s="147" t="e">
        <f t="shared" si="412"/>
        <v>#DIV/0!</v>
      </c>
      <c r="M125" s="147" t="e">
        <f t="shared" si="412"/>
        <v>#DIV/0!</v>
      </c>
      <c r="N125" s="147" t="e">
        <f t="shared" si="412"/>
        <v>#DIV/0!</v>
      </c>
      <c r="O125" s="147" t="e">
        <f t="shared" si="412"/>
        <v>#DIV/0!</v>
      </c>
      <c r="P125" s="147" t="e">
        <f t="shared" si="412"/>
        <v>#DIV/0!</v>
      </c>
      <c r="Q125" s="147" t="e">
        <f t="shared" si="412"/>
        <v>#DIV/0!</v>
      </c>
      <c r="R125" s="147" t="e">
        <f t="shared" si="412"/>
        <v>#DIV/0!</v>
      </c>
      <c r="S125" s="147" t="e">
        <f t="shared" si="412"/>
        <v>#DIV/0!</v>
      </c>
      <c r="T125" s="147" t="e">
        <f t="shared" si="412"/>
        <v>#DIV/0!</v>
      </c>
      <c r="U125" s="147" t="e">
        <f t="shared" ref="U125" si="413">U25/U43</f>
        <v>#DIV/0!</v>
      </c>
      <c r="V125" s="101" t="e">
        <f t="shared" si="189"/>
        <v>#DIV/0!</v>
      </c>
      <c r="W125" s="10"/>
      <c r="X125" s="147" t="e">
        <f t="shared" ref="X125:AG125" si="414">X25/X43</f>
        <v>#DIV/0!</v>
      </c>
      <c r="Y125" s="147" t="e">
        <f t="shared" si="414"/>
        <v>#DIV/0!</v>
      </c>
      <c r="Z125" s="147" t="e">
        <f t="shared" si="414"/>
        <v>#DIV/0!</v>
      </c>
      <c r="AA125" s="147" t="e">
        <f t="shared" si="414"/>
        <v>#DIV/0!</v>
      </c>
      <c r="AB125" s="147" t="e">
        <f t="shared" si="414"/>
        <v>#DIV/0!</v>
      </c>
      <c r="AC125" s="147" t="e">
        <f t="shared" si="414"/>
        <v>#DIV/0!</v>
      </c>
      <c r="AD125" s="147" t="e">
        <f t="shared" si="414"/>
        <v>#DIV/0!</v>
      </c>
      <c r="AE125" s="147" t="e">
        <f t="shared" si="414"/>
        <v>#DIV/0!</v>
      </c>
      <c r="AF125" s="147" t="e">
        <f t="shared" si="414"/>
        <v>#DIV/0!</v>
      </c>
      <c r="AG125" s="147" t="e">
        <f t="shared" si="414"/>
        <v>#DIV/0!</v>
      </c>
      <c r="AH125" s="116" t="e">
        <f t="shared" si="409"/>
        <v>#DIV/0!</v>
      </c>
      <c r="AI125" s="124"/>
      <c r="AJ125" s="124"/>
    </row>
    <row r="126" spans="1:36" ht="12" customHeight="1">
      <c r="A126" s="301"/>
      <c r="B126" s="178" t="s">
        <v>431</v>
      </c>
      <c r="C126" s="129"/>
      <c r="D126" s="129"/>
      <c r="E126" s="129"/>
      <c r="F126" s="147"/>
      <c r="G126" s="147" t="e">
        <f t="shared" ref="G126" si="415">G43/(G36)</f>
        <v>#DIV/0!</v>
      </c>
      <c r="H126" s="147" t="e">
        <f t="shared" ref="H126:I126" si="416">H43/(H36)</f>
        <v>#DIV/0!</v>
      </c>
      <c r="I126" s="147" t="e">
        <f t="shared" si="416"/>
        <v>#DIV/0!</v>
      </c>
      <c r="J126" s="147" t="e">
        <f t="shared" ref="J126:T126" si="417">J43/(J36)</f>
        <v>#DIV/0!</v>
      </c>
      <c r="K126" s="147" t="e">
        <f t="shared" si="417"/>
        <v>#DIV/0!</v>
      </c>
      <c r="L126" s="147" t="e">
        <f t="shared" si="417"/>
        <v>#DIV/0!</v>
      </c>
      <c r="M126" s="147" t="e">
        <f t="shared" si="417"/>
        <v>#DIV/0!</v>
      </c>
      <c r="N126" s="147" t="e">
        <f t="shared" si="417"/>
        <v>#DIV/0!</v>
      </c>
      <c r="O126" s="147" t="e">
        <f t="shared" si="417"/>
        <v>#DIV/0!</v>
      </c>
      <c r="P126" s="147" t="e">
        <f t="shared" si="417"/>
        <v>#DIV/0!</v>
      </c>
      <c r="Q126" s="147" t="e">
        <f t="shared" si="417"/>
        <v>#DIV/0!</v>
      </c>
      <c r="R126" s="147" t="e">
        <f t="shared" si="417"/>
        <v>#DIV/0!</v>
      </c>
      <c r="S126" s="147" t="e">
        <f t="shared" si="417"/>
        <v>#DIV/0!</v>
      </c>
      <c r="T126" s="147" t="e">
        <f t="shared" si="417"/>
        <v>#DIV/0!</v>
      </c>
      <c r="U126" s="147" t="e">
        <f t="shared" ref="U126" si="418">U43/(U36)</f>
        <v>#DIV/0!</v>
      </c>
      <c r="V126" s="101" t="e">
        <f t="shared" si="189"/>
        <v>#DIV/0!</v>
      </c>
      <c r="W126" s="10"/>
      <c r="X126" s="147" t="e">
        <f t="shared" ref="X126:AG126" si="419">X43/(X36+X38)</f>
        <v>#DIV/0!</v>
      </c>
      <c r="Y126" s="147" t="e">
        <f t="shared" si="419"/>
        <v>#DIV/0!</v>
      </c>
      <c r="Z126" s="147" t="e">
        <f t="shared" si="419"/>
        <v>#DIV/0!</v>
      </c>
      <c r="AA126" s="147" t="e">
        <f t="shared" si="419"/>
        <v>#DIV/0!</v>
      </c>
      <c r="AB126" s="147" t="e">
        <f t="shared" si="419"/>
        <v>#DIV/0!</v>
      </c>
      <c r="AC126" s="147" t="e">
        <f t="shared" si="419"/>
        <v>#DIV/0!</v>
      </c>
      <c r="AD126" s="147" t="e">
        <f t="shared" si="419"/>
        <v>#DIV/0!</v>
      </c>
      <c r="AE126" s="147" t="e">
        <f t="shared" si="419"/>
        <v>#DIV/0!</v>
      </c>
      <c r="AF126" s="147" t="e">
        <f t="shared" si="419"/>
        <v>#DIV/0!</v>
      </c>
      <c r="AG126" s="147" t="e">
        <f t="shared" si="419"/>
        <v>#DIV/0!</v>
      </c>
      <c r="AH126" s="116" t="e">
        <f t="shared" si="409"/>
        <v>#DIV/0!</v>
      </c>
      <c r="AI126" s="124"/>
      <c r="AJ126" s="124"/>
    </row>
    <row r="127" spans="1:36" ht="12" customHeight="1">
      <c r="A127" s="301"/>
      <c r="B127" s="178" t="s">
        <v>429</v>
      </c>
      <c r="C127" s="129"/>
      <c r="D127" s="129"/>
      <c r="E127" s="129"/>
      <c r="F127" s="147"/>
      <c r="G127" s="147" t="e">
        <f t="shared" ref="G127" si="420">G43/G38</f>
        <v>#DIV/0!</v>
      </c>
      <c r="H127" s="147" t="e">
        <f t="shared" ref="H127:I127" si="421">H43/H38</f>
        <v>#DIV/0!</v>
      </c>
      <c r="I127" s="147" t="e">
        <f t="shared" si="421"/>
        <v>#DIV/0!</v>
      </c>
      <c r="J127" s="147" t="e">
        <f t="shared" ref="J127:T127" si="422">J43/J38</f>
        <v>#DIV/0!</v>
      </c>
      <c r="K127" s="147" t="e">
        <f t="shared" si="422"/>
        <v>#DIV/0!</v>
      </c>
      <c r="L127" s="147" t="e">
        <f t="shared" si="422"/>
        <v>#DIV/0!</v>
      </c>
      <c r="M127" s="147" t="e">
        <f t="shared" si="422"/>
        <v>#DIV/0!</v>
      </c>
      <c r="N127" s="147" t="e">
        <f t="shared" si="422"/>
        <v>#DIV/0!</v>
      </c>
      <c r="O127" s="147" t="e">
        <f t="shared" si="422"/>
        <v>#DIV/0!</v>
      </c>
      <c r="P127" s="147" t="e">
        <f t="shared" si="422"/>
        <v>#DIV/0!</v>
      </c>
      <c r="Q127" s="147" t="e">
        <f t="shared" si="422"/>
        <v>#DIV/0!</v>
      </c>
      <c r="R127" s="147" t="e">
        <f t="shared" si="422"/>
        <v>#DIV/0!</v>
      </c>
      <c r="S127" s="147" t="e">
        <f t="shared" si="422"/>
        <v>#DIV/0!</v>
      </c>
      <c r="T127" s="147" t="e">
        <f t="shared" si="422"/>
        <v>#DIV/0!</v>
      </c>
      <c r="U127" s="147" t="e">
        <f t="shared" ref="U127" si="423">U43/U38</f>
        <v>#DIV/0!</v>
      </c>
      <c r="V127" s="101" t="e">
        <f t="shared" si="189"/>
        <v>#DIV/0!</v>
      </c>
      <c r="W127" s="10"/>
      <c r="X127" s="147" t="e">
        <f t="shared" ref="X127:AG127" si="424">X43/X38</f>
        <v>#DIV/0!</v>
      </c>
      <c r="Y127" s="147" t="e">
        <f t="shared" si="424"/>
        <v>#DIV/0!</v>
      </c>
      <c r="Z127" s="147" t="e">
        <f t="shared" si="424"/>
        <v>#DIV/0!</v>
      </c>
      <c r="AA127" s="147" t="e">
        <f t="shared" si="424"/>
        <v>#DIV/0!</v>
      </c>
      <c r="AB127" s="147" t="e">
        <f t="shared" si="424"/>
        <v>#DIV/0!</v>
      </c>
      <c r="AC127" s="147" t="e">
        <f t="shared" si="424"/>
        <v>#DIV/0!</v>
      </c>
      <c r="AD127" s="147" t="e">
        <f t="shared" si="424"/>
        <v>#DIV/0!</v>
      </c>
      <c r="AE127" s="147" t="e">
        <f t="shared" si="424"/>
        <v>#DIV/0!</v>
      </c>
      <c r="AF127" s="147" t="e">
        <f t="shared" si="424"/>
        <v>#DIV/0!</v>
      </c>
      <c r="AG127" s="147" t="e">
        <f t="shared" si="424"/>
        <v>#DIV/0!</v>
      </c>
      <c r="AH127" s="116" t="e">
        <f t="shared" si="409"/>
        <v>#DIV/0!</v>
      </c>
      <c r="AI127" s="124"/>
      <c r="AJ127" s="124"/>
    </row>
    <row r="128" spans="1:36" ht="12" customHeight="1">
      <c r="A128" s="301"/>
      <c r="B128" s="178" t="s">
        <v>428</v>
      </c>
      <c r="C128" s="129"/>
      <c r="D128" s="129"/>
      <c r="E128" s="129"/>
      <c r="F128" s="147"/>
      <c r="G128" s="147" t="e">
        <f t="shared" ref="G128" si="425">G43/(G36+G38)</f>
        <v>#DIV/0!</v>
      </c>
      <c r="H128" s="147" t="e">
        <f t="shared" ref="H128:I128" si="426">H43/(H36+H38)</f>
        <v>#DIV/0!</v>
      </c>
      <c r="I128" s="147" t="e">
        <f t="shared" si="426"/>
        <v>#DIV/0!</v>
      </c>
      <c r="J128" s="147" t="e">
        <f t="shared" ref="J128:T128" si="427">J43/(J36+J38)</f>
        <v>#DIV/0!</v>
      </c>
      <c r="K128" s="147" t="e">
        <f t="shared" si="427"/>
        <v>#DIV/0!</v>
      </c>
      <c r="L128" s="147" t="e">
        <f t="shared" si="427"/>
        <v>#DIV/0!</v>
      </c>
      <c r="M128" s="147" t="e">
        <f t="shared" si="427"/>
        <v>#DIV/0!</v>
      </c>
      <c r="N128" s="147" t="e">
        <f t="shared" si="427"/>
        <v>#DIV/0!</v>
      </c>
      <c r="O128" s="147" t="e">
        <f t="shared" si="427"/>
        <v>#DIV/0!</v>
      </c>
      <c r="P128" s="147" t="e">
        <f t="shared" si="427"/>
        <v>#DIV/0!</v>
      </c>
      <c r="Q128" s="147" t="e">
        <f t="shared" si="427"/>
        <v>#DIV/0!</v>
      </c>
      <c r="R128" s="147" t="e">
        <f t="shared" si="427"/>
        <v>#DIV/0!</v>
      </c>
      <c r="S128" s="147" t="e">
        <f t="shared" si="427"/>
        <v>#DIV/0!</v>
      </c>
      <c r="T128" s="147" t="e">
        <f t="shared" si="427"/>
        <v>#DIV/0!</v>
      </c>
      <c r="U128" s="147" t="e">
        <f t="shared" ref="U128" si="428">U43/(U36+U38)</f>
        <v>#DIV/0!</v>
      </c>
      <c r="V128" s="101" t="e">
        <f t="shared" si="189"/>
        <v>#DIV/0!</v>
      </c>
      <c r="W128" s="10"/>
      <c r="X128" s="147" t="e">
        <f t="shared" ref="X128:AG128" si="429">X43/(X36+X38)</f>
        <v>#DIV/0!</v>
      </c>
      <c r="Y128" s="147" t="e">
        <f t="shared" si="429"/>
        <v>#DIV/0!</v>
      </c>
      <c r="Z128" s="147" t="e">
        <f t="shared" si="429"/>
        <v>#DIV/0!</v>
      </c>
      <c r="AA128" s="147" t="e">
        <f t="shared" si="429"/>
        <v>#DIV/0!</v>
      </c>
      <c r="AB128" s="147" t="e">
        <f t="shared" si="429"/>
        <v>#DIV/0!</v>
      </c>
      <c r="AC128" s="147" t="e">
        <f t="shared" si="429"/>
        <v>#DIV/0!</v>
      </c>
      <c r="AD128" s="147" t="e">
        <f t="shared" si="429"/>
        <v>#DIV/0!</v>
      </c>
      <c r="AE128" s="147" t="e">
        <f t="shared" si="429"/>
        <v>#DIV/0!</v>
      </c>
      <c r="AF128" s="147" t="e">
        <f t="shared" si="429"/>
        <v>#DIV/0!</v>
      </c>
      <c r="AG128" s="147" t="e">
        <f t="shared" si="429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1"/>
      <c r="B129" s="178" t="s">
        <v>434</v>
      </c>
      <c r="C129" s="129"/>
      <c r="D129" s="129"/>
      <c r="E129" s="129"/>
      <c r="F129" s="147"/>
      <c r="G129" s="147">
        <f t="shared" ref="G129" si="430">G47/G25</f>
        <v>0</v>
      </c>
      <c r="H129" s="147">
        <f t="shared" ref="H129:I129" si="431">H47/H25</f>
        <v>0</v>
      </c>
      <c r="I129" s="147">
        <f t="shared" si="431"/>
        <v>0</v>
      </c>
      <c r="J129" s="147">
        <f t="shared" ref="J129:T129" si="432">J47/J25</f>
        <v>0</v>
      </c>
      <c r="K129" s="147">
        <f t="shared" si="432"/>
        <v>0</v>
      </c>
      <c r="L129" s="147">
        <f t="shared" si="432"/>
        <v>0</v>
      </c>
      <c r="M129" s="147">
        <f t="shared" si="432"/>
        <v>0</v>
      </c>
      <c r="N129" s="147">
        <f t="shared" si="432"/>
        <v>0</v>
      </c>
      <c r="O129" s="147">
        <f t="shared" si="432"/>
        <v>0</v>
      </c>
      <c r="P129" s="147">
        <f t="shared" si="432"/>
        <v>0</v>
      </c>
      <c r="Q129" s="147">
        <f t="shared" si="432"/>
        <v>0</v>
      </c>
      <c r="R129" s="147">
        <f t="shared" si="432"/>
        <v>0</v>
      </c>
      <c r="S129" s="147">
        <f t="shared" si="432"/>
        <v>0</v>
      </c>
      <c r="T129" s="147">
        <f t="shared" si="432"/>
        <v>0</v>
      </c>
      <c r="U129" s="147">
        <f t="shared" ref="U129" si="433">U47/U25</f>
        <v>2.9940119760479044E-3</v>
      </c>
      <c r="V129" s="101" t="e">
        <f t="shared" si="189"/>
        <v>#DIV/0!</v>
      </c>
      <c r="W129" s="10"/>
      <c r="X129" s="147">
        <f t="shared" ref="X129:AG129" si="434">X47/X25</f>
        <v>2.9940119760479044E-3</v>
      </c>
      <c r="Y129" s="147">
        <f t="shared" si="434"/>
        <v>2.9940119760479039E-3</v>
      </c>
      <c r="Z129" s="147">
        <f t="shared" si="434"/>
        <v>2.9940119760479039E-3</v>
      </c>
      <c r="AA129" s="147">
        <f t="shared" si="434"/>
        <v>2.9940119760479039E-3</v>
      </c>
      <c r="AB129" s="147">
        <f t="shared" si="434"/>
        <v>2.9940119760479039E-3</v>
      </c>
      <c r="AC129" s="147">
        <f t="shared" si="434"/>
        <v>2.9940119760479039E-3</v>
      </c>
      <c r="AD129" s="147">
        <f t="shared" si="434"/>
        <v>2.9940119760479035E-3</v>
      </c>
      <c r="AE129" s="147">
        <f t="shared" si="434"/>
        <v>2.9940119760479039E-3</v>
      </c>
      <c r="AF129" s="147">
        <f t="shared" si="434"/>
        <v>2.9940119760479039E-3</v>
      </c>
      <c r="AG129" s="147">
        <f t="shared" si="434"/>
        <v>2.9940119760479039E-3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1"/>
      <c r="B130" s="178" t="s">
        <v>432</v>
      </c>
      <c r="C130" s="129"/>
      <c r="D130" s="129"/>
      <c r="E130" s="129"/>
      <c r="F130" s="182"/>
      <c r="G130" s="182" t="e">
        <f t="shared" ref="G130" si="435">G55/G49</f>
        <v>#DIV/0!</v>
      </c>
      <c r="H130" s="182" t="e">
        <f t="shared" ref="H130:I130" si="436">H55/H49</f>
        <v>#DIV/0!</v>
      </c>
      <c r="I130" s="182" t="e">
        <f t="shared" si="436"/>
        <v>#DIV/0!</v>
      </c>
      <c r="J130" s="182" t="e">
        <f t="shared" ref="J130:T130" si="437">J55/J49</f>
        <v>#DIV/0!</v>
      </c>
      <c r="K130" s="182" t="e">
        <f t="shared" si="437"/>
        <v>#DIV/0!</v>
      </c>
      <c r="L130" s="182" t="e">
        <f t="shared" si="437"/>
        <v>#DIV/0!</v>
      </c>
      <c r="M130" s="182" t="e">
        <f t="shared" si="437"/>
        <v>#DIV/0!</v>
      </c>
      <c r="N130" s="182" t="e">
        <f t="shared" si="437"/>
        <v>#DIV/0!</v>
      </c>
      <c r="O130" s="182" t="e">
        <f t="shared" si="437"/>
        <v>#DIV/0!</v>
      </c>
      <c r="P130" s="182" t="e">
        <f t="shared" si="437"/>
        <v>#DIV/0!</v>
      </c>
      <c r="Q130" s="182" t="e">
        <f t="shared" si="437"/>
        <v>#DIV/0!</v>
      </c>
      <c r="R130" s="182" t="e">
        <f t="shared" si="437"/>
        <v>#DIV/0!</v>
      </c>
      <c r="S130" s="182" t="e">
        <f t="shared" si="437"/>
        <v>#DIV/0!</v>
      </c>
      <c r="T130" s="182" t="e">
        <f t="shared" si="437"/>
        <v>#DIV/0!</v>
      </c>
      <c r="U130" s="182">
        <f t="shared" ref="U130" si="438">U55/U49</f>
        <v>46</v>
      </c>
      <c r="V130" s="101" t="e">
        <f t="shared" si="189"/>
        <v>#DIV/0!</v>
      </c>
      <c r="W130" s="10"/>
      <c r="X130" s="182">
        <f t="shared" ref="X130:AG130" si="439">X55/X49</f>
        <v>46</v>
      </c>
      <c r="Y130" s="182">
        <f t="shared" si="439"/>
        <v>46.000000000000007</v>
      </c>
      <c r="Z130" s="182">
        <f t="shared" si="439"/>
        <v>46</v>
      </c>
      <c r="AA130" s="182">
        <f t="shared" si="439"/>
        <v>46</v>
      </c>
      <c r="AB130" s="182">
        <f t="shared" si="439"/>
        <v>46.000000000000007</v>
      </c>
      <c r="AC130" s="182">
        <f t="shared" si="439"/>
        <v>46.000000000000007</v>
      </c>
      <c r="AD130" s="182">
        <f t="shared" si="439"/>
        <v>46.000000000000007</v>
      </c>
      <c r="AE130" s="182">
        <f t="shared" si="439"/>
        <v>46</v>
      </c>
      <c r="AF130" s="182">
        <f t="shared" si="439"/>
        <v>46.000000000000007</v>
      </c>
      <c r="AG130" s="182">
        <f t="shared" si="439"/>
        <v>46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1"/>
      <c r="B131" s="178" t="s">
        <v>426</v>
      </c>
      <c r="C131" s="129"/>
      <c r="D131" s="129"/>
      <c r="E131" s="129"/>
      <c r="F131" s="147"/>
      <c r="G131" s="147" t="e">
        <f t="shared" ref="G131" si="440">G55/G43</f>
        <v>#DIV/0!</v>
      </c>
      <c r="H131" s="147" t="e">
        <f t="shared" ref="H131:I131" si="441">H55/H43</f>
        <v>#DIV/0!</v>
      </c>
      <c r="I131" s="147" t="e">
        <f t="shared" si="441"/>
        <v>#DIV/0!</v>
      </c>
      <c r="J131" s="147" t="e">
        <f t="shared" ref="J131:T131" si="442">J55/J43</f>
        <v>#DIV/0!</v>
      </c>
      <c r="K131" s="147" t="e">
        <f t="shared" si="442"/>
        <v>#DIV/0!</v>
      </c>
      <c r="L131" s="147" t="e">
        <f t="shared" si="442"/>
        <v>#DIV/0!</v>
      </c>
      <c r="M131" s="147" t="e">
        <f t="shared" si="442"/>
        <v>#DIV/0!</v>
      </c>
      <c r="N131" s="147" t="e">
        <f t="shared" si="442"/>
        <v>#DIV/0!</v>
      </c>
      <c r="O131" s="147" t="e">
        <f t="shared" si="442"/>
        <v>#DIV/0!</v>
      </c>
      <c r="P131" s="147" t="e">
        <f t="shared" si="442"/>
        <v>#DIV/0!</v>
      </c>
      <c r="Q131" s="147" t="e">
        <f t="shared" si="442"/>
        <v>#DIV/0!</v>
      </c>
      <c r="R131" s="147" t="e">
        <f t="shared" si="442"/>
        <v>#DIV/0!</v>
      </c>
      <c r="S131" s="147" t="e">
        <f t="shared" si="442"/>
        <v>#DIV/0!</v>
      </c>
      <c r="T131" s="147" t="e">
        <f t="shared" si="442"/>
        <v>#DIV/0!</v>
      </c>
      <c r="U131" s="147" t="e">
        <f t="shared" ref="U131" si="443">U55/U43</f>
        <v>#DIV/0!</v>
      </c>
      <c r="V131" s="101" t="e">
        <f t="shared" si="189"/>
        <v>#DIV/0!</v>
      </c>
      <c r="W131" s="10"/>
      <c r="X131" s="147" t="e">
        <f t="shared" ref="X131:AG131" si="444">X55/X43</f>
        <v>#DIV/0!</v>
      </c>
      <c r="Y131" s="147" t="e">
        <f t="shared" si="444"/>
        <v>#DIV/0!</v>
      </c>
      <c r="Z131" s="147" t="e">
        <f t="shared" si="444"/>
        <v>#DIV/0!</v>
      </c>
      <c r="AA131" s="147" t="e">
        <f t="shared" si="444"/>
        <v>#DIV/0!</v>
      </c>
      <c r="AB131" s="147" t="e">
        <f t="shared" si="444"/>
        <v>#DIV/0!</v>
      </c>
      <c r="AC131" s="147" t="e">
        <f t="shared" si="444"/>
        <v>#DIV/0!</v>
      </c>
      <c r="AD131" s="147" t="e">
        <f t="shared" si="444"/>
        <v>#DIV/0!</v>
      </c>
      <c r="AE131" s="147" t="e">
        <f t="shared" si="444"/>
        <v>#DIV/0!</v>
      </c>
      <c r="AF131" s="147" t="e">
        <f t="shared" si="444"/>
        <v>#DIV/0!</v>
      </c>
      <c r="AG131" s="147" t="e">
        <f t="shared" si="444"/>
        <v>#DIV/0!</v>
      </c>
      <c r="AH131" s="116" t="e">
        <f t="shared" si="409"/>
        <v>#DIV/0!</v>
      </c>
      <c r="AI131" s="124"/>
      <c r="AJ131" s="124"/>
    </row>
    <row r="132" spans="1:36" ht="12" customHeight="1">
      <c r="A132" s="301"/>
      <c r="B132" s="178" t="s">
        <v>427</v>
      </c>
      <c r="C132" s="129"/>
      <c r="D132" s="129"/>
      <c r="E132" s="129"/>
      <c r="F132" s="147"/>
      <c r="G132" s="147" t="e">
        <f t="shared" ref="G132" si="445">G55/(G36+G38)</f>
        <v>#DIV/0!</v>
      </c>
      <c r="H132" s="147" t="e">
        <f t="shared" ref="H132:I132" si="446">H55/(H36+H38)</f>
        <v>#DIV/0!</v>
      </c>
      <c r="I132" s="147" t="e">
        <f t="shared" si="446"/>
        <v>#DIV/0!</v>
      </c>
      <c r="J132" s="147" t="e">
        <f t="shared" ref="J132:T132" si="447">J55/(J36+J38)</f>
        <v>#DIV/0!</v>
      </c>
      <c r="K132" s="147" t="e">
        <f t="shared" si="447"/>
        <v>#DIV/0!</v>
      </c>
      <c r="L132" s="147" t="e">
        <f t="shared" si="447"/>
        <v>#DIV/0!</v>
      </c>
      <c r="M132" s="147" t="e">
        <f t="shared" si="447"/>
        <v>#DIV/0!</v>
      </c>
      <c r="N132" s="147" t="e">
        <f t="shared" si="447"/>
        <v>#DIV/0!</v>
      </c>
      <c r="O132" s="147" t="e">
        <f t="shared" si="447"/>
        <v>#DIV/0!</v>
      </c>
      <c r="P132" s="147" t="e">
        <f t="shared" si="447"/>
        <v>#DIV/0!</v>
      </c>
      <c r="Q132" s="147" t="e">
        <f t="shared" si="447"/>
        <v>#DIV/0!</v>
      </c>
      <c r="R132" s="147" t="e">
        <f t="shared" si="447"/>
        <v>#DIV/0!</v>
      </c>
      <c r="S132" s="147" t="e">
        <f t="shared" si="447"/>
        <v>#DIV/0!</v>
      </c>
      <c r="T132" s="147" t="e">
        <f t="shared" si="447"/>
        <v>#DIV/0!</v>
      </c>
      <c r="U132" s="147" t="e">
        <f t="shared" ref="U132" si="448">U55/(U36+U38)</f>
        <v>#DIV/0!</v>
      </c>
      <c r="V132" s="101" t="e">
        <f t="shared" si="189"/>
        <v>#DIV/0!</v>
      </c>
      <c r="W132" s="10"/>
      <c r="X132" s="147" t="e">
        <f t="shared" ref="X132:AG132" si="449">X55/(X36+X38)</f>
        <v>#DIV/0!</v>
      </c>
      <c r="Y132" s="147" t="e">
        <f t="shared" si="449"/>
        <v>#DIV/0!</v>
      </c>
      <c r="Z132" s="147" t="e">
        <f t="shared" si="449"/>
        <v>#DIV/0!</v>
      </c>
      <c r="AA132" s="147" t="e">
        <f t="shared" si="449"/>
        <v>#DIV/0!</v>
      </c>
      <c r="AB132" s="147" t="e">
        <f t="shared" si="449"/>
        <v>#DIV/0!</v>
      </c>
      <c r="AC132" s="147" t="e">
        <f t="shared" si="449"/>
        <v>#DIV/0!</v>
      </c>
      <c r="AD132" s="147" t="e">
        <f t="shared" si="449"/>
        <v>#DIV/0!</v>
      </c>
      <c r="AE132" s="147" t="e">
        <f t="shared" si="449"/>
        <v>#DIV/0!</v>
      </c>
      <c r="AF132" s="147" t="e">
        <f t="shared" si="449"/>
        <v>#DIV/0!</v>
      </c>
      <c r="AG132" s="147" t="e">
        <f t="shared" si="449"/>
        <v>#DIV/0!</v>
      </c>
      <c r="AH132" s="116" t="e">
        <f t="shared" si="409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22"/>
      <c r="V133" s="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0"/>
      <c r="AI133" s="124"/>
      <c r="AJ133" s="124"/>
    </row>
    <row r="134" spans="1:36">
      <c r="B134" s="10" t="s">
        <v>271</v>
      </c>
      <c r="C134" s="129"/>
      <c r="D134" s="129"/>
      <c r="E134" s="129"/>
      <c r="F134" s="139"/>
      <c r="G134" s="139" t="e">
        <f t="shared" ref="G134" si="450">G10-(G12+G13)</f>
        <v>#VALUE!</v>
      </c>
      <c r="H134" s="139">
        <f t="shared" ref="H134:I134" si="451">H10-(H12+H13)</f>
        <v>77</v>
      </c>
      <c r="I134" s="139">
        <f t="shared" si="451"/>
        <v>87</v>
      </c>
      <c r="J134" s="139">
        <f t="shared" ref="J134:T134" si="452">J10-(J12+J13)</f>
        <v>128</v>
      </c>
      <c r="K134" s="139">
        <f t="shared" si="452"/>
        <v>235</v>
      </c>
      <c r="L134" s="139">
        <f t="shared" si="452"/>
        <v>281</v>
      </c>
      <c r="M134" s="139">
        <f t="shared" si="452"/>
        <v>293</v>
      </c>
      <c r="N134" s="139">
        <f t="shared" si="452"/>
        <v>199</v>
      </c>
      <c r="O134" s="139">
        <f t="shared" si="452"/>
        <v>230</v>
      </c>
      <c r="P134" s="139">
        <f t="shared" si="452"/>
        <v>241</v>
      </c>
      <c r="Q134" s="139">
        <f t="shared" si="452"/>
        <v>271</v>
      </c>
      <c r="R134" s="139">
        <f t="shared" si="452"/>
        <v>248</v>
      </c>
      <c r="S134" s="139">
        <f t="shared" si="452"/>
        <v>232</v>
      </c>
      <c r="T134" s="139">
        <f t="shared" si="452"/>
        <v>208</v>
      </c>
      <c r="U134" s="139">
        <f t="shared" ref="U134" si="453">U10-(U12+U13)</f>
        <v>208</v>
      </c>
      <c r="V134" s="101" t="e">
        <f t="shared" si="189"/>
        <v>#VALUE!</v>
      </c>
      <c r="W134" s="10"/>
      <c r="X134" s="139">
        <f t="shared" ref="X134:AG134" si="454">X10-(X12+X13)</f>
        <v>224.64000000000001</v>
      </c>
      <c r="Y134" s="139">
        <f t="shared" si="454"/>
        <v>242.61120000000003</v>
      </c>
      <c r="Z134" s="139">
        <f t="shared" si="454"/>
        <v>262.02009600000008</v>
      </c>
      <c r="AA134" s="139">
        <f t="shared" si="454"/>
        <v>282.98170368000012</v>
      </c>
      <c r="AB134" s="139">
        <f t="shared" si="454"/>
        <v>305.62023997440014</v>
      </c>
      <c r="AC134" s="139">
        <f t="shared" si="454"/>
        <v>330.06985917235215</v>
      </c>
      <c r="AD134" s="139">
        <f t="shared" si="454"/>
        <v>356.47544790614029</v>
      </c>
      <c r="AE134" s="139">
        <f t="shared" si="454"/>
        <v>384.99348373863154</v>
      </c>
      <c r="AF134" s="139">
        <f t="shared" si="454"/>
        <v>415.79296243772211</v>
      </c>
      <c r="AG134" s="139">
        <f t="shared" si="454"/>
        <v>449.05639943273991</v>
      </c>
      <c r="AH134" s="116">
        <f t="shared" si="325"/>
        <v>5.608677763851122E-2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455">G55/G18</f>
        <v>0.21126760563380281</v>
      </c>
      <c r="H135" s="129">
        <f t="shared" ref="H135:I135" si="456">H55/H18</f>
        <v>0.17073170731707318</v>
      </c>
      <c r="I135" s="129">
        <f t="shared" si="456"/>
        <v>0.12222222222222222</v>
      </c>
      <c r="J135" s="129">
        <f t="shared" ref="J135:T135" si="457">J55/J18</f>
        <v>9.375E-2</v>
      </c>
      <c r="K135" s="129">
        <f t="shared" si="457"/>
        <v>4.6296296296296294E-2</v>
      </c>
      <c r="L135" s="129">
        <f t="shared" si="457"/>
        <v>2.6724137931034482E-3</v>
      </c>
      <c r="M135" s="129">
        <f t="shared" si="457"/>
        <v>-4.3478260869565216E-2</v>
      </c>
      <c r="N135" s="129">
        <f t="shared" si="457"/>
        <v>-6.8181818181818177E-2</v>
      </c>
      <c r="O135" s="129">
        <f t="shared" si="457"/>
        <v>-0.10508474576271186</v>
      </c>
      <c r="P135" s="129">
        <f t="shared" si="457"/>
        <v>-2.1428571428571429E-2</v>
      </c>
      <c r="Q135" s="129">
        <f t="shared" si="457"/>
        <v>4.2635658914728682E-2</v>
      </c>
      <c r="R135" s="129">
        <f t="shared" si="457"/>
        <v>0.13333333333333333</v>
      </c>
      <c r="S135" s="129">
        <f t="shared" si="457"/>
        <v>0.21428571428571427</v>
      </c>
      <c r="T135" s="129">
        <f t="shared" si="457"/>
        <v>0.26217228464419473</v>
      </c>
      <c r="U135" s="129">
        <f t="shared" ref="U135" si="458">U55/U18</f>
        <v>0.17228464419475656</v>
      </c>
      <c r="V135" s="101">
        <f t="shared" ref="V135:V167" si="459">((U135/G135)^(1/($K$2-$K$1) ))-1</f>
        <v>-1.4464201239771102E-2</v>
      </c>
      <c r="W135" s="10"/>
      <c r="X135" s="129">
        <f t="shared" ref="X135:AG135" si="460">X55/X18</f>
        <v>0.17228464419475656</v>
      </c>
      <c r="Y135" s="129">
        <f t="shared" si="460"/>
        <v>0.17228464419475656</v>
      </c>
      <c r="Z135" s="129">
        <f t="shared" si="460"/>
        <v>0.17228464419475656</v>
      </c>
      <c r="AA135" s="129">
        <f t="shared" si="460"/>
        <v>0.17228464419475656</v>
      </c>
      <c r="AB135" s="129">
        <f t="shared" si="460"/>
        <v>0.17228464419475659</v>
      </c>
      <c r="AC135" s="129">
        <f t="shared" si="460"/>
        <v>0.17228464419475659</v>
      </c>
      <c r="AD135" s="129">
        <f t="shared" si="460"/>
        <v>0.17228464419475659</v>
      </c>
      <c r="AE135" s="129">
        <f t="shared" si="460"/>
        <v>0.17228464419475661</v>
      </c>
      <c r="AF135" s="129">
        <f t="shared" si="460"/>
        <v>0.17228464419475661</v>
      </c>
      <c r="AG135" s="129">
        <f t="shared" si="460"/>
        <v>0.17228464419475661</v>
      </c>
      <c r="AH135" s="116">
        <f t="shared" si="325"/>
        <v>2.6810332422477545E-2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461">G55/G25</f>
        <v>0.13392857142857142</v>
      </c>
      <c r="H136" s="129">
        <f t="shared" ref="H136:I136" si="462">H55/H25</f>
        <v>0.1</v>
      </c>
      <c r="I136" s="129">
        <f t="shared" si="462"/>
        <v>6.8750000000000006E-2</v>
      </c>
      <c r="J136" s="129">
        <f t="shared" ref="J136:T136" si="463">J55/J25</f>
        <v>5.232558139534884E-2</v>
      </c>
      <c r="K136" s="129">
        <f t="shared" si="463"/>
        <v>3.0864197530864196E-2</v>
      </c>
      <c r="L136" s="129">
        <f t="shared" si="463"/>
        <v>2.1985815602836877E-3</v>
      </c>
      <c r="M136" s="129">
        <f t="shared" si="463"/>
        <v>-0.1</v>
      </c>
      <c r="N136" s="129">
        <f t="shared" si="463"/>
        <v>-0.11666666666666667</v>
      </c>
      <c r="O136" s="129">
        <f t="shared" si="463"/>
        <v>-0.16062176165803108</v>
      </c>
      <c r="P136" s="129">
        <f t="shared" si="463"/>
        <v>-2.643171806167401E-2</v>
      </c>
      <c r="Q136" s="129">
        <f t="shared" si="463"/>
        <v>4.4534412955465584E-2</v>
      </c>
      <c r="R136" s="129">
        <f t="shared" si="463"/>
        <v>9.5522388059701493E-2</v>
      </c>
      <c r="S136" s="129">
        <f t="shared" si="463"/>
        <v>0.1328125</v>
      </c>
      <c r="T136" s="129">
        <f t="shared" si="463"/>
        <v>0.17587939698492464</v>
      </c>
      <c r="U136" s="129">
        <f t="shared" ref="U136" si="464">U55/U25</f>
        <v>0.1377245508982036</v>
      </c>
      <c r="V136" s="101">
        <f t="shared" si="459"/>
        <v>1.9983564656844699E-3</v>
      </c>
      <c r="W136" s="10"/>
      <c r="X136" s="129">
        <f t="shared" ref="X136:AG136" si="465">X55/X25</f>
        <v>0.1377245508982036</v>
      </c>
      <c r="Y136" s="129">
        <f t="shared" si="465"/>
        <v>0.1377245508982036</v>
      </c>
      <c r="Z136" s="129">
        <f t="shared" si="465"/>
        <v>0.13772455089820357</v>
      </c>
      <c r="AA136" s="129">
        <f t="shared" si="465"/>
        <v>0.1377245508982036</v>
      </c>
      <c r="AB136" s="129">
        <f t="shared" si="465"/>
        <v>0.1377245508982036</v>
      </c>
      <c r="AC136" s="129">
        <f t="shared" si="465"/>
        <v>0.1377245508982036</v>
      </c>
      <c r="AD136" s="129">
        <f t="shared" si="465"/>
        <v>0.1377245508982036</v>
      </c>
      <c r="AE136" s="129">
        <f t="shared" si="465"/>
        <v>0.13772455089820357</v>
      </c>
      <c r="AF136" s="129">
        <f t="shared" si="465"/>
        <v>0.1377245508982036</v>
      </c>
      <c r="AG136" s="129">
        <f t="shared" si="465"/>
        <v>0.1377245508982036</v>
      </c>
      <c r="AH136" s="116">
        <f t="shared" si="325"/>
        <v>4.2974753110226471E-2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466">G25/G18</f>
        <v>1.5774647887323943</v>
      </c>
      <c r="H137" s="129">
        <f t="shared" ref="H137:I137" si="467">H25/H18</f>
        <v>1.7073170731707317</v>
      </c>
      <c r="I137" s="129">
        <f t="shared" si="467"/>
        <v>1.7777777777777777</v>
      </c>
      <c r="J137" s="129">
        <f t="shared" ref="J137:T137" si="468">J25/J18</f>
        <v>1.7916666666666667</v>
      </c>
      <c r="K137" s="129">
        <f t="shared" si="468"/>
        <v>1.5</v>
      </c>
      <c r="L137" s="129">
        <f t="shared" si="468"/>
        <v>1.2155172413793103</v>
      </c>
      <c r="M137" s="129">
        <f t="shared" si="468"/>
        <v>0.43478260869565216</v>
      </c>
      <c r="N137" s="129">
        <f t="shared" si="468"/>
        <v>0.58441558441558439</v>
      </c>
      <c r="O137" s="129">
        <f t="shared" si="468"/>
        <v>0.65423728813559323</v>
      </c>
      <c r="P137" s="129">
        <f t="shared" si="468"/>
        <v>0.81071428571428572</v>
      </c>
      <c r="Q137" s="129">
        <f t="shared" si="468"/>
        <v>0.95736434108527135</v>
      </c>
      <c r="R137" s="129">
        <f t="shared" si="468"/>
        <v>1.3958333333333333</v>
      </c>
      <c r="S137" s="129">
        <f t="shared" si="468"/>
        <v>1.6134453781512605</v>
      </c>
      <c r="T137" s="129">
        <f t="shared" si="468"/>
        <v>1.4906367041198503</v>
      </c>
      <c r="U137" s="129">
        <f t="shared" ref="U137" si="469">U25/U18</f>
        <v>1.2509363295880149</v>
      </c>
      <c r="V137" s="101">
        <f t="shared" si="459"/>
        <v>-1.6429725257757322E-2</v>
      </c>
      <c r="W137" s="10"/>
      <c r="X137" s="129">
        <f t="shared" ref="X137:AG137" si="470">X25/X18</f>
        <v>1.2509363295880149</v>
      </c>
      <c r="Y137" s="129">
        <f t="shared" si="470"/>
        <v>1.2509363295880152</v>
      </c>
      <c r="Z137" s="129">
        <f t="shared" si="470"/>
        <v>1.2509363295880152</v>
      </c>
      <c r="AA137" s="129">
        <f t="shared" si="470"/>
        <v>1.2509363295880152</v>
      </c>
      <c r="AB137" s="129">
        <f t="shared" si="470"/>
        <v>1.2509363295880152</v>
      </c>
      <c r="AC137" s="129">
        <f t="shared" si="470"/>
        <v>1.2509363295880154</v>
      </c>
      <c r="AD137" s="129">
        <f t="shared" si="470"/>
        <v>1.2509363295880154</v>
      </c>
      <c r="AE137" s="129">
        <f t="shared" si="470"/>
        <v>1.2509363295880154</v>
      </c>
      <c r="AF137" s="129">
        <f t="shared" si="470"/>
        <v>1.2509363295880154</v>
      </c>
      <c r="AG137" s="129">
        <f t="shared" si="470"/>
        <v>1.2509363295880154</v>
      </c>
      <c r="AH137" s="116">
        <f t="shared" si="325"/>
        <v>-1.549838156632799E-2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2"/>
      <c r="V138" s="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1"/>
      <c r="F139" s="141"/>
      <c r="G139" s="141">
        <f t="shared" ref="G139" si="471">G88*G57</f>
        <v>1.24</v>
      </c>
      <c r="H139" s="141">
        <f t="shared" ref="H139:I139" si="472">H88*H57</f>
        <v>2.17</v>
      </c>
      <c r="I139" s="141">
        <f t="shared" si="472"/>
        <v>2.17</v>
      </c>
      <c r="J139" s="141">
        <f t="shared" ref="J139:T139" si="473">J88*J57</f>
        <v>2.17</v>
      </c>
      <c r="K139" s="141">
        <f t="shared" si="473"/>
        <v>0.92999999999999994</v>
      </c>
      <c r="L139" s="141">
        <f t="shared" si="473"/>
        <v>0</v>
      </c>
      <c r="M139" s="141">
        <f t="shared" si="473"/>
        <v>0</v>
      </c>
      <c r="N139" s="141">
        <f t="shared" si="473"/>
        <v>0</v>
      </c>
      <c r="O139" s="141">
        <f t="shared" si="473"/>
        <v>0</v>
      </c>
      <c r="P139" s="141">
        <f t="shared" si="473"/>
        <v>0</v>
      </c>
      <c r="Q139" s="141">
        <f t="shared" si="473"/>
        <v>1.24</v>
      </c>
      <c r="R139" s="141">
        <f t="shared" si="473"/>
        <v>1.8599999999999999</v>
      </c>
      <c r="S139" s="141">
        <f t="shared" si="473"/>
        <v>6.2</v>
      </c>
      <c r="T139" s="141">
        <f t="shared" si="473"/>
        <v>1.8599999999999999</v>
      </c>
      <c r="U139" s="141">
        <f t="shared" ref="U139" si="474">U88*U57</f>
        <v>2.1</v>
      </c>
      <c r="V139" s="101">
        <f t="shared" si="459"/>
        <v>3.8347415833128506E-2</v>
      </c>
      <c r="W139" s="10"/>
      <c r="X139" s="141">
        <f t="shared" ref="X139:AG139" si="475">X88*X57</f>
        <v>2.1848400000000003</v>
      </c>
      <c r="Y139" s="141">
        <f t="shared" si="475"/>
        <v>2.2731075360000004</v>
      </c>
      <c r="Z139" s="141">
        <f t="shared" si="475"/>
        <v>2.3649410804544</v>
      </c>
      <c r="AA139" s="141">
        <f t="shared" si="475"/>
        <v>2.4604847001047578</v>
      </c>
      <c r="AB139" s="141">
        <f t="shared" si="475"/>
        <v>2.5598882819889903</v>
      </c>
      <c r="AC139" s="141">
        <f t="shared" si="475"/>
        <v>2.6633077685813458</v>
      </c>
      <c r="AD139" s="141">
        <f t="shared" si="475"/>
        <v>2.7709054024320321</v>
      </c>
      <c r="AE139" s="141">
        <f t="shared" si="475"/>
        <v>2.8828499806902861</v>
      </c>
      <c r="AF139" s="141">
        <f t="shared" si="475"/>
        <v>2.9993171199101742</v>
      </c>
      <c r="AG139" s="141">
        <f t="shared" si="475"/>
        <v>3.1204895315545453</v>
      </c>
      <c r="AH139" s="116">
        <f t="shared" si="325"/>
        <v>1.5919416395288488E-2</v>
      </c>
      <c r="AI139" s="10"/>
      <c r="AJ139" s="10"/>
    </row>
    <row r="140" spans="1:36">
      <c r="B140" s="10" t="s">
        <v>280</v>
      </c>
      <c r="C140" s="10"/>
      <c r="D140" s="10"/>
      <c r="E140" s="141"/>
      <c r="F140" s="141"/>
      <c r="G140" s="141">
        <f t="shared" ref="G140" si="476">(G139*0.17)+G139</f>
        <v>1.4508000000000001</v>
      </c>
      <c r="H140" s="141">
        <f t="shared" ref="H140:I140" si="477">(H139*0.17)+H139</f>
        <v>2.5388999999999999</v>
      </c>
      <c r="I140" s="141">
        <f t="shared" si="477"/>
        <v>2.5388999999999999</v>
      </c>
      <c r="J140" s="141">
        <f t="shared" ref="J140:S140" si="478">(J139*0.17)+J139</f>
        <v>2.5388999999999999</v>
      </c>
      <c r="K140" s="141">
        <f t="shared" si="478"/>
        <v>1.0880999999999998</v>
      </c>
      <c r="L140" s="141">
        <f t="shared" si="478"/>
        <v>0</v>
      </c>
      <c r="M140" s="141">
        <f t="shared" si="478"/>
        <v>0</v>
      </c>
      <c r="N140" s="141">
        <f t="shared" si="478"/>
        <v>0</v>
      </c>
      <c r="O140" s="141">
        <f t="shared" si="478"/>
        <v>0</v>
      </c>
      <c r="P140" s="141">
        <f t="shared" si="478"/>
        <v>0</v>
      </c>
      <c r="Q140" s="141">
        <f t="shared" si="478"/>
        <v>1.4508000000000001</v>
      </c>
      <c r="R140" s="141">
        <f t="shared" si="478"/>
        <v>2.1761999999999997</v>
      </c>
      <c r="S140" s="141">
        <f t="shared" si="478"/>
        <v>7.2540000000000004</v>
      </c>
      <c r="T140" s="141">
        <f t="shared" ref="T140:U140" si="479">(T139*0.17)+T139</f>
        <v>2.1761999999999997</v>
      </c>
      <c r="U140" s="141">
        <f t="shared" si="479"/>
        <v>2.4570000000000003</v>
      </c>
      <c r="V140" s="101">
        <f t="shared" si="459"/>
        <v>3.8347415833128506E-2</v>
      </c>
      <c r="W140" s="10"/>
      <c r="X140" s="141">
        <f t="shared" ref="X140:AG140" si="480">(X139*0.17)+X139</f>
        <v>2.5562628000000003</v>
      </c>
      <c r="Y140" s="141">
        <f t="shared" si="480"/>
        <v>2.6595358171200005</v>
      </c>
      <c r="Z140" s="141">
        <f t="shared" si="480"/>
        <v>2.7669810641316479</v>
      </c>
      <c r="AA140" s="141">
        <f t="shared" si="480"/>
        <v>2.8787670991225669</v>
      </c>
      <c r="AB140" s="141">
        <f t="shared" si="480"/>
        <v>2.9950692899271187</v>
      </c>
      <c r="AC140" s="141">
        <f t="shared" si="480"/>
        <v>3.1160700892401745</v>
      </c>
      <c r="AD140" s="141">
        <f t="shared" si="480"/>
        <v>3.2419593208454778</v>
      </c>
      <c r="AE140" s="141">
        <f t="shared" si="480"/>
        <v>3.3729344774076346</v>
      </c>
      <c r="AF140" s="141">
        <f t="shared" si="480"/>
        <v>3.5092010302949039</v>
      </c>
      <c r="AG140" s="141">
        <f t="shared" si="480"/>
        <v>3.6509727519188182</v>
      </c>
      <c r="AH140" s="116">
        <f t="shared" si="325"/>
        <v>1.5919416395288488E-2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481">G140/G55</f>
        <v>9.672E-2</v>
      </c>
      <c r="H141" s="129">
        <f t="shared" ref="H141:I141" si="482">H140/H55</f>
        <v>0.18134999999999998</v>
      </c>
      <c r="I141" s="129">
        <f t="shared" si="482"/>
        <v>0.23080909090909091</v>
      </c>
      <c r="J141" s="129">
        <f t="shared" ref="J141:T141" si="483">J140/J55</f>
        <v>0.28210000000000002</v>
      </c>
      <c r="K141" s="129">
        <f t="shared" si="483"/>
        <v>0.21761999999999998</v>
      </c>
      <c r="L141" s="129">
        <f t="shared" si="483"/>
        <v>0</v>
      </c>
      <c r="M141" s="129">
        <f t="shared" si="483"/>
        <v>0</v>
      </c>
      <c r="N141" s="129">
        <f t="shared" si="483"/>
        <v>0</v>
      </c>
      <c r="O141" s="129">
        <f t="shared" si="483"/>
        <v>0</v>
      </c>
      <c r="P141" s="129">
        <f t="shared" si="483"/>
        <v>0</v>
      </c>
      <c r="Q141" s="129">
        <f t="shared" si="483"/>
        <v>0.13189090909090909</v>
      </c>
      <c r="R141" s="129">
        <f t="shared" si="483"/>
        <v>6.800624999999999E-2</v>
      </c>
      <c r="S141" s="129">
        <f t="shared" si="483"/>
        <v>0.14223529411764707</v>
      </c>
      <c r="T141" s="129">
        <f t="shared" si="483"/>
        <v>3.1088571428571424E-2</v>
      </c>
      <c r="U141" s="129">
        <f t="shared" ref="U141" si="484">U140/U55</f>
        <v>5.3413043478260876E-2</v>
      </c>
      <c r="V141" s="101">
        <f t="shared" si="459"/>
        <v>-4.1525002784774556E-2</v>
      </c>
      <c r="W141" s="10"/>
      <c r="X141" s="129">
        <f t="shared" ref="X141:AG141" si="485">X140/X55</f>
        <v>5.14545652173913E-2</v>
      </c>
      <c r="Y141" s="129">
        <f t="shared" si="485"/>
        <v>4.9567897826086955E-2</v>
      </c>
      <c r="Z141" s="129">
        <f t="shared" si="485"/>
        <v>4.7750408239130425E-2</v>
      </c>
      <c r="AA141" s="129">
        <f t="shared" si="485"/>
        <v>4.5999559937028978E-2</v>
      </c>
      <c r="AB141" s="129">
        <f t="shared" si="485"/>
        <v>4.4312909406004582E-2</v>
      </c>
      <c r="AC141" s="129">
        <f t="shared" si="485"/>
        <v>4.2688102727784408E-2</v>
      </c>
      <c r="AD141" s="129">
        <f t="shared" si="485"/>
        <v>4.1122872294432317E-2</v>
      </c>
      <c r="AE141" s="129">
        <f t="shared" si="485"/>
        <v>3.9615033643636458E-2</v>
      </c>
      <c r="AF141" s="129">
        <f t="shared" si="485"/>
        <v>3.8162482410036461E-2</v>
      </c>
      <c r="AG141" s="129">
        <f t="shared" si="485"/>
        <v>3.6763191388335122E-2</v>
      </c>
      <c r="AH141" s="116">
        <f t="shared" si="325"/>
        <v>-8.478700268343653E-2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486">1-G141</f>
        <v>0.90327999999999997</v>
      </c>
      <c r="H142" s="129">
        <f t="shared" ref="H142:I142" si="487">1-H141</f>
        <v>0.81864999999999999</v>
      </c>
      <c r="I142" s="129">
        <f t="shared" si="487"/>
        <v>0.76919090909090904</v>
      </c>
      <c r="J142" s="129">
        <f>1-J141</f>
        <v>0.71789999999999998</v>
      </c>
      <c r="K142" s="129">
        <f t="shared" ref="K142:S142" si="488">1-K141</f>
        <v>0.78238000000000008</v>
      </c>
      <c r="L142" s="129">
        <f t="shared" si="488"/>
        <v>1</v>
      </c>
      <c r="M142" s="129">
        <f t="shared" si="488"/>
        <v>1</v>
      </c>
      <c r="N142" s="129">
        <f t="shared" si="488"/>
        <v>1</v>
      </c>
      <c r="O142" s="129">
        <f t="shared" si="488"/>
        <v>1</v>
      </c>
      <c r="P142" s="129">
        <f t="shared" si="488"/>
        <v>1</v>
      </c>
      <c r="Q142" s="129">
        <f t="shared" si="488"/>
        <v>0.86810909090909094</v>
      </c>
      <c r="R142" s="129">
        <f t="shared" si="488"/>
        <v>0.93199374999999995</v>
      </c>
      <c r="S142" s="129">
        <f t="shared" si="488"/>
        <v>0.85776470588235298</v>
      </c>
      <c r="T142" s="129">
        <f t="shared" ref="T142:U142" si="489">1-T141</f>
        <v>0.96891142857142853</v>
      </c>
      <c r="U142" s="129">
        <f t="shared" si="489"/>
        <v>0.94658695652173908</v>
      </c>
      <c r="V142" s="101">
        <f t="shared" si="459"/>
        <v>3.3506190461429775E-3</v>
      </c>
      <c r="W142" s="10"/>
      <c r="X142" s="129">
        <f t="shared" ref="X142:AG142" si="490">1-X141</f>
        <v>0.94854543478260867</v>
      </c>
      <c r="Y142" s="129">
        <f t="shared" si="490"/>
        <v>0.95043210217391305</v>
      </c>
      <c r="Z142" s="129">
        <f t="shared" si="490"/>
        <v>0.95224959176086954</v>
      </c>
      <c r="AA142" s="129">
        <f t="shared" si="490"/>
        <v>0.95400044006297102</v>
      </c>
      <c r="AB142" s="129">
        <f t="shared" si="490"/>
        <v>0.95568709059399537</v>
      </c>
      <c r="AC142" s="129">
        <f t="shared" si="490"/>
        <v>0.95731189727221555</v>
      </c>
      <c r="AD142" s="129">
        <f t="shared" si="490"/>
        <v>0.95887712770556766</v>
      </c>
      <c r="AE142" s="129">
        <f t="shared" si="490"/>
        <v>0.9603849663563635</v>
      </c>
      <c r="AF142" s="129">
        <f t="shared" si="490"/>
        <v>0.9618375175899635</v>
      </c>
      <c r="AG142" s="129">
        <f t="shared" si="490"/>
        <v>0.96323680861166483</v>
      </c>
      <c r="AH142" s="116">
        <f t="shared" si="325"/>
        <v>1.2863290518889681E-2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491">G140/G20</f>
        <v>#DIV/0!</v>
      </c>
      <c r="H143" s="129" t="e">
        <f t="shared" ref="H143:I143" si="492">H140/H20</f>
        <v>#DIV/0!</v>
      </c>
      <c r="I143" s="129" t="e">
        <f t="shared" si="492"/>
        <v>#DIV/0!</v>
      </c>
      <c r="J143" s="129" t="e">
        <f t="shared" ref="J143:T143" si="493">J140/J20</f>
        <v>#DIV/0!</v>
      </c>
      <c r="K143" s="129" t="e">
        <f t="shared" si="493"/>
        <v>#DIV/0!</v>
      </c>
      <c r="L143" s="129" t="e">
        <f t="shared" si="493"/>
        <v>#DIV/0!</v>
      </c>
      <c r="M143" s="129" t="e">
        <f t="shared" si="493"/>
        <v>#DIV/0!</v>
      </c>
      <c r="N143" s="129" t="e">
        <f t="shared" si="493"/>
        <v>#DIV/0!</v>
      </c>
      <c r="O143" s="129" t="e">
        <f t="shared" si="493"/>
        <v>#DIV/0!</v>
      </c>
      <c r="P143" s="129" t="e">
        <f t="shared" si="493"/>
        <v>#DIV/0!</v>
      </c>
      <c r="Q143" s="129" t="e">
        <f t="shared" si="493"/>
        <v>#DIV/0!</v>
      </c>
      <c r="R143" s="129" t="e">
        <f t="shared" si="493"/>
        <v>#DIV/0!</v>
      </c>
      <c r="S143" s="129" t="e">
        <f t="shared" si="493"/>
        <v>#DIV/0!</v>
      </c>
      <c r="T143" s="129" t="e">
        <f t="shared" si="493"/>
        <v>#DIV/0!</v>
      </c>
      <c r="U143" s="129" t="e">
        <f t="shared" ref="U143" si="494">U140/U20</f>
        <v>#DIV/0!</v>
      </c>
      <c r="V143" s="101" t="e">
        <f t="shared" si="459"/>
        <v>#DIV/0!</v>
      </c>
      <c r="W143" s="10"/>
      <c r="X143" s="129" t="e">
        <f t="shared" ref="X143:AG143" si="495">X140/X20</f>
        <v>#DIV/0!</v>
      </c>
      <c r="Y143" s="129" t="e">
        <f t="shared" si="495"/>
        <v>#DIV/0!</v>
      </c>
      <c r="Z143" s="129" t="e">
        <f t="shared" si="495"/>
        <v>#DIV/0!</v>
      </c>
      <c r="AA143" s="129" t="e">
        <f t="shared" si="495"/>
        <v>#DIV/0!</v>
      </c>
      <c r="AB143" s="129" t="e">
        <f t="shared" si="495"/>
        <v>#DIV/0!</v>
      </c>
      <c r="AC143" s="129" t="e">
        <f t="shared" si="495"/>
        <v>#DIV/0!</v>
      </c>
      <c r="AD143" s="129" t="e">
        <f t="shared" si="495"/>
        <v>#DIV/0!</v>
      </c>
      <c r="AE143" s="129" t="e">
        <f t="shared" si="495"/>
        <v>#DIV/0!</v>
      </c>
      <c r="AF143" s="129" t="e">
        <f t="shared" si="495"/>
        <v>#DIV/0!</v>
      </c>
      <c r="AG143" s="129" t="e">
        <f t="shared" si="495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2"/>
      <c r="V144" s="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496">G31/G25</f>
        <v>0</v>
      </c>
      <c r="H145" s="129">
        <f t="shared" ref="H145:I145" si="497">H31/H25</f>
        <v>0</v>
      </c>
      <c r="I145" s="129">
        <f t="shared" si="497"/>
        <v>0</v>
      </c>
      <c r="J145" s="129">
        <f t="shared" ref="J145:T145" si="498">J31/J25</f>
        <v>0</v>
      </c>
      <c r="K145" s="129">
        <f t="shared" si="498"/>
        <v>0</v>
      </c>
      <c r="L145" s="129">
        <f t="shared" si="498"/>
        <v>0</v>
      </c>
      <c r="M145" s="129">
        <f t="shared" si="498"/>
        <v>0</v>
      </c>
      <c r="N145" s="129">
        <f t="shared" si="498"/>
        <v>0</v>
      </c>
      <c r="O145" s="129">
        <f t="shared" si="498"/>
        <v>0</v>
      </c>
      <c r="P145" s="129">
        <f t="shared" si="498"/>
        <v>0</v>
      </c>
      <c r="Q145" s="129">
        <f t="shared" si="498"/>
        <v>0</v>
      </c>
      <c r="R145" s="129">
        <f t="shared" si="498"/>
        <v>0</v>
      </c>
      <c r="S145" s="129">
        <f t="shared" si="498"/>
        <v>0</v>
      </c>
      <c r="T145" s="129">
        <f t="shared" si="498"/>
        <v>0</v>
      </c>
      <c r="U145" s="129">
        <f t="shared" ref="U145" si="499">U31/U25</f>
        <v>0</v>
      </c>
      <c r="V145" s="101" t="e">
        <f t="shared" si="459"/>
        <v>#DIV/0!</v>
      </c>
      <c r="W145" s="10"/>
      <c r="X145" s="129">
        <f t="shared" ref="X145:AG145" si="500">X31/X25</f>
        <v>0</v>
      </c>
      <c r="Y145" s="129">
        <f t="shared" si="500"/>
        <v>0</v>
      </c>
      <c r="Z145" s="129">
        <f t="shared" si="500"/>
        <v>0</v>
      </c>
      <c r="AA145" s="129">
        <f t="shared" si="500"/>
        <v>0</v>
      </c>
      <c r="AB145" s="129">
        <f t="shared" si="500"/>
        <v>0</v>
      </c>
      <c r="AC145" s="129">
        <f t="shared" si="500"/>
        <v>0</v>
      </c>
      <c r="AD145" s="129">
        <f t="shared" si="500"/>
        <v>0</v>
      </c>
      <c r="AE145" s="129">
        <f t="shared" si="500"/>
        <v>0</v>
      </c>
      <c r="AF145" s="129">
        <f t="shared" si="500"/>
        <v>0</v>
      </c>
      <c r="AG145" s="129">
        <f t="shared" si="500"/>
        <v>0</v>
      </c>
      <c r="AH145" s="116" t="e">
        <f t="shared" si="325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01">G32/G25</f>
        <v>0</v>
      </c>
      <c r="H146" s="129">
        <f t="shared" ref="H146:I146" si="502">H32/H25</f>
        <v>0</v>
      </c>
      <c r="I146" s="129">
        <f t="shared" si="502"/>
        <v>0</v>
      </c>
      <c r="J146" s="129">
        <f t="shared" ref="J146:T146" si="503">J32/J25</f>
        <v>0</v>
      </c>
      <c r="K146" s="129">
        <f t="shared" si="503"/>
        <v>0</v>
      </c>
      <c r="L146" s="129">
        <f t="shared" si="503"/>
        <v>0</v>
      </c>
      <c r="M146" s="129">
        <f t="shared" si="503"/>
        <v>0</v>
      </c>
      <c r="N146" s="129">
        <f t="shared" si="503"/>
        <v>0</v>
      </c>
      <c r="O146" s="129">
        <f t="shared" si="503"/>
        <v>0</v>
      </c>
      <c r="P146" s="129">
        <f t="shared" si="503"/>
        <v>0</v>
      </c>
      <c r="Q146" s="129">
        <f t="shared" si="503"/>
        <v>0</v>
      </c>
      <c r="R146" s="129">
        <f t="shared" si="503"/>
        <v>0</v>
      </c>
      <c r="S146" s="129">
        <f t="shared" si="503"/>
        <v>0</v>
      </c>
      <c r="T146" s="129">
        <f t="shared" si="503"/>
        <v>0</v>
      </c>
      <c r="U146" s="129">
        <f t="shared" ref="U146" si="504">U32/U25</f>
        <v>0</v>
      </c>
      <c r="V146" s="101" t="e">
        <f t="shared" si="459"/>
        <v>#DIV/0!</v>
      </c>
      <c r="W146" s="10"/>
      <c r="X146" s="129">
        <f t="shared" ref="X146:AG146" si="505">X32/X25</f>
        <v>0</v>
      </c>
      <c r="Y146" s="129">
        <f t="shared" si="505"/>
        <v>0</v>
      </c>
      <c r="Z146" s="129">
        <f t="shared" si="505"/>
        <v>0</v>
      </c>
      <c r="AA146" s="129">
        <f t="shared" si="505"/>
        <v>0</v>
      </c>
      <c r="AB146" s="129">
        <f t="shared" si="505"/>
        <v>0</v>
      </c>
      <c r="AC146" s="129">
        <f t="shared" si="505"/>
        <v>0</v>
      </c>
      <c r="AD146" s="129">
        <f t="shared" si="505"/>
        <v>0</v>
      </c>
      <c r="AE146" s="129">
        <f t="shared" si="505"/>
        <v>0</v>
      </c>
      <c r="AF146" s="129">
        <f t="shared" si="505"/>
        <v>0</v>
      </c>
      <c r="AG146" s="129">
        <f t="shared" si="505"/>
        <v>0</v>
      </c>
      <c r="AH146" s="116" t="e">
        <f t="shared" si="325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06">(G31+G32)/G25</f>
        <v>0</v>
      </c>
      <c r="H147" s="129">
        <f t="shared" ref="H147:I147" si="507">(H31+H32)/H25</f>
        <v>0</v>
      </c>
      <c r="I147" s="129">
        <f t="shared" si="507"/>
        <v>0</v>
      </c>
      <c r="J147" s="129">
        <f t="shared" ref="J147:T147" si="508">(J31+J32)/J25</f>
        <v>0</v>
      </c>
      <c r="K147" s="129">
        <f t="shared" si="508"/>
        <v>0</v>
      </c>
      <c r="L147" s="129">
        <f t="shared" si="508"/>
        <v>0</v>
      </c>
      <c r="M147" s="129">
        <f t="shared" si="508"/>
        <v>0</v>
      </c>
      <c r="N147" s="129">
        <f t="shared" si="508"/>
        <v>0</v>
      </c>
      <c r="O147" s="129">
        <f t="shared" si="508"/>
        <v>0</v>
      </c>
      <c r="P147" s="129">
        <f t="shared" si="508"/>
        <v>0</v>
      </c>
      <c r="Q147" s="129">
        <f t="shared" si="508"/>
        <v>0</v>
      </c>
      <c r="R147" s="129">
        <f t="shared" si="508"/>
        <v>0</v>
      </c>
      <c r="S147" s="129">
        <f t="shared" si="508"/>
        <v>0</v>
      </c>
      <c r="T147" s="129">
        <f t="shared" si="508"/>
        <v>0</v>
      </c>
      <c r="U147" s="129">
        <f t="shared" ref="U147" si="509">(U31+U32)/U25</f>
        <v>0</v>
      </c>
      <c r="V147" s="101" t="e">
        <f t="shared" si="459"/>
        <v>#DIV/0!</v>
      </c>
      <c r="W147" s="10"/>
      <c r="X147" s="129">
        <f t="shared" ref="X147:AG147" si="510">(X31+X32)/X25</f>
        <v>0</v>
      </c>
      <c r="Y147" s="129">
        <f t="shared" si="510"/>
        <v>0</v>
      </c>
      <c r="Z147" s="129">
        <f t="shared" si="510"/>
        <v>0</v>
      </c>
      <c r="AA147" s="129">
        <f t="shared" si="510"/>
        <v>0</v>
      </c>
      <c r="AB147" s="129">
        <f t="shared" si="510"/>
        <v>0</v>
      </c>
      <c r="AC147" s="129">
        <f t="shared" si="510"/>
        <v>0</v>
      </c>
      <c r="AD147" s="129">
        <f t="shared" si="510"/>
        <v>0</v>
      </c>
      <c r="AE147" s="129">
        <f t="shared" si="510"/>
        <v>0</v>
      </c>
      <c r="AF147" s="129">
        <f t="shared" si="510"/>
        <v>0</v>
      </c>
      <c r="AG147" s="129">
        <f t="shared" si="510"/>
        <v>0</v>
      </c>
      <c r="AH147" s="116" t="e">
        <f t="shared" si="325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2"/>
      <c r="V148" s="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11">G27/G25</f>
        <v>0.7767857142857143</v>
      </c>
      <c r="H149" s="129">
        <f t="shared" ref="H149:I149" si="512">H27/H25</f>
        <v>0.80714285714285716</v>
      </c>
      <c r="I149" s="129">
        <f t="shared" si="512"/>
        <v>0.84375</v>
      </c>
      <c r="J149" s="129">
        <f t="shared" ref="J149:T149" si="513">J27/J25</f>
        <v>0.84302325581395354</v>
      </c>
      <c r="K149" s="129">
        <f t="shared" si="513"/>
        <v>0.84567901234567899</v>
      </c>
      <c r="L149" s="129">
        <f t="shared" si="513"/>
        <v>0.86524822695035464</v>
      </c>
      <c r="M149" s="129">
        <f t="shared" si="513"/>
        <v>0.87857142857142856</v>
      </c>
      <c r="N149" s="129">
        <f t="shared" si="513"/>
        <v>0.85</v>
      </c>
      <c r="O149" s="129">
        <f t="shared" si="513"/>
        <v>0.8393782383419689</v>
      </c>
      <c r="P149" s="129">
        <f t="shared" si="513"/>
        <v>0.77092511013215859</v>
      </c>
      <c r="Q149" s="129">
        <f t="shared" si="513"/>
        <v>0.77732793522267207</v>
      </c>
      <c r="R149" s="129">
        <f t="shared" si="513"/>
        <v>0.70447761194029845</v>
      </c>
      <c r="S149" s="129">
        <f t="shared" si="513"/>
        <v>0.68489583333333337</v>
      </c>
      <c r="T149" s="129">
        <f t="shared" si="513"/>
        <v>0.64321608040201006</v>
      </c>
      <c r="U149" s="129">
        <f t="shared" ref="U149" si="514">U27/U25</f>
        <v>0.39520958083832336</v>
      </c>
      <c r="V149" s="101">
        <f t="shared" si="459"/>
        <v>-4.712136792747379E-2</v>
      </c>
      <c r="W149" s="10"/>
      <c r="X149" s="129">
        <f t="shared" ref="X149:AG149" si="515">X27/X25</f>
        <v>0.3952095808383233</v>
      </c>
      <c r="Y149" s="129">
        <f t="shared" si="515"/>
        <v>0.39520958083832336</v>
      </c>
      <c r="Z149" s="129">
        <f t="shared" si="515"/>
        <v>0.39520958083832336</v>
      </c>
      <c r="AA149" s="129">
        <f t="shared" si="515"/>
        <v>0.39520958083832336</v>
      </c>
      <c r="AB149" s="129">
        <f t="shared" si="515"/>
        <v>0.39520958083832342</v>
      </c>
      <c r="AC149" s="129">
        <f t="shared" si="515"/>
        <v>0.39520958083832336</v>
      </c>
      <c r="AD149" s="129">
        <f t="shared" si="515"/>
        <v>0.3952095808383233</v>
      </c>
      <c r="AE149" s="129">
        <f t="shared" si="515"/>
        <v>0.3952095808383233</v>
      </c>
      <c r="AF149" s="129">
        <f t="shared" si="515"/>
        <v>0.39520958083832336</v>
      </c>
      <c r="AG149" s="129">
        <f t="shared" si="515"/>
        <v>0.39520958083832336</v>
      </c>
      <c r="AH149" s="116">
        <f t="shared" si="325"/>
        <v>-3.240163357386272E-2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516">G33/G25</f>
        <v>0.44642857142857145</v>
      </c>
      <c r="H150" s="129">
        <f t="shared" ref="H150:I150" si="517">H33/H25</f>
        <v>0.51428571428571423</v>
      </c>
      <c r="I150" s="129">
        <f t="shared" si="517"/>
        <v>0.5</v>
      </c>
      <c r="J150" s="129">
        <f t="shared" ref="J150:T150" si="518">J33/J25</f>
        <v>0.5</v>
      </c>
      <c r="K150" s="129">
        <f t="shared" si="518"/>
        <v>0.4567901234567901</v>
      </c>
      <c r="L150" s="129">
        <f t="shared" si="518"/>
        <v>0.44680851063829785</v>
      </c>
      <c r="M150" s="129">
        <f t="shared" si="518"/>
        <v>0.4642857142857143</v>
      </c>
      <c r="N150" s="129">
        <f t="shared" si="518"/>
        <v>0.44444444444444442</v>
      </c>
      <c r="O150" s="129">
        <f t="shared" si="518"/>
        <v>0.43523316062176165</v>
      </c>
      <c r="P150" s="129">
        <f t="shared" si="518"/>
        <v>0.35682819383259912</v>
      </c>
      <c r="Q150" s="129">
        <f t="shared" si="518"/>
        <v>0.37651821862348178</v>
      </c>
      <c r="R150" s="129">
        <f t="shared" si="518"/>
        <v>0.37014925373134328</v>
      </c>
      <c r="S150" s="129">
        <f t="shared" si="518"/>
        <v>0.35677083333333331</v>
      </c>
      <c r="T150" s="129">
        <f t="shared" si="518"/>
        <v>0.32160804020100503</v>
      </c>
      <c r="U150" s="129">
        <f t="shared" ref="U150" si="519">U33/U25</f>
        <v>0.38323353293413176</v>
      </c>
      <c r="V150" s="101">
        <f t="shared" si="459"/>
        <v>-1.0843273479999471E-2</v>
      </c>
      <c r="W150" s="10"/>
      <c r="X150" s="129">
        <f t="shared" ref="X150:AG150" si="520">X33/X25</f>
        <v>0.38323353293413176</v>
      </c>
      <c r="Y150" s="129">
        <f t="shared" si="520"/>
        <v>0.3832335329341317</v>
      </c>
      <c r="Z150" s="129">
        <f t="shared" si="520"/>
        <v>0.3832335329341317</v>
      </c>
      <c r="AA150" s="129">
        <f t="shared" si="520"/>
        <v>0.3832335329341317</v>
      </c>
      <c r="AB150" s="129">
        <f t="shared" si="520"/>
        <v>0.3832335329341317</v>
      </c>
      <c r="AC150" s="129">
        <f t="shared" si="520"/>
        <v>0.3832335329341317</v>
      </c>
      <c r="AD150" s="129">
        <f t="shared" si="520"/>
        <v>0.38323353293413165</v>
      </c>
      <c r="AE150" s="129">
        <f t="shared" si="520"/>
        <v>0.3832335329341317</v>
      </c>
      <c r="AF150" s="129">
        <f t="shared" si="520"/>
        <v>0.3832335329341317</v>
      </c>
      <c r="AG150" s="129">
        <f t="shared" si="520"/>
        <v>0.3832335329341317</v>
      </c>
      <c r="AH150" s="116">
        <f t="shared" si="325"/>
        <v>-1.1497030711452028E-2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521">G34/G25</f>
        <v>8.9285714285714281E-3</v>
      </c>
      <c r="H151" s="129">
        <f t="shared" ref="H151:I151" si="522">H34/H25</f>
        <v>7.1428571428571426E-3</v>
      </c>
      <c r="I151" s="129">
        <f t="shared" si="522"/>
        <v>6.2500000000000003E-3</v>
      </c>
      <c r="J151" s="129">
        <f t="shared" ref="J151:T151" si="523">J34/J25</f>
        <v>5.8139534883720929E-3</v>
      </c>
      <c r="K151" s="129">
        <f t="shared" si="523"/>
        <v>1.2345679012345678E-2</v>
      </c>
      <c r="L151" s="129">
        <f t="shared" si="523"/>
        <v>3.5460992907801421E-2</v>
      </c>
      <c r="M151" s="129">
        <f t="shared" si="523"/>
        <v>1.4285714285714285E-2</v>
      </c>
      <c r="N151" s="129">
        <f t="shared" si="523"/>
        <v>0.21666666666666667</v>
      </c>
      <c r="O151" s="129">
        <f t="shared" si="523"/>
        <v>0.20725388601036268</v>
      </c>
      <c r="P151" s="129">
        <f t="shared" si="523"/>
        <v>0.22907488986784141</v>
      </c>
      <c r="Q151" s="129">
        <f t="shared" si="523"/>
        <v>0.2145748987854251</v>
      </c>
      <c r="R151" s="129">
        <f t="shared" si="523"/>
        <v>0.17611940298507461</v>
      </c>
      <c r="S151" s="129">
        <f t="shared" si="523"/>
        <v>0.17708333333333334</v>
      </c>
      <c r="T151" s="129">
        <f t="shared" si="523"/>
        <v>0.17587939698492464</v>
      </c>
      <c r="U151" s="129">
        <f t="shared" ref="U151" si="524">U34/U25</f>
        <v>0.3592814371257485</v>
      </c>
      <c r="V151" s="101">
        <f t="shared" si="459"/>
        <v>0.30202120492515183</v>
      </c>
      <c r="W151" s="10"/>
      <c r="X151" s="129">
        <f t="shared" ref="X151:AG151" si="525">X34/X25</f>
        <v>0.35928143712574856</v>
      </c>
      <c r="Y151" s="129">
        <f t="shared" si="525"/>
        <v>0.35928143712574856</v>
      </c>
      <c r="Z151" s="129">
        <f t="shared" si="525"/>
        <v>0.3592814371257485</v>
      </c>
      <c r="AA151" s="129">
        <f t="shared" si="525"/>
        <v>0.3592814371257485</v>
      </c>
      <c r="AB151" s="129">
        <f t="shared" si="525"/>
        <v>0.3592814371257485</v>
      </c>
      <c r="AC151" s="129">
        <f t="shared" si="525"/>
        <v>0.3592814371257485</v>
      </c>
      <c r="AD151" s="129">
        <f t="shared" si="525"/>
        <v>0.35928143712574845</v>
      </c>
      <c r="AE151" s="129">
        <f t="shared" si="525"/>
        <v>0.3592814371257485</v>
      </c>
      <c r="AF151" s="129">
        <f t="shared" si="525"/>
        <v>0.3592814371257485</v>
      </c>
      <c r="AG151" s="129">
        <f t="shared" si="525"/>
        <v>0.3592814371257485</v>
      </c>
      <c r="AH151" s="116">
        <f t="shared" si="325"/>
        <v>0.19637675510101094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2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2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526">G15/G9</f>
        <v>5</v>
      </c>
      <c r="H154" s="15">
        <f t="shared" ref="H154:I154" si="527">H15/H9</f>
        <v>4.4666666666666668</v>
      </c>
      <c r="I154" s="15">
        <f t="shared" si="527"/>
        <v>4.5789473684210522</v>
      </c>
      <c r="J154" s="15">
        <f t="shared" ref="J154:T154" si="528">J15/J9</f>
        <v>4.9375</v>
      </c>
      <c r="K154" s="15">
        <f t="shared" si="528"/>
        <v>2.625</v>
      </c>
      <c r="L154" s="15">
        <f t="shared" si="528"/>
        <v>2.1</v>
      </c>
      <c r="M154" s="15">
        <f t="shared" si="528"/>
        <v>2.6666666666666665</v>
      </c>
      <c r="N154" s="15">
        <f t="shared" si="528"/>
        <v>0.63461538461538458</v>
      </c>
      <c r="O154" s="15">
        <f t="shared" si="528"/>
        <v>0.81954887218045114</v>
      </c>
      <c r="P154" s="15">
        <f t="shared" si="528"/>
        <v>0.93495934959349591</v>
      </c>
      <c r="Q154" s="15">
        <f t="shared" si="528"/>
        <v>1.2522522522522523</v>
      </c>
      <c r="R154" s="15">
        <f t="shared" si="528"/>
        <v>1.58</v>
      </c>
      <c r="S154" s="15">
        <f t="shared" si="528"/>
        <v>2.1686746987951806</v>
      </c>
      <c r="T154" s="15">
        <f t="shared" si="528"/>
        <v>1.9489795918367347</v>
      </c>
      <c r="U154" s="15">
        <f t="shared" ref="U154" si="529">U15/U9</f>
        <v>1.9489795918367347</v>
      </c>
      <c r="V154" s="101">
        <f t="shared" si="459"/>
        <v>-6.5080771651854774E-2</v>
      </c>
      <c r="W154" s="10"/>
      <c r="X154" s="10">
        <f t="shared" ref="X154:AG154" si="530">X15/X9</f>
        <v>1.9489795918367347</v>
      </c>
      <c r="Y154" s="10">
        <f t="shared" si="530"/>
        <v>1.9489795918367347</v>
      </c>
      <c r="Z154" s="10">
        <f t="shared" si="530"/>
        <v>1.9489795918367345</v>
      </c>
      <c r="AA154" s="10">
        <f t="shared" si="530"/>
        <v>1.9489795918367343</v>
      </c>
      <c r="AB154" s="10">
        <f t="shared" si="530"/>
        <v>1.9489795918367343</v>
      </c>
      <c r="AC154" s="10">
        <f t="shared" si="530"/>
        <v>1.9489795918367343</v>
      </c>
      <c r="AD154" s="10">
        <f t="shared" si="530"/>
        <v>1.9489795918367343</v>
      </c>
      <c r="AE154" s="10">
        <f t="shared" si="530"/>
        <v>1.9489795918367343</v>
      </c>
      <c r="AF154" s="10">
        <f t="shared" si="530"/>
        <v>1.9489795918367345</v>
      </c>
      <c r="AG154" s="10">
        <f t="shared" si="530"/>
        <v>1.9489795918367345</v>
      </c>
      <c r="AH154" s="116">
        <f t="shared" si="325"/>
        <v>-3.9609547340943463E-2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531">G12/G9</f>
        <v>0.16666666666666666</v>
      </c>
      <c r="H155" s="15">
        <f t="shared" ref="H155:I155" si="532">H12/H9</f>
        <v>0.13333333333333333</v>
      </c>
      <c r="I155" s="15">
        <f t="shared" si="532"/>
        <v>0.26315789473684209</v>
      </c>
      <c r="J155" s="15">
        <f t="shared" ref="J155:T155" si="533">J12/J9</f>
        <v>1.875</v>
      </c>
      <c r="K155" s="15">
        <f t="shared" si="533"/>
        <v>0.22500000000000001</v>
      </c>
      <c r="L155" s="15">
        <f t="shared" si="533"/>
        <v>0.1</v>
      </c>
      <c r="M155" s="15">
        <f t="shared" si="533"/>
        <v>0.16666666666666666</v>
      </c>
      <c r="N155" s="15">
        <f t="shared" si="533"/>
        <v>1.9230769230769232E-2</v>
      </c>
      <c r="O155" s="15">
        <f t="shared" si="533"/>
        <v>5.2631578947368418E-2</v>
      </c>
      <c r="P155" s="15">
        <f t="shared" si="533"/>
        <v>8.943089430894309E-2</v>
      </c>
      <c r="Q155" s="15">
        <f t="shared" si="533"/>
        <v>5.4054054054054057E-2</v>
      </c>
      <c r="R155" s="15">
        <f t="shared" si="533"/>
        <v>0.12</v>
      </c>
      <c r="S155" s="15">
        <f t="shared" si="533"/>
        <v>0.15662650602409639</v>
      </c>
      <c r="T155" s="15">
        <f t="shared" si="533"/>
        <v>0.27551020408163263</v>
      </c>
      <c r="U155" s="15">
        <f t="shared" ref="U155" si="534">U12/U9</f>
        <v>0.27551020408163263</v>
      </c>
      <c r="V155" s="101">
        <f t="shared" si="459"/>
        <v>3.655432261531355E-2</v>
      </c>
      <c r="W155" s="110"/>
      <c r="X155" s="10">
        <f t="shared" ref="X155:AG155" si="535">X12/X9</f>
        <v>0.27551020408163268</v>
      </c>
      <c r="Y155" s="10">
        <f t="shared" si="535"/>
        <v>0.27551020408163268</v>
      </c>
      <c r="Z155" s="10">
        <f t="shared" si="535"/>
        <v>0.27551020408163268</v>
      </c>
      <c r="AA155" s="10">
        <f t="shared" si="535"/>
        <v>0.27551020408163268</v>
      </c>
      <c r="AB155" s="10">
        <f t="shared" si="535"/>
        <v>0.27551020408163263</v>
      </c>
      <c r="AC155" s="10">
        <f t="shared" si="535"/>
        <v>0.27551020408163263</v>
      </c>
      <c r="AD155" s="10">
        <f t="shared" si="535"/>
        <v>0.27551020408163263</v>
      </c>
      <c r="AE155" s="10">
        <f t="shared" si="535"/>
        <v>0.27551020408163263</v>
      </c>
      <c r="AF155" s="10">
        <f t="shared" si="535"/>
        <v>0.27551020408163257</v>
      </c>
      <c r="AG155" s="10">
        <f t="shared" si="535"/>
        <v>0.27551020408163263</v>
      </c>
      <c r="AH155" s="101">
        <f t="shared" ref="AH155" si="536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537">G25/360</f>
        <v>0.31111111111111112</v>
      </c>
      <c r="H156" s="15">
        <f t="shared" ref="H156:I156" si="538">H25/360</f>
        <v>0.3888888888888889</v>
      </c>
      <c r="I156" s="15">
        <f t="shared" si="538"/>
        <v>0.44444444444444442</v>
      </c>
      <c r="J156" s="15">
        <f t="shared" ref="J156:T156" si="539">J25/360</f>
        <v>0.4777777777777778</v>
      </c>
      <c r="K156" s="15">
        <f t="shared" si="539"/>
        <v>0.45</v>
      </c>
      <c r="L156" s="15">
        <f t="shared" si="539"/>
        <v>0.39166666666666666</v>
      </c>
      <c r="M156" s="15">
        <f t="shared" si="539"/>
        <v>0.3888888888888889</v>
      </c>
      <c r="N156" s="15">
        <f t="shared" si="539"/>
        <v>0.5</v>
      </c>
      <c r="O156" s="15">
        <f t="shared" si="539"/>
        <v>0.53611111111111109</v>
      </c>
      <c r="P156" s="15">
        <f t="shared" si="539"/>
        <v>0.63055555555555554</v>
      </c>
      <c r="Q156" s="15">
        <f t="shared" si="539"/>
        <v>0.68611111111111112</v>
      </c>
      <c r="R156" s="15">
        <f t="shared" si="539"/>
        <v>0.93055555555555558</v>
      </c>
      <c r="S156" s="15">
        <f t="shared" si="539"/>
        <v>1.0666666666666667</v>
      </c>
      <c r="T156" s="15">
        <f t="shared" si="539"/>
        <v>1.1055555555555556</v>
      </c>
      <c r="U156" s="15">
        <f t="shared" ref="U156" si="540">U25/360</f>
        <v>0.92777777777777781</v>
      </c>
      <c r="V156" s="101">
        <f t="shared" si="459"/>
        <v>8.1172246400094794E-2</v>
      </c>
      <c r="W156" s="110"/>
      <c r="X156" s="15">
        <f t="shared" ref="X156:AG156" si="541">X25/360</f>
        <v>1.002</v>
      </c>
      <c r="Y156" s="15">
        <f t="shared" si="541"/>
        <v>1.0821600000000002</v>
      </c>
      <c r="Z156" s="15">
        <f t="shared" si="541"/>
        <v>1.1687328000000003</v>
      </c>
      <c r="AA156" s="15">
        <f t="shared" si="541"/>
        <v>1.2622314240000003</v>
      </c>
      <c r="AB156" s="15">
        <f t="shared" si="541"/>
        <v>1.3632099379200004</v>
      </c>
      <c r="AC156" s="15">
        <f t="shared" si="541"/>
        <v>1.4722667329536008</v>
      </c>
      <c r="AD156" s="15">
        <f t="shared" si="541"/>
        <v>1.5900480715898888</v>
      </c>
      <c r="AE156" s="15">
        <f t="shared" si="541"/>
        <v>1.7172519173170802</v>
      </c>
      <c r="AF156" s="15">
        <f t="shared" si="541"/>
        <v>1.8546320707024466</v>
      </c>
      <c r="AG156" s="15">
        <f t="shared" si="541"/>
        <v>2.0030026363586426</v>
      </c>
      <c r="AH156" s="101">
        <f t="shared" ref="AH156:AH167" si="542">((AG156/X156)^(1/($K$2-$K$1) ))-1</f>
        <v>5.0719276637903876E-2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543">G27/360</f>
        <v>0.24166666666666667</v>
      </c>
      <c r="H157" s="15">
        <f t="shared" ref="H157:I157" si="544">H27/360</f>
        <v>0.31388888888888888</v>
      </c>
      <c r="I157" s="15">
        <f t="shared" si="544"/>
        <v>0.375</v>
      </c>
      <c r="J157" s="15">
        <f t="shared" ref="J157:T157" si="545">J27/360</f>
        <v>0.40277777777777779</v>
      </c>
      <c r="K157" s="15">
        <f t="shared" si="545"/>
        <v>0.38055555555555554</v>
      </c>
      <c r="L157" s="15">
        <f t="shared" si="545"/>
        <v>0.33888888888888891</v>
      </c>
      <c r="M157" s="15">
        <f t="shared" si="545"/>
        <v>0.34166666666666667</v>
      </c>
      <c r="N157" s="15">
        <f t="shared" si="545"/>
        <v>0.42499999999999999</v>
      </c>
      <c r="O157" s="15">
        <f t="shared" si="545"/>
        <v>0.45</v>
      </c>
      <c r="P157" s="15">
        <f t="shared" si="545"/>
        <v>0.4861111111111111</v>
      </c>
      <c r="Q157" s="15">
        <f t="shared" si="545"/>
        <v>0.53333333333333333</v>
      </c>
      <c r="R157" s="15">
        <f t="shared" si="545"/>
        <v>0.65555555555555556</v>
      </c>
      <c r="S157" s="15">
        <f t="shared" si="545"/>
        <v>0.73055555555555551</v>
      </c>
      <c r="T157" s="15">
        <f t="shared" si="545"/>
        <v>0.71111111111111114</v>
      </c>
      <c r="U157" s="15">
        <f t="shared" ref="U157" si="546">U27/360</f>
        <v>0.36666666666666664</v>
      </c>
      <c r="V157" s="101">
        <f t="shared" si="459"/>
        <v>3.0225931184502786E-2</v>
      </c>
      <c r="W157" s="110"/>
      <c r="X157" s="15">
        <f t="shared" ref="X157:AG157" si="547">X27/360</f>
        <v>0.39600000000000002</v>
      </c>
      <c r="Y157" s="15">
        <f t="shared" si="547"/>
        <v>0.42768000000000006</v>
      </c>
      <c r="Z157" s="15">
        <f t="shared" si="547"/>
        <v>0.46189440000000015</v>
      </c>
      <c r="AA157" s="15">
        <f t="shared" si="547"/>
        <v>0.49884595200000015</v>
      </c>
      <c r="AB157" s="15">
        <f t="shared" si="547"/>
        <v>0.53875362816000028</v>
      </c>
      <c r="AC157" s="15">
        <f t="shared" si="547"/>
        <v>0.58185391841280021</v>
      </c>
      <c r="AD157" s="15">
        <f t="shared" si="547"/>
        <v>0.62840223188582434</v>
      </c>
      <c r="AE157" s="15">
        <f t="shared" si="547"/>
        <v>0.67867441043669019</v>
      </c>
      <c r="AF157" s="15">
        <f t="shared" si="547"/>
        <v>0.73296836327162551</v>
      </c>
      <c r="AG157" s="15">
        <f t="shared" si="547"/>
        <v>0.79160583233335569</v>
      </c>
      <c r="AH157" s="101">
        <f t="shared" si="542"/>
        <v>5.0719276637903876E-2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2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548">G10/G7</f>
        <v>1.1724137931034482</v>
      </c>
      <c r="H159" s="15">
        <f t="shared" ref="H159:I159" si="549">H10/H7</f>
        <v>1.1285714285714286</v>
      </c>
      <c r="I159" s="15">
        <f t="shared" si="549"/>
        <v>1.1794871794871795</v>
      </c>
      <c r="J159" s="15">
        <f t="shared" ref="J159:T159" si="550">J10/J7</f>
        <v>2.2380952380952381</v>
      </c>
      <c r="K159" s="15">
        <f t="shared" si="550"/>
        <v>2.7727272727272729</v>
      </c>
      <c r="L159" s="15">
        <f t="shared" si="550"/>
        <v>3.2386363636363638</v>
      </c>
      <c r="M159" s="15">
        <f t="shared" si="550"/>
        <v>3.9733333333333332</v>
      </c>
      <c r="N159" s="15">
        <f t="shared" si="550"/>
        <v>3.8113207547169812</v>
      </c>
      <c r="O159" s="15">
        <f t="shared" si="550"/>
        <v>10.772727272727273</v>
      </c>
      <c r="P159" s="15">
        <f t="shared" si="550"/>
        <v>16.8</v>
      </c>
      <c r="Q159" s="15">
        <f t="shared" si="550"/>
        <v>10.653846153846153</v>
      </c>
      <c r="R159" s="15">
        <f t="shared" si="550"/>
        <v>4.9056603773584904</v>
      </c>
      <c r="S159" s="15">
        <f t="shared" si="550"/>
        <v>2.5257731958762886</v>
      </c>
      <c r="T159" s="15">
        <f t="shared" si="550"/>
        <v>1.4329268292682926</v>
      </c>
      <c r="U159" s="15">
        <f t="shared" ref="U159" si="551">U10/U7</f>
        <v>1.4329268292682926</v>
      </c>
      <c r="V159" s="101">
        <f t="shared" si="459"/>
        <v>1.4435658661829276E-2</v>
      </c>
      <c r="W159" s="110"/>
      <c r="X159" s="15">
        <f t="shared" ref="X159:AG159" si="552">X10/X7</f>
        <v>1.4329268292682926</v>
      </c>
      <c r="Y159" s="15">
        <f t="shared" si="552"/>
        <v>1.4329268292682928</v>
      </c>
      <c r="Z159" s="15">
        <f t="shared" si="552"/>
        <v>1.4329268292682928</v>
      </c>
      <c r="AA159" s="15">
        <f t="shared" si="552"/>
        <v>1.4329268292682928</v>
      </c>
      <c r="AB159" s="15">
        <f t="shared" si="552"/>
        <v>1.4329268292682928</v>
      </c>
      <c r="AC159" s="15">
        <f t="shared" si="552"/>
        <v>1.4329268292682926</v>
      </c>
      <c r="AD159" s="15">
        <f t="shared" si="552"/>
        <v>1.4329268292682926</v>
      </c>
      <c r="AE159" s="15">
        <f t="shared" si="552"/>
        <v>1.4329268292682926</v>
      </c>
      <c r="AF159" s="15">
        <f t="shared" si="552"/>
        <v>1.4329268292682926</v>
      </c>
      <c r="AG159" s="15">
        <f t="shared" si="552"/>
        <v>1.4329268292682926</v>
      </c>
      <c r="AH159" s="101">
        <f t="shared" si="542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553">G10/(G10+G7)</f>
        <v>0.53968253968253965</v>
      </c>
      <c r="H160" s="15">
        <f t="shared" ref="H160:I160" si="554">H10/(H10+H7)</f>
        <v>0.53020134228187921</v>
      </c>
      <c r="I160" s="15">
        <f t="shared" si="554"/>
        <v>0.54117647058823526</v>
      </c>
      <c r="J160" s="15">
        <f t="shared" ref="J160:T160" si="555">J10/(J10+J7)</f>
        <v>0.69117647058823528</v>
      </c>
      <c r="K160" s="15">
        <f t="shared" si="555"/>
        <v>0.73493975903614461</v>
      </c>
      <c r="L160" s="15">
        <f t="shared" si="555"/>
        <v>0.76407506702412864</v>
      </c>
      <c r="M160" s="15">
        <f t="shared" si="555"/>
        <v>0.79892761394101874</v>
      </c>
      <c r="N160" s="15">
        <f t="shared" si="555"/>
        <v>0.792156862745098</v>
      </c>
      <c r="O160" s="15">
        <f t="shared" si="555"/>
        <v>0.91505791505791501</v>
      </c>
      <c r="P160" s="15">
        <f t="shared" si="555"/>
        <v>0.9438202247191011</v>
      </c>
      <c r="Q160" s="15">
        <f t="shared" si="555"/>
        <v>0.91419141914191415</v>
      </c>
      <c r="R160" s="15">
        <f t="shared" si="555"/>
        <v>0.83067092651757191</v>
      </c>
      <c r="S160" s="15">
        <f t="shared" si="555"/>
        <v>0.716374269005848</v>
      </c>
      <c r="T160" s="15">
        <f t="shared" si="555"/>
        <v>0.58897243107769426</v>
      </c>
      <c r="U160" s="15">
        <f t="shared" ref="U160" si="556">U10/(U10+U7)</f>
        <v>0.58897243107769426</v>
      </c>
      <c r="V160" s="101">
        <f t="shared" si="459"/>
        <v>6.2622621308920934E-3</v>
      </c>
      <c r="W160" s="110"/>
      <c r="X160" s="15">
        <f t="shared" ref="X160:AG160" si="557">X10/(X10+X7)</f>
        <v>0.58897243107769426</v>
      </c>
      <c r="Y160" s="15">
        <f t="shared" si="557"/>
        <v>0.58897243107769426</v>
      </c>
      <c r="Z160" s="15">
        <f t="shared" si="557"/>
        <v>0.58897243107769426</v>
      </c>
      <c r="AA160" s="15">
        <f t="shared" si="557"/>
        <v>0.58897243107769426</v>
      </c>
      <c r="AB160" s="15">
        <f t="shared" si="557"/>
        <v>0.58897243107769426</v>
      </c>
      <c r="AC160" s="15">
        <f t="shared" si="557"/>
        <v>0.58897243107769426</v>
      </c>
      <c r="AD160" s="15">
        <f t="shared" si="557"/>
        <v>0.58897243107769426</v>
      </c>
      <c r="AE160" s="15">
        <f t="shared" si="557"/>
        <v>0.58897243107769426</v>
      </c>
      <c r="AF160" s="15">
        <f t="shared" si="557"/>
        <v>0.58897243107769415</v>
      </c>
      <c r="AG160" s="15">
        <f t="shared" si="557"/>
        <v>0.58897243107769426</v>
      </c>
      <c r="AH160" s="101">
        <f t="shared" si="542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2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558">G16</f>
        <v>54</v>
      </c>
      <c r="H162" s="15">
        <f t="shared" ref="H162:I162" si="559">H16</f>
        <v>62</v>
      </c>
      <c r="I162" s="15">
        <f t="shared" si="559"/>
        <v>78</v>
      </c>
      <c r="J162" s="15">
        <f t="shared" ref="J162:T162" si="560">J16</f>
        <v>150</v>
      </c>
      <c r="K162" s="15">
        <f t="shared" si="560"/>
        <v>84</v>
      </c>
      <c r="L162" s="15">
        <f t="shared" si="560"/>
        <v>52</v>
      </c>
      <c r="M162" s="15">
        <f t="shared" si="560"/>
        <v>43</v>
      </c>
      <c r="N162" s="15">
        <f t="shared" si="560"/>
        <v>-58</v>
      </c>
      <c r="O162" s="15">
        <f t="shared" si="560"/>
        <v>-39</v>
      </c>
      <c r="P162" s="15">
        <f t="shared" si="560"/>
        <v>-15</v>
      </c>
      <c r="Q162" s="15">
        <f t="shared" si="560"/>
        <v>41</v>
      </c>
      <c r="R162" s="15">
        <f t="shared" si="560"/>
        <v>67</v>
      </c>
      <c r="S162" s="15">
        <f t="shared" si="560"/>
        <v>82</v>
      </c>
      <c r="T162" s="15">
        <f t="shared" si="560"/>
        <v>129</v>
      </c>
      <c r="U162" s="15">
        <f t="shared" ref="U162" si="561">U16</f>
        <v>129</v>
      </c>
      <c r="V162" s="101">
        <f t="shared" si="459"/>
        <v>6.4177314027223709E-2</v>
      </c>
      <c r="W162" s="110"/>
      <c r="X162" s="15">
        <f t="shared" ref="X162:AG162" si="562">X16</f>
        <v>139.32000000000002</v>
      </c>
      <c r="Y162" s="15">
        <f t="shared" si="562"/>
        <v>150.46560000000002</v>
      </c>
      <c r="Z162" s="15">
        <f t="shared" si="562"/>
        <v>162.50284800000003</v>
      </c>
      <c r="AA162" s="15">
        <f t="shared" si="562"/>
        <v>175.50307584000004</v>
      </c>
      <c r="AB162" s="15">
        <f t="shared" si="562"/>
        <v>189.54332190720004</v>
      </c>
      <c r="AC162" s="15">
        <f t="shared" si="562"/>
        <v>204.70678765977607</v>
      </c>
      <c r="AD162" s="15">
        <f t="shared" si="562"/>
        <v>221.08333067255816</v>
      </c>
      <c r="AE162" s="15">
        <f t="shared" si="562"/>
        <v>238.76999712636282</v>
      </c>
      <c r="AF162" s="15">
        <f t="shared" si="562"/>
        <v>257.87159689647189</v>
      </c>
      <c r="AG162" s="15">
        <f t="shared" si="562"/>
        <v>278.50132464818967</v>
      </c>
      <c r="AH162" s="101">
        <f t="shared" si="542"/>
        <v>5.0719276637903876E-2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563">G162*365/G25</f>
        <v>175.98214285714286</v>
      </c>
      <c r="H163" s="102">
        <f t="shared" ref="H163:I163" si="564">H162*365/H25</f>
        <v>161.64285714285714</v>
      </c>
      <c r="I163" s="102">
        <f t="shared" si="564"/>
        <v>177.9375</v>
      </c>
      <c r="J163" s="102">
        <f t="shared" ref="J163:T163" si="565">J162*365/J25</f>
        <v>318.31395348837208</v>
      </c>
      <c r="K163" s="102">
        <f t="shared" si="565"/>
        <v>189.25925925925927</v>
      </c>
      <c r="L163" s="102">
        <f t="shared" si="565"/>
        <v>134.60992907801418</v>
      </c>
      <c r="M163" s="102">
        <f t="shared" si="565"/>
        <v>112.10714285714286</v>
      </c>
      <c r="N163" s="102">
        <f t="shared" si="565"/>
        <v>-117.61111111111111</v>
      </c>
      <c r="O163" s="102">
        <f t="shared" si="565"/>
        <v>-73.756476683937819</v>
      </c>
      <c r="P163" s="102">
        <f t="shared" si="565"/>
        <v>-24.118942731277532</v>
      </c>
      <c r="Q163" s="102">
        <f t="shared" si="565"/>
        <v>60.587044534412954</v>
      </c>
      <c r="R163" s="102">
        <f t="shared" si="565"/>
        <v>73</v>
      </c>
      <c r="S163" s="102">
        <f t="shared" si="565"/>
        <v>77.942708333333329</v>
      </c>
      <c r="T163" s="102">
        <f t="shared" si="565"/>
        <v>118.30402010050251</v>
      </c>
      <c r="U163" s="102">
        <f t="shared" ref="U163" si="566">U162*365/U25</f>
        <v>140.97305389221557</v>
      </c>
      <c r="V163" s="101">
        <f t="shared" si="459"/>
        <v>-1.571898689543505E-2</v>
      </c>
      <c r="W163" s="110"/>
      <c r="X163" s="102">
        <f t="shared" ref="X163:AG163" si="567">X162*365/X25</f>
        <v>140.97305389221557</v>
      </c>
      <c r="Y163" s="102">
        <f t="shared" si="567"/>
        <v>140.97305389221557</v>
      </c>
      <c r="Z163" s="102">
        <f t="shared" si="567"/>
        <v>140.97305389221557</v>
      </c>
      <c r="AA163" s="102">
        <f t="shared" si="567"/>
        <v>140.97305389221555</v>
      </c>
      <c r="AB163" s="102">
        <f t="shared" si="567"/>
        <v>140.97305389221555</v>
      </c>
      <c r="AC163" s="102">
        <f t="shared" si="567"/>
        <v>140.97305389221555</v>
      </c>
      <c r="AD163" s="102">
        <f t="shared" si="567"/>
        <v>140.97305389221552</v>
      </c>
      <c r="AE163" s="102">
        <f t="shared" si="567"/>
        <v>140.97305389221555</v>
      </c>
      <c r="AF163" s="102">
        <f t="shared" si="567"/>
        <v>140.97305389221555</v>
      </c>
      <c r="AG163" s="102">
        <f t="shared" si="567"/>
        <v>140.97305389221555</v>
      </c>
      <c r="AH163" s="101">
        <f t="shared" si="542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568">G98/G29</f>
        <v>10.080645161290322</v>
      </c>
      <c r="H164" s="112">
        <f t="shared" ref="H164:I164" si="569">H98/H29</f>
        <v>7.258064516129032</v>
      </c>
      <c r="I164" s="112">
        <f t="shared" si="569"/>
        <v>5.2995391705069119</v>
      </c>
      <c r="J164" s="112">
        <f t="shared" ref="J164:T164" si="570">J98/J29</f>
        <v>5.9907834101382491</v>
      </c>
      <c r="K164" s="112">
        <f t="shared" si="570"/>
        <v>4.301075268817204</v>
      </c>
      <c r="L164" s="112">
        <f t="shared" si="570"/>
        <v>1.5120967741935485</v>
      </c>
      <c r="M164" s="112">
        <f t="shared" si="570"/>
        <v>1.6129032258064515</v>
      </c>
      <c r="N164" s="112">
        <f t="shared" si="570"/>
        <v>1.6129032258064515</v>
      </c>
      <c r="O164" s="112">
        <f t="shared" si="570"/>
        <v>1.6129032258064517</v>
      </c>
      <c r="P164" s="112">
        <f t="shared" si="570"/>
        <v>1.6603415559772297</v>
      </c>
      <c r="Q164" s="112">
        <f t="shared" si="570"/>
        <v>2.318548387096774</v>
      </c>
      <c r="R164" s="112">
        <f t="shared" si="570"/>
        <v>4.183467741935484</v>
      </c>
      <c r="S164" s="112">
        <f t="shared" si="570"/>
        <v>5.797733217088056</v>
      </c>
      <c r="T164" s="112">
        <f t="shared" si="570"/>
        <v>6.4516129032258069</v>
      </c>
      <c r="U164" s="112">
        <f t="shared" ref="U164" si="571">U98/U29</f>
        <v>1.396825396825397</v>
      </c>
      <c r="V164" s="101">
        <f t="shared" si="459"/>
        <v>-0.1316605007416205</v>
      </c>
      <c r="W164" s="110"/>
      <c r="X164" s="112">
        <f t="shared" ref="X164:AG164" si="572">X98/X29</f>
        <v>1.3694366635543105</v>
      </c>
      <c r="Y164" s="112">
        <f t="shared" si="572"/>
        <v>1.3425849642689318</v>
      </c>
      <c r="Z164" s="112">
        <f t="shared" si="572"/>
        <v>1.3162597688911097</v>
      </c>
      <c r="AA164" s="112">
        <f t="shared" si="572"/>
        <v>1.2904507538148133</v>
      </c>
      <c r="AB164" s="112">
        <f t="shared" si="572"/>
        <v>1.2651477978576602</v>
      </c>
      <c r="AC164" s="112">
        <f t="shared" si="572"/>
        <v>1.2403409782918235</v>
      </c>
      <c r="AD164" s="112">
        <f t="shared" si="572"/>
        <v>1.2160205669527682</v>
      </c>
      <c r="AE164" s="112">
        <f t="shared" si="572"/>
        <v>1.1921770264242824</v>
      </c>
      <c r="AF164" s="112">
        <f t="shared" si="572"/>
        <v>1.1688010062983161</v>
      </c>
      <c r="AG164" s="112">
        <f t="shared" si="572"/>
        <v>1.1458833395081531</v>
      </c>
      <c r="AH164" s="101">
        <f t="shared" si="542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2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6"/>
      <c r="G166" s="156">
        <f t="shared" ref="G166" si="573">G25/G14</f>
        <v>12.444444444444445</v>
      </c>
      <c r="H166" s="156">
        <f t="shared" ref="H166:I166" si="574">H25/H14</f>
        <v>6.0869565217391308</v>
      </c>
      <c r="I166" s="156">
        <f t="shared" si="574"/>
        <v>5.7142857142857144</v>
      </c>
      <c r="J166" s="156">
        <f t="shared" ref="J166:T166" si="575">J25/J14</f>
        <v>1.9111111111111112</v>
      </c>
      <c r="K166" s="156">
        <f t="shared" si="575"/>
        <v>0.89010989010989006</v>
      </c>
      <c r="L166" s="156">
        <f t="shared" si="575"/>
        <v>0.5826446280991735</v>
      </c>
      <c r="M166" s="156">
        <f t="shared" si="575"/>
        <v>2.978723404255319</v>
      </c>
      <c r="N166" s="156">
        <f t="shared" si="575"/>
        <v>2.8571428571428572</v>
      </c>
      <c r="O166" s="156">
        <f t="shared" si="575"/>
        <v>2.8805970149253732</v>
      </c>
      <c r="P166" s="156">
        <f t="shared" si="575"/>
        <v>3.3382352941176472</v>
      </c>
      <c r="Q166" s="156">
        <f t="shared" si="575"/>
        <v>3.0874999999999999</v>
      </c>
      <c r="R166" s="156">
        <f t="shared" si="575"/>
        <v>4.3506493506493502</v>
      </c>
      <c r="S166" s="156">
        <f t="shared" si="575"/>
        <v>4.3146067415730336</v>
      </c>
      <c r="T166" s="156">
        <f t="shared" si="575"/>
        <v>4.0612244897959187</v>
      </c>
      <c r="U166" s="156">
        <f t="shared" ref="U166" si="576">U25/U14</f>
        <v>3.4081632653061225</v>
      </c>
      <c r="V166" s="101">
        <f t="shared" si="459"/>
        <v>-8.8357351561268449E-2</v>
      </c>
      <c r="W166" s="110"/>
      <c r="X166" s="10">
        <f t="shared" ref="X166:AG166" si="577">X25/X14</f>
        <v>3.4081632653061225</v>
      </c>
      <c r="Y166" s="10">
        <f t="shared" si="577"/>
        <v>3.4081632653061229</v>
      </c>
      <c r="Z166" s="10">
        <f t="shared" si="577"/>
        <v>3.4081632653061229</v>
      </c>
      <c r="AA166" s="10">
        <f t="shared" si="577"/>
        <v>3.4081632653061225</v>
      </c>
      <c r="AB166" s="10">
        <f t="shared" si="577"/>
        <v>3.408163265306122</v>
      </c>
      <c r="AC166" s="10">
        <f t="shared" si="577"/>
        <v>3.408163265306122</v>
      </c>
      <c r="AD166" s="10">
        <f t="shared" si="577"/>
        <v>3.4081632653061225</v>
      </c>
      <c r="AE166" s="10">
        <f t="shared" si="577"/>
        <v>3.408163265306122</v>
      </c>
      <c r="AF166" s="10">
        <f t="shared" si="577"/>
        <v>3.408163265306122</v>
      </c>
      <c r="AG166" s="10">
        <f t="shared" si="577"/>
        <v>3.4081632653061225</v>
      </c>
      <c r="AH166" s="101">
        <f t="shared" si="542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6"/>
      <c r="G167" s="156">
        <f t="shared" ref="G167" si="578">G27/G14</f>
        <v>9.6666666666666661</v>
      </c>
      <c r="H167" s="156">
        <f t="shared" ref="H167:I167" si="579">H27/H14</f>
        <v>4.9130434782608692</v>
      </c>
      <c r="I167" s="156">
        <f t="shared" si="579"/>
        <v>4.8214285714285712</v>
      </c>
      <c r="J167" s="156">
        <f t="shared" ref="J167:T167" si="580">J27/J14</f>
        <v>1.6111111111111112</v>
      </c>
      <c r="K167" s="156">
        <f t="shared" si="580"/>
        <v>0.75274725274725274</v>
      </c>
      <c r="L167" s="156">
        <f t="shared" si="580"/>
        <v>0.50413223140495866</v>
      </c>
      <c r="M167" s="156">
        <f t="shared" si="580"/>
        <v>2.6170212765957448</v>
      </c>
      <c r="N167" s="156">
        <f t="shared" si="580"/>
        <v>2.4285714285714284</v>
      </c>
      <c r="O167" s="156">
        <f t="shared" si="580"/>
        <v>2.4179104477611939</v>
      </c>
      <c r="P167" s="156">
        <f t="shared" si="580"/>
        <v>2.5735294117647061</v>
      </c>
      <c r="Q167" s="156">
        <f t="shared" si="580"/>
        <v>2.4</v>
      </c>
      <c r="R167" s="156">
        <f t="shared" si="580"/>
        <v>3.0649350649350651</v>
      </c>
      <c r="S167" s="156">
        <f t="shared" si="580"/>
        <v>2.9550561797752808</v>
      </c>
      <c r="T167" s="156">
        <f t="shared" si="580"/>
        <v>2.6122448979591835</v>
      </c>
      <c r="U167" s="156">
        <f t="shared" ref="U167" si="581">U27/U14</f>
        <v>1.346938775510204</v>
      </c>
      <c r="V167" s="101">
        <f t="shared" si="459"/>
        <v>-0.13131520021672649</v>
      </c>
      <c r="W167" s="110"/>
      <c r="X167" s="10">
        <f t="shared" ref="X167:AG167" si="582">X27/X14</f>
        <v>1.346938775510204</v>
      </c>
      <c r="Y167" s="10">
        <f t="shared" si="582"/>
        <v>1.3469387755102042</v>
      </c>
      <c r="Z167" s="10">
        <f t="shared" si="582"/>
        <v>1.3469387755102042</v>
      </c>
      <c r="AA167" s="10">
        <f t="shared" si="582"/>
        <v>1.346938775510204</v>
      </c>
      <c r="AB167" s="10">
        <f t="shared" si="582"/>
        <v>1.346938775510204</v>
      </c>
      <c r="AC167" s="10">
        <f t="shared" si="582"/>
        <v>1.346938775510204</v>
      </c>
      <c r="AD167" s="10">
        <f t="shared" si="582"/>
        <v>1.3469387755102038</v>
      </c>
      <c r="AE167" s="10">
        <f t="shared" si="582"/>
        <v>1.3469387755102038</v>
      </c>
      <c r="AF167" s="10">
        <f t="shared" si="582"/>
        <v>1.3469387755102038</v>
      </c>
      <c r="AG167" s="10">
        <f t="shared" si="582"/>
        <v>1.346938775510204</v>
      </c>
      <c r="AH167" s="101">
        <f t="shared" si="542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512</v>
      </c>
      <c r="T169" s="13" t="s">
        <v>413</v>
      </c>
      <c r="U169" s="13" t="s">
        <v>413</v>
      </c>
      <c r="V169" s="13" t="s">
        <v>513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2">
        <f>AVERAGE(G102:T102)</f>
        <v>16.855990783410139</v>
      </c>
      <c r="T170" s="112">
        <f>AVERAGE(Q102:U102)</f>
        <v>67.741935483870961</v>
      </c>
      <c r="U170" s="112">
        <f>AVERAGE(Q72:U72)</f>
        <v>55.531797235023042</v>
      </c>
      <c r="V170" s="112">
        <f>AVERAGE(L72:U72)</f>
        <v>16.20299539170507</v>
      </c>
      <c r="W170" s="10"/>
      <c r="X170" s="170" t="s">
        <v>374</v>
      </c>
      <c r="Y170" s="171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134.30228544831201</v>
      </c>
      <c r="X171" s="112">
        <f>PV($C$1, ($AG$3-$X$3), 0, -AG72)</f>
        <v>8.3938928405194986</v>
      </c>
      <c r="Y171" s="112">
        <f>PV($C$1, ($AG$3-$X$3), 0, -AJ72)</f>
        <v>125.90839260779251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83">X172+Y172</f>
        <v>478.81684377224275</v>
      </c>
      <c r="X172" s="112">
        <f>PV($C$1, ($AG$3-$X$3), 0, -AG74)</f>
        <v>29.926052735765168</v>
      </c>
      <c r="Y172" s="112">
        <f>PV($C$1, ($AG$3-$X$3), 0, -AJ74)</f>
        <v>448.89079103647759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83"/>
        <v>461.29915436594126</v>
      </c>
      <c r="X173" s="112">
        <f>PV($C$1, ($AG$3-$X$3), 0, -AG75)</f>
        <v>28.831197147871322</v>
      </c>
      <c r="Y173" s="112">
        <f>PV($C$1, ($AG$3-$X$3), 0, -AJ75)</f>
        <v>432.46795721806996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83"/>
        <v>686.10950174681113</v>
      </c>
      <c r="X174" s="112">
        <f>PV($C$1, ($AG$3-$X$3), 0, -AG76)</f>
        <v>42.881843859175696</v>
      </c>
      <c r="Y174" s="112">
        <f>PV($C$1, ($AG$3-$X$3), 0, -AJ76)</f>
        <v>643.22765788763547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83"/>
        <v>78.829602328357026</v>
      </c>
      <c r="X175" s="112">
        <f>PV($C$1, ($AG$3-$X$3), 0, -AG82)</f>
        <v>4.9268501455223142</v>
      </c>
      <c r="Y175" s="112">
        <f>PV($C$1, ($AG$3-$X$3), 0, -AJ82)</f>
        <v>73.902752182834718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83"/>
        <v>-207.29265797456844</v>
      </c>
      <c r="X177" s="112">
        <f>PV($C$1, ($AG$3-$X$3), 0, -AG78)</f>
        <v>-12.955791123410526</v>
      </c>
      <c r="Y177" s="112">
        <f>PV($C$1, ($AG$3-$X$3), 0, -$AJ$78)</f>
        <v>-194.33686685115791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83"/>
        <v>-493.414918277494</v>
      </c>
      <c r="X178" s="112">
        <f>PV($C$1, ($AG$3-$X$3), 0, -AG79)</f>
        <v>-30.838432392343375</v>
      </c>
      <c r="Y178" s="112">
        <f>PV($C$1, ($AG$3-$X$3), 0, -$AJ$79)</f>
        <v>-462.57648588515065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83"/>
        <v>64.23152782310575</v>
      </c>
      <c r="X179" s="112">
        <f>PV($C$1, ($AG$3-$X$3), 0, -AG80)</f>
        <v>4.0144704889441094</v>
      </c>
      <c r="Y179" s="112">
        <f>PV($C$1, ($AG$3-$X$3), 0, -$AJ$80)</f>
        <v>60.217057334161645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83"/>
        <v>557.64644610059975</v>
      </c>
      <c r="X181" s="112">
        <f>PV($C$1, ($AG$3-$X$3), 0, -AG85)</f>
        <v>34.852902881287484</v>
      </c>
      <c r="Y181" s="112">
        <f>PV($C$1, ($AG$3-$X$3), 0, -AJ85)</f>
        <v>522.79354321931226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83"/>
        <v>219.70102130403214</v>
      </c>
      <c r="X182" s="112">
        <f>PV($C$1, ($AG$3-$X$3), 0, -AG86)</f>
        <v>23.539395139717726</v>
      </c>
      <c r="Y182" s="112">
        <f>PV($C$1, ($AG$3-$X$3), 0, -AJ86)</f>
        <v>196.16162616431441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84">X184+Y184</f>
        <v>336.32495879035542</v>
      </c>
      <c r="X184" s="112">
        <f>PV($C$1, ($AG$3-$X$3), 0, -AG12)</f>
        <v>21.02030992439721</v>
      </c>
      <c r="Y184" s="112">
        <f>PV($C$1, ($AG$3-$X$3), 0, -AJ12)</f>
        <v>315.3046488659582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542.45961095218615</v>
      </c>
      <c r="X185" s="118">
        <f>X184/S57</f>
        <v>33.903725684511627</v>
      </c>
      <c r="Y185" s="118">
        <f>Y184/S57</f>
        <v>508.55588526767451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85">X188+Y188</f>
        <v>8.5846951849574999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4.6284607107370608</v>
      </c>
      <c r="Y188" s="112">
        <f>PV($C$1, ($AG$3-$X$3), 0, -AJ88)</f>
        <v>3.9562344742204396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83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86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86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86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86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587">X193+X194+X195</f>
        <v>0</v>
      </c>
      <c r="Y196" s="95">
        <f t="shared" si="587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9">
        <v>41729</v>
      </c>
      <c r="U199" s="10">
        <v>178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7"/>
      <c r="G200" s="177"/>
      <c r="H200" s="172">
        <v>0</v>
      </c>
      <c r="I200" s="172">
        <v>0</v>
      </c>
      <c r="J200" s="172">
        <v>0</v>
      </c>
      <c r="K200" s="172">
        <v>0</v>
      </c>
      <c r="L200" s="172">
        <v>0</v>
      </c>
      <c r="M200" s="172">
        <v>0</v>
      </c>
      <c r="N200" s="172">
        <v>0</v>
      </c>
      <c r="O200" s="172">
        <v>0</v>
      </c>
      <c r="P200" s="172">
        <v>0</v>
      </c>
      <c r="Q200" s="172">
        <v>0</v>
      </c>
      <c r="R200" s="172">
        <v>0</v>
      </c>
      <c r="S200" s="172">
        <v>0</v>
      </c>
      <c r="T200" s="13" t="s">
        <v>335</v>
      </c>
      <c r="U200" s="10">
        <v>159</v>
      </c>
      <c r="V200" s="10">
        <v>100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f>H201</f>
        <v>235</v>
      </c>
      <c r="G201" s="12">
        <f>I201</f>
        <v>235</v>
      </c>
      <c r="H201" s="12">
        <f>I201</f>
        <v>235</v>
      </c>
      <c r="I201" s="12">
        <f>47*5</f>
        <v>235</v>
      </c>
      <c r="J201" s="12">
        <f>42*5</f>
        <v>210</v>
      </c>
      <c r="K201" s="12">
        <f>22*5</f>
        <v>110</v>
      </c>
      <c r="L201" s="12">
        <f>5.3*5</f>
        <v>26.5</v>
      </c>
      <c r="M201" s="12">
        <f>17*5</f>
        <v>85</v>
      </c>
      <c r="N201" s="12">
        <f>19*5</f>
        <v>95</v>
      </c>
      <c r="O201" s="12">
        <f>22*5</f>
        <v>110</v>
      </c>
      <c r="P201" s="12">
        <f>15*5</f>
        <v>75</v>
      </c>
      <c r="Q201" s="12">
        <f>25*5</f>
        <v>125</v>
      </c>
      <c r="R201" s="12">
        <f>138*5</f>
        <v>690</v>
      </c>
      <c r="S201" s="12">
        <f>155*5</f>
        <v>775</v>
      </c>
      <c r="T201" s="12">
        <v>1044</v>
      </c>
      <c r="U201" s="12">
        <v>100</v>
      </c>
      <c r="V201" s="101">
        <f t="shared" ref="V201:V232" si="588">((U201/G201)^(1/($K$2-$K$1) ))-1</f>
        <v>-5.9204670551516014E-2</v>
      </c>
      <c r="W201" s="21">
        <v>0</v>
      </c>
      <c r="X201" s="173">
        <v>130</v>
      </c>
      <c r="Y201" s="102">
        <f t="shared" ref="Y201:AG201" si="589">X201*(1+$W201)</f>
        <v>130</v>
      </c>
      <c r="Z201" s="102">
        <f t="shared" si="589"/>
        <v>130</v>
      </c>
      <c r="AA201" s="102">
        <f t="shared" si="589"/>
        <v>130</v>
      </c>
      <c r="AB201" s="102">
        <f t="shared" si="589"/>
        <v>130</v>
      </c>
      <c r="AC201" s="102">
        <f t="shared" si="589"/>
        <v>130</v>
      </c>
      <c r="AD201" s="102">
        <f t="shared" si="589"/>
        <v>130</v>
      </c>
      <c r="AE201" s="102">
        <f t="shared" si="589"/>
        <v>130</v>
      </c>
      <c r="AF201" s="102">
        <f t="shared" si="589"/>
        <v>130</v>
      </c>
      <c r="AG201" s="102">
        <f t="shared" si="589"/>
        <v>130</v>
      </c>
      <c r="AH201" s="116">
        <f t="shared" ref="AH201:AH208" si="590">((AG201/J201)^(1/($AG$3-$K$1) ))-1</f>
        <v>-2.0635124352097467E-2</v>
      </c>
      <c r="AI201" s="21">
        <f t="shared" ref="AI201:AI208" si="591">$O$1</f>
        <v>0.05</v>
      </c>
      <c r="AJ201" s="109">
        <f t="shared" ref="AJ201:AJ212" si="592">(AG201*(1+AH201))/($C$1-AI201)</f>
        <v>1818.820483346105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593">G201/G66</f>
        <v>1.3008928571428571</v>
      </c>
      <c r="H202" s="15">
        <f t="shared" ref="H202:I202" si="594">H201/H66</f>
        <v>1.0407142857142857</v>
      </c>
      <c r="I202" s="15">
        <f t="shared" si="594"/>
        <v>0.91062500000000002</v>
      </c>
      <c r="J202" s="15">
        <f t="shared" ref="J202:T202" si="595">J201/J66</f>
        <v>0.75697674418604644</v>
      </c>
      <c r="K202" s="15">
        <f t="shared" si="595"/>
        <v>0.42098765432098761</v>
      </c>
      <c r="L202" s="15">
        <f t="shared" si="595"/>
        <v>0.11652482269503547</v>
      </c>
      <c r="M202" s="15">
        <f t="shared" si="595"/>
        <v>0.37642857142857145</v>
      </c>
      <c r="N202" s="15">
        <f t="shared" si="595"/>
        <v>0.32722222222222225</v>
      </c>
      <c r="O202" s="15">
        <f t="shared" si="595"/>
        <v>0.35336787564766836</v>
      </c>
      <c r="P202" s="15">
        <f t="shared" si="595"/>
        <v>0.20484581497797358</v>
      </c>
      <c r="Q202" s="15">
        <f t="shared" si="595"/>
        <v>0.31376518218623484</v>
      </c>
      <c r="R202" s="15">
        <f t="shared" si="595"/>
        <v>1.2770149253731342</v>
      </c>
      <c r="S202" s="15">
        <f t="shared" si="595"/>
        <v>1.2513020833333333</v>
      </c>
      <c r="T202" s="15">
        <f t="shared" si="595"/>
        <v>1.6263316582914571</v>
      </c>
      <c r="U202" s="15">
        <f t="shared" ref="U202" si="596">U201/U66</f>
        <v>1.0479041916167664</v>
      </c>
      <c r="V202" s="101">
        <f t="shared" si="588"/>
        <v>-1.5328354886480877E-2</v>
      </c>
      <c r="W202" s="110"/>
      <c r="X202" s="15">
        <f t="shared" ref="X202:AG202" si="597">X201/X66</f>
        <v>1.2865934797072522</v>
      </c>
      <c r="Y202" s="15">
        <f t="shared" si="597"/>
        <v>1.2151160641679604</v>
      </c>
      <c r="Z202" s="15">
        <f t="shared" si="597"/>
        <v>1.1476096161586289</v>
      </c>
      <c r="AA202" s="15">
        <f t="shared" si="597"/>
        <v>1.0838535263720386</v>
      </c>
      <c r="AB202" s="15">
        <f t="shared" si="597"/>
        <v>1.0236394415735921</v>
      </c>
      <c r="AC202" s="15">
        <f t="shared" si="597"/>
        <v>0.96677058370839231</v>
      </c>
      <c r="AD202" s="15">
        <f t="shared" si="597"/>
        <v>0.91306110683570374</v>
      </c>
      <c r="AE202" s="15">
        <f t="shared" si="597"/>
        <v>0.86233548978927588</v>
      </c>
      <c r="AF202" s="15">
        <f t="shared" si="597"/>
        <v>0.8144279625787606</v>
      </c>
      <c r="AG202" s="15">
        <f t="shared" si="597"/>
        <v>0.76918196465771815</v>
      </c>
      <c r="AH202" s="116">
        <f t="shared" ref="AH202" si="598">((AG202/J202)^(1/($AG$3-$K$1) ))-1</f>
        <v>6.956781594349426E-4</v>
      </c>
      <c r="AI202" s="21">
        <f t="shared" si="591"/>
        <v>0.05</v>
      </c>
      <c r="AJ202" s="109">
        <f t="shared" ref="AJ202" si="599">(AG202*(1+AH202))/($C$1-AI202)</f>
        <v>10.995958110730884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00">G201/G72</f>
        <v>9.7133333333333329</v>
      </c>
      <c r="H203" s="15">
        <f t="shared" ref="H203:I203" si="601">H201/H72</f>
        <v>10.407142857142857</v>
      </c>
      <c r="I203" s="15">
        <f t="shared" si="601"/>
        <v>13.245454545454546</v>
      </c>
      <c r="J203" s="15">
        <f t="shared" ref="J203:T203" si="602">J201/J72</f>
        <v>14.466666666666667</v>
      </c>
      <c r="K203" s="15">
        <f t="shared" si="602"/>
        <v>13.64</v>
      </c>
      <c r="L203" s="15">
        <f t="shared" si="602"/>
        <v>53</v>
      </c>
      <c r="M203" s="15">
        <f t="shared" si="602"/>
        <v>-3.7642857142857142</v>
      </c>
      <c r="N203" s="15">
        <f t="shared" si="602"/>
        <v>-2.8047619047619046</v>
      </c>
      <c r="O203" s="15">
        <f t="shared" si="602"/>
        <v>-2.2000000000000002</v>
      </c>
      <c r="P203" s="15">
        <f t="shared" si="602"/>
        <v>-7.75</v>
      </c>
      <c r="Q203" s="15">
        <f t="shared" si="602"/>
        <v>7.045454545454545</v>
      </c>
      <c r="R203" s="15">
        <f t="shared" si="602"/>
        <v>13.368749999999999</v>
      </c>
      <c r="S203" s="15">
        <f t="shared" si="602"/>
        <v>9.4215686274509789</v>
      </c>
      <c r="T203" s="15">
        <f t="shared" si="602"/>
        <v>9.2468571428571433</v>
      </c>
      <c r="U203" s="15">
        <f t="shared" ref="U203" si="603">U201/U72</f>
        <v>7.6086956521739131</v>
      </c>
      <c r="V203" s="101">
        <f t="shared" si="588"/>
        <v>-1.7292155461493319E-2</v>
      </c>
      <c r="W203" s="110"/>
      <c r="X203" s="102">
        <f t="shared" ref="X203:AG203" si="604">X201/X72</f>
        <v>9.3417874396135261</v>
      </c>
      <c r="Y203" s="102">
        <f t="shared" si="604"/>
        <v>8.8227992485238858</v>
      </c>
      <c r="Z203" s="102">
        <f t="shared" si="604"/>
        <v>8.3326437347170028</v>
      </c>
      <c r="AA203" s="102">
        <f t="shared" si="604"/>
        <v>7.869719082788281</v>
      </c>
      <c r="AB203" s="102">
        <f t="shared" si="604"/>
        <v>7.43251246707782</v>
      </c>
      <c r="AC203" s="102">
        <f t="shared" si="604"/>
        <v>7.0195951077957188</v>
      </c>
      <c r="AD203" s="102">
        <f t="shared" si="604"/>
        <v>6.6296176018070669</v>
      </c>
      <c r="AE203" s="102">
        <f t="shared" si="604"/>
        <v>6.2613055128177857</v>
      </c>
      <c r="AF203" s="102">
        <f t="shared" si="604"/>
        <v>5.9134552065501307</v>
      </c>
      <c r="AG203" s="102">
        <f t="shared" si="604"/>
        <v>5.5849299172973446</v>
      </c>
      <c r="AH203" s="116">
        <f t="shared" si="590"/>
        <v>-4.0537007079713527E-2</v>
      </c>
      <c r="AI203" s="21">
        <f t="shared" si="591"/>
        <v>0.05</v>
      </c>
      <c r="AJ203" s="109">
        <f t="shared" si="592"/>
        <v>76.550479624287973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05">G201/G70</f>
        <v>5.8280000000000003</v>
      </c>
      <c r="H204" s="15">
        <f t="shared" ref="H204:I204" si="606">H201/H70</f>
        <v>5.3962962962962964</v>
      </c>
      <c r="I204" s="15">
        <f t="shared" si="606"/>
        <v>6.3347826086956527</v>
      </c>
      <c r="J204" s="15">
        <f t="shared" ref="J204:T204" si="607">J201/J70</f>
        <v>5.0076923076923077</v>
      </c>
      <c r="K204" s="15">
        <f t="shared" si="607"/>
        <v>2.8416666666666668</v>
      </c>
      <c r="L204" s="15">
        <f t="shared" si="607"/>
        <v>1.0953333333333333</v>
      </c>
      <c r="M204" s="15">
        <f t="shared" si="607"/>
        <v>2.6350000000000002</v>
      </c>
      <c r="N204" s="15">
        <f t="shared" si="607"/>
        <v>2.3560000000000003</v>
      </c>
      <c r="O204" s="15">
        <f t="shared" si="607"/>
        <v>2.4357142857142855</v>
      </c>
      <c r="P204" s="15">
        <f t="shared" si="607"/>
        <v>1.3285714285714285</v>
      </c>
      <c r="Q204" s="15">
        <f t="shared" si="607"/>
        <v>1.6847826086956523</v>
      </c>
      <c r="R204" s="15">
        <f t="shared" si="607"/>
        <v>5.1542168674698789</v>
      </c>
      <c r="S204" s="15">
        <f t="shared" si="607"/>
        <v>3.6127819548872178</v>
      </c>
      <c r="T204" s="15">
        <f t="shared" si="607"/>
        <v>4.9036363636363633</v>
      </c>
      <c r="U204" s="15">
        <f t="shared" ref="U204" si="608">U201/U70</f>
        <v>2.6515151515151514</v>
      </c>
      <c r="V204" s="101">
        <f t="shared" si="588"/>
        <v>-5.4700099575512695E-2</v>
      </c>
      <c r="W204" s="110"/>
      <c r="X204" s="15">
        <f t="shared" ref="X204:AG204" si="609">X201/X70</f>
        <v>3.2554713804713806</v>
      </c>
      <c r="Y204" s="15">
        <f t="shared" si="609"/>
        <v>3.0746118593340812</v>
      </c>
      <c r="Z204" s="15">
        <f t="shared" si="609"/>
        <v>2.9038000893710763</v>
      </c>
      <c r="AA204" s="15">
        <f t="shared" si="609"/>
        <v>2.7424778621837946</v>
      </c>
      <c r="AB204" s="15">
        <f t="shared" si="609"/>
        <v>2.5901179809513613</v>
      </c>
      <c r="AC204" s="15">
        <f t="shared" si="609"/>
        <v>2.4462225375651747</v>
      </c>
      <c r="AD204" s="15">
        <f t="shared" si="609"/>
        <v>2.3103212854782202</v>
      </c>
      <c r="AE204" s="15">
        <f t="shared" si="609"/>
        <v>2.1819701029516527</v>
      </c>
      <c r="AF204" s="15">
        <f t="shared" si="609"/>
        <v>2.0607495416765609</v>
      </c>
      <c r="AG204" s="15">
        <f t="shared" si="609"/>
        <v>1.9462634560278627</v>
      </c>
      <c r="AH204" s="116">
        <f t="shared" ref="AH204:AH205" si="610">((AG204/J204)^(1/($AG$3-$K$1) ))-1</f>
        <v>-4.0256993483307135E-2</v>
      </c>
      <c r="AI204" s="21">
        <f t="shared" si="591"/>
        <v>0.05</v>
      </c>
      <c r="AJ204" s="109">
        <f t="shared" ref="AJ204:AJ205" si="611">(AG204*(1+AH204))/($C$1-AI204)</f>
        <v>26.684467725167863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12">G201/G71</f>
        <v>8.5705882352941174</v>
      </c>
      <c r="H205" s="15">
        <f t="shared" ref="H205:I205" si="613">H201/H71</f>
        <v>9.1062499999999993</v>
      </c>
      <c r="I205" s="15">
        <f t="shared" si="613"/>
        <v>12.141666666666666</v>
      </c>
      <c r="J205" s="15">
        <f t="shared" ref="J205:T205" si="614">J201/J71</f>
        <v>10.85</v>
      </c>
      <c r="K205" s="15">
        <f t="shared" si="614"/>
        <v>9.742857142857142</v>
      </c>
      <c r="L205" s="15">
        <f t="shared" si="614"/>
        <v>16.43</v>
      </c>
      <c r="M205" s="15">
        <f t="shared" si="614"/>
        <v>-4.0538461538461537</v>
      </c>
      <c r="N205" s="15">
        <f t="shared" si="614"/>
        <v>-2.6772727272727272</v>
      </c>
      <c r="O205" s="15">
        <f t="shared" si="614"/>
        <v>-2.273333333333333</v>
      </c>
      <c r="P205" s="15">
        <f t="shared" si="614"/>
        <v>-9.3000000000000007</v>
      </c>
      <c r="Q205" s="15">
        <f t="shared" si="614"/>
        <v>38.75</v>
      </c>
      <c r="R205" s="15">
        <f t="shared" si="614"/>
        <v>9.9488372093023258</v>
      </c>
      <c r="S205" s="15">
        <f t="shared" si="614"/>
        <v>7.2803030303030303</v>
      </c>
      <c r="T205" s="15">
        <f t="shared" si="614"/>
        <v>7.2728089887640444</v>
      </c>
      <c r="U205" s="15">
        <f t="shared" ref="U205" si="615">U201/U71</f>
        <v>6.3636363636363642</v>
      </c>
      <c r="V205" s="101">
        <f t="shared" si="588"/>
        <v>-2.1042340105131951E-2</v>
      </c>
      <c r="W205" s="110"/>
      <c r="X205" s="15">
        <f t="shared" ref="X205:AG206" si="616">X201/X71</f>
        <v>7.8131313131313123</v>
      </c>
      <c r="Y205" s="15">
        <f t="shared" si="616"/>
        <v>7.3790684624017953</v>
      </c>
      <c r="Z205" s="15">
        <f t="shared" si="616"/>
        <v>6.9691202144905837</v>
      </c>
      <c r="AA205" s="15">
        <f t="shared" si="616"/>
        <v>6.5819468692411069</v>
      </c>
      <c r="AB205" s="15">
        <f t="shared" si="616"/>
        <v>6.2162831542832668</v>
      </c>
      <c r="AC205" s="15">
        <f t="shared" si="616"/>
        <v>5.8709340901564184</v>
      </c>
      <c r="AD205" s="15">
        <f t="shared" si="616"/>
        <v>5.5447710851477288</v>
      </c>
      <c r="AE205" s="15">
        <f t="shared" si="616"/>
        <v>5.2367282470839651</v>
      </c>
      <c r="AF205" s="15">
        <f t="shared" si="616"/>
        <v>4.9457989000237461</v>
      </c>
      <c r="AG205" s="15">
        <f t="shared" si="616"/>
        <v>4.6710322944668707</v>
      </c>
      <c r="AH205" s="116">
        <f t="shared" si="610"/>
        <v>-3.5979602555185619E-2</v>
      </c>
      <c r="AI205" s="21">
        <f t="shared" si="591"/>
        <v>0.05</v>
      </c>
      <c r="AJ205" s="109">
        <f t="shared" si="611"/>
        <v>64.328148699850246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17">G201/G75</f>
        <v>2.8019230769230767</v>
      </c>
      <c r="H206" s="15">
        <f t="shared" ref="H206:I206" si="618">H201/H75</f>
        <v>2.3126984126984129</v>
      </c>
      <c r="I206" s="15">
        <f t="shared" si="618"/>
        <v>2.0236111111111112</v>
      </c>
      <c r="J206" s="15">
        <f t="shared" ref="J206:T206" si="619">J201/J75</f>
        <v>1.6692307692307691</v>
      </c>
      <c r="K206" s="15">
        <f t="shared" si="619"/>
        <v>0.8317073170731708</v>
      </c>
      <c r="L206" s="15">
        <f t="shared" si="619"/>
        <v>0.2003658536585366</v>
      </c>
      <c r="M206" s="15">
        <f t="shared" si="619"/>
        <v>0.77500000000000002</v>
      </c>
      <c r="N206" s="15">
        <f t="shared" si="619"/>
        <v>1.253191489361702</v>
      </c>
      <c r="O206" s="15">
        <f t="shared" si="619"/>
        <v>4.2624999999999993</v>
      </c>
      <c r="P206" s="15">
        <f t="shared" si="619"/>
        <v>5.166666666666667</v>
      </c>
      <c r="Q206" s="15">
        <f t="shared" si="619"/>
        <v>3.875</v>
      </c>
      <c r="R206" s="15">
        <f t="shared" si="619"/>
        <v>9.1021276595744673</v>
      </c>
      <c r="S206" s="15">
        <f t="shared" si="619"/>
        <v>5.3388888888888895</v>
      </c>
      <c r="T206" s="15">
        <f t="shared" si="619"/>
        <v>4.0967088607594935</v>
      </c>
      <c r="U206" s="15">
        <f t="shared" ref="U206" si="620">U201/U75</f>
        <v>2.2151898734177213</v>
      </c>
      <c r="V206" s="101">
        <f t="shared" si="588"/>
        <v>-1.66433625658855E-2</v>
      </c>
      <c r="W206" s="110"/>
      <c r="X206" s="15">
        <f t="shared" si="616"/>
        <v>9.2454483143214375E-2</v>
      </c>
      <c r="Y206" s="102">
        <f t="shared" ref="X206:AG206" si="621">Y201/Y75</f>
        <v>2.5686630723550552</v>
      </c>
      <c r="Z206" s="102">
        <f t="shared" si="621"/>
        <v>2.4259595683353297</v>
      </c>
      <c r="AA206" s="102">
        <f t="shared" si="621"/>
        <v>2.2911840367611447</v>
      </c>
      <c r="AB206" s="102">
        <f t="shared" si="621"/>
        <v>2.1638960347188592</v>
      </c>
      <c r="AC206" s="102">
        <f t="shared" si="621"/>
        <v>2.0436795883455887</v>
      </c>
      <c r="AD206" s="102">
        <f t="shared" si="621"/>
        <v>1.9301418334375007</v>
      </c>
      <c r="AE206" s="102">
        <f t="shared" si="621"/>
        <v>1.8229117315798613</v>
      </c>
      <c r="AF206" s="102">
        <f t="shared" si="621"/>
        <v>1.7216388576032025</v>
      </c>
      <c r="AG206" s="102">
        <f t="shared" si="621"/>
        <v>1.6259922544030245</v>
      </c>
      <c r="AH206" s="116">
        <f t="shared" si="590"/>
        <v>-1.140421205803932E-3</v>
      </c>
      <c r="AI206" s="21">
        <f t="shared" si="591"/>
        <v>0.05</v>
      </c>
      <c r="AJ206" s="109">
        <f t="shared" si="592"/>
        <v>23.201970547937581</v>
      </c>
    </row>
    <row r="207" spans="2:36">
      <c r="B207" s="10" t="s">
        <v>217</v>
      </c>
      <c r="C207" s="15"/>
      <c r="D207" s="15"/>
      <c r="E207" s="15"/>
      <c r="F207" s="15"/>
      <c r="G207" s="15" t="e">
        <f t="shared" ref="G207" si="622">G201/G84</f>
        <v>#VALUE!</v>
      </c>
      <c r="H207" s="15">
        <f t="shared" ref="H207:I207" si="623">H201/H84</f>
        <v>72.849999999999994</v>
      </c>
      <c r="I207" s="15">
        <f t="shared" si="623"/>
        <v>29.14</v>
      </c>
      <c r="J207" s="15">
        <f t="shared" ref="J207:T207" si="624">J201/J84</f>
        <v>2.17</v>
      </c>
      <c r="K207" s="15">
        <f t="shared" si="624"/>
        <v>7.5777777777777784</v>
      </c>
      <c r="L207" s="15">
        <f t="shared" si="624"/>
        <v>4.1074999999999999</v>
      </c>
      <c r="M207" s="15">
        <f t="shared" si="624"/>
        <v>10.540000000000001</v>
      </c>
      <c r="N207" s="15">
        <f t="shared" si="624"/>
        <v>19.633333333333333</v>
      </c>
      <c r="O207" s="15">
        <f t="shared" si="624"/>
        <v>9.742857142857142</v>
      </c>
      <c r="P207" s="15">
        <f t="shared" si="624"/>
        <v>4.2272727272727275</v>
      </c>
      <c r="Q207" s="15">
        <f t="shared" si="624"/>
        <v>12.916666666666666</v>
      </c>
      <c r="R207" s="15">
        <f t="shared" si="624"/>
        <v>35.65</v>
      </c>
      <c r="S207" s="15">
        <f t="shared" si="624"/>
        <v>36.96153846153846</v>
      </c>
      <c r="T207" s="15">
        <f t="shared" si="624"/>
        <v>23.973333333333333</v>
      </c>
      <c r="U207" s="15">
        <f t="shared" ref="U207" si="625">U201/U84</f>
        <v>12.962962962962962</v>
      </c>
      <c r="V207" s="101" t="e">
        <f t="shared" si="588"/>
        <v>#VALUE!</v>
      </c>
      <c r="W207" s="110"/>
      <c r="X207" s="102">
        <f t="shared" ref="X207:AG207" si="626">X201/X84</f>
        <v>15.915637860082303</v>
      </c>
      <c r="Y207" s="102">
        <f t="shared" si="626"/>
        <v>15.031435756744395</v>
      </c>
      <c r="Z207" s="102">
        <f t="shared" si="626"/>
        <v>14.196355992480818</v>
      </c>
      <c r="AA207" s="102">
        <f t="shared" si="626"/>
        <v>13.407669548454106</v>
      </c>
      <c r="AB207" s="102">
        <f t="shared" si="626"/>
        <v>12.662799017984435</v>
      </c>
      <c r="AC207" s="102">
        <f t="shared" si="626"/>
        <v>11.959310183651965</v>
      </c>
      <c r="AD207" s="102">
        <f t="shared" si="626"/>
        <v>11.294904062337967</v>
      </c>
      <c r="AE207" s="102">
        <f t="shared" si="626"/>
        <v>10.667409392208079</v>
      </c>
      <c r="AF207" s="102">
        <f t="shared" si="626"/>
        <v>10.074775537085408</v>
      </c>
      <c r="AG207" s="102">
        <f t="shared" si="626"/>
        <v>9.5150657850251061</v>
      </c>
      <c r="AH207" s="116">
        <f t="shared" si="590"/>
        <v>6.6377465801243929E-2</v>
      </c>
      <c r="AI207" s="21">
        <f t="shared" si="591"/>
        <v>0.05</v>
      </c>
      <c r="AJ207" s="109">
        <f t="shared" si="592"/>
        <v>144.95216769667425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627">G201/G86</f>
        <v>2.6981481481481482</v>
      </c>
      <c r="H208" s="15">
        <f t="shared" ref="H208:I208" si="628">H201/H86</f>
        <v>2.35</v>
      </c>
      <c r="I208" s="15">
        <f t="shared" si="628"/>
        <v>1.867948717948718</v>
      </c>
      <c r="J208" s="15">
        <f t="shared" ref="J208:T208" si="629">J201/J86</f>
        <v>0.86799999999999999</v>
      </c>
      <c r="K208" s="15">
        <f t="shared" si="629"/>
        <v>0.8119047619047618</v>
      </c>
      <c r="L208" s="15">
        <f t="shared" si="629"/>
        <v>0.31596153846153846</v>
      </c>
      <c r="M208" s="15">
        <f t="shared" si="629"/>
        <v>1.225581395348837</v>
      </c>
      <c r="N208" s="15">
        <f t="shared" si="629"/>
        <v>-1.0155172413793103</v>
      </c>
      <c r="O208" s="15">
        <f t="shared" si="629"/>
        <v>-1.7487179487179487</v>
      </c>
      <c r="P208" s="15">
        <f t="shared" si="629"/>
        <v>-3.0999999999999996</v>
      </c>
      <c r="Q208" s="15">
        <f t="shared" si="629"/>
        <v>1.8902439024390245</v>
      </c>
      <c r="R208" s="15">
        <f t="shared" si="629"/>
        <v>6.3850746268656717</v>
      </c>
      <c r="S208" s="15">
        <f t="shared" si="629"/>
        <v>5.8597560975609762</v>
      </c>
      <c r="T208" s="15">
        <f t="shared" si="629"/>
        <v>5.0176744186046509</v>
      </c>
      <c r="U208" s="15">
        <f t="shared" ref="U208" si="630">U201/U86</f>
        <v>2.7131782945736438</v>
      </c>
      <c r="V208" s="101">
        <f t="shared" si="588"/>
        <v>3.9687040972369303E-4</v>
      </c>
      <c r="W208" s="110"/>
      <c r="X208" s="102">
        <f t="shared" ref="X208:AG208" si="631">X201/X86</f>
        <v>3.3311800172265285</v>
      </c>
      <c r="Y208" s="102">
        <f t="shared" si="631"/>
        <v>3.1461144607139437</v>
      </c>
      <c r="Z208" s="102">
        <f t="shared" si="631"/>
        <v>2.9713303240076137</v>
      </c>
      <c r="AA208" s="102">
        <f t="shared" si="631"/>
        <v>2.806256417118302</v>
      </c>
      <c r="AB208" s="102">
        <f t="shared" si="631"/>
        <v>2.6503532828339518</v>
      </c>
      <c r="AC208" s="102">
        <f t="shared" si="631"/>
        <v>2.503111433787621</v>
      </c>
      <c r="AD208" s="102">
        <f t="shared" si="631"/>
        <v>2.3640496874660859</v>
      </c>
      <c r="AE208" s="102">
        <f t="shared" si="631"/>
        <v>2.2327135937179703</v>
      </c>
      <c r="AF208" s="102">
        <f t="shared" si="631"/>
        <v>2.1086739496225273</v>
      </c>
      <c r="AG208" s="102">
        <f t="shared" si="631"/>
        <v>1.9915253968657198</v>
      </c>
      <c r="AH208" s="116">
        <f t="shared" si="590"/>
        <v>3.6766929688366368E-2</v>
      </c>
      <c r="AI208" s="21">
        <f t="shared" si="591"/>
        <v>0.05</v>
      </c>
      <c r="AJ208" s="109">
        <f t="shared" si="592"/>
        <v>29.496395301498254</v>
      </c>
    </row>
    <row r="209" spans="2:36">
      <c r="B209" s="10" t="s">
        <v>232</v>
      </c>
      <c r="C209" s="15"/>
      <c r="D209" s="15"/>
      <c r="E209" s="15"/>
      <c r="F209" s="15"/>
      <c r="G209" s="158">
        <f t="shared" ref="G209" si="632">G201/G80</f>
        <v>3.8342105263157897</v>
      </c>
      <c r="H209" s="158">
        <f t="shared" ref="H209:I209" si="633">H201/H80</f>
        <v>3.3883720930232557</v>
      </c>
      <c r="I209" s="158">
        <f t="shared" si="633"/>
        <v>2.6981481481481482</v>
      </c>
      <c r="J209" s="158">
        <f t="shared" ref="J209:T209" si="634">J201/J80</f>
        <v>5.918181818181818</v>
      </c>
      <c r="K209" s="158">
        <f t="shared" si="634"/>
        <v>-0.74945054945054945</v>
      </c>
      <c r="L209" s="158">
        <f t="shared" si="634"/>
        <v>-0.10738562091503268</v>
      </c>
      <c r="M209" s="158">
        <f t="shared" si="634"/>
        <v>-0.30462427745664739</v>
      </c>
      <c r="N209" s="158">
        <f t="shared" si="634"/>
        <v>-0.2859223300970874</v>
      </c>
      <c r="O209" s="158">
        <f t="shared" si="634"/>
        <v>-0.28535564853556483</v>
      </c>
      <c r="P209" s="158">
        <f t="shared" si="634"/>
        <v>-0.18979591836734694</v>
      </c>
      <c r="Q209" s="158">
        <f t="shared" si="634"/>
        <v>-0.34753363228699552</v>
      </c>
      <c r="R209" s="158">
        <f t="shared" si="634"/>
        <v>-2.8711409395973155</v>
      </c>
      <c r="S209" s="158">
        <f t="shared" si="634"/>
        <v>-9.4215686274509789</v>
      </c>
      <c r="T209" s="158">
        <f t="shared" si="634"/>
        <v>29.421818181818182</v>
      </c>
      <c r="U209" s="158">
        <f t="shared" ref="U209" si="635">U201/U80</f>
        <v>15.90909090909091</v>
      </c>
      <c r="V209" s="101">
        <f t="shared" si="588"/>
        <v>0.10698228778424856</v>
      </c>
      <c r="W209" s="110"/>
      <c r="X209" s="113">
        <f t="shared" ref="X209:AG209" si="636">X201/X80</f>
        <v>19.532828282828316</v>
      </c>
      <c r="Y209" s="113">
        <f t="shared" si="636"/>
        <v>18.447671156004528</v>
      </c>
      <c r="Z209" s="113">
        <f t="shared" si="636"/>
        <v>17.422800536226482</v>
      </c>
      <c r="AA209" s="113">
        <f t="shared" si="636"/>
        <v>16.454867173102812</v>
      </c>
      <c r="AB209" s="113">
        <f t="shared" si="636"/>
        <v>15.54070788570821</v>
      </c>
      <c r="AC209" s="113">
        <f t="shared" si="636"/>
        <v>14.677335225391092</v>
      </c>
      <c r="AD209" s="113">
        <f t="shared" si="636"/>
        <v>13.861927712869329</v>
      </c>
      <c r="AE209" s="113">
        <f t="shared" si="636"/>
        <v>13.091820617709924</v>
      </c>
      <c r="AF209" s="113">
        <f t="shared" si="636"/>
        <v>12.364497250059369</v>
      </c>
      <c r="AG209" s="113">
        <f t="shared" si="636"/>
        <v>11.677580736167174</v>
      </c>
      <c r="AH209" s="116">
        <f t="shared" ref="AH209" si="637">((AG209/J209)^(1/($AG$3-$K$1) ))-1</f>
        <v>2.9990555356263604E-2</v>
      </c>
      <c r="AI209" s="21">
        <f t="shared" ref="AI209:AI212" si="638">$O$1</f>
        <v>0.05</v>
      </c>
      <c r="AJ209" s="109">
        <f t="shared" si="592"/>
        <v>171.82568382374907</v>
      </c>
    </row>
    <row r="210" spans="2:36">
      <c r="B210" s="10"/>
      <c r="C210" s="15"/>
      <c r="D210" s="15"/>
      <c r="E210" s="15"/>
      <c r="F210" s="15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38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>
        <f t="shared" ref="G211" si="639">G59/G201</f>
        <v>8.5106382978723406E-3</v>
      </c>
      <c r="H211" s="129">
        <f t="shared" ref="H211:I211" si="640">H59/H201</f>
        <v>1.4893617021276596E-2</v>
      </c>
      <c r="I211" s="129">
        <f t="shared" si="640"/>
        <v>1.4893617021276596E-2</v>
      </c>
      <c r="J211" s="129">
        <f t="shared" ref="J211:T211" si="641">J59/J201</f>
        <v>1.6666666666666666E-2</v>
      </c>
      <c r="K211" s="129">
        <f t="shared" si="641"/>
        <v>1.3636363636363636E-2</v>
      </c>
      <c r="L211" s="129">
        <f t="shared" si="641"/>
        <v>0</v>
      </c>
      <c r="M211" s="129">
        <f t="shared" si="641"/>
        <v>0</v>
      </c>
      <c r="N211" s="129">
        <f t="shared" si="641"/>
        <v>0</v>
      </c>
      <c r="O211" s="129">
        <f t="shared" si="641"/>
        <v>0</v>
      </c>
      <c r="P211" s="129">
        <f t="shared" si="641"/>
        <v>0</v>
      </c>
      <c r="Q211" s="129">
        <f t="shared" si="641"/>
        <v>1.6E-2</v>
      </c>
      <c r="R211" s="129">
        <f t="shared" si="641"/>
        <v>4.3478260869565218E-3</v>
      </c>
      <c r="S211" s="129">
        <f t="shared" si="641"/>
        <v>1.2903225806451613E-2</v>
      </c>
      <c r="T211" s="129">
        <f t="shared" si="641"/>
        <v>2.8735632183908046E-3</v>
      </c>
      <c r="U211" s="129">
        <f t="shared" ref="U211" si="642">U59/U201</f>
        <v>6.0000000000000001E-3</v>
      </c>
      <c r="V211" s="101">
        <f t="shared" si="588"/>
        <v>-2.4659259064591432E-2</v>
      </c>
      <c r="W211" s="110"/>
      <c r="X211" s="129">
        <f t="shared" ref="X211:AG211" si="643">X59/X201</f>
        <v>4.7076923076923077E-3</v>
      </c>
      <c r="Y211" s="129">
        <f t="shared" si="643"/>
        <v>4.8018461538461539E-3</v>
      </c>
      <c r="Z211" s="129">
        <f t="shared" si="643"/>
        <v>4.8978830769230769E-3</v>
      </c>
      <c r="AA211" s="129">
        <f t="shared" si="643"/>
        <v>4.9958407384615381E-3</v>
      </c>
      <c r="AB211" s="129">
        <f t="shared" si="643"/>
        <v>5.0957575532307687E-3</v>
      </c>
      <c r="AC211" s="129">
        <f t="shared" si="643"/>
        <v>5.1976727042953846E-3</v>
      </c>
      <c r="AD211" s="129">
        <f t="shared" si="643"/>
        <v>5.3016261583812918E-3</v>
      </c>
      <c r="AE211" s="129">
        <f t="shared" si="643"/>
        <v>5.4076586815489181E-3</v>
      </c>
      <c r="AF211" s="129">
        <f t="shared" si="643"/>
        <v>5.5158118551798963E-3</v>
      </c>
      <c r="AG211" s="129">
        <f t="shared" si="643"/>
        <v>5.6261280922834944E-3</v>
      </c>
      <c r="AH211" s="116">
        <f t="shared" ref="AH211:AH216" si="644">((AG211/J211)^(1/($AG$3-$K$1) ))-1</f>
        <v>-4.6119543880520864E-2</v>
      </c>
      <c r="AI211" s="21">
        <f t="shared" si="638"/>
        <v>0.05</v>
      </c>
      <c r="AJ211" s="109">
        <f t="shared" si="592"/>
        <v>7.6666480440771359E-2</v>
      </c>
    </row>
    <row r="212" spans="2:36">
      <c r="B212" s="10" t="s">
        <v>132</v>
      </c>
      <c r="C212" s="129"/>
      <c r="D212" s="129"/>
      <c r="E212" s="129"/>
      <c r="F212" s="129"/>
      <c r="G212" s="141">
        <f t="shared" ref="G212" si="645">G201*G57</f>
        <v>145.69999999999999</v>
      </c>
      <c r="H212" s="141">
        <f t="shared" ref="H212:I212" si="646">H201*H57</f>
        <v>145.69999999999999</v>
      </c>
      <c r="I212" s="141">
        <f t="shared" si="646"/>
        <v>145.69999999999999</v>
      </c>
      <c r="J212" s="141">
        <f t="shared" ref="J212:T212" si="647">J201*J57</f>
        <v>130.19999999999999</v>
      </c>
      <c r="K212" s="141">
        <f t="shared" si="647"/>
        <v>68.2</v>
      </c>
      <c r="L212" s="141">
        <f t="shared" si="647"/>
        <v>16.43</v>
      </c>
      <c r="M212" s="141">
        <f t="shared" si="647"/>
        <v>52.7</v>
      </c>
      <c r="N212" s="141">
        <f t="shared" si="647"/>
        <v>58.9</v>
      </c>
      <c r="O212" s="141">
        <f t="shared" si="647"/>
        <v>68.2</v>
      </c>
      <c r="P212" s="141">
        <f t="shared" si="647"/>
        <v>46.5</v>
      </c>
      <c r="Q212" s="141">
        <f t="shared" si="647"/>
        <v>77.5</v>
      </c>
      <c r="R212" s="141">
        <f t="shared" si="647"/>
        <v>427.8</v>
      </c>
      <c r="S212" s="141">
        <f t="shared" si="647"/>
        <v>480.5</v>
      </c>
      <c r="T212" s="141">
        <f t="shared" si="647"/>
        <v>647.28</v>
      </c>
      <c r="U212" s="141">
        <f t="shared" ref="U212" si="648">U201*U57</f>
        <v>350</v>
      </c>
      <c r="V212" s="101">
        <f t="shared" si="588"/>
        <v>6.4599654513860294E-2</v>
      </c>
      <c r="W212" s="110"/>
      <c r="X212" s="141">
        <f t="shared" ref="X212:AG212" si="649">X201*X57</f>
        <v>464.1</v>
      </c>
      <c r="Y212" s="141">
        <f t="shared" si="649"/>
        <v>473.38200000000006</v>
      </c>
      <c r="Z212" s="141">
        <f t="shared" si="649"/>
        <v>482.84964000000002</v>
      </c>
      <c r="AA212" s="141">
        <f t="shared" si="649"/>
        <v>492.50663280000003</v>
      </c>
      <c r="AB212" s="141">
        <f t="shared" si="649"/>
        <v>502.35676545600012</v>
      </c>
      <c r="AC212" s="141">
        <f t="shared" si="649"/>
        <v>512.40390076512017</v>
      </c>
      <c r="AD212" s="141">
        <f t="shared" si="649"/>
        <v>522.6519787804225</v>
      </c>
      <c r="AE212" s="141">
        <f t="shared" si="649"/>
        <v>533.105018356031</v>
      </c>
      <c r="AF212" s="141">
        <f t="shared" si="649"/>
        <v>543.76711872315161</v>
      </c>
      <c r="AG212" s="141">
        <f t="shared" si="649"/>
        <v>554.64246109761473</v>
      </c>
      <c r="AH212" s="116">
        <f t="shared" si="644"/>
        <v>6.5038506531722495E-2</v>
      </c>
      <c r="AI212" s="21">
        <f t="shared" si="638"/>
        <v>0.05</v>
      </c>
      <c r="AJ212" s="109">
        <f t="shared" si="592"/>
        <v>8438.7939775211798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58"/>
      <c r="V213" s="158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7"/>
      <c r="D214" s="137"/>
      <c r="E214" s="137"/>
      <c r="F214" s="137"/>
      <c r="G214" s="137">
        <f t="shared" ref="G214" si="650">G72/G201</f>
        <v>0.10295126973232671</v>
      </c>
      <c r="H214" s="137">
        <f t="shared" ref="H214:I214" si="651">H72/H201</f>
        <v>9.6087851750171593E-2</v>
      </c>
      <c r="I214" s="137">
        <f t="shared" si="651"/>
        <v>7.549759780370624E-2</v>
      </c>
      <c r="J214" s="137">
        <f t="shared" ref="J214:T214" si="652">J72/J201</f>
        <v>6.9124423963133633E-2</v>
      </c>
      <c r="K214" s="137">
        <f t="shared" si="652"/>
        <v>7.331378299120235E-2</v>
      </c>
      <c r="L214" s="137">
        <f t="shared" si="652"/>
        <v>1.8867924528301886E-2</v>
      </c>
      <c r="M214" s="137">
        <f t="shared" si="652"/>
        <v>-0.26565464895635676</v>
      </c>
      <c r="N214" s="137">
        <f t="shared" si="652"/>
        <v>-0.35653650254668934</v>
      </c>
      <c r="O214" s="137">
        <f t="shared" si="652"/>
        <v>-0.45454545454545453</v>
      </c>
      <c r="P214" s="137">
        <f t="shared" si="652"/>
        <v>-0.12903225806451613</v>
      </c>
      <c r="Q214" s="137">
        <f t="shared" si="652"/>
        <v>0.14193548387096774</v>
      </c>
      <c r="R214" s="137">
        <f t="shared" si="652"/>
        <v>7.4801309022907908E-2</v>
      </c>
      <c r="S214" s="137">
        <f t="shared" si="652"/>
        <v>0.10613943808532779</v>
      </c>
      <c r="T214" s="137">
        <f t="shared" si="652"/>
        <v>0.10814485230503028</v>
      </c>
      <c r="U214" s="137">
        <f t="shared" ref="U214" si="653">U72/U201</f>
        <v>0.13142857142857142</v>
      </c>
      <c r="V214" s="101">
        <f t="shared" si="588"/>
        <v>1.7596435764297702E-2</v>
      </c>
      <c r="W214" s="110"/>
      <c r="X214" s="137">
        <f t="shared" ref="X214:AG214" si="654">X72/X201</f>
        <v>0.10704589528118941</v>
      </c>
      <c r="Y214" s="137">
        <f t="shared" si="654"/>
        <v>0.11334271265067114</v>
      </c>
      <c r="Z214" s="137">
        <f t="shared" si="654"/>
        <v>0.12000993104188709</v>
      </c>
      <c r="AA214" s="137">
        <f t="shared" si="654"/>
        <v>0.12706933875023338</v>
      </c>
      <c r="AB214" s="137">
        <f t="shared" si="654"/>
        <v>0.13454400573554123</v>
      </c>
      <c r="AC214" s="137">
        <f t="shared" si="654"/>
        <v>0.14245835901410248</v>
      </c>
      <c r="AD214" s="137">
        <f t="shared" si="654"/>
        <v>0.15083826248552032</v>
      </c>
      <c r="AE214" s="137">
        <f t="shared" si="654"/>
        <v>0.1597111014552568</v>
      </c>
      <c r="AF214" s="137">
        <f t="shared" si="654"/>
        <v>0.16910587212909542</v>
      </c>
      <c r="AG214" s="137">
        <f t="shared" si="654"/>
        <v>0.17905327637198343</v>
      </c>
      <c r="AH214" s="116">
        <f t="shared" ref="AH214" si="655">((AG214/J214)^(1/($AG$3-$K$1) ))-1</f>
        <v>4.2249682769246233E-2</v>
      </c>
      <c r="AI214" s="21">
        <f t="shared" ref="AI214" si="656">$O$1</f>
        <v>0.05</v>
      </c>
      <c r="AJ214" s="109">
        <f t="shared" ref="AJ214" si="657">(AG214*(1+AH214))/($C$1-AI214)</f>
        <v>2.6659745785356277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7">
        <f t="shared" ref="G215" si="658">G203</f>
        <v>9.7133333333333329</v>
      </c>
      <c r="H215" s="157">
        <f t="shared" ref="H215:I215" si="659">H203</f>
        <v>10.407142857142857</v>
      </c>
      <c r="I215" s="157">
        <f t="shared" si="659"/>
        <v>13.245454545454546</v>
      </c>
      <c r="J215" s="157">
        <f t="shared" ref="J215:T215" si="660">J203</f>
        <v>14.466666666666667</v>
      </c>
      <c r="K215" s="157">
        <f t="shared" si="660"/>
        <v>13.64</v>
      </c>
      <c r="L215" s="157">
        <f t="shared" si="660"/>
        <v>53</v>
      </c>
      <c r="M215" s="157">
        <f t="shared" si="660"/>
        <v>-3.7642857142857142</v>
      </c>
      <c r="N215" s="157">
        <f t="shared" si="660"/>
        <v>-2.8047619047619046</v>
      </c>
      <c r="O215" s="157">
        <f t="shared" si="660"/>
        <v>-2.2000000000000002</v>
      </c>
      <c r="P215" s="157">
        <f t="shared" si="660"/>
        <v>-7.75</v>
      </c>
      <c r="Q215" s="157">
        <f t="shared" si="660"/>
        <v>7.045454545454545</v>
      </c>
      <c r="R215" s="157">
        <f t="shared" si="660"/>
        <v>13.368749999999999</v>
      </c>
      <c r="S215" s="157">
        <f t="shared" si="660"/>
        <v>9.4215686274509789</v>
      </c>
      <c r="T215" s="157">
        <f t="shared" si="660"/>
        <v>9.2468571428571433</v>
      </c>
      <c r="U215" s="157">
        <f t="shared" ref="U215" si="661">U203</f>
        <v>7.6086956521739131</v>
      </c>
      <c r="V215" s="101">
        <f t="shared" si="588"/>
        <v>-1.7292155461493319E-2</v>
      </c>
      <c r="W215" s="110"/>
      <c r="X215" s="129">
        <f t="shared" ref="X215:AG215" si="662">X203</f>
        <v>9.3417874396135261</v>
      </c>
      <c r="Y215" s="129">
        <f t="shared" si="662"/>
        <v>8.8227992485238858</v>
      </c>
      <c r="Z215" s="129">
        <f t="shared" si="662"/>
        <v>8.3326437347170028</v>
      </c>
      <c r="AA215" s="129">
        <f t="shared" si="662"/>
        <v>7.869719082788281</v>
      </c>
      <c r="AB215" s="129">
        <f t="shared" si="662"/>
        <v>7.43251246707782</v>
      </c>
      <c r="AC215" s="129">
        <f t="shared" si="662"/>
        <v>7.0195951077957188</v>
      </c>
      <c r="AD215" s="129">
        <f t="shared" si="662"/>
        <v>6.6296176018070669</v>
      </c>
      <c r="AE215" s="129">
        <f t="shared" si="662"/>
        <v>6.2613055128177857</v>
      </c>
      <c r="AF215" s="129">
        <f t="shared" si="662"/>
        <v>5.9134552065501307</v>
      </c>
      <c r="AG215" s="129">
        <f t="shared" si="662"/>
        <v>5.5849299172973446</v>
      </c>
      <c r="AH215" s="116">
        <f t="shared" ref="AH215" si="663">((AG215/J215)^(1/($AG$3-$K$1) ))-1</f>
        <v>-4.0537007079713527E-2</v>
      </c>
      <c r="AI215" s="21">
        <f t="shared" ref="AI215:AI217" si="664">$O$1</f>
        <v>0.05</v>
      </c>
      <c r="AJ215" s="157">
        <f>(AJ202)/($O$2*100)</f>
        <v>1.3744947638413605</v>
      </c>
    </row>
    <row r="216" spans="2:36">
      <c r="B216" s="10" t="s">
        <v>437</v>
      </c>
      <c r="C216" s="157"/>
      <c r="D216" s="157"/>
      <c r="E216" s="157"/>
      <c r="F216" s="157"/>
      <c r="G216" s="157">
        <f t="shared" ref="G216" si="665">(G203)/($O$2*100)</f>
        <v>1.2141666666666666</v>
      </c>
      <c r="H216" s="157">
        <f t="shared" ref="H216:I216" si="666">(H203)/($O$2*100)</f>
        <v>1.3008928571428571</v>
      </c>
      <c r="I216" s="157">
        <f t="shared" si="666"/>
        <v>1.6556818181818183</v>
      </c>
      <c r="J216" s="157">
        <f t="shared" ref="J216:T216" si="667">(J203)/($O$2*100)</f>
        <v>1.8083333333333333</v>
      </c>
      <c r="K216" s="157">
        <f t="shared" si="667"/>
        <v>1.7050000000000001</v>
      </c>
      <c r="L216" s="157">
        <f t="shared" si="667"/>
        <v>6.625</v>
      </c>
      <c r="M216" s="157">
        <f t="shared" si="667"/>
        <v>-0.47053571428571428</v>
      </c>
      <c r="N216" s="157">
        <f t="shared" si="667"/>
        <v>-0.35059523809523807</v>
      </c>
      <c r="O216" s="157">
        <f t="shared" si="667"/>
        <v>-0.27500000000000002</v>
      </c>
      <c r="P216" s="157">
        <f t="shared" si="667"/>
        <v>-0.96875</v>
      </c>
      <c r="Q216" s="157">
        <f t="shared" si="667"/>
        <v>0.88068181818181812</v>
      </c>
      <c r="R216" s="157">
        <f t="shared" si="667"/>
        <v>1.6710937499999998</v>
      </c>
      <c r="S216" s="157">
        <f t="shared" si="667"/>
        <v>1.1776960784313724</v>
      </c>
      <c r="T216" s="157">
        <f t="shared" si="667"/>
        <v>1.1558571428571429</v>
      </c>
      <c r="U216" s="157">
        <f t="shared" ref="U216" si="668">(U203)/($O$2*100)</f>
        <v>0.95108695652173914</v>
      </c>
      <c r="V216" s="101">
        <f t="shared" si="588"/>
        <v>-1.7292155461493319E-2</v>
      </c>
      <c r="W216" s="110"/>
      <c r="X216" s="157">
        <f t="shared" ref="X216:AG216" si="669">(X203)/($O$2*100)</f>
        <v>1.1677234299516908</v>
      </c>
      <c r="Y216" s="157">
        <f t="shared" si="669"/>
        <v>1.1028499060654857</v>
      </c>
      <c r="Z216" s="157">
        <f t="shared" si="669"/>
        <v>1.0415804668396254</v>
      </c>
      <c r="AA216" s="157">
        <f t="shared" si="669"/>
        <v>0.98371488534853513</v>
      </c>
      <c r="AB216" s="157">
        <f t="shared" si="669"/>
        <v>0.9290640583847275</v>
      </c>
      <c r="AC216" s="157">
        <f t="shared" si="669"/>
        <v>0.87744938847446485</v>
      </c>
      <c r="AD216" s="157">
        <f t="shared" si="669"/>
        <v>0.82870220022588337</v>
      </c>
      <c r="AE216" s="157">
        <f t="shared" si="669"/>
        <v>0.78266318910222321</v>
      </c>
      <c r="AF216" s="157">
        <f t="shared" si="669"/>
        <v>0.73918190081876634</v>
      </c>
      <c r="AG216" s="157">
        <f t="shared" si="669"/>
        <v>0.69811623966216807</v>
      </c>
      <c r="AH216" s="116">
        <f t="shared" si="644"/>
        <v>-4.0537007079713527E-2</v>
      </c>
      <c r="AI216" s="21">
        <f t="shared" si="664"/>
        <v>0.05</v>
      </c>
      <c r="AJ216" s="157">
        <f>(AJ203)/($O$2*100)</f>
        <v>9.5688099530359967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670">G216-1</f>
        <v>0.21416666666666662</v>
      </c>
      <c r="H217" s="129">
        <f t="shared" ref="H217:I217" si="671">H216-1</f>
        <v>0.30089285714285707</v>
      </c>
      <c r="I217" s="129">
        <f t="shared" si="671"/>
        <v>0.65568181818181825</v>
      </c>
      <c r="J217" s="129">
        <f t="shared" ref="J217:S217" si="672">J216-1</f>
        <v>0.80833333333333335</v>
      </c>
      <c r="K217" s="129">
        <f t="shared" si="672"/>
        <v>0.70500000000000007</v>
      </c>
      <c r="L217" s="129">
        <f t="shared" si="672"/>
        <v>5.625</v>
      </c>
      <c r="M217" s="129">
        <f t="shared" si="672"/>
        <v>-1.4705357142857143</v>
      </c>
      <c r="N217" s="129">
        <f t="shared" si="672"/>
        <v>-1.350595238095238</v>
      </c>
      <c r="O217" s="129">
        <f t="shared" si="672"/>
        <v>-1.2749999999999999</v>
      </c>
      <c r="P217" s="129">
        <f t="shared" si="672"/>
        <v>-1.96875</v>
      </c>
      <c r="Q217" s="129">
        <f t="shared" si="672"/>
        <v>-0.11931818181818188</v>
      </c>
      <c r="R217" s="129">
        <f t="shared" si="672"/>
        <v>0.67109374999999982</v>
      </c>
      <c r="S217" s="129">
        <f t="shared" si="672"/>
        <v>0.17769607843137236</v>
      </c>
      <c r="T217" s="129">
        <f>T216-1</f>
        <v>0.15585714285714292</v>
      </c>
      <c r="U217" s="129">
        <f>U216-1</f>
        <v>-4.8913043478260865E-2</v>
      </c>
      <c r="V217" s="101" t="e">
        <f t="shared" si="588"/>
        <v>#NUM!</v>
      </c>
      <c r="W217" s="110"/>
      <c r="X217" s="129">
        <f t="shared" ref="X217:AG217" si="673">X216-1</f>
        <v>0.16772342995169076</v>
      </c>
      <c r="Y217" s="129">
        <f t="shared" si="673"/>
        <v>0.10284990606548572</v>
      </c>
      <c r="Z217" s="129">
        <f t="shared" si="673"/>
        <v>4.1580466839625352E-2</v>
      </c>
      <c r="AA217" s="129">
        <f t="shared" si="673"/>
        <v>-1.6285114651464871E-2</v>
      </c>
      <c r="AB217" s="129">
        <f t="shared" si="673"/>
        <v>-7.0935941615272502E-2</v>
      </c>
      <c r="AC217" s="129">
        <f t="shared" si="673"/>
        <v>-0.12255061152553515</v>
      </c>
      <c r="AD217" s="129">
        <f t="shared" si="673"/>
        <v>-0.17129779977411663</v>
      </c>
      <c r="AE217" s="129">
        <f t="shared" si="673"/>
        <v>-0.21733681089777679</v>
      </c>
      <c r="AF217" s="129">
        <f t="shared" si="673"/>
        <v>-0.26081809918123366</v>
      </c>
      <c r="AG217" s="129">
        <f t="shared" si="673"/>
        <v>-0.30188376033783193</v>
      </c>
      <c r="AH217" s="116">
        <f t="shared" ref="AH217" si="674">((AG217/J217)^(1/($AG$3-$K$1) ))-1</f>
        <v>-1.9580808108037147</v>
      </c>
      <c r="AI217" s="21">
        <f t="shared" si="664"/>
        <v>0.05</v>
      </c>
      <c r="AJ217" s="157">
        <f>(AJ204)/($O$2*100)</f>
        <v>3.3355584656459829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58"/>
      <c r="V218" s="158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>
        <f t="shared" ref="G219:S219" si="675">1/G220</f>
        <v>7.1727620354936752E-2</v>
      </c>
      <c r="H219" s="129">
        <f t="shared" si="675"/>
        <v>7.1727620354936752E-2</v>
      </c>
      <c r="I219" s="129">
        <f t="shared" si="675"/>
        <v>7.1727620354936752E-2</v>
      </c>
      <c r="J219" s="129">
        <f t="shared" si="675"/>
        <v>8.0266622778143518E-2</v>
      </c>
      <c r="K219" s="129">
        <f t="shared" si="675"/>
        <v>0.15323627984918309</v>
      </c>
      <c r="L219" s="129">
        <f t="shared" si="675"/>
        <v>0.63607512390226939</v>
      </c>
      <c r="M219" s="129">
        <f t="shared" si="675"/>
        <v>0.19830577392247223</v>
      </c>
      <c r="N219" s="129">
        <f t="shared" si="675"/>
        <v>0.17743148193063304</v>
      </c>
      <c r="O219" s="129">
        <f t="shared" si="675"/>
        <v>0.15323627984918309</v>
      </c>
      <c r="P219" s="129">
        <f t="shared" si="675"/>
        <v>0.22474654377880185</v>
      </c>
      <c r="Q219" s="129">
        <f t="shared" si="675"/>
        <v>0.13484792626728112</v>
      </c>
      <c r="R219" s="129">
        <f t="shared" si="675"/>
        <v>2.4428972149869766E-2</v>
      </c>
      <c r="S219" s="129">
        <f t="shared" si="675"/>
        <v>2.1749665526980825E-2</v>
      </c>
      <c r="T219" s="129">
        <f>1/T220</f>
        <v>1.6145585041580594E-2</v>
      </c>
      <c r="U219" s="129">
        <f>1/U220</f>
        <v>0.16855990783410138</v>
      </c>
      <c r="V219" s="101">
        <f t="shared" si="588"/>
        <v>6.2930446929645445E-2</v>
      </c>
      <c r="W219" s="110"/>
      <c r="X219" s="129">
        <f t="shared" ref="X219:AG219" si="676">1/X220</f>
        <v>0.12966146756469338</v>
      </c>
      <c r="Y219" s="129">
        <f t="shared" si="676"/>
        <v>0.12966146756469338</v>
      </c>
      <c r="Z219" s="129">
        <f t="shared" si="676"/>
        <v>0.12966146756469338</v>
      </c>
      <c r="AA219" s="129">
        <f t="shared" si="676"/>
        <v>0.12966146756469338</v>
      </c>
      <c r="AB219" s="129">
        <f t="shared" si="676"/>
        <v>0.12966146756469338</v>
      </c>
      <c r="AC219" s="129">
        <f t="shared" si="676"/>
        <v>0.12966146756469338</v>
      </c>
      <c r="AD219" s="129">
        <f t="shared" si="676"/>
        <v>0.12966146756469338</v>
      </c>
      <c r="AE219" s="129">
        <f t="shared" si="676"/>
        <v>0.12966146756469338</v>
      </c>
      <c r="AF219" s="129">
        <f t="shared" si="676"/>
        <v>0.12966146756469338</v>
      </c>
      <c r="AG219" s="129">
        <f t="shared" si="676"/>
        <v>0.12966146756469338</v>
      </c>
      <c r="AH219" s="116">
        <f t="shared" ref="AH219" si="677">((AG219/J219)^(1/($AG$3-$K$1) ))-1</f>
        <v>2.1069904450520704E-2</v>
      </c>
      <c r="AI219" s="21">
        <f t="shared" ref="AI219:AI222" si="678">$O$1</f>
        <v>0.05</v>
      </c>
      <c r="AJ219" s="157">
        <f>(AJ206)/($O$2*100)</f>
        <v>2.9002463184921976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:U220" si="679">G201/$S$170</f>
        <v>13.941630783951883</v>
      </c>
      <c r="H220" s="113">
        <f t="shared" si="679"/>
        <v>13.941630783951883</v>
      </c>
      <c r="I220" s="113">
        <f t="shared" si="679"/>
        <v>13.941630783951883</v>
      </c>
      <c r="J220" s="113">
        <f t="shared" si="679"/>
        <v>12.458478572893172</v>
      </c>
      <c r="K220" s="113">
        <f t="shared" si="679"/>
        <v>6.5258697286583276</v>
      </c>
      <c r="L220" s="113">
        <f t="shared" si="679"/>
        <v>1.5721413437222336</v>
      </c>
      <c r="M220" s="113">
        <f t="shared" si="679"/>
        <v>5.0427175175996171</v>
      </c>
      <c r="N220" s="113">
        <f t="shared" si="679"/>
        <v>5.6359784020231016</v>
      </c>
      <c r="O220" s="113">
        <f t="shared" si="679"/>
        <v>6.5258697286583276</v>
      </c>
      <c r="P220" s="113">
        <f t="shared" si="679"/>
        <v>4.4494566331761325</v>
      </c>
      <c r="Q220" s="113">
        <f t="shared" si="679"/>
        <v>7.4157610552935544</v>
      </c>
      <c r="R220" s="113">
        <f t="shared" si="679"/>
        <v>40.935001025220423</v>
      </c>
      <c r="S220" s="113">
        <f t="shared" si="679"/>
        <v>45.977718542820035</v>
      </c>
      <c r="T220" s="113">
        <f t="shared" si="679"/>
        <v>61.93643633381177</v>
      </c>
      <c r="U220" s="113">
        <f t="shared" si="679"/>
        <v>5.9326088442348439</v>
      </c>
      <c r="V220" s="101">
        <f t="shared" si="588"/>
        <v>-5.9204670551516014E-2</v>
      </c>
      <c r="W220" s="110"/>
      <c r="X220" s="113">
        <f t="shared" ref="X220:AG220" si="680">X201/$S$170</f>
        <v>7.7123914975052967</v>
      </c>
      <c r="Y220" s="113">
        <f t="shared" si="680"/>
        <v>7.7123914975052967</v>
      </c>
      <c r="Z220" s="113">
        <f t="shared" si="680"/>
        <v>7.7123914975052967</v>
      </c>
      <c r="AA220" s="113">
        <f t="shared" si="680"/>
        <v>7.7123914975052967</v>
      </c>
      <c r="AB220" s="113">
        <f t="shared" si="680"/>
        <v>7.7123914975052967</v>
      </c>
      <c r="AC220" s="113">
        <f t="shared" si="680"/>
        <v>7.7123914975052967</v>
      </c>
      <c r="AD220" s="113">
        <f t="shared" si="680"/>
        <v>7.7123914975052967</v>
      </c>
      <c r="AE220" s="113">
        <f t="shared" si="680"/>
        <v>7.7123914975052967</v>
      </c>
      <c r="AF220" s="113">
        <f t="shared" si="680"/>
        <v>7.7123914975052967</v>
      </c>
      <c r="AG220" s="113">
        <f t="shared" si="680"/>
        <v>7.7123914975052967</v>
      </c>
      <c r="AH220" s="116">
        <f t="shared" ref="AH220:AH222" si="681">((AG220/J220)^(1/($AG$3-$K$1) ))-1</f>
        <v>-2.0635124352097467E-2</v>
      </c>
      <c r="AI220" s="21">
        <f t="shared" si="678"/>
        <v>0.05</v>
      </c>
      <c r="AJ220" s="157">
        <f>(AJ206)/($O$2*100)</f>
        <v>2.9002463184921976</v>
      </c>
    </row>
    <row r="221" spans="2:36">
      <c r="B221" s="10" t="s">
        <v>437</v>
      </c>
      <c r="C221" s="111"/>
      <c r="D221" s="111"/>
      <c r="E221" s="111"/>
      <c r="F221" s="111"/>
      <c r="G221" s="157">
        <f t="shared" ref="G221" si="682">(G220)/($O$2*100)</f>
        <v>1.7427038479939854</v>
      </c>
      <c r="H221" s="157">
        <f t="shared" ref="H221:I221" si="683">(H220)/($O$2*100)</f>
        <v>1.7427038479939854</v>
      </c>
      <c r="I221" s="157">
        <f t="shared" si="683"/>
        <v>1.7427038479939854</v>
      </c>
      <c r="J221" s="157">
        <f t="shared" ref="J221:T221" si="684">(J220)/($O$2*100)</f>
        <v>1.5573098216116465</v>
      </c>
      <c r="K221" s="157">
        <f t="shared" si="684"/>
        <v>0.81573371608229095</v>
      </c>
      <c r="L221" s="157">
        <f t="shared" si="684"/>
        <v>0.1965176679652792</v>
      </c>
      <c r="M221" s="157">
        <f t="shared" si="684"/>
        <v>0.63033968969995213</v>
      </c>
      <c r="N221" s="157">
        <f t="shared" si="684"/>
        <v>0.7044973002528877</v>
      </c>
      <c r="O221" s="157">
        <f t="shared" si="684"/>
        <v>0.81573371608229095</v>
      </c>
      <c r="P221" s="157">
        <f t="shared" si="684"/>
        <v>0.55618207914701656</v>
      </c>
      <c r="Q221" s="157">
        <f t="shared" si="684"/>
        <v>0.92697013191169431</v>
      </c>
      <c r="R221" s="157">
        <f t="shared" si="684"/>
        <v>5.1168751281525529</v>
      </c>
      <c r="S221" s="157">
        <f t="shared" si="684"/>
        <v>5.7472148178525044</v>
      </c>
      <c r="T221" s="157">
        <f t="shared" si="684"/>
        <v>7.7420545417264712</v>
      </c>
      <c r="U221" s="157">
        <f t="shared" ref="U221" si="685">(U220)/($O$2*100)</f>
        <v>0.74157610552935549</v>
      </c>
      <c r="V221" s="101">
        <f t="shared" si="588"/>
        <v>-5.9204670551516014E-2</v>
      </c>
      <c r="W221" s="110"/>
      <c r="X221" s="157">
        <f t="shared" ref="X221:AG221" si="686">(X220)/($O$2*100)</f>
        <v>0.96404893718816209</v>
      </c>
      <c r="Y221" s="157">
        <f t="shared" si="686"/>
        <v>0.96404893718816209</v>
      </c>
      <c r="Z221" s="157">
        <f t="shared" si="686"/>
        <v>0.96404893718816209</v>
      </c>
      <c r="AA221" s="157">
        <f t="shared" si="686"/>
        <v>0.96404893718816209</v>
      </c>
      <c r="AB221" s="157">
        <f t="shared" si="686"/>
        <v>0.96404893718816209</v>
      </c>
      <c r="AC221" s="157">
        <f t="shared" si="686"/>
        <v>0.96404893718816209</v>
      </c>
      <c r="AD221" s="157">
        <f t="shared" si="686"/>
        <v>0.96404893718816209</v>
      </c>
      <c r="AE221" s="157">
        <f t="shared" si="686"/>
        <v>0.96404893718816209</v>
      </c>
      <c r="AF221" s="157">
        <f t="shared" si="686"/>
        <v>0.96404893718816209</v>
      </c>
      <c r="AG221" s="157">
        <f t="shared" si="686"/>
        <v>0.96404893718816209</v>
      </c>
      <c r="AH221" s="116">
        <f t="shared" si="681"/>
        <v>-2.0635124352097467E-2</v>
      </c>
      <c r="AI221" s="21">
        <f t="shared" si="678"/>
        <v>0.05</v>
      </c>
      <c r="AJ221" s="157">
        <f>(AJ207)/($O$2*100)</f>
        <v>18.119020962084281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687">G221-1</f>
        <v>0.74270384799398537</v>
      </c>
      <c r="H222" s="129">
        <f t="shared" ref="H222:I222" si="688">H221-1</f>
        <v>0.74270384799398537</v>
      </c>
      <c r="I222" s="129">
        <f t="shared" si="688"/>
        <v>0.74270384799398537</v>
      </c>
      <c r="J222" s="129">
        <f t="shared" ref="J222:T222" si="689">J221-1</f>
        <v>0.55730982161164655</v>
      </c>
      <c r="K222" s="129">
        <f t="shared" si="689"/>
        <v>-0.18426628391770905</v>
      </c>
      <c r="L222" s="129">
        <f t="shared" si="689"/>
        <v>-0.80348233203472086</v>
      </c>
      <c r="M222" s="129">
        <f t="shared" si="689"/>
        <v>-0.36966031030004787</v>
      </c>
      <c r="N222" s="129">
        <f t="shared" si="689"/>
        <v>-0.2955026997471123</v>
      </c>
      <c r="O222" s="129">
        <f t="shared" si="689"/>
        <v>-0.18426628391770905</v>
      </c>
      <c r="P222" s="129">
        <f t="shared" si="689"/>
        <v>-0.44381792085298344</v>
      </c>
      <c r="Q222" s="129">
        <f t="shared" si="689"/>
        <v>-7.3029868088305694E-2</v>
      </c>
      <c r="R222" s="129">
        <f t="shared" si="689"/>
        <v>4.1168751281525529</v>
      </c>
      <c r="S222" s="129">
        <f t="shared" si="689"/>
        <v>4.7472148178525044</v>
      </c>
      <c r="T222" s="129">
        <f t="shared" si="689"/>
        <v>6.7420545417264712</v>
      </c>
      <c r="U222" s="129">
        <f t="shared" ref="U222" si="690">U221-1</f>
        <v>-0.25842389447064451</v>
      </c>
      <c r="V222" s="101" t="e">
        <f t="shared" si="588"/>
        <v>#NUM!</v>
      </c>
      <c r="W222" s="110"/>
      <c r="X222" s="129">
        <f t="shared" ref="X222:AG222" si="691">X221-1</f>
        <v>-3.5951062811837908E-2</v>
      </c>
      <c r="Y222" s="129">
        <f t="shared" si="691"/>
        <v>-3.5951062811837908E-2</v>
      </c>
      <c r="Z222" s="129">
        <f t="shared" si="691"/>
        <v>-3.5951062811837908E-2</v>
      </c>
      <c r="AA222" s="129">
        <f t="shared" si="691"/>
        <v>-3.5951062811837908E-2</v>
      </c>
      <c r="AB222" s="129">
        <f t="shared" si="691"/>
        <v>-3.5951062811837908E-2</v>
      </c>
      <c r="AC222" s="129">
        <f t="shared" si="691"/>
        <v>-3.5951062811837908E-2</v>
      </c>
      <c r="AD222" s="129">
        <f t="shared" si="691"/>
        <v>-3.5951062811837908E-2</v>
      </c>
      <c r="AE222" s="129">
        <f t="shared" si="691"/>
        <v>-3.5951062811837908E-2</v>
      </c>
      <c r="AF222" s="129">
        <f t="shared" si="691"/>
        <v>-3.5951062811837908E-2</v>
      </c>
      <c r="AG222" s="129">
        <f t="shared" si="691"/>
        <v>-3.5951062811837908E-2</v>
      </c>
      <c r="AH222" s="116">
        <f t="shared" si="681"/>
        <v>-1.8876548535072168</v>
      </c>
      <c r="AI222" s="21">
        <f t="shared" si="678"/>
        <v>0.05</v>
      </c>
      <c r="AJ222" s="157">
        <f>(AJ208)/($O$2*100)</f>
        <v>3.6870494126872817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5"/>
      <c r="O223" s="176"/>
      <c r="P223" s="113"/>
      <c r="Q223" s="113"/>
      <c r="R223" s="113"/>
      <c r="S223" s="113"/>
      <c r="T223" s="113"/>
      <c r="U223" s="158"/>
      <c r="V223" s="158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>
        <f t="shared" ref="G224:U224" si="692">1/G225</f>
        <v>0.28826355525051472</v>
      </c>
      <c r="H224" s="129">
        <f t="shared" si="692"/>
        <v>0.28826355525051472</v>
      </c>
      <c r="I224" s="129">
        <f t="shared" si="692"/>
        <v>0.28826355525051472</v>
      </c>
      <c r="J224" s="129">
        <f t="shared" si="692"/>
        <v>0.32258064516129026</v>
      </c>
      <c r="K224" s="129">
        <f t="shared" si="692"/>
        <v>0.6158357771260996</v>
      </c>
      <c r="L224" s="129">
        <f t="shared" si="692"/>
        <v>2.5562994522215456</v>
      </c>
      <c r="M224" s="129">
        <f t="shared" si="692"/>
        <v>0.79696394686907013</v>
      </c>
      <c r="N224" s="129">
        <f t="shared" si="692"/>
        <v>0.71307300509337856</v>
      </c>
      <c r="O224" s="129">
        <f t="shared" si="692"/>
        <v>0.6158357771260996</v>
      </c>
      <c r="P224" s="129">
        <f t="shared" si="692"/>
        <v>0.90322580645161288</v>
      </c>
      <c r="Q224" s="129">
        <f t="shared" si="692"/>
        <v>0.54193548387096768</v>
      </c>
      <c r="R224" s="129">
        <f t="shared" si="692"/>
        <v>9.8176718092566603E-2</v>
      </c>
      <c r="S224" s="129">
        <f t="shared" si="692"/>
        <v>8.7408949011446399E-2</v>
      </c>
      <c r="T224" s="129">
        <f t="shared" si="692"/>
        <v>6.4886911383018164E-2</v>
      </c>
      <c r="U224" s="129">
        <f t="shared" si="692"/>
        <v>0.67741935483870963</v>
      </c>
      <c r="V224" s="101">
        <f t="shared" si="588"/>
        <v>6.2930446929645445E-2</v>
      </c>
      <c r="W224" s="110"/>
      <c r="X224" s="129">
        <f t="shared" ref="X224:AG224" si="693">1/X225</f>
        <v>0.52109181141439198</v>
      </c>
      <c r="Y224" s="129">
        <f t="shared" si="693"/>
        <v>0.52109181141439198</v>
      </c>
      <c r="Z224" s="129">
        <f t="shared" si="693"/>
        <v>0.52109181141439198</v>
      </c>
      <c r="AA224" s="129">
        <f t="shared" si="693"/>
        <v>0.52109181141439198</v>
      </c>
      <c r="AB224" s="129">
        <f t="shared" si="693"/>
        <v>0.52109181141439198</v>
      </c>
      <c r="AC224" s="129">
        <f t="shared" si="693"/>
        <v>0.52109181141439198</v>
      </c>
      <c r="AD224" s="129">
        <f t="shared" si="693"/>
        <v>0.52109181141439198</v>
      </c>
      <c r="AE224" s="129">
        <f t="shared" si="693"/>
        <v>0.52109181141439198</v>
      </c>
      <c r="AF224" s="129">
        <f t="shared" si="693"/>
        <v>0.52109181141439198</v>
      </c>
      <c r="AG224" s="129">
        <f t="shared" si="693"/>
        <v>0.52109181141439198</v>
      </c>
      <c r="AH224" s="116">
        <f t="shared" ref="AH224" si="694">((AG224/J224)^(1/($AG$3-$K$1) ))-1</f>
        <v>2.1069904450520704E-2</v>
      </c>
      <c r="AI224" s="21">
        <f t="shared" ref="AI224" si="695">$O$1</f>
        <v>0.05</v>
      </c>
      <c r="AJ224" s="157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696">G201/$T$170</f>
        <v>3.4690476190476196</v>
      </c>
      <c r="H225" s="113">
        <f t="shared" ref="H225:I225" si="697">H201/$T$170</f>
        <v>3.4690476190476196</v>
      </c>
      <c r="I225" s="113">
        <f t="shared" si="697"/>
        <v>3.4690476190476196</v>
      </c>
      <c r="J225" s="113">
        <f t="shared" ref="J225:S225" si="698">J201/$T$170</f>
        <v>3.1000000000000005</v>
      </c>
      <c r="K225" s="113">
        <f t="shared" si="698"/>
        <v>1.623809523809524</v>
      </c>
      <c r="L225" s="113">
        <f t="shared" si="698"/>
        <v>0.39119047619047626</v>
      </c>
      <c r="M225" s="113">
        <f t="shared" si="698"/>
        <v>1.254761904761905</v>
      </c>
      <c r="N225" s="113">
        <f t="shared" si="698"/>
        <v>1.4023809523809525</v>
      </c>
      <c r="O225" s="113">
        <f t="shared" si="698"/>
        <v>1.623809523809524</v>
      </c>
      <c r="P225" s="113">
        <f t="shared" si="698"/>
        <v>1.1071428571428572</v>
      </c>
      <c r="Q225" s="113">
        <f t="shared" si="698"/>
        <v>1.8452380952380953</v>
      </c>
      <c r="R225" s="113">
        <f t="shared" si="698"/>
        <v>10.185714285714287</v>
      </c>
      <c r="S225" s="113">
        <f t="shared" si="698"/>
        <v>11.440476190476192</v>
      </c>
      <c r="T225" s="113">
        <f>T201/$T$170</f>
        <v>15.411428571428573</v>
      </c>
      <c r="U225" s="113">
        <f>U201/$T$170</f>
        <v>1.4761904761904763</v>
      </c>
      <c r="V225" s="101">
        <f t="shared" si="588"/>
        <v>-5.9204670551516014E-2</v>
      </c>
      <c r="W225" s="110"/>
      <c r="X225" s="113">
        <f t="shared" ref="X225:AG225" si="699">X201/$T$170</f>
        <v>1.9190476190476193</v>
      </c>
      <c r="Y225" s="113">
        <f t="shared" si="699"/>
        <v>1.9190476190476193</v>
      </c>
      <c r="Z225" s="113">
        <f t="shared" si="699"/>
        <v>1.9190476190476193</v>
      </c>
      <c r="AA225" s="113">
        <f t="shared" si="699"/>
        <v>1.9190476190476193</v>
      </c>
      <c r="AB225" s="113">
        <f t="shared" si="699"/>
        <v>1.9190476190476193</v>
      </c>
      <c r="AC225" s="113">
        <f t="shared" si="699"/>
        <v>1.9190476190476193</v>
      </c>
      <c r="AD225" s="113">
        <f t="shared" si="699"/>
        <v>1.9190476190476193</v>
      </c>
      <c r="AE225" s="113">
        <f t="shared" si="699"/>
        <v>1.9190476190476193</v>
      </c>
      <c r="AF225" s="113">
        <f t="shared" si="699"/>
        <v>1.9190476190476193</v>
      </c>
      <c r="AG225" s="113">
        <f t="shared" si="699"/>
        <v>1.9190476190476193</v>
      </c>
      <c r="AH225" s="116">
        <f t="shared" ref="AH225:AH227" si="700">((AG225/J225)^(1/($AG$3-$K$1) ))-1</f>
        <v>-2.0635124352097467E-2</v>
      </c>
      <c r="AI225" s="21">
        <f t="shared" ref="AI225:AI227" si="701">$O$1</f>
        <v>0.05</v>
      </c>
      <c r="AJ225" s="157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7">
        <f t="shared" ref="G226" si="702">(G225)/($O$2*100)</f>
        <v>0.43363095238095245</v>
      </c>
      <c r="H226" s="157">
        <f t="shared" ref="H226:I226" si="703">(H225)/($O$2*100)</f>
        <v>0.43363095238095245</v>
      </c>
      <c r="I226" s="157">
        <f t="shared" si="703"/>
        <v>0.43363095238095245</v>
      </c>
      <c r="J226" s="157">
        <f t="shared" ref="J226:T226" si="704">(J225)/($O$2*100)</f>
        <v>0.38750000000000007</v>
      </c>
      <c r="K226" s="157">
        <f t="shared" si="704"/>
        <v>0.2029761904761905</v>
      </c>
      <c r="L226" s="157">
        <f t="shared" si="704"/>
        <v>4.8898809523809532E-2</v>
      </c>
      <c r="M226" s="157">
        <f t="shared" si="704"/>
        <v>0.15684523809523812</v>
      </c>
      <c r="N226" s="157">
        <f t="shared" si="704"/>
        <v>0.17529761904761906</v>
      </c>
      <c r="O226" s="157">
        <f t="shared" si="704"/>
        <v>0.2029761904761905</v>
      </c>
      <c r="P226" s="157">
        <f t="shared" si="704"/>
        <v>0.13839285714285715</v>
      </c>
      <c r="Q226" s="157">
        <f t="shared" si="704"/>
        <v>0.23065476190476192</v>
      </c>
      <c r="R226" s="157">
        <f t="shared" si="704"/>
        <v>1.2732142857142859</v>
      </c>
      <c r="S226" s="157">
        <f t="shared" si="704"/>
        <v>1.4300595238095239</v>
      </c>
      <c r="T226" s="157">
        <f t="shared" si="704"/>
        <v>1.9264285714285716</v>
      </c>
      <c r="U226" s="157">
        <f t="shared" ref="U226" si="705">(U225)/($O$2*100)</f>
        <v>0.18452380952380953</v>
      </c>
      <c r="V226" s="101">
        <f t="shared" si="588"/>
        <v>-5.9204670551516014E-2</v>
      </c>
      <c r="W226" s="110"/>
      <c r="X226" s="157">
        <f t="shared" ref="X226:AG226" si="706">(X225)/($O$2*100)</f>
        <v>0.23988095238095242</v>
      </c>
      <c r="Y226" s="157">
        <f t="shared" si="706"/>
        <v>0.23988095238095242</v>
      </c>
      <c r="Z226" s="157">
        <f t="shared" si="706"/>
        <v>0.23988095238095242</v>
      </c>
      <c r="AA226" s="157">
        <f t="shared" si="706"/>
        <v>0.23988095238095242</v>
      </c>
      <c r="AB226" s="157">
        <f t="shared" si="706"/>
        <v>0.23988095238095242</v>
      </c>
      <c r="AC226" s="157">
        <f t="shared" si="706"/>
        <v>0.23988095238095242</v>
      </c>
      <c r="AD226" s="157">
        <f t="shared" si="706"/>
        <v>0.23988095238095242</v>
      </c>
      <c r="AE226" s="157">
        <f t="shared" si="706"/>
        <v>0.23988095238095242</v>
      </c>
      <c r="AF226" s="157">
        <f t="shared" si="706"/>
        <v>0.23988095238095242</v>
      </c>
      <c r="AG226" s="157">
        <f t="shared" si="706"/>
        <v>0.23988095238095242</v>
      </c>
      <c r="AH226" s="116">
        <f t="shared" si="700"/>
        <v>-2.0635124352097467E-2</v>
      </c>
      <c r="AI226" s="21">
        <f t="shared" si="701"/>
        <v>0.05</v>
      </c>
      <c r="AJ226" s="157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07">G226-1</f>
        <v>-0.56636904761904749</v>
      </c>
      <c r="H227" s="129">
        <f t="shared" ref="H227:I227" si="708">H226-1</f>
        <v>-0.56636904761904749</v>
      </c>
      <c r="I227" s="129">
        <f t="shared" si="708"/>
        <v>-0.56636904761904749</v>
      </c>
      <c r="J227" s="129">
        <f t="shared" ref="J227:T227" si="709">J226-1</f>
        <v>-0.61249999999999993</v>
      </c>
      <c r="K227" s="129">
        <f t="shared" si="709"/>
        <v>-0.79702380952380947</v>
      </c>
      <c r="L227" s="129">
        <f t="shared" si="709"/>
        <v>-0.95110119047619046</v>
      </c>
      <c r="M227" s="129">
        <f t="shared" si="709"/>
        <v>-0.84315476190476191</v>
      </c>
      <c r="N227" s="129">
        <f t="shared" si="709"/>
        <v>-0.82470238095238091</v>
      </c>
      <c r="O227" s="129">
        <f t="shared" si="709"/>
        <v>-0.79702380952380947</v>
      </c>
      <c r="P227" s="129">
        <f t="shared" si="709"/>
        <v>-0.86160714285714279</v>
      </c>
      <c r="Q227" s="129">
        <f t="shared" si="709"/>
        <v>-0.76934523809523814</v>
      </c>
      <c r="R227" s="129">
        <f t="shared" si="709"/>
        <v>0.27321428571428585</v>
      </c>
      <c r="S227" s="129">
        <f t="shared" si="709"/>
        <v>0.43005952380952395</v>
      </c>
      <c r="T227" s="129">
        <f t="shared" si="709"/>
        <v>0.9264285714285716</v>
      </c>
      <c r="U227" s="129">
        <f t="shared" ref="U227" si="710">U226-1</f>
        <v>-0.81547619047619047</v>
      </c>
      <c r="V227" s="101">
        <f t="shared" si="588"/>
        <v>2.6379534639644042E-2</v>
      </c>
      <c r="W227" s="110"/>
      <c r="X227" s="129">
        <f t="shared" ref="X227:AG227" si="711">X226-1</f>
        <v>-0.76011904761904758</v>
      </c>
      <c r="Y227" s="129">
        <f t="shared" si="711"/>
        <v>-0.76011904761904758</v>
      </c>
      <c r="Z227" s="129">
        <f t="shared" si="711"/>
        <v>-0.76011904761904758</v>
      </c>
      <c r="AA227" s="129">
        <f t="shared" si="711"/>
        <v>-0.76011904761904758</v>
      </c>
      <c r="AB227" s="129">
        <f t="shared" si="711"/>
        <v>-0.76011904761904758</v>
      </c>
      <c r="AC227" s="129">
        <f t="shared" si="711"/>
        <v>-0.76011904761904758</v>
      </c>
      <c r="AD227" s="129">
        <f t="shared" si="711"/>
        <v>-0.76011904761904758</v>
      </c>
      <c r="AE227" s="129">
        <f t="shared" si="711"/>
        <v>-0.76011904761904758</v>
      </c>
      <c r="AF227" s="129">
        <f t="shared" si="711"/>
        <v>-0.76011904761904758</v>
      </c>
      <c r="AG227" s="129">
        <f t="shared" si="711"/>
        <v>-0.76011904761904758</v>
      </c>
      <c r="AH227" s="116">
        <f t="shared" si="700"/>
        <v>9.4322985494779132E-3</v>
      </c>
      <c r="AI227" s="21">
        <f t="shared" si="701"/>
        <v>0.05</v>
      </c>
      <c r="AJ227" s="157">
        <f>(AJ211)/($O$2*100)</f>
        <v>9.5833100550964199E-3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5"/>
      <c r="O228" s="176"/>
      <c r="P228" s="113"/>
      <c r="Q228" s="113"/>
      <c r="R228" s="113"/>
      <c r="S228" s="113"/>
      <c r="T228" s="113"/>
      <c r="U228" s="158"/>
      <c r="V228" s="158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>
        <f t="shared" ref="G229:S229" si="712">1/G230</f>
        <v>3.5718692938380842E-2</v>
      </c>
      <c r="H229" s="129">
        <f t="shared" si="712"/>
        <v>3.5718692938380842E-2</v>
      </c>
      <c r="I229" s="129">
        <f t="shared" si="712"/>
        <v>3.5718692938380842E-2</v>
      </c>
      <c r="J229" s="129">
        <f t="shared" si="712"/>
        <v>3.9970918288188093E-2</v>
      </c>
      <c r="K229" s="129">
        <f t="shared" si="712"/>
        <v>7.6308116731995446E-2</v>
      </c>
      <c r="L229" s="129">
        <f t="shared" si="712"/>
        <v>0.31675067322715089</v>
      </c>
      <c r="M229" s="129">
        <f t="shared" si="712"/>
        <v>9.8751680476699993E-2</v>
      </c>
      <c r="N229" s="129">
        <f t="shared" si="712"/>
        <v>8.8356766742310508E-2</v>
      </c>
      <c r="O229" s="129">
        <f t="shared" si="712"/>
        <v>7.6308116731995446E-2</v>
      </c>
      <c r="P229" s="129">
        <f t="shared" si="712"/>
        <v>0.11191857120692664</v>
      </c>
      <c r="Q229" s="129">
        <f t="shared" si="712"/>
        <v>6.7151142724155996E-2</v>
      </c>
      <c r="R229" s="129">
        <f t="shared" si="712"/>
        <v>1.2165062087709419E-2</v>
      </c>
      <c r="S229" s="129">
        <f t="shared" si="712"/>
        <v>1.0830829471638062E-2</v>
      </c>
      <c r="T229" s="129">
        <f>1/T230</f>
        <v>8.0401272418769154E-3</v>
      </c>
      <c r="U229" s="129">
        <f>1/U230</f>
        <v>8.3938928405194985E-2</v>
      </c>
      <c r="V229" s="101">
        <f t="shared" si="588"/>
        <v>6.2930446929645445E-2</v>
      </c>
      <c r="W229" s="110"/>
      <c r="X229" s="129">
        <f t="shared" ref="X229:AG229" si="713">1/X230</f>
        <v>732.70579403853196</v>
      </c>
      <c r="Y229" s="129">
        <f t="shared" si="713"/>
        <v>26.372448848171587</v>
      </c>
      <c r="Z229" s="129">
        <f t="shared" si="713"/>
        <v>27.92376936865227</v>
      </c>
      <c r="AA229" s="129">
        <f t="shared" si="713"/>
        <v>29.566344037396519</v>
      </c>
      <c r="AB229" s="129">
        <f t="shared" si="713"/>
        <v>31.30554074547867</v>
      </c>
      <c r="AC229" s="129">
        <f t="shared" si="713"/>
        <v>33.147043142271535</v>
      </c>
      <c r="AD229" s="129">
        <f t="shared" si="713"/>
        <v>35.096869209463975</v>
      </c>
      <c r="AE229" s="129">
        <f t="shared" si="713"/>
        <v>37.161390927667746</v>
      </c>
      <c r="AF229" s="129">
        <f t="shared" si="713"/>
        <v>39.347355099883494</v>
      </c>
      <c r="AG229" s="129">
        <f t="shared" si="713"/>
        <v>41.661905399876638</v>
      </c>
      <c r="AH229" s="116">
        <f t="shared" ref="AH229:AH232" si="714">((AG229/J229)^(1/($AG$3-$K$1) ))-1</f>
        <v>0.35274885194819849</v>
      </c>
      <c r="AI229" s="21">
        <f t="shared" ref="AI229:AI232" si="715">$O$1</f>
        <v>0.05</v>
      </c>
      <c r="AJ229" s="157">
        <f>(AJ215)/($O$2*100)</f>
        <v>0.17181184548017006</v>
      </c>
    </row>
    <row r="230" spans="2:36">
      <c r="B230" s="10" t="s">
        <v>511</v>
      </c>
      <c r="C230" s="111"/>
      <c r="D230" s="111"/>
      <c r="E230" s="111"/>
      <c r="F230" s="111"/>
      <c r="G230" s="113">
        <f t="shared" ref="G230" si="716">G201/$X$171</f>
        <v>27.996545162644207</v>
      </c>
      <c r="H230" s="113">
        <f t="shared" ref="H230:S230" si="717">H201/$X$171</f>
        <v>27.996545162644207</v>
      </c>
      <c r="I230" s="113">
        <f t="shared" si="717"/>
        <v>27.996545162644207</v>
      </c>
      <c r="J230" s="113">
        <f t="shared" si="717"/>
        <v>25.0181892942778</v>
      </c>
      <c r="K230" s="113">
        <f t="shared" si="717"/>
        <v>13.104765820812181</v>
      </c>
      <c r="L230" s="113">
        <f t="shared" si="717"/>
        <v>3.1570572204683893</v>
      </c>
      <c r="M230" s="113">
        <f t="shared" si="717"/>
        <v>10.126409952445776</v>
      </c>
      <c r="N230" s="113">
        <f t="shared" si="717"/>
        <v>11.317752299792339</v>
      </c>
      <c r="O230" s="113">
        <f t="shared" si="717"/>
        <v>13.104765820812181</v>
      </c>
      <c r="P230" s="113">
        <f t="shared" si="717"/>
        <v>8.9350676050992153</v>
      </c>
      <c r="Q230" s="113">
        <f t="shared" si="717"/>
        <v>14.891779341832024</v>
      </c>
      <c r="R230" s="113">
        <f t="shared" si="717"/>
        <v>82.202621966912773</v>
      </c>
      <c r="S230" s="113">
        <f t="shared" si="717"/>
        <v>92.329031919358556</v>
      </c>
      <c r="T230" s="113">
        <f>T201/$X$171</f>
        <v>124.37614106298106</v>
      </c>
      <c r="U230" s="113">
        <f>U201/$X$171</f>
        <v>11.91342347346562</v>
      </c>
      <c r="V230" s="101">
        <f t="shared" si="588"/>
        <v>-5.9204670551516014E-2</v>
      </c>
      <c r="W230" s="110"/>
      <c r="X230" s="113">
        <f t="shared" ref="X230:AG230" si="718">X206/$T$170</f>
        <v>1.36480427497126E-3</v>
      </c>
      <c r="Y230" s="113">
        <f t="shared" si="718"/>
        <v>3.7918359639527006E-2</v>
      </c>
      <c r="Z230" s="113">
        <f t="shared" si="718"/>
        <v>3.5811784103997726E-2</v>
      </c>
      <c r="AA230" s="113">
        <f t="shared" si="718"/>
        <v>3.3822240542664521E-2</v>
      </c>
      <c r="AB230" s="113">
        <f t="shared" si="718"/>
        <v>3.1943227179183159E-2</v>
      </c>
      <c r="AC230" s="113">
        <f t="shared" si="718"/>
        <v>3.0168603447006313E-2</v>
      </c>
      <c r="AD230" s="113">
        <f t="shared" si="718"/>
        <v>2.8492569922172632E-2</v>
      </c>
      <c r="AE230" s="113">
        <f t="shared" si="718"/>
        <v>2.6909649370940814E-2</v>
      </c>
      <c r="AF230" s="113">
        <f t="shared" si="718"/>
        <v>2.5414668850332993E-2</v>
      </c>
      <c r="AG230" s="113">
        <f t="shared" si="718"/>
        <v>2.400274280309227E-2</v>
      </c>
      <c r="AH230" s="116">
        <f t="shared" si="714"/>
        <v>-0.26076448073873981</v>
      </c>
      <c r="AI230" s="21">
        <f t="shared" si="715"/>
        <v>0.05</v>
      </c>
      <c r="AJ230" s="157">
        <f>(AJ215)/($O$2*100)</f>
        <v>0.17181184548017006</v>
      </c>
    </row>
    <row r="231" spans="2:36">
      <c r="B231" s="10" t="s">
        <v>437</v>
      </c>
      <c r="C231" s="111"/>
      <c r="D231" s="111"/>
      <c r="E231" s="111"/>
      <c r="F231" s="111"/>
      <c r="G231" s="157">
        <f t="shared" ref="G231" si="719">(G230)/($O$2*100)</f>
        <v>3.4995681453305258</v>
      </c>
      <c r="H231" s="157">
        <f t="shared" ref="H231:T231" si="720">(H230)/($O$2*100)</f>
        <v>3.4995681453305258</v>
      </c>
      <c r="I231" s="157">
        <f t="shared" si="720"/>
        <v>3.4995681453305258</v>
      </c>
      <c r="J231" s="157">
        <f t="shared" si="720"/>
        <v>3.127273661784725</v>
      </c>
      <c r="K231" s="157">
        <f t="shared" si="720"/>
        <v>1.6380957276015227</v>
      </c>
      <c r="L231" s="157">
        <f t="shared" si="720"/>
        <v>0.39463215255854867</v>
      </c>
      <c r="M231" s="157">
        <f t="shared" si="720"/>
        <v>1.265801244055722</v>
      </c>
      <c r="N231" s="157">
        <f t="shared" si="720"/>
        <v>1.4147190374740424</v>
      </c>
      <c r="O231" s="157">
        <f t="shared" si="720"/>
        <v>1.6380957276015227</v>
      </c>
      <c r="P231" s="157">
        <f t="shared" si="720"/>
        <v>1.1168834506374019</v>
      </c>
      <c r="Q231" s="157">
        <f t="shared" si="720"/>
        <v>1.861472417729003</v>
      </c>
      <c r="R231" s="157">
        <f t="shared" si="720"/>
        <v>10.275327745864097</v>
      </c>
      <c r="S231" s="157">
        <f t="shared" si="720"/>
        <v>11.54112898991982</v>
      </c>
      <c r="T231" s="157">
        <f t="shared" si="720"/>
        <v>15.547017632872633</v>
      </c>
      <c r="U231" s="157">
        <f t="shared" ref="U231" si="721">(U230)/($O$2*100)</f>
        <v>1.4891779341832025</v>
      </c>
      <c r="V231" s="101">
        <f t="shared" si="588"/>
        <v>-5.9204670551516014E-2</v>
      </c>
      <c r="W231" s="110"/>
      <c r="X231" s="157">
        <f t="shared" ref="X231:AG231" si="722">(X230)/($O$2*100)</f>
        <v>1.706005343714075E-4</v>
      </c>
      <c r="Y231" s="157">
        <f t="shared" si="722"/>
        <v>4.7397949549408758E-3</v>
      </c>
      <c r="Z231" s="157">
        <f t="shared" si="722"/>
        <v>4.4764730129997158E-3</v>
      </c>
      <c r="AA231" s="157">
        <f t="shared" si="722"/>
        <v>4.2277800678330651E-3</v>
      </c>
      <c r="AB231" s="157">
        <f t="shared" si="722"/>
        <v>3.9929033973978949E-3</v>
      </c>
      <c r="AC231" s="157">
        <f t="shared" si="722"/>
        <v>3.7710754308757891E-3</v>
      </c>
      <c r="AD231" s="157">
        <f t="shared" si="722"/>
        <v>3.561571240271579E-3</v>
      </c>
      <c r="AE231" s="157">
        <f t="shared" si="722"/>
        <v>3.3637061713676017E-3</v>
      </c>
      <c r="AF231" s="157">
        <f t="shared" si="722"/>
        <v>3.1768336062916241E-3</v>
      </c>
      <c r="AG231" s="157">
        <f t="shared" si="722"/>
        <v>3.0003428503865338E-3</v>
      </c>
      <c r="AH231" s="116">
        <f t="shared" si="714"/>
        <v>-0.26076448073873981</v>
      </c>
      <c r="AI231" s="21">
        <f t="shared" si="715"/>
        <v>0.05</v>
      </c>
      <c r="AJ231" s="157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23">G231-1</f>
        <v>2.4995681453305258</v>
      </c>
      <c r="H232" s="129">
        <f t="shared" ref="H232:T232" si="724">H231-1</f>
        <v>2.4995681453305258</v>
      </c>
      <c r="I232" s="129">
        <f t="shared" si="724"/>
        <v>2.4995681453305258</v>
      </c>
      <c r="J232" s="129">
        <f t="shared" si="724"/>
        <v>2.127273661784725</v>
      </c>
      <c r="K232" s="129">
        <f t="shared" si="724"/>
        <v>0.63809572760152267</v>
      </c>
      <c r="L232" s="129">
        <f t="shared" si="724"/>
        <v>-0.60536784744145133</v>
      </c>
      <c r="M232" s="129">
        <f t="shared" si="724"/>
        <v>0.26580124405572203</v>
      </c>
      <c r="N232" s="129">
        <f t="shared" si="724"/>
        <v>0.41471903747404237</v>
      </c>
      <c r="O232" s="129">
        <f t="shared" si="724"/>
        <v>0.63809572760152267</v>
      </c>
      <c r="P232" s="129">
        <f t="shared" si="724"/>
        <v>0.11688345063740191</v>
      </c>
      <c r="Q232" s="129">
        <f t="shared" si="724"/>
        <v>0.86147241772900296</v>
      </c>
      <c r="R232" s="129">
        <f t="shared" si="724"/>
        <v>9.2753277458640966</v>
      </c>
      <c r="S232" s="129">
        <f t="shared" si="724"/>
        <v>10.54112898991982</v>
      </c>
      <c r="T232" s="129">
        <f t="shared" si="724"/>
        <v>14.547017632872633</v>
      </c>
      <c r="U232" s="129">
        <f t="shared" ref="U232" si="725">U231-1</f>
        <v>0.48917793418320255</v>
      </c>
      <c r="V232" s="101">
        <f t="shared" si="588"/>
        <v>-0.10997924556889282</v>
      </c>
      <c r="W232" s="110"/>
      <c r="X232" s="129">
        <f t="shared" ref="X232:AG232" si="726">X231-1</f>
        <v>-0.99982939946562854</v>
      </c>
      <c r="Y232" s="129">
        <f t="shared" si="726"/>
        <v>-0.99526020504505908</v>
      </c>
      <c r="Z232" s="129">
        <f t="shared" si="726"/>
        <v>-0.99552352698700031</v>
      </c>
      <c r="AA232" s="129">
        <f t="shared" si="726"/>
        <v>-0.99577221993216691</v>
      </c>
      <c r="AB232" s="129">
        <f t="shared" si="726"/>
        <v>-0.99600709660260212</v>
      </c>
      <c r="AC232" s="129">
        <f t="shared" si="726"/>
        <v>-0.99622892456912426</v>
      </c>
      <c r="AD232" s="129">
        <f t="shared" si="726"/>
        <v>-0.99643842875972843</v>
      </c>
      <c r="AE232" s="129">
        <f t="shared" si="726"/>
        <v>-0.99663629382863239</v>
      </c>
      <c r="AF232" s="129">
        <f t="shared" si="726"/>
        <v>-0.99682316639370838</v>
      </c>
      <c r="AG232" s="129">
        <f t="shared" si="726"/>
        <v>-0.99699965714961347</v>
      </c>
      <c r="AH232" s="116">
        <f t="shared" si="714"/>
        <v>-1.9675871042453166</v>
      </c>
      <c r="AI232" s="21">
        <f t="shared" si="715"/>
        <v>0.05</v>
      </c>
      <c r="AJ232" s="157">
        <f>(AJ216)/($O$2*100)</f>
        <v>1.1961012441294996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5"/>
      <c r="O233" s="176"/>
      <c r="P233" s="113"/>
      <c r="Q233" s="113"/>
      <c r="R233" s="113"/>
      <c r="S233" s="113"/>
      <c r="T233" s="113"/>
      <c r="U233" s="158"/>
      <c r="V233" s="158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5"/>
      <c r="O234" s="176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2" t="s">
        <v>296</v>
      </c>
      <c r="O236" s="313"/>
      <c r="P236" s="10"/>
      <c r="Q236" s="10"/>
      <c r="R236" s="10"/>
      <c r="S236" s="171" t="s">
        <v>375</v>
      </c>
      <c r="T236" s="170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(U201-Y188)/U201</f>
        <v>0.96043765525779567</v>
      </c>
      <c r="T237" s="110">
        <f>(U201-X188)/U201</f>
        <v>0.95371539289262941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8">
        <f>$O$237</f>
        <v>1</v>
      </c>
      <c r="O238" s="10"/>
      <c r="P238" s="110">
        <f>(S201-(N238*W179))/S201</f>
        <v>0.91712060926050865</v>
      </c>
      <c r="Q238" s="10"/>
      <c r="R238" s="10"/>
      <c r="S238" s="110">
        <f>(U201-Y179)/U201</f>
        <v>0.39782942665838356</v>
      </c>
      <c r="T238" s="110">
        <f>(U201-X179)/U201</f>
        <v>0.95985529511055889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8">
        <f>$O$237</f>
        <v>1</v>
      </c>
      <c r="O239" s="10"/>
      <c r="P239" s="110">
        <f>(S201-(N239*W172))/S201</f>
        <v>0.38217181448742871</v>
      </c>
      <c r="Q239" s="10"/>
      <c r="R239" s="10"/>
      <c r="S239" s="110">
        <f>(U201-Y172)/U201</f>
        <v>-3.4889079103647758</v>
      </c>
      <c r="T239" s="110">
        <f>(U201-X172)/U201</f>
        <v>0.70073947264234837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8">
        <f>$O$237</f>
        <v>1</v>
      </c>
      <c r="O240" s="10"/>
      <c r="P240" s="110">
        <f>(S201-(N240*W185))/S201</f>
        <v>0.30005211490040495</v>
      </c>
      <c r="Q240" s="10"/>
      <c r="R240" s="10"/>
      <c r="S240" s="110">
        <f>(U201-Y185)/U201</f>
        <v>-4.085558852676745</v>
      </c>
      <c r="T240" s="110">
        <f>(U201-X185)/U201</f>
        <v>0.66096274315488368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8">
        <f>$O$237</f>
        <v>1</v>
      </c>
      <c r="O241" s="10"/>
      <c r="P241" s="110">
        <f>(S201-(N241*W198))/S201</f>
        <v>1</v>
      </c>
      <c r="Q241" s="10"/>
      <c r="R241" s="10"/>
      <c r="S241" s="110">
        <f>(U201-Y198)/U201</f>
        <v>1</v>
      </c>
      <c r="T241" s="110">
        <f>(U201-X198)/U201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0.7942282315643745</v>
      </c>
      <c r="T242" s="15">
        <f>U201/X171</f>
        <v>11.91342347346562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5" t="s">
        <v>391</v>
      </c>
      <c r="K243" s="166"/>
      <c r="L243" s="165" t="s">
        <v>392</v>
      </c>
      <c r="M243" s="166"/>
      <c r="N243" s="10"/>
      <c r="O243" s="165" t="s">
        <v>393</v>
      </c>
      <c r="P243" s="166"/>
      <c r="Q243" s="165" t="s">
        <v>394</v>
      </c>
      <c r="R243" s="166"/>
      <c r="S243" s="129">
        <f>1/S242</f>
        <v>1.259083926077925</v>
      </c>
      <c r="T243" s="129">
        <f>1/T242</f>
        <v>8.3938928405194985E-2</v>
      </c>
      <c r="U243" s="129"/>
      <c r="V243" s="10"/>
      <c r="W243" s="10"/>
      <c r="X243" s="111">
        <f>U201-X244</f>
        <v>81.366555299539172</v>
      </c>
      <c r="Y243" s="161">
        <f>X243-Y244</f>
        <v>59.938093894009221</v>
      </c>
      <c r="Z243" s="161">
        <f t="shared" ref="Z243:AB243" si="727">Y243-Z244</f>
        <v>35.295363277649777</v>
      </c>
      <c r="AA243" s="161">
        <f t="shared" si="727"/>
        <v>6.9562230688364188</v>
      </c>
      <c r="AB243" s="161">
        <f t="shared" si="727"/>
        <v>-25.633788171298942</v>
      </c>
      <c r="AC243" s="161">
        <f>AB243-AC244</f>
        <v>-63.112301097454605</v>
      </c>
      <c r="AD243" s="161">
        <f t="shared" ref="AD243:AG243" si="728">AC243-AD244</f>
        <v>-106.21259096253361</v>
      </c>
      <c r="AE243" s="161">
        <f t="shared" si="728"/>
        <v>-155.77792430737446</v>
      </c>
      <c r="AF243" s="161">
        <f t="shared" si="728"/>
        <v>-212.77805765394143</v>
      </c>
      <c r="AG243" s="161">
        <f t="shared" si="728"/>
        <v>-278.32821100249345</v>
      </c>
      <c r="AH243" s="161">
        <f t="shared" ref="AH243" si="729">AG243-AH244</f>
        <v>-353.71088735332825</v>
      </c>
      <c r="AI243" s="161">
        <f t="shared" ref="AI243" si="730">AH243-AI244</f>
        <v>-440.40096515678829</v>
      </c>
      <c r="AJ243" s="161">
        <f t="shared" ref="AJ243" si="731">AI243-AJ244</f>
        <v>-540.09455463076733</v>
      </c>
      <c r="AK243" s="161">
        <f t="shared" ref="AK243" si="732">AJ243-AK244</f>
        <v>-654.74218252584319</v>
      </c>
      <c r="AL243" s="161">
        <f t="shared" ref="AL243" si="733">AK243-AL244</f>
        <v>-786.58695460518038</v>
      </c>
      <c r="AM243" s="161">
        <f t="shared" ref="AM243" si="734">AL243-AM244</f>
        <v>-938.20844249641823</v>
      </c>
      <c r="AN243" s="161">
        <f t="shared" ref="AN243" si="735">AM243-AN244</f>
        <v>-1112.5731535713417</v>
      </c>
      <c r="AO243" s="161">
        <f t="shared" ref="AO243" si="736">AN243-AO244</f>
        <v>-1313.0925713075037</v>
      </c>
      <c r="AP243" s="161">
        <f t="shared" ref="AP243" si="737">AO243-AP244</f>
        <v>-1543.6899017040901</v>
      </c>
      <c r="AQ243" s="161">
        <f t="shared" ref="AQ243" si="738">AP243-AQ244</f>
        <v>-1808.8768316601643</v>
      </c>
      <c r="AR243" s="161">
        <f t="shared" ref="AR243" si="739">AQ243-AR244</f>
        <v>-2113.8418011096496</v>
      </c>
      <c r="AS243" s="161">
        <f t="shared" ref="AS243" si="740">AR243-AS244</f>
        <v>-2464.5515159765578</v>
      </c>
      <c r="AT243" s="161">
        <f t="shared" ref="AT243" si="741">AS243-AT244</f>
        <v>-2867.867688073502</v>
      </c>
      <c r="AU243" s="161">
        <f t="shared" ref="AU243" si="742">AT243-AU244</f>
        <v>-3331.6812859849879</v>
      </c>
      <c r="AV243" s="161">
        <f t="shared" ref="AV243" si="743">AU243-AV244</f>
        <v>-3865.0669235831965</v>
      </c>
      <c r="AW243" s="161">
        <f t="shared" ref="AW243" si="744">AV243-AW244</f>
        <v>-4478.4604068211365</v>
      </c>
      <c r="AX243" s="161">
        <f t="shared" ref="AX243" si="745">AW243-AX244</f>
        <v>-5183.8629125447678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7">
        <v>0</v>
      </c>
      <c r="K244" s="166"/>
      <c r="L244" s="167">
        <v>0.05</v>
      </c>
      <c r="M244" s="166"/>
      <c r="N244" s="160">
        <v>0.15</v>
      </c>
      <c r="O244" s="167">
        <v>0.12</v>
      </c>
      <c r="P244" s="166"/>
      <c r="Q244" s="167">
        <v>0.2</v>
      </c>
      <c r="R244" s="174" t="s">
        <v>231</v>
      </c>
      <c r="S244" s="157">
        <f>U201/S170</f>
        <v>5.9326088442348439</v>
      </c>
      <c r="T244" s="157" t="s">
        <v>412</v>
      </c>
      <c r="U244" s="157"/>
      <c r="V244" s="10"/>
      <c r="W244" s="10"/>
      <c r="X244" s="162">
        <f>V170*(1+$N$244)</f>
        <v>18.633444700460828</v>
      </c>
      <c r="Y244" s="162">
        <f>X244*(1+$N$244)</f>
        <v>21.428461405529951</v>
      </c>
      <c r="Z244" s="162">
        <f t="shared" ref="Z244:AG244" si="746">Y244*(1+$N$244)</f>
        <v>24.642730616359444</v>
      </c>
      <c r="AA244" s="162">
        <f t="shared" si="746"/>
        <v>28.339140208813358</v>
      </c>
      <c r="AB244" s="162">
        <f t="shared" si="746"/>
        <v>32.590011240135361</v>
      </c>
      <c r="AC244" s="162">
        <f t="shared" si="746"/>
        <v>37.478512926155659</v>
      </c>
      <c r="AD244" s="162">
        <f t="shared" si="746"/>
        <v>43.100289865079006</v>
      </c>
      <c r="AE244" s="162">
        <f t="shared" si="746"/>
        <v>49.565333344840852</v>
      </c>
      <c r="AF244" s="162">
        <f t="shared" si="746"/>
        <v>57.000133346566976</v>
      </c>
      <c r="AG244" s="162">
        <f t="shared" si="746"/>
        <v>65.550153348552016</v>
      </c>
      <c r="AH244" s="162">
        <f t="shared" ref="AH244" si="747">AG244*(1+$N$244)</f>
        <v>75.382676350834814</v>
      </c>
      <c r="AI244" s="162">
        <f t="shared" ref="AI244" si="748">AH244*(1+$N$244)</f>
        <v>86.690077803460028</v>
      </c>
      <c r="AJ244" s="162">
        <f t="shared" ref="AJ244" si="749">AI244*(1+$N$244)</f>
        <v>99.693589473979031</v>
      </c>
      <c r="AK244" s="162">
        <f t="shared" ref="AK244" si="750">AJ244*(1+$N$244)</f>
        <v>114.64762789507587</v>
      </c>
      <c r="AL244" s="162">
        <f t="shared" ref="AL244" si="751">AK244*(1+$N$244)</f>
        <v>131.84477207933725</v>
      </c>
      <c r="AM244" s="162">
        <f t="shared" ref="AM244" si="752">AL244*(1+$N$244)</f>
        <v>151.62148789123782</v>
      </c>
      <c r="AN244" s="162">
        <f t="shared" ref="AN244" si="753">AM244*(1+$N$244)</f>
        <v>174.36471107492349</v>
      </c>
      <c r="AO244" s="162">
        <f t="shared" ref="AO244" si="754">AN244*(1+$N$244)</f>
        <v>200.51941773616201</v>
      </c>
      <c r="AP244" s="162">
        <f t="shared" ref="AP244" si="755">AO244*(1+$N$244)</f>
        <v>230.5973303965863</v>
      </c>
      <c r="AQ244" s="162">
        <f t="shared" ref="AQ244" si="756">AP244*(1+$N$244)</f>
        <v>265.18692995607421</v>
      </c>
      <c r="AR244" s="162">
        <f t="shared" ref="AR244" si="757">AQ244*(1+$N$244)</f>
        <v>304.9649694494853</v>
      </c>
      <c r="AS244" s="162">
        <f t="shared" ref="AS244" si="758">AR244*(1+$N$244)</f>
        <v>350.70971486690809</v>
      </c>
      <c r="AT244" s="162">
        <f t="shared" ref="AT244" si="759">AS244*(1+$N$244)</f>
        <v>403.31617209694429</v>
      </c>
      <c r="AU244" s="162">
        <f t="shared" ref="AU244" si="760">AT244*(1+$N$244)</f>
        <v>463.81359791148589</v>
      </c>
      <c r="AV244" s="162">
        <f t="shared" ref="AV244" si="761">AU244*(1+$N$244)</f>
        <v>533.38563759820875</v>
      </c>
      <c r="AW244" s="162">
        <f t="shared" ref="AW244" si="762">AV244*(1+$N$244)</f>
        <v>613.39348323794002</v>
      </c>
      <c r="AX244" s="162">
        <f t="shared" ref="AX244" si="763">AW244*(1+$N$244)</f>
        <v>705.40250572363095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7">
        <v>0</v>
      </c>
      <c r="K245" s="168">
        <f>T203</f>
        <v>9.2468571428571433</v>
      </c>
      <c r="L245" s="167">
        <v>0.05</v>
      </c>
      <c r="M245" s="166"/>
      <c r="N245" s="160">
        <v>0.15</v>
      </c>
      <c r="O245" s="167">
        <v>0.12</v>
      </c>
      <c r="P245" s="166"/>
      <c r="Q245" s="167">
        <v>0.2</v>
      </c>
      <c r="R245" s="174" t="s">
        <v>411</v>
      </c>
      <c r="S245" s="157">
        <f>U201/U72</f>
        <v>7.6086956521739131</v>
      </c>
      <c r="T245" s="157" t="s">
        <v>412</v>
      </c>
      <c r="U245" s="157"/>
      <c r="V245" s="10"/>
      <c r="W245" s="10"/>
      <c r="X245" s="162">
        <f>T72*(1+$N$245)</f>
        <v>129.83870967741936</v>
      </c>
      <c r="Y245" s="162">
        <f>X245*(1+$N$245)</f>
        <v>149.31451612903226</v>
      </c>
      <c r="Z245" s="162">
        <f t="shared" ref="Z245:AG245" si="764">Y245*(1+$N$245)</f>
        <v>171.71169354838707</v>
      </c>
      <c r="AA245" s="162">
        <f t="shared" si="764"/>
        <v>197.46844758064512</v>
      </c>
      <c r="AB245" s="162">
        <f t="shared" si="764"/>
        <v>227.08871471774188</v>
      </c>
      <c r="AC245" s="162">
        <f t="shared" si="764"/>
        <v>261.15202192540312</v>
      </c>
      <c r="AD245" s="162">
        <f t="shared" si="764"/>
        <v>300.32482521421355</v>
      </c>
      <c r="AE245" s="162">
        <f t="shared" si="764"/>
        <v>345.37354899634556</v>
      </c>
      <c r="AF245" s="162">
        <f t="shared" si="764"/>
        <v>397.17958134579737</v>
      </c>
      <c r="AG245" s="162">
        <f t="shared" si="764"/>
        <v>456.75651854766693</v>
      </c>
      <c r="AH245" s="162">
        <f t="shared" ref="AH245" si="765">AG245*(1+$N$245)</f>
        <v>525.26999632981688</v>
      </c>
      <c r="AI245" s="162">
        <f t="shared" ref="AI245" si="766">AH245*(1+$N$245)</f>
        <v>604.06049577928934</v>
      </c>
      <c r="AJ245" s="162">
        <f t="shared" ref="AJ245" si="767">AI245*(1+$N$245)</f>
        <v>694.66957014618265</v>
      </c>
      <c r="AK245" s="162">
        <f t="shared" ref="AK245" si="768">AJ245*(1+$N$245)</f>
        <v>798.87000566811002</v>
      </c>
      <c r="AL245" s="162">
        <f t="shared" ref="AL245" si="769">AK245*(1+$N$245)</f>
        <v>918.70050651832651</v>
      </c>
      <c r="AM245" s="162">
        <f t="shared" ref="AM245" si="770">AL245*(1+$N$245)</f>
        <v>1056.5055824960755</v>
      </c>
      <c r="AN245" s="162">
        <f t="shared" ref="AN245" si="771">AM245*(1+$N$245)</f>
        <v>1214.9814198704867</v>
      </c>
      <c r="AO245" s="162">
        <f t="shared" ref="AO245" si="772">AN245*(1+$N$245)</f>
        <v>1397.2286328510595</v>
      </c>
      <c r="AP245" s="162">
        <f t="shared" ref="AP245" si="773">AO245*(1+$N$245)</f>
        <v>1606.8129277787184</v>
      </c>
      <c r="AQ245" s="162">
        <f t="shared" ref="AQ245" si="774">AP245*(1+$N$245)</f>
        <v>1847.8348669455261</v>
      </c>
      <c r="AR245" s="162">
        <f t="shared" ref="AR245" si="775">AQ245*(1+$N$245)</f>
        <v>2125.0100969873547</v>
      </c>
      <c r="AS245" s="162">
        <f t="shared" ref="AS245" si="776">AR245*(1+$N$245)</f>
        <v>2443.7616115354576</v>
      </c>
      <c r="AT245" s="162">
        <f t="shared" ref="AT245" si="777">AS245*(1+$N$245)</f>
        <v>2810.325853265776</v>
      </c>
      <c r="AU245" s="162">
        <f t="shared" ref="AU245" si="778">AT245*(1+$N$245)</f>
        <v>3231.874731255642</v>
      </c>
      <c r="AV245" s="162">
        <f t="shared" ref="AV245" si="779">AU245*(1+$N$245)</f>
        <v>3716.6559409439878</v>
      </c>
      <c r="AW245" s="162">
        <f t="shared" ref="AW245" si="780">AV245*(1+$N$245)</f>
        <v>4274.1543320855853</v>
      </c>
      <c r="AX245" s="162">
        <f t="shared" ref="AX245" si="781">AW245*(1+$N$245)</f>
        <v>4915.2774818984226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7">
        <v>0</v>
      </c>
      <c r="K246" s="168"/>
      <c r="L246" s="167">
        <v>0.05</v>
      </c>
      <c r="M246" s="166"/>
      <c r="N246" s="166"/>
      <c r="O246" s="167">
        <v>0.12</v>
      </c>
      <c r="P246" s="166"/>
      <c r="Q246" s="167">
        <v>0.2</v>
      </c>
      <c r="R246" s="10"/>
      <c r="S246" s="10"/>
      <c r="T246" s="10"/>
      <c r="U246" s="10"/>
      <c r="V246" s="10"/>
      <c r="W246" s="10"/>
      <c r="X246" s="111">
        <f>U201-X245</f>
        <v>-29.838709677419359</v>
      </c>
      <c r="Y246" s="161">
        <f>X246-Y245</f>
        <v>-179.15322580645162</v>
      </c>
      <c r="Z246" s="161">
        <f t="shared" ref="Z246:AE246" si="782">Y246-Z245</f>
        <v>-350.86491935483866</v>
      </c>
      <c r="AA246" s="161">
        <f t="shared" si="782"/>
        <v>-548.33336693548381</v>
      </c>
      <c r="AB246" s="161">
        <f t="shared" si="782"/>
        <v>-775.42208165322563</v>
      </c>
      <c r="AC246" s="161">
        <f t="shared" si="782"/>
        <v>-1036.5741035786286</v>
      </c>
      <c r="AD246" s="161">
        <f t="shared" si="782"/>
        <v>-1336.8989287928421</v>
      </c>
      <c r="AE246" s="161">
        <f t="shared" si="782"/>
        <v>-1682.2724777891876</v>
      </c>
      <c r="AF246" s="161">
        <f>AE246-AF245</f>
        <v>-2079.4520591349851</v>
      </c>
      <c r="AG246" s="161">
        <f t="shared" ref="AG246" si="783">AF246-AG245</f>
        <v>-2536.208577682652</v>
      </c>
      <c r="AH246" s="161">
        <f t="shared" ref="AH246" si="784">AG246-AH245</f>
        <v>-3061.4785740124689</v>
      </c>
      <c r="AI246" s="161">
        <f t="shared" ref="AI246" si="785">AH246-AI245</f>
        <v>-3665.5390697917583</v>
      </c>
      <c r="AJ246" s="161">
        <f t="shared" ref="AJ246" si="786">AI246-AJ245</f>
        <v>-4360.2086399379405</v>
      </c>
      <c r="AK246" s="161">
        <f t="shared" ref="AK246" si="787">AJ246-AK245</f>
        <v>-5159.0786456060505</v>
      </c>
      <c r="AL246" s="161">
        <f t="shared" ref="AL246" si="788">AK246-AL245</f>
        <v>-6077.7791521243771</v>
      </c>
      <c r="AM246" s="161">
        <f t="shared" ref="AM246" si="789">AL246-AM245</f>
        <v>-7134.2847346204526</v>
      </c>
      <c r="AN246" s="161">
        <f t="shared" ref="AN246" si="790">AM246-AN245</f>
        <v>-8349.2661544909388</v>
      </c>
      <c r="AO246" s="161">
        <f t="shared" ref="AO246" si="791">AN246-AO245</f>
        <v>-9746.4947873419987</v>
      </c>
      <c r="AP246" s="161">
        <f t="shared" ref="AP246" si="792">AO246-AP245</f>
        <v>-11353.307715120718</v>
      </c>
      <c r="AQ246" s="161">
        <f t="shared" ref="AQ246" si="793">AP246-AQ245</f>
        <v>-13201.142582066244</v>
      </c>
      <c r="AR246" s="161">
        <f t="shared" ref="AR246" si="794">AQ246-AR245</f>
        <v>-15326.152679053599</v>
      </c>
      <c r="AS246" s="161">
        <f t="shared" ref="AS246" si="795">AR246-AS245</f>
        <v>-17769.914290589055</v>
      </c>
      <c r="AT246" s="161">
        <f t="shared" ref="AT246" si="796">AS246-AT245</f>
        <v>-20580.24014385483</v>
      </c>
      <c r="AU246" s="161">
        <f t="shared" ref="AU246" si="797">AT246-AU245</f>
        <v>-23812.11487511047</v>
      </c>
      <c r="AV246" s="161">
        <f t="shared" ref="AV246" si="798">AU246-AV245</f>
        <v>-27528.770816054457</v>
      </c>
      <c r="AW246" s="161">
        <f t="shared" ref="AW246" si="799">AV246-AW245</f>
        <v>-31802.925148140042</v>
      </c>
      <c r="AX246" s="161">
        <f t="shared" ref="AX246" si="800">AW246-AX245</f>
        <v>-36718.202630038468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>
        <f t="shared" ref="H248:I248" si="801">H10/H7</f>
        <v>1.1285714285714286</v>
      </c>
      <c r="I248" s="15">
        <f t="shared" si="801"/>
        <v>1.1794871794871795</v>
      </c>
      <c r="J248" s="15">
        <f t="shared" ref="J248:T248" si="802">J10/J7</f>
        <v>2.2380952380952381</v>
      </c>
      <c r="K248" s="15">
        <f t="shared" si="802"/>
        <v>2.7727272727272729</v>
      </c>
      <c r="L248" s="15">
        <f t="shared" si="802"/>
        <v>3.2386363636363638</v>
      </c>
      <c r="M248" s="15">
        <f t="shared" si="802"/>
        <v>3.9733333333333332</v>
      </c>
      <c r="N248" s="15">
        <f t="shared" si="802"/>
        <v>3.8113207547169812</v>
      </c>
      <c r="O248" s="15">
        <f t="shared" si="802"/>
        <v>10.772727272727273</v>
      </c>
      <c r="P248" s="15">
        <f t="shared" si="802"/>
        <v>16.8</v>
      </c>
      <c r="Q248" s="15">
        <f t="shared" si="802"/>
        <v>10.653846153846153</v>
      </c>
      <c r="R248" s="15">
        <f t="shared" si="802"/>
        <v>4.9056603773584904</v>
      </c>
      <c r="S248" s="15">
        <f t="shared" si="802"/>
        <v>2.5257731958762886</v>
      </c>
      <c r="T248" s="15">
        <f t="shared" si="802"/>
        <v>1.4329268292682926</v>
      </c>
      <c r="U248" s="15">
        <f t="shared" ref="U248" si="803">U10/U7</f>
        <v>1.4329268292682926</v>
      </c>
      <c r="V248" s="101" t="e">
        <f t="shared" ref="V248:V250" si="804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>
        <f t="shared" ref="H249:I249" si="805">H10/H12</f>
        <v>39.5</v>
      </c>
      <c r="I249" s="96">
        <f t="shared" si="805"/>
        <v>18.399999999999999</v>
      </c>
      <c r="J249" s="96">
        <f t="shared" ref="J249:T249" si="806">J10/J12</f>
        <v>3.1333333333333333</v>
      </c>
      <c r="K249" s="96">
        <f t="shared" si="806"/>
        <v>27.111111111111111</v>
      </c>
      <c r="L249" s="96">
        <f t="shared" si="806"/>
        <v>71.25</v>
      </c>
      <c r="M249" s="96">
        <f t="shared" si="806"/>
        <v>59.6</v>
      </c>
      <c r="N249" s="96">
        <f t="shared" si="806"/>
        <v>67.333333333333329</v>
      </c>
      <c r="O249" s="96">
        <f t="shared" si="806"/>
        <v>33.857142857142854</v>
      </c>
      <c r="P249" s="96">
        <f t="shared" si="806"/>
        <v>22.90909090909091</v>
      </c>
      <c r="Q249" s="96">
        <f t="shared" si="806"/>
        <v>46.166666666666664</v>
      </c>
      <c r="R249" s="96">
        <f t="shared" si="806"/>
        <v>21.666666666666668</v>
      </c>
      <c r="S249" s="96">
        <f t="shared" si="806"/>
        <v>18.846153846153847</v>
      </c>
      <c r="T249" s="96">
        <f t="shared" si="806"/>
        <v>8.7037037037037042</v>
      </c>
      <c r="U249" s="96">
        <f t="shared" ref="U249" si="807">U10/U12</f>
        <v>8.7037037037037042</v>
      </c>
      <c r="V249" s="101" t="e">
        <f t="shared" si="804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>
        <f t="shared" ref="H250:I250" si="808">H10/(H12+H13)</f>
        <v>39.5</v>
      </c>
      <c r="I250" s="15">
        <f t="shared" si="808"/>
        <v>18.399999999999999</v>
      </c>
      <c r="J250" s="15">
        <f t="shared" ref="J250:T250" si="809">J10/(J12+J13)</f>
        <v>3.1333333333333333</v>
      </c>
      <c r="K250" s="15">
        <f t="shared" si="809"/>
        <v>27.111111111111111</v>
      </c>
      <c r="L250" s="15">
        <f t="shared" si="809"/>
        <v>71.25</v>
      </c>
      <c r="M250" s="15">
        <f t="shared" si="809"/>
        <v>59.6</v>
      </c>
      <c r="N250" s="15">
        <f t="shared" si="809"/>
        <v>67.333333333333329</v>
      </c>
      <c r="O250" s="15">
        <f t="shared" si="809"/>
        <v>33.857142857142854</v>
      </c>
      <c r="P250" s="15">
        <f t="shared" si="809"/>
        <v>22.90909090909091</v>
      </c>
      <c r="Q250" s="15">
        <f t="shared" si="809"/>
        <v>46.166666666666664</v>
      </c>
      <c r="R250" s="15">
        <f t="shared" si="809"/>
        <v>21.666666666666668</v>
      </c>
      <c r="S250" s="15">
        <f t="shared" si="809"/>
        <v>18.846153846153847</v>
      </c>
      <c r="T250" s="15">
        <f t="shared" si="809"/>
        <v>8.7037037037037042</v>
      </c>
      <c r="U250" s="15">
        <f t="shared" ref="U250" si="810">U10/(U12+U13)</f>
        <v>8.7037037037037042</v>
      </c>
      <c r="V250" s="101" t="e">
        <f t="shared" si="804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0" t="s">
        <v>322</v>
      </c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0"/>
      <c r="O253" s="309" t="s">
        <v>282</v>
      </c>
      <c r="P253" s="310"/>
      <c r="Q253" s="311"/>
      <c r="R253" s="13" t="s">
        <v>285</v>
      </c>
      <c r="S253" s="10"/>
      <c r="T253" s="115"/>
      <c r="U253" s="115"/>
      <c r="V253" s="309" t="s">
        <v>283</v>
      </c>
      <c r="W253" s="310"/>
      <c r="X253" s="311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2" t="s">
        <v>284</v>
      </c>
      <c r="D254" s="142" t="s">
        <v>0</v>
      </c>
      <c r="E254" s="142" t="s">
        <v>323</v>
      </c>
      <c r="F254" s="142"/>
      <c r="G254" s="142" t="s">
        <v>324</v>
      </c>
      <c r="H254" s="142" t="s">
        <v>325</v>
      </c>
      <c r="I254" s="142" t="s">
        <v>326</v>
      </c>
      <c r="J254" s="142" t="s">
        <v>327</v>
      </c>
      <c r="K254" s="142" t="s">
        <v>328</v>
      </c>
      <c r="L254" s="10"/>
      <c r="M254" s="142" t="s">
        <v>284</v>
      </c>
      <c r="N254" s="142"/>
      <c r="O254" s="142" t="s">
        <v>0</v>
      </c>
      <c r="P254" s="142" t="s">
        <v>317</v>
      </c>
      <c r="Q254" s="10"/>
      <c r="R254" s="10"/>
      <c r="S254" s="142" t="s">
        <v>284</v>
      </c>
      <c r="T254" s="142"/>
      <c r="U254" s="142"/>
      <c r="V254" s="142" t="s">
        <v>0</v>
      </c>
      <c r="W254" s="142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3" t="s">
        <v>286</v>
      </c>
      <c r="D255" s="11"/>
      <c r="E255" s="152" t="s">
        <v>329</v>
      </c>
      <c r="F255" s="152"/>
      <c r="G255" s="12">
        <v>1</v>
      </c>
      <c r="H255" s="12">
        <v>1</v>
      </c>
      <c r="I255" s="143">
        <f>G255/H255</f>
        <v>1</v>
      </c>
      <c r="J255" s="143">
        <f>I255*D256</f>
        <v>0</v>
      </c>
      <c r="K255" s="153">
        <f>J255+D256</f>
        <v>0</v>
      </c>
      <c r="L255" s="10"/>
      <c r="M255" s="143" t="s">
        <v>286</v>
      </c>
      <c r="N255" s="143"/>
      <c r="O255" s="11">
        <v>1</v>
      </c>
      <c r="P255" s="149">
        <f>O255</f>
        <v>1</v>
      </c>
      <c r="Q255" s="10"/>
      <c r="R255" s="10"/>
      <c r="S255" s="143" t="s">
        <v>286</v>
      </c>
      <c r="T255" s="143"/>
      <c r="U255" s="143"/>
      <c r="V255" s="11">
        <v>1</v>
      </c>
      <c r="W255" s="149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3" t="s">
        <v>287</v>
      </c>
      <c r="D256" s="11"/>
      <c r="E256" s="152" t="s">
        <v>330</v>
      </c>
      <c r="F256" s="152"/>
      <c r="G256" s="12">
        <v>0</v>
      </c>
      <c r="H256" s="12">
        <v>1</v>
      </c>
      <c r="I256" s="143">
        <f>G256/H256</f>
        <v>0</v>
      </c>
      <c r="J256" s="143">
        <f>I256*K255</f>
        <v>0</v>
      </c>
      <c r="K256" s="143">
        <f>J256+K255</f>
        <v>0</v>
      </c>
      <c r="L256" s="10"/>
      <c r="M256" s="143" t="s">
        <v>287</v>
      </c>
      <c r="N256" s="143"/>
      <c r="O256" s="11">
        <v>1</v>
      </c>
      <c r="P256" s="149">
        <f>O256</f>
        <v>1</v>
      </c>
      <c r="Q256" s="10"/>
      <c r="R256" s="10"/>
      <c r="S256" s="143" t="s">
        <v>287</v>
      </c>
      <c r="T256" s="143"/>
      <c r="U256" s="143"/>
      <c r="V256" s="11">
        <v>1</v>
      </c>
      <c r="W256" s="149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3" t="s">
        <v>289</v>
      </c>
      <c r="D257" s="144">
        <f>D255*D256</f>
        <v>0</v>
      </c>
      <c r="E257" s="152" t="s">
        <v>342</v>
      </c>
      <c r="F257" s="152"/>
      <c r="G257" s="12">
        <v>0</v>
      </c>
      <c r="H257" s="12">
        <v>1</v>
      </c>
      <c r="I257" s="143">
        <f>G257/H257</f>
        <v>0</v>
      </c>
      <c r="J257" s="143">
        <f>I257*K256</f>
        <v>0</v>
      </c>
      <c r="K257" s="143">
        <f>J257+K256</f>
        <v>0</v>
      </c>
      <c r="L257" s="10"/>
      <c r="M257" s="143" t="s">
        <v>288</v>
      </c>
      <c r="N257" s="143"/>
      <c r="O257" s="144">
        <f>O255*O256</f>
        <v>1</v>
      </c>
      <c r="P257" s="149">
        <f>O257</f>
        <v>1</v>
      </c>
      <c r="Q257" s="10"/>
      <c r="R257" s="10"/>
      <c r="S257" s="143" t="s">
        <v>289</v>
      </c>
      <c r="T257" s="143"/>
      <c r="U257" s="143"/>
      <c r="V257" s="144">
        <f>V255*V256</f>
        <v>1</v>
      </c>
      <c r="W257" s="149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3"/>
      <c r="D258" s="144"/>
      <c r="E258" s="152" t="s">
        <v>398</v>
      </c>
      <c r="F258" s="152"/>
      <c r="G258" s="12">
        <v>0</v>
      </c>
      <c r="H258" s="12">
        <v>1</v>
      </c>
      <c r="I258" s="143">
        <f t="shared" ref="I258:I261" si="811">G258/H258</f>
        <v>0</v>
      </c>
      <c r="J258" s="143">
        <f t="shared" ref="J258:J260" si="812">I258*K257</f>
        <v>0</v>
      </c>
      <c r="K258" s="143">
        <f t="shared" ref="K258:K260" si="813">J258+K257</f>
        <v>0</v>
      </c>
      <c r="L258" s="10"/>
      <c r="M258" s="143" t="s">
        <v>290</v>
      </c>
      <c r="N258" s="143"/>
      <c r="O258" s="11">
        <v>1</v>
      </c>
      <c r="P258" s="11">
        <v>1</v>
      </c>
      <c r="Q258" s="10"/>
      <c r="R258" s="10"/>
      <c r="S258" s="143" t="s">
        <v>290</v>
      </c>
      <c r="T258" s="143"/>
      <c r="U258" s="143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3"/>
      <c r="D259" s="144"/>
      <c r="E259" s="152" t="s">
        <v>399</v>
      </c>
      <c r="F259" s="152"/>
      <c r="G259" s="12">
        <v>0</v>
      </c>
      <c r="H259" s="12">
        <v>1</v>
      </c>
      <c r="I259" s="143">
        <f t="shared" si="811"/>
        <v>0</v>
      </c>
      <c r="J259" s="143">
        <f t="shared" si="812"/>
        <v>0</v>
      </c>
      <c r="K259" s="143">
        <f t="shared" si="813"/>
        <v>0</v>
      </c>
      <c r="L259" s="10"/>
      <c r="M259" s="143" t="s">
        <v>291</v>
      </c>
      <c r="N259" s="143"/>
      <c r="O259" s="144">
        <f>O258*O256</f>
        <v>1</v>
      </c>
      <c r="P259" s="144">
        <f>P258*P256</f>
        <v>1</v>
      </c>
      <c r="Q259" s="10"/>
      <c r="R259" s="10"/>
      <c r="S259" s="143" t="s">
        <v>287</v>
      </c>
      <c r="T259" s="143"/>
      <c r="U259" s="143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3"/>
      <c r="D260" s="144"/>
      <c r="E260" s="152" t="s">
        <v>400</v>
      </c>
      <c r="F260" s="152"/>
      <c r="G260" s="12">
        <v>0</v>
      </c>
      <c r="H260" s="12">
        <v>1</v>
      </c>
      <c r="I260" s="143">
        <f t="shared" si="811"/>
        <v>0</v>
      </c>
      <c r="J260" s="143">
        <f t="shared" si="812"/>
        <v>0</v>
      </c>
      <c r="K260" s="143">
        <f t="shared" si="813"/>
        <v>0</v>
      </c>
      <c r="L260" s="10"/>
      <c r="M260" s="143"/>
      <c r="N260" s="143"/>
      <c r="O260" s="144"/>
      <c r="P260" s="144"/>
      <c r="Q260" s="10"/>
      <c r="R260" s="10"/>
      <c r="S260" s="143" t="s">
        <v>289</v>
      </c>
      <c r="T260" s="143"/>
      <c r="U260" s="143"/>
      <c r="V260" s="144">
        <f>V259*V258</f>
        <v>1</v>
      </c>
      <c r="W260" s="144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3"/>
      <c r="D261" s="144"/>
      <c r="E261" s="152" t="s">
        <v>331</v>
      </c>
      <c r="F261" s="152"/>
      <c r="G261" s="12">
        <v>10</v>
      </c>
      <c r="H261" s="12">
        <v>1</v>
      </c>
      <c r="I261" s="143">
        <f t="shared" si="811"/>
        <v>10</v>
      </c>
      <c r="J261" s="143">
        <f>I261*K260</f>
        <v>0</v>
      </c>
      <c r="K261" s="143">
        <f>J261</f>
        <v>0</v>
      </c>
      <c r="L261" s="10"/>
      <c r="M261" s="143"/>
      <c r="N261" s="143"/>
      <c r="O261" s="144"/>
      <c r="P261" s="144"/>
      <c r="Q261" s="10"/>
      <c r="R261" s="10"/>
      <c r="S261" s="143"/>
      <c r="T261" s="143"/>
      <c r="U261" s="143"/>
      <c r="V261" s="144"/>
      <c r="W261" s="144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3"/>
      <c r="D262" s="144"/>
      <c r="E262" s="152" t="s">
        <v>401</v>
      </c>
      <c r="F262" s="152"/>
      <c r="G262" s="12">
        <v>0</v>
      </c>
      <c r="H262" s="12">
        <v>1</v>
      </c>
      <c r="I262" s="143">
        <f>G262/H262</f>
        <v>0</v>
      </c>
      <c r="J262" s="143">
        <f>I262*K261</f>
        <v>0</v>
      </c>
      <c r="K262" s="143">
        <f>J262</f>
        <v>0</v>
      </c>
      <c r="L262" s="10"/>
      <c r="M262" s="145" t="s">
        <v>292</v>
      </c>
      <c r="N262" s="145"/>
      <c r="O262" s="146">
        <f>O259/O257</f>
        <v>1</v>
      </c>
      <c r="P262" s="146">
        <f>P259/P257</f>
        <v>1</v>
      </c>
      <c r="Q262" s="10"/>
      <c r="R262" s="10"/>
      <c r="S262" s="145" t="s">
        <v>292</v>
      </c>
      <c r="T262" s="145"/>
      <c r="U262" s="145"/>
      <c r="V262" s="146">
        <f>V260/V257</f>
        <v>1</v>
      </c>
      <c r="W262" s="146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3" t="s">
        <v>290</v>
      </c>
      <c r="D263" s="11"/>
      <c r="E263" s="152"/>
      <c r="F263" s="152"/>
      <c r="G263" s="143"/>
      <c r="H263" s="143"/>
      <c r="I263" s="145" t="s">
        <v>332</v>
      </c>
      <c r="J263" s="143"/>
      <c r="K263" s="143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3" t="s">
        <v>287</v>
      </c>
      <c r="D264" s="11"/>
      <c r="E264" s="152" t="s">
        <v>331</v>
      </c>
      <c r="F264" s="152"/>
      <c r="G264" s="12">
        <v>10</v>
      </c>
      <c r="H264" s="12">
        <v>2</v>
      </c>
      <c r="I264" s="143">
        <f>G264/H264</f>
        <v>5</v>
      </c>
      <c r="J264" s="153">
        <f>I264*D256</f>
        <v>0</v>
      </c>
      <c r="K264" s="153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3" t="s">
        <v>289</v>
      </c>
      <c r="D265" s="144">
        <f>D264*D263</f>
        <v>0</v>
      </c>
      <c r="E265" s="143"/>
      <c r="F265" s="143"/>
      <c r="G265" s="143"/>
      <c r="H265" s="143"/>
      <c r="I265" s="145" t="s">
        <v>332</v>
      </c>
      <c r="J265" s="143"/>
      <c r="K265" s="143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3"/>
      <c r="D266" s="144"/>
      <c r="E266" s="152" t="s">
        <v>331</v>
      </c>
      <c r="F266" s="152"/>
      <c r="G266" s="12">
        <v>10</v>
      </c>
      <c r="H266" s="12">
        <v>2</v>
      </c>
      <c r="I266" s="143">
        <f>G266/H266</f>
        <v>5</v>
      </c>
      <c r="J266" s="143">
        <f>I266*K265</f>
        <v>0</v>
      </c>
      <c r="K266" s="143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5" t="s">
        <v>292</v>
      </c>
      <c r="D267" s="146" t="e">
        <f>D265/D257</f>
        <v>#DIV/0!</v>
      </c>
      <c r="E267" s="152"/>
      <c r="F267" s="152"/>
      <c r="G267" s="143"/>
      <c r="H267" s="143"/>
      <c r="I267" s="145" t="s">
        <v>332</v>
      </c>
      <c r="J267" s="143"/>
      <c r="K267" s="143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4"/>
      <c r="F269" s="154"/>
      <c r="G269" s="154"/>
      <c r="H269" s="154"/>
      <c r="I269" s="154"/>
      <c r="J269" s="155"/>
      <c r="K269" s="10"/>
      <c r="L269" s="115"/>
      <c r="M269" s="154"/>
      <c r="N269" s="155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2" t="s">
        <v>15</v>
      </c>
      <c r="E270" s="303"/>
      <c r="F270" s="303"/>
      <c r="G270" s="303"/>
      <c r="H270" s="303"/>
      <c r="I270" s="303"/>
      <c r="J270" s="304"/>
      <c r="K270" s="10"/>
      <c r="L270" s="302" t="s">
        <v>337</v>
      </c>
      <c r="M270" s="303"/>
      <c r="N270" s="30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69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1"/>
      <c r="F275" s="141"/>
      <c r="G275" s="141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2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8" t="s">
        <v>15</v>
      </c>
      <c r="K5" s="288"/>
      <c r="M5" s="288" t="s">
        <v>53</v>
      </c>
      <c r="N5" s="288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8" t="s">
        <v>24</v>
      </c>
      <c r="K14" s="288"/>
      <c r="L14" s="288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8" t="s">
        <v>15</v>
      </c>
      <c r="S5" s="288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8" t="s">
        <v>24</v>
      </c>
      <c r="S14" s="288"/>
      <c r="T14" s="288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8" t="s">
        <v>15</v>
      </c>
      <c r="C2" s="288"/>
      <c r="E2" s="288" t="s">
        <v>53</v>
      </c>
      <c r="F2" s="288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3"/>
    <col min="2" max="2" width="16.5703125" style="163" customWidth="1"/>
    <col min="3" max="3" width="39.7109375" style="163" customWidth="1"/>
    <col min="4" max="5" width="9.140625" style="163"/>
    <col min="6" max="6" width="19" style="163" bestFit="1" customWidth="1"/>
    <col min="7" max="7" width="49" style="163" customWidth="1"/>
    <col min="8" max="16384" width="9.140625" style="163"/>
  </cols>
  <sheetData>
    <row r="3" spans="2:7">
      <c r="B3" s="319" t="s">
        <v>376</v>
      </c>
      <c r="C3" s="320"/>
      <c r="F3" s="319" t="s">
        <v>377</v>
      </c>
      <c r="G3" s="320"/>
    </row>
    <row r="4" spans="2:7">
      <c r="B4" s="164" t="s">
        <v>378</v>
      </c>
      <c r="C4" s="164"/>
      <c r="F4" s="164" t="s">
        <v>379</v>
      </c>
      <c r="G4" s="164"/>
    </row>
    <row r="5" spans="2:7">
      <c r="B5" s="164" t="s">
        <v>380</v>
      </c>
      <c r="C5" s="164"/>
      <c r="F5" s="164" t="s">
        <v>242</v>
      </c>
      <c r="G5" s="164"/>
    </row>
    <row r="6" spans="2:7">
      <c r="B6" s="164" t="s">
        <v>381</v>
      </c>
      <c r="C6" s="164"/>
      <c r="F6" s="164" t="s">
        <v>382</v>
      </c>
      <c r="G6" s="164"/>
    </row>
    <row r="7" spans="2:7">
      <c r="B7" s="164" t="s">
        <v>383</v>
      </c>
      <c r="C7" s="164"/>
      <c r="F7" s="164" t="s">
        <v>384</v>
      </c>
      <c r="G7" s="164"/>
    </row>
    <row r="8" spans="2:7">
      <c r="B8" s="164" t="s">
        <v>385</v>
      </c>
      <c r="C8" s="164"/>
      <c r="F8" s="164" t="s">
        <v>386</v>
      </c>
      <c r="G8" s="164"/>
    </row>
    <row r="9" spans="2:7">
      <c r="B9" s="164" t="s">
        <v>387</v>
      </c>
      <c r="C9" s="164"/>
      <c r="F9" s="164" t="s">
        <v>388</v>
      </c>
      <c r="G9" s="164"/>
    </row>
    <row r="10" spans="2:7">
      <c r="B10" s="164" t="s">
        <v>386</v>
      </c>
      <c r="C10" s="164"/>
      <c r="F10" s="164"/>
      <c r="G10" s="164"/>
    </row>
    <row r="11" spans="2:7">
      <c r="B11" s="164" t="s">
        <v>389</v>
      </c>
      <c r="C11" s="164"/>
      <c r="F11" s="164"/>
      <c r="G11" s="164"/>
    </row>
    <row r="12" spans="2:7">
      <c r="B12" s="164" t="s">
        <v>390</v>
      </c>
      <c r="C12" s="164"/>
      <c r="F12" s="164"/>
      <c r="G12" s="164"/>
    </row>
    <row r="13" spans="2:7">
      <c r="B13" s="164"/>
      <c r="C13" s="164"/>
      <c r="F13" s="164"/>
      <c r="G13" s="16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2018-07-04T19:52:13Z</dcterms:modified>
</cp:coreProperties>
</file>
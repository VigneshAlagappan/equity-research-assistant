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18" i="18"/>
  <c r="Q16" i="18"/>
  <c r="Q15" i="18"/>
  <c r="Q14" i="18"/>
  <c r="Q13" i="18"/>
  <c r="Q12" i="18"/>
  <c r="N12" i="18"/>
  <c r="M12" i="18"/>
  <c r="L12" i="18"/>
  <c r="Q10" i="18"/>
  <c r="Q9" i="18"/>
  <c r="Q7" i="18"/>
  <c r="Q25" i="18"/>
  <c r="Q6" i="18"/>
  <c r="K12" i="18"/>
  <c r="J12" i="18"/>
  <c r="I12" i="18"/>
  <c r="H12" i="18"/>
  <c r="Q40" i="18"/>
  <c r="Q38" i="18"/>
  <c r="Q36" i="18"/>
  <c r="Q34" i="18"/>
  <c r="Q29" i="18"/>
  <c r="Q27" i="18"/>
  <c r="Q42" i="18"/>
  <c r="E180" i="18" l="1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 s="1"/>
  <c r="Q137" i="18"/>
  <c r="Q138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66" i="18"/>
  <c r="Q175" i="18" s="1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R91" i="18"/>
  <c r="H192" i="18"/>
  <c r="Q180" i="18"/>
  <c r="Q181" i="18" s="1"/>
  <c r="S44" i="18"/>
  <c r="S42" i="18"/>
  <c r="G215" i="18"/>
  <c r="G214" i="18"/>
  <c r="G217" i="18" l="1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G220" i="18" s="1"/>
  <c r="K215" i="18"/>
  <c r="K214" i="18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H207" i="18"/>
  <c r="I207" i="18" s="1"/>
  <c r="J207" i="18" s="1"/>
  <c r="J208" i="18" s="1"/>
  <c r="H205" i="18"/>
  <c r="H203" i="18"/>
  <c r="H202" i="18"/>
  <c r="I202" i="18" s="1"/>
  <c r="J202" i="18" s="1"/>
  <c r="Y38" i="18" l="1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Q191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F177" i="18" l="1"/>
  <c r="F180" i="18"/>
  <c r="T191" i="18"/>
  <c r="T190" i="18" s="1"/>
  <c r="P191" i="18"/>
  <c r="P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<sst xmlns="http://schemas.openxmlformats.org/spreadsheetml/2006/main" count="648" uniqueCount="456">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</sst>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263424"/>
        <c:axId val="186264960"/>
      </c:lineChart>
      <c:catAx>
        <c:axId val="186263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86264960"/>
        <c:crosses val="autoZero"/>
        <c:auto val="1"/>
        <c:lblAlgn val="ctr"/>
        <c:lblOffset val="100"/>
        <c:noMultiLvlLbl val="0"/>
      </c:catAx>
      <c:valAx>
        <c:axId val="18626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62634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C4" sqref="C4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0" t="s">
        <v>291</v>
      </c>
      <c r="AF2" s="201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2" t="s">
        <v>292</v>
      </c>
      <c r="AF3" s="203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2386</v>
      </c>
      <c r="H6" s="147">
        <v>2676</v>
      </c>
      <c r="I6" s="147">
        <v>5454</v>
      </c>
      <c r="J6" s="147">
        <v>9560</v>
      </c>
      <c r="K6" s="147">
        <v>19766</v>
      </c>
      <c r="L6" s="147">
        <v>27086</v>
      </c>
      <c r="M6" s="147">
        <v>37716</v>
      </c>
      <c r="N6" s="147">
        <v>46868</v>
      </c>
      <c r="O6" s="147">
        <v>48712</v>
      </c>
      <c r="P6" s="147">
        <v>48422</v>
      </c>
      <c r="Q6" s="193">
        <f>P6</f>
        <v>48422</v>
      </c>
      <c r="R6" s="118">
        <f>((Q6/G6)^(1/($H$2-$H$1) ))-1</f>
        <v>0.39721611860699646</v>
      </c>
      <c r="S6" s="31">
        <f>$L$2</f>
        <v>0.15</v>
      </c>
      <c r="T6" s="154">
        <f>Q6*(1+$S6)</f>
        <v>55685.299999999996</v>
      </c>
      <c r="U6" s="154">
        <f>T6*(1+$S6)</f>
        <v>64038.094999999987</v>
      </c>
      <c r="V6" s="154">
        <f t="shared" ref="V6:AC6" si="0">U6*(1+$S6)</f>
        <v>73643.809249999977</v>
      </c>
      <c r="W6" s="154">
        <f t="shared" si="0"/>
        <v>84690.380637499969</v>
      </c>
      <c r="X6" s="154">
        <f t="shared" si="0"/>
        <v>97393.937733124956</v>
      </c>
      <c r="Y6" s="154">
        <f t="shared" si="0"/>
        <v>112003.02839309369</v>
      </c>
      <c r="Z6" s="154">
        <f t="shared" si="0"/>
        <v>128803.48265205773</v>
      </c>
      <c r="AA6" s="154">
        <f t="shared" si="0"/>
        <v>148124.00504986639</v>
      </c>
      <c r="AB6" s="154">
        <f t="shared" si="0"/>
        <v>170342.60580734635</v>
      </c>
      <c r="AC6" s="154">
        <f t="shared" si="0"/>
        <v>195893.99667844828</v>
      </c>
      <c r="AD6" s="138">
        <f>((AC6/G6)^(1/($AC$3-$H$1) ))-1</f>
        <v>0.24657247837551521</v>
      </c>
      <c r="AE6" s="31">
        <f>$L$1</f>
        <v>0.05</v>
      </c>
      <c r="AF6" s="146">
        <f t="shared" ref="AF6:AF44" si="1">(AC6*(1+AE6))/($C$1-AE6)</f>
        <v>1209933.5088962982</v>
      </c>
    </row>
    <row r="7" spans="2:32" x14ac:dyDescent="0.2">
      <c r="B7" s="20" t="s">
        <v>240</v>
      </c>
      <c r="C7" s="141"/>
      <c r="D7" s="141"/>
      <c r="E7" s="147"/>
      <c r="F7" s="147"/>
      <c r="G7" s="147">
        <v>4239</v>
      </c>
      <c r="H7" s="147">
        <v>4534</v>
      </c>
      <c r="I7" s="147">
        <v>7362</v>
      </c>
      <c r="J7" s="147">
        <v>11488</v>
      </c>
      <c r="K7" s="147">
        <v>21724</v>
      </c>
      <c r="L7" s="147">
        <v>29127</v>
      </c>
      <c r="M7" s="147">
        <v>39878</v>
      </c>
      <c r="N7" s="147">
        <v>48766</v>
      </c>
      <c r="O7" s="147">
        <v>50611</v>
      </c>
      <c r="P7" s="147">
        <v>50321</v>
      </c>
      <c r="Q7" s="193">
        <f>P7</f>
        <v>50321</v>
      </c>
      <c r="R7" s="118">
        <f>((Q7/G7)^(1/($H$2-$H$1) ))-1</f>
        <v>0.31639831059984358</v>
      </c>
      <c r="S7" s="31">
        <f>$L$2</f>
        <v>0.15</v>
      </c>
      <c r="T7" s="154">
        <f t="shared" ref="T7:T44" si="2">Q7*(1+$S7)</f>
        <v>57869.149999999994</v>
      </c>
      <c r="U7" s="154">
        <f t="shared" ref="U7:AC7" si="3">T7*(1+$S7)</f>
        <v>66549.522499999992</v>
      </c>
      <c r="V7" s="154">
        <f t="shared" si="3"/>
        <v>76531.95087499998</v>
      </c>
      <c r="W7" s="154">
        <f t="shared" si="3"/>
        <v>88011.743506249972</v>
      </c>
      <c r="X7" s="154">
        <f t="shared" si="3"/>
        <v>101213.50503218746</v>
      </c>
      <c r="Y7" s="154">
        <f t="shared" si="3"/>
        <v>116395.53078701557</v>
      </c>
      <c r="Z7" s="154">
        <f t="shared" si="3"/>
        <v>133854.86040506788</v>
      </c>
      <c r="AA7" s="154">
        <f t="shared" si="3"/>
        <v>153933.08946582806</v>
      </c>
      <c r="AB7" s="154">
        <f t="shared" si="3"/>
        <v>177023.05288570226</v>
      </c>
      <c r="AC7" s="154">
        <f t="shared" si="3"/>
        <v>203576.51081855758</v>
      </c>
      <c r="AD7" s="138">
        <f>((AC7/G7)^(1/($AC$3-$H$1) ))-1</f>
        <v>0.21359341838264756</v>
      </c>
      <c r="AE7" s="31">
        <f>$L$1</f>
        <v>0.05</v>
      </c>
      <c r="AF7" s="146">
        <f t="shared" si="1"/>
        <v>1257384.3315263852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6.5063961182179095E-2</v>
      </c>
      <c r="I8" s="151">
        <f t="shared" ref="I8:Q8" si="4">(I7-H7)/I7</f>
        <v>0.38413474599293668</v>
      </c>
      <c r="J8" s="151">
        <f t="shared" si="4"/>
        <v>0.3591573816155989</v>
      </c>
      <c r="K8" s="151">
        <f t="shared" si="4"/>
        <v>0.47118394402504143</v>
      </c>
      <c r="L8" s="151">
        <f t="shared" si="4"/>
        <v>0.25416280427095134</v>
      </c>
      <c r="M8" s="151">
        <f t="shared" si="4"/>
        <v>0.2695972716786198</v>
      </c>
      <c r="N8" s="151">
        <f t="shared" si="4"/>
        <v>0.18225813066480745</v>
      </c>
      <c r="O8" s="151">
        <f t="shared" si="4"/>
        <v>3.6454525695994944E-2</v>
      </c>
      <c r="P8" s="151">
        <f t="shared" si="4"/>
        <v>-5.7630015301762686E-3</v>
      </c>
      <c r="Q8" s="19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2120</v>
      </c>
      <c r="H9" s="147">
        <v>4647</v>
      </c>
      <c r="I9" s="147">
        <v>7122</v>
      </c>
      <c r="J9" s="147">
        <v>10416</v>
      </c>
      <c r="K9" s="147">
        <v>14854</v>
      </c>
      <c r="L9" s="147">
        <v>16862</v>
      </c>
      <c r="M9" s="147">
        <v>15573</v>
      </c>
      <c r="N9" s="147">
        <v>38115</v>
      </c>
      <c r="O9" s="147">
        <v>33804</v>
      </c>
      <c r="P9" s="147">
        <v>38713</v>
      </c>
      <c r="Q9" s="193">
        <f>P9</f>
        <v>38713</v>
      </c>
      <c r="R9" s="118">
        <f>((Q9/G9)^(1/($H$2-$H$1) ))-1</f>
        <v>0.38092151576712108</v>
      </c>
      <c r="S9" s="31">
        <f t="shared" ref="S9:S40" si="5">$L$2</f>
        <v>0.15</v>
      </c>
      <c r="T9" s="154">
        <f t="shared" si="2"/>
        <v>44519.95</v>
      </c>
      <c r="U9" s="154">
        <f t="shared" ref="U9" si="6">T9*(1+$S9)</f>
        <v>51197.94249999999</v>
      </c>
      <c r="V9" s="154">
        <f t="shared" ref="V9" si="7">U9*(1+$S9)</f>
        <v>58877.633874999985</v>
      </c>
      <c r="W9" s="154">
        <f t="shared" ref="W9" si="8">V9*(1+$S9)</f>
        <v>67709.278956249982</v>
      </c>
      <c r="X9" s="154">
        <f t="shared" ref="X9" si="9">W9*(1+$S9)</f>
        <v>77865.670799687476</v>
      </c>
      <c r="Y9" s="154">
        <f t="shared" ref="Y9" si="10">X9*(1+$S9)</f>
        <v>89545.521419640587</v>
      </c>
      <c r="Z9" s="154">
        <f t="shared" ref="Z9" si="11">Y9*(1+$S9)</f>
        <v>102977.34963258667</v>
      </c>
      <c r="AA9" s="154">
        <f t="shared" ref="AA9" si="12">Z9*(1+$S9)</f>
        <v>118423.95207747466</v>
      </c>
      <c r="AB9" s="154">
        <f t="shared" ref="AB9" si="13">AA9*(1+$S9)</f>
        <v>136187.54488909585</v>
      </c>
      <c r="AC9" s="154">
        <f t="shared" ref="AC9" si="14">AB9*(1+$S9)</f>
        <v>156615.67662246022</v>
      </c>
      <c r="AD9" s="138">
        <f>((AC9/G9)^(1/($AC$3-$H$1) ))-1</f>
        <v>0.24000937466295014</v>
      </c>
      <c r="AE9" s="31">
        <f t="shared" ref="AE9:AE81" si="15">$L$1</f>
        <v>0.05</v>
      </c>
      <c r="AF9" s="146">
        <f t="shared" si="1"/>
        <v>967332.12031519564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4699</v>
      </c>
      <c r="H10" s="147">
        <v>5000</v>
      </c>
      <c r="I10" s="147">
        <v>4772</v>
      </c>
      <c r="J10" s="147">
        <v>5285</v>
      </c>
      <c r="K10" s="147">
        <v>9601</v>
      </c>
      <c r="L10" s="147">
        <v>13517</v>
      </c>
      <c r="M10" s="147">
        <v>10288</v>
      </c>
      <c r="N10" s="147">
        <v>56650</v>
      </c>
      <c r="O10" s="147">
        <v>69023</v>
      </c>
      <c r="P10" s="147">
        <v>72960</v>
      </c>
      <c r="Q10" s="193">
        <f>P10</f>
        <v>72960</v>
      </c>
      <c r="R10" s="118">
        <f>((Q10/G10)^(1/($H$2-$H$1) ))-1</f>
        <v>0.35625750172366177</v>
      </c>
      <c r="S10" s="31">
        <f t="shared" si="5"/>
        <v>0.15</v>
      </c>
      <c r="T10" s="154">
        <f t="shared" si="2"/>
        <v>83904</v>
      </c>
      <c r="U10" s="154">
        <f t="shared" ref="U10:AC10" si="16">T10*(1+$S10)</f>
        <v>96489.599999999991</v>
      </c>
      <c r="V10" s="154">
        <f t="shared" si="16"/>
        <v>110963.03999999998</v>
      </c>
      <c r="W10" s="154">
        <f t="shared" si="16"/>
        <v>127607.49599999997</v>
      </c>
      <c r="X10" s="154">
        <f t="shared" si="16"/>
        <v>146748.62039999996</v>
      </c>
      <c r="Y10" s="154">
        <f t="shared" si="16"/>
        <v>168760.91345999992</v>
      </c>
      <c r="Z10" s="154">
        <f t="shared" si="16"/>
        <v>194075.05047899991</v>
      </c>
      <c r="AA10" s="154">
        <f t="shared" si="16"/>
        <v>223186.30805084988</v>
      </c>
      <c r="AB10" s="154">
        <f t="shared" si="16"/>
        <v>256664.25425847733</v>
      </c>
      <c r="AC10" s="154">
        <f t="shared" si="16"/>
        <v>295163.89239724888</v>
      </c>
      <c r="AD10" s="138">
        <f t="shared" ref="AD10:AD42" si="17">((AC10/G10)^(1/($AC$3-$H$1) ))-1</f>
        <v>0.22999370621129578</v>
      </c>
      <c r="AE10" s="31">
        <f t="shared" si="15"/>
        <v>0.05</v>
      </c>
      <c r="AF10" s="146">
        <f t="shared" si="1"/>
        <v>1823071.1001006553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6.0199999999999997E-2</v>
      </c>
      <c r="I11" s="148">
        <f t="shared" si="18"/>
        <v>-4.7778709136630342E-2</v>
      </c>
      <c r="J11" s="148">
        <f t="shared" si="18"/>
        <v>9.7067171239356667E-2</v>
      </c>
      <c r="K11" s="148">
        <f t="shared" si="18"/>
        <v>0.44953650661389438</v>
      </c>
      <c r="L11" s="148">
        <f t="shared" si="18"/>
        <v>0.28970925501220685</v>
      </c>
      <c r="M11" s="148">
        <f t="shared" si="18"/>
        <v>-0.31386080870917576</v>
      </c>
      <c r="N11" s="148">
        <f t="shared" si="18"/>
        <v>0.81839364518976165</v>
      </c>
      <c r="O11" s="148">
        <f t="shared" si="18"/>
        <v>0.17925908755052664</v>
      </c>
      <c r="P11" s="148">
        <f t="shared" si="18"/>
        <v>5.3961074561403512E-2</v>
      </c>
      <c r="Q11" s="19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135</v>
      </c>
      <c r="H12" s="147">
        <f>180+230</f>
        <v>410</v>
      </c>
      <c r="I12" s="147">
        <f>215+136</f>
        <v>351</v>
      </c>
      <c r="J12" s="147">
        <f>267+584</f>
        <v>851</v>
      </c>
      <c r="K12" s="147">
        <f>247+456</f>
        <v>703</v>
      </c>
      <c r="L12" s="147">
        <f>2408+357</f>
        <v>2765</v>
      </c>
      <c r="M12" s="147">
        <f>1010+1567</f>
        <v>2577</v>
      </c>
      <c r="N12" s="147">
        <f>884+74</f>
        <v>958</v>
      </c>
      <c r="O12" s="147">
        <v>2030</v>
      </c>
      <c r="P12" s="147">
        <v>1729</v>
      </c>
      <c r="Q12" s="193">
        <f>P12</f>
        <v>1729</v>
      </c>
      <c r="R12" s="118">
        <f>((Q12/G12)^(1/($H$2-$H$1) ))-1</f>
        <v>0.32755110088930484</v>
      </c>
      <c r="S12" s="31">
        <f t="shared" si="5"/>
        <v>0.15</v>
      </c>
      <c r="T12" s="154">
        <f t="shared" si="2"/>
        <v>1988.35</v>
      </c>
      <c r="U12" s="154">
        <f t="shared" ref="U12:AC12" si="19">T12*(1+$S12)</f>
        <v>2286.6024999999995</v>
      </c>
      <c r="V12" s="154">
        <f t="shared" si="19"/>
        <v>2629.5928749999994</v>
      </c>
      <c r="W12" s="154">
        <f t="shared" si="19"/>
        <v>3024.0318062499991</v>
      </c>
      <c r="X12" s="154">
        <f t="shared" si="19"/>
        <v>3477.6365771874989</v>
      </c>
      <c r="Y12" s="154">
        <f t="shared" si="19"/>
        <v>3999.2820637656237</v>
      </c>
      <c r="Z12" s="154">
        <f t="shared" si="19"/>
        <v>4599.1743733304666</v>
      </c>
      <c r="AA12" s="154">
        <f t="shared" si="19"/>
        <v>5289.0505293300357</v>
      </c>
      <c r="AB12" s="154">
        <f t="shared" si="19"/>
        <v>6082.4081087295408</v>
      </c>
      <c r="AC12" s="154">
        <f t="shared" si="19"/>
        <v>6994.7693250389711</v>
      </c>
      <c r="AD12" s="138">
        <f t="shared" si="17"/>
        <v>0.21820949850027893</v>
      </c>
      <c r="AE12" s="31">
        <f t="shared" si="15"/>
        <v>0.05</v>
      </c>
      <c r="AF12" s="146">
        <f t="shared" si="1"/>
        <v>43202.987007593649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334</v>
      </c>
      <c r="H13" s="147">
        <v>478</v>
      </c>
      <c r="I13" s="147">
        <v>247</v>
      </c>
      <c r="J13" s="147">
        <v>147</v>
      </c>
      <c r="K13" s="147">
        <v>4809</v>
      </c>
      <c r="L13" s="147">
        <v>2348</v>
      </c>
      <c r="M13" s="147">
        <v>5162</v>
      </c>
      <c r="N13" s="147">
        <v>622</v>
      </c>
      <c r="O13" s="147">
        <v>1815</v>
      </c>
      <c r="P13" s="147">
        <v>6769</v>
      </c>
      <c r="Q13" s="193">
        <f>P13</f>
        <v>6769</v>
      </c>
      <c r="R13" s="118">
        <f>((Q13/G13)^(1/($H$2-$H$1) ))-1</f>
        <v>0.39700371432657144</v>
      </c>
      <c r="S13" s="31">
        <f t="shared" si="5"/>
        <v>0.15</v>
      </c>
      <c r="T13" s="154">
        <f t="shared" si="2"/>
        <v>7784.3499999999995</v>
      </c>
      <c r="U13" s="154">
        <f t="shared" ref="U13:AC13" si="20">T13*(1+$S13)</f>
        <v>8952.0024999999987</v>
      </c>
      <c r="V13" s="154">
        <f t="shared" si="20"/>
        <v>10294.802874999998</v>
      </c>
      <c r="W13" s="154">
        <f t="shared" si="20"/>
        <v>11839.023306249996</v>
      </c>
      <c r="X13" s="154">
        <f t="shared" si="20"/>
        <v>13614.876802187493</v>
      </c>
      <c r="Y13" s="154">
        <f t="shared" si="20"/>
        <v>15657.108322515616</v>
      </c>
      <c r="Z13" s="154">
        <f t="shared" si="20"/>
        <v>18005.674570892956</v>
      </c>
      <c r="AA13" s="154">
        <f t="shared" si="20"/>
        <v>20706.525756526898</v>
      </c>
      <c r="AB13" s="154">
        <f t="shared" si="20"/>
        <v>23812.50462000593</v>
      </c>
      <c r="AC13" s="154">
        <f t="shared" si="20"/>
        <v>27384.380313006815</v>
      </c>
      <c r="AD13" s="138">
        <f t="shared" si="17"/>
        <v>0.24648719823987308</v>
      </c>
      <c r="AE13" s="31">
        <f t="shared" si="15"/>
        <v>0.05</v>
      </c>
      <c r="AF13" s="146">
        <f t="shared" si="1"/>
        <v>169138.81958033625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32</v>
      </c>
      <c r="H14" s="147">
        <v>54</v>
      </c>
      <c r="I14" s="147">
        <v>38</v>
      </c>
      <c r="J14" s="147">
        <v>91</v>
      </c>
      <c r="K14" s="147">
        <v>114</v>
      </c>
      <c r="L14" s="147">
        <v>96</v>
      </c>
      <c r="M14" s="147">
        <v>48</v>
      </c>
      <c r="N14" s="147">
        <v>214</v>
      </c>
      <c r="O14" s="147">
        <v>131</v>
      </c>
      <c r="P14" s="147">
        <v>111</v>
      </c>
      <c r="Q14" s="193">
        <f>P14</f>
        <v>111</v>
      </c>
      <c r="R14" s="118">
        <f>((Q14/G14)^(1/($H$2-$H$1) ))-1</f>
        <v>0.14820444095913987</v>
      </c>
      <c r="S14" s="31">
        <f t="shared" si="5"/>
        <v>0.15</v>
      </c>
      <c r="T14" s="154">
        <f t="shared" si="2"/>
        <v>127.64999999999999</v>
      </c>
      <c r="U14" s="154">
        <f t="shared" ref="U14" si="21">T14*(1+$S14)</f>
        <v>146.79749999999999</v>
      </c>
      <c r="V14" s="154">
        <f t="shared" ref="V14" si="22">U14*(1+$S14)</f>
        <v>168.81712499999998</v>
      </c>
      <c r="W14" s="154">
        <f t="shared" ref="W14" si="23">V14*(1+$S14)</f>
        <v>194.13969374999996</v>
      </c>
      <c r="X14" s="154">
        <f t="shared" ref="X14" si="24">W14*(1+$S14)</f>
        <v>223.26064781249994</v>
      </c>
      <c r="Y14" s="154">
        <f t="shared" ref="Y14" si="25">X14*(1+$S14)</f>
        <v>256.7497449843749</v>
      </c>
      <c r="Z14" s="154">
        <f t="shared" ref="Z14" si="26">Y14*(1+$S14)</f>
        <v>295.26220673203113</v>
      </c>
      <c r="AA14" s="154">
        <f t="shared" ref="AA14" si="27">Z14*(1+$S14)</f>
        <v>339.55153774183577</v>
      </c>
      <c r="AB14" s="154">
        <f t="shared" ref="AB14" si="28">AA14*(1+$S14)</f>
        <v>390.48426840311112</v>
      </c>
      <c r="AC14" s="154">
        <f t="shared" ref="AC14" si="29">AB14*(1+$S14)</f>
        <v>449.05690866357776</v>
      </c>
      <c r="AD14" s="138">
        <f t="shared" ref="AD14" si="30">((AC14/G14)^(1/($AC$3-$H$1) ))-1</f>
        <v>0.14118898262993151</v>
      </c>
      <c r="AE14" s="31">
        <f t="shared" si="15"/>
        <v>0.05</v>
      </c>
      <c r="AF14" s="146">
        <f t="shared" ref="AF14" si="31">(AC14*(1+AE14))/($C$1-AE14)</f>
        <v>2773.5867888044513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698</v>
      </c>
      <c r="H15" s="147">
        <v>975</v>
      </c>
      <c r="I15" s="147">
        <v>1367</v>
      </c>
      <c r="J15" s="147">
        <v>2230</v>
      </c>
      <c r="K15" s="147">
        <v>3200</v>
      </c>
      <c r="L15" s="147">
        <v>3353</v>
      </c>
      <c r="M15" s="147">
        <v>4241</v>
      </c>
      <c r="N15" s="147">
        <v>6590</v>
      </c>
      <c r="O15" s="147">
        <v>8534</v>
      </c>
      <c r="P15" s="147">
        <v>8483</v>
      </c>
      <c r="Q15" s="193">
        <f>P15</f>
        <v>8483</v>
      </c>
      <c r="R15" s="118">
        <f>((Q15/G15)^(1/($H$2-$H$1) ))-1</f>
        <v>0.31984083338724512</v>
      </c>
      <c r="S15" s="31">
        <f t="shared" si="5"/>
        <v>0.15</v>
      </c>
      <c r="T15" s="154">
        <f t="shared" si="2"/>
        <v>9755.4499999999989</v>
      </c>
      <c r="U15" s="154">
        <f t="shared" ref="U15:AC15" si="32">T15*(1+$S15)</f>
        <v>11218.767499999998</v>
      </c>
      <c r="V15" s="154">
        <f t="shared" si="32"/>
        <v>12901.582624999997</v>
      </c>
      <c r="W15" s="154">
        <f t="shared" si="32"/>
        <v>14836.820018749995</v>
      </c>
      <c r="X15" s="154">
        <f t="shared" si="32"/>
        <v>17062.343021562494</v>
      </c>
      <c r="Y15" s="154">
        <f t="shared" si="32"/>
        <v>19621.694474796866</v>
      </c>
      <c r="Z15" s="154">
        <f t="shared" si="32"/>
        <v>22564.948646016393</v>
      </c>
      <c r="AA15" s="154">
        <f t="shared" si="32"/>
        <v>25949.690942918849</v>
      </c>
      <c r="AB15" s="154">
        <f t="shared" si="32"/>
        <v>29842.144584356673</v>
      </c>
      <c r="AC15" s="154">
        <f t="shared" si="32"/>
        <v>34318.46627201017</v>
      </c>
      <c r="AD15" s="138">
        <f t="shared" si="17"/>
        <v>0.2150205473392528</v>
      </c>
      <c r="AE15" s="31">
        <f t="shared" si="15"/>
        <v>0.05</v>
      </c>
      <c r="AF15" s="146">
        <f t="shared" si="1"/>
        <v>211966.99756241581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-454</v>
      </c>
      <c r="H16" s="147">
        <v>-2307</v>
      </c>
      <c r="I16" s="147">
        <v>-4266</v>
      </c>
      <c r="J16" s="147">
        <v>-6155</v>
      </c>
      <c r="K16" s="147">
        <v>-8588</v>
      </c>
      <c r="L16" s="147">
        <v>-6566</v>
      </c>
      <c r="M16" s="147">
        <v>-5424</v>
      </c>
      <c r="N16" s="147">
        <v>-21223</v>
      </c>
      <c r="O16" s="147">
        <v>-12993</v>
      </c>
      <c r="P16" s="147">
        <v>-16322</v>
      </c>
      <c r="Q16" s="193">
        <f>P16</f>
        <v>-16322</v>
      </c>
      <c r="R16" s="118">
        <f>((Q16/G16)^(1/($H$2-$H$1) ))-1</f>
        <v>0.48887247900879127</v>
      </c>
      <c r="S16" s="31">
        <f t="shared" si="5"/>
        <v>0.15</v>
      </c>
      <c r="T16" s="154">
        <f t="shared" si="2"/>
        <v>-18770.3</v>
      </c>
      <c r="U16" s="154">
        <f t="shared" ref="U16:AC16" si="33">T16*(1+$S16)</f>
        <v>-21585.844999999998</v>
      </c>
      <c r="V16" s="154">
        <f t="shared" si="33"/>
        <v>-24823.721749999997</v>
      </c>
      <c r="W16" s="154">
        <f t="shared" si="33"/>
        <v>-28547.280012499996</v>
      </c>
      <c r="X16" s="154">
        <f t="shared" si="33"/>
        <v>-32829.372014374996</v>
      </c>
      <c r="Y16" s="154">
        <f t="shared" si="33"/>
        <v>-37753.777816531241</v>
      </c>
      <c r="Z16" s="154">
        <f t="shared" si="33"/>
        <v>-43416.844489010924</v>
      </c>
      <c r="AA16" s="154">
        <f t="shared" si="33"/>
        <v>-49929.371162362557</v>
      </c>
      <c r="AB16" s="154">
        <f t="shared" si="33"/>
        <v>-57418.776836716934</v>
      </c>
      <c r="AC16" s="154">
        <f t="shared" si="33"/>
        <v>-66031.593362224463</v>
      </c>
      <c r="AD16" s="138">
        <f t="shared" si="17"/>
        <v>0.28272865386691981</v>
      </c>
      <c r="AE16" s="31">
        <f t="shared" si="15"/>
        <v>0.05</v>
      </c>
      <c r="AF16" s="146">
        <f t="shared" si="1"/>
        <v>-407842.19429609232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8607</v>
      </c>
      <c r="H18" s="147">
        <v>10382</v>
      </c>
      <c r="I18" s="147">
        <v>13818</v>
      </c>
      <c r="J18" s="147">
        <v>20504</v>
      </c>
      <c r="K18" s="147">
        <v>32549</v>
      </c>
      <c r="L18" s="147">
        <v>43948</v>
      </c>
      <c r="M18" s="147">
        <v>50849</v>
      </c>
      <c r="N18" s="147">
        <v>128874</v>
      </c>
      <c r="O18" s="147">
        <v>133582</v>
      </c>
      <c r="P18" s="147">
        <v>136923</v>
      </c>
      <c r="Q18" s="193">
        <f>P18</f>
        <v>136923</v>
      </c>
      <c r="R18" s="118">
        <f>((Q18/G18)^(1/($H$2-$H$1) ))-1</f>
        <v>0.35992151524848137</v>
      </c>
      <c r="S18" s="31">
        <f t="shared" si="5"/>
        <v>0.15</v>
      </c>
      <c r="T18" s="154">
        <f t="shared" si="2"/>
        <v>157461.44999999998</v>
      </c>
      <c r="U18" s="154">
        <f t="shared" ref="U18:U34" si="34">T18*(1+$S18)</f>
        <v>181080.66749999995</v>
      </c>
      <c r="V18" s="154">
        <f t="shared" ref="V18:V34" si="35">U18*(1+$S18)</f>
        <v>208242.76762499992</v>
      </c>
      <c r="W18" s="154">
        <f t="shared" ref="W18:W34" si="36">V18*(1+$S18)</f>
        <v>239479.18276874989</v>
      </c>
      <c r="X18" s="154">
        <f t="shared" ref="X18:X36" si="37">W18*(1+$S18)</f>
        <v>275401.06018406234</v>
      </c>
      <c r="Y18" s="154">
        <f t="shared" ref="Y18:Y36" si="38">X18*(1+$S18)</f>
        <v>316711.21921167168</v>
      </c>
      <c r="Z18" s="154">
        <f t="shared" ref="Z18:Z36" si="39">Y18*(1+$S18)</f>
        <v>364217.90209342242</v>
      </c>
      <c r="AA18" s="154">
        <f t="shared" ref="AA18:AA36" si="40">Z18*(1+$S18)</f>
        <v>418850.58740743576</v>
      </c>
      <c r="AB18" s="154">
        <f t="shared" ref="AB18:AB36" si="41">AA18*(1+$S18)</f>
        <v>481678.17551855108</v>
      </c>
      <c r="AC18" s="154">
        <f t="shared" ref="AC18:AC36" si="42">AB18*(1+$S18)</f>
        <v>553929.90184633376</v>
      </c>
      <c r="AD18" s="138">
        <f t="shared" si="17"/>
        <v>0.2314879036840205</v>
      </c>
      <c r="AE18" s="31">
        <f t="shared" si="15"/>
        <v>0.05</v>
      </c>
      <c r="AF18" s="146">
        <f t="shared" si="1"/>
        <v>3421331.7466979446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-7</v>
      </c>
      <c r="H20" s="147">
        <v>3005</v>
      </c>
      <c r="I20" s="147">
        <v>4547</v>
      </c>
      <c r="J20" s="147">
        <v>8107</v>
      </c>
      <c r="K20" s="147">
        <v>10459</v>
      </c>
      <c r="L20" s="147">
        <v>11853</v>
      </c>
      <c r="M20" s="147">
        <v>12692</v>
      </c>
      <c r="N20" s="147">
        <v>13293</v>
      </c>
      <c r="O20" s="147">
        <v>11437</v>
      </c>
      <c r="P20" s="147">
        <v>13884</v>
      </c>
      <c r="Q20" s="193">
        <f>P20</f>
        <v>13884</v>
      </c>
      <c r="R20" s="118">
        <f>((Q20/G20)^(1/($H$2-$H$1) ))-1</f>
        <v>-3.324767996357413</v>
      </c>
      <c r="S20" s="31">
        <f t="shared" si="5"/>
        <v>0.15</v>
      </c>
      <c r="T20" s="154">
        <f t="shared" si="2"/>
        <v>15966.599999999999</v>
      </c>
      <c r="U20" s="154">
        <f t="shared" ref="U20:U22" si="43">T20*(1+$S20)</f>
        <v>18361.589999999997</v>
      </c>
      <c r="V20" s="154">
        <f t="shared" ref="V20:V22" si="44">U20*(1+$S20)</f>
        <v>21115.828499999996</v>
      </c>
      <c r="W20" s="154">
        <f t="shared" ref="W20:W22" si="45">V20*(1+$S20)</f>
        <v>24283.202774999994</v>
      </c>
      <c r="X20" s="154">
        <f t="shared" ref="X20:X22" si="46">W20*(1+$S20)</f>
        <v>27925.683191249991</v>
      </c>
      <c r="Y20" s="154">
        <f t="shared" ref="Y20:Y22" si="47">X20*(1+$S20)</f>
        <v>32114.535669937486</v>
      </c>
      <c r="Z20" s="154">
        <f t="shared" ref="Z20:Z22" si="48">Y20*(1+$S20)</f>
        <v>36931.716020428103</v>
      </c>
      <c r="AA20" s="154">
        <f t="shared" ref="AA20:AA22" si="49">Z20*(1+$S20)</f>
        <v>42471.473423492316</v>
      </c>
      <c r="AB20" s="154">
        <f t="shared" ref="AB20:AB22" si="50">AA20*(1+$S20)</f>
        <v>48842.194437016158</v>
      </c>
      <c r="AC20" s="154">
        <f t="shared" ref="AC20:AC22" si="51">AB20*(1+$S20)</f>
        <v>56168.523602568581</v>
      </c>
      <c r="AD20" s="138" t="e">
        <f t="shared" ref="AD20:AD22" si="52">((AC20/G20)^(1/($AC$3-$H$1) ))-1</f>
        <v>#NUM!</v>
      </c>
      <c r="AE20" s="31">
        <f t="shared" si="15"/>
        <v>0.05</v>
      </c>
      <c r="AF20" s="146">
        <f t="shared" si="1"/>
        <v>346923.23401586479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-601</v>
      </c>
      <c r="H21" s="147">
        <v>-2330</v>
      </c>
      <c r="I21" s="147">
        <v>-5000</v>
      </c>
      <c r="J21" s="147">
        <v>-7975</v>
      </c>
      <c r="K21" s="147">
        <v>-11648</v>
      </c>
      <c r="L21" s="147">
        <v>-10894</v>
      </c>
      <c r="M21" s="147">
        <v>-10601</v>
      </c>
      <c r="N21" s="147">
        <v>-19102</v>
      </c>
      <c r="O21" s="147">
        <v>-12611</v>
      </c>
      <c r="P21" s="147">
        <v>-10725</v>
      </c>
      <c r="Q21" s="193">
        <f>P21</f>
        <v>-10725</v>
      </c>
      <c r="R21" s="118">
        <f>((Q21/G21)^(1/($H$2-$H$1) ))-1</f>
        <v>0.37739369949676971</v>
      </c>
      <c r="S21" s="31">
        <f t="shared" si="5"/>
        <v>0.15</v>
      </c>
      <c r="T21" s="154">
        <f t="shared" si="2"/>
        <v>-12333.749999999998</v>
      </c>
      <c r="U21" s="154">
        <f t="shared" si="43"/>
        <v>-14183.812499999996</v>
      </c>
      <c r="V21" s="154">
        <f t="shared" si="44"/>
        <v>-16311.384374999994</v>
      </c>
      <c r="W21" s="154">
        <f t="shared" si="45"/>
        <v>-18758.092031249991</v>
      </c>
      <c r="X21" s="154">
        <f t="shared" si="46"/>
        <v>-21571.805835937488</v>
      </c>
      <c r="Y21" s="154">
        <f t="shared" si="47"/>
        <v>-24807.576711328111</v>
      </c>
      <c r="Z21" s="154">
        <f t="shared" si="48"/>
        <v>-28528.713218027326</v>
      </c>
      <c r="AA21" s="154">
        <f t="shared" si="49"/>
        <v>-32808.020200731422</v>
      </c>
      <c r="AB21" s="154">
        <f t="shared" si="50"/>
        <v>-37729.223230841133</v>
      </c>
      <c r="AC21" s="154">
        <f t="shared" si="51"/>
        <v>-43388.6067154673</v>
      </c>
      <c r="AD21" s="138">
        <f t="shared" si="52"/>
        <v>0.23858284814549813</v>
      </c>
      <c r="AE21" s="31">
        <f t="shared" si="15"/>
        <v>0.05</v>
      </c>
      <c r="AF21" s="146">
        <f t="shared" si="1"/>
        <v>-267988.45324259216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609</v>
      </c>
      <c r="H22" s="147">
        <v>-423</v>
      </c>
      <c r="I22" s="147">
        <v>376</v>
      </c>
      <c r="J22" s="147">
        <v>340</v>
      </c>
      <c r="K22" s="147">
        <v>898</v>
      </c>
      <c r="L22" s="147">
        <v>-672</v>
      </c>
      <c r="M22" s="147">
        <v>-2539</v>
      </c>
      <c r="N22" s="147">
        <v>5594</v>
      </c>
      <c r="O22" s="147">
        <v>1400</v>
      </c>
      <c r="P22" s="147">
        <v>-3185</v>
      </c>
      <c r="Q22" s="193">
        <f>P22</f>
        <v>-3185</v>
      </c>
      <c r="R22" s="118">
        <f>((Q22/G22)^(1/($H$2-$H$1) ))-1</f>
        <v>-2.201800721619311</v>
      </c>
      <c r="S22" s="31">
        <f t="shared" si="5"/>
        <v>0.15</v>
      </c>
      <c r="T22" s="154">
        <f t="shared" si="2"/>
        <v>-3662.7499999999995</v>
      </c>
      <c r="U22" s="154">
        <f t="shared" si="43"/>
        <v>-4212.1624999999995</v>
      </c>
      <c r="V22" s="154">
        <f t="shared" si="44"/>
        <v>-4843.9868749999987</v>
      </c>
      <c r="W22" s="154">
        <f t="shared" si="45"/>
        <v>-5570.5849062499983</v>
      </c>
      <c r="X22" s="154">
        <f t="shared" si="46"/>
        <v>-6406.1726421874973</v>
      </c>
      <c r="Y22" s="154">
        <f t="shared" si="47"/>
        <v>-7367.0985385156209</v>
      </c>
      <c r="Z22" s="154">
        <f t="shared" si="48"/>
        <v>-8472.1633192929639</v>
      </c>
      <c r="AA22" s="154">
        <f t="shared" si="49"/>
        <v>-9742.9878171869077</v>
      </c>
      <c r="AB22" s="154">
        <f t="shared" si="50"/>
        <v>-11204.435989764943</v>
      </c>
      <c r="AC22" s="154">
        <f t="shared" si="51"/>
        <v>-12885.101388229683</v>
      </c>
      <c r="AD22" s="138" t="e">
        <f t="shared" si="52"/>
        <v>#NUM!</v>
      </c>
      <c r="AE22" s="31">
        <f t="shared" si="15"/>
        <v>0.05</v>
      </c>
      <c r="AF22" s="146">
        <f t="shared" si="1"/>
        <v>-79584.449750830405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0.13</v>
      </c>
      <c r="H23" s="147">
        <v>384</v>
      </c>
      <c r="I23" s="147">
        <v>307</v>
      </c>
      <c r="J23" s="147">
        <v>780</v>
      </c>
      <c r="K23" s="147">
        <v>502</v>
      </c>
      <c r="L23" s="147">
        <v>790</v>
      </c>
      <c r="M23" s="147">
        <v>341</v>
      </c>
      <c r="N23" s="147">
        <v>128</v>
      </c>
      <c r="O23" s="147">
        <v>355</v>
      </c>
      <c r="P23" s="147">
        <v>328</v>
      </c>
      <c r="Q23" s="193">
        <f>P23</f>
        <v>328</v>
      </c>
      <c r="R23" s="118">
        <f>((Q23/G23)^(1/($H$2-$H$1) ))-1</f>
        <v>1.3877688201913436</v>
      </c>
      <c r="S23" s="31">
        <f t="shared" si="5"/>
        <v>0.15</v>
      </c>
      <c r="T23" s="154">
        <f t="shared" si="2"/>
        <v>377.2</v>
      </c>
      <c r="U23" s="154">
        <f t="shared" ref="U23" si="53">T23*(1+$S23)</f>
        <v>433.78</v>
      </c>
      <c r="V23" s="154">
        <f t="shared" ref="V23" si="54">U23*(1+$S23)</f>
        <v>498.84699999999992</v>
      </c>
      <c r="W23" s="154">
        <f t="shared" ref="W23" si="55">V23*(1+$S23)</f>
        <v>573.67404999999985</v>
      </c>
      <c r="X23" s="154">
        <f t="shared" ref="X23" si="56">W23*(1+$S23)</f>
        <v>659.7251574999998</v>
      </c>
      <c r="Y23" s="154">
        <f t="shared" ref="Y23" si="57">X23*(1+$S23)</f>
        <v>758.68393112499973</v>
      </c>
      <c r="Z23" s="154">
        <f t="shared" ref="Z23" si="58">Y23*(1+$S23)</f>
        <v>872.48652079374961</v>
      </c>
      <c r="AA23" s="154">
        <f t="shared" ref="AA23" si="59">Z23*(1+$S23)</f>
        <v>1003.359498912812</v>
      </c>
      <c r="AB23" s="154">
        <f t="shared" ref="AB23" si="60">AA23*(1+$S23)</f>
        <v>1153.8634237497338</v>
      </c>
      <c r="AC23" s="154">
        <f t="shared" ref="AC23" si="61">AB23*(1+$S23)</f>
        <v>1326.9429373121936</v>
      </c>
      <c r="AD23" s="138">
        <f t="shared" ref="AD23" si="62">((AC23/G23)^(1/($AC$3-$H$1) ))-1</f>
        <v>0.58651961083501414</v>
      </c>
      <c r="AE23" s="31">
        <f t="shared" si="15"/>
        <v>0.05</v>
      </c>
      <c r="AF23" s="146">
        <f t="shared" si="1"/>
        <v>8195.824024575315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5036</v>
      </c>
      <c r="H25" s="147">
        <v>7129</v>
      </c>
      <c r="I25" s="147">
        <v>11673</v>
      </c>
      <c r="J25" s="147">
        <v>18625</v>
      </c>
      <c r="K25" s="147">
        <v>21394</v>
      </c>
      <c r="L25" s="147">
        <v>36022</v>
      </c>
      <c r="M25" s="147">
        <v>42956</v>
      </c>
      <c r="N25" s="147">
        <v>61189</v>
      </c>
      <c r="O25" s="147">
        <v>69729</v>
      </c>
      <c r="P25" s="147">
        <v>80359</v>
      </c>
      <c r="Q25" s="193">
        <f>P25</f>
        <v>80359</v>
      </c>
      <c r="R25" s="118">
        <f>((Q25/G25)^(1/($H$2-$H$1) ))-1</f>
        <v>0.36038231677823629</v>
      </c>
      <c r="S25" s="31">
        <f t="shared" si="5"/>
        <v>0.15</v>
      </c>
      <c r="T25" s="154">
        <f t="shared" si="2"/>
        <v>92412.849999999991</v>
      </c>
      <c r="U25" s="154">
        <f t="shared" si="34"/>
        <v>106274.77749999998</v>
      </c>
      <c r="V25" s="154">
        <f t="shared" si="35"/>
        <v>122215.99412499997</v>
      </c>
      <c r="W25" s="154">
        <f t="shared" si="36"/>
        <v>140548.39324374995</v>
      </c>
      <c r="X25" s="154">
        <f t="shared" si="37"/>
        <v>161630.65223031244</v>
      </c>
      <c r="Y25" s="154">
        <f t="shared" si="38"/>
        <v>185875.25006485928</v>
      </c>
      <c r="Z25" s="154">
        <f t="shared" si="39"/>
        <v>213756.53757458815</v>
      </c>
      <c r="AA25" s="154">
        <f t="shared" si="40"/>
        <v>245820.01821077635</v>
      </c>
      <c r="AB25" s="154">
        <f t="shared" si="41"/>
        <v>282693.02094239276</v>
      </c>
      <c r="AC25" s="154">
        <f t="shared" si="42"/>
        <v>325096.97408375167</v>
      </c>
      <c r="AD25" s="138">
        <f t="shared" si="17"/>
        <v>0.23167566333452583</v>
      </c>
      <c r="AE25" s="31">
        <f t="shared" si="15"/>
        <v>0.05</v>
      </c>
      <c r="AF25" s="146">
        <f t="shared" si="1"/>
        <v>2007951.8987525841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0.29358956375368217</v>
      </c>
      <c r="I26" s="148">
        <f t="shared" ref="I26" si="63">(I25-H25)/I25</f>
        <v>0.38927439390045404</v>
      </c>
      <c r="J26" s="148">
        <f t="shared" ref="J26" si="64">(J25-I25)/J25</f>
        <v>0.37326174496644293</v>
      </c>
      <c r="K26" s="148">
        <f t="shared" ref="K26" si="65">(K25-J25)/K25</f>
        <v>0.12942881181639712</v>
      </c>
      <c r="L26" s="148">
        <f t="shared" ref="L26" si="66">(L25-K25)/L25</f>
        <v>0.40608517017378271</v>
      </c>
      <c r="M26" s="148">
        <f t="shared" ref="M26" si="67">(M25-L25)/M25</f>
        <v>0.16142098891889375</v>
      </c>
      <c r="N26" s="148">
        <f t="shared" ref="N26" si="68">(N25-M25)/N25</f>
        <v>0.29797839480952459</v>
      </c>
      <c r="O26" s="148">
        <f t="shared" ref="O26" si="69">(O25-N25)/O25</f>
        <v>0.12247414992327439</v>
      </c>
      <c r="P26" s="148">
        <f t="shared" ref="P26:Q26" si="70">(P25-O25)/P25</f>
        <v>0.1322813872746052</v>
      </c>
      <c r="Q26" s="195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3332</v>
      </c>
      <c r="H27" s="147">
        <v>5089</v>
      </c>
      <c r="I27" s="147">
        <v>7459</v>
      </c>
      <c r="J27" s="147">
        <v>11038</v>
      </c>
      <c r="K27" s="147">
        <v>15654</v>
      </c>
      <c r="L27" s="147">
        <v>21893</v>
      </c>
      <c r="M27" s="147">
        <v>24785</v>
      </c>
      <c r="N27" s="147">
        <v>39495</v>
      </c>
      <c r="O27" s="147">
        <v>47800</v>
      </c>
      <c r="P27" s="147">
        <v>55488</v>
      </c>
      <c r="Q27" s="193">
        <f>P27</f>
        <v>55488</v>
      </c>
      <c r="R27" s="118">
        <f>((Q27/G27)^(1/($H$2-$H$1) ))-1</f>
        <v>0.36685222574576781</v>
      </c>
      <c r="S27" s="31">
        <f t="shared" si="5"/>
        <v>0.15</v>
      </c>
      <c r="T27" s="154">
        <f t="shared" si="2"/>
        <v>63811.199999999997</v>
      </c>
      <c r="U27" s="154">
        <f t="shared" si="34"/>
        <v>73382.87999999999</v>
      </c>
      <c r="V27" s="154">
        <f t="shared" si="35"/>
        <v>84390.311999999976</v>
      </c>
      <c r="W27" s="154">
        <f t="shared" si="36"/>
        <v>97048.858799999958</v>
      </c>
      <c r="X27" s="154">
        <f t="shared" si="37"/>
        <v>111606.18761999994</v>
      </c>
      <c r="Y27" s="154">
        <f t="shared" si="38"/>
        <v>128347.11576299992</v>
      </c>
      <c r="Z27" s="154">
        <f t="shared" si="39"/>
        <v>147599.18312744991</v>
      </c>
      <c r="AA27" s="154">
        <f t="shared" si="40"/>
        <v>169739.06059656737</v>
      </c>
      <c r="AB27" s="154">
        <f t="shared" si="41"/>
        <v>195199.91968605245</v>
      </c>
      <c r="AC27" s="154">
        <f t="shared" si="42"/>
        <v>224479.90763896031</v>
      </c>
      <c r="AD27" s="138">
        <f t="shared" si="17"/>
        <v>0.23430822819523844</v>
      </c>
      <c r="AE27" s="31">
        <f t="shared" si="15"/>
        <v>0.05</v>
      </c>
      <c r="AF27" s="146">
        <f t="shared" si="1"/>
        <v>1386493.5471818137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0.34525447042640989</v>
      </c>
      <c r="I28" s="148">
        <f t="shared" si="71"/>
        <v>0.31773696205925728</v>
      </c>
      <c r="J28" s="148">
        <f t="shared" si="71"/>
        <v>0.32424352237724224</v>
      </c>
      <c r="K28" s="148">
        <f t="shared" si="71"/>
        <v>0.29487670882841444</v>
      </c>
      <c r="L28" s="148">
        <f t="shared" si="71"/>
        <v>0.28497693326634083</v>
      </c>
      <c r="M28" s="148">
        <f t="shared" si="71"/>
        <v>0.11668347791002623</v>
      </c>
      <c r="N28" s="148">
        <f t="shared" ref="N28" si="72">(N27-M27)/N27</f>
        <v>0.37245220914039751</v>
      </c>
      <c r="O28" s="148">
        <f t="shared" ref="O28" si="73">(O27-N27)/O27</f>
        <v>0.17374476987447698</v>
      </c>
      <c r="P28" s="148">
        <f t="shared" ref="P28:Q28" si="74">(P27-O27)/P27</f>
        <v>0.1385524798154556</v>
      </c>
      <c r="Q28" s="19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269</v>
      </c>
      <c r="H29" s="147">
        <v>318</v>
      </c>
      <c r="I29" s="147">
        <v>239</v>
      </c>
      <c r="J29" s="147">
        <v>302</v>
      </c>
      <c r="K29" s="147">
        <v>396</v>
      </c>
      <c r="L29" s="147">
        <v>631</v>
      </c>
      <c r="M29" s="147">
        <v>769</v>
      </c>
      <c r="N29" s="147">
        <v>2534</v>
      </c>
      <c r="O29" s="147">
        <v>4082</v>
      </c>
      <c r="P29" s="147">
        <v>4384</v>
      </c>
      <c r="Q29" s="193">
        <f>P29</f>
        <v>4384</v>
      </c>
      <c r="R29" s="118">
        <f>((Q29/G29)^(1/($H$2-$H$1) ))-1</f>
        <v>0.36357743980211854</v>
      </c>
      <c r="S29" s="31">
        <f t="shared" si="5"/>
        <v>0.15</v>
      </c>
      <c r="T29" s="154">
        <f t="shared" si="2"/>
        <v>5041.5999999999995</v>
      </c>
      <c r="U29" s="154">
        <f t="shared" ref="U29" si="75">T29*(1+$S29)</f>
        <v>5797.8399999999992</v>
      </c>
      <c r="V29" s="154">
        <f t="shared" ref="V29" si="76">U29*(1+$S29)</f>
        <v>6667.5159999999987</v>
      </c>
      <c r="W29" s="154">
        <f t="shared" ref="W29" si="77">V29*(1+$S29)</f>
        <v>7667.6433999999981</v>
      </c>
      <c r="X29" s="154">
        <f t="shared" ref="X29" si="78">W29*(1+$S29)</f>
        <v>8817.7899099999977</v>
      </c>
      <c r="Y29" s="154">
        <f t="shared" ref="Y29" si="79">X29*(1+$S29)</f>
        <v>10140.458396499997</v>
      </c>
      <c r="Z29" s="154">
        <f t="shared" ref="Z29" si="80">Y29*(1+$S29)</f>
        <v>11661.527155974994</v>
      </c>
      <c r="AA29" s="154">
        <f t="shared" ref="AA29" si="81">Z29*(1+$S29)</f>
        <v>13410.756229371242</v>
      </c>
      <c r="AB29" s="154">
        <f t="shared" ref="AB29" si="82">AA29*(1+$S29)</f>
        <v>15422.369663776926</v>
      </c>
      <c r="AC29" s="154">
        <f t="shared" ref="AC29" si="83">AB29*(1+$S29)</f>
        <v>17735.725113343462</v>
      </c>
      <c r="AD29" s="138">
        <f t="shared" ref="AD29" si="84">((AC29/G29)^(1/($AC$3-$H$1) ))-1</f>
        <v>0.23297659721217689</v>
      </c>
      <c r="AE29" s="31">
        <f t="shared" si="15"/>
        <v>0.05</v>
      </c>
      <c r="AF29" s="146">
        <f t="shared" ref="AF29" si="85">(AC29*(1+AE29))/($C$1-AE29)</f>
        <v>109544.18452359199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0.1540880503144654</v>
      </c>
      <c r="I30" s="148">
        <f t="shared" si="86"/>
        <v>-0.33054393305439328</v>
      </c>
      <c r="J30" s="148">
        <f t="shared" si="86"/>
        <v>0.20860927152317882</v>
      </c>
      <c r="K30" s="148">
        <f t="shared" si="86"/>
        <v>0.23737373737373738</v>
      </c>
      <c r="L30" s="148">
        <f t="shared" si="86"/>
        <v>0.37242472266244059</v>
      </c>
      <c r="M30" s="148">
        <f t="shared" ref="M30" si="87">(M29-L29)/M29</f>
        <v>0.17945383615084526</v>
      </c>
      <c r="N30" s="148">
        <f t="shared" ref="N30" si="88">(N29-M29)/N29</f>
        <v>0.69652722967640091</v>
      </c>
      <c r="O30" s="148">
        <f t="shared" ref="O30" si="89">(O29-N29)/O29</f>
        <v>0.37922586967172955</v>
      </c>
      <c r="P30" s="148">
        <f t="shared" ref="P30:Q30" si="90">(P29-O29)/P29</f>
        <v>6.8886861313868619E-2</v>
      </c>
      <c r="Q30" s="19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93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93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0.01</v>
      </c>
      <c r="H33" s="147">
        <v>150</v>
      </c>
      <c r="I33" s="147">
        <v>316</v>
      </c>
      <c r="J33" s="147">
        <v>653</v>
      </c>
      <c r="K33" s="147">
        <v>1058</v>
      </c>
      <c r="L33" s="147">
        <v>2196</v>
      </c>
      <c r="M33" s="147">
        <v>3597</v>
      </c>
      <c r="N33" s="147">
        <v>0</v>
      </c>
      <c r="O33" s="147">
        <v>0</v>
      </c>
      <c r="P33" s="147">
        <v>0</v>
      </c>
      <c r="Q33" s="193">
        <v>0</v>
      </c>
      <c r="R33" s="118">
        <f>((Q33/G33)^(1/($H$2-$H$1) ))-1</f>
        <v>-1</v>
      </c>
      <c r="S33" s="31">
        <f t="shared" si="5"/>
        <v>0.15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>
        <f t="shared" si="17"/>
        <v>-1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372</v>
      </c>
      <c r="H34" s="147">
        <v>488</v>
      </c>
      <c r="I34" s="147">
        <v>758</v>
      </c>
      <c r="J34" s="147">
        <v>1148</v>
      </c>
      <c r="K34" s="147">
        <v>1397</v>
      </c>
      <c r="L34" s="147">
        <v>1653</v>
      </c>
      <c r="M34" s="147">
        <v>1702</v>
      </c>
      <c r="N34" s="147">
        <v>3278</v>
      </c>
      <c r="O34" s="147">
        <v>3515</v>
      </c>
      <c r="P34" s="147">
        <v>4009</v>
      </c>
      <c r="Q34" s="193">
        <f>P34</f>
        <v>4009</v>
      </c>
      <c r="R34" s="118">
        <f>((Q34/G34)^(1/($H$2-$H$1) ))-1</f>
        <v>0.30233123682810481</v>
      </c>
      <c r="S34" s="31">
        <f t="shared" si="5"/>
        <v>0.15</v>
      </c>
      <c r="T34" s="154">
        <f t="shared" si="2"/>
        <v>4610.3499999999995</v>
      </c>
      <c r="U34" s="154">
        <f t="shared" si="34"/>
        <v>5301.9024999999992</v>
      </c>
      <c r="V34" s="154">
        <f t="shared" si="35"/>
        <v>6097.1878749999987</v>
      </c>
      <c r="W34" s="154">
        <f t="shared" si="36"/>
        <v>7011.7660562499977</v>
      </c>
      <c r="X34" s="154">
        <f t="shared" si="37"/>
        <v>8063.5309646874966</v>
      </c>
      <c r="Y34" s="154">
        <f t="shared" si="38"/>
        <v>9273.0606093906208</v>
      </c>
      <c r="Z34" s="154">
        <f t="shared" si="39"/>
        <v>10664.019700799214</v>
      </c>
      <c r="AA34" s="154">
        <f t="shared" si="40"/>
        <v>12263.622655919095</v>
      </c>
      <c r="AB34" s="154">
        <f t="shared" si="41"/>
        <v>14103.166054306957</v>
      </c>
      <c r="AC34" s="154">
        <f t="shared" si="42"/>
        <v>16218.640962453001</v>
      </c>
      <c r="AD34" s="138">
        <f t="shared" si="17"/>
        <v>0.20774034969777255</v>
      </c>
      <c r="AE34" s="31">
        <f t="shared" si="15"/>
        <v>0.05</v>
      </c>
      <c r="AF34" s="146">
        <f t="shared" si="1"/>
        <v>100173.95888573914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1669</v>
      </c>
      <c r="H36" s="147">
        <v>3044</v>
      </c>
      <c r="I36" s="147">
        <v>4188</v>
      </c>
      <c r="J36" s="147">
        <v>7435</v>
      </c>
      <c r="K36" s="147">
        <v>11380</v>
      </c>
      <c r="L36" s="147">
        <v>15440</v>
      </c>
      <c r="M36" s="147">
        <v>16996</v>
      </c>
      <c r="N36" s="147">
        <v>19971</v>
      </c>
      <c r="O36" s="147">
        <v>23704</v>
      </c>
      <c r="P36" s="147">
        <v>24870</v>
      </c>
      <c r="Q36" s="193">
        <f>P36</f>
        <v>24870</v>
      </c>
      <c r="R36" s="118">
        <f>((Q36/G36)^(1/($H$2-$H$1) ))-1</f>
        <v>0.3500744442148811</v>
      </c>
      <c r="S36" s="31">
        <f t="shared" si="5"/>
        <v>0.15</v>
      </c>
      <c r="T36" s="154">
        <f t="shared" si="2"/>
        <v>28600.499999999996</v>
      </c>
      <c r="U36" s="154">
        <f t="shared" ref="U36" si="94">T36*(1+$S36)</f>
        <v>32890.57499999999</v>
      </c>
      <c r="V36" s="154">
        <f t="shared" ref="V36" si="95">U36*(1+$S36)</f>
        <v>37824.161249999983</v>
      </c>
      <c r="W36" s="154">
        <f t="shared" ref="W36" si="96">V36*(1+$S36)</f>
        <v>43497.785437499973</v>
      </c>
      <c r="X36" s="154">
        <f t="shared" si="37"/>
        <v>50022.453253124964</v>
      </c>
      <c r="Y36" s="154">
        <f t="shared" si="38"/>
        <v>57525.821241093705</v>
      </c>
      <c r="Z36" s="154">
        <f t="shared" si="39"/>
        <v>66154.694427257753</v>
      </c>
      <c r="AA36" s="154">
        <f t="shared" si="40"/>
        <v>76077.898591346413</v>
      </c>
      <c r="AB36" s="154">
        <f t="shared" si="41"/>
        <v>87489.583380048367</v>
      </c>
      <c r="AC36" s="154">
        <f t="shared" si="42"/>
        <v>100613.02088705561</v>
      </c>
      <c r="AD36" s="138">
        <f t="shared" si="17"/>
        <v>0.2274671907847039</v>
      </c>
      <c r="AE36" s="31">
        <f t="shared" si="15"/>
        <v>0.05</v>
      </c>
      <c r="AF36" s="146">
        <f t="shared" si="1"/>
        <v>621433.36430240236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0.45170827858081469</v>
      </c>
      <c r="I37" s="148">
        <f t="shared" ref="I37" si="99">(I36-H36)/I36</f>
        <v>0.27316141356255969</v>
      </c>
      <c r="J37" s="148">
        <f t="shared" ref="J37" si="100">(J36-I36)/J36</f>
        <v>0.43671822461331539</v>
      </c>
      <c r="K37" s="148">
        <f t="shared" ref="K37" si="101">(K36-J36)/K36</f>
        <v>0.3466608084358524</v>
      </c>
      <c r="L37" s="148">
        <f t="shared" ref="L37" si="102">(L36-K36)/L36</f>
        <v>0.26295336787564766</v>
      </c>
      <c r="M37" s="148">
        <f t="shared" ref="M37" si="103">(M36-L36)/M36</f>
        <v>9.1550953165450699E-2</v>
      </c>
      <c r="N37" s="148">
        <f t="shared" ref="N37" si="104">(N36-M36)/N36</f>
        <v>0.14896600070101648</v>
      </c>
      <c r="O37" s="148">
        <f t="shared" ref="O37" si="105">(O36-N36)/O36</f>
        <v>0.15748396895038813</v>
      </c>
      <c r="P37" s="148">
        <f t="shared" ref="P37:Q37" si="106">(P36-O36)/P36</f>
        <v>4.6883795737836749E-2</v>
      </c>
      <c r="Q37" s="19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552</v>
      </c>
      <c r="H38" s="147">
        <v>509</v>
      </c>
      <c r="I38" s="147">
        <v>2357</v>
      </c>
      <c r="J38" s="147">
        <v>4664</v>
      </c>
      <c r="K38" s="147">
        <v>1533</v>
      </c>
      <c r="L38" s="147">
        <v>8533</v>
      </c>
      <c r="M38" s="147">
        <v>10847</v>
      </c>
      <c r="N38" s="147">
        <v>8952</v>
      </c>
      <c r="O38" s="147">
        <v>4477</v>
      </c>
      <c r="P38" s="147">
        <v>4989</v>
      </c>
      <c r="Q38" s="193">
        <f>P38</f>
        <v>4989</v>
      </c>
      <c r="R38" s="118">
        <f>((Q38/G38)^(1/($H$2-$H$1) ))-1</f>
        <v>0.27711642913204271</v>
      </c>
      <c r="S38" s="31">
        <f t="shared" si="5"/>
        <v>0.15</v>
      </c>
      <c r="T38" s="154">
        <f t="shared" si="2"/>
        <v>5737.3499999999995</v>
      </c>
      <c r="U38" s="154">
        <f t="shared" ref="U38" si="107">T38*(1+$S38)</f>
        <v>6597.9524999999985</v>
      </c>
      <c r="V38" s="154">
        <f t="shared" ref="V38" si="108">U38*(1+$S38)</f>
        <v>7587.6453749999973</v>
      </c>
      <c r="W38" s="154">
        <f t="shared" ref="W38" si="109">V38*(1+$S38)</f>
        <v>8725.7921812499972</v>
      </c>
      <c r="X38" s="154">
        <f t="shared" ref="X38" si="110">W38*(1+$S38)</f>
        <v>10034.661008437495</v>
      </c>
      <c r="Y38" s="154">
        <f t="shared" ref="Y38" si="111">X38*(1+$S38)</f>
        <v>11539.860159703119</v>
      </c>
      <c r="Z38" s="154">
        <f t="shared" ref="Z38" si="112">Y38*(1+$S38)</f>
        <v>13270.839183658587</v>
      </c>
      <c r="AA38" s="154">
        <f t="shared" ref="AA38" si="113">Z38*(1+$S38)</f>
        <v>15261.465061207375</v>
      </c>
      <c r="AB38" s="154">
        <f t="shared" ref="AB38" si="114">AA38*(1+$S38)</f>
        <v>17550.68482038848</v>
      </c>
      <c r="AC38" s="154">
        <f t="shared" ref="AC38" si="115">AB38*(1+$S38)</f>
        <v>20183.28754344675</v>
      </c>
      <c r="AD38" s="138">
        <f t="shared" ref="AD38" si="116">((AC38/G38)^(1/($AC$3-$H$1) ))-1</f>
        <v>0.19716122364366773</v>
      </c>
      <c r="AE38" s="31">
        <f t="shared" si="15"/>
        <v>0.05</v>
      </c>
      <c r="AF38" s="146">
        <f t="shared" ref="AF38" si="117">(AC38*(1+AE38))/($C$1-AE38)</f>
        <v>124661.48188599465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-8.4479371316306479E-2</v>
      </c>
      <c r="I39" s="148">
        <f t="shared" ref="I39" si="120">(I38-H38)/I38</f>
        <v>0.78404751803139583</v>
      </c>
      <c r="J39" s="148">
        <f t="shared" ref="J39" si="121">(J38-I38)/J38</f>
        <v>0.49463979416809606</v>
      </c>
      <c r="K39" s="148">
        <f t="shared" ref="K39" si="122">(K38-J38)/K38</f>
        <v>-2.0424005218525765</v>
      </c>
      <c r="L39" s="148">
        <f t="shared" ref="L39" si="123">(L38-K38)/L38</f>
        <v>0.82034454470877771</v>
      </c>
      <c r="M39" s="148">
        <f t="shared" ref="M39" si="124">(M38-L38)/M38</f>
        <v>0.21333087489628469</v>
      </c>
      <c r="N39" s="148">
        <f t="shared" ref="N39" si="125">(N38-M38)/N38</f>
        <v>-0.2116845397676497</v>
      </c>
      <c r="O39" s="148">
        <f t="shared" ref="O39" si="126">(O38-N38)/O38</f>
        <v>-0.99955327228054502</v>
      </c>
      <c r="P39" s="148">
        <f t="shared" ref="P39:Q39" si="127">(P38-O38)/P38</f>
        <v>0.10262577670875928</v>
      </c>
      <c r="Q39" s="19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585</v>
      </c>
      <c r="H40" s="147">
        <v>1223</v>
      </c>
      <c r="I40" s="147">
        <v>2054</v>
      </c>
      <c r="J40" s="147">
        <v>4110</v>
      </c>
      <c r="K40" s="147">
        <v>6495</v>
      </c>
      <c r="L40" s="147">
        <v>8044</v>
      </c>
      <c r="M40" s="147">
        <v>9366</v>
      </c>
      <c r="N40" s="147">
        <v>7173</v>
      </c>
      <c r="O40" s="147">
        <v>2217</v>
      </c>
      <c r="P40" s="147">
        <v>2274</v>
      </c>
      <c r="Q40" s="193">
        <f>P40</f>
        <v>2274</v>
      </c>
      <c r="R40" s="118">
        <f>((Q40/G40)^(1/($H$2-$H$1) ))-1</f>
        <v>0.16282659221645956</v>
      </c>
      <c r="S40" s="31">
        <f t="shared" si="5"/>
        <v>0.15</v>
      </c>
      <c r="T40" s="154">
        <f t="shared" si="2"/>
        <v>2615.1</v>
      </c>
      <c r="U40" s="154">
        <f t="shared" ref="U40:AC40" si="128">T40*(1+$S40)</f>
        <v>3007.3649999999998</v>
      </c>
      <c r="V40" s="154">
        <f t="shared" si="128"/>
        <v>3458.4697499999993</v>
      </c>
      <c r="W40" s="154">
        <f t="shared" si="128"/>
        <v>3977.240212499999</v>
      </c>
      <c r="X40" s="154">
        <f t="shared" si="128"/>
        <v>4573.8262443749982</v>
      </c>
      <c r="Y40" s="154">
        <f t="shared" si="128"/>
        <v>5259.9001810312475</v>
      </c>
      <c r="Z40" s="154">
        <f t="shared" si="128"/>
        <v>6048.8852081859341</v>
      </c>
      <c r="AA40" s="154">
        <f t="shared" si="128"/>
        <v>6956.2179894138235</v>
      </c>
      <c r="AB40" s="154">
        <f t="shared" si="128"/>
        <v>7999.6506878258961</v>
      </c>
      <c r="AC40" s="154">
        <f t="shared" si="128"/>
        <v>9199.5982909997801</v>
      </c>
      <c r="AD40" s="138">
        <f t="shared" si="17"/>
        <v>0.14770599426570707</v>
      </c>
      <c r="AE40" s="31">
        <f t="shared" si="15"/>
        <v>0.05</v>
      </c>
      <c r="AF40" s="146">
        <f t="shared" si="1"/>
        <v>56821.048267939826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0.52166802943581358</v>
      </c>
      <c r="I41" s="148">
        <f t="shared" si="129"/>
        <v>0.40457643622200584</v>
      </c>
      <c r="J41" s="148">
        <f t="shared" si="129"/>
        <v>0.50024330900243308</v>
      </c>
      <c r="K41" s="148">
        <f t="shared" si="129"/>
        <v>0.3672055427251732</v>
      </c>
      <c r="L41" s="148">
        <f t="shared" si="129"/>
        <v>0.19256588761810045</v>
      </c>
      <c r="M41" s="148">
        <f t="shared" si="129"/>
        <v>0.1411488362161008</v>
      </c>
      <c r="N41" s="148">
        <f t="shared" si="129"/>
        <v>-0.3057298201589293</v>
      </c>
      <c r="O41" s="148">
        <f t="shared" si="129"/>
        <v>-2.2354533152909335</v>
      </c>
      <c r="P41" s="148">
        <f t="shared" si="129"/>
        <v>2.5065963060686015E-2</v>
      </c>
      <c r="Q41" s="19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18.53</v>
      </c>
      <c r="G42" s="145">
        <v>18.53</v>
      </c>
      <c r="H42" s="145">
        <v>185.33</v>
      </c>
      <c r="I42" s="145">
        <v>189.33</v>
      </c>
      <c r="J42" s="145">
        <v>189.5</v>
      </c>
      <c r="K42" s="145">
        <v>189.7</v>
      </c>
      <c r="L42" s="145">
        <v>189.8</v>
      </c>
      <c r="M42" s="145">
        <v>379.9</v>
      </c>
      <c r="N42" s="145">
        <v>379.7</v>
      </c>
      <c r="O42" s="145">
        <v>379.7</v>
      </c>
      <c r="P42" s="145">
        <v>379.7</v>
      </c>
      <c r="Q42" s="196">
        <f>P42</f>
        <v>379.7</v>
      </c>
      <c r="R42" s="118">
        <f>((Q42/G42)^(1/($H$2-$H$1) ))-1</f>
        <v>0.39871574676395349</v>
      </c>
      <c r="S42" s="31">
        <f>P1</f>
        <v>0.05</v>
      </c>
      <c r="T42" s="154">
        <f t="shared" si="2"/>
        <v>398.685</v>
      </c>
      <c r="U42" s="154">
        <f t="shared" ref="U42:AC42" si="130">T42*(1+$S42)</f>
        <v>418.61925000000002</v>
      </c>
      <c r="V42" s="154">
        <f t="shared" si="130"/>
        <v>439.55021250000004</v>
      </c>
      <c r="W42" s="154">
        <f t="shared" si="130"/>
        <v>461.52772312500008</v>
      </c>
      <c r="X42" s="154">
        <f t="shared" si="130"/>
        <v>484.60410928125009</v>
      </c>
      <c r="Y42" s="154">
        <f t="shared" si="130"/>
        <v>508.83431474531261</v>
      </c>
      <c r="Z42" s="154">
        <f t="shared" si="130"/>
        <v>534.27603048257822</v>
      </c>
      <c r="AA42" s="154">
        <f t="shared" si="130"/>
        <v>560.98983200670716</v>
      </c>
      <c r="AB42" s="154">
        <f t="shared" si="130"/>
        <v>589.03932360704255</v>
      </c>
      <c r="AC42" s="154">
        <f t="shared" si="130"/>
        <v>618.49128978739475</v>
      </c>
      <c r="AD42" s="138">
        <f t="shared" si="17"/>
        <v>0.19171637921526874</v>
      </c>
      <c r="AE42" s="31">
        <f t="shared" si="15"/>
        <v>0.05</v>
      </c>
      <c r="AF42" s="146">
        <f t="shared" si="1"/>
        <v>3820.0932604515565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</v>
      </c>
      <c r="H43" s="148">
        <f t="shared" ref="H43" si="131">(H42-G42)/H42</f>
        <v>0.90001618734149891</v>
      </c>
      <c r="I43" s="148">
        <f t="shared" ref="I43" si="132">(I42-H42)/I42</f>
        <v>2.1127132519938731E-2</v>
      </c>
      <c r="J43" s="148">
        <f t="shared" ref="J43" si="133">(J42-I42)/J42</f>
        <v>8.9709762532974927E-4</v>
      </c>
      <c r="K43" s="148">
        <f t="shared" ref="K43" si="134">(K42-J42)/K42</f>
        <v>1.054296257248227E-3</v>
      </c>
      <c r="L43" s="148">
        <f t="shared" ref="L43" si="135">(L42-K42)/L42</f>
        <v>5.2687038988420828E-4</v>
      </c>
      <c r="M43" s="148">
        <f t="shared" ref="M43" si="136">(M42-L42)/M42</f>
        <v>0.50039484074756513</v>
      </c>
      <c r="N43" s="148">
        <f t="shared" ref="N43" si="137">(N42-M42)/N42</f>
        <v>-5.2673163023436568E-4</v>
      </c>
      <c r="O43" s="148">
        <f t="shared" ref="O43" si="138">(O42-N42)/O42</f>
        <v>0</v>
      </c>
      <c r="P43" s="148">
        <f t="shared" ref="P43:Q43" si="139">(P42-O42)/P42</f>
        <v>0</v>
      </c>
      <c r="Q43" s="19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</v>
      </c>
      <c r="H44" s="145">
        <v>0</v>
      </c>
      <c r="I44" s="145">
        <v>0</v>
      </c>
      <c r="J44" s="145">
        <v>0</v>
      </c>
      <c r="K44" s="145">
        <v>0</v>
      </c>
      <c r="L44" s="145">
        <v>2</v>
      </c>
      <c r="M44" s="145">
        <v>1</v>
      </c>
      <c r="N44" s="145">
        <v>1</v>
      </c>
      <c r="O44" s="145">
        <v>1</v>
      </c>
      <c r="P44" s="145">
        <v>1</v>
      </c>
      <c r="Q44" s="196">
        <v>1</v>
      </c>
      <c r="R44" s="118" t="e">
        <f>((Q44/G44)^(1/($H$2-$H$1) ))-1</f>
        <v>#DIV/0!</v>
      </c>
      <c r="S44" s="31">
        <f>P1</f>
        <v>0.05</v>
      </c>
      <c r="T44" s="154">
        <f t="shared" si="2"/>
        <v>1.05</v>
      </c>
      <c r="U44" s="154">
        <f t="shared" ref="U44" si="140">T44*(1+$S44)</f>
        <v>1.1025</v>
      </c>
      <c r="V44" s="154">
        <f t="shared" ref="V44" si="141">U44*(1+$S44)</f>
        <v>1.1576250000000001</v>
      </c>
      <c r="W44" s="154">
        <f t="shared" ref="W44" si="142">V44*(1+$S44)</f>
        <v>1.2155062500000002</v>
      </c>
      <c r="X44" s="154">
        <f t="shared" ref="X44" si="143">W44*(1+$S44)</f>
        <v>1.2762815625000004</v>
      </c>
      <c r="Y44" s="154">
        <f t="shared" ref="Y44" si="144">X44*(1+$S44)</f>
        <v>1.3400956406250004</v>
      </c>
      <c r="Z44" s="154">
        <f t="shared" ref="Z44" si="145">Y44*(1+$S44)</f>
        <v>1.4071004226562505</v>
      </c>
      <c r="AA44" s="154">
        <f t="shared" ref="AA44" si="146">Z44*(1+$S44)</f>
        <v>1.477455443789063</v>
      </c>
      <c r="AB44" s="154">
        <f t="shared" ref="AB44" si="147">AA44*(1+$S44)</f>
        <v>1.5513282159785162</v>
      </c>
      <c r="AC44" s="154">
        <f t="shared" ref="AC44" si="148">AB44*(1+$S44)</f>
        <v>1.628894626777442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10.060819753625379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 t="s">
        <v>455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271.77549919050188</v>
      </c>
      <c r="H50" s="133">
        <f t="shared" si="150"/>
        <v>38.466519181999672</v>
      </c>
      <c r="I50" s="133">
        <f t="shared" si="150"/>
        <v>61.654254476311202</v>
      </c>
      <c r="J50" s="133">
        <f t="shared" si="150"/>
        <v>98.284960422163593</v>
      </c>
      <c r="K50" s="133">
        <f t="shared" si="150"/>
        <v>112.77807063784924</v>
      </c>
      <c r="L50" s="133">
        <f t="shared" si="150"/>
        <v>189.78925184404636</v>
      </c>
      <c r="M50" s="133">
        <f t="shared" si="150"/>
        <v>113.07186101605686</v>
      </c>
      <c r="N50" s="133">
        <f t="shared" si="150"/>
        <v>161.15090861206215</v>
      </c>
      <c r="O50" s="133">
        <f t="shared" si="150"/>
        <v>183.64234922307085</v>
      </c>
      <c r="P50" s="133">
        <f t="shared" si="150"/>
        <v>211.63813537002898</v>
      </c>
      <c r="Q50" s="133">
        <f t="shared" ref="Q50" si="151">Q25/Q42</f>
        <v>211.63813537002898</v>
      </c>
      <c r="R50" s="118">
        <f>((P50/G50)^(1/($H$2-$H$1) ))-1</f>
        <v>-2.7406161741157731E-2</v>
      </c>
      <c r="S50" s="128"/>
      <c r="T50" s="158">
        <f t="shared" ref="T50:AC50" si="152">T25/T42</f>
        <v>231.79414826241265</v>
      </c>
      <c r="U50" s="158">
        <f t="shared" si="152"/>
        <v>253.86978143026144</v>
      </c>
      <c r="V50" s="158">
        <f t="shared" si="152"/>
        <v>278.04785585219105</v>
      </c>
      <c r="W50" s="158">
        <f t="shared" si="152"/>
        <v>304.52860402859017</v>
      </c>
      <c r="X50" s="158">
        <f t="shared" si="152"/>
        <v>333.53132822178924</v>
      </c>
      <c r="Y50" s="158">
        <f t="shared" si="152"/>
        <v>365.29621662386432</v>
      </c>
      <c r="Z50" s="158">
        <f t="shared" si="152"/>
        <v>400.08633249280376</v>
      </c>
      <c r="AA50" s="158">
        <f t="shared" si="152"/>
        <v>438.18979273021358</v>
      </c>
      <c r="AB50" s="158">
        <f t="shared" si="152"/>
        <v>479.92215394261478</v>
      </c>
      <c r="AC50" s="158">
        <f t="shared" si="152"/>
        <v>525.62902574667328</v>
      </c>
      <c r="AD50" s="138">
        <f t="shared" ref="AD50" si="153">((AC50/G50)^(1/($AC$3-$H$1) ))-1</f>
        <v>3.3530867592480362E-2</v>
      </c>
      <c r="AE50" s="31">
        <f t="shared" si="15"/>
        <v>0.05</v>
      </c>
      <c r="AF50" s="146">
        <f t="shared" ref="AF50:AF51" si="154">(AC50*(1+AE50))/($C$1-AE50)</f>
        <v>3246.5322178470997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179.81651376146789</v>
      </c>
      <c r="H51" s="133">
        <f t="shared" si="155"/>
        <v>27.459126962715153</v>
      </c>
      <c r="I51" s="133">
        <f t="shared" si="155"/>
        <v>39.396820366555744</v>
      </c>
      <c r="J51" s="133">
        <f t="shared" si="155"/>
        <v>58.248021108179422</v>
      </c>
      <c r="K51" s="133">
        <f t="shared" si="155"/>
        <v>82.519768054823416</v>
      </c>
      <c r="L51" s="133">
        <f t="shared" si="155"/>
        <v>115.3477344573235</v>
      </c>
      <c r="M51" s="133">
        <f t="shared" si="155"/>
        <v>65.24085285601474</v>
      </c>
      <c r="N51" s="133">
        <f t="shared" si="155"/>
        <v>104.01632868053727</v>
      </c>
      <c r="O51" s="133">
        <f t="shared" si="155"/>
        <v>125.88885962602055</v>
      </c>
      <c r="P51" s="133">
        <f t="shared" si="155"/>
        <v>146.1364234922307</v>
      </c>
      <c r="Q51" s="133">
        <f t="shared" ref="Q51" si="156">Q27/Q42</f>
        <v>146.1364234922307</v>
      </c>
      <c r="R51" s="118">
        <f>((P51/G51)^(1/($H$2-$H$1) ))-1</f>
        <v>-2.2780555014058068E-2</v>
      </c>
      <c r="S51" s="128"/>
      <c r="T51" s="158">
        <f t="shared" ref="T51:AC51" si="157">T27/T42</f>
        <v>160.05417811053837</v>
      </c>
      <c r="U51" s="158">
        <f t="shared" si="157"/>
        <v>175.29743316868488</v>
      </c>
      <c r="V51" s="158">
        <f t="shared" si="157"/>
        <v>191.99242680379768</v>
      </c>
      <c r="W51" s="158">
        <f t="shared" si="157"/>
        <v>210.27741983273074</v>
      </c>
      <c r="X51" s="158">
        <f t="shared" si="157"/>
        <v>230.30384076918128</v>
      </c>
      <c r="Y51" s="158">
        <f t="shared" si="157"/>
        <v>252.23753989005564</v>
      </c>
      <c r="Z51" s="158">
        <f t="shared" si="157"/>
        <v>276.26016273672764</v>
      </c>
      <c r="AA51" s="158">
        <f t="shared" si="157"/>
        <v>302.57065442593972</v>
      </c>
      <c r="AB51" s="158">
        <f t="shared" si="157"/>
        <v>331.38690722841011</v>
      </c>
      <c r="AC51" s="158">
        <f t="shared" si="157"/>
        <v>362.94756505968724</v>
      </c>
      <c r="AD51" s="138">
        <f t="shared" ref="AD51" si="158">((AC51/G51)^(1/($AC$3-$H$1) ))-1</f>
        <v>3.5739920775458511E-2</v>
      </c>
      <c r="AE51" s="31">
        <f t="shared" si="15"/>
        <v>0.05</v>
      </c>
      <c r="AF51" s="146">
        <f t="shared" si="154"/>
        <v>2241.7349606627745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-33</v>
      </c>
      <c r="H52" s="133">
        <f t="shared" ref="H52:P52" si="159">H38-H40</f>
        <v>-714</v>
      </c>
      <c r="I52" s="133">
        <f t="shared" si="159"/>
        <v>303</v>
      </c>
      <c r="J52" s="133">
        <f t="shared" si="159"/>
        <v>554</v>
      </c>
      <c r="K52" s="133">
        <f t="shared" si="159"/>
        <v>-4962</v>
      </c>
      <c r="L52" s="133">
        <f t="shared" si="159"/>
        <v>489</v>
      </c>
      <c r="M52" s="133">
        <f t="shared" si="159"/>
        <v>1481</v>
      </c>
      <c r="N52" s="133">
        <f t="shared" si="159"/>
        <v>1779</v>
      </c>
      <c r="O52" s="133">
        <f t="shared" si="159"/>
        <v>2260</v>
      </c>
      <c r="P52" s="133">
        <f t="shared" si="159"/>
        <v>2715</v>
      </c>
      <c r="Q52" s="133">
        <f t="shared" ref="Q52" si="160">Q38-Q40</f>
        <v>2715</v>
      </c>
      <c r="R52" s="118">
        <f>((P52/G52)^(1/($H$2-$H$1) ))-1</f>
        <v>-2.6323234150219106</v>
      </c>
      <c r="S52" s="128"/>
      <c r="T52" s="133">
        <f t="shared" ref="T52:AC52" si="161">T38-T40</f>
        <v>3122.2499999999995</v>
      </c>
      <c r="U52" s="133">
        <f t="shared" si="161"/>
        <v>3590.5874999999987</v>
      </c>
      <c r="V52" s="133">
        <f t="shared" si="161"/>
        <v>4129.175624999998</v>
      </c>
      <c r="W52" s="133">
        <f t="shared" si="161"/>
        <v>4748.5519687499982</v>
      </c>
      <c r="X52" s="133">
        <f t="shared" si="161"/>
        <v>5460.834764062497</v>
      </c>
      <c r="Y52" s="133">
        <f t="shared" si="161"/>
        <v>6279.9599786718718</v>
      </c>
      <c r="Z52" s="133">
        <f t="shared" si="161"/>
        <v>7221.9539754726529</v>
      </c>
      <c r="AA52" s="133">
        <f t="shared" si="161"/>
        <v>8305.2470717935503</v>
      </c>
      <c r="AB52" s="133">
        <f t="shared" si="161"/>
        <v>9551.034132562585</v>
      </c>
      <c r="AC52" s="133">
        <f t="shared" si="161"/>
        <v>10983.689252446969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67840.433618054813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31.570426335671883</v>
      </c>
      <c r="H54" s="133">
        <f t="shared" si="164"/>
        <v>6.599039551071062</v>
      </c>
      <c r="I54" s="133">
        <f t="shared" si="164"/>
        <v>10.848782548988538</v>
      </c>
      <c r="J54" s="133">
        <f t="shared" si="164"/>
        <v>21.688654353562004</v>
      </c>
      <c r="K54" s="133">
        <f t="shared" si="164"/>
        <v>34.238270954138116</v>
      </c>
      <c r="L54" s="133">
        <f t="shared" si="164"/>
        <v>42.381454162276079</v>
      </c>
      <c r="M54" s="133">
        <f t="shared" si="164"/>
        <v>24.653856277967886</v>
      </c>
      <c r="N54" s="133">
        <f t="shared" si="164"/>
        <v>18.891229918356597</v>
      </c>
      <c r="O54" s="133">
        <f t="shared" si="164"/>
        <v>5.8388201211482755</v>
      </c>
      <c r="P54" s="133">
        <f t="shared" si="164"/>
        <v>5.988938635765078</v>
      </c>
      <c r="Q54" s="133">
        <f t="shared" ref="Q54" si="165">Q40/Q42</f>
        <v>5.988938635765078</v>
      </c>
      <c r="R54" s="118">
        <f>((P54/G54)^(1/($H$2-$H$1) ))-1</f>
        <v>-0.16864695710564725</v>
      </c>
      <c r="S54" s="128"/>
      <c r="T54" s="158">
        <f t="shared" ref="T54:AC54" si="166">T40/T42</f>
        <v>6.5593137439331803</v>
      </c>
      <c r="U54" s="158">
        <f t="shared" si="166"/>
        <v>7.1840102909744346</v>
      </c>
      <c r="V54" s="158">
        <f t="shared" si="166"/>
        <v>7.8682017472577126</v>
      </c>
      <c r="W54" s="158">
        <f t="shared" si="166"/>
        <v>8.617554294615589</v>
      </c>
      <c r="X54" s="158">
        <f t="shared" si="166"/>
        <v>9.438273751245644</v>
      </c>
      <c r="Y54" s="158">
        <f t="shared" si="166"/>
        <v>10.33715696564999</v>
      </c>
      <c r="Z54" s="158">
        <f t="shared" si="166"/>
        <v>11.321648105235703</v>
      </c>
      <c r="AA54" s="158">
        <f t="shared" si="166"/>
        <v>12.399900305734338</v>
      </c>
      <c r="AB54" s="158">
        <f t="shared" si="166"/>
        <v>13.580843191994751</v>
      </c>
      <c r="AC54" s="158">
        <f t="shared" si="166"/>
        <v>14.874256829327582</v>
      </c>
      <c r="AD54" s="138">
        <f t="shared" ref="AD54:AD68" si="167">((AC54/G54)^(1/($AC$3-$H$1) ))-1</f>
        <v>-3.6930250953286281E-2</v>
      </c>
      <c r="AE54" s="31">
        <f t="shared" si="15"/>
        <v>0.05</v>
      </c>
      <c r="AF54" s="146">
        <f t="shared" ref="AF54:AF82" si="168">(AC54*(1+AE54))/($C$1-AE54)</f>
        <v>91.870409828199783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-0.37776578521316784</v>
      </c>
      <c r="H55" s="133">
        <f t="shared" ref="H55:P55" si="170">H20/H42</f>
        <v>16.214320401446066</v>
      </c>
      <c r="I55" s="133">
        <f t="shared" si="170"/>
        <v>24.01626789204035</v>
      </c>
      <c r="J55" s="133">
        <f t="shared" si="170"/>
        <v>42.78100263852243</v>
      </c>
      <c r="K55" s="133">
        <f t="shared" si="170"/>
        <v>55.134422772799162</v>
      </c>
      <c r="L55" s="133">
        <f t="shared" si="170"/>
        <v>62.449947312961008</v>
      </c>
      <c r="M55" s="133">
        <f t="shared" si="170"/>
        <v>33.408791787312452</v>
      </c>
      <c r="N55" s="133">
        <f t="shared" si="170"/>
        <v>35.009217803529104</v>
      </c>
      <c r="O55" s="133">
        <f t="shared" si="170"/>
        <v>30.12114827495391</v>
      </c>
      <c r="P55" s="133">
        <f t="shared" si="170"/>
        <v>36.565709770871742</v>
      </c>
      <c r="Q55" s="133">
        <f t="shared" ref="Q55" si="171">Q20/Q42</f>
        <v>36.565709770871742</v>
      </c>
      <c r="R55" s="118">
        <f>((P55/G55)^(1/($H$2-$H$1) ))-1</f>
        <v>-2.6620732280564932</v>
      </c>
      <c r="S55" s="128"/>
      <c r="T55" s="133">
        <f t="shared" ref="T55:AC55" si="172">T20/T42</f>
        <v>40.048158320478571</v>
      </c>
      <c r="U55" s="133">
        <f t="shared" si="172"/>
        <v>43.862268636714617</v>
      </c>
      <c r="V55" s="133">
        <f t="shared" si="172"/>
        <v>48.03962755449696</v>
      </c>
      <c r="W55" s="133">
        <f t="shared" si="172"/>
        <v>52.614830178734756</v>
      </c>
      <c r="X55" s="133">
        <f t="shared" si="172"/>
        <v>57.625766386233302</v>
      </c>
      <c r="Y55" s="133">
        <f t="shared" si="172"/>
        <v>63.113934613493605</v>
      </c>
      <c r="Z55" s="133">
        <f t="shared" si="172"/>
        <v>69.124785529064411</v>
      </c>
      <c r="AA55" s="133">
        <f t="shared" si="172"/>
        <v>75.708098436594355</v>
      </c>
      <c r="AB55" s="133">
        <f t="shared" si="172"/>
        <v>82.918393525793803</v>
      </c>
      <c r="AC55" s="133">
        <f t="shared" si="172"/>
        <v>90.815383385393204</v>
      </c>
      <c r="AD55" s="138" t="e">
        <f t="shared" ref="AD55" si="173">((AC55/G55)^(1/($AC$3-$H$1) ))-1</f>
        <v>#NUM!</v>
      </c>
      <c r="AE55" s="31">
        <f t="shared" si="15"/>
        <v>0.05</v>
      </c>
      <c r="AF55" s="146">
        <f t="shared" si="168"/>
        <v>560.9185444391934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228.76416621694548</v>
      </c>
      <c r="H56" s="133">
        <f t="shared" si="174"/>
        <v>24.464468785409807</v>
      </c>
      <c r="I56" s="133">
        <f t="shared" si="174"/>
        <v>38.884487402947229</v>
      </c>
      <c r="J56" s="133">
        <f t="shared" si="174"/>
        <v>60.622691292875992</v>
      </c>
      <c r="K56" s="133">
        <f t="shared" si="174"/>
        <v>114.51765946230891</v>
      </c>
      <c r="L56" s="133">
        <f t="shared" si="174"/>
        <v>153.46153846153845</v>
      </c>
      <c r="M56" s="133">
        <f t="shared" si="174"/>
        <v>104.96972887602001</v>
      </c>
      <c r="N56" s="133">
        <f t="shared" si="174"/>
        <v>128.43297340005267</v>
      </c>
      <c r="O56" s="133">
        <f t="shared" si="174"/>
        <v>133.29207268896496</v>
      </c>
      <c r="P56" s="133">
        <f t="shared" si="174"/>
        <v>132.52831182512512</v>
      </c>
      <c r="Q56" s="133">
        <f t="shared" ref="Q56" si="175">Q7/Q42</f>
        <v>132.52831182512512</v>
      </c>
      <c r="R56" s="118">
        <f>((P56/G56)^(1/($H$2-$H$1) ))-1</f>
        <v>-5.8852155167737341E-2</v>
      </c>
      <c r="S56" s="128"/>
      <c r="T56" s="158">
        <f t="shared" ref="T56:AC56" si="176">T7/T42</f>
        <v>145.15005580847034</v>
      </c>
      <c r="U56" s="158">
        <f t="shared" si="176"/>
        <v>158.97387064737225</v>
      </c>
      <c r="V56" s="158">
        <f t="shared" si="176"/>
        <v>174.11423928045531</v>
      </c>
      <c r="W56" s="158">
        <f t="shared" si="176"/>
        <v>190.69654778335578</v>
      </c>
      <c r="X56" s="158">
        <f t="shared" si="176"/>
        <v>208.85812376272298</v>
      </c>
      <c r="Y56" s="158">
        <f t="shared" si="176"/>
        <v>228.74937364488704</v>
      </c>
      <c r="Z56" s="158">
        <f t="shared" si="176"/>
        <v>250.5350282777334</v>
      </c>
      <c r="AA56" s="158">
        <f t="shared" si="176"/>
        <v>274.39550716132703</v>
      </c>
      <c r="AB56" s="158">
        <f t="shared" si="176"/>
        <v>300.52841260526287</v>
      </c>
      <c r="AC56" s="158">
        <f t="shared" si="176"/>
        <v>329.15016618671643</v>
      </c>
      <c r="AD56" s="138">
        <f t="shared" si="167"/>
        <v>1.8357588725754326E-2</v>
      </c>
      <c r="AE56" s="31">
        <f t="shared" si="15"/>
        <v>0.05</v>
      </c>
      <c r="AF56" s="146">
        <f t="shared" si="168"/>
        <v>2032.9863205650136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128.76416621694548</v>
      </c>
      <c r="H57" s="144">
        <f t="shared" si="177"/>
        <v>14.439108617061457</v>
      </c>
      <c r="I57" s="144">
        <f t="shared" si="177"/>
        <v>28.806845190936457</v>
      </c>
      <c r="J57" s="144">
        <f t="shared" si="177"/>
        <v>50.44854881266491</v>
      </c>
      <c r="K57" s="144">
        <f t="shared" si="177"/>
        <v>104.19609910384818</v>
      </c>
      <c r="L57" s="144">
        <f t="shared" si="177"/>
        <v>142.7081138040042</v>
      </c>
      <c r="M57" s="144">
        <f t="shared" si="177"/>
        <v>99.278757567781</v>
      </c>
      <c r="N57" s="144">
        <f t="shared" si="177"/>
        <v>123.43429022912827</v>
      </c>
      <c r="O57" s="144">
        <f t="shared" si="177"/>
        <v>128.2907558598894</v>
      </c>
      <c r="P57" s="144">
        <f t="shared" si="177"/>
        <v>127.52699499604951</v>
      </c>
      <c r="Q57" s="144">
        <f t="shared" ref="Q57" si="178">Q6/Q42</f>
        <v>127.52699499604951</v>
      </c>
      <c r="R57" s="118">
        <f>((P57/G57)^(1/($H$2-$H$1) ))-1</f>
        <v>-1.0721464746690224E-3</v>
      </c>
      <c r="S57" s="128"/>
      <c r="T57" s="157">
        <f t="shared" ref="T57:AC57" si="179">T6/T42</f>
        <v>139.67242309091137</v>
      </c>
      <c r="U57" s="157">
        <f t="shared" si="179"/>
        <v>152.97455862337907</v>
      </c>
      <c r="V57" s="157">
        <f t="shared" si="179"/>
        <v>167.54356420655802</v>
      </c>
      <c r="W57" s="157">
        <f t="shared" si="179"/>
        <v>183.5000941309921</v>
      </c>
      <c r="X57" s="157">
        <f t="shared" si="179"/>
        <v>200.97629357203894</v>
      </c>
      <c r="Y57" s="157">
        <f t="shared" si="179"/>
        <v>220.11689295985212</v>
      </c>
      <c r="Z57" s="157">
        <f t="shared" si="179"/>
        <v>241.08040657507615</v>
      </c>
      <c r="AA57" s="157">
        <f t="shared" si="179"/>
        <v>264.04044529651196</v>
      </c>
      <c r="AB57" s="157">
        <f t="shared" si="179"/>
        <v>289.18715437237023</v>
      </c>
      <c r="AC57" s="157">
        <f t="shared" si="179"/>
        <v>316.72878812211968</v>
      </c>
      <c r="AD57" s="138">
        <f t="shared" si="167"/>
        <v>4.6031169930188076E-2</v>
      </c>
      <c r="AE57" s="31">
        <f t="shared" si="15"/>
        <v>0.05</v>
      </c>
      <c r="AF57" s="146">
        <f t="shared" si="168"/>
        <v>1956.2660442836807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253.58877495952507</v>
      </c>
      <c r="H58" s="144">
        <f t="shared" si="180"/>
        <v>26.97890249824637</v>
      </c>
      <c r="I58" s="144">
        <f t="shared" si="180"/>
        <v>25.204669096286906</v>
      </c>
      <c r="J58" s="144">
        <f t="shared" si="180"/>
        <v>27.889182058047492</v>
      </c>
      <c r="K58" s="144">
        <f t="shared" si="180"/>
        <v>50.611491829204006</v>
      </c>
      <c r="L58" s="144">
        <f t="shared" si="180"/>
        <v>71.21707060063224</v>
      </c>
      <c r="M58" s="144">
        <f t="shared" si="180"/>
        <v>27.080810739668337</v>
      </c>
      <c r="N58" s="144">
        <f t="shared" si="180"/>
        <v>149.19673426389255</v>
      </c>
      <c r="O58" s="144">
        <f t="shared" si="180"/>
        <v>181.78298656834343</v>
      </c>
      <c r="P58" s="144">
        <f t="shared" si="180"/>
        <v>192.15169870950751</v>
      </c>
      <c r="Q58" s="144">
        <f t="shared" ref="Q58" si="181">Q10/Q42</f>
        <v>192.15169870950751</v>
      </c>
      <c r="R58" s="118">
        <f>((P58/G58)^(1/($H$2-$H$1) ))-1</f>
        <v>-3.0355163397940088E-2</v>
      </c>
      <c r="S58" s="128"/>
      <c r="T58" s="157">
        <f t="shared" ref="T58:AC58" si="182">T10/T42</f>
        <v>210.45186049136535</v>
      </c>
      <c r="U58" s="157">
        <f t="shared" si="182"/>
        <v>230.49489482387631</v>
      </c>
      <c r="V58" s="157">
        <f t="shared" si="182"/>
        <v>252.44678956900736</v>
      </c>
      <c r="W58" s="157">
        <f t="shared" si="182"/>
        <v>276.48934095653186</v>
      </c>
      <c r="X58" s="157">
        <f t="shared" si="182"/>
        <v>302.82165914286816</v>
      </c>
      <c r="Y58" s="157">
        <f t="shared" si="182"/>
        <v>331.66181715647463</v>
      </c>
      <c r="Z58" s="157">
        <f t="shared" si="182"/>
        <v>363.24865688566268</v>
      </c>
      <c r="AA58" s="157">
        <f t="shared" si="182"/>
        <v>397.84376706524955</v>
      </c>
      <c r="AB58" s="157">
        <f t="shared" si="182"/>
        <v>435.73364964289232</v>
      </c>
      <c r="AC58" s="157">
        <f t="shared" si="182"/>
        <v>477.23209246602477</v>
      </c>
      <c r="AD58" s="138">
        <f t="shared" si="167"/>
        <v>3.211949391954505E-2</v>
      </c>
      <c r="AE58" s="31">
        <f t="shared" si="15"/>
        <v>0.05</v>
      </c>
      <c r="AF58" s="146">
        <f t="shared" si="168"/>
        <v>2947.6099828783886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-24.824608742579599</v>
      </c>
      <c r="H60" s="144">
        <f t="shared" si="183"/>
        <v>-2.5144337128365617</v>
      </c>
      <c r="I60" s="144">
        <f t="shared" si="183"/>
        <v>13.679818306660328</v>
      </c>
      <c r="J60" s="144">
        <f t="shared" si="183"/>
        <v>32.733509234828496</v>
      </c>
      <c r="K60" s="144">
        <f t="shared" si="183"/>
        <v>63.906167633104907</v>
      </c>
      <c r="L60" s="144">
        <f t="shared" si="183"/>
        <v>82.244467860906212</v>
      </c>
      <c r="M60" s="144">
        <f t="shared" si="183"/>
        <v>77.888918136351677</v>
      </c>
      <c r="N60" s="144">
        <f t="shared" si="183"/>
        <v>-20.763760863839874</v>
      </c>
      <c r="O60" s="144">
        <f t="shared" si="183"/>
        <v>-48.490913879378461</v>
      </c>
      <c r="P60" s="144">
        <f t="shared" si="183"/>
        <v>-59.623386884382406</v>
      </c>
      <c r="Q60" s="144">
        <f t="shared" ref="Q60" si="184">(Q7-Q10)/Q42</f>
        <v>-59.623386884382406</v>
      </c>
      <c r="R60" s="118">
        <f>((P60/G60)^(1/($H$2-$H$1) ))-1</f>
        <v>0.10225374006349464</v>
      </c>
      <c r="S60" s="128"/>
      <c r="T60" s="157">
        <f t="shared" ref="T60:AC60" si="185">(T7-T10)/T42</f>
        <v>-65.301804682895025</v>
      </c>
      <c r="U60" s="157">
        <f t="shared" si="185"/>
        <v>-71.521024176504056</v>
      </c>
      <c r="V60" s="157">
        <f t="shared" si="185"/>
        <v>-78.332550288552056</v>
      </c>
      <c r="W60" s="157">
        <f t="shared" si="185"/>
        <v>-85.792793173176065</v>
      </c>
      <c r="X60" s="157">
        <f t="shared" si="185"/>
        <v>-93.963535380145203</v>
      </c>
      <c r="Y60" s="157">
        <f t="shared" si="185"/>
        <v>-102.91244351158757</v>
      </c>
      <c r="Z60" s="157">
        <f t="shared" si="185"/>
        <v>-112.71362860792928</v>
      </c>
      <c r="AA60" s="157">
        <f t="shared" si="185"/>
        <v>-123.44825990392253</v>
      </c>
      <c r="AB60" s="157">
        <f t="shared" si="185"/>
        <v>-135.20523703762939</v>
      </c>
      <c r="AC60" s="157">
        <f t="shared" si="185"/>
        <v>-148.08192627930831</v>
      </c>
      <c r="AD60" s="138">
        <f t="shared" si="167"/>
        <v>9.3404815223311344E-2</v>
      </c>
      <c r="AE60" s="31">
        <f t="shared" si="15"/>
        <v>0.05</v>
      </c>
      <c r="AF60" s="146">
        <f t="shared" si="168"/>
        <v>-914.62366231337501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-139.23367512142471</v>
      </c>
      <c r="H61" s="144">
        <f t="shared" si="186"/>
        <v>-27.588625694706739</v>
      </c>
      <c r="I61" s="144">
        <f t="shared" si="186"/>
        <v>-23.937041145090582</v>
      </c>
      <c r="J61" s="144">
        <f t="shared" si="186"/>
        <v>-22.232189973614776</v>
      </c>
      <c r="K61" s="144">
        <f t="shared" si="186"/>
        <v>-14.396415392725357</v>
      </c>
      <c r="L61" s="144">
        <f t="shared" si="186"/>
        <v>-6.5964172813487876</v>
      </c>
      <c r="M61" s="144">
        <f t="shared" si="186"/>
        <v>36.896551724137936</v>
      </c>
      <c r="N61" s="144">
        <f t="shared" si="186"/>
        <v>-121.14564129575982</v>
      </c>
      <c r="O61" s="144">
        <f t="shared" si="186"/>
        <v>-137.519094021596</v>
      </c>
      <c r="P61" s="144">
        <f t="shared" si="186"/>
        <v>-161.58019489070318</v>
      </c>
      <c r="Q61" s="144">
        <f t="shared" ref="Q61" si="187">(Q7-Q10-Q9)/Q42</f>
        <v>-161.58019489070318</v>
      </c>
      <c r="R61" s="118">
        <f>((P61/G61)^(1/($H$2-$H$1) ))-1</f>
        <v>1.6676181245792732E-2</v>
      </c>
      <c r="S61" s="128"/>
      <c r="T61" s="157">
        <f t="shared" ref="T61:AC61" si="188">(T7-T10-T9)/T42</f>
        <v>-176.96878488029398</v>
      </c>
      <c r="U61" s="157">
        <f t="shared" si="188"/>
        <v>-193.82295486889336</v>
      </c>
      <c r="V61" s="157">
        <f t="shared" si="188"/>
        <v>-212.28228390402603</v>
      </c>
      <c r="W61" s="157">
        <f t="shared" si="188"/>
        <v>-232.49964427583802</v>
      </c>
      <c r="X61" s="157">
        <f t="shared" si="188"/>
        <v>-254.64246754020354</v>
      </c>
      <c r="Y61" s="157">
        <f t="shared" si="188"/>
        <v>-278.89413111546099</v>
      </c>
      <c r="Z61" s="157">
        <f t="shared" si="188"/>
        <v>-305.4554769359811</v>
      </c>
      <c r="AA61" s="157">
        <f t="shared" si="188"/>
        <v>-334.54647473940776</v>
      </c>
      <c r="AB61" s="157">
        <f t="shared" si="188"/>
        <v>-366.40804376220848</v>
      </c>
      <c r="AC61" s="157">
        <f t="shared" si="188"/>
        <v>-401.30404793003771</v>
      </c>
      <c r="AD61" s="138">
        <f t="shared" si="167"/>
        <v>5.4354030813484666E-2</v>
      </c>
      <c r="AE61" s="31">
        <f t="shared" si="15"/>
        <v>0.05</v>
      </c>
      <c r="AF61" s="146">
        <f t="shared" si="168"/>
        <v>-2478.6426489796449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-101.56502968159741</v>
      </c>
      <c r="H62" s="144">
        <f t="shared" si="189"/>
        <v>-22.327739707548695</v>
      </c>
      <c r="I62" s="144">
        <f t="shared" si="189"/>
        <v>-16.716843606401522</v>
      </c>
      <c r="J62" s="144">
        <f t="shared" si="189"/>
        <v>-10.464379947229551</v>
      </c>
      <c r="K62" s="144">
        <f t="shared" si="189"/>
        <v>2.4723247232472327</v>
      </c>
      <c r="L62" s="144">
        <f t="shared" si="189"/>
        <v>11.069546891464698</v>
      </c>
      <c r="M62" s="144">
        <f t="shared" si="189"/>
        <v>48.060015793629908</v>
      </c>
      <c r="N62" s="144">
        <f t="shared" si="189"/>
        <v>-103.78983407953648</v>
      </c>
      <c r="O62" s="144">
        <f t="shared" si="189"/>
        <v>-115.04345535949435</v>
      </c>
      <c r="P62" s="144">
        <f t="shared" si="189"/>
        <v>-139.23887279431131</v>
      </c>
      <c r="Q62" s="144">
        <f t="shared" ref="Q62" si="190">(Q7+Q15-Q10-Q9)/Q42</f>
        <v>-139.23887279431131</v>
      </c>
      <c r="R62" s="118">
        <f>((P62/G62)^(1/($H$2-$H$1) ))-1</f>
        <v>3.5676288280406476E-2</v>
      </c>
      <c r="S62" s="128"/>
      <c r="T62" s="157">
        <f t="shared" ref="T62:AC62" si="191">(T7+T15-T10-T9)/T42</f>
        <v>-152.49971782234095</v>
      </c>
      <c r="U62" s="157">
        <f t="shared" si="191"/>
        <v>-167.02350047208768</v>
      </c>
      <c r="V62" s="157">
        <f t="shared" si="191"/>
        <v>-182.93050051704839</v>
      </c>
      <c r="W62" s="157">
        <f t="shared" si="191"/>
        <v>-200.35245294724348</v>
      </c>
      <c r="X62" s="157">
        <f t="shared" si="191"/>
        <v>-219.43363894221901</v>
      </c>
      <c r="Y62" s="157">
        <f t="shared" si="191"/>
        <v>-240.3320807462398</v>
      </c>
      <c r="Z62" s="157">
        <f t="shared" si="191"/>
        <v>-263.22085034111984</v>
      </c>
      <c r="AA62" s="157">
        <f t="shared" si="191"/>
        <v>-288.28950275455981</v>
      </c>
      <c r="AB62" s="157">
        <f t="shared" si="191"/>
        <v>-315.7456458740416</v>
      </c>
      <c r="AC62" s="157">
        <f t="shared" si="191"/>
        <v>-345.81665976680733</v>
      </c>
      <c r="AD62" s="138">
        <f t="shared" si="167"/>
        <v>6.3175807231867998E-2</v>
      </c>
      <c r="AE62" s="31">
        <f t="shared" si="15"/>
        <v>0.05</v>
      </c>
      <c r="AF62" s="146">
        <f t="shared" si="168"/>
        <v>-2135.9264279714571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7.2854830005396654</v>
      </c>
      <c r="H64" s="144">
        <f t="shared" si="192"/>
        <v>2.2122700048562023</v>
      </c>
      <c r="I64" s="144">
        <f t="shared" si="192"/>
        <v>1.8539058786246236</v>
      </c>
      <c r="J64" s="144">
        <f t="shared" si="192"/>
        <v>4.4907651715039574</v>
      </c>
      <c r="K64" s="144">
        <f t="shared" si="192"/>
        <v>3.7058513442277281</v>
      </c>
      <c r="L64" s="144">
        <f t="shared" si="192"/>
        <v>14.567966280295046</v>
      </c>
      <c r="M64" s="144">
        <f t="shared" si="192"/>
        <v>6.7833640431692555</v>
      </c>
      <c r="N64" s="144">
        <f t="shared" si="192"/>
        <v>2.5230445088227547</v>
      </c>
      <c r="O64" s="144">
        <f t="shared" si="192"/>
        <v>5.3463260468791152</v>
      </c>
      <c r="P64" s="144">
        <f t="shared" si="192"/>
        <v>4.5535949433763498</v>
      </c>
      <c r="Q64" s="144">
        <f t="shared" ref="Q64" si="193">Q12/Q42</f>
        <v>4.5535949433763498</v>
      </c>
      <c r="R64" s="118">
        <f>((P64/G64)^(1/($H$2-$H$1) ))-1</f>
        <v>-5.0878562023266016E-2</v>
      </c>
      <c r="S64" s="128"/>
      <c r="T64" s="157">
        <f t="shared" ref="T64:AC64" si="194">T12/T42</f>
        <v>4.9872706522693351</v>
      </c>
      <c r="U64" s="157">
        <f t="shared" si="194"/>
        <v>5.4622488096283179</v>
      </c>
      <c r="V64" s="157">
        <f t="shared" si="194"/>
        <v>5.9824629819738719</v>
      </c>
      <c r="W64" s="157">
        <f t="shared" si="194"/>
        <v>6.5522213612094777</v>
      </c>
      <c r="X64" s="157">
        <f t="shared" si="194"/>
        <v>7.1762424432294285</v>
      </c>
      <c r="Y64" s="157">
        <f t="shared" si="194"/>
        <v>7.8596941044893729</v>
      </c>
      <c r="Z64" s="157">
        <f t="shared" si="194"/>
        <v>8.6082364001550271</v>
      </c>
      <c r="AA64" s="157">
        <f t="shared" si="194"/>
        <v>9.4280684382650275</v>
      </c>
      <c r="AB64" s="157">
        <f t="shared" si="194"/>
        <v>10.325979718099791</v>
      </c>
      <c r="AC64" s="157">
        <f t="shared" si="194"/>
        <v>11.309406357918816</v>
      </c>
      <c r="AD64" s="138">
        <f t="shared" si="167"/>
        <v>2.22310608019467E-2</v>
      </c>
      <c r="AE64" s="31">
        <f t="shared" si="15"/>
        <v>0.05</v>
      </c>
      <c r="AF64" s="146">
        <f t="shared" si="168"/>
        <v>69.85221574008682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18.024824608742577</v>
      </c>
      <c r="H65" s="144">
        <f t="shared" si="195"/>
        <v>2.5791830788323531</v>
      </c>
      <c r="I65" s="144">
        <f t="shared" si="195"/>
        <v>1.3046004331062167</v>
      </c>
      <c r="J65" s="144">
        <f t="shared" si="195"/>
        <v>0.77572559366754612</v>
      </c>
      <c r="K65" s="144">
        <f t="shared" si="195"/>
        <v>25.350553505535057</v>
      </c>
      <c r="L65" s="144">
        <f t="shared" si="195"/>
        <v>12.370916754478397</v>
      </c>
      <c r="M65" s="144">
        <f t="shared" si="195"/>
        <v>13.587786259541986</v>
      </c>
      <c r="N65" s="144">
        <f t="shared" si="195"/>
        <v>1.6381353700289703</v>
      </c>
      <c r="O65" s="144">
        <f t="shared" si="195"/>
        <v>4.7800895443771401</v>
      </c>
      <c r="P65" s="144">
        <f t="shared" si="195"/>
        <v>17.82723202528312</v>
      </c>
      <c r="Q65" s="144">
        <f t="shared" ref="Q65" si="196">Q13/Q42</f>
        <v>17.82723202528312</v>
      </c>
      <c r="R65" s="118">
        <f>((P65/G65)^(1/($H$2-$H$1) ))-1</f>
        <v>-1.2240031195351886E-3</v>
      </c>
      <c r="S65" s="128"/>
      <c r="T65" s="157">
        <f t="shared" ref="T65:AC65" si="197">T13/T42</f>
        <v>19.525063646738651</v>
      </c>
      <c r="U65" s="157">
        <f t="shared" si="197"/>
        <v>21.384593517856615</v>
      </c>
      <c r="V65" s="157">
        <f t="shared" si="197"/>
        <v>23.421221471938196</v>
      </c>
      <c r="W65" s="157">
        <f t="shared" si="197"/>
        <v>25.651813993075162</v>
      </c>
      <c r="X65" s="157">
        <f t="shared" si="197"/>
        <v>28.094843897177554</v>
      </c>
      <c r="Y65" s="157">
        <f t="shared" si="197"/>
        <v>30.770543315956367</v>
      </c>
      <c r="Z65" s="157">
        <f t="shared" si="197"/>
        <v>33.701071250809349</v>
      </c>
      <c r="AA65" s="157">
        <f t="shared" si="197"/>
        <v>36.910697084219763</v>
      </c>
      <c r="AB65" s="157">
        <f t="shared" si="197"/>
        <v>40.426001568431154</v>
      </c>
      <c r="AC65" s="157">
        <f t="shared" si="197"/>
        <v>44.276096955900776</v>
      </c>
      <c r="AD65" s="138">
        <f t="shared" si="167"/>
        <v>4.5959609165286741E-2</v>
      </c>
      <c r="AE65" s="31">
        <f t="shared" si="15"/>
        <v>0.05</v>
      </c>
      <c r="AF65" s="146">
        <f t="shared" si="168"/>
        <v>273.47001060997542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25.310307609282241</v>
      </c>
      <c r="H66" s="144">
        <f t="shared" si="198"/>
        <v>4.7914530836885554</v>
      </c>
      <c r="I66" s="144">
        <f t="shared" si="198"/>
        <v>3.1585063117308403</v>
      </c>
      <c r="J66" s="144">
        <f t="shared" si="198"/>
        <v>5.2664907651715032</v>
      </c>
      <c r="K66" s="144">
        <f t="shared" si="198"/>
        <v>29.056404849762785</v>
      </c>
      <c r="L66" s="144">
        <f t="shared" si="198"/>
        <v>26.938883034773443</v>
      </c>
      <c r="M66" s="144">
        <f t="shared" si="198"/>
        <v>20.371150302711243</v>
      </c>
      <c r="N66" s="144">
        <f t="shared" si="198"/>
        <v>4.1611798788517245</v>
      </c>
      <c r="O66" s="144">
        <f t="shared" ref="O66" si="199">(O64+O65)</f>
        <v>10.126415591256254</v>
      </c>
      <c r="P66" s="144">
        <f t="shared" si="198"/>
        <v>22.38082696865947</v>
      </c>
      <c r="Q66" s="144">
        <f t="shared" ref="Q66" si="200">(Q64+Q65)</f>
        <v>22.38082696865947</v>
      </c>
      <c r="R66" s="118">
        <f>((P66/G66)^(1/($H$2-$H$1) ))-1</f>
        <v>-1.3574477175236743E-2</v>
      </c>
      <c r="S66" s="128"/>
      <c r="T66" s="157">
        <f t="shared" ref="T66:AC66" si="201">(T64+T65)</f>
        <v>24.512334299007986</v>
      </c>
      <c r="U66" s="157">
        <f t="shared" si="201"/>
        <v>26.846842327484932</v>
      </c>
      <c r="V66" s="157">
        <f t="shared" si="201"/>
        <v>29.403684453912067</v>
      </c>
      <c r="W66" s="157">
        <f t="shared" si="201"/>
        <v>32.204035354284642</v>
      </c>
      <c r="X66" s="157">
        <f t="shared" si="201"/>
        <v>35.271086340406981</v>
      </c>
      <c r="Y66" s="157">
        <f t="shared" si="201"/>
        <v>38.630237420445738</v>
      </c>
      <c r="Z66" s="157">
        <f t="shared" si="201"/>
        <v>42.309307650964378</v>
      </c>
      <c r="AA66" s="157">
        <f t="shared" si="201"/>
        <v>46.338765522484792</v>
      </c>
      <c r="AB66" s="157">
        <f t="shared" si="201"/>
        <v>50.751981286530949</v>
      </c>
      <c r="AC66" s="157">
        <f t="shared" si="201"/>
        <v>55.585503313819594</v>
      </c>
      <c r="AD66" s="138">
        <f t="shared" si="167"/>
        <v>4.0119421958556334E-2</v>
      </c>
      <c r="AE66" s="31">
        <f t="shared" si="15"/>
        <v>0.05</v>
      </c>
      <c r="AF66" s="146">
        <f t="shared" si="168"/>
        <v>343.32222635006224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37.668645439827301</v>
      </c>
      <c r="H67" s="144">
        <f t="shared" si="202"/>
        <v>5.2608859871580425</v>
      </c>
      <c r="I67" s="144">
        <f t="shared" si="202"/>
        <v>7.2201975386890611</v>
      </c>
      <c r="J67" s="144">
        <f t="shared" si="202"/>
        <v>11.767810026385224</v>
      </c>
      <c r="K67" s="144">
        <f t="shared" si="202"/>
        <v>16.868740115972589</v>
      </c>
      <c r="L67" s="144">
        <f t="shared" si="202"/>
        <v>17.665964172813485</v>
      </c>
      <c r="M67" s="144">
        <f t="shared" si="202"/>
        <v>11.163464069491972</v>
      </c>
      <c r="N67" s="144">
        <f t="shared" si="202"/>
        <v>17.355807216223333</v>
      </c>
      <c r="O67" s="144">
        <f t="shared" si="202"/>
        <v>22.475638662101659</v>
      </c>
      <c r="P67" s="144">
        <f t="shared" si="202"/>
        <v>22.341322096391888</v>
      </c>
      <c r="Q67" s="144">
        <f t="shared" ref="Q67" si="203">Q15/Q42</f>
        <v>22.341322096391888</v>
      </c>
      <c r="R67" s="118">
        <f>((P67/G67)^(1/($H$2-$H$1) ))-1</f>
        <v>-5.6390952600049005E-2</v>
      </c>
      <c r="S67" s="128"/>
      <c r="T67" s="157">
        <f t="shared" ref="T67:AC67" si="204">T15/T42</f>
        <v>24.469067057953019</v>
      </c>
      <c r="U67" s="157">
        <f t="shared" si="204"/>
        <v>26.799454396805682</v>
      </c>
      <c r="V67" s="157">
        <f t="shared" si="204"/>
        <v>29.351783386977651</v>
      </c>
      <c r="W67" s="157">
        <f t="shared" si="204"/>
        <v>32.147191328594566</v>
      </c>
      <c r="X67" s="157">
        <f t="shared" si="204"/>
        <v>35.208828597984521</v>
      </c>
      <c r="Y67" s="157">
        <f t="shared" si="204"/>
        <v>38.56205036922114</v>
      </c>
      <c r="Z67" s="157">
        <f t="shared" si="204"/>
        <v>42.23462659486124</v>
      </c>
      <c r="AA67" s="157">
        <f t="shared" si="204"/>
        <v>46.256971984848015</v>
      </c>
      <c r="AB67" s="157">
        <f t="shared" si="204"/>
        <v>50.662397888166865</v>
      </c>
      <c r="AC67" s="157">
        <f t="shared" si="204"/>
        <v>55.487388163230364</v>
      </c>
      <c r="AD67" s="138">
        <f t="shared" si="167"/>
        <v>1.9555129500972157E-2</v>
      </c>
      <c r="AE67" s="31">
        <f t="shared" si="15"/>
        <v>0.05</v>
      </c>
      <c r="AF67" s="146">
        <f t="shared" si="168"/>
        <v>342.71622100818757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-24.50080949811117</v>
      </c>
      <c r="H68" s="144">
        <f t="shared" si="205"/>
        <v>-12.448065612690876</v>
      </c>
      <c r="I68" s="144">
        <f t="shared" si="205"/>
        <v>-22.532086832514654</v>
      </c>
      <c r="J68" s="144">
        <f t="shared" si="205"/>
        <v>-32.480211081794195</v>
      </c>
      <c r="K68" s="144">
        <f t="shared" si="205"/>
        <v>-45.271481286241439</v>
      </c>
      <c r="L68" s="144">
        <f t="shared" si="205"/>
        <v>-34.594309799789251</v>
      </c>
      <c r="M68" s="144">
        <f t="shared" si="205"/>
        <v>-14.277441431955779</v>
      </c>
      <c r="N68" s="144">
        <f t="shared" si="205"/>
        <v>-55.894126942322892</v>
      </c>
      <c r="O68" s="144">
        <f t="shared" si="205"/>
        <v>-34.219120358177513</v>
      </c>
      <c r="P68" s="144">
        <f t="shared" si="205"/>
        <v>-42.986568343429028</v>
      </c>
      <c r="Q68" s="144">
        <f t="shared" ref="Q68" si="206">Q16/Q42</f>
        <v>-42.986568343429028</v>
      </c>
      <c r="R68" s="118">
        <f>((P68/G68)^(1/($H$2-$H$1) ))-1</f>
        <v>6.4456793636178844E-2</v>
      </c>
      <c r="S68" s="128"/>
      <c r="T68" s="157">
        <f t="shared" ref="T68:AC68" si="207">T16/T42</f>
        <v>-47.080527233279405</v>
      </c>
      <c r="U68" s="157">
        <f t="shared" si="207"/>
        <v>-51.564386969782198</v>
      </c>
      <c r="V68" s="157">
        <f t="shared" si="207"/>
        <v>-56.475280966904307</v>
      </c>
      <c r="W68" s="157">
        <f t="shared" si="207"/>
        <v>-61.853879154228522</v>
      </c>
      <c r="X68" s="157">
        <f t="shared" si="207"/>
        <v>-67.744724787964572</v>
      </c>
      <c r="Y68" s="157">
        <f t="shared" si="207"/>
        <v>-74.196603339199285</v>
      </c>
      <c r="Z68" s="157">
        <f t="shared" si="207"/>
        <v>-81.262946514361118</v>
      </c>
      <c r="AA68" s="157">
        <f t="shared" si="207"/>
        <v>-89.002274753824068</v>
      </c>
      <c r="AB68" s="157">
        <f t="shared" si="207"/>
        <v>-97.478681873235871</v>
      </c>
      <c r="AC68" s="157">
        <f t="shared" si="207"/>
        <v>-106.76236586116306</v>
      </c>
      <c r="AD68" s="138">
        <f t="shared" si="167"/>
        <v>7.6370750825445199E-2</v>
      </c>
      <c r="AE68" s="137"/>
      <c r="AF68" s="146">
        <f t="shared" si="168"/>
        <v>-485.28348118710483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0</v>
      </c>
      <c r="L70" s="159">
        <f t="shared" si="208"/>
        <v>2</v>
      </c>
      <c r="M70" s="159">
        <f t="shared" si="208"/>
        <v>1</v>
      </c>
      <c r="N70" s="159">
        <f t="shared" si="208"/>
        <v>1</v>
      </c>
      <c r="O70" s="159">
        <f t="shared" si="208"/>
        <v>1</v>
      </c>
      <c r="P70" s="159">
        <f t="shared" si="208"/>
        <v>1</v>
      </c>
      <c r="Q70" s="159">
        <f t="shared" ref="Q70" si="209">Q44</f>
        <v>1</v>
      </c>
      <c r="R70" s="118" t="e">
        <f>((P70/G70)^(1/($H$2-$H$1) ))-1</f>
        <v>#DIV/0!</v>
      </c>
      <c r="S70" s="128"/>
      <c r="T70" s="159">
        <f t="shared" ref="T70:AC70" si="210">T44</f>
        <v>1.05</v>
      </c>
      <c r="U70" s="159">
        <f t="shared" si="210"/>
        <v>1.1025</v>
      </c>
      <c r="V70" s="159">
        <f t="shared" si="210"/>
        <v>1.1576250000000001</v>
      </c>
      <c r="W70" s="159">
        <f t="shared" si="210"/>
        <v>1.2155062500000002</v>
      </c>
      <c r="X70" s="159">
        <f t="shared" si="210"/>
        <v>1.2762815625000004</v>
      </c>
      <c r="Y70" s="159">
        <f t="shared" si="210"/>
        <v>1.3400956406250004</v>
      </c>
      <c r="Z70" s="159">
        <f t="shared" si="210"/>
        <v>1.4071004226562505</v>
      </c>
      <c r="AA70" s="159">
        <f t="shared" si="210"/>
        <v>1.477455443789063</v>
      </c>
      <c r="AB70" s="159">
        <f t="shared" si="210"/>
        <v>1.5513282159785162</v>
      </c>
      <c r="AC70" s="159">
        <f t="shared" si="210"/>
        <v>1.628894626777442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10.060819753625379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-608</v>
      </c>
      <c r="H72" s="144">
        <f t="shared" si="212"/>
        <v>675</v>
      </c>
      <c r="I72" s="144">
        <f t="shared" si="212"/>
        <v>-453</v>
      </c>
      <c r="J72" s="144">
        <f t="shared" si="212"/>
        <v>132</v>
      </c>
      <c r="K72" s="144">
        <f t="shared" si="212"/>
        <v>-1189</v>
      </c>
      <c r="L72" s="144">
        <f t="shared" si="212"/>
        <v>959</v>
      </c>
      <c r="M72" s="144">
        <f t="shared" si="212"/>
        <v>2091</v>
      </c>
      <c r="N72" s="144">
        <f t="shared" si="212"/>
        <v>-5809</v>
      </c>
      <c r="O72" s="144">
        <f t="shared" si="212"/>
        <v>-1174</v>
      </c>
      <c r="P72" s="144">
        <f t="shared" si="212"/>
        <v>3159</v>
      </c>
      <c r="Q72" s="144">
        <f t="shared" ref="Q72" si="213">Q20+Q21</f>
        <v>3159</v>
      </c>
      <c r="R72" s="118">
        <f>((P72/G72)^(1/($H$2-$H$1) ))-1</f>
        <v>-2.2009259447474125</v>
      </c>
      <c r="S72" s="128"/>
      <c r="T72" s="144">
        <f t="shared" ref="T72:AC72" si="214">T20+T21</f>
        <v>3632.8500000000004</v>
      </c>
      <c r="U72" s="144">
        <f t="shared" si="214"/>
        <v>4177.7775000000001</v>
      </c>
      <c r="V72" s="144">
        <f t="shared" si="214"/>
        <v>4804.4441250000018</v>
      </c>
      <c r="W72" s="144">
        <f t="shared" si="214"/>
        <v>5525.1107437500032</v>
      </c>
      <c r="X72" s="144">
        <f t="shared" si="214"/>
        <v>6353.8773553125029</v>
      </c>
      <c r="Y72" s="144">
        <f t="shared" si="214"/>
        <v>7306.9589586093753</v>
      </c>
      <c r="Z72" s="144">
        <f t="shared" si="214"/>
        <v>8403.002802400777</v>
      </c>
      <c r="AA72" s="144">
        <f t="shared" si="214"/>
        <v>9663.4532227608943</v>
      </c>
      <c r="AB72" s="144">
        <f t="shared" si="214"/>
        <v>11112.971206175025</v>
      </c>
      <c r="AC72" s="144">
        <f t="shared" si="214"/>
        <v>12779.916887101281</v>
      </c>
      <c r="AD72" s="138" t="e">
        <f t="shared" ref="AD72:AD77" si="215">((AC72/G72)^(1/($AC$3-$H$1) ))-1</f>
        <v>#NUM!</v>
      </c>
      <c r="AE72" s="31">
        <f t="shared" si="15"/>
        <v>0.05</v>
      </c>
      <c r="AF72" s="146">
        <f t="shared" si="168"/>
        <v>78934.780773272621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-32.811656772800859</v>
      </c>
      <c r="H74" s="144">
        <f t="shared" si="216"/>
        <v>3.6421518372632598</v>
      </c>
      <c r="I74" s="144">
        <f t="shared" si="216"/>
        <v>-2.3926477578830609</v>
      </c>
      <c r="J74" s="144">
        <f t="shared" si="216"/>
        <v>0.69656992084432723</v>
      </c>
      <c r="K74" s="144">
        <f t="shared" si="216"/>
        <v>-6.267791249341065</v>
      </c>
      <c r="L74" s="144">
        <f t="shared" si="216"/>
        <v>5.0526870389884087</v>
      </c>
      <c r="M74" s="144">
        <f t="shared" si="216"/>
        <v>5.504080021058174</v>
      </c>
      <c r="N74" s="144">
        <f t="shared" si="216"/>
        <v>-15.298920200158021</v>
      </c>
      <c r="O74" s="144">
        <f t="shared" si="216"/>
        <v>-3.0919146694759023</v>
      </c>
      <c r="P74" s="144">
        <f t="shared" si="216"/>
        <v>8.3197260995522786</v>
      </c>
      <c r="Q74" s="144">
        <f t="shared" ref="Q74" si="217">Q72/Q42</f>
        <v>8.3197260995522786</v>
      </c>
      <c r="R74" s="118">
        <f>((P74/G74)^(1/($H$2-$H$1) ))-1</f>
        <v>-1.8585918529378507</v>
      </c>
      <c r="S74" s="128"/>
      <c r="T74" s="146">
        <f t="shared" ref="T74:AC74" si="218">T72/T42</f>
        <v>9.1120809661763058</v>
      </c>
      <c r="U74" s="146">
        <f t="shared" si="218"/>
        <v>9.9798982010502382</v>
      </c>
      <c r="V74" s="146">
        <f t="shared" si="218"/>
        <v>10.930364696388359</v>
      </c>
      <c r="W74" s="146">
        <f t="shared" si="218"/>
        <v>11.971351810330109</v>
      </c>
      <c r="X74" s="146">
        <f t="shared" si="218"/>
        <v>13.11148055417107</v>
      </c>
      <c r="Y74" s="146">
        <f t="shared" si="218"/>
        <v>14.360192987901643</v>
      </c>
      <c r="Z74" s="146">
        <f t="shared" si="218"/>
        <v>15.727830415320838</v>
      </c>
      <c r="AA74" s="146">
        <f t="shared" si="218"/>
        <v>17.225719026303775</v>
      </c>
      <c r="AB74" s="146">
        <f t="shared" si="218"/>
        <v>18.866263695475556</v>
      </c>
      <c r="AC74" s="146">
        <f t="shared" si="218"/>
        <v>20.663050714092279</v>
      </c>
      <c r="AD74" s="138" t="e">
        <f t="shared" si="215"/>
        <v>#NUM!</v>
      </c>
      <c r="AE74" s="31">
        <f t="shared" si="15"/>
        <v>0.05</v>
      </c>
      <c r="AF74" s="146">
        <f t="shared" si="168"/>
        <v>127.62472499880528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-0.37776578521316784</v>
      </c>
      <c r="H75" s="144">
        <f t="shared" si="219"/>
        <v>16.214320401446066</v>
      </c>
      <c r="I75" s="144">
        <f t="shared" si="219"/>
        <v>24.01626789204035</v>
      </c>
      <c r="J75" s="144">
        <f t="shared" si="219"/>
        <v>42.78100263852243</v>
      </c>
      <c r="K75" s="144">
        <f t="shared" si="219"/>
        <v>55.134422772799162</v>
      </c>
      <c r="L75" s="144">
        <f t="shared" si="219"/>
        <v>62.449947312961008</v>
      </c>
      <c r="M75" s="144">
        <f t="shared" si="219"/>
        <v>33.408791787312452</v>
      </c>
      <c r="N75" s="144">
        <f t="shared" si="219"/>
        <v>35.009217803529104</v>
      </c>
      <c r="O75" s="144">
        <f t="shared" si="219"/>
        <v>30.12114827495391</v>
      </c>
      <c r="P75" s="144">
        <f t="shared" si="219"/>
        <v>36.565709770871742</v>
      </c>
      <c r="Q75" s="144">
        <f t="shared" ref="Q75" si="220">Q20/Q42</f>
        <v>36.565709770871742</v>
      </c>
      <c r="R75" s="118">
        <f>((P75/G75)^(1/($H$2-$H$1) ))-1</f>
        <v>-2.6620732280564932</v>
      </c>
      <c r="S75" s="128"/>
      <c r="T75" s="146">
        <f t="shared" ref="T75:AC75" si="221">T20/T42</f>
        <v>40.048158320478571</v>
      </c>
      <c r="U75" s="146">
        <f t="shared" si="221"/>
        <v>43.862268636714617</v>
      </c>
      <c r="V75" s="146">
        <f t="shared" si="221"/>
        <v>48.03962755449696</v>
      </c>
      <c r="W75" s="146">
        <f t="shared" si="221"/>
        <v>52.614830178734756</v>
      </c>
      <c r="X75" s="146">
        <f t="shared" si="221"/>
        <v>57.625766386233302</v>
      </c>
      <c r="Y75" s="146">
        <f t="shared" si="221"/>
        <v>63.113934613493605</v>
      </c>
      <c r="Z75" s="146">
        <f t="shared" si="221"/>
        <v>69.124785529064411</v>
      </c>
      <c r="AA75" s="146">
        <f t="shared" si="221"/>
        <v>75.708098436594355</v>
      </c>
      <c r="AB75" s="146">
        <f t="shared" si="221"/>
        <v>82.918393525793803</v>
      </c>
      <c r="AC75" s="146">
        <f t="shared" si="221"/>
        <v>90.815383385393204</v>
      </c>
      <c r="AD75" s="138" t="e">
        <f t="shared" si="215"/>
        <v>#NUM!</v>
      </c>
      <c r="AE75" s="31">
        <f t="shared" si="15"/>
        <v>0.05</v>
      </c>
      <c r="AF75" s="146">
        <f t="shared" si="168"/>
        <v>560.9185444391934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-32.433890987587695</v>
      </c>
      <c r="H76" s="144">
        <f t="shared" si="222"/>
        <v>-12.572168564182808</v>
      </c>
      <c r="I76" s="144">
        <f t="shared" si="222"/>
        <v>-26.408915649923411</v>
      </c>
      <c r="J76" s="144">
        <f t="shared" si="222"/>
        <v>-42.084432717678098</v>
      </c>
      <c r="K76" s="144">
        <f t="shared" si="222"/>
        <v>-61.402214022140228</v>
      </c>
      <c r="L76" s="144">
        <f t="shared" si="222"/>
        <v>-57.397260273972599</v>
      </c>
      <c r="M76" s="144">
        <f t="shared" si="222"/>
        <v>-27.90471176625428</v>
      </c>
      <c r="N76" s="144">
        <f t="shared" si="222"/>
        <v>-50.30813800368712</v>
      </c>
      <c r="O76" s="144">
        <f t="shared" si="222"/>
        <v>-33.213062944429815</v>
      </c>
      <c r="P76" s="144">
        <f t="shared" si="222"/>
        <v>-28.245983671319465</v>
      </c>
      <c r="Q76" s="144">
        <f t="shared" ref="Q76" si="223">Q21/Q42</f>
        <v>-28.245983671319465</v>
      </c>
      <c r="R76" s="118">
        <f>((P76/G76)^(1/($H$2-$H$1) ))-1</f>
        <v>-1.5244017461384929E-2</v>
      </c>
      <c r="S76" s="128"/>
      <c r="T76" s="146">
        <f t="shared" ref="T76:AC76" si="224">T21/T42</f>
        <v>-30.936077354302263</v>
      </c>
      <c r="U76" s="146">
        <f t="shared" si="224"/>
        <v>-33.882370435664377</v>
      </c>
      <c r="V76" s="146">
        <f t="shared" si="224"/>
        <v>-37.1092628581086</v>
      </c>
      <c r="W76" s="146">
        <f t="shared" si="224"/>
        <v>-40.643478368404651</v>
      </c>
      <c r="X76" s="146">
        <f t="shared" si="224"/>
        <v>-44.514285832062228</v>
      </c>
      <c r="Y76" s="146">
        <f t="shared" si="224"/>
        <v>-48.753741625591964</v>
      </c>
      <c r="Z76" s="146">
        <f t="shared" si="224"/>
        <v>-53.39695511374358</v>
      </c>
      <c r="AA76" s="146">
        <f t="shared" si="224"/>
        <v>-58.482379410290577</v>
      </c>
      <c r="AB76" s="146">
        <f t="shared" si="224"/>
        <v>-64.05212983031825</v>
      </c>
      <c r="AC76" s="146">
        <f t="shared" si="224"/>
        <v>-70.152332671300925</v>
      </c>
      <c r="AD76" s="138">
        <f t="shared" si="215"/>
        <v>3.9326864804099193E-2</v>
      </c>
      <c r="AE76" s="31">
        <f t="shared" si="15"/>
        <v>0.05</v>
      </c>
      <c r="AF76" s="146">
        <f t="shared" si="168"/>
        <v>-433.29381944038812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32.865623313545598</v>
      </c>
      <c r="H77" s="144">
        <f t="shared" si="225"/>
        <v>-2.2824151513516431</v>
      </c>
      <c r="I77" s="144">
        <f t="shared" si="225"/>
        <v>1.9859504568742405</v>
      </c>
      <c r="J77" s="144">
        <f t="shared" si="225"/>
        <v>1.7941952506596306</v>
      </c>
      <c r="K77" s="144">
        <f t="shared" si="225"/>
        <v>4.7337901950448078</v>
      </c>
      <c r="L77" s="144">
        <f t="shared" si="225"/>
        <v>-3.5405690200210747</v>
      </c>
      <c r="M77" s="144">
        <f t="shared" si="225"/>
        <v>-6.6833377204527515</v>
      </c>
      <c r="N77" s="144">
        <f t="shared" si="225"/>
        <v>14.732683697656045</v>
      </c>
      <c r="O77" s="144">
        <f t="shared" si="225"/>
        <v>3.6871214116407693</v>
      </c>
      <c r="P77" s="144">
        <f t="shared" si="225"/>
        <v>-8.38820121148275</v>
      </c>
      <c r="Q77" s="144">
        <f t="shared" ref="Q77" si="226">Q22/Q42</f>
        <v>-8.38820121148275</v>
      </c>
      <c r="R77" s="118">
        <f>((P77/G77)^(1/($H$2-$H$1) ))-1</f>
        <v>-1.8592172672680478</v>
      </c>
      <c r="S77" s="128"/>
      <c r="T77" s="146">
        <f t="shared" ref="T77:AC77" si="227">T22/T42</f>
        <v>-9.1870775173382491</v>
      </c>
      <c r="U77" s="146">
        <f t="shared" si="227"/>
        <v>-10.062037280894272</v>
      </c>
      <c r="V77" s="146">
        <f t="shared" si="227"/>
        <v>-11.020326545741343</v>
      </c>
      <c r="W77" s="146">
        <f t="shared" si="227"/>
        <v>-12.069881454859564</v>
      </c>
      <c r="X77" s="146">
        <f t="shared" si="227"/>
        <v>-13.219393974369998</v>
      </c>
      <c r="Y77" s="146">
        <f t="shared" si="227"/>
        <v>-14.478383876690948</v>
      </c>
      <c r="Z77" s="146">
        <f t="shared" si="227"/>
        <v>-15.857277579232942</v>
      </c>
      <c r="AA77" s="146">
        <f t="shared" si="227"/>
        <v>-17.367494491540839</v>
      </c>
      <c r="AB77" s="146">
        <f t="shared" si="227"/>
        <v>-19.021541585973299</v>
      </c>
      <c r="AC77" s="146">
        <f t="shared" si="227"/>
        <v>-20.833116975113608</v>
      </c>
      <c r="AD77" s="138" t="e">
        <f t="shared" si="215"/>
        <v>#NUM!</v>
      </c>
      <c r="AE77" s="31">
        <f t="shared" si="15"/>
        <v>0.05</v>
      </c>
      <c r="AF77" s="146">
        <f t="shared" si="168"/>
        <v>-128.67513425805467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7.0156502968159737E-3</v>
      </c>
      <c r="H78" s="144">
        <f t="shared" si="228"/>
        <v>2.0719797118653211</v>
      </c>
      <c r="I78" s="144">
        <f t="shared" si="228"/>
        <v>1.6215074209052975</v>
      </c>
      <c r="J78" s="144">
        <f t="shared" si="228"/>
        <v>4.1160949868073882</v>
      </c>
      <c r="K78" s="144">
        <f t="shared" si="228"/>
        <v>2.6462836056932</v>
      </c>
      <c r="L78" s="144">
        <f t="shared" si="228"/>
        <v>4.1622760800842986</v>
      </c>
      <c r="M78" s="144">
        <f t="shared" si="228"/>
        <v>0.89760463279810487</v>
      </c>
      <c r="N78" s="144">
        <f t="shared" si="228"/>
        <v>0.33710824335001316</v>
      </c>
      <c r="O78" s="144">
        <f t="shared" si="228"/>
        <v>0.93494864366605213</v>
      </c>
      <c r="P78" s="144">
        <f t="shared" si="228"/>
        <v>0.86383987358440872</v>
      </c>
      <c r="Q78" s="144">
        <f t="shared" ref="Q78" si="229">Q23/Q42</f>
        <v>0.86383987358440872</v>
      </c>
      <c r="R78" s="118">
        <f>((P78/G78)^(1/($H$2-$H$1) ))-1</f>
        <v>0.70711513451939623</v>
      </c>
      <c r="S78" s="128"/>
      <c r="T78" s="146">
        <f t="shared" ref="T78:AC78" si="230">T23/T42</f>
        <v>0.94611033773530473</v>
      </c>
      <c r="U78" s="146">
        <f t="shared" si="230"/>
        <v>1.0362160841862862</v>
      </c>
      <c r="V78" s="146">
        <f t="shared" si="230"/>
        <v>1.1349033302992655</v>
      </c>
      <c r="W78" s="146">
        <f t="shared" si="230"/>
        <v>1.2429893617563383</v>
      </c>
      <c r="X78" s="146">
        <f t="shared" si="230"/>
        <v>1.3613693009712275</v>
      </c>
      <c r="Y78" s="146">
        <f t="shared" si="230"/>
        <v>1.4910235201113444</v>
      </c>
      <c r="Z78" s="146">
        <f t="shared" si="230"/>
        <v>1.6330257601219484</v>
      </c>
      <c r="AA78" s="146">
        <f t="shared" si="230"/>
        <v>1.7885520229907053</v>
      </c>
      <c r="AB78" s="146">
        <f t="shared" si="230"/>
        <v>1.9588903108945819</v>
      </c>
      <c r="AC78" s="146">
        <f t="shared" si="230"/>
        <v>2.1454512928845415</v>
      </c>
      <c r="AD78" s="138">
        <f t="shared" ref="AD78" si="231">((AC78/G78)^(1/($AC$3-$H$1) ))-1</f>
        <v>0.33128959079988385</v>
      </c>
      <c r="AE78" s="31">
        <f t="shared" si="15"/>
        <v>0.05</v>
      </c>
      <c r="AF78" s="146">
        <f t="shared" si="168"/>
        <v>13.251316808992756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90.07015650296816</v>
      </c>
      <c r="H80" s="144">
        <f t="shared" si="232"/>
        <v>16.424755840932391</v>
      </c>
      <c r="I80" s="144">
        <f t="shared" si="232"/>
        <v>22.120107748375851</v>
      </c>
      <c r="J80" s="144">
        <f t="shared" si="232"/>
        <v>39.234828496042219</v>
      </c>
      <c r="K80" s="144">
        <f t="shared" si="232"/>
        <v>59.98945703742752</v>
      </c>
      <c r="L80" s="144">
        <f t="shared" si="232"/>
        <v>81.348788198103264</v>
      </c>
      <c r="M80" s="144">
        <f t="shared" si="232"/>
        <v>44.738088970781789</v>
      </c>
      <c r="N80" s="144">
        <f t="shared" si="232"/>
        <v>52.596786937055569</v>
      </c>
      <c r="O80" s="144">
        <f t="shared" si="232"/>
        <v>62.428232815380568</v>
      </c>
      <c r="P80" s="144">
        <f t="shared" si="232"/>
        <v>65.499078219647089</v>
      </c>
      <c r="Q80" s="144">
        <f t="shared" ref="Q80" si="233">Q36/Q42</f>
        <v>65.499078219647089</v>
      </c>
      <c r="R80" s="118">
        <f>((P80/G80)^(1/($H$2-$H$1) ))-1</f>
        <v>-3.4775688099321078E-2</v>
      </c>
      <c r="S80" s="128"/>
      <c r="T80" s="144">
        <f t="shared" ref="T80:AC80" si="234">T36/T42</f>
        <v>71.737085669137272</v>
      </c>
      <c r="U80" s="144">
        <f t="shared" si="234"/>
        <v>78.56918906619795</v>
      </c>
      <c r="V80" s="144">
        <f t="shared" si="234"/>
        <v>86.051968977264409</v>
      </c>
      <c r="W80" s="144">
        <f t="shared" si="234"/>
        <v>94.247394594146712</v>
      </c>
      <c r="X80" s="144">
        <f t="shared" si="234"/>
        <v>103.22333693644639</v>
      </c>
      <c r="Y80" s="144">
        <f t="shared" si="234"/>
        <v>113.05413093039365</v>
      </c>
      <c r="Z80" s="144">
        <f t="shared" si="234"/>
        <v>123.82119101900255</v>
      </c>
      <c r="AA80" s="144">
        <f t="shared" si="234"/>
        <v>135.61368540176468</v>
      </c>
      <c r="AB80" s="144">
        <f t="shared" si="234"/>
        <v>148.52927448764703</v>
      </c>
      <c r="AC80" s="144">
        <f t="shared" si="234"/>
        <v>162.6749196769467</v>
      </c>
      <c r="AD80" s="138">
        <f t="shared" ref="AD80:AD82" si="235">((AC80/G80)^(1/($AC$3-$H$1) ))-1</f>
        <v>2.9999429556365476E-2</v>
      </c>
      <c r="AE80" s="31">
        <f t="shared" si="15"/>
        <v>0.05</v>
      </c>
      <c r="AF80" s="146">
        <f t="shared" si="168"/>
        <v>1004.7568568282004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31.570426335671883</v>
      </c>
      <c r="H81" s="144">
        <f t="shared" si="236"/>
        <v>6.599039551071062</v>
      </c>
      <c r="I81" s="144">
        <f t="shared" si="236"/>
        <v>10.848782548988538</v>
      </c>
      <c r="J81" s="144">
        <f t="shared" si="236"/>
        <v>21.688654353562004</v>
      </c>
      <c r="K81" s="144">
        <f t="shared" si="236"/>
        <v>34.238270954138116</v>
      </c>
      <c r="L81" s="144">
        <f t="shared" si="236"/>
        <v>42.381454162276079</v>
      </c>
      <c r="M81" s="144">
        <f t="shared" si="236"/>
        <v>24.653856277967886</v>
      </c>
      <c r="N81" s="144">
        <f t="shared" si="236"/>
        <v>18.891229918356597</v>
      </c>
      <c r="O81" s="144">
        <f t="shared" si="236"/>
        <v>5.8388201211482755</v>
      </c>
      <c r="P81" s="144">
        <f t="shared" si="236"/>
        <v>5.988938635765078</v>
      </c>
      <c r="Q81" s="144">
        <f t="shared" ref="Q81" si="237">Q40/Q42</f>
        <v>5.988938635765078</v>
      </c>
      <c r="R81" s="118">
        <f>((P81/G81)^(1/($H$2-$H$1) ))-1</f>
        <v>-0.16864695710564725</v>
      </c>
      <c r="S81" s="128"/>
      <c r="T81" s="144">
        <f t="shared" ref="T81:AC81" si="238">T40/T42</f>
        <v>6.5593137439331803</v>
      </c>
      <c r="U81" s="144">
        <f t="shared" si="238"/>
        <v>7.1840102909744346</v>
      </c>
      <c r="V81" s="144">
        <f t="shared" si="238"/>
        <v>7.8682017472577126</v>
      </c>
      <c r="W81" s="144">
        <f t="shared" si="238"/>
        <v>8.617554294615589</v>
      </c>
      <c r="X81" s="144">
        <f t="shared" si="238"/>
        <v>9.438273751245644</v>
      </c>
      <c r="Y81" s="144">
        <f t="shared" si="238"/>
        <v>10.33715696564999</v>
      </c>
      <c r="Z81" s="144">
        <f t="shared" si="238"/>
        <v>11.321648105235703</v>
      </c>
      <c r="AA81" s="144">
        <f t="shared" si="238"/>
        <v>12.399900305734338</v>
      </c>
      <c r="AB81" s="144">
        <f t="shared" si="238"/>
        <v>13.580843191994751</v>
      </c>
      <c r="AC81" s="144">
        <f t="shared" si="238"/>
        <v>14.874256829327582</v>
      </c>
      <c r="AD81" s="138">
        <f t="shared" si="235"/>
        <v>-3.6930250953286281E-2</v>
      </c>
      <c r="AE81" s="31">
        <f t="shared" si="15"/>
        <v>0.05</v>
      </c>
      <c r="AF81" s="146">
        <f t="shared" si="168"/>
        <v>91.870409828199783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128.76416621694548</v>
      </c>
      <c r="H82" s="144">
        <f t="shared" si="239"/>
        <v>14.439108617061457</v>
      </c>
      <c r="I82" s="144">
        <f t="shared" si="239"/>
        <v>28.806845190936457</v>
      </c>
      <c r="J82" s="144">
        <f t="shared" si="239"/>
        <v>50.44854881266491</v>
      </c>
      <c r="K82" s="144">
        <f t="shared" si="239"/>
        <v>104.19609910384818</v>
      </c>
      <c r="L82" s="144">
        <f t="shared" si="239"/>
        <v>142.7081138040042</v>
      </c>
      <c r="M82" s="144">
        <f t="shared" si="239"/>
        <v>99.278757567781</v>
      </c>
      <c r="N82" s="144">
        <f t="shared" si="239"/>
        <v>123.43429022912827</v>
      </c>
      <c r="O82" s="144">
        <f t="shared" si="239"/>
        <v>128.2907558598894</v>
      </c>
      <c r="P82" s="144">
        <f t="shared" si="239"/>
        <v>127.52699499604951</v>
      </c>
      <c r="Q82" s="144">
        <f t="shared" ref="Q82" si="240">Q6/Q42</f>
        <v>127.52699499604951</v>
      </c>
      <c r="R82" s="118">
        <f>((P82/G82)^(1/($H$2-$H$1) ))-1</f>
        <v>-1.0721464746690224E-3</v>
      </c>
      <c r="S82" s="128"/>
      <c r="T82" s="144">
        <f t="shared" ref="T82:AC82" si="241">T6/T42</f>
        <v>139.67242309091137</v>
      </c>
      <c r="U82" s="144">
        <f t="shared" si="241"/>
        <v>152.97455862337907</v>
      </c>
      <c r="V82" s="144">
        <f t="shared" si="241"/>
        <v>167.54356420655802</v>
      </c>
      <c r="W82" s="144">
        <f t="shared" si="241"/>
        <v>183.5000941309921</v>
      </c>
      <c r="X82" s="144">
        <f t="shared" si="241"/>
        <v>200.97629357203894</v>
      </c>
      <c r="Y82" s="144">
        <f t="shared" si="241"/>
        <v>220.11689295985212</v>
      </c>
      <c r="Z82" s="144">
        <f t="shared" si="241"/>
        <v>241.08040657507615</v>
      </c>
      <c r="AA82" s="144">
        <f t="shared" si="241"/>
        <v>264.04044529651196</v>
      </c>
      <c r="AB82" s="144">
        <f t="shared" si="241"/>
        <v>289.18715437237023</v>
      </c>
      <c r="AC82" s="144">
        <f t="shared" si="241"/>
        <v>316.72878812211968</v>
      </c>
      <c r="AD82" s="138">
        <f t="shared" si="235"/>
        <v>4.6031169930188076E-2</v>
      </c>
      <c r="AE82" s="31">
        <f t="shared" ref="AE82" si="242">$L$1</f>
        <v>0.05</v>
      </c>
      <c r="AF82" s="146">
        <f t="shared" si="168"/>
        <v>1956.2660442836807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0.33141382049245433</v>
      </c>
      <c r="H86" s="152">
        <f t="shared" si="243"/>
        <v>0.42698835741338198</v>
      </c>
      <c r="I86" s="152">
        <f t="shared" si="243"/>
        <v>0.35877666409663328</v>
      </c>
      <c r="J86" s="152">
        <f t="shared" si="243"/>
        <v>0.39919463087248325</v>
      </c>
      <c r="K86" s="152">
        <f t="shared" si="243"/>
        <v>0.53192483873983365</v>
      </c>
      <c r="L86" s="152">
        <f t="shared" si="243"/>
        <v>0.42862695019710179</v>
      </c>
      <c r="M86" s="152">
        <f t="shared" si="243"/>
        <v>0.39566067604059968</v>
      </c>
      <c r="N86" s="152">
        <f t="shared" si="243"/>
        <v>0.32638219287780484</v>
      </c>
      <c r="O86" s="152">
        <f t="shared" si="243"/>
        <v>0.33994464283153353</v>
      </c>
      <c r="P86" s="152">
        <f t="shared" si="243"/>
        <v>0.30948618076382234</v>
      </c>
      <c r="Q86" s="152">
        <f t="shared" ref="Q86" si="244">Q36/Q25</f>
        <v>0.30948618076382234</v>
      </c>
      <c r="R86" s="118">
        <f t="shared" ref="R86:R138" si="245">((P86/G86)^(1/($H$2-$H$1) ))-1</f>
        <v>-7.57718799797924E-3</v>
      </c>
      <c r="S86" s="152"/>
      <c r="T86" s="152">
        <f t="shared" ref="T86:AC86" si="246">T36/T25</f>
        <v>0.30948618076382234</v>
      </c>
      <c r="U86" s="152">
        <f t="shared" si="246"/>
        <v>0.30948618076382228</v>
      </c>
      <c r="V86" s="152">
        <f t="shared" si="246"/>
        <v>0.30948618076382228</v>
      </c>
      <c r="W86" s="152">
        <f t="shared" si="246"/>
        <v>0.30948618076382228</v>
      </c>
      <c r="X86" s="152">
        <f t="shared" si="246"/>
        <v>0.30948618076382223</v>
      </c>
      <c r="Y86" s="152">
        <f t="shared" si="246"/>
        <v>0.30948618076382228</v>
      </c>
      <c r="Z86" s="152">
        <f t="shared" si="246"/>
        <v>0.30948618076382228</v>
      </c>
      <c r="AA86" s="152">
        <f t="shared" si="246"/>
        <v>0.30948618076382228</v>
      </c>
      <c r="AB86" s="152">
        <f t="shared" si="246"/>
        <v>0.30948618076382228</v>
      </c>
      <c r="AC86" s="152">
        <f t="shared" si="246"/>
        <v>0.30948618076382223</v>
      </c>
      <c r="AD86" s="138">
        <f t="shared" ref="AD86:AD125" si="247">((AC86/G86)^(1/($AC$3-$H$1) ))-1</f>
        <v>-3.416867504248855E-3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0.11616362192216044</v>
      </c>
      <c r="H87" s="152">
        <f t="shared" si="248"/>
        <v>0.17155281245616497</v>
      </c>
      <c r="I87" s="152">
        <f t="shared" si="248"/>
        <v>0.17596162083440417</v>
      </c>
      <c r="J87" s="152">
        <f t="shared" si="248"/>
        <v>0.2206711409395973</v>
      </c>
      <c r="K87" s="152">
        <f t="shared" si="248"/>
        <v>0.30358979153033561</v>
      </c>
      <c r="L87" s="152">
        <f t="shared" si="248"/>
        <v>0.22330797845760925</v>
      </c>
      <c r="M87" s="152">
        <f t="shared" si="248"/>
        <v>0.21803706117888072</v>
      </c>
      <c r="N87" s="152">
        <f t="shared" si="248"/>
        <v>0.1172269525568321</v>
      </c>
      <c r="O87" s="152">
        <f t="shared" si="248"/>
        <v>3.1794518779847694E-2</v>
      </c>
      <c r="P87" s="152">
        <f t="shared" si="248"/>
        <v>2.829801266815167E-2</v>
      </c>
      <c r="Q87" s="152">
        <f t="shared" ref="Q87" si="249">Q40/Q25</f>
        <v>2.829801266815167E-2</v>
      </c>
      <c r="R87" s="118">
        <f t="shared" si="245"/>
        <v>-0.145220738409511</v>
      </c>
      <c r="S87" s="152"/>
      <c r="T87" s="152">
        <f t="shared" ref="T87:AC87" si="250">T40/T25</f>
        <v>2.829801266815167E-2</v>
      </c>
      <c r="U87" s="152">
        <f t="shared" si="250"/>
        <v>2.8298012668151674E-2</v>
      </c>
      <c r="V87" s="152">
        <f t="shared" si="250"/>
        <v>2.829801266815167E-2</v>
      </c>
      <c r="W87" s="152">
        <f t="shared" si="250"/>
        <v>2.8298012668151674E-2</v>
      </c>
      <c r="X87" s="152">
        <f t="shared" si="250"/>
        <v>2.829801266815167E-2</v>
      </c>
      <c r="Y87" s="152">
        <f t="shared" si="250"/>
        <v>2.829801266815167E-2</v>
      </c>
      <c r="Z87" s="152">
        <f t="shared" si="250"/>
        <v>2.829801266815167E-2</v>
      </c>
      <c r="AA87" s="152">
        <f t="shared" si="250"/>
        <v>2.829801266815167E-2</v>
      </c>
      <c r="AB87" s="152">
        <f t="shared" si="250"/>
        <v>2.829801266815167E-2</v>
      </c>
      <c r="AC87" s="152">
        <f t="shared" si="250"/>
        <v>2.829801266815167E-2</v>
      </c>
      <c r="AD87" s="138">
        <f t="shared" si="247"/>
        <v>-6.8175146727740832E-2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0.13800424628450106</v>
      </c>
      <c r="H88" s="152">
        <f t="shared" si="251"/>
        <v>0.2697397441552713</v>
      </c>
      <c r="I88" s="152">
        <f t="shared" si="251"/>
        <v>0.27900027166530833</v>
      </c>
      <c r="J88" s="152">
        <f t="shared" si="251"/>
        <v>0.35776462395543174</v>
      </c>
      <c r="K88" s="152">
        <f t="shared" si="251"/>
        <v>0.29897808874976983</v>
      </c>
      <c r="L88" s="152">
        <f t="shared" si="251"/>
        <v>0.27616987674666116</v>
      </c>
      <c r="M88" s="152">
        <f t="shared" si="251"/>
        <v>0.23486634234414966</v>
      </c>
      <c r="N88" s="152">
        <f t="shared" si="251"/>
        <v>0.14709018578517818</v>
      </c>
      <c r="O88" s="152">
        <f t="shared" si="251"/>
        <v>4.3804706486732133E-2</v>
      </c>
      <c r="P88" s="152">
        <f t="shared" ref="P88:Q88" si="252">P40/P7</f>
        <v>4.5189880964209776E-2</v>
      </c>
      <c r="Q88" s="152">
        <f t="shared" si="252"/>
        <v>4.5189880964209776E-2</v>
      </c>
      <c r="R88" s="118">
        <f t="shared" si="245"/>
        <v>-0.11666052527324045</v>
      </c>
      <c r="S88" s="20"/>
      <c r="T88" s="152">
        <f t="shared" ref="T88" si="253">T40/T7</f>
        <v>4.5189880964209776E-2</v>
      </c>
      <c r="U88" s="152">
        <f t="shared" ref="U88:AC88" si="254">U40/U7</f>
        <v>4.5189880964209776E-2</v>
      </c>
      <c r="V88" s="152">
        <f t="shared" si="254"/>
        <v>4.5189880964209776E-2</v>
      </c>
      <c r="W88" s="152">
        <f t="shared" si="254"/>
        <v>4.5189880964209776E-2</v>
      </c>
      <c r="X88" s="152">
        <f t="shared" si="254"/>
        <v>4.5189880964209776E-2</v>
      </c>
      <c r="Y88" s="152">
        <f t="shared" si="254"/>
        <v>4.5189880964209776E-2</v>
      </c>
      <c r="Z88" s="152">
        <f t="shared" si="254"/>
        <v>4.5189880964209776E-2</v>
      </c>
      <c r="AA88" s="152">
        <f t="shared" si="254"/>
        <v>4.5189880964209776E-2</v>
      </c>
      <c r="AB88" s="152">
        <f t="shared" si="254"/>
        <v>4.5189880964209769E-2</v>
      </c>
      <c r="AC88" s="152">
        <f t="shared" si="254"/>
        <v>4.5189880964209776E-2</v>
      </c>
      <c r="AD88" s="138">
        <f t="shared" si="247"/>
        <v>-5.4291184443591156E-2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6.5450883866636833E-2</v>
      </c>
      <c r="H89" s="152">
        <f t="shared" ref="H89:O89" si="256">(H40)/(H7+H10)</f>
        <v>0.12827774281518775</v>
      </c>
      <c r="I89" s="152">
        <f t="shared" si="256"/>
        <v>0.16927641338388</v>
      </c>
      <c r="J89" s="152">
        <f t="shared" si="256"/>
        <v>0.24503666607047039</v>
      </c>
      <c r="K89" s="152">
        <f t="shared" si="256"/>
        <v>0.20734237829209895</v>
      </c>
      <c r="L89" s="152">
        <f t="shared" si="256"/>
        <v>0.18863146046337118</v>
      </c>
      <c r="M89" s="152">
        <f t="shared" si="256"/>
        <v>0.18670015548379382</v>
      </c>
      <c r="N89" s="152">
        <f t="shared" si="256"/>
        <v>6.8044699096911285E-2</v>
      </c>
      <c r="O89" s="152">
        <f t="shared" si="256"/>
        <v>1.8531521139475399E-2</v>
      </c>
      <c r="P89" s="152">
        <f t="shared" ref="P89:Q89" si="257">(P40)/(P7+P10)</f>
        <v>1.8445664782083208E-2</v>
      </c>
      <c r="Q89" s="152">
        <f t="shared" si="257"/>
        <v>1.8445664782083208E-2</v>
      </c>
      <c r="R89" s="118">
        <f t="shared" si="245"/>
        <v>-0.13126657231738947</v>
      </c>
      <c r="S89" s="20"/>
      <c r="T89" s="152">
        <f t="shared" ref="T89:AC89" si="258">(T40)/(T7+T10)</f>
        <v>1.8445664782083208E-2</v>
      </c>
      <c r="U89" s="152">
        <f t="shared" si="258"/>
        <v>1.8445664782083208E-2</v>
      </c>
      <c r="V89" s="152">
        <f t="shared" si="258"/>
        <v>1.8445664782083208E-2</v>
      </c>
      <c r="W89" s="152">
        <f t="shared" si="258"/>
        <v>1.8445664782083208E-2</v>
      </c>
      <c r="X89" s="152">
        <f t="shared" si="258"/>
        <v>1.8445664782083208E-2</v>
      </c>
      <c r="Y89" s="152">
        <f t="shared" si="258"/>
        <v>1.8445664782083208E-2</v>
      </c>
      <c r="Z89" s="152">
        <f t="shared" si="258"/>
        <v>1.8445664782083208E-2</v>
      </c>
      <c r="AA89" s="152">
        <f t="shared" si="258"/>
        <v>1.8445664782083204E-2</v>
      </c>
      <c r="AB89" s="152">
        <f t="shared" si="258"/>
        <v>1.8445664782083208E-2</v>
      </c>
      <c r="AC89" s="152">
        <f t="shared" si="258"/>
        <v>1.8445664782083208E-2</v>
      </c>
      <c r="AD89" s="138">
        <f t="shared" si="247"/>
        <v>-6.1360254731352204E-2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-1.3899920571882446E-3</v>
      </c>
      <c r="H90" s="152">
        <f t="shared" ref="H90:P90" si="259">H20/H25</f>
        <v>0.42151774442418294</v>
      </c>
      <c r="I90" s="152">
        <f t="shared" si="259"/>
        <v>0.38953139724149749</v>
      </c>
      <c r="J90" s="152">
        <f t="shared" si="259"/>
        <v>0.4352751677852349</v>
      </c>
      <c r="K90" s="152">
        <f t="shared" si="259"/>
        <v>0.48887538562213706</v>
      </c>
      <c r="L90" s="152">
        <f t="shared" si="259"/>
        <v>0.32904891455221807</v>
      </c>
      <c r="M90" s="152">
        <f t="shared" si="259"/>
        <v>0.29546512710680695</v>
      </c>
      <c r="N90" s="152">
        <f t="shared" si="259"/>
        <v>0.2172449296442171</v>
      </c>
      <c r="O90" s="152">
        <f t="shared" si="259"/>
        <v>0.16402070874385119</v>
      </c>
      <c r="P90" s="152">
        <f t="shared" si="259"/>
        <v>0.1727746736519867</v>
      </c>
      <c r="Q90" s="152">
        <f t="shared" ref="Q90" si="260">Q20/Q25</f>
        <v>0.1727746736519867</v>
      </c>
      <c r="R90" s="118">
        <f t="shared" si="245"/>
        <v>-2.7089078325151346</v>
      </c>
      <c r="S90" s="20"/>
      <c r="T90" s="152">
        <f t="shared" ref="T90:AC90" si="261">T20/T25</f>
        <v>0.1727746736519867</v>
      </c>
      <c r="U90" s="152">
        <f t="shared" si="261"/>
        <v>0.1727746736519867</v>
      </c>
      <c r="V90" s="152">
        <f t="shared" si="261"/>
        <v>0.17277467365198673</v>
      </c>
      <c r="W90" s="152">
        <f t="shared" si="261"/>
        <v>0.17277467365198673</v>
      </c>
      <c r="X90" s="152">
        <f t="shared" si="261"/>
        <v>0.17277467365198673</v>
      </c>
      <c r="Y90" s="152">
        <f t="shared" si="261"/>
        <v>0.17277467365198673</v>
      </c>
      <c r="Z90" s="152">
        <f t="shared" si="261"/>
        <v>0.1727746736519867</v>
      </c>
      <c r="AA90" s="152">
        <f t="shared" si="261"/>
        <v>0.1727746736519867</v>
      </c>
      <c r="AB90" s="152">
        <f t="shared" si="261"/>
        <v>0.17277467365198673</v>
      </c>
      <c r="AC90" s="152">
        <f t="shared" si="261"/>
        <v>0.17277467365198673</v>
      </c>
      <c r="AD90" s="138" t="e">
        <f t="shared" si="247"/>
        <v>#NUM!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-6.5528196981731535E-3</v>
      </c>
      <c r="H91" s="152">
        <f t="shared" ref="H91:P91" si="262">H52/H25</f>
        <v>-0.100154299340721</v>
      </c>
      <c r="I91" s="152">
        <f t="shared" si="262"/>
        <v>2.595733744538679E-2</v>
      </c>
      <c r="J91" s="152">
        <f t="shared" si="262"/>
        <v>2.9744966442953019E-2</v>
      </c>
      <c r="K91" s="152">
        <f t="shared" si="262"/>
        <v>-0.23193418715527719</v>
      </c>
      <c r="L91" s="152">
        <f t="shared" si="262"/>
        <v>1.357503747709733E-2</v>
      </c>
      <c r="M91" s="152">
        <f t="shared" si="262"/>
        <v>3.4477139398454232E-2</v>
      </c>
      <c r="N91" s="152">
        <f t="shared" si="262"/>
        <v>2.9073853143538872E-2</v>
      </c>
      <c r="O91" s="152">
        <f t="shared" si="262"/>
        <v>3.2411191900070274E-2</v>
      </c>
      <c r="P91" s="152">
        <f t="shared" si="262"/>
        <v>3.3785885837305095E-2</v>
      </c>
      <c r="Q91" s="152">
        <f t="shared" ref="Q91" si="263">Q52/Q25</f>
        <v>3.3785885837305095E-2</v>
      </c>
      <c r="R91" s="118">
        <f t="shared" si="245"/>
        <v>-2.199900494801863</v>
      </c>
      <c r="S91" s="20"/>
      <c r="T91" s="152">
        <f t="shared" ref="T91:AC91" si="264">T52/T25</f>
        <v>3.3785885837305095E-2</v>
      </c>
      <c r="U91" s="152">
        <f t="shared" si="264"/>
        <v>3.3785885837305088E-2</v>
      </c>
      <c r="V91" s="152">
        <f t="shared" si="264"/>
        <v>3.3785885837305088E-2</v>
      </c>
      <c r="W91" s="152">
        <f t="shared" si="264"/>
        <v>3.3785885837305095E-2</v>
      </c>
      <c r="X91" s="152">
        <f t="shared" si="264"/>
        <v>3.3785885837305088E-2</v>
      </c>
      <c r="Y91" s="152">
        <f t="shared" si="264"/>
        <v>3.3785885837305095E-2</v>
      </c>
      <c r="Z91" s="152">
        <f t="shared" si="264"/>
        <v>3.3785885837305102E-2</v>
      </c>
      <c r="AA91" s="152">
        <f t="shared" si="264"/>
        <v>3.3785885837305102E-2</v>
      </c>
      <c r="AB91" s="152">
        <f t="shared" si="264"/>
        <v>3.3785885837305109E-2</v>
      </c>
      <c r="AC91" s="152">
        <f t="shared" si="264"/>
        <v>3.3785885837305102E-2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5.34154090548054E-2</v>
      </c>
      <c r="H93" s="152">
        <f t="shared" ref="H93:P93" si="265">H29/H25</f>
        <v>4.4606536681161456E-2</v>
      </c>
      <c r="I93" s="152">
        <f t="shared" si="265"/>
        <v>2.0474599503126873E-2</v>
      </c>
      <c r="J93" s="152">
        <f t="shared" si="265"/>
        <v>1.6214765100671141E-2</v>
      </c>
      <c r="K93" s="152">
        <f t="shared" si="265"/>
        <v>1.8509862578292978E-2</v>
      </c>
      <c r="L93" s="152">
        <f t="shared" si="265"/>
        <v>1.7517072899894508E-2</v>
      </c>
      <c r="M93" s="152">
        <f t="shared" si="265"/>
        <v>1.7902039296023839E-2</v>
      </c>
      <c r="N93" s="152">
        <f t="shared" si="265"/>
        <v>4.1412672212325745E-2</v>
      </c>
      <c r="O93" s="152">
        <f t="shared" si="265"/>
        <v>5.8540922715082676E-2</v>
      </c>
      <c r="P93" s="152">
        <f t="shared" si="265"/>
        <v>5.4555183613534265E-2</v>
      </c>
      <c r="Q93" s="152">
        <f t="shared" ref="Q93" si="266">Q29/Q25</f>
        <v>5.4555183613534265E-2</v>
      </c>
      <c r="R93" s="118">
        <f t="shared" si="245"/>
        <v>2.3486949105961941E-3</v>
      </c>
      <c r="S93" s="20"/>
      <c r="T93" s="152">
        <f t="shared" ref="T93:AC93" si="267">T29/T25</f>
        <v>5.4555183613534265E-2</v>
      </c>
      <c r="U93" s="152">
        <f t="shared" si="267"/>
        <v>5.4555183613534265E-2</v>
      </c>
      <c r="V93" s="152">
        <f t="shared" si="267"/>
        <v>5.4555183613534265E-2</v>
      </c>
      <c r="W93" s="152">
        <f t="shared" si="267"/>
        <v>5.4555183613534272E-2</v>
      </c>
      <c r="X93" s="152">
        <f t="shared" si="267"/>
        <v>5.4555183613534272E-2</v>
      </c>
      <c r="Y93" s="152">
        <f t="shared" si="267"/>
        <v>5.4555183613534272E-2</v>
      </c>
      <c r="Z93" s="152">
        <f t="shared" si="267"/>
        <v>5.4555183613534272E-2</v>
      </c>
      <c r="AA93" s="152">
        <f t="shared" si="267"/>
        <v>5.4555183613534272E-2</v>
      </c>
      <c r="AB93" s="152">
        <f t="shared" si="267"/>
        <v>5.4555183613534272E-2</v>
      </c>
      <c r="AC93" s="152">
        <f t="shared" si="267"/>
        <v>5.4555183613534265E-2</v>
      </c>
      <c r="AD93" s="138">
        <f t="shared" si="247"/>
        <v>1.0562308864081604E-3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0.16117435590173756</v>
      </c>
      <c r="H94" s="152">
        <f t="shared" ref="H94:P94" si="268">H29/H36</f>
        <v>0.10446780551905388</v>
      </c>
      <c r="I94" s="152">
        <f t="shared" si="268"/>
        <v>5.7067812798471826E-2</v>
      </c>
      <c r="J94" s="152">
        <f t="shared" si="268"/>
        <v>4.0618695359784802E-2</v>
      </c>
      <c r="K94" s="152">
        <f t="shared" si="268"/>
        <v>3.4797891036906857E-2</v>
      </c>
      <c r="L94" s="152">
        <f t="shared" si="268"/>
        <v>4.0867875647668396E-2</v>
      </c>
      <c r="M94" s="152">
        <f t="shared" si="268"/>
        <v>4.5245940221228527E-2</v>
      </c>
      <c r="N94" s="152">
        <f t="shared" si="268"/>
        <v>0.12688398177357169</v>
      </c>
      <c r="O94" s="152">
        <f t="shared" si="268"/>
        <v>0.17220722240971989</v>
      </c>
      <c r="P94" s="152">
        <f t="shared" si="268"/>
        <v>0.17627663852030559</v>
      </c>
      <c r="Q94" s="152">
        <f t="shared" ref="Q94" si="269">Q29/Q36</f>
        <v>0.17627663852030559</v>
      </c>
      <c r="R94" s="118">
        <f t="shared" ref="R94" si="270">((P94/G94)^(1/($H$2-$H$1) ))-1</f>
        <v>1.0001667422932403E-2</v>
      </c>
      <c r="S94" s="20"/>
      <c r="T94" s="152">
        <f t="shared" ref="T94:AC94" si="271">T29/T36</f>
        <v>0.17627663852030559</v>
      </c>
      <c r="U94" s="152">
        <f t="shared" si="271"/>
        <v>0.17627663852030562</v>
      </c>
      <c r="V94" s="152">
        <f t="shared" si="271"/>
        <v>0.17627663852030565</v>
      </c>
      <c r="W94" s="152">
        <f t="shared" si="271"/>
        <v>0.17627663852030565</v>
      </c>
      <c r="X94" s="152">
        <f t="shared" si="271"/>
        <v>0.17627663852030567</v>
      </c>
      <c r="Y94" s="152">
        <f t="shared" si="271"/>
        <v>0.17627663852030567</v>
      </c>
      <c r="Z94" s="152">
        <f t="shared" si="271"/>
        <v>0.17627663852030567</v>
      </c>
      <c r="AA94" s="152">
        <f t="shared" si="271"/>
        <v>0.17627663852030565</v>
      </c>
      <c r="AB94" s="152">
        <f t="shared" si="271"/>
        <v>0.17627663852030565</v>
      </c>
      <c r="AC94" s="152">
        <f t="shared" si="271"/>
        <v>0.17627663852030565</v>
      </c>
      <c r="AD94" s="138">
        <f t="shared" ref="AD94" si="272">((AC94/G94)^(1/($AC$3-$H$1) ))-1</f>
        <v>4.4884347775933087E-3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0.45982905982905981</v>
      </c>
      <c r="H95" s="171">
        <f t="shared" si="273"/>
        <v>0.26001635322976285</v>
      </c>
      <c r="I95" s="171">
        <f t="shared" si="273"/>
        <v>0.11635832521908471</v>
      </c>
      <c r="J95" s="171">
        <f t="shared" si="273"/>
        <v>7.3479318734793186E-2</v>
      </c>
      <c r="K95" s="171">
        <f t="shared" si="273"/>
        <v>6.0969976905311779E-2</v>
      </c>
      <c r="L95" s="171">
        <f t="shared" si="273"/>
        <v>7.8443560417702632E-2</v>
      </c>
      <c r="M95" s="171">
        <f t="shared" si="273"/>
        <v>8.2105487935084348E-2</v>
      </c>
      <c r="N95" s="171">
        <f t="shared" si="273"/>
        <v>0.35326920395929179</v>
      </c>
      <c r="O95" s="171">
        <f t="shared" si="273"/>
        <v>1.8412268831754623</v>
      </c>
      <c r="P95" s="171">
        <f t="shared" si="273"/>
        <v>1.9278803869832895</v>
      </c>
      <c r="Q95" s="171">
        <f t="shared" ref="Q95" si="274">Q29/Q40</f>
        <v>1.9278803869832895</v>
      </c>
      <c r="R95" s="118">
        <f t="shared" ref="R95" si="275">((P95/G95)^(1/($H$2-$H$1) ))-1</f>
        <v>0.17264039963431577</v>
      </c>
      <c r="S95" s="20"/>
      <c r="T95" s="171">
        <f t="shared" ref="T95:AC95" si="276">T29/T40</f>
        <v>1.9278803869832892</v>
      </c>
      <c r="U95" s="171">
        <f t="shared" si="276"/>
        <v>1.9278803869832892</v>
      </c>
      <c r="V95" s="171">
        <f t="shared" si="276"/>
        <v>1.9278803869832895</v>
      </c>
      <c r="W95" s="171">
        <f t="shared" si="276"/>
        <v>1.9278803869832895</v>
      </c>
      <c r="X95" s="171">
        <f t="shared" si="276"/>
        <v>1.9278803869832897</v>
      </c>
      <c r="Y95" s="171">
        <f t="shared" si="276"/>
        <v>1.9278803869832897</v>
      </c>
      <c r="Z95" s="171">
        <f t="shared" si="276"/>
        <v>1.9278803869832895</v>
      </c>
      <c r="AA95" s="171">
        <f t="shared" si="276"/>
        <v>1.9278803869832895</v>
      </c>
      <c r="AB95" s="171">
        <f t="shared" si="276"/>
        <v>1.9278803869832895</v>
      </c>
      <c r="AC95" s="171">
        <f t="shared" si="276"/>
        <v>1.9278803869832892</v>
      </c>
      <c r="AD95" s="138">
        <f t="shared" ref="AD95" si="277">((AC95/G95)^(1/($AC$3-$H$1) ))-1</f>
        <v>7.4296556236970179E-2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1.9925925925925927</v>
      </c>
      <c r="H96" s="171">
        <f t="shared" si="278"/>
        <v>0.775609756097561</v>
      </c>
      <c r="I96" s="171">
        <f t="shared" si="278"/>
        <v>0.68091168091168086</v>
      </c>
      <c r="J96" s="171">
        <f t="shared" si="278"/>
        <v>0.35487661574618096</v>
      </c>
      <c r="K96" s="171">
        <f t="shared" si="278"/>
        <v>0.56330014224751068</v>
      </c>
      <c r="L96" s="171">
        <f t="shared" si="278"/>
        <v>0.22820976491862568</v>
      </c>
      <c r="M96" s="171">
        <f t="shared" si="278"/>
        <v>0.2984090027163368</v>
      </c>
      <c r="N96" s="171">
        <f t="shared" si="278"/>
        <v>2.6450939457202507</v>
      </c>
      <c r="O96" s="171">
        <f t="shared" si="278"/>
        <v>2.0108374384236454</v>
      </c>
      <c r="P96" s="171">
        <f t="shared" si="278"/>
        <v>2.5355696934644305</v>
      </c>
      <c r="Q96" s="171">
        <f t="shared" ref="Q96" si="279">Q29/Q12</f>
        <v>2.5355696934644305</v>
      </c>
      <c r="R96" s="118">
        <f t="shared" si="245"/>
        <v>2.7137440425969439E-2</v>
      </c>
      <c r="S96" s="20"/>
      <c r="T96" s="152">
        <f t="shared" ref="T96:AC96" si="280">T29/T12</f>
        <v>2.5355696934644301</v>
      </c>
      <c r="U96" s="152">
        <f t="shared" si="280"/>
        <v>2.5355696934644305</v>
      </c>
      <c r="V96" s="152">
        <f t="shared" si="280"/>
        <v>2.5355696934644305</v>
      </c>
      <c r="W96" s="152">
        <f t="shared" si="280"/>
        <v>2.5355696934644305</v>
      </c>
      <c r="X96" s="152">
        <f t="shared" si="280"/>
        <v>2.5355696934644305</v>
      </c>
      <c r="Y96" s="152">
        <f t="shared" si="280"/>
        <v>2.5355696934644305</v>
      </c>
      <c r="Z96" s="152">
        <f t="shared" si="280"/>
        <v>2.5355696934644305</v>
      </c>
      <c r="AA96" s="152">
        <f t="shared" si="280"/>
        <v>2.5355696934644305</v>
      </c>
      <c r="AB96" s="152">
        <f t="shared" si="280"/>
        <v>2.5355696934644301</v>
      </c>
      <c r="AC96" s="152">
        <f t="shared" si="280"/>
        <v>2.5355696934644301</v>
      </c>
      <c r="AD96" s="138">
        <f t="shared" si="247"/>
        <v>1.2121969767989516E-2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2069.2307692307691</v>
      </c>
      <c r="H97" s="171">
        <f t="shared" ref="H97:P97" si="281">H29/H23</f>
        <v>0.828125</v>
      </c>
      <c r="I97" s="171">
        <f t="shared" si="281"/>
        <v>0.77850162866449513</v>
      </c>
      <c r="J97" s="171">
        <f t="shared" si="281"/>
        <v>0.38717948717948719</v>
      </c>
      <c r="K97" s="171">
        <f t="shared" si="281"/>
        <v>0.78884462151394419</v>
      </c>
      <c r="L97" s="171">
        <f t="shared" si="281"/>
        <v>0.79873417721518991</v>
      </c>
      <c r="M97" s="171">
        <f t="shared" si="281"/>
        <v>2.2551319648093844</v>
      </c>
      <c r="N97" s="171">
        <f t="shared" si="281"/>
        <v>19.796875</v>
      </c>
      <c r="O97" s="171">
        <f t="shared" si="281"/>
        <v>11.498591549295774</v>
      </c>
      <c r="P97" s="171">
        <f t="shared" si="281"/>
        <v>13.365853658536585</v>
      </c>
      <c r="Q97" s="171">
        <f t="shared" ref="Q97" si="282">Q29/Q23</f>
        <v>13.365853658536585</v>
      </c>
      <c r="R97" s="118">
        <f t="shared" ref="R97" si="283">((P97/G97)^(1/($H$2-$H$1) ))-1</f>
        <v>-0.42893238731007122</v>
      </c>
      <c r="S97" s="20"/>
      <c r="T97" s="171">
        <f t="shared" ref="T97:AC97" si="284">T29/T23</f>
        <v>13.365853658536585</v>
      </c>
      <c r="U97" s="171">
        <f t="shared" si="284"/>
        <v>13.365853658536585</v>
      </c>
      <c r="V97" s="171">
        <f t="shared" si="284"/>
        <v>13.365853658536585</v>
      </c>
      <c r="W97" s="171">
        <f t="shared" si="284"/>
        <v>13.365853658536585</v>
      </c>
      <c r="X97" s="171">
        <f t="shared" si="284"/>
        <v>13.365853658536587</v>
      </c>
      <c r="Y97" s="171">
        <f t="shared" si="284"/>
        <v>13.365853658536585</v>
      </c>
      <c r="Z97" s="171">
        <f t="shared" si="284"/>
        <v>13.365853658536585</v>
      </c>
      <c r="AA97" s="171">
        <f t="shared" si="284"/>
        <v>13.365853658536583</v>
      </c>
      <c r="AB97" s="171">
        <f t="shared" si="284"/>
        <v>13.365853658536583</v>
      </c>
      <c r="AC97" s="171">
        <f t="shared" si="284"/>
        <v>13.365853658536583</v>
      </c>
      <c r="AD97" s="138">
        <f t="shared" ref="AD97" si="285">((AC97/G97)^(1/($AC$3-$H$1) ))-1</f>
        <v>-0.22284188055939691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18.721189591078065</v>
      </c>
      <c r="H99" s="127">
        <f t="shared" ref="H99:P99" si="286">1/H93</f>
        <v>22.418238993710691</v>
      </c>
      <c r="I99" s="127">
        <f t="shared" si="286"/>
        <v>48.84100418410042</v>
      </c>
      <c r="J99" s="127">
        <f t="shared" si="286"/>
        <v>61.672185430463578</v>
      </c>
      <c r="K99" s="127">
        <f t="shared" si="286"/>
        <v>54.025252525252526</v>
      </c>
      <c r="L99" s="127">
        <f t="shared" si="286"/>
        <v>57.087163232963555</v>
      </c>
      <c r="M99" s="127">
        <f t="shared" si="286"/>
        <v>55.859557867360209</v>
      </c>
      <c r="N99" s="127">
        <f t="shared" si="286"/>
        <v>24.147198105761642</v>
      </c>
      <c r="O99" s="127">
        <f t="shared" si="286"/>
        <v>17.082067613914749</v>
      </c>
      <c r="P99" s="127">
        <f t="shared" si="286"/>
        <v>18.330063868613138</v>
      </c>
      <c r="Q99" s="127">
        <f t="shared" ref="Q99" si="287">1/Q93</f>
        <v>18.330063868613138</v>
      </c>
      <c r="R99" s="118">
        <f t="shared" si="245"/>
        <v>-2.3431914687190858E-3</v>
      </c>
      <c r="S99" s="20"/>
      <c r="T99" s="127">
        <f t="shared" ref="T99:AC99" si="288">1/T93</f>
        <v>18.330063868613138</v>
      </c>
      <c r="U99" s="127">
        <f t="shared" si="288"/>
        <v>18.330063868613138</v>
      </c>
      <c r="V99" s="127">
        <f t="shared" si="288"/>
        <v>18.330063868613138</v>
      </c>
      <c r="W99" s="127">
        <f t="shared" si="288"/>
        <v>18.330063868613138</v>
      </c>
      <c r="X99" s="127">
        <f t="shared" si="288"/>
        <v>18.330063868613138</v>
      </c>
      <c r="Y99" s="127">
        <f t="shared" si="288"/>
        <v>18.330063868613138</v>
      </c>
      <c r="Z99" s="127">
        <f t="shared" si="288"/>
        <v>18.330063868613138</v>
      </c>
      <c r="AA99" s="127">
        <f t="shared" si="288"/>
        <v>18.330063868613138</v>
      </c>
      <c r="AB99" s="127">
        <f t="shared" si="288"/>
        <v>18.330063868613138</v>
      </c>
      <c r="AC99" s="127">
        <f t="shared" si="288"/>
        <v>18.330063868613138</v>
      </c>
      <c r="AD99" s="138">
        <f t="shared" si="247"/>
        <v>-1.0551164398355795E-3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6.2044609665427508</v>
      </c>
      <c r="H100" s="127">
        <f t="shared" si="289"/>
        <v>9.5723270440251564</v>
      </c>
      <c r="I100" s="127">
        <f t="shared" si="289"/>
        <v>17.523012552301253</v>
      </c>
      <c r="J100" s="127">
        <f t="shared" si="289"/>
        <v>24.619205298013245</v>
      </c>
      <c r="K100" s="127">
        <f t="shared" si="289"/>
        <v>28.737373737373733</v>
      </c>
      <c r="L100" s="127">
        <f t="shared" si="289"/>
        <v>24.469096671949284</v>
      </c>
      <c r="M100" s="127">
        <f t="shared" si="289"/>
        <v>22.101430429128737</v>
      </c>
      <c r="N100" s="127">
        <f t="shared" si="289"/>
        <v>7.8812154696132595</v>
      </c>
      <c r="O100" s="127">
        <f t="shared" si="289"/>
        <v>5.8069573738363545</v>
      </c>
      <c r="P100" s="127">
        <f t="shared" si="289"/>
        <v>5.6729014598540148</v>
      </c>
      <c r="Q100" s="127">
        <f t="shared" ref="Q100" si="290">1/Q94</f>
        <v>5.6729014598540148</v>
      </c>
      <c r="R100" s="118">
        <f t="shared" si="245"/>
        <v>-9.9026246644245974E-3</v>
      </c>
      <c r="S100" s="20"/>
      <c r="T100" s="127">
        <f t="shared" ref="T100:AC100" si="291">1/T94</f>
        <v>5.6729014598540148</v>
      </c>
      <c r="U100" s="127">
        <f t="shared" si="291"/>
        <v>5.672901459854014</v>
      </c>
      <c r="V100" s="127">
        <f t="shared" si="291"/>
        <v>5.6729014598540131</v>
      </c>
      <c r="W100" s="127">
        <f t="shared" si="291"/>
        <v>5.6729014598540131</v>
      </c>
      <c r="X100" s="127">
        <f t="shared" si="291"/>
        <v>5.6729014598540122</v>
      </c>
      <c r="Y100" s="127">
        <f t="shared" si="291"/>
        <v>5.6729014598540122</v>
      </c>
      <c r="Z100" s="127">
        <f t="shared" si="291"/>
        <v>5.6729014598540122</v>
      </c>
      <c r="AA100" s="127">
        <f t="shared" si="291"/>
        <v>5.6729014598540131</v>
      </c>
      <c r="AB100" s="127">
        <f t="shared" si="291"/>
        <v>5.6729014598540131</v>
      </c>
      <c r="AC100" s="127">
        <f t="shared" si="291"/>
        <v>5.6729014598540131</v>
      </c>
      <c r="AD100" s="138">
        <f t="shared" si="247"/>
        <v>-4.4683787510079176E-3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2.1747211895910783</v>
      </c>
      <c r="H101" s="127">
        <f t="shared" si="289"/>
        <v>3.8459119496855352</v>
      </c>
      <c r="I101" s="127">
        <f t="shared" si="289"/>
        <v>8.5941422594142267</v>
      </c>
      <c r="J101" s="127">
        <f t="shared" si="289"/>
        <v>13.609271523178808</v>
      </c>
      <c r="K101" s="127">
        <f t="shared" si="289"/>
        <v>16.401515151515152</v>
      </c>
      <c r="L101" s="127">
        <f t="shared" si="289"/>
        <v>12.748019017432647</v>
      </c>
      <c r="M101" s="127">
        <f t="shared" si="289"/>
        <v>12.179453836150845</v>
      </c>
      <c r="N101" s="127">
        <f t="shared" si="289"/>
        <v>2.8307024467245463</v>
      </c>
      <c r="O101" s="127">
        <f t="shared" si="289"/>
        <v>0.54311611954924055</v>
      </c>
      <c r="P101" s="127">
        <f t="shared" si="289"/>
        <v>0.51870437956204374</v>
      </c>
      <c r="Q101" s="127">
        <f t="shared" ref="Q101" si="292">1/Q95</f>
        <v>0.51870437956204374</v>
      </c>
      <c r="R101" s="118">
        <f t="shared" si="245"/>
        <v>-0.14722364988290793</v>
      </c>
      <c r="S101" s="20"/>
      <c r="T101" s="127">
        <f t="shared" ref="T101:AC101" si="293">1/T95</f>
        <v>0.51870437956204385</v>
      </c>
      <c r="U101" s="127">
        <f t="shared" si="293"/>
        <v>0.51870437956204385</v>
      </c>
      <c r="V101" s="127">
        <f t="shared" si="293"/>
        <v>0.51870437956204374</v>
      </c>
      <c r="W101" s="127">
        <f t="shared" si="293"/>
        <v>0.51870437956204374</v>
      </c>
      <c r="X101" s="127">
        <f t="shared" si="293"/>
        <v>0.51870437956204374</v>
      </c>
      <c r="Y101" s="127">
        <f t="shared" si="293"/>
        <v>0.51870437956204374</v>
      </c>
      <c r="Z101" s="127">
        <f t="shared" si="293"/>
        <v>0.51870437956204374</v>
      </c>
      <c r="AA101" s="127">
        <f t="shared" si="293"/>
        <v>0.51870437956204374</v>
      </c>
      <c r="AB101" s="127">
        <f t="shared" si="293"/>
        <v>0.51870437956204374</v>
      </c>
      <c r="AC101" s="127">
        <f t="shared" si="293"/>
        <v>0.51870437956204385</v>
      </c>
      <c r="AD101" s="138">
        <f t="shared" si="247"/>
        <v>-6.9158330449475724E-2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0.5018587360594795</v>
      </c>
      <c r="H102" s="127">
        <f t="shared" si="289"/>
        <v>1.2893081761006289</v>
      </c>
      <c r="I102" s="127">
        <f t="shared" si="289"/>
        <v>1.4686192468619248</v>
      </c>
      <c r="J102" s="127">
        <f t="shared" si="289"/>
        <v>2.8178807947019866</v>
      </c>
      <c r="K102" s="127">
        <f t="shared" si="289"/>
        <v>1.7752525252525253</v>
      </c>
      <c r="L102" s="127">
        <f t="shared" si="289"/>
        <v>4.3819334389857367</v>
      </c>
      <c r="M102" s="127">
        <f t="shared" si="289"/>
        <v>3.3511053315994803</v>
      </c>
      <c r="N102" s="127">
        <f t="shared" si="289"/>
        <v>0.37805840568271504</v>
      </c>
      <c r="O102" s="127">
        <f t="shared" si="289"/>
        <v>0.49730524252817243</v>
      </c>
      <c r="P102" s="127">
        <f t="shared" si="289"/>
        <v>0.39438868613138683</v>
      </c>
      <c r="Q102" s="127">
        <f t="shared" ref="Q102" si="294">1/Q96</f>
        <v>0.39438868613138683</v>
      </c>
      <c r="R102" s="118">
        <f t="shared" si="245"/>
        <v>-2.6420456852118246E-2</v>
      </c>
      <c r="S102" s="20"/>
      <c r="T102" s="127">
        <f t="shared" ref="T102:AC102" si="295">1/T96</f>
        <v>0.39438868613138689</v>
      </c>
      <c r="U102" s="127">
        <f t="shared" si="295"/>
        <v>0.39438868613138683</v>
      </c>
      <c r="V102" s="127">
        <f t="shared" si="295"/>
        <v>0.39438868613138683</v>
      </c>
      <c r="W102" s="127">
        <f t="shared" si="295"/>
        <v>0.39438868613138683</v>
      </c>
      <c r="X102" s="127">
        <f t="shared" si="295"/>
        <v>0.39438868613138683</v>
      </c>
      <c r="Y102" s="127">
        <f t="shared" si="295"/>
        <v>0.39438868613138683</v>
      </c>
      <c r="Z102" s="127">
        <f t="shared" si="295"/>
        <v>0.39438868613138683</v>
      </c>
      <c r="AA102" s="127">
        <f t="shared" si="295"/>
        <v>0.39438868613138683</v>
      </c>
      <c r="AB102" s="127">
        <f t="shared" si="295"/>
        <v>0.39438868613138689</v>
      </c>
      <c r="AC102" s="127">
        <f t="shared" si="295"/>
        <v>0.39438868613138689</v>
      </c>
      <c r="AD102" s="138">
        <f t="shared" si="247"/>
        <v>-1.197678751185316E-2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4.8327137546468404E-4</v>
      </c>
      <c r="H103" s="127">
        <f t="shared" si="289"/>
        <v>1.2075471698113207</v>
      </c>
      <c r="I103" s="127">
        <f t="shared" si="289"/>
        <v>1.2845188284518829</v>
      </c>
      <c r="J103" s="127">
        <f t="shared" si="289"/>
        <v>2.5827814569536423</v>
      </c>
      <c r="K103" s="127">
        <f t="shared" si="289"/>
        <v>1.2676767676767677</v>
      </c>
      <c r="L103" s="127">
        <f t="shared" si="289"/>
        <v>1.2519809825673534</v>
      </c>
      <c r="M103" s="127">
        <f t="shared" si="289"/>
        <v>0.44343302990897265</v>
      </c>
      <c r="N103" s="127">
        <f t="shared" si="289"/>
        <v>5.0513022888713496E-2</v>
      </c>
      <c r="O103" s="127">
        <f t="shared" si="289"/>
        <v>8.6967172954434097E-2</v>
      </c>
      <c r="P103" s="127">
        <f t="shared" si="289"/>
        <v>7.4817518248175188E-2</v>
      </c>
      <c r="Q103" s="127">
        <f t="shared" ref="Q103" si="296">1/Q97</f>
        <v>7.4817518248175188E-2</v>
      </c>
      <c r="R103" s="118">
        <f t="shared" si="245"/>
        <v>0.75110613485791844</v>
      </c>
      <c r="S103" s="20"/>
      <c r="T103" s="127">
        <f t="shared" ref="T103:AC103" si="297">1/T97</f>
        <v>7.4817518248175188E-2</v>
      </c>
      <c r="U103" s="127">
        <f t="shared" si="297"/>
        <v>7.4817518248175188E-2</v>
      </c>
      <c r="V103" s="127">
        <f t="shared" si="297"/>
        <v>7.4817518248175188E-2</v>
      </c>
      <c r="W103" s="127">
        <f t="shared" si="297"/>
        <v>7.4817518248175188E-2</v>
      </c>
      <c r="X103" s="127">
        <f t="shared" si="297"/>
        <v>7.4817518248175174E-2</v>
      </c>
      <c r="Y103" s="127">
        <f t="shared" si="297"/>
        <v>7.4817518248175188E-2</v>
      </c>
      <c r="Z103" s="127">
        <f t="shared" si="297"/>
        <v>7.4817518248175188E-2</v>
      </c>
      <c r="AA103" s="127">
        <f t="shared" si="297"/>
        <v>7.4817518248175202E-2</v>
      </c>
      <c r="AB103" s="127">
        <f t="shared" si="297"/>
        <v>7.4817518248175202E-2</v>
      </c>
      <c r="AC103" s="127">
        <f t="shared" si="297"/>
        <v>7.4817518248175202E-2</v>
      </c>
      <c r="AD103" s="138">
        <f t="shared" si="247"/>
        <v>0.28673943562450077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4230</v>
      </c>
      <c r="H106" s="163">
        <f t="shared" si="298"/>
        <v>4112</v>
      </c>
      <c r="I106" s="163">
        <f t="shared" si="298"/>
        <v>4174</v>
      </c>
      <c r="J106" s="163">
        <f t="shared" si="298"/>
        <v>4287</v>
      </c>
      <c r="K106" s="163">
        <f t="shared" si="298"/>
        <v>4089</v>
      </c>
      <c r="L106" s="163">
        <f t="shared" si="298"/>
        <v>8404</v>
      </c>
      <c r="M106" s="163">
        <f t="shared" si="298"/>
        <v>2549</v>
      </c>
      <c r="N106" s="163">
        <f t="shared" si="298"/>
        <v>55070</v>
      </c>
      <c r="O106" s="163">
        <f t="shared" si="298"/>
        <v>65178</v>
      </c>
      <c r="P106" s="163">
        <f>P10-(P12+P13)</f>
        <v>64462</v>
      </c>
      <c r="Q106" s="163">
        <f>Q10-(Q12+Q13)</f>
        <v>64462</v>
      </c>
      <c r="R106" s="118">
        <f t="shared" si="245"/>
        <v>0.35344427291895797</v>
      </c>
      <c r="S106" s="20"/>
      <c r="T106" s="163">
        <f>T10-(T12+T13)</f>
        <v>74131.3</v>
      </c>
      <c r="U106" s="163">
        <f t="shared" ref="U106:AC106" si="299">U10-(U12+U13)</f>
        <v>85250.994999999995</v>
      </c>
      <c r="V106" s="163">
        <f t="shared" si="299"/>
        <v>98038.644249999983</v>
      </c>
      <c r="W106" s="163">
        <f t="shared" si="299"/>
        <v>112744.44088749998</v>
      </c>
      <c r="X106" s="163">
        <f t="shared" si="299"/>
        <v>129656.10702062497</v>
      </c>
      <c r="Y106" s="163">
        <f t="shared" si="299"/>
        <v>149104.52307371868</v>
      </c>
      <c r="Z106" s="163">
        <f t="shared" si="299"/>
        <v>171470.20153477648</v>
      </c>
      <c r="AA106" s="163">
        <f t="shared" si="299"/>
        <v>197190.73176499293</v>
      </c>
      <c r="AB106" s="163">
        <f t="shared" si="299"/>
        <v>226769.34152974185</v>
      </c>
      <c r="AC106" s="163">
        <f t="shared" si="299"/>
        <v>260784.7427592031</v>
      </c>
      <c r="AD106" s="138">
        <f t="shared" si="247"/>
        <v>0.22884495434245866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6.796793307772743E-2</v>
      </c>
      <c r="H107" s="152">
        <f t="shared" si="300"/>
        <v>0.11780003852822192</v>
      </c>
      <c r="I107" s="152">
        <f t="shared" si="300"/>
        <v>0.14864669271964104</v>
      </c>
      <c r="J107" s="152">
        <f t="shared" si="300"/>
        <v>0.20044869293796333</v>
      </c>
      <c r="K107" s="152">
        <f t="shared" si="300"/>
        <v>0.19954530093090417</v>
      </c>
      <c r="L107" s="152">
        <f t="shared" si="300"/>
        <v>0.18303449531264221</v>
      </c>
      <c r="M107" s="152">
        <f t="shared" si="300"/>
        <v>0.18419241283014415</v>
      </c>
      <c r="N107" s="152">
        <f t="shared" si="300"/>
        <v>5.5659015782857674E-2</v>
      </c>
      <c r="O107" s="152">
        <f t="shared" si="300"/>
        <v>1.6596547439026214E-2</v>
      </c>
      <c r="P107" s="152">
        <f t="shared" si="300"/>
        <v>1.6607874498805898E-2</v>
      </c>
      <c r="Q107" s="152">
        <f t="shared" ref="Q107" si="301">Q40/Q18</f>
        <v>1.6607874498805898E-2</v>
      </c>
      <c r="R107" s="118">
        <f t="shared" si="245"/>
        <v>-0.14493110140698762</v>
      </c>
      <c r="S107" s="20"/>
      <c r="T107" s="152">
        <f t="shared" ref="T107:AC107" si="302">T40/T18</f>
        <v>1.6607874498805901E-2</v>
      </c>
      <c r="U107" s="152">
        <f t="shared" si="302"/>
        <v>1.6607874498805901E-2</v>
      </c>
      <c r="V107" s="152">
        <f t="shared" si="302"/>
        <v>1.6607874498805901E-2</v>
      </c>
      <c r="W107" s="152">
        <f t="shared" si="302"/>
        <v>1.6607874498805901E-2</v>
      </c>
      <c r="X107" s="152">
        <f t="shared" si="302"/>
        <v>1.6607874498805901E-2</v>
      </c>
      <c r="Y107" s="152">
        <f t="shared" si="302"/>
        <v>1.6607874498805901E-2</v>
      </c>
      <c r="Z107" s="152">
        <f t="shared" si="302"/>
        <v>1.6607874498805901E-2</v>
      </c>
      <c r="AA107" s="152">
        <f t="shared" si="302"/>
        <v>1.6607874498805898E-2</v>
      </c>
      <c r="AB107" s="152">
        <f t="shared" si="302"/>
        <v>1.6607874498805898E-2</v>
      </c>
      <c r="AC107" s="152">
        <f t="shared" si="302"/>
        <v>1.6607874498805898E-2</v>
      </c>
      <c r="AD107" s="138">
        <f t="shared" si="247"/>
        <v>-6.803307541038639E-2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0.11616362192216044</v>
      </c>
      <c r="H108" s="152">
        <f t="shared" si="303"/>
        <v>0.17155281245616497</v>
      </c>
      <c r="I108" s="152">
        <f t="shared" si="303"/>
        <v>0.17596162083440417</v>
      </c>
      <c r="J108" s="152">
        <f t="shared" si="303"/>
        <v>0.2206711409395973</v>
      </c>
      <c r="K108" s="152">
        <f t="shared" si="303"/>
        <v>0.30358979153033561</v>
      </c>
      <c r="L108" s="152">
        <f t="shared" si="303"/>
        <v>0.22330797845760925</v>
      </c>
      <c r="M108" s="152">
        <f t="shared" si="303"/>
        <v>0.21803706117888072</v>
      </c>
      <c r="N108" s="152">
        <f t="shared" si="303"/>
        <v>0.1172269525568321</v>
      </c>
      <c r="O108" s="152">
        <f t="shared" si="303"/>
        <v>3.1794518779847694E-2</v>
      </c>
      <c r="P108" s="152">
        <f t="shared" si="303"/>
        <v>2.829801266815167E-2</v>
      </c>
      <c r="Q108" s="152">
        <f t="shared" ref="Q108" si="304">Q40/Q25</f>
        <v>2.829801266815167E-2</v>
      </c>
      <c r="R108" s="118">
        <f t="shared" si="245"/>
        <v>-0.145220738409511</v>
      </c>
      <c r="S108" s="20"/>
      <c r="T108" s="152">
        <f t="shared" ref="T108:AC108" si="305">T40/T25</f>
        <v>2.829801266815167E-2</v>
      </c>
      <c r="U108" s="152">
        <f t="shared" si="305"/>
        <v>2.8298012668151674E-2</v>
      </c>
      <c r="V108" s="152">
        <f t="shared" si="305"/>
        <v>2.829801266815167E-2</v>
      </c>
      <c r="W108" s="152">
        <f t="shared" si="305"/>
        <v>2.8298012668151674E-2</v>
      </c>
      <c r="X108" s="152">
        <f t="shared" si="305"/>
        <v>2.829801266815167E-2</v>
      </c>
      <c r="Y108" s="152">
        <f t="shared" si="305"/>
        <v>2.829801266815167E-2</v>
      </c>
      <c r="Z108" s="152">
        <f t="shared" si="305"/>
        <v>2.829801266815167E-2</v>
      </c>
      <c r="AA108" s="152">
        <f t="shared" si="305"/>
        <v>2.829801266815167E-2</v>
      </c>
      <c r="AB108" s="152">
        <f t="shared" si="305"/>
        <v>2.829801266815167E-2</v>
      </c>
      <c r="AC108" s="152">
        <f t="shared" si="305"/>
        <v>2.829801266815167E-2</v>
      </c>
      <c r="AD108" s="138">
        <f t="shared" si="247"/>
        <v>-6.8175146727740832E-2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0.58510514697339377</v>
      </c>
      <c r="H109" s="152">
        <f t="shared" si="306"/>
        <v>0.68666923521479484</v>
      </c>
      <c r="I109" s="152">
        <f t="shared" si="306"/>
        <v>0.84476769431176724</v>
      </c>
      <c r="J109" s="152">
        <f t="shared" si="306"/>
        <v>0.90835934451814282</v>
      </c>
      <c r="K109" s="152">
        <f t="shared" si="306"/>
        <v>0.65728593812405911</v>
      </c>
      <c r="L109" s="152">
        <f t="shared" si="306"/>
        <v>0.81965049604077544</v>
      </c>
      <c r="M109" s="152">
        <f t="shared" si="306"/>
        <v>0.84477570847017636</v>
      </c>
      <c r="N109" s="152">
        <f t="shared" si="306"/>
        <v>0.47479708862920372</v>
      </c>
      <c r="O109" s="152">
        <f t="shared" si="306"/>
        <v>0.52199398122501539</v>
      </c>
      <c r="P109" s="152">
        <f>P25/P18</f>
        <v>0.58689190274825997</v>
      </c>
      <c r="Q109" s="152">
        <f>Q25/Q18</f>
        <v>0.58689190274825997</v>
      </c>
      <c r="R109" s="118">
        <f t="shared" si="245"/>
        <v>3.3884420871932441E-4</v>
      </c>
      <c r="S109" s="20"/>
      <c r="T109" s="152">
        <f>T25/T18</f>
        <v>0.58689190274825997</v>
      </c>
      <c r="U109" s="152">
        <f t="shared" ref="U109:AC109" si="307">U25/U18</f>
        <v>0.58689190274825997</v>
      </c>
      <c r="V109" s="152">
        <f t="shared" si="307"/>
        <v>0.58689190274826009</v>
      </c>
      <c r="W109" s="152">
        <f t="shared" si="307"/>
        <v>0.58689190274825997</v>
      </c>
      <c r="X109" s="152">
        <f t="shared" si="307"/>
        <v>0.58689190274826009</v>
      </c>
      <c r="Y109" s="152">
        <f t="shared" si="307"/>
        <v>0.58689190274826009</v>
      </c>
      <c r="Z109" s="152">
        <f t="shared" si="307"/>
        <v>0.58689190274825997</v>
      </c>
      <c r="AA109" s="152">
        <f t="shared" si="307"/>
        <v>0.58689190274825997</v>
      </c>
      <c r="AB109" s="152">
        <f t="shared" si="307"/>
        <v>0.58689190274825997</v>
      </c>
      <c r="AC109" s="152">
        <f t="shared" si="307"/>
        <v>0.58689190274825986</v>
      </c>
      <c r="AD109" s="138">
        <f t="shared" si="247"/>
        <v>1.5246568800519888E-4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</v>
      </c>
      <c r="L111" s="165">
        <f t="shared" si="309"/>
        <v>379.6</v>
      </c>
      <c r="M111" s="165">
        <f t="shared" si="309"/>
        <v>379.9</v>
      </c>
      <c r="N111" s="165">
        <f t="shared" si="309"/>
        <v>379.7</v>
      </c>
      <c r="O111" s="165">
        <f t="shared" si="309"/>
        <v>379.7</v>
      </c>
      <c r="P111" s="165">
        <f t="shared" si="309"/>
        <v>379.7</v>
      </c>
      <c r="Q111" s="165">
        <f t="shared" ref="Q111" si="310">Q70*Q42</f>
        <v>379.7</v>
      </c>
      <c r="R111" s="118" t="e">
        <f t="shared" si="245"/>
        <v>#DIV/0!</v>
      </c>
      <c r="S111" s="20"/>
      <c r="T111" s="165">
        <f t="shared" ref="T111:AC111" si="311">T70*T42</f>
        <v>418.61925000000002</v>
      </c>
      <c r="U111" s="165">
        <f t="shared" si="311"/>
        <v>461.52772312500002</v>
      </c>
      <c r="V111" s="165">
        <f t="shared" si="311"/>
        <v>508.83431474531261</v>
      </c>
      <c r="W111" s="165">
        <f t="shared" si="311"/>
        <v>560.98983200670727</v>
      </c>
      <c r="X111" s="165">
        <f t="shared" si="311"/>
        <v>618.49128978739475</v>
      </c>
      <c r="Y111" s="165">
        <f t="shared" si="311"/>
        <v>681.8866469906028</v>
      </c>
      <c r="Z111" s="165">
        <f t="shared" si="311"/>
        <v>751.78002830713956</v>
      </c>
      <c r="AA111" s="165">
        <f t="shared" si="311"/>
        <v>828.8374812086214</v>
      </c>
      <c r="AB111" s="165">
        <f t="shared" si="311"/>
        <v>913.79332303250521</v>
      </c>
      <c r="AC111" s="165">
        <f t="shared" si="311"/>
        <v>1007.4571386433371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</v>
      </c>
      <c r="L112" s="165">
        <f t="shared" si="312"/>
        <v>444.13200000000006</v>
      </c>
      <c r="M112" s="165">
        <f t="shared" si="312"/>
        <v>444.48299999999995</v>
      </c>
      <c r="N112" s="165">
        <f t="shared" si="312"/>
        <v>444.24900000000002</v>
      </c>
      <c r="O112" s="165">
        <f t="shared" si="312"/>
        <v>444.24900000000002</v>
      </c>
      <c r="P112" s="165">
        <f t="shared" si="312"/>
        <v>444.24900000000002</v>
      </c>
      <c r="Q112" s="165">
        <f t="shared" ref="Q112" si="313">(Q111*0.17)+Q111</f>
        <v>444.24900000000002</v>
      </c>
      <c r="R112" s="118" t="e">
        <f t="shared" si="245"/>
        <v>#DIV/0!</v>
      </c>
      <c r="S112" s="20"/>
      <c r="T112" s="165">
        <f t="shared" ref="T112:AC112" si="314">(T111*0.17)+T111</f>
        <v>489.78452250000004</v>
      </c>
      <c r="U112" s="165">
        <f t="shared" si="314"/>
        <v>539.98743605625009</v>
      </c>
      <c r="V112" s="165">
        <f t="shared" si="314"/>
        <v>595.33614825201573</v>
      </c>
      <c r="W112" s="165">
        <f t="shared" si="314"/>
        <v>656.3581034478475</v>
      </c>
      <c r="X112" s="165">
        <f t="shared" si="314"/>
        <v>723.63480905125186</v>
      </c>
      <c r="Y112" s="165">
        <f t="shared" si="314"/>
        <v>797.80737697900531</v>
      </c>
      <c r="Z112" s="165">
        <f t="shared" si="314"/>
        <v>879.58263311935332</v>
      </c>
      <c r="AA112" s="165">
        <f t="shared" si="314"/>
        <v>969.73985301408698</v>
      </c>
      <c r="AB112" s="165">
        <f t="shared" si="314"/>
        <v>1069.1381879480311</v>
      </c>
      <c r="AC112" s="165">
        <f t="shared" si="314"/>
        <v>1178.7248522127045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</v>
      </c>
      <c r="H113" s="152">
        <f t="shared" si="315"/>
        <v>0</v>
      </c>
      <c r="I113" s="152">
        <f t="shared" si="315"/>
        <v>0</v>
      </c>
      <c r="J113" s="152">
        <f t="shared" si="315"/>
        <v>0</v>
      </c>
      <c r="K113" s="152">
        <f t="shared" si="315"/>
        <v>0</v>
      </c>
      <c r="L113" s="152">
        <f t="shared" si="315"/>
        <v>5.5212829438090513E-2</v>
      </c>
      <c r="M113" s="152">
        <f t="shared" si="315"/>
        <v>4.7457078795643814E-2</v>
      </c>
      <c r="N113" s="152">
        <f t="shared" si="315"/>
        <v>6.1933500627352575E-2</v>
      </c>
      <c r="O113" s="152">
        <f t="shared" si="315"/>
        <v>0.20038294993234101</v>
      </c>
      <c r="P113" s="152">
        <f t="shared" si="315"/>
        <v>0.19536015831134565</v>
      </c>
      <c r="Q113" s="152">
        <f t="shared" ref="Q113" si="316">Q112/Q40</f>
        <v>0.19536015831134565</v>
      </c>
      <c r="R113" s="118" t="e">
        <f t="shared" si="245"/>
        <v>#DIV/0!</v>
      </c>
      <c r="S113" s="20"/>
      <c r="T113" s="152">
        <f t="shared" ref="T113:AC113" si="317">T112/T40</f>
        <v>0.18729093438109443</v>
      </c>
      <c r="U113" s="152">
        <f t="shared" si="317"/>
        <v>0.17955500448274492</v>
      </c>
      <c r="V113" s="152">
        <f t="shared" si="317"/>
        <v>0.17213860212367504</v>
      </c>
      <c r="W113" s="152">
        <f t="shared" si="317"/>
        <v>0.16502852942726243</v>
      </c>
      <c r="X113" s="152">
        <f t="shared" si="317"/>
        <v>0.15821213364657116</v>
      </c>
      <c r="Y113" s="152">
        <f t="shared" si="317"/>
        <v>0.15167728464812588</v>
      </c>
      <c r="Z113" s="152">
        <f t="shared" si="317"/>
        <v>0.14541235332570329</v>
      </c>
      <c r="AA113" s="152">
        <f t="shared" si="317"/>
        <v>0.13940619090572859</v>
      </c>
      <c r="AB113" s="152">
        <f t="shared" si="317"/>
        <v>0.13364810910744854</v>
      </c>
      <c r="AC113" s="152">
        <f t="shared" si="317"/>
        <v>0.12812786112257568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318">1-H113</f>
        <v>1</v>
      </c>
      <c r="I114" s="152">
        <f t="shared" si="318"/>
        <v>1</v>
      </c>
      <c r="J114" s="152">
        <f t="shared" si="318"/>
        <v>1</v>
      </c>
      <c r="K114" s="152">
        <f t="shared" si="318"/>
        <v>1</v>
      </c>
      <c r="L114" s="152">
        <f t="shared" si="318"/>
        <v>0.94478717056190953</v>
      </c>
      <c r="M114" s="152">
        <f t="shared" si="318"/>
        <v>0.95254292120435613</v>
      </c>
      <c r="N114" s="152">
        <f t="shared" si="318"/>
        <v>0.93806649937264741</v>
      </c>
      <c r="O114" s="152">
        <f t="shared" si="318"/>
        <v>0.79961705006765893</v>
      </c>
      <c r="P114" s="152">
        <f t="shared" si="318"/>
        <v>0.80463984168865432</v>
      </c>
      <c r="Q114" s="152">
        <f t="shared" ref="Q114" si="319">1-Q113</f>
        <v>0.80463984168865432</v>
      </c>
      <c r="R114" s="118">
        <f t="shared" si="245"/>
        <v>-2.3861861303009713E-2</v>
      </c>
      <c r="S114" s="20"/>
      <c r="T114" s="152">
        <f t="shared" ref="T114:AC114" si="320">1-T113</f>
        <v>0.81270906561890555</v>
      </c>
      <c r="U114" s="152">
        <f t="shared" si="320"/>
        <v>0.82044499551725503</v>
      </c>
      <c r="V114" s="152">
        <f t="shared" si="320"/>
        <v>0.82786139787632496</v>
      </c>
      <c r="W114" s="152">
        <f t="shared" si="320"/>
        <v>0.83497147057273757</v>
      </c>
      <c r="X114" s="152">
        <f t="shared" si="320"/>
        <v>0.84178786635342884</v>
      </c>
      <c r="Y114" s="152">
        <f t="shared" si="320"/>
        <v>0.84832271535187409</v>
      </c>
      <c r="Z114" s="152">
        <f t="shared" si="320"/>
        <v>0.85458764667429676</v>
      </c>
      <c r="AA114" s="152">
        <f t="shared" si="320"/>
        <v>0.86059380909427141</v>
      </c>
      <c r="AB114" s="152">
        <f t="shared" si="320"/>
        <v>0.86635189089255149</v>
      </c>
      <c r="AC114" s="152">
        <f t="shared" si="320"/>
        <v>0.87187213887742432</v>
      </c>
      <c r="AD114" s="138">
        <f t="shared" si="247"/>
        <v>-6.8321785920707478E-3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</v>
      </c>
      <c r="H115" s="152">
        <f t="shared" si="321"/>
        <v>0</v>
      </c>
      <c r="I115" s="152">
        <f t="shared" si="321"/>
        <v>0</v>
      </c>
      <c r="J115" s="152">
        <f t="shared" si="321"/>
        <v>0</v>
      </c>
      <c r="K115" s="152">
        <f t="shared" si="321"/>
        <v>0</v>
      </c>
      <c r="L115" s="152">
        <f t="shared" si="321"/>
        <v>3.7470007593014429E-2</v>
      </c>
      <c r="M115" s="152">
        <f t="shared" si="321"/>
        <v>3.5020721714465804E-2</v>
      </c>
      <c r="N115" s="152">
        <f t="shared" si="321"/>
        <v>3.341976980365606E-2</v>
      </c>
      <c r="O115" s="152">
        <f t="shared" si="321"/>
        <v>3.8843140683745739E-2</v>
      </c>
      <c r="P115" s="152">
        <f t="shared" si="321"/>
        <v>3.1997191011235958E-2</v>
      </c>
      <c r="Q115" s="152">
        <f>Q112/Q20</f>
        <v>3.1997191011235958E-2</v>
      </c>
      <c r="R115" s="118" t="e">
        <f t="shared" si="245"/>
        <v>#DIV/0!</v>
      </c>
      <c r="S115" s="20"/>
      <c r="T115" s="152">
        <f>T112/T20</f>
        <v>3.0675567904250127E-2</v>
      </c>
      <c r="U115" s="152">
        <f t="shared" ref="U115:AC115" si="322">U112/U20</f>
        <v>2.9408533577770235E-2</v>
      </c>
      <c r="V115" s="152">
        <f t="shared" si="322"/>
        <v>2.8193833277818856E-2</v>
      </c>
      <c r="W115" s="152">
        <f t="shared" si="322"/>
        <v>2.702930538156113E-2</v>
      </c>
      <c r="X115" s="152">
        <f t="shared" si="322"/>
        <v>2.5912877550583607E-2</v>
      </c>
      <c r="Y115" s="152">
        <f t="shared" si="322"/>
        <v>2.4842563043059509E-2</v>
      </c>
      <c r="Z115" s="152">
        <f t="shared" si="322"/>
        <v>2.3816457178237486E-2</v>
      </c>
      <c r="AA115" s="152">
        <f t="shared" si="322"/>
        <v>2.2832733946962461E-2</v>
      </c>
      <c r="AB115" s="152">
        <f t="shared" si="322"/>
        <v>2.1889642762196626E-2</v>
      </c>
      <c r="AC115" s="152">
        <f t="shared" si="322"/>
        <v>2.0985505343758076E-2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0.66163621922160443</v>
      </c>
      <c r="H120" s="152">
        <f t="shared" ref="H120:P120" si="329">H27/H25</f>
        <v>0.7138448590265114</v>
      </c>
      <c r="I120" s="152">
        <f t="shared" si="329"/>
        <v>0.6389959736143237</v>
      </c>
      <c r="J120" s="152">
        <f t="shared" si="329"/>
        <v>0.59264429530201346</v>
      </c>
      <c r="K120" s="152">
        <f t="shared" si="329"/>
        <v>0.73170047676918759</v>
      </c>
      <c r="L120" s="152">
        <f t="shared" si="329"/>
        <v>0.60776747543168064</v>
      </c>
      <c r="M120" s="152">
        <f t="shared" si="329"/>
        <v>0.57698575286339515</v>
      </c>
      <c r="N120" s="152">
        <f t="shared" si="329"/>
        <v>0.64545915115461927</v>
      </c>
      <c r="O120" s="152">
        <f t="shared" si="329"/>
        <v>0.68551104992184031</v>
      </c>
      <c r="P120" s="152">
        <f t="shared" si="329"/>
        <v>0.69050137507933151</v>
      </c>
      <c r="Q120" s="152">
        <f t="shared" ref="Q120" si="330">Q27/Q25</f>
        <v>0.69050137507933151</v>
      </c>
      <c r="R120" s="118">
        <f t="shared" si="245"/>
        <v>4.7559490356021694E-3</v>
      </c>
      <c r="S120" s="20"/>
      <c r="T120" s="152">
        <f t="shared" ref="T120:AC120" si="331">T27/T25</f>
        <v>0.69050137507933151</v>
      </c>
      <c r="U120" s="152">
        <f t="shared" si="331"/>
        <v>0.69050137507933151</v>
      </c>
      <c r="V120" s="152">
        <f t="shared" si="331"/>
        <v>0.69050137507933151</v>
      </c>
      <c r="W120" s="152">
        <f t="shared" si="331"/>
        <v>0.69050137507933151</v>
      </c>
      <c r="X120" s="152">
        <f t="shared" si="331"/>
        <v>0.6905013750793314</v>
      </c>
      <c r="Y120" s="152">
        <f t="shared" si="331"/>
        <v>0.6905013750793314</v>
      </c>
      <c r="Z120" s="152">
        <f t="shared" si="331"/>
        <v>0.69050137507933151</v>
      </c>
      <c r="AA120" s="152">
        <f t="shared" si="331"/>
        <v>0.69050137507933151</v>
      </c>
      <c r="AB120" s="152">
        <f t="shared" si="331"/>
        <v>0.69050137507933151</v>
      </c>
      <c r="AC120" s="152">
        <f t="shared" si="331"/>
        <v>0.69050137507933151</v>
      </c>
      <c r="AD120" s="138">
        <f t="shared" si="247"/>
        <v>2.137384815727783E-3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1.9857029388403496E-6</v>
      </c>
      <c r="H121" s="152">
        <f t="shared" ref="H121:P121" si="332">H33/H25</f>
        <v>2.1040819189227102E-2</v>
      </c>
      <c r="I121" s="152">
        <f t="shared" si="332"/>
        <v>2.7071018589908336E-2</v>
      </c>
      <c r="J121" s="152">
        <f t="shared" si="332"/>
        <v>3.5060402684563757E-2</v>
      </c>
      <c r="K121" s="152">
        <f t="shared" si="332"/>
        <v>4.9453117696550433E-2</v>
      </c>
      <c r="L121" s="152">
        <f t="shared" si="332"/>
        <v>6.0962744989173284E-2</v>
      </c>
      <c r="M121" s="152">
        <f t="shared" si="332"/>
        <v>8.3736847006238943E-2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 t="shared" ref="Q121" si="333">Q33/Q25</f>
        <v>0</v>
      </c>
      <c r="R121" s="118">
        <f t="shared" si="245"/>
        <v>-1</v>
      </c>
      <c r="S121" s="20"/>
      <c r="T121" s="152">
        <f t="shared" ref="T121:AC121" si="334">T33/T25</f>
        <v>0</v>
      </c>
      <c r="U121" s="152">
        <f t="shared" si="334"/>
        <v>0</v>
      </c>
      <c r="V121" s="152">
        <f t="shared" si="334"/>
        <v>0</v>
      </c>
      <c r="W121" s="152">
        <f t="shared" si="334"/>
        <v>0</v>
      </c>
      <c r="X121" s="152">
        <f t="shared" si="334"/>
        <v>0</v>
      </c>
      <c r="Y121" s="152">
        <f t="shared" si="334"/>
        <v>0</v>
      </c>
      <c r="Z121" s="152">
        <f t="shared" si="334"/>
        <v>0</v>
      </c>
      <c r="AA121" s="152">
        <f t="shared" si="334"/>
        <v>0</v>
      </c>
      <c r="AB121" s="152">
        <f t="shared" si="334"/>
        <v>0</v>
      </c>
      <c r="AC121" s="152">
        <f t="shared" si="334"/>
        <v>0</v>
      </c>
      <c r="AD121" s="138">
        <f t="shared" si="247"/>
        <v>-1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7.3868149324861007E-2</v>
      </c>
      <c r="H122" s="152">
        <f t="shared" ref="H122:P122" si="335">H34/H25</f>
        <v>6.8452798428952161E-2</v>
      </c>
      <c r="I122" s="152">
        <f t="shared" si="335"/>
        <v>6.4936177503640877E-2</v>
      </c>
      <c r="J122" s="152">
        <f t="shared" si="335"/>
        <v>6.1637583892617448E-2</v>
      </c>
      <c r="K122" s="152">
        <f t="shared" si="335"/>
        <v>6.5298681873422457E-2</v>
      </c>
      <c r="L122" s="152">
        <f t="shared" si="335"/>
        <v>4.588862361889956E-2</v>
      </c>
      <c r="M122" s="152">
        <f t="shared" si="335"/>
        <v>3.9621938728000745E-2</v>
      </c>
      <c r="N122" s="152">
        <f t="shared" si="335"/>
        <v>5.3571720407262741E-2</v>
      </c>
      <c r="O122" s="152">
        <f t="shared" si="335"/>
        <v>5.0409442269357084E-2</v>
      </c>
      <c r="P122" s="152">
        <f t="shared" si="335"/>
        <v>4.9888624796226931E-2</v>
      </c>
      <c r="Q122" s="152">
        <f t="shared" ref="Q122" si="336">Q34/Q25</f>
        <v>4.9888624796226931E-2</v>
      </c>
      <c r="R122" s="118">
        <f t="shared" si="245"/>
        <v>-4.2672621684478051E-2</v>
      </c>
      <c r="S122" s="20"/>
      <c r="T122" s="152">
        <f t="shared" ref="T122:AC122" si="337">T34/T25</f>
        <v>4.9888624796226931E-2</v>
      </c>
      <c r="U122" s="152">
        <f t="shared" si="337"/>
        <v>4.9888624796226931E-2</v>
      </c>
      <c r="V122" s="152">
        <f t="shared" si="337"/>
        <v>4.9888624796226931E-2</v>
      </c>
      <c r="W122" s="152">
        <f t="shared" si="337"/>
        <v>4.9888624796226938E-2</v>
      </c>
      <c r="X122" s="152">
        <f t="shared" si="337"/>
        <v>4.9888624796226931E-2</v>
      </c>
      <c r="Y122" s="152">
        <f t="shared" si="337"/>
        <v>4.9888624796226931E-2</v>
      </c>
      <c r="Z122" s="152">
        <f t="shared" si="337"/>
        <v>4.9888624796226938E-2</v>
      </c>
      <c r="AA122" s="152">
        <f t="shared" si="337"/>
        <v>4.9888624796226938E-2</v>
      </c>
      <c r="AB122" s="152">
        <f t="shared" si="337"/>
        <v>4.9888624796226938E-2</v>
      </c>
      <c r="AC122" s="152">
        <f t="shared" si="337"/>
        <v>4.9888624796226938E-2</v>
      </c>
      <c r="AD122" s="138">
        <f t="shared" si="247"/>
        <v>-1.9433130286875211E-2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0.32924528301886791</v>
      </c>
      <c r="H125" s="25">
        <f t="shared" ref="H125:AC125" si="338">H15/H9</f>
        <v>0.20981278244028406</v>
      </c>
      <c r="I125" s="25">
        <f t="shared" si="338"/>
        <v>0.19194046616119068</v>
      </c>
      <c r="J125" s="25">
        <f t="shared" si="338"/>
        <v>0.21409370199692782</v>
      </c>
      <c r="K125" s="25">
        <f t="shared" si="338"/>
        <v>0.21543018715497508</v>
      </c>
      <c r="L125" s="25">
        <f t="shared" si="338"/>
        <v>0.1988494840469695</v>
      </c>
      <c r="M125" s="25">
        <f t="shared" si="338"/>
        <v>0.27233031528928275</v>
      </c>
      <c r="N125" s="25">
        <f t="shared" si="338"/>
        <v>0.17289780926144563</v>
      </c>
      <c r="O125" s="25">
        <f t="shared" si="338"/>
        <v>0.25245533073009113</v>
      </c>
      <c r="P125" s="25">
        <f t="shared" si="338"/>
        <v>0.21912535840673675</v>
      </c>
      <c r="Q125" s="25">
        <f t="shared" ref="Q125" si="339">Q15/Q9</f>
        <v>0.21912535840673675</v>
      </c>
      <c r="R125" s="118">
        <f t="shared" si="245"/>
        <v>-4.423182757489641E-2</v>
      </c>
      <c r="S125" s="20"/>
      <c r="T125" s="20">
        <f t="shared" si="338"/>
        <v>0.21912535840673675</v>
      </c>
      <c r="U125" s="20">
        <f t="shared" si="338"/>
        <v>0.21912535840673675</v>
      </c>
      <c r="V125" s="20">
        <f t="shared" si="338"/>
        <v>0.21912535840673678</v>
      </c>
      <c r="W125" s="20">
        <f t="shared" si="338"/>
        <v>0.21912535840673675</v>
      </c>
      <c r="X125" s="20">
        <f t="shared" si="338"/>
        <v>0.21912535840673675</v>
      </c>
      <c r="Y125" s="20">
        <f t="shared" si="338"/>
        <v>0.21912535840673675</v>
      </c>
      <c r="Z125" s="20">
        <f t="shared" si="338"/>
        <v>0.21912535840673672</v>
      </c>
      <c r="AA125" s="20">
        <f t="shared" si="338"/>
        <v>0.21912535840673672</v>
      </c>
      <c r="AB125" s="20">
        <f t="shared" si="338"/>
        <v>0.21912535840673672</v>
      </c>
      <c r="AC125" s="20">
        <f t="shared" si="338"/>
        <v>0.21912535840673669</v>
      </c>
      <c r="AD125" s="138">
        <f t="shared" si="247"/>
        <v>-2.0152127745396653E-2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6.3679245283018868E-2</v>
      </c>
      <c r="H126" s="25">
        <f t="shared" ref="H126:P126" si="340">H12/H9</f>
        <v>8.8228964923606629E-2</v>
      </c>
      <c r="I126" s="25">
        <f t="shared" si="340"/>
        <v>4.9283909014321822E-2</v>
      </c>
      <c r="J126" s="25">
        <f t="shared" si="340"/>
        <v>8.1701228878648238E-2</v>
      </c>
      <c r="K126" s="25">
        <f t="shared" si="340"/>
        <v>4.7327319240608588E-2</v>
      </c>
      <c r="L126" s="25">
        <f t="shared" si="340"/>
        <v>0.16397817577986004</v>
      </c>
      <c r="M126" s="25">
        <f t="shared" si="340"/>
        <v>0.1654787131573878</v>
      </c>
      <c r="N126" s="25">
        <f t="shared" si="340"/>
        <v>2.5134461498097862E-2</v>
      </c>
      <c r="O126" s="25">
        <f t="shared" si="340"/>
        <v>6.005206484439711E-2</v>
      </c>
      <c r="P126" s="25">
        <f t="shared" si="340"/>
        <v>4.4661999845013303E-2</v>
      </c>
      <c r="Q126" s="25">
        <f t="shared" ref="Q126" si="341">Q12/Q9</f>
        <v>4.4661999845013303E-2</v>
      </c>
      <c r="R126" s="118">
        <f t="shared" si="245"/>
        <v>-3.8648405625114957E-2</v>
      </c>
      <c r="S126" s="128"/>
      <c r="T126" s="20">
        <f t="shared" ref="T126:AC126" si="342">T12/T9</f>
        <v>4.4661999845013303E-2</v>
      </c>
      <c r="U126" s="20">
        <f t="shared" si="342"/>
        <v>4.4661999845013303E-2</v>
      </c>
      <c r="V126" s="20">
        <f t="shared" si="342"/>
        <v>4.4661999845013303E-2</v>
      </c>
      <c r="W126" s="20">
        <f t="shared" si="342"/>
        <v>4.4661999845013303E-2</v>
      </c>
      <c r="X126" s="20">
        <f t="shared" si="342"/>
        <v>4.4661999845013303E-2</v>
      </c>
      <c r="Y126" s="20">
        <f t="shared" si="342"/>
        <v>4.466199984501331E-2</v>
      </c>
      <c r="Z126" s="20">
        <f t="shared" si="342"/>
        <v>4.4661999845013303E-2</v>
      </c>
      <c r="AA126" s="20">
        <f t="shared" si="342"/>
        <v>4.4661999845013296E-2</v>
      </c>
      <c r="AB126" s="20">
        <f t="shared" si="342"/>
        <v>4.4661999845013303E-2</v>
      </c>
      <c r="AC126" s="20">
        <f t="shared" si="342"/>
        <v>4.4661999845013296E-2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13.988888888888889</v>
      </c>
      <c r="H127" s="25">
        <f t="shared" ref="H127:P127" si="344">H25/360</f>
        <v>19.802777777777777</v>
      </c>
      <c r="I127" s="25">
        <f t="shared" si="344"/>
        <v>32.424999999999997</v>
      </c>
      <c r="J127" s="25">
        <f t="shared" si="344"/>
        <v>51.736111111111114</v>
      </c>
      <c r="K127" s="25">
        <f t="shared" si="344"/>
        <v>59.427777777777777</v>
      </c>
      <c r="L127" s="25">
        <f t="shared" si="344"/>
        <v>100.06111111111112</v>
      </c>
      <c r="M127" s="25">
        <f t="shared" si="344"/>
        <v>119.32222222222222</v>
      </c>
      <c r="N127" s="25">
        <f t="shared" si="344"/>
        <v>169.96944444444443</v>
      </c>
      <c r="O127" s="25">
        <f t="shared" si="344"/>
        <v>193.69166666666666</v>
      </c>
      <c r="P127" s="25">
        <f t="shared" si="344"/>
        <v>223.21944444444443</v>
      </c>
      <c r="Q127" s="25">
        <f t="shared" ref="Q127" si="345">Q25/360</f>
        <v>223.21944444444443</v>
      </c>
      <c r="R127" s="118">
        <f t="shared" si="245"/>
        <v>0.36038231677823629</v>
      </c>
      <c r="S127" s="128"/>
      <c r="T127" s="25">
        <f t="shared" ref="T127:AC127" si="346">T25/360</f>
        <v>256.70236111111109</v>
      </c>
      <c r="U127" s="25">
        <f t="shared" si="346"/>
        <v>295.20771527777771</v>
      </c>
      <c r="V127" s="25">
        <f t="shared" si="346"/>
        <v>339.48887256944437</v>
      </c>
      <c r="W127" s="25">
        <f t="shared" si="346"/>
        <v>390.41220345486096</v>
      </c>
      <c r="X127" s="25">
        <f t="shared" si="346"/>
        <v>448.97403397309012</v>
      </c>
      <c r="Y127" s="25">
        <f t="shared" si="346"/>
        <v>516.32013906905354</v>
      </c>
      <c r="Z127" s="25">
        <f t="shared" si="346"/>
        <v>593.76815992941147</v>
      </c>
      <c r="AA127" s="25">
        <f t="shared" si="346"/>
        <v>682.83338391882319</v>
      </c>
      <c r="AB127" s="25">
        <f t="shared" si="346"/>
        <v>785.2583915066466</v>
      </c>
      <c r="AC127" s="25">
        <f t="shared" si="346"/>
        <v>903.0471502326435</v>
      </c>
      <c r="AD127" s="118">
        <f t="shared" ref="AD127:AD138" si="347">((AC127/T127)^(1/($H$2-$H$1) ))-1</f>
        <v>0.14999999999999991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9.2555555555555564</v>
      </c>
      <c r="H128" s="25">
        <f t="shared" ref="H128:P128" si="348">H27/360</f>
        <v>14.136111111111111</v>
      </c>
      <c r="I128" s="25">
        <f t="shared" si="348"/>
        <v>20.719444444444445</v>
      </c>
      <c r="J128" s="25">
        <f t="shared" si="348"/>
        <v>30.661111111111111</v>
      </c>
      <c r="K128" s="25">
        <f t="shared" si="348"/>
        <v>43.483333333333334</v>
      </c>
      <c r="L128" s="25">
        <f t="shared" si="348"/>
        <v>60.81388888888889</v>
      </c>
      <c r="M128" s="25">
        <f t="shared" si="348"/>
        <v>68.847222222222229</v>
      </c>
      <c r="N128" s="25">
        <f t="shared" si="348"/>
        <v>109.70833333333333</v>
      </c>
      <c r="O128" s="25">
        <f t="shared" si="348"/>
        <v>132.77777777777777</v>
      </c>
      <c r="P128" s="25">
        <f t="shared" si="348"/>
        <v>154.13333333333333</v>
      </c>
      <c r="Q128" s="25">
        <f t="shared" ref="Q128" si="349">Q27/360</f>
        <v>154.13333333333333</v>
      </c>
      <c r="R128" s="118">
        <f t="shared" si="245"/>
        <v>0.36685222574576781</v>
      </c>
      <c r="S128" s="128"/>
      <c r="T128" s="25">
        <f t="shared" ref="T128:AC128" si="350">T27/360</f>
        <v>177.25333333333333</v>
      </c>
      <c r="U128" s="25">
        <f t="shared" si="350"/>
        <v>203.8413333333333</v>
      </c>
      <c r="V128" s="25">
        <f t="shared" si="350"/>
        <v>234.41753333333327</v>
      </c>
      <c r="W128" s="25">
        <f t="shared" si="350"/>
        <v>269.58016333333319</v>
      </c>
      <c r="X128" s="25">
        <f t="shared" si="350"/>
        <v>310.01718783333314</v>
      </c>
      <c r="Y128" s="25">
        <f t="shared" si="350"/>
        <v>356.51976600833314</v>
      </c>
      <c r="Z128" s="25">
        <f t="shared" si="350"/>
        <v>409.99773090958308</v>
      </c>
      <c r="AA128" s="25">
        <f t="shared" si="350"/>
        <v>471.49739054602048</v>
      </c>
      <c r="AB128" s="25">
        <f t="shared" si="350"/>
        <v>542.22199912792348</v>
      </c>
      <c r="AC128" s="25">
        <f t="shared" si="350"/>
        <v>623.555298997112</v>
      </c>
      <c r="AD128" s="118">
        <f t="shared" si="347"/>
        <v>0.14999999999999991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1.1085161594715736</v>
      </c>
      <c r="H130" s="25">
        <f t="shared" ref="H130:P130" si="351">H10/H7</f>
        <v>1.1027790030877813</v>
      </c>
      <c r="I130" s="25">
        <f t="shared" si="351"/>
        <v>0.64819342569953819</v>
      </c>
      <c r="J130" s="25">
        <f t="shared" si="351"/>
        <v>0.46004526462395545</v>
      </c>
      <c r="K130" s="25">
        <f t="shared" si="351"/>
        <v>0.44195359970539494</v>
      </c>
      <c r="L130" s="25">
        <f t="shared" si="351"/>
        <v>0.4640711367459745</v>
      </c>
      <c r="M130" s="25">
        <f t="shared" si="351"/>
        <v>0.25798685992276443</v>
      </c>
      <c r="N130" s="25">
        <f t="shared" si="351"/>
        <v>1.1616700159947504</v>
      </c>
      <c r="O130" s="25">
        <f t="shared" si="351"/>
        <v>1.3637944320404656</v>
      </c>
      <c r="P130" s="25">
        <f t="shared" si="351"/>
        <v>1.4498916953160708</v>
      </c>
      <c r="Q130" s="25">
        <f t="shared" ref="Q130" si="352">Q10/Q7</f>
        <v>1.4498916953160708</v>
      </c>
      <c r="R130" s="118">
        <f t="shared" si="245"/>
        <v>3.0278974686358762E-2</v>
      </c>
      <c r="S130" s="128"/>
      <c r="T130" s="25">
        <f t="shared" ref="T130:AC130" si="353">T10/T7</f>
        <v>1.449891695316071</v>
      </c>
      <c r="U130" s="25">
        <f t="shared" si="353"/>
        <v>1.4498916953160708</v>
      </c>
      <c r="V130" s="25">
        <f t="shared" si="353"/>
        <v>1.449891695316071</v>
      </c>
      <c r="W130" s="25">
        <f t="shared" si="353"/>
        <v>1.449891695316071</v>
      </c>
      <c r="X130" s="25">
        <f t="shared" si="353"/>
        <v>1.449891695316071</v>
      </c>
      <c r="Y130" s="25">
        <f t="shared" si="353"/>
        <v>1.449891695316071</v>
      </c>
      <c r="Z130" s="25">
        <f t="shared" si="353"/>
        <v>1.449891695316071</v>
      </c>
      <c r="AA130" s="25">
        <f t="shared" si="353"/>
        <v>1.449891695316071</v>
      </c>
      <c r="AB130" s="25">
        <f t="shared" si="353"/>
        <v>1.449891695316071</v>
      </c>
      <c r="AC130" s="25">
        <f t="shared" si="353"/>
        <v>1.4498916953160708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0.52573282613560079</v>
      </c>
      <c r="H131" s="25">
        <f t="shared" ref="H131:P131" si="354">H10/(H10+H7)</f>
        <v>0.5244388504300399</v>
      </c>
      <c r="I131" s="25">
        <f t="shared" si="354"/>
        <v>0.39327509477501238</v>
      </c>
      <c r="J131" s="25">
        <f t="shared" si="354"/>
        <v>0.31508972753830561</v>
      </c>
      <c r="K131" s="25">
        <f t="shared" si="354"/>
        <v>0.30649640861931365</v>
      </c>
      <c r="L131" s="25">
        <f t="shared" si="354"/>
        <v>0.31697307944845698</v>
      </c>
      <c r="M131" s="25">
        <f t="shared" si="354"/>
        <v>0.20507913726428259</v>
      </c>
      <c r="N131" s="25">
        <f t="shared" si="354"/>
        <v>0.53739470289140168</v>
      </c>
      <c r="O131" s="25">
        <f t="shared" si="354"/>
        <v>0.57695136834010396</v>
      </c>
      <c r="P131" s="25">
        <f t="shared" si="354"/>
        <v>0.59181869063359316</v>
      </c>
      <c r="Q131" s="25">
        <f t="shared" ref="Q131" si="355">Q10/(Q10+Q7)</f>
        <v>0.59181869063359316</v>
      </c>
      <c r="R131" s="118">
        <f t="shared" si="245"/>
        <v>1.3243278214714715E-2</v>
      </c>
      <c r="S131" s="128"/>
      <c r="T131" s="25">
        <f t="shared" ref="T131:AC131" si="356">T10/(T10+T7)</f>
        <v>0.59181869063359316</v>
      </c>
      <c r="U131" s="25">
        <f t="shared" si="356"/>
        <v>0.59181869063359316</v>
      </c>
      <c r="V131" s="25">
        <f t="shared" si="356"/>
        <v>0.59181869063359316</v>
      </c>
      <c r="W131" s="25">
        <f t="shared" si="356"/>
        <v>0.59181869063359316</v>
      </c>
      <c r="X131" s="25">
        <f t="shared" si="356"/>
        <v>0.59181869063359327</v>
      </c>
      <c r="Y131" s="25">
        <f t="shared" si="356"/>
        <v>0.59181869063359316</v>
      </c>
      <c r="Z131" s="25">
        <f t="shared" si="356"/>
        <v>0.59181869063359327</v>
      </c>
      <c r="AA131" s="25">
        <f t="shared" si="356"/>
        <v>0.59181869063359316</v>
      </c>
      <c r="AB131" s="25">
        <f t="shared" si="356"/>
        <v>0.59181869063359316</v>
      </c>
      <c r="AC131" s="25">
        <f t="shared" si="356"/>
        <v>0.59181869063359316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-454</v>
      </c>
      <c r="H133" s="25">
        <f t="shared" ref="H133:P133" si="357">H16</f>
        <v>-2307</v>
      </c>
      <c r="I133" s="25">
        <f t="shared" si="357"/>
        <v>-4266</v>
      </c>
      <c r="J133" s="25">
        <f t="shared" si="357"/>
        <v>-6155</v>
      </c>
      <c r="K133" s="25">
        <f t="shared" si="357"/>
        <v>-8588</v>
      </c>
      <c r="L133" s="25">
        <f t="shared" si="357"/>
        <v>-6566</v>
      </c>
      <c r="M133" s="25">
        <f t="shared" si="357"/>
        <v>-5424</v>
      </c>
      <c r="N133" s="25">
        <f t="shared" si="357"/>
        <v>-21223</v>
      </c>
      <c r="O133" s="25">
        <f t="shared" si="357"/>
        <v>-12993</v>
      </c>
      <c r="P133" s="25">
        <f t="shared" si="357"/>
        <v>-16322</v>
      </c>
      <c r="Q133" s="25">
        <f t="shared" ref="Q133" si="358">Q16</f>
        <v>-16322</v>
      </c>
      <c r="R133" s="118">
        <f t="shared" si="245"/>
        <v>0.48887247900879127</v>
      </c>
      <c r="S133" s="128"/>
      <c r="T133" s="25">
        <f t="shared" ref="T133:AC133" si="359">T16</f>
        <v>-18770.3</v>
      </c>
      <c r="U133" s="25">
        <f t="shared" si="359"/>
        <v>-21585.844999999998</v>
      </c>
      <c r="V133" s="25">
        <f t="shared" si="359"/>
        <v>-24823.721749999997</v>
      </c>
      <c r="W133" s="25">
        <f t="shared" si="359"/>
        <v>-28547.280012499996</v>
      </c>
      <c r="X133" s="25">
        <f t="shared" si="359"/>
        <v>-32829.372014374996</v>
      </c>
      <c r="Y133" s="25">
        <f t="shared" si="359"/>
        <v>-37753.777816531241</v>
      </c>
      <c r="Z133" s="25">
        <f t="shared" si="359"/>
        <v>-43416.844489010924</v>
      </c>
      <c r="AA133" s="25">
        <f t="shared" si="359"/>
        <v>-49929.371162362557</v>
      </c>
      <c r="AB133" s="25">
        <f t="shared" si="359"/>
        <v>-57418.776836716934</v>
      </c>
      <c r="AC133" s="25">
        <f t="shared" si="359"/>
        <v>-66031.593362224463</v>
      </c>
      <c r="AD133" s="118">
        <f t="shared" si="347"/>
        <v>0.14999999999999991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-32.905083399523434</v>
      </c>
      <c r="H134" s="119">
        <f t="shared" si="360"/>
        <v>-118.11684668256417</v>
      </c>
      <c r="I134" s="119">
        <f t="shared" si="360"/>
        <v>-133.39244410177332</v>
      </c>
      <c r="J134" s="119">
        <f t="shared" si="360"/>
        <v>-120.62147651006711</v>
      </c>
      <c r="K134" s="119">
        <f t="shared" si="360"/>
        <v>-146.51865008880995</v>
      </c>
      <c r="L134" s="119">
        <f t="shared" si="360"/>
        <v>-66.53128643606685</v>
      </c>
      <c r="M134" s="119">
        <f t="shared" si="360"/>
        <v>-46.088090138746622</v>
      </c>
      <c r="N134" s="119">
        <f t="shared" si="360"/>
        <v>-126.59783621239112</v>
      </c>
      <c r="O134" s="119">
        <f t="shared" si="360"/>
        <v>-68.012519898464049</v>
      </c>
      <c r="P134" s="119">
        <f t="shared" si="360"/>
        <v>-74.136437735661218</v>
      </c>
      <c r="Q134" s="119">
        <f t="shared" ref="Q134" si="361">Q133*365/Q25</f>
        <v>-74.136437735661218</v>
      </c>
      <c r="R134" s="118">
        <f t="shared" si="245"/>
        <v>9.4451508701506315E-2</v>
      </c>
      <c r="S134" s="128"/>
      <c r="T134" s="119">
        <f t="shared" ref="T134:AC134" si="362">T133*365/T25</f>
        <v>-74.136437735661232</v>
      </c>
      <c r="U134" s="119">
        <f t="shared" si="362"/>
        <v>-74.136437735661218</v>
      </c>
      <c r="V134" s="119">
        <f t="shared" si="362"/>
        <v>-74.136437735661232</v>
      </c>
      <c r="W134" s="119">
        <f t="shared" si="362"/>
        <v>-74.136437735661232</v>
      </c>
      <c r="X134" s="119">
        <f t="shared" si="362"/>
        <v>-74.136437735661232</v>
      </c>
      <c r="Y134" s="119">
        <f t="shared" si="362"/>
        <v>-74.136437735661232</v>
      </c>
      <c r="Z134" s="119">
        <f t="shared" si="362"/>
        <v>-74.136437735661247</v>
      </c>
      <c r="AA134" s="119">
        <f t="shared" si="362"/>
        <v>-74.136437735661247</v>
      </c>
      <c r="AB134" s="119">
        <f t="shared" si="362"/>
        <v>-74.136437735661247</v>
      </c>
      <c r="AC134" s="119">
        <f t="shared" si="362"/>
        <v>-74.136437735661232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0.33483329555006752</v>
      </c>
      <c r="H135" s="133">
        <f t="shared" ref="H135:P135" si="363">H80/H29</f>
        <v>5.1650175600416327E-2</v>
      </c>
      <c r="I135" s="133">
        <f t="shared" si="363"/>
        <v>9.2552752085254611E-2</v>
      </c>
      <c r="J135" s="133">
        <f t="shared" si="363"/>
        <v>0.12991665064914643</v>
      </c>
      <c r="K135" s="133">
        <f t="shared" si="363"/>
        <v>0.15148852787229172</v>
      </c>
      <c r="L135" s="133">
        <f t="shared" si="363"/>
        <v>0.12892042503661374</v>
      </c>
      <c r="M135" s="133">
        <f t="shared" si="363"/>
        <v>5.8176968752642118E-2</v>
      </c>
      <c r="N135" s="133">
        <f t="shared" si="363"/>
        <v>2.075642736268965E-2</v>
      </c>
      <c r="O135" s="133">
        <f t="shared" si="363"/>
        <v>1.5293540621112338E-2</v>
      </c>
      <c r="P135" s="133">
        <f t="shared" si="363"/>
        <v>1.4940483170539939E-2</v>
      </c>
      <c r="Q135" s="133">
        <f t="shared" ref="Q135" si="364">Q80/Q29</f>
        <v>1.4940483170539939E-2</v>
      </c>
      <c r="R135" s="118">
        <f t="shared" si="245"/>
        <v>-0.29213825065868526</v>
      </c>
      <c r="S135" s="128"/>
      <c r="T135" s="133">
        <f t="shared" ref="T135:AC135" si="365">T80/T29</f>
        <v>1.4229031590990416E-2</v>
      </c>
      <c r="U135" s="133">
        <f t="shared" si="365"/>
        <v>1.3551458658086109E-2</v>
      </c>
      <c r="V135" s="133">
        <f t="shared" si="365"/>
        <v>1.290615110293915E-2</v>
      </c>
      <c r="W135" s="133">
        <f t="shared" si="365"/>
        <v>1.2291572478989665E-2</v>
      </c>
      <c r="X135" s="133">
        <f t="shared" si="365"/>
        <v>1.1706259503799679E-2</v>
      </c>
      <c r="Y135" s="133">
        <f t="shared" si="365"/>
        <v>1.1148818575047313E-2</v>
      </c>
      <c r="Z135" s="133">
        <f t="shared" si="365"/>
        <v>1.0617922452426012E-2</v>
      </c>
      <c r="AA135" s="133">
        <f t="shared" si="365"/>
        <v>1.0112307097548583E-2</v>
      </c>
      <c r="AB135" s="133">
        <f t="shared" si="365"/>
        <v>9.6307686643319849E-3</v>
      </c>
      <c r="AC135" s="133">
        <f t="shared" si="365"/>
        <v>9.1721606326971277E-3</v>
      </c>
      <c r="AD135" s="118">
        <f t="shared" si="347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157.375</v>
      </c>
      <c r="H137" s="180">
        <f t="shared" ref="H137:P137" si="366">H25/H14</f>
        <v>132.0185185185185</v>
      </c>
      <c r="I137" s="180">
        <f t="shared" si="366"/>
        <v>307.18421052631578</v>
      </c>
      <c r="J137" s="180">
        <f t="shared" si="366"/>
        <v>204.67032967032966</v>
      </c>
      <c r="K137" s="180">
        <f t="shared" si="366"/>
        <v>187.66666666666666</v>
      </c>
      <c r="L137" s="180">
        <f t="shared" si="366"/>
        <v>375.22916666666669</v>
      </c>
      <c r="M137" s="180">
        <f t="shared" si="366"/>
        <v>894.91666666666663</v>
      </c>
      <c r="N137" s="180">
        <f t="shared" si="366"/>
        <v>285.92990654205607</v>
      </c>
      <c r="O137" s="180">
        <f t="shared" si="366"/>
        <v>532.28244274809163</v>
      </c>
      <c r="P137" s="180">
        <f t="shared" si="366"/>
        <v>723.95495495495493</v>
      </c>
      <c r="Q137" s="180">
        <f t="shared" ref="Q137" si="367">Q25/Q14</f>
        <v>723.95495495495493</v>
      </c>
      <c r="R137" s="118">
        <f t="shared" si="245"/>
        <v>0.18479102523053825</v>
      </c>
      <c r="S137" s="128"/>
      <c r="T137" s="20">
        <f t="shared" ref="T137" si="368">T25/T14</f>
        <v>723.95495495495493</v>
      </c>
      <c r="U137" s="20">
        <f t="shared" ref="U137:AC137" si="369">U25/U14</f>
        <v>723.95495495495493</v>
      </c>
      <c r="V137" s="20">
        <f t="shared" si="369"/>
        <v>723.95495495495481</v>
      </c>
      <c r="W137" s="20">
        <f t="shared" si="369"/>
        <v>723.95495495495481</v>
      </c>
      <c r="X137" s="20">
        <f t="shared" si="369"/>
        <v>723.95495495495481</v>
      </c>
      <c r="Y137" s="20">
        <f t="shared" si="369"/>
        <v>723.95495495495493</v>
      </c>
      <c r="Z137" s="20">
        <f t="shared" si="369"/>
        <v>723.95495495495481</v>
      </c>
      <c r="AA137" s="20">
        <f t="shared" si="369"/>
        <v>723.95495495495481</v>
      </c>
      <c r="AB137" s="20">
        <f t="shared" si="369"/>
        <v>723.9549549549547</v>
      </c>
      <c r="AC137" s="20">
        <f t="shared" si="369"/>
        <v>723.95495495495481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104.125</v>
      </c>
      <c r="H138" s="180">
        <f t="shared" ref="H138:P138" si="370">H27/H14</f>
        <v>94.240740740740748</v>
      </c>
      <c r="I138" s="180">
        <f t="shared" si="370"/>
        <v>196.28947368421052</v>
      </c>
      <c r="J138" s="180">
        <f t="shared" si="370"/>
        <v>121.2967032967033</v>
      </c>
      <c r="K138" s="180">
        <f t="shared" si="370"/>
        <v>137.31578947368422</v>
      </c>
      <c r="L138" s="180">
        <f t="shared" si="370"/>
        <v>228.05208333333334</v>
      </c>
      <c r="M138" s="180">
        <f t="shared" si="370"/>
        <v>516.35416666666663</v>
      </c>
      <c r="N138" s="180">
        <f t="shared" si="370"/>
        <v>184.55607476635515</v>
      </c>
      <c r="O138" s="180">
        <f t="shared" si="370"/>
        <v>364.8854961832061</v>
      </c>
      <c r="P138" s="180">
        <f t="shared" si="370"/>
        <v>499.89189189189187</v>
      </c>
      <c r="Q138" s="180">
        <f t="shared" ref="Q138" si="371">Q27/Q14</f>
        <v>499.89189189189187</v>
      </c>
      <c r="R138" s="118">
        <f t="shared" si="245"/>
        <v>0.19042583096437338</v>
      </c>
      <c r="S138" s="128"/>
      <c r="T138" s="20">
        <f t="shared" ref="T138:AC138" si="372">T27/T14</f>
        <v>499.89189189189193</v>
      </c>
      <c r="U138" s="20">
        <f t="shared" si="372"/>
        <v>499.89189189189187</v>
      </c>
      <c r="V138" s="20">
        <f t="shared" si="372"/>
        <v>499.89189189189182</v>
      </c>
      <c r="W138" s="20">
        <f t="shared" si="372"/>
        <v>499.89189189189176</v>
      </c>
      <c r="X138" s="20">
        <f t="shared" si="372"/>
        <v>499.89189189189176</v>
      </c>
      <c r="Y138" s="20">
        <f t="shared" si="372"/>
        <v>499.89189189189176</v>
      </c>
      <c r="Z138" s="20">
        <f t="shared" si="372"/>
        <v>499.89189189189182</v>
      </c>
      <c r="AA138" s="20">
        <f t="shared" si="372"/>
        <v>499.89189189189176</v>
      </c>
      <c r="AB138" s="20">
        <f t="shared" si="372"/>
        <v>499.8918918918917</v>
      </c>
      <c r="AC138" s="20">
        <f t="shared" si="372"/>
        <v>499.89189189189176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18.971673772246415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17.828208696078942</v>
      </c>
      <c r="T142" s="133">
        <f>PV($C$1, ($AC$3-$T$3), 0, -AC54)</f>
        <v>2.4842585887978847</v>
      </c>
      <c r="U142" s="133">
        <f>PV($C$1, ($AC$3-$T$3), 0, -AF54)</f>
        <v>15.343950107281056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394.51771758812151</v>
      </c>
      <c r="T143" s="133">
        <f>PV($C$1, ($AC$3-$T$3), 0, -AC56)</f>
        <v>54.973780319656271</v>
      </c>
      <c r="U143" s="133">
        <f>PV($C$1, ($AC$3-$T$3), 0, -AF56)</f>
        <v>339.54393726846524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379.62951692239864</v>
      </c>
      <c r="T144" s="133">
        <f>PV($C$1, ($AC$3-$T$3), 0, -AC57)</f>
        <v>52.899194980989968</v>
      </c>
      <c r="U144" s="133">
        <f>PV($C$1, ($AC$3-$T$3), 0, -AF57)</f>
        <v>326.73032194140865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572.00796238606836</v>
      </c>
      <c r="T145" s="133">
        <f>PV($C$1, ($AC$3-$T$3), 0, -AC58)</f>
        <v>79.706027545599682</v>
      </c>
      <c r="U145" s="133">
        <f>PV($C$1, ($AC$3-$T$3), 0, -AF58)</f>
        <v>492.30193484046868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13.55539702529485</v>
      </c>
      <c r="T146" s="133">
        <f>PV($C$1, ($AC$3-$T$3), 0, -AC64)</f>
        <v>1.888866798606659</v>
      </c>
      <c r="U146" s="133">
        <f>PV($C$1, ($AC$3-$T$3), 0, -AF64)</f>
        <v>11.666530226688192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-177.49024479794684</v>
      </c>
      <c r="T148" s="133">
        <f>PV($C$1, ($AC$3-$T$3), 0, -AC60)</f>
        <v>-24.732247225943407</v>
      </c>
      <c r="U148" s="133">
        <f>PV($C$1, ($AC$3-$T$3), 0, -$AF$60)</f>
        <v>-152.75799757200343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-481.00099380907437</v>
      </c>
      <c r="T149" s="133">
        <f>PV($C$1, ($AC$3-$T$3), 0, -AC61)</f>
        <v>-67.02472864552675</v>
      </c>
      <c r="U149" s="133">
        <f>PV($C$1, ($AC$3-$T$3), 0, -$AF$61)</f>
        <v>-413.97626516354762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-414.49409215171391</v>
      </c>
      <c r="T150" s="133">
        <f>PV($C$1, ($AC$3-$T$3), 0, -AC62)</f>
        <v>-57.757373496550294</v>
      </c>
      <c r="U150" s="133">
        <f>PV($C$1, ($AC$3-$T$3), 0, -$AF$62)</f>
        <v>-356.7367186551636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66.50690165736043</v>
      </c>
      <c r="T152" s="133">
        <f>PV($C$1, ($AC$3-$T$3), 0, -AC67)</f>
        <v>9.2673551489764527</v>
      </c>
      <c r="U152" s="133">
        <f>PV($C$1, ($AC$3-$T$3), 0, -AF67)</f>
        <v>57.239546508383974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-98.881913723031261</v>
      </c>
      <c r="T153" s="133">
        <f>PV($C$1, ($AC$3-$T$3), 0, -AC68)</f>
        <v>-17.83116476972695</v>
      </c>
      <c r="U153" s="133">
        <f>PV($C$1, ($AC$3-$T$3), 0, -AF68)</f>
        <v>-81.050748953304307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8383.8949897548246</v>
      </c>
      <c r="T155" s="133">
        <f>PV($C$1, ($AC$3-$T$3), 0, -AC12)</f>
        <v>1168.2476625068198</v>
      </c>
      <c r="U155" s="133">
        <f>PV($C$1, ($AC$3-$T$3), 0, -AF12)</f>
        <v>7215.6473272480052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22.080313378337699</v>
      </c>
      <c r="T156" s="140">
        <f>T155/P42</f>
        <v>3.0767649789486957</v>
      </c>
      <c r="U156" s="140">
        <f>U155/P42</f>
        <v>19.003548399389004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9.4766849365030925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7.7963537327275052</v>
      </c>
      <c r="U159" s="133">
        <f>PV($C$1, ($AC$3-$T$3), 0, -AF70)</f>
        <v>1.6803312037755875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74351.798982453023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61168.323038684102</v>
      </c>
      <c r="U161" s="133">
        <f>PV($C$1, ($AC$3-$T$3), 0, -AF72)</f>
        <v>13183.475943768915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120.21478751626611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98.899247327655345</v>
      </c>
      <c r="U163" s="133">
        <f>PV($C$1, ($AC$3-$T$3), 0, -AF74)</f>
        <v>21.315540188610761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528.35141179988545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434.66829689685545</v>
      </c>
      <c r="U164" s="133">
        <f>PV($C$1, ($AC$3-$T$3), 0, -AF75)</f>
        <v>93.683114903029988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-408.13662428361937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-335.76904956920015</v>
      </c>
      <c r="U165" s="133">
        <f>PV($C$1, ($AC$3-$T$3), 0, -AF76)</f>
        <v>-72.36757471441922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-121.20420963574152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-99.713232902368532</v>
      </c>
      <c r="U166" s="133">
        <f>PV($C$1, ($AC$3-$T$3), 0, -AF77)</f>
        <v>-21.490976733372985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12.481940584151715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10.268741096382065</v>
      </c>
      <c r="U168" s="133">
        <f>PV($C$1, ($AC$3-$T$3), 0, -AF78)</f>
        <v>2.2131994877696508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290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340</v>
      </c>
      <c r="Q170" s="20"/>
      <c r="R170" s="20">
        <v>80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75</v>
      </c>
      <c r="H171" s="22">
        <v>100</v>
      </c>
      <c r="I171" s="22">
        <v>190</v>
      </c>
      <c r="J171" s="22">
        <v>630</v>
      </c>
      <c r="K171" s="22">
        <v>700</v>
      </c>
      <c r="L171" s="22">
        <v>540</v>
      </c>
      <c r="M171" s="22">
        <v>285</v>
      </c>
      <c r="N171" s="22">
        <v>308</v>
      </c>
      <c r="O171" s="22">
        <v>315</v>
      </c>
      <c r="P171" s="22">
        <v>267</v>
      </c>
      <c r="Q171" s="22">
        <v>80</v>
      </c>
      <c r="R171" s="118">
        <f t="shared" ref="R171:R176" si="377">((P171/G171)^(1/($H$2-$H$1) ))-1</f>
        <v>0.15152195321854567</v>
      </c>
      <c r="S171" s="31">
        <f>L2-3%</f>
        <v>0.12</v>
      </c>
      <c r="T171" s="119">
        <f t="shared" ref="T171" si="378">P171*(1+$S171)</f>
        <v>299.04000000000002</v>
      </c>
      <c r="U171" s="119">
        <f t="shared" ref="U171:AC171" si="379">T171*(1+$S171)</f>
        <v>334.92480000000006</v>
      </c>
      <c r="V171" s="119">
        <f t="shared" si="379"/>
        <v>375.1157760000001</v>
      </c>
      <c r="W171" s="119">
        <f t="shared" si="379"/>
        <v>420.12966912000013</v>
      </c>
      <c r="X171" s="119">
        <f t="shared" si="379"/>
        <v>470.54522941440018</v>
      </c>
      <c r="Y171" s="119">
        <f t="shared" si="379"/>
        <v>527.0106569441283</v>
      </c>
      <c r="Z171" s="119">
        <f t="shared" si="379"/>
        <v>590.2519357774238</v>
      </c>
      <c r="AA171" s="119">
        <f t="shared" si="379"/>
        <v>661.08216807071472</v>
      </c>
      <c r="AB171" s="119">
        <f t="shared" si="379"/>
        <v>740.41202823920059</v>
      </c>
      <c r="AC171" s="119">
        <f t="shared" si="379"/>
        <v>829.26147162790471</v>
      </c>
      <c r="AD171" s="138">
        <f t="shared" ref="AD171:AD176" si="380">((AC171/G171)^(1/($AC$3-$H$1) ))-1</f>
        <v>0.12766866124715714</v>
      </c>
      <c r="AE171" s="31">
        <v>0.08</v>
      </c>
      <c r="AF171" s="127">
        <f t="shared" ref="AF171:AF179" si="381">(AC171*(1+AD171))/($C$1-AE171)</f>
        <v>6679.5155252463328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0.27596306592533759</v>
      </c>
      <c r="H172" s="25">
        <f t="shared" si="382"/>
        <v>2.5996633468929726</v>
      </c>
      <c r="I172" s="25">
        <f t="shared" si="382"/>
        <v>3.0817013621177076</v>
      </c>
      <c r="J172" s="25">
        <f t="shared" si="382"/>
        <v>6.4099328859060396</v>
      </c>
      <c r="K172" s="25">
        <f t="shared" si="382"/>
        <v>6.206880433766476</v>
      </c>
      <c r="L172" s="25">
        <f t="shared" si="382"/>
        <v>2.8452612292487927</v>
      </c>
      <c r="M172" s="25">
        <f t="shared" si="382"/>
        <v>2.5205209982307477</v>
      </c>
      <c r="N172" s="25">
        <f t="shared" si="382"/>
        <v>1.9112520224223308</v>
      </c>
      <c r="O172" s="25">
        <f t="shared" si="382"/>
        <v>1.7152906251344491</v>
      </c>
      <c r="P172" s="25">
        <f t="shared" si="382"/>
        <v>1.2615873766472951</v>
      </c>
      <c r="Q172" s="25">
        <f t="shared" ref="Q172" si="383">Q171/Q50</f>
        <v>0.37800370835874014</v>
      </c>
      <c r="R172" s="118">
        <f t="shared" ref="R172" si="384">((P172/G172)^(1/($H$2-$H$1) ))-1</f>
        <v>0.18397002728294498</v>
      </c>
      <c r="S172" s="128"/>
      <c r="T172" s="25">
        <f t="shared" ref="T172:AC172" si="385">T171/T50</f>
        <v>1.2901102216845388</v>
      </c>
      <c r="U172" s="25">
        <f t="shared" si="385"/>
        <v>1.3192779310443634</v>
      </c>
      <c r="V172" s="25">
        <f t="shared" si="385"/>
        <v>1.3491050842679755</v>
      </c>
      <c r="W172" s="25">
        <f t="shared" si="385"/>
        <v>1.3796065905209907</v>
      </c>
      <c r="X172" s="25">
        <f t="shared" si="385"/>
        <v>1.4107976960458133</v>
      </c>
      <c r="Y172" s="25">
        <f t="shared" si="385"/>
        <v>1.4426939917825017</v>
      </c>
      <c r="Z172" s="25">
        <f t="shared" si="385"/>
        <v>1.4753114211619325</v>
      </c>
      <c r="AA172" s="25">
        <f t="shared" si="385"/>
        <v>1.5086662880751591</v>
      </c>
      <c r="AB172" s="25">
        <f t="shared" si="385"/>
        <v>1.542775265022946</v>
      </c>
      <c r="AC172" s="25">
        <f t="shared" si="385"/>
        <v>1.5776554014495519</v>
      </c>
      <c r="AD172" s="138">
        <f t="shared" ref="AD172" si="386">((AC172/G172)^(1/($AC$3-$H$1) ))-1</f>
        <v>9.1083678878370211E-2</v>
      </c>
      <c r="AE172" s="31">
        <v>0.08</v>
      </c>
      <c r="AF172" s="127">
        <f t="shared" ref="AF172" si="387">(AC172*(1+AD172))/($C$1-AE172)</f>
        <v>12.295386138685064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2.3756410256410256</v>
      </c>
      <c r="H173" s="25">
        <f t="shared" si="388"/>
        <v>15.153720359771055</v>
      </c>
      <c r="I173" s="25">
        <f t="shared" si="388"/>
        <v>17.513485881207401</v>
      </c>
      <c r="J173" s="25">
        <f t="shared" si="388"/>
        <v>29.047445255474454</v>
      </c>
      <c r="K173" s="25">
        <f t="shared" si="388"/>
        <v>20.444957659738257</v>
      </c>
      <c r="L173" s="25">
        <f t="shared" si="388"/>
        <v>12.741422178020885</v>
      </c>
      <c r="M173" s="25">
        <f t="shared" si="388"/>
        <v>11.560057655349135</v>
      </c>
      <c r="N173" s="25">
        <f t="shared" si="388"/>
        <v>16.303861703610764</v>
      </c>
      <c r="O173" s="25">
        <f t="shared" si="388"/>
        <v>53.949255751014881</v>
      </c>
      <c r="P173" s="25">
        <f t="shared" si="388"/>
        <v>44.582189973614774</v>
      </c>
      <c r="Q173" s="25">
        <f t="shared" ref="Q173" si="389">Q171/Q54</f>
        <v>13.357959542656111</v>
      </c>
      <c r="R173" s="118">
        <f t="shared" si="377"/>
        <v>0.38511786666411441</v>
      </c>
      <c r="S173" s="128"/>
      <c r="T173" s="119">
        <f t="shared" ref="T173:AC173" si="390">T171/T54</f>
        <v>45.590135138235638</v>
      </c>
      <c r="U173" s="119">
        <f t="shared" si="390"/>
        <v>46.620868628317496</v>
      </c>
      <c r="V173" s="119">
        <f t="shared" si="390"/>
        <v>47.67490565817512</v>
      </c>
      <c r="W173" s="119">
        <f t="shared" si="390"/>
        <v>48.752773090446915</v>
      </c>
      <c r="X173" s="119">
        <f t="shared" si="390"/>
        <v>49.855009699448331</v>
      </c>
      <c r="Y173" s="119">
        <f t="shared" si="390"/>
        <v>50.982166440479354</v>
      </c>
      <c r="Z173" s="119">
        <f t="shared" si="390"/>
        <v>52.134806725220635</v>
      </c>
      <c r="AA173" s="119">
        <f t="shared" si="390"/>
        <v>53.313506703356076</v>
      </c>
      <c r="AB173" s="119">
        <f t="shared" si="390"/>
        <v>54.5188555505624</v>
      </c>
      <c r="AC173" s="119">
        <f t="shared" si="390"/>
        <v>55.751455763009908</v>
      </c>
      <c r="AD173" s="138">
        <f t="shared" si="380"/>
        <v>0.17091068675282362</v>
      </c>
      <c r="AE173" s="31">
        <v>0.08</v>
      </c>
      <c r="AF173" s="127">
        <f t="shared" si="381"/>
        <v>466.28553824953997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0.58246018440905289</v>
      </c>
      <c r="H174" s="25">
        <f t="shared" si="391"/>
        <v>6.9256352765321383</v>
      </c>
      <c r="I174" s="25">
        <f t="shared" si="391"/>
        <v>6.5956545654565462</v>
      </c>
      <c r="J174" s="25">
        <f t="shared" si="391"/>
        <v>12.48797071129707</v>
      </c>
      <c r="K174" s="25">
        <f t="shared" si="391"/>
        <v>6.7181017909541634</v>
      </c>
      <c r="L174" s="25">
        <f t="shared" si="391"/>
        <v>3.7839474267149087</v>
      </c>
      <c r="M174" s="25">
        <f t="shared" si="391"/>
        <v>2.8707047406936046</v>
      </c>
      <c r="N174" s="25">
        <f t="shared" si="391"/>
        <v>2.4952547580438678</v>
      </c>
      <c r="O174" s="25">
        <f t="shared" si="391"/>
        <v>2.4553600755460665</v>
      </c>
      <c r="P174" s="25">
        <f t="shared" si="391"/>
        <v>2.0936743628928998</v>
      </c>
      <c r="Q174" s="25">
        <f t="shared" ref="Q174" si="392">Q171/Q57</f>
        <v>0.62731816116641193</v>
      </c>
      <c r="R174" s="118">
        <f t="shared" si="377"/>
        <v>0.15275787851414169</v>
      </c>
      <c r="S174" s="128"/>
      <c r="T174" s="119">
        <f t="shared" ref="T174:AC174" si="393">T171/T57</f>
        <v>2.1410096093583046</v>
      </c>
      <c r="U174" s="119">
        <f t="shared" si="393"/>
        <v>2.1894150440046674</v>
      </c>
      <c r="V174" s="119">
        <f t="shared" si="393"/>
        <v>2.2389148623908603</v>
      </c>
      <c r="W174" s="119">
        <f t="shared" si="393"/>
        <v>2.2895338071057845</v>
      </c>
      <c r="X174" s="119">
        <f t="shared" si="393"/>
        <v>2.3412971801360025</v>
      </c>
      <c r="Y174" s="119">
        <f t="shared" si="393"/>
        <v>2.3942308555129914</v>
      </c>
      <c r="Z174" s="119">
        <f t="shared" si="393"/>
        <v>2.4483612922463287</v>
      </c>
      <c r="AA174" s="119">
        <f t="shared" si="393"/>
        <v>2.5037155475492896</v>
      </c>
      <c r="AB174" s="119">
        <f t="shared" si="393"/>
        <v>2.560321290363448</v>
      </c>
      <c r="AC174" s="119">
        <f t="shared" si="393"/>
        <v>2.6182068151890574</v>
      </c>
      <c r="AD174" s="138">
        <f t="shared" si="380"/>
        <v>7.8044989158800426E-2</v>
      </c>
      <c r="AE174" s="31">
        <v>0.08</v>
      </c>
      <c r="AF174" s="127">
        <f t="shared" si="381"/>
        <v>20.161033840685604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2.9632196162046913</v>
      </c>
      <c r="H175" s="25">
        <f t="shared" si="394"/>
        <v>20.870495495495497</v>
      </c>
      <c r="I175" s="25">
        <f t="shared" si="394"/>
        <v>60.155016722408028</v>
      </c>
      <c r="J175" s="25">
        <f t="shared" si="394"/>
        <v>119.624248496994</v>
      </c>
      <c r="K175" s="25">
        <f t="shared" si="394"/>
        <v>24.091074020319301</v>
      </c>
      <c r="L175" s="25">
        <f t="shared" si="394"/>
        <v>20.045374535497753</v>
      </c>
      <c r="M175" s="25">
        <f t="shared" si="394"/>
        <v>13.990373433260109</v>
      </c>
      <c r="N175" s="25">
        <f t="shared" si="394"/>
        <v>74.017468354430392</v>
      </c>
      <c r="O175" s="25">
        <f t="shared" si="394"/>
        <v>31.106762028608586</v>
      </c>
      <c r="P175" s="25">
        <f t="shared" si="394"/>
        <v>11.929854083313719</v>
      </c>
      <c r="Q175" s="25">
        <f t="shared" ref="Q175" si="395">Q171/Q66</f>
        <v>3.5744881148505527</v>
      </c>
      <c r="R175" s="118">
        <f t="shared" si="377"/>
        <v>0.1673683684917302</v>
      </c>
      <c r="S175" s="128"/>
      <c r="T175" s="119">
        <f t="shared" ref="T175:AC175" si="396">T171/T66</f>
        <v>12.199572523458208</v>
      </c>
      <c r="U175" s="119">
        <f t="shared" si="396"/>
        <v>12.475388945727701</v>
      </c>
      <c r="V175" s="119">
        <f t="shared" si="396"/>
        <v>12.757441217544155</v>
      </c>
      <c r="W175" s="119">
        <f t="shared" si="396"/>
        <v>13.045870323332112</v>
      </c>
      <c r="X175" s="119">
        <f t="shared" si="396"/>
        <v>13.340820434990059</v>
      </c>
      <c r="Y175" s="119">
        <f t="shared" si="396"/>
        <v>13.642438983955055</v>
      </c>
      <c r="Z175" s="119">
        <f t="shared" si="396"/>
        <v>13.950876734896651</v>
      </c>
      <c r="AA175" s="119">
        <f t="shared" si="396"/>
        <v>14.266287861076925</v>
      </c>
      <c r="AB175" s="119">
        <f t="shared" si="396"/>
        <v>14.588830021414323</v>
      </c>
      <c r="AC175" s="119">
        <f t="shared" si="396"/>
        <v>14.918664439289783</v>
      </c>
      <c r="AD175" s="138">
        <f t="shared" si="380"/>
        <v>8.4172295450213319E-2</v>
      </c>
      <c r="AE175" s="31">
        <v>0.08</v>
      </c>
      <c r="AF175" s="127">
        <f t="shared" si="381"/>
        <v>115.53144764425907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-3.0611233480176212</v>
      </c>
      <c r="H176" s="25">
        <f t="shared" si="397"/>
        <v>-8.0333766796705675</v>
      </c>
      <c r="I176" s="25">
        <f t="shared" si="397"/>
        <v>-8.4324191279887497</v>
      </c>
      <c r="J176" s="25">
        <f t="shared" si="397"/>
        <v>-19.39642567018684</v>
      </c>
      <c r="K176" s="25">
        <f t="shared" si="397"/>
        <v>-15.462272938984627</v>
      </c>
      <c r="L176" s="25">
        <f t="shared" si="397"/>
        <v>-15.609503502893695</v>
      </c>
      <c r="M176" s="25">
        <f t="shared" si="397"/>
        <v>-19.961559734513273</v>
      </c>
      <c r="N176" s="25">
        <f t="shared" si="397"/>
        <v>-5.5104179427979076</v>
      </c>
      <c r="O176" s="25">
        <f t="shared" si="397"/>
        <v>-9.2053798199030243</v>
      </c>
      <c r="P176" s="25">
        <f t="shared" si="397"/>
        <v>-6.2112424947923044</v>
      </c>
      <c r="Q176" s="25">
        <f t="shared" ref="Q176" si="398">Q171/Q68</f>
        <v>-1.8610464403872073</v>
      </c>
      <c r="R176" s="118">
        <f t="shared" si="377"/>
        <v>8.1793042331904209E-2</v>
      </c>
      <c r="S176" s="128"/>
      <c r="T176" s="119">
        <f t="shared" ref="T176:AC176" si="399">T171/T68</f>
        <v>-6.3516705859789138</v>
      </c>
      <c r="U176" s="119">
        <f t="shared" si="399"/>
        <v>-6.4952735731401781</v>
      </c>
      <c r="V176" s="119">
        <f t="shared" si="399"/>
        <v>-6.6421232365329139</v>
      </c>
      <c r="W176" s="119">
        <f t="shared" si="399"/>
        <v>-6.7922929792719193</v>
      </c>
      <c r="X176" s="119">
        <f t="shared" si="399"/>
        <v>-6.9458578640206765</v>
      </c>
      <c r="Y176" s="119">
        <f t="shared" si="399"/>
        <v>-7.1028946505115806</v>
      </c>
      <c r="Z176" s="119">
        <f t="shared" si="399"/>
        <v>-7.2634818339144527</v>
      </c>
      <c r="AA176" s="119">
        <f t="shared" si="399"/>
        <v>-7.4276996840725209</v>
      </c>
      <c r="AB176" s="119">
        <f t="shared" si="399"/>
        <v>-7.5956302856254672</v>
      </c>
      <c r="AC176" s="119">
        <f t="shared" si="399"/>
        <v>-7.7673575790396105</v>
      </c>
      <c r="AD176" s="138">
        <f t="shared" si="380"/>
        <v>4.7658216634345107E-2</v>
      </c>
      <c r="AE176" s="31">
        <v>0.08</v>
      </c>
      <c r="AF176" s="127">
        <f t="shared" si="381"/>
        <v>-58.125257065842149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-0.73844314558979807</v>
      </c>
      <c r="H177" s="182">
        <f t="shared" si="400"/>
        <v>-4.4787336877718706</v>
      </c>
      <c r="I177" s="182">
        <f t="shared" si="400"/>
        <v>-11.365781990521327</v>
      </c>
      <c r="J177" s="182">
        <f t="shared" si="400"/>
        <v>-60.204236006051438</v>
      </c>
      <c r="K177" s="182">
        <f t="shared" si="400"/>
        <v>283.1343283582089</v>
      </c>
      <c r="L177" s="182">
        <f t="shared" si="400"/>
        <v>48.782484531175633</v>
      </c>
      <c r="M177" s="182">
        <f t="shared" si="400"/>
        <v>5.9300854419980276</v>
      </c>
      <c r="N177" s="182">
        <f t="shared" si="400"/>
        <v>-2.9675353345682458</v>
      </c>
      <c r="O177" s="182">
        <f t="shared" si="400"/>
        <v>-2.7380957831601114</v>
      </c>
      <c r="P177" s="182">
        <f t="shared" si="400"/>
        <v>-1.91756795097316</v>
      </c>
      <c r="Q177" s="182">
        <f t="shared" ref="Q177" si="401">Q171/Q62</f>
        <v>-0.57455219504813781</v>
      </c>
      <c r="R177" s="118">
        <f t="shared" ref="R177:R180" si="402">((P177/G177)^(1/($H$2-$H$1) ))-1</f>
        <v>0.11185509048438713</v>
      </c>
      <c r="S177" s="128"/>
      <c r="T177" s="135">
        <f t="shared" ref="T177:AC177" si="403">T171/T62</f>
        <v>-1.960921661169075</v>
      </c>
      <c r="U177" s="135">
        <f t="shared" si="403"/>
        <v>-2.0052555422042024</v>
      </c>
      <c r="V177" s="135">
        <f t="shared" si="403"/>
        <v>-2.0505917544627326</v>
      </c>
      <c r="W177" s="135">
        <f t="shared" si="403"/>
        <v>-2.0969529593462379</v>
      </c>
      <c r="X177" s="135">
        <f t="shared" si="403"/>
        <v>-2.1443623306010231</v>
      </c>
      <c r="Y177" s="135">
        <f t="shared" si="403"/>
        <v>-2.192843565901569</v>
      </c>
      <c r="Z177" s="135">
        <f t="shared" si="403"/>
        <v>-2.2424208986958654</v>
      </c>
      <c r="AA177" s="135">
        <f t="shared" si="403"/>
        <v>-2.2931191103185546</v>
      </c>
      <c r="AB177" s="135">
        <f t="shared" si="403"/>
        <v>-2.3449635423779318</v>
      </c>
      <c r="AC177" s="135">
        <f t="shared" si="403"/>
        <v>-2.3979801094229991</v>
      </c>
      <c r="AD177" s="138">
        <f t="shared" ref="AD177" si="404">((AC177/G177)^(1/($AC$3-$H$1) ))-1</f>
        <v>6.0660573328136236E-2</v>
      </c>
      <c r="AE177" s="31">
        <v>0.08</v>
      </c>
      <c r="AF177" s="127">
        <f t="shared" si="381"/>
        <v>-18.167449697786179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0.42093901780895843</v>
      </c>
      <c r="H178" s="161">
        <f t="shared" si="405"/>
        <v>6.599039551071062E-2</v>
      </c>
      <c r="I178" s="161">
        <f t="shared" si="405"/>
        <v>5.7098855520992309E-2</v>
      </c>
      <c r="J178" s="161">
        <f t="shared" si="405"/>
        <v>3.4426435481844452E-2</v>
      </c>
      <c r="K178" s="161">
        <f t="shared" si="405"/>
        <v>4.8911815648768737E-2</v>
      </c>
      <c r="L178" s="161">
        <f t="shared" si="405"/>
        <v>7.8484174374585325E-2</v>
      </c>
      <c r="M178" s="161">
        <f t="shared" si="405"/>
        <v>8.6504758870062759E-2</v>
      </c>
      <c r="N178" s="161">
        <f t="shared" si="405"/>
        <v>6.1335162072586352E-2</v>
      </c>
      <c r="O178" s="161">
        <f t="shared" si="405"/>
        <v>1.8535936892534209E-2</v>
      </c>
      <c r="P178" s="161">
        <f t="shared" si="405"/>
        <v>2.2430481781891679E-2</v>
      </c>
      <c r="Q178" s="161">
        <f t="shared" ref="Q178" si="406">Q54/Q171</f>
        <v>7.486173294706347E-2</v>
      </c>
      <c r="R178" s="118">
        <f t="shared" si="402"/>
        <v>-0.27803977981427908</v>
      </c>
      <c r="S178" s="128"/>
      <c r="T178" s="161">
        <f t="shared" ref="T178:AC178" si="407">T54/T171</f>
        <v>2.1934569769706997E-2</v>
      </c>
      <c r="U178" s="161">
        <f t="shared" si="407"/>
        <v>2.1449621798608026E-2</v>
      </c>
      <c r="V178" s="161">
        <f t="shared" si="407"/>
        <v>2.0975395466325871E-2</v>
      </c>
      <c r="W178" s="161">
        <f t="shared" si="407"/>
        <v>2.0511653729825465E-2</v>
      </c>
      <c r="X178" s="161">
        <f t="shared" si="407"/>
        <v>2.0058164786819117E-2</v>
      </c>
      <c r="Y178" s="161">
        <f t="shared" si="407"/>
        <v>1.9614701959899641E-2</v>
      </c>
      <c r="Z178" s="161">
        <f t="shared" si="407"/>
        <v>1.9181043583235188E-2</v>
      </c>
      <c r="AA178" s="161">
        <f t="shared" si="407"/>
        <v>1.8756972891769096E-2</v>
      </c>
      <c r="AB178" s="161">
        <f t="shared" si="407"/>
        <v>1.8342277912869437E-2</v>
      </c>
      <c r="AC178" s="161">
        <f t="shared" si="407"/>
        <v>1.793675136037402E-2</v>
      </c>
      <c r="AD178" s="138">
        <f t="shared" ref="AD178:AD180" si="408">((AC178/G178)^(1/($AC$3-$H$1) ))-1</f>
        <v>-0.14596389689361722</v>
      </c>
      <c r="AE178" s="31">
        <v>0.08</v>
      </c>
      <c r="AF178" s="127">
        <f t="shared" si="381"/>
        <v>0.10941880881572812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0</v>
      </c>
      <c r="H179" s="152">
        <f t="shared" si="409"/>
        <v>0</v>
      </c>
      <c r="I179" s="152">
        <f t="shared" si="409"/>
        <v>0</v>
      </c>
      <c r="J179" s="152">
        <f t="shared" si="409"/>
        <v>0</v>
      </c>
      <c r="K179" s="152">
        <f t="shared" si="409"/>
        <v>0</v>
      </c>
      <c r="L179" s="152">
        <f t="shared" si="409"/>
        <v>3.7037037037037038E-3</v>
      </c>
      <c r="M179" s="152">
        <f t="shared" si="409"/>
        <v>3.5087719298245615E-3</v>
      </c>
      <c r="N179" s="152">
        <f t="shared" si="409"/>
        <v>3.246753246753247E-3</v>
      </c>
      <c r="O179" s="152">
        <f t="shared" si="409"/>
        <v>3.1746031746031746E-3</v>
      </c>
      <c r="P179" s="152">
        <f t="shared" si="409"/>
        <v>3.7453183520599251E-3</v>
      </c>
      <c r="Q179" s="152">
        <f t="shared" ref="Q179" si="410">Q44/Q171</f>
        <v>1.2500000000000001E-2</v>
      </c>
      <c r="R179" s="118" t="e">
        <f t="shared" si="402"/>
        <v>#DIV/0!</v>
      </c>
      <c r="S179" s="128"/>
      <c r="T179" s="152">
        <f t="shared" ref="T179:AC179" si="411">T44/T171</f>
        <v>3.5112359550561797E-3</v>
      </c>
      <c r="U179" s="152">
        <f t="shared" si="411"/>
        <v>3.2917837078651679E-3</v>
      </c>
      <c r="V179" s="152">
        <f t="shared" si="411"/>
        <v>3.0860472261235949E-3</v>
      </c>
      <c r="W179" s="152">
        <f t="shared" si="411"/>
        <v>2.8931692744908703E-3</v>
      </c>
      <c r="X179" s="152">
        <f t="shared" si="411"/>
        <v>2.712346194835191E-3</v>
      </c>
      <c r="Y179" s="152">
        <f t="shared" si="411"/>
        <v>2.5428245576579914E-3</v>
      </c>
      <c r="Z179" s="152">
        <f t="shared" si="411"/>
        <v>2.3838980228043662E-3</v>
      </c>
      <c r="AA179" s="152">
        <f t="shared" si="411"/>
        <v>2.2349043963790934E-3</v>
      </c>
      <c r="AB179" s="152">
        <f t="shared" si="411"/>
        <v>2.0952228716053997E-3</v>
      </c>
      <c r="AC179" s="152">
        <f t="shared" si="411"/>
        <v>1.9642714421300622E-3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0.15837606837606838</v>
      </c>
      <c r="H180" s="181">
        <f t="shared" si="412"/>
        <v>1.0102480239847371</v>
      </c>
      <c r="I180" s="181">
        <f t="shared" si="412"/>
        <v>1.1675657254138267</v>
      </c>
      <c r="J180" s="181">
        <f t="shared" si="412"/>
        <v>1.9364963503649635</v>
      </c>
      <c r="K180" s="181">
        <f t="shared" si="412"/>
        <v>1.3629971773158838</v>
      </c>
      <c r="L180" s="181">
        <f t="shared" si="412"/>
        <v>0.84942814520139232</v>
      </c>
      <c r="M180" s="181">
        <f t="shared" si="412"/>
        <v>0.77067051035660905</v>
      </c>
      <c r="N180" s="181">
        <f t="shared" si="412"/>
        <v>1.0869241135740508</v>
      </c>
      <c r="O180" s="181">
        <f t="shared" si="412"/>
        <v>3.5966170500676586</v>
      </c>
      <c r="P180" s="181">
        <f>(P173)/($L$2*100)</f>
        <v>2.9721459982409848</v>
      </c>
      <c r="Q180" s="181">
        <f>(Q173)/($L$2*100)</f>
        <v>0.89053063617707406</v>
      </c>
      <c r="R180" s="118">
        <f t="shared" si="402"/>
        <v>0.38511786666411441</v>
      </c>
      <c r="S180" s="128"/>
      <c r="T180" s="181">
        <f>(T173)/($L$2*100)</f>
        <v>3.0393423425490425</v>
      </c>
      <c r="U180" s="181">
        <f t="shared" ref="U180:AC180" si="413">(U173)/($L$2*100)</f>
        <v>3.1080579085544997</v>
      </c>
      <c r="V180" s="181">
        <f t="shared" si="413"/>
        <v>3.1783270438783413</v>
      </c>
      <c r="W180" s="181">
        <f t="shared" si="413"/>
        <v>3.2501848726964608</v>
      </c>
      <c r="X180" s="181">
        <f t="shared" si="413"/>
        <v>3.3236673132965553</v>
      </c>
      <c r="Y180" s="181">
        <f t="shared" si="413"/>
        <v>3.3988110960319569</v>
      </c>
      <c r="Z180" s="181">
        <f t="shared" si="413"/>
        <v>3.4756537816813755</v>
      </c>
      <c r="AA180" s="181">
        <f t="shared" si="413"/>
        <v>3.5542337802237385</v>
      </c>
      <c r="AB180" s="181">
        <f t="shared" si="413"/>
        <v>3.6345903700374933</v>
      </c>
      <c r="AC180" s="181">
        <f t="shared" si="413"/>
        <v>3.7167637175339938</v>
      </c>
      <c r="AD180" s="138">
        <f t="shared" si="408"/>
        <v>0.17091068675282362</v>
      </c>
      <c r="AE180" s="31">
        <v>0.08</v>
      </c>
      <c r="AF180" s="181">
        <f>(AF173)/($L$2*100)</f>
        <v>31.08570254996933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-0.84162393162393156</v>
      </c>
      <c r="H181" s="152">
        <f t="shared" si="414"/>
        <v>1.024802398473712E-2</v>
      </c>
      <c r="I181" s="152">
        <f t="shared" si="414"/>
        <v>0.16756572541382675</v>
      </c>
      <c r="J181" s="152">
        <f t="shared" si="414"/>
        <v>0.93649635036496348</v>
      </c>
      <c r="K181" s="152">
        <f t="shared" si="414"/>
        <v>0.36299717731588377</v>
      </c>
      <c r="L181" s="152">
        <f t="shared" si="414"/>
        <v>-0.15057185479860768</v>
      </c>
      <c r="M181" s="152">
        <f t="shared" si="414"/>
        <v>-0.22932948964339095</v>
      </c>
      <c r="N181" s="152">
        <f t="shared" si="414"/>
        <v>8.6924113574050832E-2</v>
      </c>
      <c r="O181" s="152">
        <f t="shared" si="414"/>
        <v>2.5966170500676586</v>
      </c>
      <c r="P181" s="152">
        <f t="shared" si="414"/>
        <v>1.9721459982409848</v>
      </c>
      <c r="Q181" s="152">
        <f>Q180-1</f>
        <v>-0.10946936382292594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7" t="s">
        <v>351</v>
      </c>
      <c r="L183" s="208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0.88154143829371134</v>
      </c>
      <c r="Q184" s="128">
        <f>(Q171-T159)/Q171</f>
        <v>0.9025455783409061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2.5524123301562316</v>
      </c>
      <c r="N185" s="20"/>
      <c r="O185" s="20"/>
      <c r="P185" s="128">
        <f>(Q171-S150)/Q171</f>
        <v>6.1811761518964241</v>
      </c>
      <c r="Q185" s="128">
        <f>(Q171-T150)/Q171</f>
        <v>1.7219671687068785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-0.47759444789558619</v>
      </c>
      <c r="N186" s="20"/>
      <c r="O186" s="20"/>
      <c r="P186" s="128">
        <f>(Q171-S143)/Q171</f>
        <v>-3.9314714698515187</v>
      </c>
      <c r="Q186" s="128">
        <f>(Q171-T143)/Q171</f>
        <v>0.31282774600429664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0.91730219708487748</v>
      </c>
      <c r="N187" s="20"/>
      <c r="O187" s="20"/>
      <c r="P187" s="128">
        <f>(Q171-S156)/Q171</f>
        <v>0.72399608277077876</v>
      </c>
      <c r="Q187" s="128">
        <f>(Q171-T156)/Q171</f>
        <v>0.96154043776314124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0.95325115886085499</v>
      </c>
      <c r="N188" s="20"/>
      <c r="O188" s="20"/>
      <c r="P188" s="128">
        <f>(Q171-S168)/Q171</f>
        <v>0.8439757426981036</v>
      </c>
      <c r="Q188" s="128">
        <f>(Q171-T168)/Q171</f>
        <v>0.87164073629522432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4.4872707832725141</v>
      </c>
      <c r="Q189" s="25">
        <f>Q171/T142</f>
        <v>32.202766797602756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0.22285260870098678</v>
      </c>
      <c r="Q190" s="152">
        <f>1/Q189</f>
        <v>3.1053232359973558E-2</v>
      </c>
      <c r="R190" s="20"/>
      <c r="S190" s="20"/>
      <c r="T190" s="129">
        <f>Q171-T191</f>
        <v>60.079742539141265</v>
      </c>
      <c r="U190" s="185">
        <f>T190-U191</f>
        <v>39.163472205239593</v>
      </c>
      <c r="V190" s="185">
        <f t="shared" ref="V190:X190" si="415">U190-V191</f>
        <v>17.201388354642837</v>
      </c>
      <c r="W190" s="185">
        <f t="shared" si="415"/>
        <v>-5.8587996884837565</v>
      </c>
      <c r="X190" s="185">
        <f t="shared" si="415"/>
        <v>-30.071997133766683</v>
      </c>
      <c r="Y190" s="185">
        <f>X190-Y191</f>
        <v>-55.495854451313761</v>
      </c>
      <c r="Z190" s="185">
        <f t="shared" ref="Z190:AC190" si="416">Y190-Z191</f>
        <v>-82.190904634738189</v>
      </c>
      <c r="AA190" s="185">
        <f t="shared" si="416"/>
        <v>-110.22070732733384</v>
      </c>
      <c r="AB190" s="185">
        <f t="shared" si="416"/>
        <v>-139.65200015455929</v>
      </c>
      <c r="AC190" s="185">
        <f t="shared" si="416"/>
        <v>-170.55485762314601</v>
      </c>
      <c r="AD190" s="185">
        <f t="shared" ref="AD190" si="417">AC190-AD191</f>
        <v>-203.00285796516206</v>
      </c>
      <c r="AE190" s="185">
        <f t="shared" ref="AE190" si="418">AD190-AE191</f>
        <v>-237.07325832427892</v>
      </c>
      <c r="AF190" s="185">
        <f t="shared" ref="AF190" si="419">AE190-AF191</f>
        <v>-272.8471787013516</v>
      </c>
      <c r="AG190" s="185">
        <f t="shared" ref="AG190" si="420">AF190-AG191</f>
        <v>-310.40979509727794</v>
      </c>
      <c r="AH190" s="185">
        <f t="shared" ref="AH190" si="421">AG190-AH191</f>
        <v>-349.85054231300057</v>
      </c>
      <c r="AI190" s="185">
        <f t="shared" ref="AI190" si="422">AH190-AI191</f>
        <v>-391.26332688950936</v>
      </c>
      <c r="AJ190" s="185">
        <f t="shared" ref="AJ190" si="423">AI190-AJ191</f>
        <v>-434.74675069484357</v>
      </c>
      <c r="AK190" s="185">
        <f t="shared" ref="AK190" si="424">AJ190-AK191</f>
        <v>-480.40434569044453</v>
      </c>
      <c r="AL190" s="185">
        <f t="shared" ref="AL190" si="425">AK190-AL191</f>
        <v>-528.34482043582557</v>
      </c>
      <c r="AM190" s="185">
        <f t="shared" ref="AM190" si="426">AL190-AM191</f>
        <v>-578.68231891847563</v>
      </c>
      <c r="AN190" s="185">
        <f t="shared" ref="AN190" si="427">AM190-AN191</f>
        <v>-631.53669232525817</v>
      </c>
      <c r="AO190" s="185">
        <f t="shared" ref="AO190" si="428">AN190-AO191</f>
        <v>-687.03378440237987</v>
      </c>
      <c r="AP190" s="185">
        <f t="shared" ref="AP190" si="429">AO190-AP191</f>
        <v>-745.30573108335761</v>
      </c>
      <c r="AQ190" s="185">
        <f t="shared" ref="AQ190" si="430">AP190-AQ191</f>
        <v>-806.49127509838422</v>
      </c>
      <c r="AR190" s="185">
        <f t="shared" ref="AR190" si="431">AQ190-AR191</f>
        <v>-870.73609631416218</v>
      </c>
      <c r="AS190" s="185">
        <f t="shared" ref="AS190" si="432">AR190-AS191</f>
        <v>-938.19315859072901</v>
      </c>
      <c r="AT190" s="185">
        <f t="shared" ref="AT190" si="433">AS190-AT191</f>
        <v>-1009.0230739811242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4.2168129686602391</v>
      </c>
      <c r="Q191" s="181">
        <f>Q171/R141</f>
        <v>4.2168129686602391</v>
      </c>
      <c r="R191" s="20"/>
      <c r="S191" s="20"/>
      <c r="T191" s="186">
        <f>R141*(1+$K$191)</f>
        <v>19.920257460858735</v>
      </c>
      <c r="U191" s="186">
        <f>T191*(1+$K$191)</f>
        <v>20.916270333901672</v>
      </c>
      <c r="V191" s="186">
        <f t="shared" ref="V191:AC191" si="434">U191*(1+$K$191)</f>
        <v>21.962083850596755</v>
      </c>
      <c r="W191" s="186">
        <f t="shared" si="434"/>
        <v>23.060188043126594</v>
      </c>
      <c r="X191" s="186">
        <f t="shared" si="434"/>
        <v>24.213197445282926</v>
      </c>
      <c r="Y191" s="186">
        <f t="shared" si="434"/>
        <v>25.423857317547075</v>
      </c>
      <c r="Z191" s="186">
        <f t="shared" si="434"/>
        <v>26.695050183424431</v>
      </c>
      <c r="AA191" s="186">
        <f t="shared" si="434"/>
        <v>28.029802692595656</v>
      </c>
      <c r="AB191" s="186">
        <f t="shared" si="434"/>
        <v>29.431292827225441</v>
      </c>
      <c r="AC191" s="186">
        <f t="shared" si="434"/>
        <v>30.902857468586713</v>
      </c>
      <c r="AD191" s="186">
        <f t="shared" ref="AD191" si="435">AC191*(1+$K$191)</f>
        <v>32.448000342016051</v>
      </c>
      <c r="AE191" s="186">
        <f t="shared" ref="AE191" si="436">AD191*(1+$K$191)</f>
        <v>34.070400359116853</v>
      </c>
      <c r="AF191" s="186">
        <f t="shared" ref="AF191" si="437">AE191*(1+$K$191)</f>
        <v>35.773920377072699</v>
      </c>
      <c r="AG191" s="186">
        <f t="shared" ref="AG191" si="438">AF191*(1+$K$191)</f>
        <v>37.562616395926334</v>
      </c>
      <c r="AH191" s="186">
        <f t="shared" ref="AH191" si="439">AG191*(1+$K$191)</f>
        <v>39.440747215722652</v>
      </c>
      <c r="AI191" s="186">
        <f t="shared" ref="AI191" si="440">AH191*(1+$K$191)</f>
        <v>41.412784576508784</v>
      </c>
      <c r="AJ191" s="186">
        <f t="shared" ref="AJ191" si="441">AI191*(1+$K$191)</f>
        <v>43.483423805334226</v>
      </c>
      <c r="AK191" s="186">
        <f t="shared" ref="AK191" si="442">AJ191*(1+$K$191)</f>
        <v>45.657594995600938</v>
      </c>
      <c r="AL191" s="186">
        <f t="shared" ref="AL191" si="443">AK191*(1+$K$191)</f>
        <v>47.940474745380989</v>
      </c>
      <c r="AM191" s="186">
        <f t="shared" ref="AM191" si="444">AL191*(1+$K$191)</f>
        <v>50.337498482650041</v>
      </c>
      <c r="AN191" s="186">
        <f t="shared" ref="AN191" si="445">AM191*(1+$K$191)</f>
        <v>52.854373406782543</v>
      </c>
      <c r="AO191" s="186">
        <f t="shared" ref="AO191" si="446">AN191*(1+$K$191)</f>
        <v>55.497092077121671</v>
      </c>
      <c r="AP191" s="186">
        <f t="shared" ref="AP191" si="447">AO191*(1+$K$191)</f>
        <v>58.271946680977756</v>
      </c>
      <c r="AQ191" s="186">
        <f t="shared" ref="AQ191" si="448">AP191*(1+$K$191)</f>
        <v>61.185544015026643</v>
      </c>
      <c r="AR191" s="186">
        <f t="shared" ref="AR191" si="449">AQ191*(1+$K$191)</f>
        <v>64.244821215777975</v>
      </c>
      <c r="AS191" s="186">
        <f t="shared" ref="AS191" si="450">AR191*(1+$K$191)</f>
        <v>67.457062276566873</v>
      </c>
      <c r="AT191" s="186">
        <f t="shared" ref="AT191" si="451">AS191*(1+$K$191)</f>
        <v>70.829915390395215</v>
      </c>
    </row>
    <row r="192" spans="2:46" x14ac:dyDescent="0.2">
      <c r="B192" s="20" t="s">
        <v>395</v>
      </c>
      <c r="C192" s="20"/>
      <c r="D192" s="20"/>
      <c r="E192" s="23" t="s">
        <v>391</v>
      </c>
      <c r="F192" s="22"/>
      <c r="G192" s="191">
        <v>0</v>
      </c>
      <c r="H192" s="192">
        <f>Q173</f>
        <v>13.357959542656111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13.357959542656111</v>
      </c>
      <c r="Q192" s="181">
        <f>Q171/Q54</f>
        <v>13.357959542656111</v>
      </c>
      <c r="R192" s="20"/>
      <c r="S192" s="20"/>
      <c r="T192" s="186">
        <f>Q54*(1+$K$192)</f>
        <v>6.2883855675533322</v>
      </c>
      <c r="U192" s="186">
        <f>T192*(1+$K$192)</f>
        <v>6.6028048459309989</v>
      </c>
      <c r="V192" s="186">
        <f t="shared" ref="V192:AC192" si="452">U192*(1+$K$192)</f>
        <v>6.932945088227549</v>
      </c>
      <c r="W192" s="186">
        <f t="shared" si="452"/>
        <v>7.2795923426389271</v>
      </c>
      <c r="X192" s="186">
        <f t="shared" si="452"/>
        <v>7.643571959770874</v>
      </c>
      <c r="Y192" s="186">
        <f t="shared" si="452"/>
        <v>8.0257505577594177</v>
      </c>
      <c r="Z192" s="186">
        <f t="shared" si="452"/>
        <v>8.4270380856473892</v>
      </c>
      <c r="AA192" s="186">
        <f t="shared" si="452"/>
        <v>8.8483899899297587</v>
      </c>
      <c r="AB192" s="186">
        <f t="shared" si="452"/>
        <v>9.2908094894262465</v>
      </c>
      <c r="AC192" s="186">
        <f t="shared" si="452"/>
        <v>9.7553499638975598</v>
      </c>
      <c r="AD192" s="186">
        <f t="shared" ref="AD192" si="453">AC192*(1+$K$192)</f>
        <v>10.243117462092439</v>
      </c>
      <c r="AE192" s="186">
        <f t="shared" ref="AE192" si="454">AD192*(1+$K$192)</f>
        <v>10.755273335197062</v>
      </c>
      <c r="AF192" s="186">
        <f t="shared" ref="AF192" si="455">AE192*(1+$K$192)</f>
        <v>11.293037001956916</v>
      </c>
      <c r="AG192" s="186">
        <f t="shared" ref="AG192" si="456">AF192*(1+$K$192)</f>
        <v>11.857688852054762</v>
      </c>
      <c r="AH192" s="186">
        <f t="shared" ref="AH192" si="457">AG192*(1+$K$192)</f>
        <v>12.450573294657501</v>
      </c>
      <c r="AI192" s="186">
        <f t="shared" ref="AI192" si="458">AH192*(1+$K$192)</f>
        <v>13.073101959390376</v>
      </c>
      <c r="AJ192" s="186">
        <f t="shared" ref="AJ192" si="459">AI192*(1+$K$192)</f>
        <v>13.726757057359896</v>
      </c>
      <c r="AK192" s="186">
        <f t="shared" ref="AK192" si="460">AJ192*(1+$K$192)</f>
        <v>14.41309491022789</v>
      </c>
      <c r="AL192" s="186">
        <f t="shared" ref="AL192" si="461">AK192*(1+$K$192)</f>
        <v>15.133749655739285</v>
      </c>
      <c r="AM192" s="186">
        <f t="shared" ref="AM192" si="462">AL192*(1+$K$192)</f>
        <v>15.89043713852625</v>
      </c>
      <c r="AN192" s="186">
        <f t="shared" ref="AN192" si="463">AM192*(1+$K$192)</f>
        <v>16.684958995452565</v>
      </c>
      <c r="AO192" s="186">
        <f t="shared" ref="AO192" si="464">AN192*(1+$K$192)</f>
        <v>17.519206945225193</v>
      </c>
      <c r="AP192" s="186">
        <f t="shared" ref="AP192" si="465">AO192*(1+$K$192)</f>
        <v>18.395167292486452</v>
      </c>
      <c r="AQ192" s="186">
        <f t="shared" ref="AQ192" si="466">AP192*(1+$K$192)</f>
        <v>19.314925657110773</v>
      </c>
      <c r="AR192" s="186">
        <f t="shared" ref="AR192" si="467">AQ192*(1+$K$192)</f>
        <v>20.280671939966314</v>
      </c>
      <c r="AS192" s="186">
        <f t="shared" ref="AS192" si="468">AR192*(1+$K$192)</f>
        <v>21.294705536964631</v>
      </c>
      <c r="AT192" s="186">
        <f t="shared" ref="AT192" si="469">AS192*(1+$K$192)</f>
        <v>22.359440813812864</v>
      </c>
    </row>
    <row r="193" spans="2:46" x14ac:dyDescent="0.2">
      <c r="B193" s="20"/>
      <c r="C193" s="20"/>
      <c r="D193" s="20"/>
      <c r="E193" s="23" t="s">
        <v>454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73.711614432446666</v>
      </c>
      <c r="U193" s="185">
        <f>T193-U192</f>
        <v>67.108809586515662</v>
      </c>
      <c r="V193" s="185">
        <f t="shared" ref="V193:AA193" si="470">U193-V192</f>
        <v>60.175864498288114</v>
      </c>
      <c r="W193" s="185">
        <f t="shared" si="470"/>
        <v>52.896272155649186</v>
      </c>
      <c r="X193" s="185">
        <f t="shared" si="470"/>
        <v>45.252700195878312</v>
      </c>
      <c r="Y193" s="185">
        <f t="shared" si="470"/>
        <v>37.226949638118896</v>
      </c>
      <c r="Z193" s="185">
        <f t="shared" si="470"/>
        <v>28.799911552471507</v>
      </c>
      <c r="AA193" s="185">
        <f t="shared" si="470"/>
        <v>19.95152156254175</v>
      </c>
      <c r="AB193" s="185">
        <f>AA193-AB192</f>
        <v>10.660712073115503</v>
      </c>
      <c r="AC193" s="185">
        <f t="shared" ref="AC193" si="471">AB193-AC192</f>
        <v>0.90536210921794336</v>
      </c>
      <c r="AD193" s="185">
        <f t="shared" ref="AD193" si="472">AC193-AD192</f>
        <v>-9.3377553528744954</v>
      </c>
      <c r="AE193" s="185">
        <f t="shared" ref="AE193" si="473">AD193-AE192</f>
        <v>-20.093028688071556</v>
      </c>
      <c r="AF193" s="185">
        <f t="shared" ref="AF193" si="474">AE193-AF192</f>
        <v>-31.386065690028474</v>
      </c>
      <c r="AG193" s="185">
        <f t="shared" ref="AG193" si="475">AF193-AG192</f>
        <v>-43.243754542083238</v>
      </c>
      <c r="AH193" s="185">
        <f t="shared" ref="AH193" si="476">AG193-AH192</f>
        <v>-55.69432783674074</v>
      </c>
      <c r="AI193" s="185">
        <f t="shared" ref="AI193" si="477">AH193-AI192</f>
        <v>-68.767429796131111</v>
      </c>
      <c r="AJ193" s="185">
        <f t="shared" ref="AJ193" si="478">AI193-AJ192</f>
        <v>-82.494186853491001</v>
      </c>
      <c r="AK193" s="185">
        <f t="shared" ref="AK193" si="479">AJ193-AK192</f>
        <v>-96.907281763718885</v>
      </c>
      <c r="AL193" s="185">
        <f t="shared" ref="AL193" si="480">AK193-AL192</f>
        <v>-112.04103141945816</v>
      </c>
      <c r="AM193" s="185">
        <f t="shared" ref="AM193" si="481">AL193-AM192</f>
        <v>-127.93146855798442</v>
      </c>
      <c r="AN193" s="185">
        <f t="shared" ref="AN193" si="482">AM193-AN192</f>
        <v>-144.61642755343698</v>
      </c>
      <c r="AO193" s="185">
        <f t="shared" ref="AO193" si="483">AN193-AO192</f>
        <v>-162.13563449866217</v>
      </c>
      <c r="AP193" s="185">
        <f t="shared" ref="AP193" si="484">AO193-AP192</f>
        <v>-180.53080179114863</v>
      </c>
      <c r="AQ193" s="185">
        <f t="shared" ref="AQ193" si="485">AP193-AQ192</f>
        <v>-199.8457274482594</v>
      </c>
      <c r="AR193" s="185">
        <f t="shared" ref="AR193" si="486">AQ193-AR192</f>
        <v>-220.12639938822571</v>
      </c>
      <c r="AS193" s="185">
        <f t="shared" ref="AS193" si="487">AR193-AS192</f>
        <v>-241.42110492519035</v>
      </c>
      <c r="AT193" s="185">
        <f t="shared" ref="AT193" si="488">AS193-AT192</f>
        <v>-263.78054573900323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1.1085161594715736</v>
      </c>
      <c r="H195" s="25">
        <f t="shared" si="489"/>
        <v>1.1027790030877813</v>
      </c>
      <c r="I195" s="25">
        <f t="shared" si="489"/>
        <v>0.64819342569953819</v>
      </c>
      <c r="J195" s="25">
        <f t="shared" si="489"/>
        <v>0.46004526462395545</v>
      </c>
      <c r="K195" s="25">
        <f t="shared" si="489"/>
        <v>0.44195359970539494</v>
      </c>
      <c r="L195" s="25">
        <f t="shared" si="489"/>
        <v>0.4640711367459745</v>
      </c>
      <c r="M195" s="25">
        <f t="shared" si="489"/>
        <v>0.25798685992276443</v>
      </c>
      <c r="N195" s="25">
        <f t="shared" si="489"/>
        <v>1.1616700159947504</v>
      </c>
      <c r="O195" s="25">
        <f t="shared" si="489"/>
        <v>1.3637944320404656</v>
      </c>
      <c r="P195" s="25">
        <f t="shared" si="489"/>
        <v>1.4498916953160708</v>
      </c>
      <c r="Q195" s="25">
        <f t="shared" ref="Q195" si="490">Q10/Q7</f>
        <v>1.4498916953160708</v>
      </c>
      <c r="R195" s="118">
        <f t="shared" ref="R195:R197" si="491">((P195/G195)^(1/($H$2-$H$1) ))-1</f>
        <v>3.0278974686358762E-2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34.80740740740741</v>
      </c>
      <c r="H196" s="112">
        <f t="shared" ref="H196:P196" si="492">H10/H12</f>
        <v>12.195121951219512</v>
      </c>
      <c r="I196" s="112">
        <f t="shared" si="492"/>
        <v>13.595441595441596</v>
      </c>
      <c r="J196" s="112">
        <f t="shared" si="492"/>
        <v>6.2103407755581665</v>
      </c>
      <c r="K196" s="112">
        <f t="shared" si="492"/>
        <v>13.657183499288763</v>
      </c>
      <c r="L196" s="112">
        <f t="shared" si="492"/>
        <v>4.8886075949367092</v>
      </c>
      <c r="M196" s="112">
        <f t="shared" si="492"/>
        <v>3.9922390376406676</v>
      </c>
      <c r="N196" s="112">
        <f t="shared" si="492"/>
        <v>59.133611691022963</v>
      </c>
      <c r="O196" s="112">
        <f t="shared" si="492"/>
        <v>34.001477832512315</v>
      </c>
      <c r="P196" s="112">
        <f t="shared" si="492"/>
        <v>42.197802197802197</v>
      </c>
      <c r="Q196" s="112">
        <f t="shared" ref="Q196" si="493">Q10/Q12</f>
        <v>42.197802197802197</v>
      </c>
      <c r="R196" s="118">
        <f t="shared" si="491"/>
        <v>2.1623575028582254E-2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10.019189765458423</v>
      </c>
      <c r="H197" s="25">
        <f t="shared" ref="H197:P197" si="494">H10/(H12+H13)</f>
        <v>5.6306306306306304</v>
      </c>
      <c r="I197" s="25">
        <f t="shared" si="494"/>
        <v>7.9799331103678925</v>
      </c>
      <c r="J197" s="25">
        <f t="shared" si="494"/>
        <v>5.2955911823647295</v>
      </c>
      <c r="K197" s="25">
        <f t="shared" si="494"/>
        <v>1.7418359941944848</v>
      </c>
      <c r="L197" s="25">
        <f t="shared" si="494"/>
        <v>2.6436534324271466</v>
      </c>
      <c r="M197" s="25">
        <f t="shared" si="494"/>
        <v>1.3293707197312314</v>
      </c>
      <c r="N197" s="25">
        <f t="shared" si="494"/>
        <v>35.854430379746837</v>
      </c>
      <c r="O197" s="25">
        <f t="shared" si="494"/>
        <v>17.951365409622888</v>
      </c>
      <c r="P197" s="25">
        <f t="shared" si="494"/>
        <v>8.5855495410684863</v>
      </c>
      <c r="Q197" s="25">
        <f t="shared" ref="Q197" si="495">Q10/(Q12+Q13)</f>
        <v>8.5855495410684863</v>
      </c>
      <c r="R197" s="118">
        <f t="shared" si="491"/>
        <v>-1.7011609933459071E-2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4" t="s">
        <v>337</v>
      </c>
      <c r="M200" s="205"/>
      <c r="N200" s="206"/>
      <c r="O200" s="23" t="s">
        <v>340</v>
      </c>
      <c r="P200" s="20"/>
      <c r="Q200" s="137"/>
      <c r="R200" s="204" t="s">
        <v>338</v>
      </c>
      <c r="S200" s="205"/>
      <c r="T200" s="206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100</v>
      </c>
      <c r="O202" s="173">
        <f>N202</f>
        <v>100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100</v>
      </c>
      <c r="O204" s="173">
        <f>N204</f>
        <v>100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340</v>
      </c>
      <c r="O205" s="21">
        <v>577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340</v>
      </c>
      <c r="O206" s="168">
        <f>O205*O203</f>
        <v>577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3.4</v>
      </c>
      <c r="O209" s="170">
        <f>O206/O204</f>
        <v>5.77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7" t="s">
        <v>27</v>
      </c>
      <c r="E213" s="198"/>
      <c r="F213" s="198"/>
      <c r="G213" s="199"/>
      <c r="H213" s="20"/>
      <c r="I213" s="197" t="s">
        <v>392</v>
      </c>
      <c r="J213" s="198"/>
      <c r="K213" s="199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</v>
      </c>
      <c r="H214" s="20"/>
      <c r="I214" s="20" t="s">
        <v>28</v>
      </c>
      <c r="J214" s="127"/>
      <c r="K214" s="21">
        <f>G214</f>
        <v>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</v>
      </c>
      <c r="H215" s="20"/>
      <c r="I215" s="20" t="s">
        <v>29</v>
      </c>
      <c r="J215" s="20"/>
      <c r="K215" s="21">
        <f>G215</f>
        <v>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</v>
      </c>
      <c r="H217" s="20"/>
      <c r="I217" s="23" t="s">
        <v>393</v>
      </c>
      <c r="J217" s="23"/>
      <c r="K217" s="23">
        <f>(K215-K214)/K214</f>
        <v>0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</v>
      </c>
      <c r="H218" s="20"/>
      <c r="I218" s="23" t="s">
        <v>394</v>
      </c>
      <c r="J218" s="23"/>
      <c r="K218" s="23">
        <f>K215/K214</f>
        <v>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9" t="s">
        <v>27</v>
      </c>
      <c r="K5" s="209"/>
      <c r="M5" s="209" t="s">
        <v>65</v>
      </c>
      <c r="N5" s="20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9" t="s">
        <v>36</v>
      </c>
      <c r="K14" s="209"/>
      <c r="L14" s="20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9" t="s">
        <v>27</v>
      </c>
      <c r="S5" s="20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9" t="s">
        <v>36</v>
      </c>
      <c r="S14" s="209"/>
      <c r="T14" s="20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9" t="s">
        <v>27</v>
      </c>
      <c r="C2" s="209"/>
      <c r="E2" s="209" t="s">
        <v>65</v>
      </c>
      <c r="F2" s="209"/>
      <c r="H2" s="213" t="s">
        <v>36</v>
      </c>
      <c r="I2" s="21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0" t="s">
        <v>68</v>
      </c>
      <c r="E10" s="211"/>
      <c r="F10" s="211"/>
      <c r="G10" s="211"/>
      <c r="H10" s="212"/>
      <c r="I10" s="210" t="s">
        <v>72</v>
      </c>
      <c r="J10" s="211"/>
      <c r="K10" s="211"/>
      <c r="L10" s="21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5" t="s">
        <v>431</v>
      </c>
      <c r="C3" s="216"/>
      <c r="F3" s="215" t="s">
        <v>432</v>
      </c>
      <c r="G3" s="216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2014-12-16T06:46:54Z</dcterms:modified>
</cp:coreProperties>
</file>
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N12" i="18" l="1"/>
  <c r="M12" i="18"/>
  <c r="L12" i="18"/>
  <c r="K12" i="18"/>
  <c r="J12" i="18"/>
  <c r="I12" i="18"/>
  <c r="H12" i="18"/>
  <c r="C1" i="18" l="1"/>
  <c r="Q45" i="18" l="1"/>
  <c r="P45" i="18"/>
  <c r="O45" i="18"/>
  <c r="N45" i="18"/>
  <c r="M45" i="18"/>
  <c r="L45" i="18"/>
  <c r="K45" i="18"/>
  <c r="J45" i="18"/>
  <c r="I45" i="18"/>
  <c r="H45" i="18"/>
  <c r="H43" i="18"/>
  <c r="I43" i="18"/>
  <c r="J43" i="18"/>
  <c r="K43" i="18"/>
  <c r="L43" i="18"/>
  <c r="M43" i="18"/>
  <c r="N43" i="18"/>
  <c r="O43" i="18"/>
  <c r="P43" i="18"/>
  <c r="Q43" i="18"/>
  <c r="Q41" i="18"/>
  <c r="P41" i="18"/>
  <c r="O41" i="18"/>
  <c r="N41" i="18"/>
  <c r="M41" i="18"/>
  <c r="L41" i="18"/>
  <c r="K41" i="18"/>
  <c r="J41" i="18"/>
  <c r="I41" i="18"/>
  <c r="H41" i="18"/>
  <c r="Q39" i="18"/>
  <c r="P39" i="18"/>
  <c r="O39" i="18"/>
  <c r="N39" i="18"/>
  <c r="M39" i="18"/>
  <c r="L39" i="18"/>
  <c r="K39" i="18"/>
  <c r="J39" i="18"/>
  <c r="I39" i="18"/>
  <c r="H39" i="18"/>
  <c r="Q37" i="18"/>
  <c r="P37" i="18"/>
  <c r="O37" i="18"/>
  <c r="N37" i="18"/>
  <c r="M37" i="18"/>
  <c r="L37" i="18"/>
  <c r="K37" i="18"/>
  <c r="J37" i="18"/>
  <c r="I37" i="18"/>
  <c r="H37" i="18"/>
  <c r="Q30" i="18"/>
  <c r="P30" i="18"/>
  <c r="O30" i="18"/>
  <c r="N30" i="18"/>
  <c r="M30" i="18"/>
  <c r="L30" i="18"/>
  <c r="K30" i="18"/>
  <c r="J30" i="18"/>
  <c r="I30" i="18"/>
  <c r="H30" i="18"/>
  <c r="H28" i="18"/>
  <c r="I28" i="18"/>
  <c r="J28" i="18"/>
  <c r="K28" i="18"/>
  <c r="L28" i="18"/>
  <c r="M28" i="18"/>
  <c r="N28" i="18"/>
  <c r="O28" i="18"/>
  <c r="P28" i="18"/>
  <c r="Q28" i="18"/>
  <c r="Q26" i="18"/>
  <c r="P26" i="18"/>
  <c r="O26" i="18"/>
  <c r="N26" i="18"/>
  <c r="M26" i="18"/>
  <c r="L26" i="18"/>
  <c r="K26" i="18"/>
  <c r="J26" i="18"/>
  <c r="I26" i="18"/>
  <c r="H26" i="18"/>
  <c r="Q11" i="18"/>
  <c r="P11" i="18"/>
  <c r="O11" i="18"/>
  <c r="N11" i="18"/>
  <c r="M11" i="18"/>
  <c r="L11" i="18"/>
  <c r="K11" i="18"/>
  <c r="J11" i="18"/>
  <c r="I11" i="18"/>
  <c r="H11" i="18"/>
  <c r="Q8" i="18"/>
  <c r="P8" i="18"/>
  <c r="O8" i="18"/>
  <c r="N8" i="18"/>
  <c r="M8" i="18"/>
  <c r="L8" i="18"/>
  <c r="K8" i="18"/>
  <c r="J8" i="18"/>
  <c r="I8" i="18"/>
  <c r="H8" i="18"/>
  <c r="G8" i="18"/>
  <c r="G45" i="18" l="1"/>
  <c r="R20" i="18" l="1"/>
  <c r="AE56" i="18" l="1"/>
  <c r="AE55" i="18"/>
  <c r="AE53" i="18"/>
  <c r="G56" i="18"/>
  <c r="G180" i="18" s="1"/>
  <c r="H56" i="18"/>
  <c r="H180" i="18" s="1"/>
  <c r="I56" i="18"/>
  <c r="I180" i="18" s="1"/>
  <c r="J56" i="18"/>
  <c r="J180" i="18" s="1"/>
  <c r="K56" i="18"/>
  <c r="K180" i="18" s="1"/>
  <c r="L56" i="18"/>
  <c r="L180" i="18" s="1"/>
  <c r="M56" i="18"/>
  <c r="M180" i="18" s="1"/>
  <c r="N56" i="18"/>
  <c r="N180" i="18" s="1"/>
  <c r="O56" i="18"/>
  <c r="O180" i="18" s="1"/>
  <c r="P56" i="18"/>
  <c r="Q56" i="18"/>
  <c r="Q180" i="18" s="1"/>
  <c r="G55" i="18"/>
  <c r="G179" i="18" s="1"/>
  <c r="H55" i="18"/>
  <c r="H179" i="18" s="1"/>
  <c r="I55" i="18"/>
  <c r="I179" i="18" s="1"/>
  <c r="J55" i="18"/>
  <c r="J179" i="18" s="1"/>
  <c r="K55" i="18"/>
  <c r="K179" i="18" s="1"/>
  <c r="L55" i="18"/>
  <c r="L179" i="18" s="1"/>
  <c r="M55" i="18"/>
  <c r="M179" i="18" s="1"/>
  <c r="N55" i="18"/>
  <c r="N179" i="18" s="1"/>
  <c r="O55" i="18"/>
  <c r="O179" i="18" s="1"/>
  <c r="P55" i="18"/>
  <c r="P179" i="18" s="1"/>
  <c r="Q55" i="18"/>
  <c r="Q179" i="18" s="1"/>
  <c r="R179" i="18" l="1"/>
  <c r="R56" i="18"/>
  <c r="P180" i="18"/>
  <c r="R180" i="18" s="1"/>
  <c r="R55" i="18"/>
  <c r="G122" i="18" l="1"/>
  <c r="H122" i="18"/>
  <c r="I122" i="18"/>
  <c r="J122" i="18"/>
  <c r="K122" i="18"/>
  <c r="L122" i="18"/>
  <c r="M122" i="18"/>
  <c r="N122" i="18"/>
  <c r="O122" i="18"/>
  <c r="P122" i="18"/>
  <c r="Q122" i="18"/>
  <c r="Q121" i="18"/>
  <c r="R122" i="18" l="1"/>
  <c r="H215" i="18"/>
  <c r="H212" i="18"/>
  <c r="H213" i="18"/>
  <c r="H214" i="18"/>
  <c r="Q204" i="18" l="1"/>
  <c r="Q203" i="18"/>
  <c r="Q202" i="18"/>
  <c r="Q186" i="18"/>
  <c r="Q51" i="18"/>
  <c r="Q177" i="18" s="1"/>
  <c r="Q52" i="18"/>
  <c r="Q53" i="18"/>
  <c r="Q94" i="18" s="1"/>
  <c r="Q57" i="18"/>
  <c r="P199" i="18" s="1"/>
  <c r="Q58" i="18"/>
  <c r="Q59" i="18"/>
  <c r="Q60" i="18"/>
  <c r="Q181" i="18" s="1"/>
  <c r="Q61" i="18"/>
  <c r="Q63" i="18"/>
  <c r="Q64" i="18"/>
  <c r="Q65" i="18"/>
  <c r="Q184" i="18" s="1"/>
  <c r="Q67" i="18"/>
  <c r="Q68" i="18"/>
  <c r="Q70" i="18"/>
  <c r="Q71" i="18"/>
  <c r="Q183" i="18" s="1"/>
  <c r="Q73" i="18"/>
  <c r="Q114" i="18" s="1"/>
  <c r="Q115" i="18" s="1"/>
  <c r="Q75" i="18"/>
  <c r="Q77" i="18" s="1"/>
  <c r="Q78" i="18"/>
  <c r="Q79" i="18"/>
  <c r="Q80" i="18"/>
  <c r="Q81" i="18"/>
  <c r="Q83" i="18"/>
  <c r="Q139" i="18" s="1"/>
  <c r="Q84" i="18"/>
  <c r="Q85" i="18"/>
  <c r="Q89" i="18"/>
  <c r="Q90" i="18"/>
  <c r="Q91" i="18"/>
  <c r="Q92" i="18"/>
  <c r="Q93" i="18"/>
  <c r="Q96" i="18"/>
  <c r="Q102" i="18" s="1"/>
  <c r="Q97" i="18"/>
  <c r="Q103" i="18" s="1"/>
  <c r="Q98" i="18"/>
  <c r="Q104" i="18" s="1"/>
  <c r="Q99" i="18"/>
  <c r="Q105" i="18" s="1"/>
  <c r="Q100" i="18"/>
  <c r="Q106" i="18" s="1"/>
  <c r="Q109" i="18"/>
  <c r="Q110" i="18"/>
  <c r="Q111" i="18"/>
  <c r="Q112" i="18"/>
  <c r="Q120" i="18"/>
  <c r="Q124" i="18"/>
  <c r="Q125" i="18"/>
  <c r="Q126" i="18"/>
  <c r="Q129" i="18"/>
  <c r="Q130" i="18"/>
  <c r="Q131" i="18"/>
  <c r="Q132" i="18"/>
  <c r="Q134" i="18"/>
  <c r="Q135" i="18"/>
  <c r="Q137" i="18"/>
  <c r="Q138" i="18" s="1"/>
  <c r="Q141" i="18"/>
  <c r="Q142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18" i="18"/>
  <c r="R16" i="18"/>
  <c r="R15" i="18"/>
  <c r="R14" i="18"/>
  <c r="R13" i="18"/>
  <c r="R12" i="18"/>
  <c r="R10" i="18"/>
  <c r="R9" i="18"/>
  <c r="R7" i="18"/>
  <c r="R6" i="18"/>
  <c r="Q199" i="18" l="1"/>
  <c r="Q178" i="18"/>
  <c r="Q187" i="18" s="1"/>
  <c r="Q188" i="18" s="1"/>
  <c r="Q69" i="18"/>
  <c r="Q182" i="18" s="1"/>
  <c r="Q116" i="18"/>
  <c r="Q117" i="18" s="1"/>
  <c r="Q118" i="18"/>
  <c r="Q185" i="18"/>
  <c r="H53" i="18"/>
  <c r="H94" i="18" s="1"/>
  <c r="I53" i="18"/>
  <c r="I94" i="18" s="1"/>
  <c r="J53" i="18"/>
  <c r="J94" i="18" s="1"/>
  <c r="K53" i="18"/>
  <c r="K94" i="18" s="1"/>
  <c r="L53" i="18"/>
  <c r="L94" i="18" s="1"/>
  <c r="M53" i="18"/>
  <c r="M94" i="18" s="1"/>
  <c r="N53" i="18"/>
  <c r="N94" i="18" s="1"/>
  <c r="O53" i="18"/>
  <c r="O94" i="18" s="1"/>
  <c r="P53" i="18"/>
  <c r="P94" i="18" s="1"/>
  <c r="G53" i="18"/>
  <c r="G94" i="18" s="1"/>
  <c r="G43" i="18"/>
  <c r="R94" i="18" l="1"/>
  <c r="R53" i="18"/>
  <c r="S44" i="18"/>
  <c r="T44" i="18" s="1"/>
  <c r="T42" i="18"/>
  <c r="K195" i="18" l="1"/>
  <c r="K194" i="18"/>
  <c r="K193" i="18"/>
  <c r="K192" i="18"/>
  <c r="AE38" i="18" l="1"/>
  <c r="S38" i="18"/>
  <c r="G39" i="18"/>
  <c r="T38" i="18" l="1"/>
  <c r="T56" i="18" s="1"/>
  <c r="U38" i="18" l="1"/>
  <c r="T199" i="18"/>
  <c r="T200" i="18" s="1"/>
  <c r="K198" i="18"/>
  <c r="V38" i="18" l="1"/>
  <c r="U213" i="18"/>
  <c r="U214" i="18" s="1"/>
  <c r="D211" i="18"/>
  <c r="G225" i="18" s="1"/>
  <c r="K225" i="18" s="1"/>
  <c r="H211" i="18"/>
  <c r="L109" i="18"/>
  <c r="J109" i="18"/>
  <c r="H109" i="18"/>
  <c r="G109" i="18"/>
  <c r="I109" i="18"/>
  <c r="K109" i="18"/>
  <c r="M109" i="18"/>
  <c r="N109" i="18"/>
  <c r="O109" i="18"/>
  <c r="P109" i="18"/>
  <c r="H142" i="18"/>
  <c r="I142" i="18"/>
  <c r="J142" i="18"/>
  <c r="K142" i="18"/>
  <c r="L142" i="18"/>
  <c r="M142" i="18"/>
  <c r="N142" i="18"/>
  <c r="O142" i="18"/>
  <c r="P142" i="18"/>
  <c r="H141" i="18"/>
  <c r="I141" i="18"/>
  <c r="J141" i="18"/>
  <c r="K141" i="18"/>
  <c r="L141" i="18"/>
  <c r="M141" i="18"/>
  <c r="N141" i="18"/>
  <c r="O141" i="18"/>
  <c r="P141" i="18"/>
  <c r="G229" i="18"/>
  <c r="G230" i="18" s="1"/>
  <c r="AE58" i="18"/>
  <c r="H58" i="18"/>
  <c r="I58" i="18"/>
  <c r="J58" i="18"/>
  <c r="K58" i="18"/>
  <c r="L58" i="18"/>
  <c r="M58" i="18"/>
  <c r="N58" i="18"/>
  <c r="O58" i="18"/>
  <c r="P58" i="18"/>
  <c r="G58" i="18"/>
  <c r="H220" i="18"/>
  <c r="D219" i="18"/>
  <c r="G226" i="18" s="1"/>
  <c r="K226" i="18" s="1"/>
  <c r="H218" i="18"/>
  <c r="I218" i="18" s="1"/>
  <c r="J218" i="18" s="1"/>
  <c r="J219" i="18" s="1"/>
  <c r="H216" i="18"/>
  <c r="H210" i="18"/>
  <c r="H209" i="18"/>
  <c r="I209" i="18" s="1"/>
  <c r="J209" i="18" s="1"/>
  <c r="W38" i="18" l="1"/>
  <c r="G231" i="18"/>
  <c r="G228" i="18"/>
  <c r="D221" i="18"/>
  <c r="K229" i="18"/>
  <c r="R58" i="18"/>
  <c r="K228" i="18"/>
  <c r="I210" i="18"/>
  <c r="J210" i="18" s="1"/>
  <c r="I220" i="18"/>
  <c r="J220" i="18" s="1"/>
  <c r="J221" i="18" s="1"/>
  <c r="H93" i="18"/>
  <c r="I93" i="18"/>
  <c r="J93" i="18"/>
  <c r="K93" i="18"/>
  <c r="L93" i="18"/>
  <c r="M93" i="18"/>
  <c r="N93" i="18"/>
  <c r="O93" i="18"/>
  <c r="P93" i="18"/>
  <c r="G93" i="18"/>
  <c r="G37" i="18"/>
  <c r="G142" i="18"/>
  <c r="G141" i="18"/>
  <c r="AE14" i="18"/>
  <c r="S14" i="18"/>
  <c r="U210" i="18"/>
  <c r="U209" i="18"/>
  <c r="O210" i="18"/>
  <c r="O213" i="18" s="1"/>
  <c r="O209" i="18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137" i="18"/>
  <c r="H138" i="18" s="1"/>
  <c r="I137" i="18"/>
  <c r="I138" i="18" s="1"/>
  <c r="J137" i="18"/>
  <c r="J138" i="18" s="1"/>
  <c r="K137" i="18"/>
  <c r="K138" i="18" s="1"/>
  <c r="L137" i="18"/>
  <c r="L138" i="18" s="1"/>
  <c r="M137" i="18"/>
  <c r="M138" i="18" s="1"/>
  <c r="N137" i="18"/>
  <c r="N138" i="18" s="1"/>
  <c r="O137" i="18"/>
  <c r="O138" i="18" s="1"/>
  <c r="P137" i="18"/>
  <c r="P138" i="18" s="1"/>
  <c r="G137" i="18"/>
  <c r="G138" i="18" s="1"/>
  <c r="X38" i="18" l="1"/>
  <c r="R106" i="18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4" i="18"/>
  <c r="I211" i="18"/>
  <c r="J211" i="18" s="1"/>
  <c r="R141" i="18"/>
  <c r="R142" i="18"/>
  <c r="R93" i="18"/>
  <c r="R100" i="18"/>
  <c r="R97" i="18"/>
  <c r="R138" i="18"/>
  <c r="R137" i="18"/>
  <c r="R98" i="18"/>
  <c r="P92" i="18"/>
  <c r="P91" i="18"/>
  <c r="H92" i="18"/>
  <c r="I92" i="18"/>
  <c r="J92" i="18"/>
  <c r="K92" i="18"/>
  <c r="L92" i="18"/>
  <c r="M92" i="18"/>
  <c r="N92" i="18"/>
  <c r="O92" i="18"/>
  <c r="G92" i="18"/>
  <c r="G91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1" i="18"/>
  <c r="I131" i="18"/>
  <c r="J131" i="18"/>
  <c r="K131" i="18"/>
  <c r="L131" i="18"/>
  <c r="M131" i="18"/>
  <c r="N131" i="18"/>
  <c r="O131" i="18"/>
  <c r="P131" i="18"/>
  <c r="G131" i="18"/>
  <c r="H132" i="18"/>
  <c r="I132" i="18"/>
  <c r="J132" i="18"/>
  <c r="K132" i="18"/>
  <c r="L132" i="18"/>
  <c r="M132" i="18"/>
  <c r="N132" i="18"/>
  <c r="O132" i="18"/>
  <c r="P132" i="18"/>
  <c r="G132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S176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B126" i="18"/>
  <c r="B125" i="18"/>
  <c r="AE32" i="18"/>
  <c r="S32" i="18"/>
  <c r="G112" i="18"/>
  <c r="H112" i="18"/>
  <c r="I112" i="18"/>
  <c r="J112" i="18"/>
  <c r="K112" i="18"/>
  <c r="L112" i="18"/>
  <c r="M112" i="18"/>
  <c r="N112" i="18"/>
  <c r="O112" i="18"/>
  <c r="P112" i="18"/>
  <c r="T214" i="18"/>
  <c r="N213" i="18"/>
  <c r="T211" i="18"/>
  <c r="U211" i="18" s="1"/>
  <c r="U216" i="18" s="1"/>
  <c r="N211" i="18"/>
  <c r="O211" i="18" s="1"/>
  <c r="O216" i="18" s="1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I212" i="18" l="1"/>
  <c r="J212" i="18" s="1"/>
  <c r="I213" i="18" s="1"/>
  <c r="J213" i="18" s="1"/>
  <c r="I214" i="18" s="1"/>
  <c r="J214" i="18" s="1"/>
  <c r="I215" i="18" s="1"/>
  <c r="J215" i="18" s="1"/>
  <c r="I216" i="18" s="1"/>
  <c r="J216" i="18" s="1"/>
  <c r="J217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2" i="18"/>
  <c r="R92" i="18"/>
  <c r="R129" i="18"/>
  <c r="R135" i="18"/>
  <c r="R134" i="18"/>
  <c r="R130" i="18"/>
  <c r="R131" i="18"/>
  <c r="R124" i="18"/>
  <c r="R125" i="18"/>
  <c r="R126" i="18"/>
  <c r="R112" i="18"/>
  <c r="N216" i="18"/>
  <c r="T216" i="18"/>
  <c r="R121" i="18"/>
  <c r="R120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5" i="18" s="1"/>
  <c r="S40" i="18"/>
  <c r="T40" i="18" s="1"/>
  <c r="T53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Z38" i="18" l="1"/>
  <c r="AF32" i="18"/>
  <c r="T94" i="18"/>
  <c r="T31" i="18"/>
  <c r="R109" i="18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G96" i="18"/>
  <c r="G102" i="18" s="1"/>
  <c r="G30" i="18"/>
  <c r="AA38" i="18" l="1"/>
  <c r="U31" i="18"/>
  <c r="T122" i="18"/>
  <c r="R102" i="18"/>
  <c r="R105" i="18"/>
  <c r="U29" i="18"/>
  <c r="R99" i="18"/>
  <c r="R96" i="18"/>
  <c r="H111" i="18"/>
  <c r="I111" i="18"/>
  <c r="J111" i="18"/>
  <c r="K111" i="18"/>
  <c r="L111" i="18"/>
  <c r="M111" i="18"/>
  <c r="N111" i="18"/>
  <c r="O111" i="18"/>
  <c r="P111" i="18"/>
  <c r="G111" i="18"/>
  <c r="H110" i="18"/>
  <c r="I110" i="18"/>
  <c r="J110" i="18"/>
  <c r="K110" i="18"/>
  <c r="L110" i="18"/>
  <c r="M110" i="18"/>
  <c r="N110" i="18"/>
  <c r="O110" i="18"/>
  <c r="P110" i="18"/>
  <c r="G110" i="18"/>
  <c r="AB38" i="18" l="1"/>
  <c r="V31" i="18"/>
  <c r="V29" i="18"/>
  <c r="R110" i="18"/>
  <c r="R111" i="18"/>
  <c r="AF72" i="18"/>
  <c r="AC38" i="18" l="1"/>
  <c r="W31" i="18"/>
  <c r="W29" i="18"/>
  <c r="G186" i="18"/>
  <c r="H186" i="18"/>
  <c r="I186" i="18"/>
  <c r="J186" i="18"/>
  <c r="K186" i="18"/>
  <c r="L186" i="18"/>
  <c r="M186" i="18"/>
  <c r="N186" i="18"/>
  <c r="O186" i="18"/>
  <c r="P186" i="18"/>
  <c r="C9" i="15"/>
  <c r="G73" i="18"/>
  <c r="G114" i="18" s="1"/>
  <c r="G115" i="18" s="1"/>
  <c r="G118" i="18" s="1"/>
  <c r="H73" i="18"/>
  <c r="H114" i="18" s="1"/>
  <c r="H115" i="18" s="1"/>
  <c r="H118" i="18" s="1"/>
  <c r="I73" i="18"/>
  <c r="I114" i="18" s="1"/>
  <c r="I115" i="18" s="1"/>
  <c r="I118" i="18" s="1"/>
  <c r="J73" i="18"/>
  <c r="J114" i="18" s="1"/>
  <c r="J115" i="18" s="1"/>
  <c r="J118" i="18" s="1"/>
  <c r="K73" i="18"/>
  <c r="K114" i="18" s="1"/>
  <c r="K115" i="18" s="1"/>
  <c r="K118" i="18" s="1"/>
  <c r="L73" i="18"/>
  <c r="L114" i="18" s="1"/>
  <c r="L115" i="18" s="1"/>
  <c r="L118" i="18" s="1"/>
  <c r="M73" i="18"/>
  <c r="M114" i="18" s="1"/>
  <c r="M115" i="18" s="1"/>
  <c r="M118" i="18" s="1"/>
  <c r="N73" i="18"/>
  <c r="N114" i="18" s="1"/>
  <c r="N115" i="18" s="1"/>
  <c r="N118" i="18" s="1"/>
  <c r="O73" i="18"/>
  <c r="O114" i="18" s="1"/>
  <c r="O115" i="18" s="1"/>
  <c r="O118" i="18" s="1"/>
  <c r="P73" i="18"/>
  <c r="P114" i="18" s="1"/>
  <c r="AD38" i="18" l="1"/>
  <c r="AF38" i="18"/>
  <c r="X31" i="18"/>
  <c r="T73" i="18"/>
  <c r="T114" i="18" s="1"/>
  <c r="T115" i="18" s="1"/>
  <c r="T118" i="18" s="1"/>
  <c r="X29" i="18"/>
  <c r="R186" i="18"/>
  <c r="N116" i="18"/>
  <c r="N117" i="18" s="1"/>
  <c r="J116" i="18"/>
  <c r="J117" i="18" s="1"/>
  <c r="L116" i="18"/>
  <c r="L117" i="18" s="1"/>
  <c r="H116" i="18"/>
  <c r="H117" i="18" s="1"/>
  <c r="M116" i="18"/>
  <c r="M117" i="18" s="1"/>
  <c r="I116" i="18"/>
  <c r="I117" i="18" s="1"/>
  <c r="O116" i="18"/>
  <c r="O117" i="18" s="1"/>
  <c r="K116" i="18"/>
  <c r="K117" i="18" s="1"/>
  <c r="G116" i="18"/>
  <c r="G117" i="18" s="1"/>
  <c r="P115" i="18"/>
  <c r="P118" i="18" s="1"/>
  <c r="R118" i="18" s="1"/>
  <c r="R114" i="18"/>
  <c r="U44" i="18"/>
  <c r="Y31" i="18" l="1"/>
  <c r="V44" i="18"/>
  <c r="Y29" i="18"/>
  <c r="P116" i="18"/>
  <c r="R115" i="18"/>
  <c r="U73" i="18"/>
  <c r="G83" i="18"/>
  <c r="G139" i="18" s="1"/>
  <c r="H83" i="18"/>
  <c r="H139" i="18" s="1"/>
  <c r="I83" i="18"/>
  <c r="I139" i="18" s="1"/>
  <c r="J83" i="18"/>
  <c r="J139" i="18" s="1"/>
  <c r="K83" i="18"/>
  <c r="K139" i="18" s="1"/>
  <c r="L83" i="18"/>
  <c r="L139" i="18" s="1"/>
  <c r="M83" i="18"/>
  <c r="M139" i="18" s="1"/>
  <c r="N83" i="18"/>
  <c r="N139" i="18" s="1"/>
  <c r="O83" i="18"/>
  <c r="O139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39" i="18" s="1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G89" i="18"/>
  <c r="H89" i="18"/>
  <c r="I89" i="18"/>
  <c r="J89" i="18"/>
  <c r="K89" i="18"/>
  <c r="L89" i="18"/>
  <c r="M89" i="18"/>
  <c r="N89" i="18"/>
  <c r="O89" i="18"/>
  <c r="P90" i="18"/>
  <c r="G41" i="18"/>
  <c r="G28" i="18"/>
  <c r="G11" i="18"/>
  <c r="G26" i="18"/>
  <c r="Z31" i="18" l="1"/>
  <c r="W44" i="18"/>
  <c r="V73" i="18"/>
  <c r="R139" i="18"/>
  <c r="Z29" i="18"/>
  <c r="R85" i="18"/>
  <c r="R83" i="18"/>
  <c r="R84" i="18"/>
  <c r="R90" i="18"/>
  <c r="R91" i="18"/>
  <c r="P89" i="18"/>
  <c r="R89" i="18" s="1"/>
  <c r="H204" i="18"/>
  <c r="I204" i="18"/>
  <c r="J204" i="18"/>
  <c r="K204" i="18"/>
  <c r="L204" i="18"/>
  <c r="M204" i="18"/>
  <c r="N204" i="18"/>
  <c r="O204" i="18"/>
  <c r="P204" i="18"/>
  <c r="G204" i="18"/>
  <c r="H203" i="18"/>
  <c r="I203" i="18"/>
  <c r="J203" i="18"/>
  <c r="K203" i="18"/>
  <c r="L203" i="18"/>
  <c r="M203" i="18"/>
  <c r="N203" i="18"/>
  <c r="O203" i="18"/>
  <c r="P203" i="18"/>
  <c r="G203" i="18"/>
  <c r="H202" i="18"/>
  <c r="I202" i="18"/>
  <c r="J202" i="18"/>
  <c r="K202" i="18"/>
  <c r="L202" i="18"/>
  <c r="M202" i="18"/>
  <c r="N202" i="18"/>
  <c r="O202" i="18"/>
  <c r="P202" i="18"/>
  <c r="G202" i="18"/>
  <c r="H52" i="18"/>
  <c r="I52" i="18"/>
  <c r="J52" i="18"/>
  <c r="K52" i="18"/>
  <c r="L52" i="18"/>
  <c r="M52" i="18"/>
  <c r="N52" i="18"/>
  <c r="O52" i="18"/>
  <c r="P52" i="18"/>
  <c r="G52" i="18"/>
  <c r="G57" i="18"/>
  <c r="H51" i="18"/>
  <c r="H177" i="18" s="1"/>
  <c r="I51" i="18"/>
  <c r="I177" i="18" s="1"/>
  <c r="J51" i="18"/>
  <c r="J177" i="18" s="1"/>
  <c r="K51" i="18"/>
  <c r="K177" i="18" s="1"/>
  <c r="L51" i="18"/>
  <c r="L177" i="18" s="1"/>
  <c r="M51" i="18"/>
  <c r="M177" i="18" s="1"/>
  <c r="N51" i="18"/>
  <c r="N177" i="18" s="1"/>
  <c r="O51" i="18"/>
  <c r="O177" i="18" s="1"/>
  <c r="P51" i="18"/>
  <c r="P177" i="18" s="1"/>
  <c r="G51" i="18"/>
  <c r="G177" i="18" s="1"/>
  <c r="T97" i="18"/>
  <c r="T103" i="18" s="1"/>
  <c r="AA31" i="18" l="1"/>
  <c r="G185" i="18"/>
  <c r="X44" i="18"/>
  <c r="W73" i="18"/>
  <c r="R177" i="18"/>
  <c r="AA29" i="18"/>
  <c r="U36" i="18"/>
  <c r="R204" i="18"/>
  <c r="R52" i="18"/>
  <c r="R51" i="18"/>
  <c r="R203" i="18"/>
  <c r="R202" i="18"/>
  <c r="U97" i="18" l="1"/>
  <c r="U103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V97" i="18" l="1"/>
  <c r="V103" i="18" s="1"/>
  <c r="AC31" i="18"/>
  <c r="AD31" i="18" s="1"/>
  <c r="Z44" i="18"/>
  <c r="Y73" i="18"/>
  <c r="U23" i="18"/>
  <c r="T100" i="18"/>
  <c r="T106" i="18" s="1"/>
  <c r="AC29" i="18"/>
  <c r="AD22" i="18"/>
  <c r="AF22" i="18"/>
  <c r="W36" i="18"/>
  <c r="R80" i="18"/>
  <c r="R81" i="18"/>
  <c r="R79" i="18"/>
  <c r="R77" i="18"/>
  <c r="R78" i="18"/>
  <c r="R75" i="18"/>
  <c r="T58" i="18"/>
  <c r="U21" i="18"/>
  <c r="R73" i="18"/>
  <c r="R176" i="18"/>
  <c r="AF31" i="18" l="1"/>
  <c r="W97" i="18"/>
  <c r="W103" i="18" s="1"/>
  <c r="Z73" i="18"/>
  <c r="AA44" i="18"/>
  <c r="V23" i="18"/>
  <c r="U100" i="18"/>
  <c r="U106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3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3" i="18" s="1"/>
  <c r="O70" i="18"/>
  <c r="O68" i="18"/>
  <c r="O67" i="18"/>
  <c r="O65" i="18"/>
  <c r="O184" i="18" s="1"/>
  <c r="O64" i="18"/>
  <c r="O63" i="18"/>
  <c r="O61" i="18"/>
  <c r="O60" i="18"/>
  <c r="O181" i="18" s="1"/>
  <c r="O59" i="18"/>
  <c r="O57" i="18"/>
  <c r="X97" i="18" l="1"/>
  <c r="X103" i="18" s="1"/>
  <c r="AA73" i="18"/>
  <c r="AB44" i="18"/>
  <c r="U75" i="18"/>
  <c r="T131" i="18"/>
  <c r="T141" i="18"/>
  <c r="T132" i="18"/>
  <c r="T142" i="18"/>
  <c r="W23" i="18"/>
  <c r="V100" i="18"/>
  <c r="V106" i="18" s="1"/>
  <c r="T125" i="18"/>
  <c r="T126" i="18"/>
  <c r="T124" i="18"/>
  <c r="T112" i="18"/>
  <c r="P117" i="18"/>
  <c r="R117" i="18" s="1"/>
  <c r="R116" i="18"/>
  <c r="T96" i="18"/>
  <c r="T102" i="18" s="1"/>
  <c r="T121" i="18"/>
  <c r="T120" i="18"/>
  <c r="U18" i="18"/>
  <c r="O178" i="18"/>
  <c r="O187" i="18" s="1"/>
  <c r="O188" i="18" s="1"/>
  <c r="O185" i="18"/>
  <c r="V20" i="18"/>
  <c r="U27" i="18"/>
  <c r="Y36" i="18"/>
  <c r="U25" i="18"/>
  <c r="T89" i="18"/>
  <c r="W21" i="18"/>
  <c r="AD33" i="18"/>
  <c r="AD34" i="18"/>
  <c r="AD9" i="18"/>
  <c r="O69" i="18"/>
  <c r="O182" i="18" s="1"/>
  <c r="G65" i="18"/>
  <c r="G184" i="18" s="1"/>
  <c r="H65" i="18"/>
  <c r="H184" i="18" s="1"/>
  <c r="I65" i="18"/>
  <c r="I184" i="18" s="1"/>
  <c r="J65" i="18"/>
  <c r="J184" i="18" s="1"/>
  <c r="K65" i="18"/>
  <c r="K184" i="18" s="1"/>
  <c r="L65" i="18"/>
  <c r="L184" i="18" s="1"/>
  <c r="M65" i="18"/>
  <c r="M184" i="18" s="1"/>
  <c r="N65" i="18"/>
  <c r="N184" i="18" s="1"/>
  <c r="P65" i="18"/>
  <c r="Y97" i="18" l="1"/>
  <c r="Y103" i="18" s="1"/>
  <c r="U93" i="18"/>
  <c r="U122" i="18"/>
  <c r="AC44" i="18"/>
  <c r="AB73" i="18"/>
  <c r="U132" i="18"/>
  <c r="U142" i="18"/>
  <c r="U131" i="18"/>
  <c r="U141" i="18"/>
  <c r="X23" i="18"/>
  <c r="W100" i="18"/>
  <c r="W106" i="18" s="1"/>
  <c r="U124" i="18"/>
  <c r="U126" i="18"/>
  <c r="U125" i="18"/>
  <c r="U112" i="18"/>
  <c r="U96" i="18"/>
  <c r="U102" i="18" s="1"/>
  <c r="U121" i="18"/>
  <c r="U120" i="18"/>
  <c r="V18" i="18"/>
  <c r="W20" i="18"/>
  <c r="V75" i="18"/>
  <c r="V27" i="18"/>
  <c r="V25" i="18"/>
  <c r="V122" i="18" s="1"/>
  <c r="U89" i="18"/>
  <c r="Z36" i="18"/>
  <c r="X21" i="18"/>
  <c r="P184" i="18"/>
  <c r="R184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7" i="18" l="1"/>
  <c r="Z103" i="18" s="1"/>
  <c r="AF44" i="18"/>
  <c r="AC73" i="18"/>
  <c r="AD44" i="18"/>
  <c r="V131" i="18"/>
  <c r="V141" i="18"/>
  <c r="V132" i="18"/>
  <c r="V142" i="18"/>
  <c r="V93" i="18"/>
  <c r="Y23" i="18"/>
  <c r="X100" i="18"/>
  <c r="X106" i="18" s="1"/>
  <c r="V126" i="18"/>
  <c r="V125" i="18"/>
  <c r="V124" i="18"/>
  <c r="V112" i="18"/>
  <c r="V96" i="18"/>
  <c r="V102" i="18" s="1"/>
  <c r="V121" i="18"/>
  <c r="V120" i="18"/>
  <c r="W18" i="18"/>
  <c r="X20" i="18"/>
  <c r="W75" i="18"/>
  <c r="W27" i="18"/>
  <c r="W25" i="18"/>
  <c r="V89" i="18"/>
  <c r="AA36" i="18"/>
  <c r="Y21" i="18"/>
  <c r="R63" i="18"/>
  <c r="R64" i="18"/>
  <c r="C46" i="15"/>
  <c r="AA97" i="18" l="1"/>
  <c r="AA103" i="18" s="1"/>
  <c r="W93" i="18"/>
  <c r="W122" i="18"/>
  <c r="T163" i="18"/>
  <c r="Q191" i="18" s="1"/>
  <c r="AF73" i="18"/>
  <c r="U163" i="18" s="1"/>
  <c r="AD73" i="18"/>
  <c r="W132" i="18"/>
  <c r="W142" i="18"/>
  <c r="W131" i="18"/>
  <c r="W141" i="18"/>
  <c r="Z23" i="18"/>
  <c r="Y100" i="18"/>
  <c r="Y106" i="18" s="1"/>
  <c r="W112" i="18"/>
  <c r="W126" i="18"/>
  <c r="W125" i="18"/>
  <c r="W124" i="18"/>
  <c r="W96" i="18"/>
  <c r="W102" i="18" s="1"/>
  <c r="W121" i="18"/>
  <c r="W120" i="18"/>
  <c r="X18" i="18"/>
  <c r="Y20" i="18"/>
  <c r="X75" i="18"/>
  <c r="X27" i="18"/>
  <c r="X25" i="18"/>
  <c r="X122" i="18" s="1"/>
  <c r="W89" i="18"/>
  <c r="AB36" i="18"/>
  <c r="Z21" i="18"/>
  <c r="T176" i="18"/>
  <c r="H57" i="18"/>
  <c r="I57" i="18"/>
  <c r="J57" i="18"/>
  <c r="K57" i="18"/>
  <c r="L57" i="18"/>
  <c r="L185" i="18" s="1"/>
  <c r="M57" i="18"/>
  <c r="N57" i="18"/>
  <c r="N185" i="18" s="1"/>
  <c r="P57" i="18"/>
  <c r="G71" i="18"/>
  <c r="H71" i="18"/>
  <c r="H183" i="18" s="1"/>
  <c r="I71" i="18"/>
  <c r="I183" i="18" s="1"/>
  <c r="J71" i="18"/>
  <c r="J183" i="18" s="1"/>
  <c r="K71" i="18"/>
  <c r="K183" i="18" s="1"/>
  <c r="L71" i="18"/>
  <c r="L183" i="18" s="1"/>
  <c r="M71" i="18"/>
  <c r="M183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1" i="18" s="1"/>
  <c r="I60" i="18"/>
  <c r="I181" i="18" s="1"/>
  <c r="J60" i="18"/>
  <c r="J181" i="18" s="1"/>
  <c r="K60" i="18"/>
  <c r="K181" i="18" s="1"/>
  <c r="L60" i="18"/>
  <c r="L181" i="18" s="1"/>
  <c r="M60" i="18"/>
  <c r="M181" i="18" s="1"/>
  <c r="N60" i="18"/>
  <c r="P60" i="18"/>
  <c r="G59" i="18"/>
  <c r="H59" i="18"/>
  <c r="I59" i="18"/>
  <c r="J59" i="18"/>
  <c r="K59" i="18"/>
  <c r="L59" i="18"/>
  <c r="M59" i="18"/>
  <c r="N59" i="18"/>
  <c r="P59" i="18"/>
  <c r="T129" i="18"/>
  <c r="T137" i="18"/>
  <c r="T138" i="18" s="1"/>
  <c r="T98" i="18"/>
  <c r="T104" i="18" s="1"/>
  <c r="R145" i="18" l="1"/>
  <c r="Q198" i="18" s="1"/>
  <c r="T186" i="18"/>
  <c r="T180" i="18"/>
  <c r="T179" i="18"/>
  <c r="AB97" i="18"/>
  <c r="AB103" i="18" s="1"/>
  <c r="T109" i="18"/>
  <c r="S163" i="18"/>
  <c r="P191" i="18" s="1"/>
  <c r="X131" i="18"/>
  <c r="X141" i="18"/>
  <c r="X93" i="18"/>
  <c r="X132" i="18"/>
  <c r="X142" i="18"/>
  <c r="AA23" i="18"/>
  <c r="Z100" i="18"/>
  <c r="Z106" i="18" s="1"/>
  <c r="T91" i="18"/>
  <c r="T92" i="18"/>
  <c r="T135" i="18"/>
  <c r="T134" i="18"/>
  <c r="T99" i="18"/>
  <c r="T105" i="18" s="1"/>
  <c r="T130" i="18"/>
  <c r="H185" i="18"/>
  <c r="H178" i="18"/>
  <c r="H187" i="18" s="1"/>
  <c r="H188" i="18" s="1"/>
  <c r="X112" i="18"/>
  <c r="X125" i="18"/>
  <c r="X124" i="18"/>
  <c r="X126" i="18"/>
  <c r="T111" i="18"/>
  <c r="T116" i="18"/>
  <c r="T117" i="18" s="1"/>
  <c r="X96" i="18"/>
  <c r="X102" i="18" s="1"/>
  <c r="X121" i="18"/>
  <c r="X120" i="18"/>
  <c r="T110" i="18"/>
  <c r="Y18" i="18"/>
  <c r="P178" i="18"/>
  <c r="P187" i="18" s="1"/>
  <c r="P185" i="18"/>
  <c r="R185" i="18" s="1"/>
  <c r="K178" i="18"/>
  <c r="K187" i="18" s="1"/>
  <c r="K188" i="18" s="1"/>
  <c r="K185" i="18"/>
  <c r="J178" i="18"/>
  <c r="J187" i="18" s="1"/>
  <c r="J188" i="18" s="1"/>
  <c r="J185" i="18"/>
  <c r="M178" i="18"/>
  <c r="M187" i="18" s="1"/>
  <c r="M188" i="18" s="1"/>
  <c r="M185" i="18"/>
  <c r="I178" i="18"/>
  <c r="I187" i="18" s="1"/>
  <c r="I188" i="18" s="1"/>
  <c r="I185" i="18"/>
  <c r="Z20" i="18"/>
  <c r="Y75" i="18"/>
  <c r="H69" i="18"/>
  <c r="H182" i="18" s="1"/>
  <c r="Y27" i="18"/>
  <c r="U12" i="18"/>
  <c r="U15" i="18"/>
  <c r="U129" i="18" s="1"/>
  <c r="U13" i="18"/>
  <c r="U10" i="18"/>
  <c r="U16" i="18"/>
  <c r="U137" i="18" s="1"/>
  <c r="U138" i="18" s="1"/>
  <c r="U6" i="18"/>
  <c r="U7" i="18"/>
  <c r="Y25" i="18"/>
  <c r="X89" i="18"/>
  <c r="U40" i="18"/>
  <c r="T90" i="18"/>
  <c r="AC36" i="18"/>
  <c r="L69" i="18"/>
  <c r="L182" i="18" s="1"/>
  <c r="K69" i="18"/>
  <c r="K182" i="18" s="1"/>
  <c r="J69" i="18"/>
  <c r="J182" i="18" s="1"/>
  <c r="AA21" i="18"/>
  <c r="U176" i="18"/>
  <c r="U186" i="18" s="1"/>
  <c r="I69" i="18"/>
  <c r="I182" i="18" s="1"/>
  <c r="R59" i="18"/>
  <c r="G181" i="18"/>
  <c r="R60" i="18"/>
  <c r="R61" i="18"/>
  <c r="R68" i="18"/>
  <c r="R70" i="18"/>
  <c r="G178" i="18"/>
  <c r="G187" i="18" s="1"/>
  <c r="G188" i="18" s="1"/>
  <c r="R57" i="18"/>
  <c r="G183" i="18"/>
  <c r="R71" i="18"/>
  <c r="G69" i="18"/>
  <c r="R67" i="18"/>
  <c r="N181" i="18"/>
  <c r="N178" i="18"/>
  <c r="N187" i="18" s="1"/>
  <c r="N188" i="18" s="1"/>
  <c r="N183" i="18"/>
  <c r="P181" i="18"/>
  <c r="L178" i="18"/>
  <c r="L187" i="18" s="1"/>
  <c r="L188" i="18" s="1"/>
  <c r="N69" i="18"/>
  <c r="M69" i="18"/>
  <c r="M182" i="18" s="1"/>
  <c r="P183" i="18"/>
  <c r="P69" i="18"/>
  <c r="T68" i="18"/>
  <c r="C6" i="12"/>
  <c r="C26" i="15"/>
  <c r="C58" i="15"/>
  <c r="C57" i="15"/>
  <c r="C54" i="15"/>
  <c r="C53" i="15"/>
  <c r="C50" i="15"/>
  <c r="C49" i="15"/>
  <c r="C45" i="15"/>
  <c r="T198" i="18" l="1"/>
  <c r="T197" i="18" s="1"/>
  <c r="P198" i="18"/>
  <c r="Y93" i="18"/>
  <c r="Y122" i="18"/>
  <c r="P188" i="18"/>
  <c r="R187" i="18"/>
  <c r="U98" i="18"/>
  <c r="U104" i="18" s="1"/>
  <c r="U53" i="18"/>
  <c r="U94" i="18" s="1"/>
  <c r="U199" i="18"/>
  <c r="V199" i="18" s="1"/>
  <c r="W199" i="18" s="1"/>
  <c r="X199" i="18" s="1"/>
  <c r="Y199" i="18" s="1"/>
  <c r="Z199" i="18" s="1"/>
  <c r="AA199" i="18" s="1"/>
  <c r="AB199" i="18" s="1"/>
  <c r="AC199" i="18" s="1"/>
  <c r="AD199" i="18" s="1"/>
  <c r="AE199" i="18" s="1"/>
  <c r="AF199" i="18" s="1"/>
  <c r="AG199" i="18" s="1"/>
  <c r="AH199" i="18" s="1"/>
  <c r="AI199" i="18" s="1"/>
  <c r="AJ199" i="18" s="1"/>
  <c r="AK199" i="18" s="1"/>
  <c r="AL199" i="18" s="1"/>
  <c r="AM199" i="18" s="1"/>
  <c r="AN199" i="18" s="1"/>
  <c r="AO199" i="18" s="1"/>
  <c r="AP199" i="18" s="1"/>
  <c r="AQ199" i="18" s="1"/>
  <c r="AR199" i="18" s="1"/>
  <c r="AS199" i="18" s="1"/>
  <c r="AT199" i="18" s="1"/>
  <c r="U109" i="18"/>
  <c r="Y131" i="18"/>
  <c r="Y141" i="18"/>
  <c r="Y132" i="18"/>
  <c r="Y142" i="18"/>
  <c r="AF36" i="18"/>
  <c r="AC97" i="18"/>
  <c r="AB23" i="18"/>
  <c r="AA100" i="18"/>
  <c r="AA106" i="18" s="1"/>
  <c r="U135" i="18"/>
  <c r="U134" i="18"/>
  <c r="U99" i="18"/>
  <c r="U105" i="18" s="1"/>
  <c r="U130" i="18"/>
  <c r="U92" i="18"/>
  <c r="Y124" i="18"/>
  <c r="Y125" i="18"/>
  <c r="Y126" i="18"/>
  <c r="Y112" i="18"/>
  <c r="Y96" i="18"/>
  <c r="Y102" i="18" s="1"/>
  <c r="Y121" i="18"/>
  <c r="Y120" i="18"/>
  <c r="U110" i="18"/>
  <c r="U111" i="18"/>
  <c r="Z18" i="18"/>
  <c r="AA20" i="18"/>
  <c r="Z75" i="18"/>
  <c r="T67" i="18"/>
  <c r="T84" i="18"/>
  <c r="T63" i="18"/>
  <c r="T65" i="18"/>
  <c r="T184" i="18" s="1"/>
  <c r="T71" i="18"/>
  <c r="T183" i="18" s="1"/>
  <c r="T81" i="18"/>
  <c r="T83" i="18"/>
  <c r="T139" i="18" s="1"/>
  <c r="T52" i="18"/>
  <c r="T51" i="18"/>
  <c r="T177" i="18" s="1"/>
  <c r="T64" i="18"/>
  <c r="T60" i="18"/>
  <c r="T61" i="18"/>
  <c r="T70" i="18"/>
  <c r="T59" i="18"/>
  <c r="T85" i="18"/>
  <c r="T57" i="18"/>
  <c r="T185" i="18" s="1"/>
  <c r="Z27" i="18"/>
  <c r="V15" i="18"/>
  <c r="V129" i="18" s="1"/>
  <c r="V13" i="18"/>
  <c r="V12" i="18"/>
  <c r="T69" i="18"/>
  <c r="V16" i="18"/>
  <c r="V137" i="18" s="1"/>
  <c r="V138" i="18" s="1"/>
  <c r="V10" i="18"/>
  <c r="V7" i="18"/>
  <c r="V6" i="18"/>
  <c r="AD36" i="18"/>
  <c r="Z25" i="18"/>
  <c r="Y89" i="18"/>
  <c r="V40" i="18"/>
  <c r="U91" i="18"/>
  <c r="U90" i="18"/>
  <c r="U42" i="18"/>
  <c r="T78" i="18"/>
  <c r="T79" i="18"/>
  <c r="T80" i="18"/>
  <c r="T77" i="18"/>
  <c r="AB21" i="18"/>
  <c r="V176" i="18"/>
  <c r="V186" i="18" s="1"/>
  <c r="R181" i="18"/>
  <c r="R178" i="18"/>
  <c r="R183" i="18"/>
  <c r="G182" i="18"/>
  <c r="R69" i="18"/>
  <c r="N182" i="18"/>
  <c r="P182" i="18"/>
  <c r="C16" i="15"/>
  <c r="C21" i="15"/>
  <c r="C10" i="15"/>
  <c r="U56" i="18" l="1"/>
  <c r="U180" i="18" s="1"/>
  <c r="U55" i="18"/>
  <c r="U179" i="18" s="1"/>
  <c r="Z93" i="18"/>
  <c r="Z122" i="18"/>
  <c r="V98" i="18"/>
  <c r="V104" i="18" s="1"/>
  <c r="V53" i="18"/>
  <c r="V94" i="18" s="1"/>
  <c r="U200" i="18"/>
  <c r="V200" i="18" s="1"/>
  <c r="W200" i="18" s="1"/>
  <c r="X200" i="18" s="1"/>
  <c r="Y200" i="18" s="1"/>
  <c r="Z200" i="18" s="1"/>
  <c r="AA200" i="18" s="1"/>
  <c r="AB200" i="18" s="1"/>
  <c r="AC200" i="18" s="1"/>
  <c r="AD200" i="18" s="1"/>
  <c r="AE200" i="18" s="1"/>
  <c r="AF200" i="18" s="1"/>
  <c r="AG200" i="18" s="1"/>
  <c r="AH200" i="18" s="1"/>
  <c r="AI200" i="18" s="1"/>
  <c r="AJ200" i="18" s="1"/>
  <c r="AK200" i="18" s="1"/>
  <c r="AL200" i="18" s="1"/>
  <c r="AM200" i="18" s="1"/>
  <c r="AN200" i="18" s="1"/>
  <c r="AO200" i="18" s="1"/>
  <c r="AP200" i="18" s="1"/>
  <c r="AQ200" i="18" s="1"/>
  <c r="AR200" i="18" s="1"/>
  <c r="AS200" i="18" s="1"/>
  <c r="AT200" i="18" s="1"/>
  <c r="AD97" i="18"/>
  <c r="AC103" i="18"/>
  <c r="AD103" i="18" s="1"/>
  <c r="U198" i="18"/>
  <c r="V198" i="18" s="1"/>
  <c r="W198" i="18" s="1"/>
  <c r="X198" i="18" s="1"/>
  <c r="Y198" i="18" s="1"/>
  <c r="Z198" i="18" s="1"/>
  <c r="AA198" i="18" s="1"/>
  <c r="AB198" i="18" s="1"/>
  <c r="AC198" i="18" s="1"/>
  <c r="AD198" i="18" s="1"/>
  <c r="V109" i="18"/>
  <c r="U114" i="18"/>
  <c r="U115" i="18" s="1"/>
  <c r="U58" i="18"/>
  <c r="Z131" i="18"/>
  <c r="Z141" i="18"/>
  <c r="Z132" i="18"/>
  <c r="Z142" i="18"/>
  <c r="AC23" i="18"/>
  <c r="AB100" i="18"/>
  <c r="AB106" i="18" s="1"/>
  <c r="V99" i="18"/>
  <c r="V105" i="18" s="1"/>
  <c r="V130" i="18"/>
  <c r="V135" i="18"/>
  <c r="V134" i="18"/>
  <c r="V92" i="18"/>
  <c r="Z126" i="18"/>
  <c r="Z125" i="18"/>
  <c r="Z124" i="18"/>
  <c r="Z112" i="18"/>
  <c r="U67" i="18"/>
  <c r="Z96" i="18"/>
  <c r="Z102" i="18" s="1"/>
  <c r="Z121" i="18"/>
  <c r="Z120" i="18"/>
  <c r="V110" i="18"/>
  <c r="V111" i="18"/>
  <c r="U63" i="18"/>
  <c r="AA18" i="18"/>
  <c r="AB20" i="18"/>
  <c r="AA75" i="18"/>
  <c r="U65" i="18"/>
  <c r="U184" i="18" s="1"/>
  <c r="U71" i="18"/>
  <c r="U183" i="18" s="1"/>
  <c r="U81" i="18"/>
  <c r="U83" i="18"/>
  <c r="U139" i="18" s="1"/>
  <c r="U51" i="18"/>
  <c r="U177" i="18" s="1"/>
  <c r="U52" i="18"/>
  <c r="U60" i="18"/>
  <c r="U59" i="18"/>
  <c r="U70" i="18"/>
  <c r="U85" i="18"/>
  <c r="U64" i="18"/>
  <c r="U61" i="18"/>
  <c r="U57" i="18"/>
  <c r="U185" i="18" s="1"/>
  <c r="U68" i="18"/>
  <c r="U84" i="18"/>
  <c r="AA27" i="18"/>
  <c r="W13" i="18"/>
  <c r="W12" i="18"/>
  <c r="W15" i="18"/>
  <c r="W129" i="18" s="1"/>
  <c r="W10" i="18"/>
  <c r="W16" i="18"/>
  <c r="W137" i="18" s="1"/>
  <c r="W138" i="18" s="1"/>
  <c r="W6" i="18"/>
  <c r="W7" i="18"/>
  <c r="W40" i="18"/>
  <c r="V91" i="18"/>
  <c r="V90" i="18"/>
  <c r="AA25" i="18"/>
  <c r="Z89" i="18"/>
  <c r="V42" i="18"/>
  <c r="U80" i="18"/>
  <c r="U79" i="18"/>
  <c r="U78" i="18"/>
  <c r="U77" i="18"/>
  <c r="AC21" i="18"/>
  <c r="AF21" i="18" s="1"/>
  <c r="T182" i="18"/>
  <c r="W176" i="18"/>
  <c r="W186" i="18" s="1"/>
  <c r="T178" i="18"/>
  <c r="T187" i="18" s="1"/>
  <c r="T181" i="18"/>
  <c r="R182" i="18"/>
  <c r="D31" i="8"/>
  <c r="D29" i="8"/>
  <c r="D28" i="8"/>
  <c r="D13" i="8"/>
  <c r="D30" i="8" s="1"/>
  <c r="E14" i="8"/>
  <c r="F14" i="8" s="1"/>
  <c r="G14" i="8" s="1"/>
  <c r="H14" i="8" s="1"/>
  <c r="I14" i="8" s="1"/>
  <c r="V56" i="18" l="1"/>
  <c r="V180" i="18" s="1"/>
  <c r="V55" i="18"/>
  <c r="V179" i="18" s="1"/>
  <c r="AA93" i="18"/>
  <c r="AA122" i="18"/>
  <c r="U116" i="18"/>
  <c r="U117" i="18" s="1"/>
  <c r="U118" i="18"/>
  <c r="W98" i="18"/>
  <c r="W104" i="18" s="1"/>
  <c r="W53" i="18"/>
  <c r="W94" i="18" s="1"/>
  <c r="U197" i="18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8" i="18"/>
  <c r="AF198" i="18" s="1"/>
  <c r="AG198" i="18" s="1"/>
  <c r="AH198" i="18" s="1"/>
  <c r="AI198" i="18" s="1"/>
  <c r="AJ198" i="18" s="1"/>
  <c r="AK198" i="18" s="1"/>
  <c r="AL198" i="18" s="1"/>
  <c r="AM198" i="18" s="1"/>
  <c r="AN198" i="18" s="1"/>
  <c r="AO198" i="18" s="1"/>
  <c r="AP198" i="18" s="1"/>
  <c r="AQ198" i="18" s="1"/>
  <c r="AR198" i="18" s="1"/>
  <c r="AS198" i="18" s="1"/>
  <c r="AT198" i="18" s="1"/>
  <c r="W109" i="18"/>
  <c r="V114" i="18"/>
  <c r="V115" i="18" s="1"/>
  <c r="V58" i="18"/>
  <c r="AA131" i="18"/>
  <c r="AA141" i="18"/>
  <c r="AA132" i="18"/>
  <c r="AA142" i="18"/>
  <c r="AF23" i="18"/>
  <c r="AC100" i="18"/>
  <c r="AD23" i="18"/>
  <c r="W92" i="18"/>
  <c r="W134" i="18"/>
  <c r="W135" i="18"/>
  <c r="W99" i="18"/>
  <c r="W105" i="18" s="1"/>
  <c r="W130" i="18"/>
  <c r="AA126" i="18"/>
  <c r="AA125" i="18"/>
  <c r="AA124" i="18"/>
  <c r="AA112" i="18"/>
  <c r="V67" i="18"/>
  <c r="U69" i="18"/>
  <c r="U182" i="18" s="1"/>
  <c r="AA96" i="18"/>
  <c r="AA102" i="18" s="1"/>
  <c r="AA121" i="18"/>
  <c r="AA120" i="18"/>
  <c r="W111" i="18"/>
  <c r="W110" i="18"/>
  <c r="AB18" i="18"/>
  <c r="AC20" i="18"/>
  <c r="AB75" i="18"/>
  <c r="V85" i="18"/>
  <c r="V84" i="18"/>
  <c r="V63" i="18"/>
  <c r="V71" i="18"/>
  <c r="V183" i="18" s="1"/>
  <c r="V70" i="18"/>
  <c r="V65" i="18"/>
  <c r="V184" i="18" s="1"/>
  <c r="V68" i="18"/>
  <c r="V59" i="18"/>
  <c r="V81" i="18"/>
  <c r="V83" i="18"/>
  <c r="V139" i="18" s="1"/>
  <c r="V52" i="18"/>
  <c r="V51" i="18"/>
  <c r="V177" i="18" s="1"/>
  <c r="V64" i="18"/>
  <c r="V60" i="18"/>
  <c r="V61" i="18"/>
  <c r="V57" i="18"/>
  <c r="V185" i="18" s="1"/>
  <c r="AB27" i="18"/>
  <c r="X12" i="18"/>
  <c r="X15" i="18"/>
  <c r="X129" i="18" s="1"/>
  <c r="X13" i="18"/>
  <c r="X16" i="18"/>
  <c r="X137" i="18" s="1"/>
  <c r="X138" i="18" s="1"/>
  <c r="X10" i="18"/>
  <c r="X7" i="18"/>
  <c r="X6" i="18"/>
  <c r="AB25" i="18"/>
  <c r="AB122" i="18" s="1"/>
  <c r="AA89" i="18"/>
  <c r="X40" i="18"/>
  <c r="W90" i="18"/>
  <c r="W91" i="18"/>
  <c r="W42" i="18"/>
  <c r="V80" i="18"/>
  <c r="V78" i="18"/>
  <c r="V79" i="18"/>
  <c r="V77" i="18"/>
  <c r="AD21" i="18"/>
  <c r="X176" i="18"/>
  <c r="X186" i="18" s="1"/>
  <c r="U178" i="18"/>
  <c r="U187" i="18" s="1"/>
  <c r="U18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6" i="18" l="1"/>
  <c r="W180" i="18" s="1"/>
  <c r="W55" i="18"/>
  <c r="W179" i="18" s="1"/>
  <c r="V116" i="18"/>
  <c r="V117" i="18" s="1"/>
  <c r="V118" i="18"/>
  <c r="X98" i="18"/>
  <c r="X104" i="18" s="1"/>
  <c r="X53" i="18"/>
  <c r="X94" i="18" s="1"/>
  <c r="AE197" i="18"/>
  <c r="AF197" i="18" s="1"/>
  <c r="AG197" i="18" s="1"/>
  <c r="AH197" i="18" s="1"/>
  <c r="AI197" i="18" s="1"/>
  <c r="AJ197" i="18" s="1"/>
  <c r="AK197" i="18" s="1"/>
  <c r="AL197" i="18" s="1"/>
  <c r="AM197" i="18" s="1"/>
  <c r="AN197" i="18" s="1"/>
  <c r="AO197" i="18" s="1"/>
  <c r="AP197" i="18" s="1"/>
  <c r="AQ197" i="18" s="1"/>
  <c r="AR197" i="18" s="1"/>
  <c r="AS197" i="18" s="1"/>
  <c r="AT197" i="18" s="1"/>
  <c r="AD100" i="18"/>
  <c r="AC106" i="18"/>
  <c r="AD106" i="18" s="1"/>
  <c r="X109" i="18"/>
  <c r="W114" i="18"/>
  <c r="W115" i="18" s="1"/>
  <c r="W58" i="18"/>
  <c r="AB131" i="18"/>
  <c r="AB141" i="18"/>
  <c r="AB132" i="18"/>
  <c r="AB142" i="18"/>
  <c r="AF20" i="18"/>
  <c r="AB93" i="18"/>
  <c r="X135" i="18"/>
  <c r="X134" i="18"/>
  <c r="X99" i="18"/>
  <c r="X105" i="18" s="1"/>
  <c r="X130" i="18"/>
  <c r="X92" i="18"/>
  <c r="AB125" i="18"/>
  <c r="AB124" i="18"/>
  <c r="AB126" i="18"/>
  <c r="AB112" i="18"/>
  <c r="V69" i="18"/>
  <c r="V182" i="18" s="1"/>
  <c r="AB96" i="18"/>
  <c r="AB102" i="18" s="1"/>
  <c r="AB121" i="18"/>
  <c r="AB120" i="18"/>
  <c r="W70" i="18"/>
  <c r="X111" i="18"/>
  <c r="X110" i="18"/>
  <c r="AC18" i="18"/>
  <c r="W85" i="18"/>
  <c r="W61" i="18"/>
  <c r="W68" i="18"/>
  <c r="AD20" i="18"/>
  <c r="AC75" i="18"/>
  <c r="W59" i="18"/>
  <c r="W67" i="18"/>
  <c r="W64" i="18"/>
  <c r="W84" i="18"/>
  <c r="W60" i="18"/>
  <c r="W65" i="18"/>
  <c r="W184" i="18" s="1"/>
  <c r="W81" i="18"/>
  <c r="W83" i="18"/>
  <c r="W139" i="18" s="1"/>
  <c r="W51" i="18"/>
  <c r="W177" i="18" s="1"/>
  <c r="W52" i="18"/>
  <c r="W63" i="18"/>
  <c r="W71" i="18"/>
  <c r="W183" i="18" s="1"/>
  <c r="W57" i="18"/>
  <c r="W185" i="18" s="1"/>
  <c r="AC27" i="18"/>
  <c r="AC142" i="18" s="1"/>
  <c r="AD142" i="18" s="1"/>
  <c r="Y15" i="18"/>
  <c r="Y129" i="18" s="1"/>
  <c r="Y13" i="18"/>
  <c r="Y12" i="18"/>
  <c r="Y10" i="18"/>
  <c r="Y16" i="18"/>
  <c r="Y137" i="18" s="1"/>
  <c r="Y138" i="18" s="1"/>
  <c r="Y6" i="18"/>
  <c r="Y7" i="18"/>
  <c r="Y40" i="18"/>
  <c r="X91" i="18"/>
  <c r="X90" i="18"/>
  <c r="AC25" i="18"/>
  <c r="AB89" i="18"/>
  <c r="X42" i="18"/>
  <c r="W80" i="18"/>
  <c r="W78" i="18"/>
  <c r="W79" i="18"/>
  <c r="W77" i="18"/>
  <c r="Y176" i="18"/>
  <c r="Y186" i="18" s="1"/>
  <c r="V178" i="18"/>
  <c r="V187" i="18" s="1"/>
  <c r="V18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6" i="18" l="1"/>
  <c r="X180" i="18" s="1"/>
  <c r="X55" i="18"/>
  <c r="X179" i="18" s="1"/>
  <c r="AC93" i="18"/>
  <c r="AD93" i="18" s="1"/>
  <c r="AC122" i="18"/>
  <c r="AD122" i="18" s="1"/>
  <c r="W116" i="18"/>
  <c r="W117" i="18" s="1"/>
  <c r="W118" i="18"/>
  <c r="Y98" i="18"/>
  <c r="Y104" i="18" s="1"/>
  <c r="Y53" i="18"/>
  <c r="Y94" i="18" s="1"/>
  <c r="Y109" i="18"/>
  <c r="X114" i="18"/>
  <c r="X115" i="18" s="1"/>
  <c r="X58" i="18"/>
  <c r="AC131" i="18"/>
  <c r="AD131" i="18" s="1"/>
  <c r="AC141" i="18"/>
  <c r="AD141" i="18" s="1"/>
  <c r="Y99" i="18"/>
  <c r="Y105" i="18" s="1"/>
  <c r="Y130" i="18"/>
  <c r="Y135" i="18"/>
  <c r="Y134" i="18"/>
  <c r="AF27" i="18"/>
  <c r="AC132" i="18"/>
  <c r="AD132" i="18" s="1"/>
  <c r="Y92" i="18"/>
  <c r="AC124" i="18"/>
  <c r="AD124" i="18" s="1"/>
  <c r="AC126" i="18"/>
  <c r="AD126" i="18" s="1"/>
  <c r="AC125" i="18"/>
  <c r="AD12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2" i="18"/>
  <c r="AD112" i="18" s="1"/>
  <c r="W69" i="18"/>
  <c r="W182" i="18" s="1"/>
  <c r="X68" i="18"/>
  <c r="AC96" i="18"/>
  <c r="AC121" i="18"/>
  <c r="AD121" i="18" s="1"/>
  <c r="AC120" i="18"/>
  <c r="AD120" i="18" s="1"/>
  <c r="Y111" i="18"/>
  <c r="Y110" i="18"/>
  <c r="AF25" i="18"/>
  <c r="AF18" i="18"/>
  <c r="AD18" i="18"/>
  <c r="T165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1" i="18"/>
  <c r="X183" i="18" s="1"/>
  <c r="X70" i="18"/>
  <c r="X65" i="18"/>
  <c r="X184" i="18" s="1"/>
  <c r="X67" i="18"/>
  <c r="X64" i="18"/>
  <c r="X84" i="18"/>
  <c r="X63" i="18"/>
  <c r="X85" i="18"/>
  <c r="X81" i="18"/>
  <c r="X83" i="18"/>
  <c r="X139" i="18" s="1"/>
  <c r="X52" i="18"/>
  <c r="X51" i="18"/>
  <c r="X177" i="18" s="1"/>
  <c r="X59" i="18"/>
  <c r="X60" i="18"/>
  <c r="X61" i="18"/>
  <c r="X57" i="18"/>
  <c r="X185" i="18" s="1"/>
  <c r="AD27" i="18"/>
  <c r="Z12" i="18"/>
  <c r="Z15" i="18"/>
  <c r="Z129" i="18" s="1"/>
  <c r="Z13" i="18"/>
  <c r="Z10" i="18"/>
  <c r="Z16" i="18"/>
  <c r="Z137" i="18" s="1"/>
  <c r="Z138" i="18" s="1"/>
  <c r="Z7" i="18"/>
  <c r="Z6" i="18"/>
  <c r="AD25" i="18"/>
  <c r="AC89" i="18"/>
  <c r="AD89" i="18" s="1"/>
  <c r="Z40" i="18"/>
  <c r="Y91" i="18"/>
  <c r="Y90" i="18"/>
  <c r="O31" i="9"/>
  <c r="O32" i="9" s="1"/>
  <c r="Y42" i="18"/>
  <c r="X80" i="18"/>
  <c r="X78" i="18"/>
  <c r="X79" i="18"/>
  <c r="X77" i="18"/>
  <c r="Z176" i="18"/>
  <c r="Z186" i="18" s="1"/>
  <c r="W178" i="18"/>
  <c r="W187" i="18" s="1"/>
  <c r="W181" i="18"/>
  <c r="P31" i="11"/>
  <c r="N32" i="11"/>
  <c r="T19" i="9"/>
  <c r="D22" i="9"/>
  <c r="Y56" i="18" l="1"/>
  <c r="Y180" i="18" s="1"/>
  <c r="Y55" i="18"/>
  <c r="Y179" i="18" s="1"/>
  <c r="X116" i="18"/>
  <c r="X117" i="18" s="1"/>
  <c r="X118" i="18"/>
  <c r="Z98" i="18"/>
  <c r="Z104" i="18" s="1"/>
  <c r="Z53" i="18"/>
  <c r="Z94" i="18" s="1"/>
  <c r="AD96" i="18"/>
  <c r="AC102" i="18"/>
  <c r="AD102" i="18" s="1"/>
  <c r="Z109" i="18"/>
  <c r="Y114" i="18"/>
  <c r="Y115" i="18" s="1"/>
  <c r="Y58" i="18"/>
  <c r="Z135" i="18"/>
  <c r="Z134" i="18"/>
  <c r="Z99" i="18"/>
  <c r="Z105" i="18" s="1"/>
  <c r="Z130" i="18"/>
  <c r="Z92" i="18"/>
  <c r="X69" i="18"/>
  <c r="X182" i="18" s="1"/>
  <c r="Y61" i="18"/>
  <c r="Z110" i="18"/>
  <c r="Z111" i="18"/>
  <c r="U165" i="18"/>
  <c r="S165" i="18" s="1"/>
  <c r="Y63" i="18"/>
  <c r="Y70" i="18"/>
  <c r="Y57" i="18"/>
  <c r="Y185" i="18" s="1"/>
  <c r="Y65" i="18"/>
  <c r="Y184" i="18" s="1"/>
  <c r="Y60" i="18"/>
  <c r="Y59" i="18"/>
  <c r="Y81" i="18"/>
  <c r="Y83" i="18"/>
  <c r="Y139" i="18" s="1"/>
  <c r="Y52" i="18"/>
  <c r="Y51" i="18"/>
  <c r="Y177" i="18" s="1"/>
  <c r="Y85" i="18"/>
  <c r="Y64" i="18"/>
  <c r="Y71" i="18"/>
  <c r="Y183" i="18" s="1"/>
  <c r="Y68" i="18"/>
  <c r="Y67" i="18"/>
  <c r="Y84" i="18"/>
  <c r="AA13" i="18"/>
  <c r="AA12" i="18"/>
  <c r="AA15" i="18"/>
  <c r="AA129" i="18" s="1"/>
  <c r="AA10" i="18"/>
  <c r="AA16" i="18"/>
  <c r="AA137" i="18" s="1"/>
  <c r="AA138" i="18" s="1"/>
  <c r="AA6" i="18"/>
  <c r="AA7" i="18"/>
  <c r="AA40" i="18"/>
  <c r="Z91" i="18"/>
  <c r="Z90" i="18"/>
  <c r="Z42" i="18"/>
  <c r="Y80" i="18"/>
  <c r="Y78" i="18"/>
  <c r="Y79" i="18"/>
  <c r="Y77" i="18"/>
  <c r="AA176" i="18"/>
  <c r="AA186" i="18" s="1"/>
  <c r="X178" i="18"/>
  <c r="X187" i="18" s="1"/>
  <c r="X18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56" i="18" l="1"/>
  <c r="Z180" i="18" s="1"/>
  <c r="Z55" i="18"/>
  <c r="Z179" i="18" s="1"/>
  <c r="Y116" i="18"/>
  <c r="Y117" i="18" s="1"/>
  <c r="Y118" i="18"/>
  <c r="AA98" i="18"/>
  <c r="AA104" i="18" s="1"/>
  <c r="AA53" i="18"/>
  <c r="AA94" i="18" s="1"/>
  <c r="AA109" i="18"/>
  <c r="Z114" i="18"/>
  <c r="Z115" i="18" s="1"/>
  <c r="Z58" i="18"/>
  <c r="AA99" i="18"/>
  <c r="AA105" i="18" s="1"/>
  <c r="AA130" i="18"/>
  <c r="AA134" i="18"/>
  <c r="AA135" i="18"/>
  <c r="AA92" i="18"/>
  <c r="AA110" i="18"/>
  <c r="AA111" i="18"/>
  <c r="Y69" i="18"/>
  <c r="Y182" i="18" s="1"/>
  <c r="Z81" i="18"/>
  <c r="Z83" i="18"/>
  <c r="Z139" i="18" s="1"/>
  <c r="Z51" i="18"/>
  <c r="Z177" i="18" s="1"/>
  <c r="Z52" i="18"/>
  <c r="Z65" i="18"/>
  <c r="Z184" i="18" s="1"/>
  <c r="Z71" i="18"/>
  <c r="Z183" i="18" s="1"/>
  <c r="Z70" i="18"/>
  <c r="Z68" i="18"/>
  <c r="Z59" i="18"/>
  <c r="Z57" i="18"/>
  <c r="Z185" i="18" s="1"/>
  <c r="Z64" i="18"/>
  <c r="Z60" i="18"/>
  <c r="Z61" i="18"/>
  <c r="Z67" i="18"/>
  <c r="Z84" i="18"/>
  <c r="Z63" i="18"/>
  <c r="Z85" i="18"/>
  <c r="AB12" i="18"/>
  <c r="AB15" i="18"/>
  <c r="AB129" i="18" s="1"/>
  <c r="AB13" i="18"/>
  <c r="AB10" i="18"/>
  <c r="AB16" i="18"/>
  <c r="AB137" i="18" s="1"/>
  <c r="AB138" i="18" s="1"/>
  <c r="AB7" i="18"/>
  <c r="AB6" i="18"/>
  <c r="AB40" i="18"/>
  <c r="AA90" i="18"/>
  <c r="AA91" i="18"/>
  <c r="AA42" i="18"/>
  <c r="Z80" i="18"/>
  <c r="Z78" i="18"/>
  <c r="Z79" i="18"/>
  <c r="Z77" i="18"/>
  <c r="AB176" i="18"/>
  <c r="AB186" i="18" s="1"/>
  <c r="Y178" i="18"/>
  <c r="Y187" i="18" s="1"/>
  <c r="Y181" i="18"/>
  <c r="N34" i="11"/>
  <c r="O33" i="11"/>
  <c r="D25" i="8"/>
  <c r="D23" i="8"/>
  <c r="AA56" i="18" l="1"/>
  <c r="AA180" i="18" s="1"/>
  <c r="AA55" i="18"/>
  <c r="AA179" i="18" s="1"/>
  <c r="Z116" i="18"/>
  <c r="Z117" i="18" s="1"/>
  <c r="Z118" i="18"/>
  <c r="AB98" i="18"/>
  <c r="AB104" i="18" s="1"/>
  <c r="AB53" i="18"/>
  <c r="AB94" i="18" s="1"/>
  <c r="AB109" i="18"/>
  <c r="AA114" i="18"/>
  <c r="AA115" i="18" s="1"/>
  <c r="AA58" i="18"/>
  <c r="AB92" i="18"/>
  <c r="AB134" i="18"/>
  <c r="AB135" i="18"/>
  <c r="AB99" i="18"/>
  <c r="AB105" i="18" s="1"/>
  <c r="AB130" i="18"/>
  <c r="AB110" i="18"/>
  <c r="AB111" i="18"/>
  <c r="Z69" i="18"/>
  <c r="Z182" i="18" s="1"/>
  <c r="AA81" i="18"/>
  <c r="AA83" i="18"/>
  <c r="AA139" i="18" s="1"/>
  <c r="AA52" i="18"/>
  <c r="AA51" i="18"/>
  <c r="AA177" i="18" s="1"/>
  <c r="AA59" i="18"/>
  <c r="AA70" i="18"/>
  <c r="AA60" i="18"/>
  <c r="AA65" i="18"/>
  <c r="AA184" i="18" s="1"/>
  <c r="AA68" i="18"/>
  <c r="AA67" i="18"/>
  <c r="AA85" i="18"/>
  <c r="AA71" i="18"/>
  <c r="AA183" i="18" s="1"/>
  <c r="AA57" i="18"/>
  <c r="AA185" i="18" s="1"/>
  <c r="AA64" i="18"/>
  <c r="AA84" i="18"/>
  <c r="AA63" i="18"/>
  <c r="AA61" i="18"/>
  <c r="AC15" i="18"/>
  <c r="AC13" i="18"/>
  <c r="AF13" i="18" s="1"/>
  <c r="AC12" i="18"/>
  <c r="AC130" i="18" s="1"/>
  <c r="AD130" i="18" s="1"/>
  <c r="AC10" i="18"/>
  <c r="AC16" i="18"/>
  <c r="AC6" i="18"/>
  <c r="AF6" i="18" s="1"/>
  <c r="AC7" i="18"/>
  <c r="AF7" i="18" s="1"/>
  <c r="AC40" i="18"/>
  <c r="AB91" i="18"/>
  <c r="AB90" i="18"/>
  <c r="AB42" i="18"/>
  <c r="AA80" i="18"/>
  <c r="AA78" i="18"/>
  <c r="AA79" i="18"/>
  <c r="AA77" i="18"/>
  <c r="AC176" i="18"/>
  <c r="AC186" i="18" s="1"/>
  <c r="Z178" i="18"/>
  <c r="Z187" i="18" s="1"/>
  <c r="Z181" i="18"/>
  <c r="N35" i="11"/>
  <c r="O34" i="11"/>
  <c r="D35" i="8"/>
  <c r="E5" i="8"/>
  <c r="E18" i="8" s="1"/>
  <c r="D18" i="8"/>
  <c r="D19" i="8"/>
  <c r="D21" i="8"/>
  <c r="D20" i="8"/>
  <c r="AB56" i="18" l="1"/>
  <c r="AB180" i="18" s="1"/>
  <c r="AB55" i="18"/>
  <c r="AB179" i="18" s="1"/>
  <c r="AA116" i="18"/>
  <c r="AA117" i="18" s="1"/>
  <c r="AA118" i="18"/>
  <c r="AC98" i="18"/>
  <c r="AC104" i="18" s="1"/>
  <c r="AD104" i="18" s="1"/>
  <c r="AC53" i="18"/>
  <c r="AC109" i="18"/>
  <c r="AD186" i="18"/>
  <c r="AF186" i="18" s="1"/>
  <c r="AB114" i="18"/>
  <c r="AB115" i="18" s="1"/>
  <c r="AB58" i="18"/>
  <c r="AF16" i="18"/>
  <c r="AC137" i="18"/>
  <c r="AC135" i="18"/>
  <c r="AD135" i="18" s="1"/>
  <c r="AC134" i="18"/>
  <c r="AD134" i="18" s="1"/>
  <c r="AF15" i="18"/>
  <c r="AC129" i="18"/>
  <c r="AD129" i="18" s="1"/>
  <c r="AC92" i="18"/>
  <c r="AD92" i="18" s="1"/>
  <c r="AF10" i="18"/>
  <c r="AD109" i="18"/>
  <c r="AF12" i="18"/>
  <c r="AC99" i="18"/>
  <c r="AF40" i="18"/>
  <c r="AC110" i="18"/>
  <c r="AD110" i="18" s="1"/>
  <c r="AC111" i="18"/>
  <c r="AD111" i="18" s="1"/>
  <c r="AA69" i="18"/>
  <c r="AA182" i="18" s="1"/>
  <c r="AB81" i="18"/>
  <c r="AB83" i="18"/>
  <c r="AB139" i="18" s="1"/>
  <c r="AB51" i="18"/>
  <c r="AB177" i="18" s="1"/>
  <c r="AB52" i="18"/>
  <c r="AB63" i="18"/>
  <c r="AB71" i="18"/>
  <c r="AB183" i="18" s="1"/>
  <c r="AB57" i="18"/>
  <c r="AB185" i="18" s="1"/>
  <c r="AB65" i="18"/>
  <c r="AB184" i="18" s="1"/>
  <c r="AB68" i="18"/>
  <c r="AB84" i="18"/>
  <c r="AB59" i="18"/>
  <c r="AB60" i="18"/>
  <c r="AB61" i="18"/>
  <c r="AB64" i="18"/>
  <c r="AB85" i="18"/>
  <c r="AB67" i="18"/>
  <c r="AB70" i="18"/>
  <c r="AD15" i="18"/>
  <c r="AD13" i="18"/>
  <c r="T159" i="18"/>
  <c r="AD12" i="18"/>
  <c r="AD10" i="18"/>
  <c r="AD16" i="18"/>
  <c r="AD7" i="18"/>
  <c r="AD6" i="18"/>
  <c r="AC91" i="18"/>
  <c r="AD91" i="18" s="1"/>
  <c r="AC90" i="18"/>
  <c r="AD90" i="18" s="1"/>
  <c r="AD40" i="18"/>
  <c r="AC42" i="18"/>
  <c r="AB80" i="18"/>
  <c r="AB78" i="18"/>
  <c r="AB79" i="18"/>
  <c r="AB77" i="18"/>
  <c r="AD176" i="18"/>
  <c r="AF176" i="18" s="1"/>
  <c r="AA178" i="18"/>
  <c r="AA187" i="18" s="1"/>
  <c r="AA181" i="18"/>
  <c r="N36" i="11"/>
  <c r="O35" i="11"/>
  <c r="F5" i="8"/>
  <c r="G5" i="8" s="1"/>
  <c r="H5" i="8" s="1"/>
  <c r="I5" i="8" s="1"/>
  <c r="AD53" i="18" l="1"/>
  <c r="AF53" i="18"/>
  <c r="AC56" i="18"/>
  <c r="AC180" i="18" s="1"/>
  <c r="AD180" i="18" s="1"/>
  <c r="AF180" i="18" s="1"/>
  <c r="AC55" i="18"/>
  <c r="AC179" i="18" s="1"/>
  <c r="AD179" i="18" s="1"/>
  <c r="AF179" i="18" s="1"/>
  <c r="AB116" i="18"/>
  <c r="AB117" i="18" s="1"/>
  <c r="AB118" i="18"/>
  <c r="AD98" i="18"/>
  <c r="AC94" i="18"/>
  <c r="AD94" i="18" s="1"/>
  <c r="AD99" i="18"/>
  <c r="AC105" i="18"/>
  <c r="AD105" i="18" s="1"/>
  <c r="AC114" i="18"/>
  <c r="AC115" i="18" s="1"/>
  <c r="AC58" i="18"/>
  <c r="AD137" i="18"/>
  <c r="AC138" i="18"/>
  <c r="AD138" i="18" s="1"/>
  <c r="AF42" i="18"/>
  <c r="U159" i="18"/>
  <c r="U160" i="18" s="1"/>
  <c r="AB69" i="18"/>
  <c r="AB182" i="18" s="1"/>
  <c r="AC81" i="18"/>
  <c r="AC83" i="18"/>
  <c r="AC51" i="18"/>
  <c r="AC177" i="18" s="1"/>
  <c r="AD177" i="18" s="1"/>
  <c r="AF177" i="18" s="1"/>
  <c r="AC52" i="18"/>
  <c r="AC63" i="18"/>
  <c r="AC68" i="18"/>
  <c r="AC57" i="18"/>
  <c r="AC65" i="18"/>
  <c r="T154" i="18" s="1"/>
  <c r="AC61" i="18"/>
  <c r="AC84" i="18"/>
  <c r="AC60" i="18"/>
  <c r="AF60" i="18" s="1"/>
  <c r="AC59" i="18"/>
  <c r="AC70" i="18"/>
  <c r="AC85" i="18"/>
  <c r="AC64" i="18"/>
  <c r="AC71" i="18"/>
  <c r="AC67" i="18"/>
  <c r="T160" i="18"/>
  <c r="Q194" i="18" s="1"/>
  <c r="AC80" i="18"/>
  <c r="AC78" i="18"/>
  <c r="AD42" i="18"/>
  <c r="AC79" i="18"/>
  <c r="AC77" i="18"/>
  <c r="AB178" i="18"/>
  <c r="AB187" i="18" s="1"/>
  <c r="AB181" i="18"/>
  <c r="N37" i="11"/>
  <c r="O36" i="11"/>
  <c r="F18" i="8"/>
  <c r="G18" i="8"/>
  <c r="AD55" i="18" l="1"/>
  <c r="AF55" i="18"/>
  <c r="AD56" i="18"/>
  <c r="AF56" i="18"/>
  <c r="AC116" i="18"/>
  <c r="AC117" i="18" s="1"/>
  <c r="AC118" i="18"/>
  <c r="AF57" i="18"/>
  <c r="AC185" i="18"/>
  <c r="AF58" i="18"/>
  <c r="AD58" i="18"/>
  <c r="AF83" i="18"/>
  <c r="AC139" i="18"/>
  <c r="AD139" i="18" s="1"/>
  <c r="AD114" i="18"/>
  <c r="S159" i="18"/>
  <c r="S160" i="18"/>
  <c r="AD84" i="18"/>
  <c r="AF84" i="18"/>
  <c r="AD52" i="18"/>
  <c r="AF52" i="18"/>
  <c r="T156" i="18"/>
  <c r="AF70" i="18"/>
  <c r="AC183" i="18"/>
  <c r="AD183" i="18" s="1"/>
  <c r="AF183" i="18" s="1"/>
  <c r="AF71" i="18"/>
  <c r="AD51" i="18"/>
  <c r="AF51" i="18"/>
  <c r="AD68" i="18"/>
  <c r="AF68" i="18"/>
  <c r="T150" i="18"/>
  <c r="AF67" i="18"/>
  <c r="T149" i="18"/>
  <c r="AF61" i="18"/>
  <c r="AC184" i="18"/>
  <c r="AD184" i="18" s="1"/>
  <c r="AF184" i="18" s="1"/>
  <c r="AF65" i="18"/>
  <c r="AD64" i="18"/>
  <c r="AF64" i="18"/>
  <c r="T147" i="18"/>
  <c r="Q193" i="18" s="1"/>
  <c r="AF59" i="18"/>
  <c r="T152" i="18"/>
  <c r="AF63" i="18"/>
  <c r="AD85" i="18"/>
  <c r="AF85" i="18"/>
  <c r="T173" i="18"/>
  <c r="Q195" i="18" s="1"/>
  <c r="AF81" i="18"/>
  <c r="T170" i="18"/>
  <c r="AF80" i="18"/>
  <c r="T169" i="18"/>
  <c r="AF79" i="18"/>
  <c r="T167" i="18"/>
  <c r="AF77" i="18"/>
  <c r="T168" i="18"/>
  <c r="AF78" i="18"/>
  <c r="AD70" i="18"/>
  <c r="T153" i="18"/>
  <c r="AD59" i="18"/>
  <c r="AD61" i="18"/>
  <c r="U149" i="18" s="1"/>
  <c r="AD63" i="18"/>
  <c r="Q192" i="18"/>
  <c r="AD81" i="18"/>
  <c r="AD67" i="18"/>
  <c r="T157" i="18"/>
  <c r="AC69" i="18"/>
  <c r="AD65" i="18"/>
  <c r="AD71" i="18"/>
  <c r="AD83" i="18"/>
  <c r="AD79" i="18"/>
  <c r="AD78" i="18"/>
  <c r="AD77" i="18"/>
  <c r="AD80" i="18"/>
  <c r="T146" i="18"/>
  <c r="Q196" i="18" s="1"/>
  <c r="Q197" i="18" s="1"/>
  <c r="AD57" i="18"/>
  <c r="AC178" i="18"/>
  <c r="AC187" i="18" s="1"/>
  <c r="AD187" i="18" s="1"/>
  <c r="AD60" i="18"/>
  <c r="U148" i="18" s="1"/>
  <c r="AC181" i="18"/>
  <c r="T148" i="18"/>
  <c r="N38" i="11"/>
  <c r="O37" i="11"/>
  <c r="H18" i="8"/>
  <c r="T171" i="18" l="1"/>
  <c r="M194" i="18"/>
  <c r="P194" i="18"/>
  <c r="AD185" i="18"/>
  <c r="AF185" i="18" s="1"/>
  <c r="U146" i="18"/>
  <c r="S146" i="18" s="1"/>
  <c r="AD115" i="18"/>
  <c r="U157" i="18"/>
  <c r="S157" i="18" s="1"/>
  <c r="U147" i="18"/>
  <c r="S147" i="18" s="1"/>
  <c r="U156" i="18"/>
  <c r="S156" i="18" s="1"/>
  <c r="U152" i="18"/>
  <c r="S152" i="18" s="1"/>
  <c r="U154" i="18"/>
  <c r="S154" i="18" s="1"/>
  <c r="P192" i="18" s="1"/>
  <c r="U173" i="18"/>
  <c r="S173" i="18" s="1"/>
  <c r="P195" i="18" s="1"/>
  <c r="U169" i="18"/>
  <c r="S169" i="18" s="1"/>
  <c r="AD69" i="18"/>
  <c r="AF69" i="18"/>
  <c r="U150" i="18"/>
  <c r="S150" i="18" s="1"/>
  <c r="S149" i="18"/>
  <c r="U153" i="18"/>
  <c r="S153" i="18" s="1"/>
  <c r="U167" i="18"/>
  <c r="S167" i="18" s="1"/>
  <c r="AC182" i="18"/>
  <c r="AD182" i="18" s="1"/>
  <c r="AF182" i="18" s="1"/>
  <c r="U170" i="18"/>
  <c r="S170" i="18" s="1"/>
  <c r="U168" i="18"/>
  <c r="AD181" i="18"/>
  <c r="AF181" i="18" s="1"/>
  <c r="AD178" i="18"/>
  <c r="AF178" i="18" s="1"/>
  <c r="AF187" i="18" s="1"/>
  <c r="S148" i="18"/>
  <c r="N39" i="11"/>
  <c r="O38" i="11"/>
  <c r="I18" i="8"/>
  <c r="S168" i="18" l="1"/>
  <c r="S171" i="18" s="1"/>
  <c r="U171" i="18"/>
  <c r="M193" i="18"/>
  <c r="P193" i="18"/>
  <c r="P196" i="18"/>
  <c r="P197" i="18" s="1"/>
  <c r="M195" i="18"/>
  <c r="M192" i="18"/>
  <c r="AD117" i="18"/>
  <c r="AD116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<sst xmlns="http://schemas.openxmlformats.org/spreadsheetml/2006/main" count="661" uniqueCount="467">
  <si>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</si>
  <si>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</si>
  <si>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</si>
  <si>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</si>
  <si>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</si>
  <si>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</si>
  <si>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</si>
  <si>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</si>
  <si>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</si>
  <si>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</si>
  <si>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</si>
  <si>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</si>
  <si>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</si>
  <si>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</si>
  <si>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</si>
  <si>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</si>
  <si>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</si>
  <si>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</si>
  <si>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</si>
  <si>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</si>
  <si>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</si>
  <si>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</si>
  <si>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</si>
  <si>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</si>
  <si>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</si>
  <si>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</si>
  <si>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</si>
  <si>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</si>
  <si>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</si>
  <si>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</si>
  <si>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</si>
  <si>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</si>
  <si>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</si>
  <si>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</si>
  <si>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</si>
  <si>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</si>
  <si>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</si>
  <si>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</si>
  <si>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</si>
  <si>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</si>
  <si>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</si>
  <si>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</si>
  <si>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</si>
  <si>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</si>
  <si>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</si>
  <si>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</si>
  <si>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</si>
  <si>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</si>
  <si>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</si>
  <si>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</si>
  <si>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</si>
  <si>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</si>
  <si>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</si>
  <si>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</si>
  <si>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</si>
  <si>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</si>
  <si>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</si>
  <si>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</si>
  <si>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</si>
  <si>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</si>
  <si>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</si>
  <si>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</si>
  <si>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</si>
  <si>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</si>
  <si>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</si>
  <si>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</si>
  <si>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</si>
  <si>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</si>
  <si>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</si>
  <si>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</si>
  <si>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</si>
  <si>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</si>
  <si>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</si>
  <si>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</si>
  <si>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</si>
  <si>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</si>
  <si>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</si>
  <si>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</si>
  <si>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</si>
  <si>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</si>
  <si>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</si>
  <si>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</si>
  <si>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</si>
  <si>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</si>
  <si>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</si>
  <si>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</si>
  <si>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</si>
  <si>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</si>
  <si>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</si>
  <si>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</si>
  <si>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</si>
  <si>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</si>
  <si>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</si>
  <si>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</si>
  <si>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</si>
  <si>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</si>
  <si>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</si>
  <si>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</si>
  <si>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</si>
  <si>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</si>
  <si>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</si>
  <si>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</si>
  <si>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</si>
  <si>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</si>
  <si>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</si>
  <si>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</si>
  <si>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</si>
  <si>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</si>
  <si>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</si>
  <si>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</si>
  <si>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</si>
  <si>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</si>
  <si>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</si>
  <si>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</si>
  <si>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</si>
  <si>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</si>
  <si>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</si>
  <si>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</si>
  <si>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</si>
  <si>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</si>
  <si>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</si>
  <si>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</si>
  <si>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</si>
  <si>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</si>
  <si>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</si>
  <si>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</si>
  <si>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</si>
  <si>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</si>
  <si>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</si>
  <si>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</si>
  <si>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</si>
  <si>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</si>
  <si>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</si>
  <si>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</si>
  <si>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</si>
  <si>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</si>
  <si>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</si>
  <si>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</si>
  <si>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</si>
  <si>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</si>
  <si>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</si>
  <si>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</si>
  <si>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</si>
  <si>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</si>
  <si>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</si>
  <si>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</si>
  <si>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</si>
  <si>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</si>
  <si>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</si>
  <si>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</si>
  <si>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</si>
  <si>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</si>
  <si>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</si>
  <si>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</si>
  <si>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</si>
  <si>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</si>
  <si>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</si>
  <si>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</si>
  <si>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</si>
  <si>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</si>
  <si>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</si>
  <si>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</si>
  <si>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</si>
  <si>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</si>
  <si>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</si>
  <si>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</si>
  <si>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</si>
  <si>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</si>
  <si>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</si>
  <si>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</si>
  <si>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</si>
  <si>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</si>
  <si>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</si>
  <si>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</si>
  <si>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</si>
  <si>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</si>
  <si>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</si>
  <si>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</si>
  <si>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</si>
  <si>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</si>
  <si>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</si>
  <si>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</si>
  <si>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</si>
  <si>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</si>
  <si>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</si>
  <si>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</si>
  <si>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</si>
  <si>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</si>
  <si>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</si>
  <si>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</si>
  <si>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</si>
  <si>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</si>
  <si>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</si>
  <si>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</si>
  <si>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</si>
  <si>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</si>
  <si>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</si>
  <si>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</si>
  <si>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</si>
  <si>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</si>
  <si>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</si>
  <si>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</si>
  <si>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</si>
  <si>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</si>
  <si>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</si>
  <si>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</si>
  <si>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</si>
  <si>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</si>
  <si>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</si>
  <si>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</si>
  <si>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</si>
  <si>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</si>
  <si>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</si>
  <si>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</si>
  <si>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</si>
  <si>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</si>
  <si>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</si>
  <si>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</si>
  <si>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</si>
  <si>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</si>
  <si>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</si>
  <si>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</si>
  <si>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</si>
  <si>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</si>
  <si>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</si>
  <si>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</si>
  <si>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</si>
  <si>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</si>
  <si>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</si>
  <si>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</si>
  <si>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</si>
  <si>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</si>
  <si>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</si>
  <si>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</si>
  <si>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</si>
  <si>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</si>
  <si>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</si>
  <si>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</si>
  <si>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</si>
  <si>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</si>
  <si>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</si>
  <si>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</si>
  <si>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</si>
  <si>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</si>
  <si>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</si>
  <si>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</si>
  <si>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</si>
  <si>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</si>
  <si>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</si>
  <si>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</si>
  <si>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</si>
  <si>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</si>
  <si>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</si>
  <si>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</si>
  <si>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</si>
  <si>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</si>
  <si>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</si>
  <si>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</si>
  <si>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</si>
  <si>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</si>
  <si>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</si>
  <si>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</si>
  <si>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</si>
  <si>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</si>
  <si>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</si>
  <si>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</si>
  <si>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</si>
  <si>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</si>
  <si>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</si>
  <si>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</si>
  <si>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</si>
  <si>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</si>
  <si>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</si>
  <si>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</si>
  <si>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</si>
  <si>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</si>
  <si>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</si>
  <si>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</si>
  <si>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</si>
  <si>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</si>
  <si>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</si>
  <si>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</si>
  <si>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</si>
  <si>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</si>
  <si>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</si>
  <si>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</si>
  <si>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</si>
  <si>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</si>
  <si>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</si>
  <si>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</si>
  <si>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</si>
  <si>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</si>
  <si>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</si>
  <si>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</si>
  <si>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</si>
  <si>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</si>
  <si>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</si>
  <si>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</si>
  <si>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</si>
  <si>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</si>
  <si>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</si>
  <si>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</si>
  <si>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</si>
  <si>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</si>
  <si>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</si>
  <si>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</si>
  <si>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</si>
  <si>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</si>
  <si>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</si>
  <si>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</si>
  <si>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</si>
  <si>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</si>
  <si>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</si>
  <si>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</si>
  <si>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</si>
  <si>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</si>
  <si>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</si>
  <si>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</si>
  <si>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</si>
  <si>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</si>
  <si>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</si>
  <si>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</si>
  <si>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</si>
  <si>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</si>
  <si>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</si>
  <si>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</si>
  <si>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</si>
  <si>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</si>
  <si>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</si>
  <si>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</si>
  <si>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</si>
  <si>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</si>
  <si>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</si>
  <si>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</si>
  <si>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</si>
  <si>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</si>
  <si>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</si>
  <si>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</si>
  <si>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</si>
  <si>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</si>
  <si>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</si>
  <si>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</si>
  <si>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</si>
  <si>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</si>
  <si>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</si>
  <si>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</si>
  <si>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</si>
  <si>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</si>
  <si>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</si>
  <si>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</si>
  <si>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</si>
  <si>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</si>
  <si>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</si>
  <si>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</si>
  <si>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</si>
  <si>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</si>
  <si>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</si>
  <si>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</si>
  <si>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</si>
  <si>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</si>
  <si>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</si>
  <si>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</si>
  <si>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</si>
  <si>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</si>
  <si>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</si>
  <si>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</si>
  <si>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</si>
  <si>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</si>
  <si>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</si>
  <si>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</si>
  <si>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</si>
  <si>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</si>
  <si>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</si>
  <si>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</si>
  <si>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</si>
  <si>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</si>
  <si>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</si>
  <si>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</si>
  <si>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</si>
  <si>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</si>
  <si>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</si>
  <si>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</si>
  <si>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</si>
  <si>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</si>
  <si>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</si>
  <si>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</si>
  <si>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</si>
  <si>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</si>
  <si>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</si>
  <si>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</si>
  <si>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</si>
  <si>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</si>
  <si>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</si>
  <si>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</si>
  <si>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</si>
  <si>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</si>
  <si>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</si>
  <si>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</si>
  <si>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</si>
  <si>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</si>
  <si>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</si>
  <si>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</si>
  <si>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</si>
  <si>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</si>
  <si>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</si>
  <si>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</si>
  <si>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</si>
  <si>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</si>
  <si>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</si>
  <si>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</si>
  <si>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</si>
  <si>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</si>
  <si>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</si>
  <si>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</si>
  <si>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</si>
  <si>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</si>
  <si>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</si>
  <si>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</si>
  <si>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</si>
  <si>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</si>
  <si>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</si>
  <si>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</si>
  <si>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</si>
  <si>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</si>
  <si>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</si>
  <si>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</si>
  <si>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</si>
  <si>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</si>
  <si>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</si>
  <si>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</si>
  <si>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</si>
  <si>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</si>
  <si>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</si>
  <si>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</si>
  <si>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</si>
  <si>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</si>
  <si>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</si>
  <si>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</si>
  <si>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</si>
  <si>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</si>
  <si>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</si>
  <si>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</si>
  <si>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</si>
  <si>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</si>
  <si>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</si>
  <si>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</si>
  <si>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</si>
  <si>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</si>
  <si>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</si>
  <si>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</si>
  <si>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</si>
  <si>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</si>
  <si>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</si>
  <si>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</si>
  <si>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</si>
  <si>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</si>
  <si>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</si>
  <si>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</si>
  <si>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</si>
  <si>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</si>
  <si>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</si>
  <si>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</si>
  <si>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</si>
  <si>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</si>
  <si>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</si>
  <si>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2nd highest Expenses Comp. ( Selling exp )</t>
  </si>
  <si>
    <t>10x5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</si>
</sst>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172" fontId="5" fillId="5" borderId="1" xfId="0" applyNumberFormat="1" applyFont="1" applyFill="1" applyBorder="1"/>
    <xf numFmtId="10" fontId="4" fillId="6" borderId="4" xfId="1" applyNumberFormat="1" applyFont="1" applyFill="1" applyBorder="1"/>
    <xf numFmtId="0" fontId="5" fillId="7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71584"/>
        <c:axId val="172793856"/>
      </c:lineChart>
      <c:catAx>
        <c:axId val="172771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72793856"/>
        <c:crosses val="autoZero"/>
        <c:auto val="1"/>
        <c:lblAlgn val="ctr"/>
        <c:lblOffset val="100"/>
        <c:noMultiLvlLbl val="0"/>
      </c:catAx>
      <c:valAx>
        <c:axId val="17279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7715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317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33"/>
  <sheetViews>
    <sheetView tabSelected="1" zoomScale="80" zoomScaleNormal="80" workbookViewId="0">
      <pane xSplit="2" ySplit="3" topLeftCell="E168" activePane="bottomRight" state="frozen"/>
      <selection pane="topRight" activeCell="C1" sqref="C1"/>
      <selection pane="bottomLeft" activeCell="A5" sqref="A5"/>
      <selection pane="bottomRight" activeCell="H201" sqref="H201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12" width="11.28515625" style="104" bestFit="1" customWidth="1"/>
    <col min="13" max="15" width="10.28515625" style="104" bestFit="1" customWidth="1"/>
    <col min="16" max="16" width="11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8" width="11.28515625" style="104" bestFit="1" customWidth="1"/>
    <col min="29" max="29" width="11.425781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0.18</v>
      </c>
      <c r="F1" s="104" t="s">
        <v>252</v>
      </c>
      <c r="H1" s="126">
        <v>2004</v>
      </c>
      <c r="J1" s="104" t="s">
        <v>325</v>
      </c>
      <c r="L1" s="163">
        <v>0.05</v>
      </c>
      <c r="N1" s="104" t="s">
        <v>396</v>
      </c>
      <c r="P1" s="163">
        <v>0.05</v>
      </c>
    </row>
    <row r="2" spans="2:32" x14ac:dyDescent="0.2">
      <c r="B2" s="152" t="s">
        <v>313</v>
      </c>
      <c r="C2" s="120"/>
      <c r="F2" s="104" t="s">
        <v>253</v>
      </c>
      <c r="H2" s="126">
        <v>2014</v>
      </c>
      <c r="J2" s="104" t="s">
        <v>326</v>
      </c>
      <c r="L2" s="163">
        <v>0.2</v>
      </c>
      <c r="N2" s="104" t="s">
        <v>464</v>
      </c>
      <c r="P2" s="163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290</v>
      </c>
      <c r="AF2" s="202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3" t="s">
        <v>291</v>
      </c>
      <c r="AF3" s="204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 x14ac:dyDescent="0.2">
      <c r="B6" s="20" t="s">
        <v>16</v>
      </c>
      <c r="C6" s="140"/>
      <c r="D6" s="140"/>
      <c r="E6" s="146"/>
      <c r="F6" s="146"/>
      <c r="G6" s="146">
        <v>2386</v>
      </c>
      <c r="H6" s="146">
        <v>2676</v>
      </c>
      <c r="I6" s="146">
        <v>5454</v>
      </c>
      <c r="J6" s="146">
        <v>9560</v>
      </c>
      <c r="K6" s="146">
        <v>19766</v>
      </c>
      <c r="L6" s="146">
        <v>27086</v>
      </c>
      <c r="M6" s="146">
        <v>37716</v>
      </c>
      <c r="N6" s="146">
        <v>46868</v>
      </c>
      <c r="O6" s="146">
        <v>48712</v>
      </c>
      <c r="P6" s="146">
        <v>48422</v>
      </c>
      <c r="Q6" s="146">
        <v>57791</v>
      </c>
      <c r="R6" s="118">
        <f>((Q6/G6)^(1/($H$2-$H$1) ))-1</f>
        <v>0.37536819444907477</v>
      </c>
      <c r="S6" s="31">
        <f>$L$2</f>
        <v>0.2</v>
      </c>
      <c r="T6" s="153">
        <f>Q6*(1+$S6)</f>
        <v>69349.2</v>
      </c>
      <c r="U6" s="153">
        <f>T6*(1+$S6)</f>
        <v>83219.039999999994</v>
      </c>
      <c r="V6" s="153">
        <f t="shared" ref="V6:AC6" si="0">U6*(1+$S6)</f>
        <v>99862.847999999984</v>
      </c>
      <c r="W6" s="153">
        <f t="shared" si="0"/>
        <v>119835.41759999997</v>
      </c>
      <c r="X6" s="153">
        <f t="shared" si="0"/>
        <v>143802.50111999997</v>
      </c>
      <c r="Y6" s="153">
        <f t="shared" si="0"/>
        <v>172563.00134399996</v>
      </c>
      <c r="Z6" s="153">
        <f t="shared" si="0"/>
        <v>207075.60161279995</v>
      </c>
      <c r="AA6" s="153">
        <f t="shared" si="0"/>
        <v>248490.72193535994</v>
      </c>
      <c r="AB6" s="153">
        <f t="shared" si="0"/>
        <v>298188.86632243189</v>
      </c>
      <c r="AC6" s="153">
        <f t="shared" si="0"/>
        <v>357826.63958691823</v>
      </c>
      <c r="AD6" s="137">
        <f>((AC6/G6)^(1/($AC$3-$H$1) ))-1</f>
        <v>0.2846952297486316</v>
      </c>
      <c r="AE6" s="31">
        <f>$L$1</f>
        <v>0.05</v>
      </c>
      <c r="AF6" s="145">
        <f t="shared" ref="AF6:AF44" si="1">(AC6*(1+AE6))/($C$1-AE6)</f>
        <v>2890138.2428174168</v>
      </c>
    </row>
    <row r="7" spans="2:32" x14ac:dyDescent="0.2">
      <c r="B7" s="20" t="s">
        <v>240</v>
      </c>
      <c r="C7" s="140"/>
      <c r="D7" s="140"/>
      <c r="E7" s="146"/>
      <c r="F7" s="146"/>
      <c r="G7" s="146">
        <v>4239</v>
      </c>
      <c r="H7" s="146">
        <v>4534</v>
      </c>
      <c r="I7" s="146">
        <v>7362</v>
      </c>
      <c r="J7" s="146">
        <v>11488</v>
      </c>
      <c r="K7" s="146">
        <v>21724</v>
      </c>
      <c r="L7" s="146">
        <v>29127</v>
      </c>
      <c r="M7" s="146">
        <v>39878</v>
      </c>
      <c r="N7" s="146">
        <v>48766</v>
      </c>
      <c r="O7" s="146">
        <v>50611</v>
      </c>
      <c r="P7" s="146">
        <v>50321</v>
      </c>
      <c r="Q7" s="146">
        <v>59756</v>
      </c>
      <c r="R7" s="118">
        <f>((Q7/G7)^(1/($H$2-$H$1) ))-1</f>
        <v>0.3029021783909589</v>
      </c>
      <c r="S7" s="31">
        <f>$L$2</f>
        <v>0.2</v>
      </c>
      <c r="T7" s="153">
        <f t="shared" ref="T7:T44" si="2">Q7*(1+$S7)</f>
        <v>71707.199999999997</v>
      </c>
      <c r="U7" s="153">
        <f t="shared" ref="U7:AC7" si="3">T7*(1+$S7)</f>
        <v>86048.639999999999</v>
      </c>
      <c r="V7" s="153">
        <f t="shared" si="3"/>
        <v>103258.368</v>
      </c>
      <c r="W7" s="153">
        <f t="shared" si="3"/>
        <v>123910.0416</v>
      </c>
      <c r="X7" s="153">
        <f t="shared" si="3"/>
        <v>148692.04991999999</v>
      </c>
      <c r="Y7" s="153">
        <f t="shared" si="3"/>
        <v>178430.45990399999</v>
      </c>
      <c r="Z7" s="153">
        <f t="shared" si="3"/>
        <v>214116.55188479999</v>
      </c>
      <c r="AA7" s="153">
        <f t="shared" si="3"/>
        <v>256939.86226175999</v>
      </c>
      <c r="AB7" s="153">
        <f t="shared" si="3"/>
        <v>308327.83471411199</v>
      </c>
      <c r="AC7" s="153">
        <f t="shared" si="3"/>
        <v>369993.40165693435</v>
      </c>
      <c r="AD7" s="137">
        <f>((AC7/G7)^(1/($AC$3-$H$1) ))-1</f>
        <v>0.25039298385313691</v>
      </c>
      <c r="AE7" s="31">
        <f>$L$1</f>
        <v>0.05</v>
      </c>
      <c r="AF7" s="145">
        <f t="shared" si="1"/>
        <v>2988408.2441521618</v>
      </c>
    </row>
    <row r="8" spans="2:32" x14ac:dyDescent="0.2">
      <c r="B8" s="20"/>
      <c r="C8" s="140"/>
      <c r="D8" s="140"/>
      <c r="E8" s="146"/>
      <c r="F8" s="146"/>
      <c r="G8" s="147">
        <f>(G7-F7)/G7</f>
        <v>1</v>
      </c>
      <c r="H8" s="150">
        <f t="shared" ref="H8:Q8" si="4">(H7-G7)/G7</f>
        <v>6.9591884878509078E-2</v>
      </c>
      <c r="I8" s="150">
        <f t="shared" si="4"/>
        <v>0.62373180414644902</v>
      </c>
      <c r="J8" s="150">
        <f t="shared" si="4"/>
        <v>0.56044553110567785</v>
      </c>
      <c r="K8" s="150">
        <f t="shared" si="4"/>
        <v>0.89101671309192199</v>
      </c>
      <c r="L8" s="150">
        <f t="shared" si="4"/>
        <v>0.34077517952494935</v>
      </c>
      <c r="M8" s="150">
        <f t="shared" si="4"/>
        <v>0.36910770075874616</v>
      </c>
      <c r="N8" s="150">
        <f t="shared" si="4"/>
        <v>0.22287978333918451</v>
      </c>
      <c r="O8" s="150">
        <f t="shared" si="4"/>
        <v>3.783373661977607E-2</v>
      </c>
      <c r="P8" s="150">
        <f t="shared" si="4"/>
        <v>-5.7299796486929722E-3</v>
      </c>
      <c r="Q8" s="150">
        <f t="shared" si="4"/>
        <v>0.18749627392142446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2120</v>
      </c>
      <c r="H9" s="146">
        <v>4647</v>
      </c>
      <c r="I9" s="146">
        <v>7122</v>
      </c>
      <c r="J9" s="146">
        <v>10416</v>
      </c>
      <c r="K9" s="146">
        <v>14854</v>
      </c>
      <c r="L9" s="146">
        <v>16862</v>
      </c>
      <c r="M9" s="146">
        <v>15573</v>
      </c>
      <c r="N9" s="146">
        <v>38115</v>
      </c>
      <c r="O9" s="146">
        <v>33804</v>
      </c>
      <c r="P9" s="146">
        <v>38713</v>
      </c>
      <c r="Q9" s="146">
        <v>42138</v>
      </c>
      <c r="R9" s="118">
        <f>((Q9/G9)^(1/($H$2-$H$1) ))-1</f>
        <v>0.3484467652030554</v>
      </c>
      <c r="S9" s="31">
        <f t="shared" ref="S9:S40" si="5">$L$2</f>
        <v>0.2</v>
      </c>
      <c r="T9" s="153">
        <f t="shared" si="2"/>
        <v>50565.599999999999</v>
      </c>
      <c r="U9" s="153">
        <f t="shared" ref="U9" si="6">T9*(1+$S9)</f>
        <v>60678.719999999994</v>
      </c>
      <c r="V9" s="153">
        <f t="shared" ref="V9" si="7">U9*(1+$S9)</f>
        <v>72814.463999999993</v>
      </c>
      <c r="W9" s="153">
        <f t="shared" ref="W9" si="8">V9*(1+$S9)</f>
        <v>87377.356799999994</v>
      </c>
      <c r="X9" s="153">
        <f t="shared" ref="X9" si="9">W9*(1+$S9)</f>
        <v>104852.82815999999</v>
      </c>
      <c r="Y9" s="153">
        <f t="shared" ref="Y9" si="10">X9*(1+$S9)</f>
        <v>125823.39379199999</v>
      </c>
      <c r="Z9" s="153">
        <f t="shared" ref="Z9" si="11">Y9*(1+$S9)</f>
        <v>150988.07255039999</v>
      </c>
      <c r="AA9" s="153">
        <f t="shared" ref="AA9" si="12">Z9*(1+$S9)</f>
        <v>181185.68706047998</v>
      </c>
      <c r="AB9" s="153">
        <f t="shared" ref="AB9" si="13">AA9*(1+$S9)</f>
        <v>217422.82447257597</v>
      </c>
      <c r="AC9" s="153">
        <f t="shared" ref="AC9" si="14">AB9*(1+$S9)</f>
        <v>260907.38936709115</v>
      </c>
      <c r="AD9" s="137">
        <f>((AC9/G9)^(1/($AC$3-$H$1) ))-1</f>
        <v>0.27205979350173082</v>
      </c>
      <c r="AE9" s="31">
        <f t="shared" ref="AE9:AE84" si="15">$L$1</f>
        <v>0.05</v>
      </c>
      <c r="AF9" s="145">
        <f t="shared" si="1"/>
        <v>2107328.9141188134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4699</v>
      </c>
      <c r="H10" s="146">
        <v>5000</v>
      </c>
      <c r="I10" s="146">
        <v>4772</v>
      </c>
      <c r="J10" s="146">
        <v>5285</v>
      </c>
      <c r="K10" s="146">
        <v>9601</v>
      </c>
      <c r="L10" s="146">
        <v>13517</v>
      </c>
      <c r="M10" s="146">
        <v>10288</v>
      </c>
      <c r="N10" s="146">
        <v>56650</v>
      </c>
      <c r="O10" s="146">
        <v>69023</v>
      </c>
      <c r="P10" s="146">
        <v>72960</v>
      </c>
      <c r="Q10" s="146">
        <v>75895</v>
      </c>
      <c r="R10" s="118">
        <f>((Q10/G10)^(1/($H$2-$H$1) ))-1</f>
        <v>0.32075046428798637</v>
      </c>
      <c r="S10" s="31">
        <f t="shared" si="5"/>
        <v>0.2</v>
      </c>
      <c r="T10" s="153">
        <f t="shared" si="2"/>
        <v>91074</v>
      </c>
      <c r="U10" s="153">
        <f t="shared" ref="U10:AC10" si="16">T10*(1+$S10)</f>
        <v>109288.8</v>
      </c>
      <c r="V10" s="153">
        <f t="shared" si="16"/>
        <v>131146.56</v>
      </c>
      <c r="W10" s="153">
        <f t="shared" si="16"/>
        <v>157375.872</v>
      </c>
      <c r="X10" s="153">
        <f t="shared" si="16"/>
        <v>188851.04639999999</v>
      </c>
      <c r="Y10" s="153">
        <f t="shared" si="16"/>
        <v>226621.25567999997</v>
      </c>
      <c r="Z10" s="153">
        <f t="shared" si="16"/>
        <v>271945.50681599998</v>
      </c>
      <c r="AA10" s="153">
        <f t="shared" si="16"/>
        <v>326334.60817919997</v>
      </c>
      <c r="AB10" s="153">
        <f t="shared" si="16"/>
        <v>391601.52981503995</v>
      </c>
      <c r="AC10" s="153">
        <f t="shared" si="16"/>
        <v>469921.83577804791</v>
      </c>
      <c r="AD10" s="137">
        <f t="shared" ref="AD10:AD42" si="17">((AC10/G10)^(1/($AC$3-$H$1) ))-1</f>
        <v>0.25892833677917659</v>
      </c>
      <c r="AE10" s="31">
        <f t="shared" si="15"/>
        <v>0.05</v>
      </c>
      <c r="AF10" s="145">
        <f t="shared" si="1"/>
        <v>3795522.5197457718</v>
      </c>
    </row>
    <row r="11" spans="2:32" x14ac:dyDescent="0.2">
      <c r="B11" s="20"/>
      <c r="C11" s="140"/>
      <c r="D11" s="140"/>
      <c r="E11" s="146"/>
      <c r="F11" s="146"/>
      <c r="G11" s="147">
        <f>(G10-F10)/G10</f>
        <v>1</v>
      </c>
      <c r="H11" s="150">
        <f t="shared" ref="H11:Q11" si="18">(H10-G10)/G10</f>
        <v>6.4056182166418382E-2</v>
      </c>
      <c r="I11" s="150">
        <f t="shared" si="18"/>
        <v>-4.5600000000000002E-2</v>
      </c>
      <c r="J11" s="150">
        <f t="shared" si="18"/>
        <v>0.10750209555741827</v>
      </c>
      <c r="K11" s="150">
        <f t="shared" si="18"/>
        <v>0.81665089877010411</v>
      </c>
      <c r="L11" s="150">
        <f t="shared" si="18"/>
        <v>0.40787417977294033</v>
      </c>
      <c r="M11" s="150">
        <f t="shared" si="18"/>
        <v>-0.23888436783309905</v>
      </c>
      <c r="N11" s="150">
        <f t="shared" si="18"/>
        <v>4.5064152410575424</v>
      </c>
      <c r="O11" s="150">
        <f t="shared" si="18"/>
        <v>0.21841129744042365</v>
      </c>
      <c r="P11" s="150">
        <f t="shared" si="18"/>
        <v>5.7038958028483258E-2</v>
      </c>
      <c r="Q11" s="150">
        <f t="shared" si="18"/>
        <v>4.022752192982456E-2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40"/>
      <c r="D12" s="140"/>
      <c r="E12" s="146"/>
      <c r="F12" s="146"/>
      <c r="G12" s="146">
        <v>135</v>
      </c>
      <c r="H12" s="146">
        <f>180+230</f>
        <v>410</v>
      </c>
      <c r="I12" s="146">
        <f>215+136</f>
        <v>351</v>
      </c>
      <c r="J12" s="146">
        <f>267+584</f>
        <v>851</v>
      </c>
      <c r="K12" s="146">
        <f>247+456</f>
        <v>703</v>
      </c>
      <c r="L12" s="146">
        <f>2408+357</f>
        <v>2765</v>
      </c>
      <c r="M12" s="146">
        <f>1010+1567</f>
        <v>2577</v>
      </c>
      <c r="N12" s="146">
        <f>884+74</f>
        <v>958</v>
      </c>
      <c r="O12" s="146">
        <v>2030</v>
      </c>
      <c r="P12" s="146">
        <v>1729</v>
      </c>
      <c r="Q12" s="146">
        <v>4980</v>
      </c>
      <c r="R12" s="118">
        <f>((Q12/G12)^(1/($H$2-$H$1) ))-1</f>
        <v>0.43446368281976699</v>
      </c>
      <c r="S12" s="31">
        <f t="shared" si="5"/>
        <v>0.2</v>
      </c>
      <c r="T12" s="153">
        <f t="shared" si="2"/>
        <v>5976</v>
      </c>
      <c r="U12" s="153">
        <f t="shared" ref="U12:AC12" si="19">T12*(1+$S12)</f>
        <v>7171.2</v>
      </c>
      <c r="V12" s="153">
        <f t="shared" si="19"/>
        <v>8605.4399999999987</v>
      </c>
      <c r="W12" s="153">
        <f t="shared" si="19"/>
        <v>10326.527999999998</v>
      </c>
      <c r="X12" s="153">
        <f t="shared" si="19"/>
        <v>12391.833599999998</v>
      </c>
      <c r="Y12" s="153">
        <f t="shared" si="19"/>
        <v>14870.200319999996</v>
      </c>
      <c r="Z12" s="153">
        <f t="shared" si="19"/>
        <v>17844.240383999993</v>
      </c>
      <c r="AA12" s="153">
        <f t="shared" si="19"/>
        <v>21413.088460799991</v>
      </c>
      <c r="AB12" s="153">
        <f t="shared" si="19"/>
        <v>25695.706152959989</v>
      </c>
      <c r="AC12" s="153">
        <f t="shared" si="19"/>
        <v>30834.847383551984</v>
      </c>
      <c r="AD12" s="137">
        <f t="shared" si="17"/>
        <v>0.31200473298830755</v>
      </c>
      <c r="AE12" s="31">
        <f t="shared" si="15"/>
        <v>0.05</v>
      </c>
      <c r="AF12" s="145">
        <f t="shared" si="1"/>
        <v>249050.6904056122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334</v>
      </c>
      <c r="H13" s="146">
        <v>478</v>
      </c>
      <c r="I13" s="146">
        <v>247</v>
      </c>
      <c r="J13" s="146">
        <v>147</v>
      </c>
      <c r="K13" s="146">
        <v>4809</v>
      </c>
      <c r="L13" s="146">
        <v>2348</v>
      </c>
      <c r="M13" s="146">
        <v>5162</v>
      </c>
      <c r="N13" s="146">
        <v>622</v>
      </c>
      <c r="O13" s="146">
        <v>1815</v>
      </c>
      <c r="P13" s="146">
        <v>6769</v>
      </c>
      <c r="Q13" s="146">
        <v>15530</v>
      </c>
      <c r="R13" s="118">
        <f>((Q13/G13)^(1/($H$2-$H$1) ))-1</f>
        <v>0.46805558265067426</v>
      </c>
      <c r="S13" s="31">
        <f t="shared" si="5"/>
        <v>0.2</v>
      </c>
      <c r="T13" s="153">
        <f t="shared" si="2"/>
        <v>18636</v>
      </c>
      <c r="U13" s="153">
        <f t="shared" ref="U13:AC13" si="20">T13*(1+$S13)</f>
        <v>22363.200000000001</v>
      </c>
      <c r="V13" s="153">
        <f t="shared" si="20"/>
        <v>26835.84</v>
      </c>
      <c r="W13" s="153">
        <f t="shared" si="20"/>
        <v>32203.007999999998</v>
      </c>
      <c r="X13" s="153">
        <f t="shared" si="20"/>
        <v>38643.609599999996</v>
      </c>
      <c r="Y13" s="153">
        <f t="shared" si="20"/>
        <v>46372.331519999992</v>
      </c>
      <c r="Z13" s="153">
        <f t="shared" si="20"/>
        <v>55646.797823999987</v>
      </c>
      <c r="AA13" s="153">
        <f t="shared" si="20"/>
        <v>66776.157388799984</v>
      </c>
      <c r="AB13" s="153">
        <f t="shared" si="20"/>
        <v>80131.388866559981</v>
      </c>
      <c r="AC13" s="153">
        <f t="shared" si="20"/>
        <v>96157.666639871968</v>
      </c>
      <c r="AD13" s="137">
        <f t="shared" si="17"/>
        <v>0.32727792838606673</v>
      </c>
      <c r="AE13" s="31">
        <f t="shared" si="15"/>
        <v>0.05</v>
      </c>
      <c r="AF13" s="145">
        <f t="shared" si="1"/>
        <v>776658.07670665823</v>
      </c>
    </row>
    <row r="14" spans="2:32" x14ac:dyDescent="0.2">
      <c r="B14" s="20" t="s">
        <v>371</v>
      </c>
      <c r="C14" s="140"/>
      <c r="D14" s="140"/>
      <c r="E14" s="146"/>
      <c r="F14" s="146"/>
      <c r="G14" s="146">
        <v>32</v>
      </c>
      <c r="H14" s="146">
        <v>54</v>
      </c>
      <c r="I14" s="146">
        <v>38</v>
      </c>
      <c r="J14" s="146">
        <v>91</v>
      </c>
      <c r="K14" s="146">
        <v>114</v>
      </c>
      <c r="L14" s="146">
        <v>96</v>
      </c>
      <c r="M14" s="146">
        <v>48</v>
      </c>
      <c r="N14" s="146">
        <v>214</v>
      </c>
      <c r="O14" s="146">
        <v>131</v>
      </c>
      <c r="P14" s="146">
        <v>111</v>
      </c>
      <c r="Q14" s="146">
        <v>142</v>
      </c>
      <c r="R14" s="118">
        <f>((Q14/G14)^(1/($H$2-$H$1) ))-1</f>
        <v>0.16068356934890482</v>
      </c>
      <c r="S14" s="31">
        <f t="shared" si="5"/>
        <v>0.2</v>
      </c>
      <c r="T14" s="153">
        <f t="shared" si="2"/>
        <v>170.4</v>
      </c>
      <c r="U14" s="153">
        <f t="shared" ref="U14" si="21">T14*(1+$S14)</f>
        <v>204.48</v>
      </c>
      <c r="V14" s="153">
        <f t="shared" ref="V14" si="22">U14*(1+$S14)</f>
        <v>245.37599999999998</v>
      </c>
      <c r="W14" s="153">
        <f t="shared" ref="W14" si="23">V14*(1+$S14)</f>
        <v>294.45119999999997</v>
      </c>
      <c r="X14" s="153">
        <f t="shared" ref="X14" si="24">W14*(1+$S14)</f>
        <v>353.34143999999998</v>
      </c>
      <c r="Y14" s="153">
        <f t="shared" ref="Y14" si="25">X14*(1+$S14)</f>
        <v>424.00972799999994</v>
      </c>
      <c r="Z14" s="153">
        <f t="shared" ref="Z14" si="26">Y14*(1+$S14)</f>
        <v>508.81167359999989</v>
      </c>
      <c r="AA14" s="153">
        <f t="shared" ref="AA14" si="27">Z14*(1+$S14)</f>
        <v>610.57400831999985</v>
      </c>
      <c r="AB14" s="153">
        <f t="shared" ref="AB14" si="28">AA14*(1+$S14)</f>
        <v>732.68880998399982</v>
      </c>
      <c r="AC14" s="153">
        <f t="shared" ref="AC14" si="29">AB14*(1+$S14)</f>
        <v>879.2265719807998</v>
      </c>
      <c r="AD14" s="137">
        <f t="shared" ref="AD14" si="30">((AC14/G14)^(1/($AC$3-$H$1) ))-1</f>
        <v>0.18017807267322405</v>
      </c>
      <c r="AE14" s="31">
        <f t="shared" si="15"/>
        <v>0.05</v>
      </c>
      <c r="AF14" s="145">
        <f t="shared" ref="AF14" si="31">(AC14*(1+AE14))/($C$1-AE14)</f>
        <v>7101.4453890756904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698</v>
      </c>
      <c r="H15" s="146">
        <v>975</v>
      </c>
      <c r="I15" s="146">
        <v>1367</v>
      </c>
      <c r="J15" s="146">
        <v>2230</v>
      </c>
      <c r="K15" s="146">
        <v>3200</v>
      </c>
      <c r="L15" s="146">
        <v>3353</v>
      </c>
      <c r="M15" s="146">
        <v>4241</v>
      </c>
      <c r="N15" s="146">
        <v>6590</v>
      </c>
      <c r="O15" s="146">
        <v>8534</v>
      </c>
      <c r="P15" s="146">
        <v>8483</v>
      </c>
      <c r="Q15" s="146">
        <v>11367</v>
      </c>
      <c r="R15" s="118">
        <f>((Q15/G15)^(1/($H$2-$H$1) ))-1</f>
        <v>0.3218404683700764</v>
      </c>
      <c r="S15" s="31">
        <f t="shared" si="5"/>
        <v>0.2</v>
      </c>
      <c r="T15" s="153">
        <f t="shared" si="2"/>
        <v>13640.4</v>
      </c>
      <c r="U15" s="153">
        <f t="shared" ref="U15:AC15" si="32">T15*(1+$S15)</f>
        <v>16368.48</v>
      </c>
      <c r="V15" s="153">
        <f t="shared" si="32"/>
        <v>19642.175999999999</v>
      </c>
      <c r="W15" s="153">
        <f t="shared" si="32"/>
        <v>23570.611199999999</v>
      </c>
      <c r="X15" s="153">
        <f t="shared" si="32"/>
        <v>28284.73344</v>
      </c>
      <c r="Y15" s="153">
        <f t="shared" si="32"/>
        <v>33941.680128</v>
      </c>
      <c r="Z15" s="153">
        <f t="shared" si="32"/>
        <v>40730.016153600001</v>
      </c>
      <c r="AA15" s="153">
        <f t="shared" si="32"/>
        <v>48876.019384320003</v>
      </c>
      <c r="AB15" s="153">
        <f t="shared" si="32"/>
        <v>58651.223261184001</v>
      </c>
      <c r="AC15" s="153">
        <f t="shared" si="32"/>
        <v>70381.467913420798</v>
      </c>
      <c r="AD15" s="137">
        <f t="shared" si="17"/>
        <v>0.25944772104446301</v>
      </c>
      <c r="AE15" s="31">
        <f t="shared" si="15"/>
        <v>0.05</v>
      </c>
      <c r="AF15" s="145">
        <f t="shared" si="1"/>
        <v>568465.70237762958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-454</v>
      </c>
      <c r="H16" s="146">
        <v>-2307</v>
      </c>
      <c r="I16" s="146">
        <v>-4266</v>
      </c>
      <c r="J16" s="146">
        <v>-6155</v>
      </c>
      <c r="K16" s="146">
        <v>-8588</v>
      </c>
      <c r="L16" s="146">
        <v>-6566</v>
      </c>
      <c r="M16" s="146">
        <v>-5424</v>
      </c>
      <c r="N16" s="146">
        <v>-21223</v>
      </c>
      <c r="O16" s="146">
        <v>-12993</v>
      </c>
      <c r="P16" s="146">
        <v>-16322</v>
      </c>
      <c r="Q16" s="146">
        <v>-16283</v>
      </c>
      <c r="R16" s="118">
        <f>((Q16/G16)^(1/($H$2-$H$1) ))-1</f>
        <v>0.43043410762975243</v>
      </c>
      <c r="S16" s="31">
        <f t="shared" si="5"/>
        <v>0.2</v>
      </c>
      <c r="T16" s="153">
        <f t="shared" si="2"/>
        <v>-19539.599999999999</v>
      </c>
      <c r="U16" s="153">
        <f t="shared" ref="U16:AC16" si="33">T16*(1+$S16)</f>
        <v>-23447.519999999997</v>
      </c>
      <c r="V16" s="153">
        <f t="shared" si="33"/>
        <v>-28137.023999999994</v>
      </c>
      <c r="W16" s="153">
        <f t="shared" si="33"/>
        <v>-33764.428799999994</v>
      </c>
      <c r="X16" s="153">
        <f t="shared" si="33"/>
        <v>-40517.314559999992</v>
      </c>
      <c r="Y16" s="153">
        <f t="shared" si="33"/>
        <v>-48620.777471999987</v>
      </c>
      <c r="Z16" s="153">
        <f t="shared" si="33"/>
        <v>-58344.932966399982</v>
      </c>
      <c r="AA16" s="153">
        <f t="shared" si="33"/>
        <v>-70013.919559679969</v>
      </c>
      <c r="AB16" s="153">
        <f t="shared" si="33"/>
        <v>-84016.703471615954</v>
      </c>
      <c r="AC16" s="153">
        <f t="shared" si="33"/>
        <v>-100820.04416593914</v>
      </c>
      <c r="AD16" s="137">
        <f t="shared" si="17"/>
        <v>0.31016065013253358</v>
      </c>
      <c r="AE16" s="31">
        <f t="shared" si="15"/>
        <v>0.05</v>
      </c>
      <c r="AF16" s="145">
        <f t="shared" si="1"/>
        <v>-814315.74134027772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 x14ac:dyDescent="0.2">
      <c r="B18" s="20" t="s">
        <v>277</v>
      </c>
      <c r="C18" s="140"/>
      <c r="D18" s="140"/>
      <c r="E18" s="146"/>
      <c r="F18" s="146"/>
      <c r="G18" s="146">
        <v>8607</v>
      </c>
      <c r="H18" s="146">
        <v>10382</v>
      </c>
      <c r="I18" s="146">
        <v>13818</v>
      </c>
      <c r="J18" s="146">
        <v>20504</v>
      </c>
      <c r="K18" s="146">
        <v>32549</v>
      </c>
      <c r="L18" s="146">
        <v>43948</v>
      </c>
      <c r="M18" s="146">
        <v>50849</v>
      </c>
      <c r="N18" s="146">
        <v>128874</v>
      </c>
      <c r="O18" s="146">
        <v>133582</v>
      </c>
      <c r="P18" s="146">
        <v>136923</v>
      </c>
      <c r="Q18" s="146">
        <v>140614</v>
      </c>
      <c r="R18" s="118">
        <f>((Q18/G18)^(1/($H$2-$H$1) ))-1</f>
        <v>0.32226248373456534</v>
      </c>
      <c r="S18" s="31">
        <f t="shared" si="5"/>
        <v>0.2</v>
      </c>
      <c r="T18" s="153">
        <f t="shared" si="2"/>
        <v>168736.8</v>
      </c>
      <c r="U18" s="153">
        <f t="shared" ref="U18:U34" si="34">T18*(1+$S18)</f>
        <v>202484.15999999997</v>
      </c>
      <c r="V18" s="153">
        <f t="shared" ref="V18:V34" si="35">U18*(1+$S18)</f>
        <v>242980.99199999997</v>
      </c>
      <c r="W18" s="153">
        <f t="shared" ref="W18:W34" si="36">V18*(1+$S18)</f>
        <v>291577.19039999996</v>
      </c>
      <c r="X18" s="153">
        <f t="shared" ref="X18:X36" si="37">W18*(1+$S18)</f>
        <v>349892.62847999996</v>
      </c>
      <c r="Y18" s="153">
        <f t="shared" ref="Y18:Y36" si="38">X18*(1+$S18)</f>
        <v>419871.15417599992</v>
      </c>
      <c r="Z18" s="153">
        <f t="shared" ref="Z18:Z36" si="39">Y18*(1+$S18)</f>
        <v>503845.38501119986</v>
      </c>
      <c r="AA18" s="153">
        <f t="shared" ref="AA18:AA36" si="40">Z18*(1+$S18)</f>
        <v>604614.46201343986</v>
      </c>
      <c r="AB18" s="153">
        <f t="shared" ref="AB18:AB36" si="41">AA18*(1+$S18)</f>
        <v>725537.35441612778</v>
      </c>
      <c r="AC18" s="153">
        <f t="shared" ref="AC18:AC36" si="42">AB18*(1+$S18)</f>
        <v>870644.82529935334</v>
      </c>
      <c r="AD18" s="137">
        <f t="shared" si="17"/>
        <v>0.25964875282019717</v>
      </c>
      <c r="AE18" s="31">
        <f t="shared" si="15"/>
        <v>0.05</v>
      </c>
      <c r="AF18" s="145">
        <f t="shared" si="1"/>
        <v>7032131.281264008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 x14ac:dyDescent="0.2">
      <c r="B20" s="20" t="s">
        <v>283</v>
      </c>
      <c r="C20" s="140"/>
      <c r="D20" s="140"/>
      <c r="E20" s="146"/>
      <c r="F20" s="146"/>
      <c r="G20" s="146">
        <v>-7</v>
      </c>
      <c r="H20" s="146">
        <v>3005</v>
      </c>
      <c r="I20" s="146">
        <v>4547</v>
      </c>
      <c r="J20" s="146">
        <v>8107</v>
      </c>
      <c r="K20" s="146">
        <v>10459</v>
      </c>
      <c r="L20" s="146">
        <v>11853</v>
      </c>
      <c r="M20" s="146">
        <v>12692</v>
      </c>
      <c r="N20" s="146">
        <v>13293</v>
      </c>
      <c r="O20" s="146">
        <v>11437</v>
      </c>
      <c r="P20" s="146">
        <v>13884</v>
      </c>
      <c r="Q20" s="146">
        <v>16022</v>
      </c>
      <c r="R20" s="118" t="e">
        <f>((Q20/G20)^(1/($H$2-$H$1) ))-1</f>
        <v>#NUM!</v>
      </c>
      <c r="S20" s="31">
        <f t="shared" si="5"/>
        <v>0.2</v>
      </c>
      <c r="T20" s="153">
        <f t="shared" si="2"/>
        <v>19226.399999999998</v>
      </c>
      <c r="U20" s="153">
        <f t="shared" ref="U20:U22" si="43">T20*(1+$S20)</f>
        <v>23071.679999999997</v>
      </c>
      <c r="V20" s="153">
        <f t="shared" ref="V20:V22" si="44">U20*(1+$S20)</f>
        <v>27686.015999999996</v>
      </c>
      <c r="W20" s="153">
        <f t="shared" ref="W20:W22" si="45">V20*(1+$S20)</f>
        <v>33223.219199999992</v>
      </c>
      <c r="X20" s="153">
        <f t="shared" ref="X20:X22" si="46">W20*(1+$S20)</f>
        <v>39867.863039999989</v>
      </c>
      <c r="Y20" s="153">
        <f t="shared" ref="Y20:Y22" si="47">X20*(1+$S20)</f>
        <v>47841.435647999984</v>
      </c>
      <c r="Z20" s="153">
        <f t="shared" ref="Z20:Z22" si="48">Y20*(1+$S20)</f>
        <v>57409.722777599978</v>
      </c>
      <c r="AA20" s="153">
        <f t="shared" ref="AA20:AA22" si="49">Z20*(1+$S20)</f>
        <v>68891.667333119971</v>
      </c>
      <c r="AB20" s="153">
        <f t="shared" ref="AB20:AB22" si="50">AA20*(1+$S20)</f>
        <v>82670.000799743968</v>
      </c>
      <c r="AC20" s="153">
        <f t="shared" ref="AC20:AC22" si="51">AB20*(1+$S20)</f>
        <v>99204.000959692756</v>
      </c>
      <c r="AD20" s="137" t="e">
        <f t="shared" ref="AD20:AD22" si="52">((AC20/G20)^(1/($AC$3-$H$1) ))-1</f>
        <v>#NUM!</v>
      </c>
      <c r="AE20" s="31">
        <f t="shared" si="15"/>
        <v>0.05</v>
      </c>
      <c r="AF20" s="145">
        <f t="shared" si="1"/>
        <v>801263.08467444149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-601</v>
      </c>
      <c r="H21" s="146">
        <v>-2330</v>
      </c>
      <c r="I21" s="146">
        <v>-5000</v>
      </c>
      <c r="J21" s="146">
        <v>-7975</v>
      </c>
      <c r="K21" s="146">
        <v>-11648</v>
      </c>
      <c r="L21" s="146">
        <v>-10894</v>
      </c>
      <c r="M21" s="146">
        <v>-10601</v>
      </c>
      <c r="N21" s="146">
        <v>-19102</v>
      </c>
      <c r="O21" s="146">
        <v>-12611</v>
      </c>
      <c r="P21" s="146">
        <v>-10725</v>
      </c>
      <c r="Q21" s="146">
        <v>-17086</v>
      </c>
      <c r="R21" s="118">
        <f>((Q21/G21)^(1/($H$2-$H$1) ))-1</f>
        <v>0.39757972946830589</v>
      </c>
      <c r="S21" s="31">
        <f t="shared" si="5"/>
        <v>0.2</v>
      </c>
      <c r="T21" s="153">
        <f t="shared" si="2"/>
        <v>-20503.2</v>
      </c>
      <c r="U21" s="153">
        <f t="shared" si="43"/>
        <v>-24603.84</v>
      </c>
      <c r="V21" s="153">
        <f t="shared" si="44"/>
        <v>-29524.608</v>
      </c>
      <c r="W21" s="153">
        <f t="shared" si="45"/>
        <v>-35429.529600000002</v>
      </c>
      <c r="X21" s="153">
        <f t="shared" si="46"/>
        <v>-42515.435519999999</v>
      </c>
      <c r="Y21" s="153">
        <f t="shared" si="47"/>
        <v>-51018.522623999997</v>
      </c>
      <c r="Z21" s="153">
        <f t="shared" si="48"/>
        <v>-61222.227148799997</v>
      </c>
      <c r="AA21" s="153">
        <f t="shared" si="49"/>
        <v>-73466.672578559999</v>
      </c>
      <c r="AB21" s="153">
        <f t="shared" si="50"/>
        <v>-88160.00709427199</v>
      </c>
      <c r="AC21" s="153">
        <f t="shared" si="51"/>
        <v>-105792.00851312639</v>
      </c>
      <c r="AD21" s="137">
        <f t="shared" si="52"/>
        <v>0.29502728749705009</v>
      </c>
      <c r="AE21" s="31">
        <f t="shared" si="15"/>
        <v>0.05</v>
      </c>
      <c r="AF21" s="145">
        <f t="shared" si="1"/>
        <v>-854473.91491371312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609</v>
      </c>
      <c r="H22" s="146">
        <v>-423</v>
      </c>
      <c r="I22" s="146">
        <v>376</v>
      </c>
      <c r="J22" s="146">
        <v>340</v>
      </c>
      <c r="K22" s="146">
        <v>898</v>
      </c>
      <c r="L22" s="146">
        <v>-672</v>
      </c>
      <c r="M22" s="146">
        <v>-2539</v>
      </c>
      <c r="N22" s="146">
        <v>5594</v>
      </c>
      <c r="O22" s="146">
        <v>1400</v>
      </c>
      <c r="P22" s="146">
        <v>-3185</v>
      </c>
      <c r="Q22" s="146">
        <v>1182</v>
      </c>
      <c r="R22" s="118">
        <f>((Q22/G22)^(1/($H$2-$H$1) ))-1</f>
        <v>6.8562719850798315E-2</v>
      </c>
      <c r="S22" s="31">
        <f t="shared" si="5"/>
        <v>0.2</v>
      </c>
      <c r="T22" s="153">
        <f t="shared" si="2"/>
        <v>1418.3999999999999</v>
      </c>
      <c r="U22" s="153">
        <f t="shared" si="43"/>
        <v>1702.0799999999997</v>
      </c>
      <c r="V22" s="153">
        <f t="shared" si="44"/>
        <v>2042.4959999999996</v>
      </c>
      <c r="W22" s="153">
        <f t="shared" si="45"/>
        <v>2450.9951999999994</v>
      </c>
      <c r="X22" s="153">
        <f t="shared" si="46"/>
        <v>2941.1942399999994</v>
      </c>
      <c r="Y22" s="153">
        <f t="shared" si="47"/>
        <v>3529.4330879999993</v>
      </c>
      <c r="Z22" s="153">
        <f t="shared" si="48"/>
        <v>4235.319705599999</v>
      </c>
      <c r="AA22" s="153">
        <f t="shared" si="49"/>
        <v>5082.383646719999</v>
      </c>
      <c r="AB22" s="153">
        <f t="shared" si="50"/>
        <v>6098.860376063999</v>
      </c>
      <c r="AC22" s="153">
        <f t="shared" si="51"/>
        <v>7318.6324512767987</v>
      </c>
      <c r="AD22" s="137">
        <f t="shared" si="52"/>
        <v>0.13237593749644727</v>
      </c>
      <c r="AE22" s="31">
        <f t="shared" si="15"/>
        <v>0.05</v>
      </c>
      <c r="AF22" s="145">
        <f t="shared" si="1"/>
        <v>59112.031337235683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0.13</v>
      </c>
      <c r="H23" s="146">
        <v>384</v>
      </c>
      <c r="I23" s="146">
        <v>307</v>
      </c>
      <c r="J23" s="146">
        <v>780</v>
      </c>
      <c r="K23" s="146">
        <v>502</v>
      </c>
      <c r="L23" s="146">
        <v>790</v>
      </c>
      <c r="M23" s="146">
        <v>341</v>
      </c>
      <c r="N23" s="146">
        <v>128</v>
      </c>
      <c r="O23" s="146">
        <v>355</v>
      </c>
      <c r="P23" s="146">
        <v>328</v>
      </c>
      <c r="Q23" s="146">
        <v>445</v>
      </c>
      <c r="R23" s="118">
        <f>((Q23/G23)^(1/($H$2-$H$1) ))-1</f>
        <v>1.256532879214447</v>
      </c>
      <c r="S23" s="31">
        <f t="shared" si="5"/>
        <v>0.2</v>
      </c>
      <c r="T23" s="153">
        <f t="shared" si="2"/>
        <v>534</v>
      </c>
      <c r="U23" s="153">
        <f t="shared" ref="U23" si="53">T23*(1+$S23)</f>
        <v>640.79999999999995</v>
      </c>
      <c r="V23" s="153">
        <f t="shared" ref="V23" si="54">U23*(1+$S23)</f>
        <v>768.95999999999992</v>
      </c>
      <c r="W23" s="153">
        <f t="shared" ref="W23" si="55">V23*(1+$S23)</f>
        <v>922.75199999999984</v>
      </c>
      <c r="X23" s="153">
        <f t="shared" ref="X23" si="56">W23*(1+$S23)</f>
        <v>1107.3023999999998</v>
      </c>
      <c r="Y23" s="153">
        <f t="shared" ref="Y23" si="57">X23*(1+$S23)</f>
        <v>1328.7628799999998</v>
      </c>
      <c r="Z23" s="153">
        <f t="shared" ref="Z23" si="58">Y23*(1+$S23)</f>
        <v>1594.5154559999996</v>
      </c>
      <c r="AA23" s="153">
        <f t="shared" ref="AA23" si="59">Z23*(1+$S23)</f>
        <v>1913.4185471999995</v>
      </c>
      <c r="AB23" s="153">
        <f t="shared" ref="AB23" si="60">AA23*(1+$S23)</f>
        <v>2296.1022566399993</v>
      </c>
      <c r="AC23" s="153">
        <f t="shared" ref="AC23" si="61">AB23*(1+$S23)</f>
        <v>2755.3227079679991</v>
      </c>
      <c r="AD23" s="137">
        <f t="shared" ref="AD23" si="62">((AC23/G23)^(1/($AC$3-$H$1) ))-1</f>
        <v>0.64555141367790037</v>
      </c>
      <c r="AE23" s="31">
        <f t="shared" si="15"/>
        <v>0.05</v>
      </c>
      <c r="AF23" s="145">
        <f t="shared" si="1"/>
        <v>22254.529564356915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 x14ac:dyDescent="0.2">
      <c r="B25" s="20" t="s">
        <v>89</v>
      </c>
      <c r="C25" s="140"/>
      <c r="D25" s="140"/>
      <c r="E25" s="146"/>
      <c r="F25" s="146"/>
      <c r="G25" s="146">
        <v>5036</v>
      </c>
      <c r="H25" s="146">
        <v>7129</v>
      </c>
      <c r="I25" s="146">
        <v>11673</v>
      </c>
      <c r="J25" s="146">
        <v>18625</v>
      </c>
      <c r="K25" s="146">
        <v>21394</v>
      </c>
      <c r="L25" s="146">
        <v>36022</v>
      </c>
      <c r="M25" s="146">
        <v>42956</v>
      </c>
      <c r="N25" s="146">
        <v>61189</v>
      </c>
      <c r="O25" s="146">
        <v>69729</v>
      </c>
      <c r="P25" s="146">
        <v>80359</v>
      </c>
      <c r="Q25" s="146">
        <v>85917</v>
      </c>
      <c r="R25" s="118">
        <f>((Q25/G25)^(1/($H$2-$H$1) ))-1</f>
        <v>0.32800386278914173</v>
      </c>
      <c r="S25" s="31">
        <f t="shared" si="5"/>
        <v>0.2</v>
      </c>
      <c r="T25" s="153">
        <f t="shared" si="2"/>
        <v>103100.4</v>
      </c>
      <c r="U25" s="153">
        <f t="shared" si="34"/>
        <v>123720.47999999998</v>
      </c>
      <c r="V25" s="153">
        <f t="shared" si="35"/>
        <v>148464.57599999997</v>
      </c>
      <c r="W25" s="153">
        <f t="shared" si="36"/>
        <v>178157.49119999996</v>
      </c>
      <c r="X25" s="153">
        <f t="shared" si="37"/>
        <v>213788.98943999995</v>
      </c>
      <c r="Y25" s="153">
        <f t="shared" si="38"/>
        <v>256546.78732799992</v>
      </c>
      <c r="Z25" s="153">
        <f t="shared" si="39"/>
        <v>307856.1447935999</v>
      </c>
      <c r="AA25" s="153">
        <f t="shared" si="40"/>
        <v>369427.37375231989</v>
      </c>
      <c r="AB25" s="153">
        <f t="shared" si="41"/>
        <v>443312.84850278386</v>
      </c>
      <c r="AC25" s="153">
        <f t="shared" si="42"/>
        <v>531975.41820334061</v>
      </c>
      <c r="AD25" s="137">
        <f t="shared" si="17"/>
        <v>0.26238054300079017</v>
      </c>
      <c r="AE25" s="31">
        <f t="shared" si="15"/>
        <v>0.05</v>
      </c>
      <c r="AF25" s="145">
        <f t="shared" si="1"/>
        <v>4296724.5316423662</v>
      </c>
    </row>
    <row r="26" spans="2:32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50">
        <f t="shared" ref="H26:Q26" si="63">(H25-G25)/G25</f>
        <v>0.41560762509928517</v>
      </c>
      <c r="I26" s="150">
        <f t="shared" si="63"/>
        <v>0.63739654930565293</v>
      </c>
      <c r="J26" s="150">
        <f t="shared" si="63"/>
        <v>0.5955624089779834</v>
      </c>
      <c r="K26" s="150">
        <f t="shared" si="63"/>
        <v>0.14867114093959732</v>
      </c>
      <c r="L26" s="150">
        <f t="shared" si="63"/>
        <v>0.6837431055436104</v>
      </c>
      <c r="M26" s="150">
        <f t="shared" si="63"/>
        <v>0.19249347620898341</v>
      </c>
      <c r="N26" s="150">
        <f t="shared" si="63"/>
        <v>0.42445758450507498</v>
      </c>
      <c r="O26" s="150">
        <f t="shared" si="63"/>
        <v>0.13956756933435749</v>
      </c>
      <c r="P26" s="150">
        <f t="shared" si="63"/>
        <v>0.15244733181316239</v>
      </c>
      <c r="Q26" s="150">
        <f t="shared" si="63"/>
        <v>6.9164623750917753E-2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 x14ac:dyDescent="0.2">
      <c r="B27" s="20" t="s">
        <v>261</v>
      </c>
      <c r="C27" s="140"/>
      <c r="D27" s="140"/>
      <c r="E27" s="146"/>
      <c r="F27" s="146"/>
      <c r="G27" s="146">
        <v>3332</v>
      </c>
      <c r="H27" s="146">
        <v>5089</v>
      </c>
      <c r="I27" s="146">
        <v>7459</v>
      </c>
      <c r="J27" s="146">
        <v>11038</v>
      </c>
      <c r="K27" s="146">
        <v>15654</v>
      </c>
      <c r="L27" s="146">
        <v>21893</v>
      </c>
      <c r="M27" s="146">
        <v>24785</v>
      </c>
      <c r="N27" s="146">
        <v>39495</v>
      </c>
      <c r="O27" s="146">
        <v>47800</v>
      </c>
      <c r="P27" s="146">
        <v>55488</v>
      </c>
      <c r="Q27" s="146">
        <v>57565</v>
      </c>
      <c r="R27" s="118">
        <f>((Q27/G27)^(1/($H$2-$H$1) ))-1</f>
        <v>0.32967453529420787</v>
      </c>
      <c r="S27" s="31">
        <f t="shared" si="5"/>
        <v>0.2</v>
      </c>
      <c r="T27" s="153">
        <f t="shared" si="2"/>
        <v>69078</v>
      </c>
      <c r="U27" s="153">
        <f t="shared" si="34"/>
        <v>82893.599999999991</v>
      </c>
      <c r="V27" s="153">
        <f t="shared" si="35"/>
        <v>99472.319999999992</v>
      </c>
      <c r="W27" s="153">
        <f t="shared" si="36"/>
        <v>119366.78399999999</v>
      </c>
      <c r="X27" s="153">
        <f t="shared" si="37"/>
        <v>143240.14079999996</v>
      </c>
      <c r="Y27" s="153">
        <f t="shared" si="38"/>
        <v>171888.16895999995</v>
      </c>
      <c r="Z27" s="153">
        <f t="shared" si="39"/>
        <v>206265.80275199993</v>
      </c>
      <c r="AA27" s="153">
        <f t="shared" si="40"/>
        <v>247518.9633023999</v>
      </c>
      <c r="AB27" s="153">
        <f t="shared" si="41"/>
        <v>297022.75596287986</v>
      </c>
      <c r="AC27" s="153">
        <f t="shared" si="42"/>
        <v>356427.30715545581</v>
      </c>
      <c r="AD27" s="137">
        <f t="shared" si="17"/>
        <v>0.26317435152596769</v>
      </c>
      <c r="AE27" s="31">
        <f t="shared" si="15"/>
        <v>0.05</v>
      </c>
      <c r="AF27" s="145">
        <f t="shared" si="1"/>
        <v>2878835.9424094507</v>
      </c>
    </row>
    <row r="28" spans="2:32" s="123" customFormat="1" x14ac:dyDescent="0.2">
      <c r="B28" s="23"/>
      <c r="C28" s="148"/>
      <c r="D28" s="148"/>
      <c r="E28" s="149"/>
      <c r="F28" s="149"/>
      <c r="G28" s="147">
        <f t="shared" ref="G28" si="64">(G27-F27)/G27</f>
        <v>1</v>
      </c>
      <c r="H28" s="150">
        <f t="shared" ref="H28:Q28" si="65">(H27-G27)/G27</f>
        <v>0.52731092436974791</v>
      </c>
      <c r="I28" s="150">
        <f t="shared" si="65"/>
        <v>0.46571035566909019</v>
      </c>
      <c r="J28" s="150">
        <f t="shared" si="65"/>
        <v>0.47982303257809356</v>
      </c>
      <c r="K28" s="150">
        <f t="shared" si="65"/>
        <v>0.4181917013951803</v>
      </c>
      <c r="L28" s="150">
        <f t="shared" si="65"/>
        <v>0.39855627954516415</v>
      </c>
      <c r="M28" s="150">
        <f t="shared" si="65"/>
        <v>0.13209701731146942</v>
      </c>
      <c r="N28" s="150">
        <f t="shared" si="65"/>
        <v>0.59350413556586645</v>
      </c>
      <c r="O28" s="150">
        <f t="shared" si="65"/>
        <v>0.21027978225091784</v>
      </c>
      <c r="P28" s="150">
        <f t="shared" si="65"/>
        <v>0.160836820083682</v>
      </c>
      <c r="Q28" s="150">
        <f t="shared" si="65"/>
        <v>3.7431516724336797E-2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 x14ac:dyDescent="0.2">
      <c r="B29" s="20" t="s">
        <v>322</v>
      </c>
      <c r="C29" s="148"/>
      <c r="D29" s="148"/>
      <c r="E29" s="149"/>
      <c r="F29" s="146"/>
      <c r="G29" s="146">
        <v>269</v>
      </c>
      <c r="H29" s="146">
        <v>318</v>
      </c>
      <c r="I29" s="146">
        <v>239</v>
      </c>
      <c r="J29" s="146">
        <v>302</v>
      </c>
      <c r="K29" s="146">
        <v>396</v>
      </c>
      <c r="L29" s="146">
        <v>631</v>
      </c>
      <c r="M29" s="146">
        <v>769</v>
      </c>
      <c r="N29" s="146">
        <v>2534</v>
      </c>
      <c r="O29" s="146">
        <v>4082</v>
      </c>
      <c r="P29" s="146">
        <v>4384</v>
      </c>
      <c r="Q29" s="146">
        <v>4838</v>
      </c>
      <c r="R29" s="118">
        <f>((Q29/G29)^(1/($H$2-$H$1) ))-1</f>
        <v>0.33503102483213798</v>
      </c>
      <c r="S29" s="31">
        <f t="shared" si="5"/>
        <v>0.2</v>
      </c>
      <c r="T29" s="153">
        <f t="shared" si="2"/>
        <v>5805.5999999999995</v>
      </c>
      <c r="U29" s="153">
        <f t="shared" ref="U29" si="66">T29*(1+$S29)</f>
        <v>6966.7199999999993</v>
      </c>
      <c r="V29" s="153">
        <f t="shared" ref="V29" si="67">U29*(1+$S29)</f>
        <v>8360.0639999999985</v>
      </c>
      <c r="W29" s="153">
        <f t="shared" ref="W29" si="68">V29*(1+$S29)</f>
        <v>10032.076799999997</v>
      </c>
      <c r="X29" s="153">
        <f t="shared" ref="X29" si="69">W29*(1+$S29)</f>
        <v>12038.492159999996</v>
      </c>
      <c r="Y29" s="153">
        <f t="shared" ref="Y29" si="70">X29*(1+$S29)</f>
        <v>14446.190591999995</v>
      </c>
      <c r="Z29" s="153">
        <f t="shared" ref="Z29" si="71">Y29*(1+$S29)</f>
        <v>17335.428710399992</v>
      </c>
      <c r="AA29" s="153">
        <f t="shared" ref="AA29" si="72">Z29*(1+$S29)</f>
        <v>20802.514452479991</v>
      </c>
      <c r="AB29" s="153">
        <f t="shared" ref="AB29" si="73">AA29*(1+$S29)</f>
        <v>24963.017342975989</v>
      </c>
      <c r="AC29" s="153">
        <f t="shared" ref="AC29" si="74">AB29*(1+$S29)</f>
        <v>29955.620811571185</v>
      </c>
      <c r="AD29" s="137">
        <f t="shared" ref="AD29" si="75">((AC29/G29)^(1/($AC$3-$H$1) ))-1</f>
        <v>0.26571609367921267</v>
      </c>
      <c r="AE29" s="31">
        <f t="shared" si="15"/>
        <v>0.05</v>
      </c>
      <c r="AF29" s="145">
        <f t="shared" ref="AF29" si="76">(AC29*(1+AE29))/($C$1-AE29)</f>
        <v>241949.2450165365</v>
      </c>
    </row>
    <row r="30" spans="2:32" s="123" customFormat="1" x14ac:dyDescent="0.2">
      <c r="B30" s="23"/>
      <c r="C30" s="148"/>
      <c r="D30" s="148"/>
      <c r="E30" s="149"/>
      <c r="F30" s="149"/>
      <c r="G30" s="147">
        <f t="shared" ref="G30" si="77">(G29-F29)/G29</f>
        <v>1</v>
      </c>
      <c r="H30" s="150">
        <f t="shared" ref="H30:Q30" si="78">(H29-G29)/G29</f>
        <v>0.18215613382899629</v>
      </c>
      <c r="I30" s="150">
        <f t="shared" si="78"/>
        <v>-0.24842767295597484</v>
      </c>
      <c r="J30" s="150">
        <f t="shared" si="78"/>
        <v>0.26359832635983266</v>
      </c>
      <c r="K30" s="150">
        <f t="shared" si="78"/>
        <v>0.31125827814569534</v>
      </c>
      <c r="L30" s="150">
        <f t="shared" si="78"/>
        <v>0.59343434343434343</v>
      </c>
      <c r="M30" s="150">
        <f t="shared" si="78"/>
        <v>0.21870047543581617</v>
      </c>
      <c r="N30" s="150">
        <f t="shared" si="78"/>
        <v>2.2951885565669703</v>
      </c>
      <c r="O30" s="150">
        <f t="shared" si="78"/>
        <v>0.61089187056037886</v>
      </c>
      <c r="P30" s="150">
        <f t="shared" si="78"/>
        <v>7.3983341499265068E-2</v>
      </c>
      <c r="Q30" s="150">
        <f t="shared" si="78"/>
        <v>0.10355839416058395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 x14ac:dyDescent="0.2">
      <c r="B31" s="20" t="s">
        <v>330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0.2</v>
      </c>
      <c r="T31" s="153">
        <f t="shared" si="2"/>
        <v>0</v>
      </c>
      <c r="U31" s="153">
        <f>T31*(1+$S31)</f>
        <v>0</v>
      </c>
      <c r="V31" s="153">
        <f t="shared" ref="V31:AC32" si="79">U31*(1+$S31)</f>
        <v>0</v>
      </c>
      <c r="W31" s="153">
        <f t="shared" si="79"/>
        <v>0</v>
      </c>
      <c r="X31" s="153">
        <f t="shared" si="79"/>
        <v>0</v>
      </c>
      <c r="Y31" s="153">
        <f t="shared" si="79"/>
        <v>0</v>
      </c>
      <c r="Z31" s="153">
        <f t="shared" si="79"/>
        <v>0</v>
      </c>
      <c r="AA31" s="153">
        <f t="shared" si="79"/>
        <v>0</v>
      </c>
      <c r="AB31" s="153">
        <f t="shared" si="79"/>
        <v>0</v>
      </c>
      <c r="AC31" s="153">
        <f t="shared" si="79"/>
        <v>0</v>
      </c>
      <c r="AD31" s="137" t="e">
        <f t="shared" ref="AD31" si="80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329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0.2</v>
      </c>
      <c r="T32" s="153">
        <f t="shared" si="2"/>
        <v>0</v>
      </c>
      <c r="U32" s="153">
        <f>T32*(1+$S32)</f>
        <v>0</v>
      </c>
      <c r="V32" s="153">
        <f t="shared" si="79"/>
        <v>0</v>
      </c>
      <c r="W32" s="153">
        <f t="shared" si="79"/>
        <v>0</v>
      </c>
      <c r="X32" s="153">
        <f t="shared" si="79"/>
        <v>0</v>
      </c>
      <c r="Y32" s="153">
        <f t="shared" si="79"/>
        <v>0</v>
      </c>
      <c r="Z32" s="153">
        <f t="shared" si="79"/>
        <v>0</v>
      </c>
      <c r="AA32" s="153">
        <f t="shared" si="79"/>
        <v>0</v>
      </c>
      <c r="AB32" s="153">
        <f t="shared" si="79"/>
        <v>0</v>
      </c>
      <c r="AC32" s="153">
        <f t="shared" si="79"/>
        <v>0</v>
      </c>
      <c r="AD32" s="137" t="e">
        <f t="shared" ref="AD32" si="81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314</v>
      </c>
      <c r="C33" s="140"/>
      <c r="D33" s="140"/>
      <c r="E33" s="146"/>
      <c r="F33" s="146"/>
      <c r="G33" s="146">
        <v>0.01</v>
      </c>
      <c r="H33" s="146">
        <v>150</v>
      </c>
      <c r="I33" s="146">
        <v>316</v>
      </c>
      <c r="J33" s="146">
        <v>653</v>
      </c>
      <c r="K33" s="146">
        <v>1058</v>
      </c>
      <c r="L33" s="146">
        <v>2196</v>
      </c>
      <c r="M33" s="146">
        <v>3597</v>
      </c>
      <c r="N33" s="146">
        <v>0</v>
      </c>
      <c r="O33" s="146">
        <v>0</v>
      </c>
      <c r="P33" s="146">
        <v>0</v>
      </c>
      <c r="Q33" s="146">
        <v>0</v>
      </c>
      <c r="R33" s="118">
        <f>((Q33/G33)^(1/($H$2-$H$1) ))-1</f>
        <v>-1</v>
      </c>
      <c r="S33" s="31">
        <f t="shared" si="5"/>
        <v>0.2</v>
      </c>
      <c r="T33" s="153">
        <f t="shared" si="2"/>
        <v>0</v>
      </c>
      <c r="U33" s="153">
        <f t="shared" si="34"/>
        <v>0</v>
      </c>
      <c r="V33" s="153">
        <f t="shared" si="35"/>
        <v>0</v>
      </c>
      <c r="W33" s="153">
        <f t="shared" si="36"/>
        <v>0</v>
      </c>
      <c r="X33" s="153">
        <f t="shared" si="37"/>
        <v>0</v>
      </c>
      <c r="Y33" s="153">
        <f t="shared" si="38"/>
        <v>0</v>
      </c>
      <c r="Z33" s="153">
        <f t="shared" si="39"/>
        <v>0</v>
      </c>
      <c r="AA33" s="153">
        <f t="shared" si="40"/>
        <v>0</v>
      </c>
      <c r="AB33" s="153">
        <f t="shared" si="41"/>
        <v>0</v>
      </c>
      <c r="AC33" s="153">
        <f t="shared" si="42"/>
        <v>0</v>
      </c>
      <c r="AD33" s="137">
        <f t="shared" si="17"/>
        <v>-1</v>
      </c>
      <c r="AE33" s="31">
        <f t="shared" si="15"/>
        <v>0.05</v>
      </c>
      <c r="AF33" s="145">
        <f t="shared" si="1"/>
        <v>0</v>
      </c>
    </row>
    <row r="34" spans="2:32" x14ac:dyDescent="0.2">
      <c r="B34" s="20" t="s">
        <v>465</v>
      </c>
      <c r="C34" s="140"/>
      <c r="D34" s="140"/>
      <c r="E34" s="146"/>
      <c r="F34" s="146"/>
      <c r="G34" s="146">
        <v>372</v>
      </c>
      <c r="H34" s="146">
        <v>488</v>
      </c>
      <c r="I34" s="146">
        <v>758</v>
      </c>
      <c r="J34" s="146">
        <v>1148</v>
      </c>
      <c r="K34" s="146">
        <v>1397</v>
      </c>
      <c r="L34" s="146">
        <v>1653</v>
      </c>
      <c r="M34" s="146">
        <v>1702</v>
      </c>
      <c r="N34" s="146">
        <v>3278</v>
      </c>
      <c r="O34" s="146">
        <v>3515</v>
      </c>
      <c r="P34" s="146">
        <v>4009</v>
      </c>
      <c r="Q34" s="146">
        <v>4622</v>
      </c>
      <c r="R34" s="118">
        <f>((Q34/G34)^(1/($H$2-$H$1) ))-1</f>
        <v>0.28655601660851926</v>
      </c>
      <c r="S34" s="31">
        <f t="shared" si="5"/>
        <v>0.2</v>
      </c>
      <c r="T34" s="153">
        <f t="shared" si="2"/>
        <v>5546.4</v>
      </c>
      <c r="U34" s="153">
        <f t="shared" si="34"/>
        <v>6655.6799999999994</v>
      </c>
      <c r="V34" s="153">
        <f t="shared" si="35"/>
        <v>7986.8159999999989</v>
      </c>
      <c r="W34" s="153">
        <f t="shared" si="36"/>
        <v>9584.1791999999987</v>
      </c>
      <c r="X34" s="153">
        <f t="shared" si="37"/>
        <v>11501.015039999998</v>
      </c>
      <c r="Y34" s="153">
        <f t="shared" si="38"/>
        <v>13801.218047999997</v>
      </c>
      <c r="Z34" s="153">
        <f t="shared" si="39"/>
        <v>16561.461657599997</v>
      </c>
      <c r="AA34" s="153">
        <f t="shared" si="40"/>
        <v>19873.753989119996</v>
      </c>
      <c r="AB34" s="153">
        <f t="shared" si="41"/>
        <v>23848.504786943995</v>
      </c>
      <c r="AC34" s="153">
        <f t="shared" si="42"/>
        <v>28618.205744332794</v>
      </c>
      <c r="AD34" s="137">
        <f t="shared" si="17"/>
        <v>0.2425245349409495</v>
      </c>
      <c r="AE34" s="31">
        <f t="shared" si="15"/>
        <v>0.05</v>
      </c>
      <c r="AF34" s="145">
        <f t="shared" si="1"/>
        <v>231147.0463965341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 x14ac:dyDescent="0.2">
      <c r="B36" s="20" t="s">
        <v>278</v>
      </c>
      <c r="C36" s="140"/>
      <c r="D36" s="140"/>
      <c r="E36" s="146"/>
      <c r="F36" s="146"/>
      <c r="G36" s="146">
        <v>1669</v>
      </c>
      <c r="H36" s="146">
        <v>3044</v>
      </c>
      <c r="I36" s="146">
        <v>4188</v>
      </c>
      <c r="J36" s="146">
        <v>7435</v>
      </c>
      <c r="K36" s="146">
        <v>11380</v>
      </c>
      <c r="L36" s="146">
        <v>15440</v>
      </c>
      <c r="M36" s="146">
        <v>16996</v>
      </c>
      <c r="N36" s="146">
        <v>19971</v>
      </c>
      <c r="O36" s="146">
        <v>23704</v>
      </c>
      <c r="P36" s="146">
        <v>24870</v>
      </c>
      <c r="Q36" s="146">
        <v>28298</v>
      </c>
      <c r="R36" s="118">
        <f>((Q36/G36)^(1/($H$2-$H$1) ))-1</f>
        <v>0.32718034260853357</v>
      </c>
      <c r="S36" s="31">
        <f t="shared" si="5"/>
        <v>0.2</v>
      </c>
      <c r="T36" s="153">
        <f t="shared" si="2"/>
        <v>33957.599999999999</v>
      </c>
      <c r="U36" s="153">
        <f t="shared" ref="U36" si="82">T36*(1+$S36)</f>
        <v>40749.119999999995</v>
      </c>
      <c r="V36" s="153">
        <f t="shared" ref="V36" si="83">U36*(1+$S36)</f>
        <v>48898.943999999996</v>
      </c>
      <c r="W36" s="153">
        <f t="shared" ref="W36" si="84">V36*(1+$S36)</f>
        <v>58678.732799999991</v>
      </c>
      <c r="X36" s="153">
        <f t="shared" si="37"/>
        <v>70414.479359999983</v>
      </c>
      <c r="Y36" s="153">
        <f t="shared" si="38"/>
        <v>84497.375231999977</v>
      </c>
      <c r="Z36" s="153">
        <f t="shared" si="39"/>
        <v>101396.85027839997</v>
      </c>
      <c r="AA36" s="153">
        <f t="shared" si="40"/>
        <v>121676.22033407996</v>
      </c>
      <c r="AB36" s="153">
        <f t="shared" si="41"/>
        <v>146011.46440089596</v>
      </c>
      <c r="AC36" s="153">
        <f t="shared" si="42"/>
        <v>175213.75728107514</v>
      </c>
      <c r="AD36" s="137">
        <f t="shared" si="17"/>
        <v>0.26198906933865329</v>
      </c>
      <c r="AE36" s="31">
        <f t="shared" si="15"/>
        <v>0.05</v>
      </c>
      <c r="AF36" s="145">
        <f t="shared" si="1"/>
        <v>1415188.0395779146</v>
      </c>
    </row>
    <row r="37" spans="2:32" s="123" customFormat="1" x14ac:dyDescent="0.2">
      <c r="B37" s="23"/>
      <c r="C37" s="148"/>
      <c r="D37" s="148"/>
      <c r="E37" s="149"/>
      <c r="F37" s="149"/>
      <c r="G37" s="147">
        <f t="shared" ref="G37" si="85">(G36-F36)/G36</f>
        <v>1</v>
      </c>
      <c r="H37" s="150">
        <f t="shared" ref="H37:Q37" si="86">(H36-G36)/G36</f>
        <v>0.82384661473936494</v>
      </c>
      <c r="I37" s="150">
        <f t="shared" si="86"/>
        <v>0.37582128777923784</v>
      </c>
      <c r="J37" s="150">
        <f t="shared" si="86"/>
        <v>0.77531041069723017</v>
      </c>
      <c r="K37" s="150">
        <f t="shared" si="86"/>
        <v>0.53059852051109613</v>
      </c>
      <c r="L37" s="150">
        <f t="shared" si="86"/>
        <v>0.35676625659050965</v>
      </c>
      <c r="M37" s="150">
        <f t="shared" si="86"/>
        <v>0.10077720207253886</v>
      </c>
      <c r="N37" s="150">
        <f t="shared" si="86"/>
        <v>0.17504118616144976</v>
      </c>
      <c r="O37" s="150">
        <f t="shared" si="86"/>
        <v>0.18692103550147715</v>
      </c>
      <c r="P37" s="150">
        <f t="shared" si="86"/>
        <v>4.9190010124873437E-2</v>
      </c>
      <c r="Q37" s="150">
        <f t="shared" si="86"/>
        <v>0.13783675110574989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 x14ac:dyDescent="0.2">
      <c r="B38" s="20" t="s">
        <v>398</v>
      </c>
      <c r="C38" s="148"/>
      <c r="D38" s="148"/>
      <c r="E38" s="149"/>
      <c r="F38" s="149"/>
      <c r="G38" s="146">
        <v>552</v>
      </c>
      <c r="H38" s="146">
        <v>509</v>
      </c>
      <c r="I38" s="146">
        <v>2357</v>
      </c>
      <c r="J38" s="146">
        <v>4664</v>
      </c>
      <c r="K38" s="146">
        <v>1533</v>
      </c>
      <c r="L38" s="146">
        <v>8533</v>
      </c>
      <c r="M38" s="146">
        <v>10847</v>
      </c>
      <c r="N38" s="146">
        <v>8952</v>
      </c>
      <c r="O38" s="146">
        <v>4477</v>
      </c>
      <c r="P38" s="146">
        <v>4989</v>
      </c>
      <c r="Q38" s="146">
        <v>7864</v>
      </c>
      <c r="R38" s="118">
        <f>((Q38/G38)^(1/($H$2-$H$1) ))-1</f>
        <v>0.30427882246267779</v>
      </c>
      <c r="S38" s="31">
        <f t="shared" si="5"/>
        <v>0.2</v>
      </c>
      <c r="T38" s="153">
        <f t="shared" si="2"/>
        <v>9436.7999999999993</v>
      </c>
      <c r="U38" s="153">
        <f t="shared" ref="U38" si="87">T38*(1+$S38)</f>
        <v>11324.159999999998</v>
      </c>
      <c r="V38" s="153">
        <f t="shared" ref="V38" si="88">U38*(1+$S38)</f>
        <v>13588.991999999997</v>
      </c>
      <c r="W38" s="153">
        <f t="shared" ref="W38" si="89">V38*(1+$S38)</f>
        <v>16306.790399999994</v>
      </c>
      <c r="X38" s="153">
        <f t="shared" ref="X38" si="90">W38*(1+$S38)</f>
        <v>19568.148479999993</v>
      </c>
      <c r="Y38" s="153">
        <f t="shared" ref="Y38" si="91">X38*(1+$S38)</f>
        <v>23481.778175999989</v>
      </c>
      <c r="Z38" s="153">
        <f t="shared" ref="Z38" si="92">Y38*(1+$S38)</f>
        <v>28178.133811199987</v>
      </c>
      <c r="AA38" s="153">
        <f t="shared" ref="AA38" si="93">Z38*(1+$S38)</f>
        <v>33813.760573439984</v>
      </c>
      <c r="AB38" s="153">
        <f t="shared" ref="AB38" si="94">AA38*(1+$S38)</f>
        <v>40576.512688127979</v>
      </c>
      <c r="AC38" s="153">
        <f t="shared" ref="AC38" si="95">AB38*(1+$S38)</f>
        <v>48691.815225753577</v>
      </c>
      <c r="AD38" s="137">
        <f t="shared" ref="AD38" si="96">((AC38/G38)^(1/($AC$3-$H$1) ))-1</f>
        <v>0.2510533909291055</v>
      </c>
      <c r="AE38" s="31">
        <f t="shared" si="15"/>
        <v>0.05</v>
      </c>
      <c r="AF38" s="145">
        <f t="shared" ref="AF38" si="97">(AC38*(1+AE38))/($C$1-AE38)</f>
        <v>393280.04605416354</v>
      </c>
    </row>
    <row r="39" spans="2:32" s="123" customFormat="1" x14ac:dyDescent="0.2">
      <c r="B39" s="23"/>
      <c r="C39" s="148"/>
      <c r="D39" s="148"/>
      <c r="E39" s="149"/>
      <c r="F39" s="149"/>
      <c r="G39" s="147">
        <f t="shared" ref="G39" si="98">(G38-F38)/G38</f>
        <v>1</v>
      </c>
      <c r="H39" s="150">
        <f t="shared" ref="H39:Q39" si="99">(H38-G38)/G38</f>
        <v>-7.789855072463768E-2</v>
      </c>
      <c r="I39" s="150">
        <f t="shared" si="99"/>
        <v>3.6306483300589392</v>
      </c>
      <c r="J39" s="150">
        <f t="shared" si="99"/>
        <v>0.97878659312685612</v>
      </c>
      <c r="K39" s="150">
        <f t="shared" si="99"/>
        <v>-0.67131217838765012</v>
      </c>
      <c r="L39" s="150">
        <f t="shared" si="99"/>
        <v>4.5662100456621006</v>
      </c>
      <c r="M39" s="150">
        <f t="shared" si="99"/>
        <v>0.27118246806515878</v>
      </c>
      <c r="N39" s="150">
        <f t="shared" si="99"/>
        <v>-0.17470268276942932</v>
      </c>
      <c r="O39" s="150">
        <f t="shared" si="99"/>
        <v>-0.49988829311885613</v>
      </c>
      <c r="P39" s="150">
        <f t="shared" si="99"/>
        <v>0.114362296180478</v>
      </c>
      <c r="Q39" s="150">
        <f t="shared" si="99"/>
        <v>0.57626778913609944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 x14ac:dyDescent="0.2">
      <c r="B40" s="20" t="s">
        <v>399</v>
      </c>
      <c r="C40" s="140"/>
      <c r="D40" s="140"/>
      <c r="E40" s="146"/>
      <c r="F40" s="146"/>
      <c r="G40" s="146">
        <v>585</v>
      </c>
      <c r="H40" s="146">
        <v>1223</v>
      </c>
      <c r="I40" s="146">
        <v>2054</v>
      </c>
      <c r="J40" s="146">
        <v>4110</v>
      </c>
      <c r="K40" s="146">
        <v>6495</v>
      </c>
      <c r="L40" s="146">
        <v>8044</v>
      </c>
      <c r="M40" s="146">
        <v>9366</v>
      </c>
      <c r="N40" s="146">
        <v>7173</v>
      </c>
      <c r="O40" s="146">
        <v>2217</v>
      </c>
      <c r="P40" s="146">
        <v>2274</v>
      </c>
      <c r="Q40" s="146">
        <v>3019</v>
      </c>
      <c r="R40" s="118">
        <f>((Q40/G40)^(1/($H$2-$H$1) ))-1</f>
        <v>0.17834028265369173</v>
      </c>
      <c r="S40" s="31">
        <f t="shared" si="5"/>
        <v>0.2</v>
      </c>
      <c r="T40" s="153">
        <f t="shared" si="2"/>
        <v>3622.7999999999997</v>
      </c>
      <c r="U40" s="153">
        <f t="shared" ref="U40:AC40" si="100">T40*(1+$S40)</f>
        <v>4347.3599999999997</v>
      </c>
      <c r="V40" s="153">
        <f t="shared" si="100"/>
        <v>5216.8319999999994</v>
      </c>
      <c r="W40" s="153">
        <f t="shared" si="100"/>
        <v>6260.1983999999993</v>
      </c>
      <c r="X40" s="153">
        <f t="shared" si="100"/>
        <v>7512.2380799999992</v>
      </c>
      <c r="Y40" s="153">
        <f t="shared" si="100"/>
        <v>9014.6856959999986</v>
      </c>
      <c r="Z40" s="153">
        <f t="shared" si="100"/>
        <v>10817.622835199998</v>
      </c>
      <c r="AA40" s="153">
        <f t="shared" si="100"/>
        <v>12981.147402239998</v>
      </c>
      <c r="AB40" s="153">
        <f t="shared" si="100"/>
        <v>15577.376882687997</v>
      </c>
      <c r="AC40" s="153">
        <f t="shared" si="100"/>
        <v>18692.852259225594</v>
      </c>
      <c r="AD40" s="137">
        <f t="shared" si="17"/>
        <v>0.18912082615032433</v>
      </c>
      <c r="AE40" s="31">
        <f t="shared" si="15"/>
        <v>0.05</v>
      </c>
      <c r="AF40" s="145">
        <f t="shared" si="1"/>
        <v>150980.72978605289</v>
      </c>
    </row>
    <row r="41" spans="2:32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50">
        <f t="shared" ref="H41:Q41" si="101">(H40-G40)/G40</f>
        <v>1.0905982905982905</v>
      </c>
      <c r="I41" s="150">
        <f t="shared" si="101"/>
        <v>0.67947669664758792</v>
      </c>
      <c r="J41" s="150">
        <f t="shared" si="101"/>
        <v>1.0009737098344693</v>
      </c>
      <c r="K41" s="150">
        <f t="shared" si="101"/>
        <v>0.58029197080291972</v>
      </c>
      <c r="L41" s="150">
        <f t="shared" si="101"/>
        <v>0.23849114703618168</v>
      </c>
      <c r="M41" s="150">
        <f t="shared" si="101"/>
        <v>0.1643460964694182</v>
      </c>
      <c r="N41" s="150">
        <f t="shared" si="101"/>
        <v>-0.23414477898782832</v>
      </c>
      <c r="O41" s="150">
        <f t="shared" si="101"/>
        <v>-0.69092429945629441</v>
      </c>
      <c r="P41" s="150">
        <f t="shared" si="101"/>
        <v>2.571041948579161E-2</v>
      </c>
      <c r="Q41" s="150">
        <f t="shared" si="101"/>
        <v>0.32761653474054531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 x14ac:dyDescent="0.2">
      <c r="B42" s="20" t="s">
        <v>239</v>
      </c>
      <c r="C42" s="141"/>
      <c r="D42" s="141"/>
      <c r="E42" s="144"/>
      <c r="F42" s="144"/>
      <c r="G42" s="144">
        <v>18.53</v>
      </c>
      <c r="H42" s="144">
        <v>185.33</v>
      </c>
      <c r="I42" s="144">
        <v>189.33</v>
      </c>
      <c r="J42" s="144">
        <v>189.5</v>
      </c>
      <c r="K42" s="144">
        <v>189.7</v>
      </c>
      <c r="L42" s="144">
        <v>189.8</v>
      </c>
      <c r="M42" s="144">
        <v>379.9</v>
      </c>
      <c r="N42" s="144">
        <v>379.7</v>
      </c>
      <c r="O42" s="144">
        <v>379.7</v>
      </c>
      <c r="P42" s="144">
        <v>379.7</v>
      </c>
      <c r="Q42" s="146">
        <v>399.74</v>
      </c>
      <c r="R42" s="118">
        <f>((Q42/G42)^(1/($H$2-$H$1) ))-1</f>
        <v>0.35953445622528024</v>
      </c>
      <c r="S42" s="31">
        <v>0.02</v>
      </c>
      <c r="T42" s="153">
        <f t="shared" si="2"/>
        <v>407.73480000000001</v>
      </c>
      <c r="U42" s="153">
        <f t="shared" ref="U42:AC42" si="102">T42*(1+$S42)</f>
        <v>415.88949600000001</v>
      </c>
      <c r="V42" s="153">
        <f t="shared" si="102"/>
        <v>424.20728592</v>
      </c>
      <c r="W42" s="153">
        <f t="shared" si="102"/>
        <v>432.69143163839999</v>
      </c>
      <c r="X42" s="153">
        <f t="shared" si="102"/>
        <v>441.345260271168</v>
      </c>
      <c r="Y42" s="153">
        <f t="shared" si="102"/>
        <v>450.17216547659137</v>
      </c>
      <c r="Z42" s="153">
        <f t="shared" si="102"/>
        <v>459.17560878612323</v>
      </c>
      <c r="AA42" s="153">
        <f t="shared" si="102"/>
        <v>468.35912096184569</v>
      </c>
      <c r="AB42" s="153">
        <f t="shared" si="102"/>
        <v>477.72630338108263</v>
      </c>
      <c r="AC42" s="153">
        <f t="shared" si="102"/>
        <v>487.28082944870431</v>
      </c>
      <c r="AD42" s="137">
        <f t="shared" si="17"/>
        <v>0.17759294552480487</v>
      </c>
      <c r="AE42" s="31">
        <f t="shared" si="15"/>
        <v>0.05</v>
      </c>
      <c r="AF42" s="145">
        <f t="shared" si="1"/>
        <v>3935.7297763164579</v>
      </c>
    </row>
    <row r="43" spans="2:32" x14ac:dyDescent="0.2">
      <c r="B43" s="20"/>
      <c r="C43" s="141"/>
      <c r="D43" s="141"/>
      <c r="E43" s="142"/>
      <c r="F43" s="146"/>
      <c r="G43" s="147">
        <f>(G42-F42)/G42</f>
        <v>1</v>
      </c>
      <c r="H43" s="150">
        <f t="shared" ref="H43:Q43" si="103">(H42-G42)/G42</f>
        <v>9.0016189962223425</v>
      </c>
      <c r="I43" s="150">
        <f t="shared" si="103"/>
        <v>2.1583121998597094E-2</v>
      </c>
      <c r="J43" s="150">
        <f t="shared" si="103"/>
        <v>8.9790313209732995E-4</v>
      </c>
      <c r="K43" s="150">
        <f t="shared" si="103"/>
        <v>1.0554089709761934E-3</v>
      </c>
      <c r="L43" s="150">
        <f t="shared" si="103"/>
        <v>5.2714812862426333E-4</v>
      </c>
      <c r="M43" s="150">
        <f t="shared" si="103"/>
        <v>1.0015806111696521</v>
      </c>
      <c r="N43" s="150">
        <f t="shared" si="103"/>
        <v>-5.2645433008683502E-4</v>
      </c>
      <c r="O43" s="150">
        <f t="shared" si="103"/>
        <v>0</v>
      </c>
      <c r="P43" s="150">
        <f t="shared" si="103"/>
        <v>0</v>
      </c>
      <c r="Q43" s="150">
        <f t="shared" si="103"/>
        <v>5.277850934948649E-2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4">
        <v>0.01</v>
      </c>
      <c r="H44" s="144">
        <v>0</v>
      </c>
      <c r="I44" s="144">
        <v>0</v>
      </c>
      <c r="J44" s="144">
        <v>0</v>
      </c>
      <c r="K44" s="144">
        <v>0</v>
      </c>
      <c r="L44" s="144">
        <v>2</v>
      </c>
      <c r="M44" s="144">
        <v>1</v>
      </c>
      <c r="N44" s="144">
        <v>1</v>
      </c>
      <c r="O44" s="144">
        <v>1</v>
      </c>
      <c r="P44" s="144">
        <v>1</v>
      </c>
      <c r="Q44" s="146">
        <v>1.8</v>
      </c>
      <c r="R44" s="118">
        <f>((Q44/G44)^(1/($H$2-$H$1) ))-1</f>
        <v>0.68084338963948898</v>
      </c>
      <c r="S44" s="31">
        <f>P1</f>
        <v>0.05</v>
      </c>
      <c r="T44" s="153">
        <f t="shared" si="2"/>
        <v>1.8900000000000001</v>
      </c>
      <c r="U44" s="153">
        <f t="shared" ref="U44" si="104">T44*(1+$S44)</f>
        <v>1.9845000000000002</v>
      </c>
      <c r="V44" s="153">
        <f t="shared" ref="V44" si="105">U44*(1+$S44)</f>
        <v>2.0837250000000003</v>
      </c>
      <c r="W44" s="153">
        <f t="shared" ref="W44" si="106">V44*(1+$S44)</f>
        <v>2.1879112500000004</v>
      </c>
      <c r="X44" s="153">
        <f t="shared" ref="X44" si="107">W44*(1+$S44)</f>
        <v>2.2973068125000005</v>
      </c>
      <c r="Y44" s="153">
        <f t="shared" ref="Y44" si="108">X44*(1+$S44)</f>
        <v>2.4121721531250007</v>
      </c>
      <c r="Z44" s="153">
        <f t="shared" ref="Z44" si="109">Y44*(1+$S44)</f>
        <v>2.5327807607812507</v>
      </c>
      <c r="AA44" s="153">
        <f t="shared" ref="AA44" si="110">Z44*(1+$S44)</f>
        <v>2.6594197988203132</v>
      </c>
      <c r="AB44" s="153">
        <f t="shared" ref="AB44" si="111">AA44*(1+$S44)</f>
        <v>2.7923907887613288</v>
      </c>
      <c r="AC44" s="153">
        <f t="shared" ref="AC44" si="112">AB44*(1+$S44)</f>
        <v>2.9320103281993952</v>
      </c>
      <c r="AD44" s="137">
        <f t="shared" ref="AD44" si="113">((AC44/G44)^(1/($AC$3-$H$1) ))-1</f>
        <v>0.32848995446765183</v>
      </c>
      <c r="AE44" s="31">
        <f t="shared" si="15"/>
        <v>0.05</v>
      </c>
      <c r="AF44" s="145">
        <f t="shared" si="1"/>
        <v>23.6816218816105</v>
      </c>
    </row>
    <row r="45" spans="2:32" x14ac:dyDescent="0.2">
      <c r="B45" s="20"/>
      <c r="C45" s="144"/>
      <c r="D45" s="144"/>
      <c r="E45" s="144"/>
      <c r="F45" s="146"/>
      <c r="G45" s="147">
        <f>(G44-F44)/G44</f>
        <v>1</v>
      </c>
      <c r="H45" s="150">
        <f t="shared" ref="H45:Q45" si="114">(H44-G44)/G44</f>
        <v>-1</v>
      </c>
      <c r="I45" s="150" t="e">
        <f t="shared" si="114"/>
        <v>#DIV/0!</v>
      </c>
      <c r="J45" s="150" t="e">
        <f t="shared" si="114"/>
        <v>#DIV/0!</v>
      </c>
      <c r="K45" s="150" t="e">
        <f t="shared" si="114"/>
        <v>#DIV/0!</v>
      </c>
      <c r="L45" s="150" t="e">
        <f t="shared" si="114"/>
        <v>#DIV/0!</v>
      </c>
      <c r="M45" s="150">
        <f t="shared" si="114"/>
        <v>-0.5</v>
      </c>
      <c r="N45" s="150">
        <f t="shared" si="114"/>
        <v>0</v>
      </c>
      <c r="O45" s="150">
        <f t="shared" si="114"/>
        <v>0</v>
      </c>
      <c r="P45" s="150">
        <f t="shared" si="114"/>
        <v>0</v>
      </c>
      <c r="Q45" s="150">
        <f t="shared" si="114"/>
        <v>0.8</v>
      </c>
      <c r="R45" s="128"/>
      <c r="S45" s="20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7"/>
      <c r="AE45" s="196"/>
      <c r="AF45" s="145"/>
    </row>
    <row r="46" spans="2:32" x14ac:dyDescent="0.2">
      <c r="B46" s="20" t="s">
        <v>424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 t="s">
        <v>466</v>
      </c>
      <c r="N46" s="146">
        <v>0</v>
      </c>
      <c r="O46" s="146">
        <v>0</v>
      </c>
      <c r="P46" s="146">
        <v>0</v>
      </c>
      <c r="Q46" s="146">
        <v>0</v>
      </c>
      <c r="R46" s="128"/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 x14ac:dyDescent="0.2">
      <c r="B47" s="20" t="s">
        <v>422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28"/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 x14ac:dyDescent="0.2">
      <c r="B48" s="20" t="s">
        <v>423</v>
      </c>
      <c r="C48" s="20"/>
      <c r="D48" s="20"/>
      <c r="E48" s="127"/>
      <c r="F48" s="127"/>
      <c r="G48" s="146"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 x14ac:dyDescent="0.2">
      <c r="B49" s="20"/>
      <c r="C49" s="20"/>
      <c r="D49" s="20"/>
      <c r="E49" s="127"/>
      <c r="F49" s="127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38"/>
      <c r="AE50" s="136"/>
      <c r="AF50" s="153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5">G25/G42</f>
        <v>271.77549919050188</v>
      </c>
      <c r="H51" s="133">
        <f t="shared" si="115"/>
        <v>38.466519181999672</v>
      </c>
      <c r="I51" s="133">
        <f t="shared" si="115"/>
        <v>61.654254476311202</v>
      </c>
      <c r="J51" s="133">
        <f t="shared" si="115"/>
        <v>98.284960422163593</v>
      </c>
      <c r="K51" s="133">
        <f t="shared" si="115"/>
        <v>112.77807063784924</v>
      </c>
      <c r="L51" s="133">
        <f t="shared" si="115"/>
        <v>189.78925184404636</v>
      </c>
      <c r="M51" s="133">
        <f t="shared" si="115"/>
        <v>113.07186101605686</v>
      </c>
      <c r="N51" s="133">
        <f t="shared" si="115"/>
        <v>161.15090861206215</v>
      </c>
      <c r="O51" s="133">
        <f t="shared" si="115"/>
        <v>183.64234922307085</v>
      </c>
      <c r="P51" s="133">
        <f t="shared" si="115"/>
        <v>211.63813537002898</v>
      </c>
      <c r="Q51" s="133">
        <f t="shared" ref="Q51" si="116">Q25/Q42</f>
        <v>214.93220593385701</v>
      </c>
      <c r="R51" s="118">
        <f>((P51/G51)^(1/($H$2-$H$1) ))-1</f>
        <v>-2.4699689582792672E-2</v>
      </c>
      <c r="S51" s="128"/>
      <c r="T51" s="157">
        <f t="shared" ref="T51:AC51" si="117">T25/T42</f>
        <v>252.8614187457141</v>
      </c>
      <c r="U51" s="157">
        <f t="shared" si="117"/>
        <v>297.48402205378125</v>
      </c>
      <c r="V51" s="157">
        <f t="shared" si="117"/>
        <v>349.98120241621325</v>
      </c>
      <c r="W51" s="157">
        <f t="shared" si="117"/>
        <v>411.74259107789794</v>
      </c>
      <c r="X51" s="157">
        <f t="shared" si="117"/>
        <v>484.40304832693874</v>
      </c>
      <c r="Y51" s="157">
        <f t="shared" si="117"/>
        <v>569.88593920816311</v>
      </c>
      <c r="Z51" s="157">
        <f t="shared" si="117"/>
        <v>670.45404612725076</v>
      </c>
      <c r="AA51" s="157">
        <f t="shared" si="117"/>
        <v>788.76946603205977</v>
      </c>
      <c r="AB51" s="157">
        <f t="shared" si="117"/>
        <v>927.96407768477604</v>
      </c>
      <c r="AC51" s="157">
        <f t="shared" si="117"/>
        <v>1091.7224443350306</v>
      </c>
      <c r="AD51" s="137">
        <f t="shared" ref="AD51" si="118">((AC51/G51)^(1/($AC$3-$H$1) ))-1</f>
        <v>7.200076885497908E-2</v>
      </c>
      <c r="AE51" s="31">
        <f t="shared" si="15"/>
        <v>0.05</v>
      </c>
      <c r="AF51" s="145">
        <f t="shared" ref="AF51:AF52" si="119">(AC51*(1+AE51))/($C$1-AE51)</f>
        <v>8817.7582042444774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20">G27/G42</f>
        <v>179.81651376146789</v>
      </c>
      <c r="H52" s="133">
        <f t="shared" si="120"/>
        <v>27.459126962715153</v>
      </c>
      <c r="I52" s="133">
        <f t="shared" si="120"/>
        <v>39.396820366555744</v>
      </c>
      <c r="J52" s="133">
        <f t="shared" si="120"/>
        <v>58.248021108179422</v>
      </c>
      <c r="K52" s="133">
        <f t="shared" si="120"/>
        <v>82.519768054823416</v>
      </c>
      <c r="L52" s="133">
        <f t="shared" si="120"/>
        <v>115.3477344573235</v>
      </c>
      <c r="M52" s="133">
        <f t="shared" si="120"/>
        <v>65.24085285601474</v>
      </c>
      <c r="N52" s="133">
        <f t="shared" si="120"/>
        <v>104.01632868053727</v>
      </c>
      <c r="O52" s="133">
        <f t="shared" si="120"/>
        <v>125.88885962602055</v>
      </c>
      <c r="P52" s="133">
        <f t="shared" si="120"/>
        <v>146.1364234922307</v>
      </c>
      <c r="Q52" s="133">
        <f t="shared" ref="Q52" si="121">Q27/Q42</f>
        <v>144.00610396757892</v>
      </c>
      <c r="R52" s="118">
        <f>((P52/G52)^(1/($H$2-$H$1) ))-1</f>
        <v>-2.0526049858825557E-2</v>
      </c>
      <c r="S52" s="128"/>
      <c r="T52" s="157">
        <f t="shared" ref="T52:AC52" si="122">T27/T42</f>
        <v>169.4189458442105</v>
      </c>
      <c r="U52" s="157">
        <f t="shared" si="122"/>
        <v>199.31640687554173</v>
      </c>
      <c r="V52" s="157">
        <f t="shared" si="122"/>
        <v>234.48989044181383</v>
      </c>
      <c r="W52" s="157">
        <f t="shared" si="122"/>
        <v>275.87045934331036</v>
      </c>
      <c r="X52" s="157">
        <f t="shared" si="122"/>
        <v>324.55348158036509</v>
      </c>
      <c r="Y52" s="157">
        <f t="shared" si="122"/>
        <v>381.82762538866479</v>
      </c>
      <c r="Z52" s="157">
        <f t="shared" si="122"/>
        <v>449.20897104548794</v>
      </c>
      <c r="AA52" s="157">
        <f t="shared" si="122"/>
        <v>528.48114240645634</v>
      </c>
      <c r="AB52" s="157">
        <f t="shared" si="122"/>
        <v>621.74252047818391</v>
      </c>
      <c r="AC52" s="157">
        <f t="shared" si="122"/>
        <v>731.46178879786328</v>
      </c>
      <c r="AD52" s="137">
        <f t="shared" ref="AD52" si="123">((AC52/G52)^(1/($AC$3-$H$1) ))-1</f>
        <v>7.2674863013061586E-2</v>
      </c>
      <c r="AE52" s="31">
        <f t="shared" si="15"/>
        <v>0.05</v>
      </c>
      <c r="AF52" s="145">
        <f t="shared" si="119"/>
        <v>5907.960601828896</v>
      </c>
    </row>
    <row r="53" spans="2:32" x14ac:dyDescent="0.2">
      <c r="B53" s="20" t="s">
        <v>425</v>
      </c>
      <c r="C53" s="133"/>
      <c r="D53" s="133"/>
      <c r="E53" s="133"/>
      <c r="F53" s="133"/>
      <c r="G53" s="133">
        <f>G38-G40</f>
        <v>-33</v>
      </c>
      <c r="H53" s="133">
        <f t="shared" ref="H53:P53" si="124">H38-H40</f>
        <v>-714</v>
      </c>
      <c r="I53" s="133">
        <f t="shared" si="124"/>
        <v>303</v>
      </c>
      <c r="J53" s="133">
        <f t="shared" si="124"/>
        <v>554</v>
      </c>
      <c r="K53" s="133">
        <f t="shared" si="124"/>
        <v>-4962</v>
      </c>
      <c r="L53" s="133">
        <f t="shared" si="124"/>
        <v>489</v>
      </c>
      <c r="M53" s="133">
        <f t="shared" si="124"/>
        <v>1481</v>
      </c>
      <c r="N53" s="133">
        <f t="shared" si="124"/>
        <v>1779</v>
      </c>
      <c r="O53" s="133">
        <f t="shared" si="124"/>
        <v>2260</v>
      </c>
      <c r="P53" s="133">
        <f t="shared" si="124"/>
        <v>2715</v>
      </c>
      <c r="Q53" s="133">
        <f t="shared" ref="Q53" si="125">Q38-Q40</f>
        <v>4845</v>
      </c>
      <c r="R53" s="118" t="e">
        <f>((P53/G53)^(1/($H$2-$H$1) ))-1</f>
        <v>#NUM!</v>
      </c>
      <c r="S53" s="128"/>
      <c r="T53" s="133">
        <f t="shared" ref="T53:AC53" si="126">T38-T40</f>
        <v>5814</v>
      </c>
      <c r="U53" s="133">
        <f t="shared" si="126"/>
        <v>6976.7999999999984</v>
      </c>
      <c r="V53" s="133">
        <f t="shared" si="126"/>
        <v>8372.1599999999962</v>
      </c>
      <c r="W53" s="133">
        <f t="shared" si="126"/>
        <v>10046.591999999995</v>
      </c>
      <c r="X53" s="133">
        <f t="shared" si="126"/>
        <v>12055.910399999993</v>
      </c>
      <c r="Y53" s="133">
        <f t="shared" si="126"/>
        <v>14467.09247999999</v>
      </c>
      <c r="Z53" s="133">
        <f t="shared" si="126"/>
        <v>17360.51097599999</v>
      </c>
      <c r="AA53" s="133">
        <f t="shared" si="126"/>
        <v>20832.613171199984</v>
      </c>
      <c r="AB53" s="133">
        <f t="shared" si="126"/>
        <v>24999.135805439983</v>
      </c>
      <c r="AC53" s="133">
        <f t="shared" si="126"/>
        <v>29998.962966527983</v>
      </c>
      <c r="AD53" s="137" t="e">
        <f t="shared" ref="AD53" si="127">((AC53/G53)^(1/($AC$3-$H$1) ))-1</f>
        <v>#NUM!</v>
      </c>
      <c r="AE53" s="31">
        <f t="shared" si="15"/>
        <v>0.05</v>
      </c>
      <c r="AF53" s="145">
        <f t="shared" ref="AF53" si="128">(AC53*(1+AE53))/($C$1-AE53)</f>
        <v>242299.31626811062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19"/>
      <c r="AE54" s="136"/>
      <c r="AF54" s="145"/>
    </row>
    <row r="55" spans="2:32" x14ac:dyDescent="0.2">
      <c r="B55" s="20" t="s">
        <v>460</v>
      </c>
      <c r="C55" s="133"/>
      <c r="D55" s="133"/>
      <c r="E55" s="133"/>
      <c r="F55" s="133"/>
      <c r="G55" s="25">
        <f t="shared" ref="G55:P55" si="129">G36/G42</f>
        <v>90.07015650296816</v>
      </c>
      <c r="H55" s="25">
        <f t="shared" si="129"/>
        <v>16.424755840932391</v>
      </c>
      <c r="I55" s="25">
        <f t="shared" si="129"/>
        <v>22.120107748375851</v>
      </c>
      <c r="J55" s="25">
        <f t="shared" si="129"/>
        <v>39.234828496042219</v>
      </c>
      <c r="K55" s="25">
        <f t="shared" si="129"/>
        <v>59.98945703742752</v>
      </c>
      <c r="L55" s="25">
        <f t="shared" si="129"/>
        <v>81.348788198103264</v>
      </c>
      <c r="M55" s="25">
        <f t="shared" si="129"/>
        <v>44.738088970781789</v>
      </c>
      <c r="N55" s="25">
        <f t="shared" si="129"/>
        <v>52.596786937055569</v>
      </c>
      <c r="O55" s="25">
        <f t="shared" si="129"/>
        <v>62.428232815380568</v>
      </c>
      <c r="P55" s="25">
        <f t="shared" si="129"/>
        <v>65.499078219647089</v>
      </c>
      <c r="Q55" s="25">
        <f>Q36/Q42</f>
        <v>70.791014159203485</v>
      </c>
      <c r="R55" s="118">
        <f t="shared" ref="R55:R61" si="130">((P55/G55)^(1/($H$2-$H$1) ))-1</f>
        <v>-3.1353246842817151E-2</v>
      </c>
      <c r="S55" s="128"/>
      <c r="T55" s="112">
        <f>T36/T42</f>
        <v>83.283546069651152</v>
      </c>
      <c r="U55" s="112">
        <f t="shared" ref="U55:AC55" si="131">U36/U42</f>
        <v>97.980642434883706</v>
      </c>
      <c r="V55" s="112">
        <f t="shared" si="131"/>
        <v>115.27134404103965</v>
      </c>
      <c r="W55" s="112">
        <f t="shared" si="131"/>
        <v>135.61334593063486</v>
      </c>
      <c r="X55" s="112">
        <f t="shared" si="131"/>
        <v>159.54511285957042</v>
      </c>
      <c r="Y55" s="112">
        <f t="shared" si="131"/>
        <v>187.70013277596519</v>
      </c>
      <c r="Z55" s="112">
        <f t="shared" si="131"/>
        <v>220.82368561878258</v>
      </c>
      <c r="AA55" s="112">
        <f t="shared" si="131"/>
        <v>259.79257131621478</v>
      </c>
      <c r="AB55" s="112">
        <f t="shared" si="131"/>
        <v>305.63831919554679</v>
      </c>
      <c r="AC55" s="112">
        <f t="shared" si="131"/>
        <v>359.5744931712315</v>
      </c>
      <c r="AD55" s="137">
        <f t="shared" ref="AD55:AD56" si="132">((AC55/G55)^(1/($AC$3-$H$1) ))-1</f>
        <v>7.1668333386827987E-2</v>
      </c>
      <c r="AE55" s="31">
        <f t="shared" si="15"/>
        <v>0.05</v>
      </c>
      <c r="AF55" s="145">
        <f t="shared" ref="AF55:AF56" si="133">(AC55*(1+AE55))/($C$1-AE55)</f>
        <v>2904.255521767639</v>
      </c>
    </row>
    <row r="56" spans="2:32" x14ac:dyDescent="0.2">
      <c r="B56" s="20" t="s">
        <v>461</v>
      </c>
      <c r="C56" s="133"/>
      <c r="D56" s="133"/>
      <c r="E56" s="133"/>
      <c r="F56" s="133"/>
      <c r="G56" s="25">
        <f t="shared" ref="G56:P56" si="134">G38/G42</f>
        <v>29.789530491095519</v>
      </c>
      <c r="H56" s="25">
        <f t="shared" si="134"/>
        <v>2.7464522743214803</v>
      </c>
      <c r="I56" s="25">
        <f t="shared" si="134"/>
        <v>12.449162837373896</v>
      </c>
      <c r="J56" s="25">
        <f t="shared" si="134"/>
        <v>24.612137203166228</v>
      </c>
      <c r="K56" s="25">
        <f t="shared" si="134"/>
        <v>8.0811808118081192</v>
      </c>
      <c r="L56" s="25">
        <f t="shared" si="134"/>
        <v>44.957850368809268</v>
      </c>
      <c r="M56" s="25">
        <f t="shared" si="134"/>
        <v>28.552250592261124</v>
      </c>
      <c r="N56" s="25">
        <f t="shared" si="134"/>
        <v>23.576507769291545</v>
      </c>
      <c r="O56" s="25">
        <f t="shared" si="134"/>
        <v>11.790887542796945</v>
      </c>
      <c r="P56" s="25">
        <f t="shared" si="134"/>
        <v>13.139320516196998</v>
      </c>
      <c r="Q56" s="25">
        <f>Q38/Q42</f>
        <v>19.672787311752639</v>
      </c>
      <c r="R56" s="118">
        <f t="shared" si="130"/>
        <v>-7.8594235754554487E-2</v>
      </c>
      <c r="S56" s="128"/>
      <c r="T56" s="112">
        <f>T38/T42</f>
        <v>23.144455660885455</v>
      </c>
      <c r="U56" s="112">
        <f t="shared" ref="U56:AC56" si="135">U38/U42</f>
        <v>27.22877136574759</v>
      </c>
      <c r="V56" s="112">
        <f t="shared" si="135"/>
        <v>32.033848665585403</v>
      </c>
      <c r="W56" s="112">
        <f t="shared" si="135"/>
        <v>37.686880783041644</v>
      </c>
      <c r="X56" s="112">
        <f t="shared" si="135"/>
        <v>44.337506803578407</v>
      </c>
      <c r="Y56" s="112">
        <f t="shared" si="135"/>
        <v>52.161772710092237</v>
      </c>
      <c r="Z56" s="112">
        <f t="shared" si="135"/>
        <v>61.36679142363792</v>
      </c>
      <c r="AA56" s="112">
        <f t="shared" si="135"/>
        <v>72.196225204279898</v>
      </c>
      <c r="AB56" s="112">
        <f t="shared" si="135"/>
        <v>84.936735534446939</v>
      </c>
      <c r="AC56" s="112">
        <f t="shared" si="135"/>
        <v>99.925571216996389</v>
      </c>
      <c r="AD56" s="137">
        <f t="shared" si="132"/>
        <v>6.2381866062863001E-2</v>
      </c>
      <c r="AE56" s="31">
        <f t="shared" si="15"/>
        <v>0.05</v>
      </c>
      <c r="AF56" s="145">
        <f t="shared" si="133"/>
        <v>807.09115213727853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6">G40/G42</f>
        <v>31.570426335671883</v>
      </c>
      <c r="H57" s="133">
        <f t="shared" si="136"/>
        <v>6.599039551071062</v>
      </c>
      <c r="I57" s="133">
        <f t="shared" si="136"/>
        <v>10.848782548988538</v>
      </c>
      <c r="J57" s="133">
        <f t="shared" si="136"/>
        <v>21.688654353562004</v>
      </c>
      <c r="K57" s="133">
        <f t="shared" si="136"/>
        <v>34.238270954138116</v>
      </c>
      <c r="L57" s="133">
        <f t="shared" si="136"/>
        <v>42.381454162276079</v>
      </c>
      <c r="M57" s="133">
        <f t="shared" si="136"/>
        <v>24.653856277967886</v>
      </c>
      <c r="N57" s="133">
        <f t="shared" si="136"/>
        <v>18.891229918356597</v>
      </c>
      <c r="O57" s="133">
        <f t="shared" si="136"/>
        <v>5.8388201211482755</v>
      </c>
      <c r="P57" s="133">
        <f t="shared" si="136"/>
        <v>5.988938635765078</v>
      </c>
      <c r="Q57" s="133">
        <f t="shared" ref="Q57" si="137">Q40/Q42</f>
        <v>7.5524090658928298</v>
      </c>
      <c r="R57" s="118">
        <f t="shared" si="130"/>
        <v>-0.15314912295187377</v>
      </c>
      <c r="S57" s="128"/>
      <c r="T57" s="157">
        <f t="shared" ref="T57:AC57" si="138">T40/T42</f>
        <v>8.8851871363445056</v>
      </c>
      <c r="U57" s="157">
        <f t="shared" si="138"/>
        <v>10.453161336875889</v>
      </c>
      <c r="V57" s="157">
        <f t="shared" si="138"/>
        <v>12.29783686691281</v>
      </c>
      <c r="W57" s="157">
        <f t="shared" si="138"/>
        <v>14.468043372838601</v>
      </c>
      <c r="X57" s="157">
        <f t="shared" si="138"/>
        <v>17.021227497457176</v>
      </c>
      <c r="Y57" s="157">
        <f t="shared" si="138"/>
        <v>20.024973526420208</v>
      </c>
      <c r="Z57" s="157">
        <f t="shared" si="138"/>
        <v>23.558792384023771</v>
      </c>
      <c r="AA57" s="157">
        <f t="shared" si="138"/>
        <v>27.716226334145613</v>
      </c>
      <c r="AB57" s="157">
        <f t="shared" si="138"/>
        <v>32.607325098994835</v>
      </c>
      <c r="AC57" s="157">
        <f t="shared" si="138"/>
        <v>38.36155893999392</v>
      </c>
      <c r="AD57" s="137">
        <f t="shared" ref="AD57:AD71" si="139">((AC57/G57)^(1/($AC$3-$H$1) ))-1</f>
        <v>9.7893594465972011E-3</v>
      </c>
      <c r="AE57" s="31">
        <f t="shared" si="15"/>
        <v>0.05</v>
      </c>
      <c r="AF57" s="145">
        <f t="shared" ref="AF57:AF85" si="140">(AC57*(1+AE57))/($C$1-AE57)</f>
        <v>309.84336066918166</v>
      </c>
    </row>
    <row r="58" spans="2:32" x14ac:dyDescent="0.2">
      <c r="B58" s="20" t="s">
        <v>386</v>
      </c>
      <c r="C58" s="133"/>
      <c r="D58" s="133"/>
      <c r="E58" s="133"/>
      <c r="F58" s="133"/>
      <c r="G58" s="133">
        <f>G20/G42</f>
        <v>-0.37776578521316784</v>
      </c>
      <c r="H58" s="133">
        <f t="shared" ref="H58:P58" si="141">H20/H42</f>
        <v>16.214320401446066</v>
      </c>
      <c r="I58" s="133">
        <f t="shared" si="141"/>
        <v>24.01626789204035</v>
      </c>
      <c r="J58" s="133">
        <f t="shared" si="141"/>
        <v>42.78100263852243</v>
      </c>
      <c r="K58" s="133">
        <f t="shared" si="141"/>
        <v>55.134422772799162</v>
      </c>
      <c r="L58" s="133">
        <f t="shared" si="141"/>
        <v>62.449947312961008</v>
      </c>
      <c r="M58" s="133">
        <f t="shared" si="141"/>
        <v>33.408791787312452</v>
      </c>
      <c r="N58" s="133">
        <f t="shared" si="141"/>
        <v>35.009217803529104</v>
      </c>
      <c r="O58" s="133">
        <f t="shared" si="141"/>
        <v>30.12114827495391</v>
      </c>
      <c r="P58" s="133">
        <f t="shared" si="141"/>
        <v>36.565709770871742</v>
      </c>
      <c r="Q58" s="133">
        <f t="shared" ref="Q58" si="142">Q20/Q42</f>
        <v>40.08105268424476</v>
      </c>
      <c r="R58" s="118" t="e">
        <f t="shared" si="130"/>
        <v>#NUM!</v>
      </c>
      <c r="S58" s="128"/>
      <c r="T58" s="133">
        <f t="shared" ref="T58:AC58" si="143">T20/T42</f>
        <v>47.154179628523238</v>
      </c>
      <c r="U58" s="133">
        <f t="shared" si="143"/>
        <v>55.47550544532146</v>
      </c>
      <c r="V58" s="133">
        <f t="shared" si="143"/>
        <v>65.265300523907598</v>
      </c>
      <c r="W58" s="133">
        <f t="shared" si="143"/>
        <v>76.782706498714816</v>
      </c>
      <c r="X58" s="133">
        <f t="shared" si="143"/>
        <v>90.332595880840955</v>
      </c>
      <c r="Y58" s="133">
        <f t="shared" si="143"/>
        <v>106.27364221275405</v>
      </c>
      <c r="Z58" s="133">
        <f t="shared" si="143"/>
        <v>125.02781436794594</v>
      </c>
      <c r="AA58" s="133">
        <f t="shared" si="143"/>
        <v>147.09154631523052</v>
      </c>
      <c r="AB58" s="133">
        <f t="shared" si="143"/>
        <v>173.04887801791824</v>
      </c>
      <c r="AC58" s="133">
        <f t="shared" si="143"/>
        <v>203.5869153151979</v>
      </c>
      <c r="AD58" s="137" t="e">
        <f t="shared" ref="AD58" si="144">((AC58/G58)^(1/($AC$3-$H$1) ))-1</f>
        <v>#NUM!</v>
      </c>
      <c r="AE58" s="31">
        <f t="shared" si="15"/>
        <v>0.05</v>
      </c>
      <c r="AF58" s="145">
        <f t="shared" si="140"/>
        <v>1644.355854468906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5">G7/G42</f>
        <v>228.76416621694548</v>
      </c>
      <c r="H59" s="133">
        <f t="shared" si="145"/>
        <v>24.464468785409807</v>
      </c>
      <c r="I59" s="133">
        <f t="shared" si="145"/>
        <v>38.884487402947229</v>
      </c>
      <c r="J59" s="133">
        <f t="shared" si="145"/>
        <v>60.622691292875992</v>
      </c>
      <c r="K59" s="133">
        <f t="shared" si="145"/>
        <v>114.51765946230891</v>
      </c>
      <c r="L59" s="133">
        <f t="shared" si="145"/>
        <v>153.46153846153845</v>
      </c>
      <c r="M59" s="133">
        <f t="shared" si="145"/>
        <v>104.96972887602001</v>
      </c>
      <c r="N59" s="133">
        <f t="shared" si="145"/>
        <v>128.43297340005267</v>
      </c>
      <c r="O59" s="133">
        <f t="shared" si="145"/>
        <v>133.29207268896496</v>
      </c>
      <c r="P59" s="133">
        <f t="shared" si="145"/>
        <v>132.52831182512512</v>
      </c>
      <c r="Q59" s="133">
        <f t="shared" ref="Q59" si="146">Q7/Q42</f>
        <v>149.48716665832791</v>
      </c>
      <c r="R59" s="118">
        <f t="shared" si="130"/>
        <v>-5.3126271790348345E-2</v>
      </c>
      <c r="S59" s="128"/>
      <c r="T59" s="157">
        <f t="shared" ref="T59:AC59" si="147">T7/T42</f>
        <v>175.86725489215047</v>
      </c>
      <c r="U59" s="157">
        <f t="shared" si="147"/>
        <v>206.9026528142947</v>
      </c>
      <c r="V59" s="157">
        <f t="shared" si="147"/>
        <v>243.41488566387611</v>
      </c>
      <c r="W59" s="157">
        <f t="shared" si="147"/>
        <v>286.37045372220717</v>
      </c>
      <c r="X59" s="157">
        <f t="shared" si="147"/>
        <v>336.90641614377313</v>
      </c>
      <c r="Y59" s="157">
        <f t="shared" si="147"/>
        <v>396.36048958090953</v>
      </c>
      <c r="Z59" s="157">
        <f t="shared" si="147"/>
        <v>466.3064583304818</v>
      </c>
      <c r="AA59" s="157">
        <f t="shared" si="147"/>
        <v>548.59583332997863</v>
      </c>
      <c r="AB59" s="157">
        <f t="shared" si="147"/>
        <v>645.40686274115126</v>
      </c>
      <c r="AC59" s="157">
        <f t="shared" si="147"/>
        <v>759.30219146017782</v>
      </c>
      <c r="AD59" s="137">
        <f t="shared" si="139"/>
        <v>6.1821055064055219E-2</v>
      </c>
      <c r="AE59" s="31">
        <f t="shared" si="15"/>
        <v>0.05</v>
      </c>
      <c r="AF59" s="145">
        <f t="shared" si="140"/>
        <v>6132.8253925629751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8">G6/G42</f>
        <v>128.76416621694548</v>
      </c>
      <c r="H60" s="143">
        <f t="shared" si="148"/>
        <v>14.439108617061457</v>
      </c>
      <c r="I60" s="143">
        <f t="shared" si="148"/>
        <v>28.806845190936457</v>
      </c>
      <c r="J60" s="143">
        <f t="shared" si="148"/>
        <v>50.44854881266491</v>
      </c>
      <c r="K60" s="143">
        <f t="shared" si="148"/>
        <v>104.19609910384818</v>
      </c>
      <c r="L60" s="143">
        <f t="shared" si="148"/>
        <v>142.7081138040042</v>
      </c>
      <c r="M60" s="143">
        <f t="shared" si="148"/>
        <v>99.278757567781</v>
      </c>
      <c r="N60" s="143">
        <f t="shared" si="148"/>
        <v>123.43429022912827</v>
      </c>
      <c r="O60" s="143">
        <f t="shared" si="148"/>
        <v>128.2907558598894</v>
      </c>
      <c r="P60" s="143">
        <f t="shared" si="148"/>
        <v>127.52699499604951</v>
      </c>
      <c r="Q60" s="143">
        <f t="shared" ref="Q60" si="149">Q6/Q42</f>
        <v>144.57147145644669</v>
      </c>
      <c r="R60" s="118">
        <f t="shared" si="130"/>
        <v>-9.6498357496155318E-4</v>
      </c>
      <c r="S60" s="128"/>
      <c r="T60" s="156">
        <f t="shared" ref="T60:AC60" si="150">T6/T42</f>
        <v>170.08408406640785</v>
      </c>
      <c r="U60" s="156">
        <f t="shared" si="150"/>
        <v>200.09892243106808</v>
      </c>
      <c r="V60" s="156">
        <f t="shared" si="150"/>
        <v>235.41049697772712</v>
      </c>
      <c r="W60" s="156">
        <f t="shared" si="150"/>
        <v>276.95352585614955</v>
      </c>
      <c r="X60" s="156">
        <f t="shared" si="150"/>
        <v>325.82767747782299</v>
      </c>
      <c r="Y60" s="156">
        <f t="shared" si="150"/>
        <v>383.32667938567408</v>
      </c>
      <c r="Z60" s="156">
        <f t="shared" si="150"/>
        <v>450.97256398314596</v>
      </c>
      <c r="AA60" s="156">
        <f t="shared" si="150"/>
        <v>530.55595762723055</v>
      </c>
      <c r="AB60" s="156">
        <f t="shared" si="150"/>
        <v>624.1834795614476</v>
      </c>
      <c r="AC60" s="156">
        <f t="shared" si="150"/>
        <v>734.33350536640876</v>
      </c>
      <c r="AD60" s="137">
        <f t="shared" si="139"/>
        <v>9.0950174787346239E-2</v>
      </c>
      <c r="AE60" s="31">
        <f t="shared" si="15"/>
        <v>0.05</v>
      </c>
      <c r="AF60" s="145">
        <f t="shared" si="140"/>
        <v>5931.1552356517632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51">G10/G42</f>
        <v>253.58877495952507</v>
      </c>
      <c r="H61" s="143">
        <f t="shared" si="151"/>
        <v>26.97890249824637</v>
      </c>
      <c r="I61" s="143">
        <f t="shared" si="151"/>
        <v>25.204669096286906</v>
      </c>
      <c r="J61" s="143">
        <f t="shared" si="151"/>
        <v>27.889182058047492</v>
      </c>
      <c r="K61" s="143">
        <f t="shared" si="151"/>
        <v>50.611491829204006</v>
      </c>
      <c r="L61" s="143">
        <f t="shared" si="151"/>
        <v>71.21707060063224</v>
      </c>
      <c r="M61" s="143">
        <f t="shared" si="151"/>
        <v>27.080810739668337</v>
      </c>
      <c r="N61" s="143">
        <f t="shared" si="151"/>
        <v>149.19673426389255</v>
      </c>
      <c r="O61" s="143">
        <f t="shared" si="151"/>
        <v>181.78298656834343</v>
      </c>
      <c r="P61" s="143">
        <f t="shared" si="151"/>
        <v>192.15169870950751</v>
      </c>
      <c r="Q61" s="143">
        <f t="shared" ref="Q61" si="152">Q10/Q42</f>
        <v>189.8609095912343</v>
      </c>
      <c r="R61" s="118">
        <f t="shared" si="130"/>
        <v>-2.7361580682456643E-2</v>
      </c>
      <c r="S61" s="128"/>
      <c r="T61" s="156">
        <f t="shared" ref="T61:AC61" si="153">T10/T42</f>
        <v>223.36577598968742</v>
      </c>
      <c r="U61" s="156">
        <f t="shared" si="153"/>
        <v>262.78326587022048</v>
      </c>
      <c r="V61" s="156">
        <f t="shared" si="153"/>
        <v>309.15678337673</v>
      </c>
      <c r="W61" s="156">
        <f t="shared" si="153"/>
        <v>363.71386279615297</v>
      </c>
      <c r="X61" s="156">
        <f t="shared" si="153"/>
        <v>427.89866211312108</v>
      </c>
      <c r="Y61" s="156">
        <f t="shared" si="153"/>
        <v>503.41019072131883</v>
      </c>
      <c r="Z61" s="156">
        <f t="shared" si="153"/>
        <v>592.24728320155157</v>
      </c>
      <c r="AA61" s="156">
        <f t="shared" si="153"/>
        <v>696.76150964888427</v>
      </c>
      <c r="AB61" s="156">
        <f t="shared" si="153"/>
        <v>819.71942311633427</v>
      </c>
      <c r="AC61" s="156">
        <f t="shared" si="153"/>
        <v>964.37579190156964</v>
      </c>
      <c r="AD61" s="137">
        <f t="shared" si="139"/>
        <v>6.9069190303381101E-2</v>
      </c>
      <c r="AE61" s="31">
        <f t="shared" si="15"/>
        <v>0.05</v>
      </c>
      <c r="AF61" s="145">
        <f t="shared" si="140"/>
        <v>7789.1890884357554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4">(G7-G10)/G42</f>
        <v>-24.824608742579599</v>
      </c>
      <c r="H63" s="143">
        <f t="shared" si="154"/>
        <v>-2.5144337128365617</v>
      </c>
      <c r="I63" s="143">
        <f t="shared" si="154"/>
        <v>13.679818306660328</v>
      </c>
      <c r="J63" s="143">
        <f t="shared" si="154"/>
        <v>32.733509234828496</v>
      </c>
      <c r="K63" s="143">
        <f t="shared" si="154"/>
        <v>63.906167633104907</v>
      </c>
      <c r="L63" s="143">
        <f t="shared" si="154"/>
        <v>82.244467860906212</v>
      </c>
      <c r="M63" s="143">
        <f t="shared" si="154"/>
        <v>77.888918136351677</v>
      </c>
      <c r="N63" s="143">
        <f t="shared" si="154"/>
        <v>-20.763760863839874</v>
      </c>
      <c r="O63" s="143">
        <f t="shared" si="154"/>
        <v>-48.490913879378461</v>
      </c>
      <c r="P63" s="143">
        <f t="shared" si="154"/>
        <v>-59.623386884382406</v>
      </c>
      <c r="Q63" s="143">
        <f t="shared" ref="Q63" si="155">(Q7-Q10)/Q42</f>
        <v>-40.373742932906389</v>
      </c>
      <c r="R63" s="118">
        <f>((P63/G63)^(1/($H$2-$H$1) ))-1</f>
        <v>9.1574603870608673E-2</v>
      </c>
      <c r="S63" s="128"/>
      <c r="T63" s="156">
        <f t="shared" ref="T63:AC63" si="156">(T7-T10)/T42</f>
        <v>-47.498521097536937</v>
      </c>
      <c r="U63" s="156">
        <f t="shared" si="156"/>
        <v>-55.880613055925807</v>
      </c>
      <c r="V63" s="156">
        <f t="shared" si="156"/>
        <v>-65.74189771285387</v>
      </c>
      <c r="W63" s="156">
        <f t="shared" si="156"/>
        <v>-77.343409073945764</v>
      </c>
      <c r="X63" s="156">
        <f t="shared" si="156"/>
        <v>-90.992245969347934</v>
      </c>
      <c r="Y63" s="156">
        <f t="shared" si="156"/>
        <v>-107.0497011404093</v>
      </c>
      <c r="Z63" s="156">
        <f t="shared" si="156"/>
        <v>-125.94082487106976</v>
      </c>
      <c r="AA63" s="156">
        <f t="shared" si="156"/>
        <v>-148.16567631890561</v>
      </c>
      <c r="AB63" s="156">
        <f t="shared" si="156"/>
        <v>-174.31256037518301</v>
      </c>
      <c r="AC63" s="156">
        <f t="shared" si="156"/>
        <v>-205.07360044139179</v>
      </c>
      <c r="AD63" s="137">
        <f t="shared" si="139"/>
        <v>0.11135131367696349</v>
      </c>
      <c r="AE63" s="31">
        <f t="shared" si="15"/>
        <v>0.05</v>
      </c>
      <c r="AF63" s="145">
        <f t="shared" si="140"/>
        <v>-1656.3636958727798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7">(G7-G10-G9)/G42</f>
        <v>-139.23367512142471</v>
      </c>
      <c r="H64" s="143">
        <f t="shared" si="157"/>
        <v>-27.588625694706739</v>
      </c>
      <c r="I64" s="143">
        <f t="shared" si="157"/>
        <v>-23.937041145090582</v>
      </c>
      <c r="J64" s="143">
        <f t="shared" si="157"/>
        <v>-22.232189973614776</v>
      </c>
      <c r="K64" s="143">
        <f t="shared" si="157"/>
        <v>-14.396415392725357</v>
      </c>
      <c r="L64" s="143">
        <f t="shared" si="157"/>
        <v>-6.5964172813487876</v>
      </c>
      <c r="M64" s="143">
        <f t="shared" si="157"/>
        <v>36.896551724137936</v>
      </c>
      <c r="N64" s="143">
        <f t="shared" si="157"/>
        <v>-121.14564129575982</v>
      </c>
      <c r="O64" s="143">
        <f t="shared" si="157"/>
        <v>-137.519094021596</v>
      </c>
      <c r="P64" s="143">
        <f t="shared" si="157"/>
        <v>-161.58019489070318</v>
      </c>
      <c r="Q64" s="143">
        <f t="shared" ref="Q64" si="158">(Q7-Q10-Q9)/Q42</f>
        <v>-145.78726172011807</v>
      </c>
      <c r="R64" s="118">
        <f>((P64/G64)^(1/($H$2-$H$1) ))-1</f>
        <v>1.4996124701978308E-2</v>
      </c>
      <c r="S64" s="128"/>
      <c r="T64" s="156">
        <f t="shared" ref="T64:AC64" si="159">(T7-T10-T9)/T42</f>
        <v>-171.51442555308006</v>
      </c>
      <c r="U64" s="156">
        <f t="shared" si="159"/>
        <v>-201.78167712127069</v>
      </c>
      <c r="V64" s="156">
        <f t="shared" si="159"/>
        <v>-237.39020837796548</v>
      </c>
      <c r="W64" s="156">
        <f t="shared" si="159"/>
        <v>-279.28259809172414</v>
      </c>
      <c r="X64" s="156">
        <f t="shared" si="159"/>
        <v>-328.56776246085195</v>
      </c>
      <c r="Y64" s="156">
        <f t="shared" si="159"/>
        <v>-386.55030877747276</v>
      </c>
      <c r="Z64" s="156">
        <f t="shared" si="159"/>
        <v>-454.76506914996799</v>
      </c>
      <c r="AA64" s="156">
        <f t="shared" si="159"/>
        <v>-535.01772841172703</v>
      </c>
      <c r="AB64" s="156">
        <f t="shared" si="159"/>
        <v>-629.43262166085526</v>
      </c>
      <c r="AC64" s="156">
        <f t="shared" si="159"/>
        <v>-740.50896665982964</v>
      </c>
      <c r="AD64" s="137">
        <f t="shared" si="139"/>
        <v>8.7149578346981338E-2</v>
      </c>
      <c r="AE64" s="31">
        <f t="shared" si="15"/>
        <v>0.05</v>
      </c>
      <c r="AF64" s="145">
        <f t="shared" si="140"/>
        <v>-5981.0339614832392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60">(G7+G15-G10-G9)/G42</f>
        <v>-101.56502968159741</v>
      </c>
      <c r="H65" s="143">
        <f t="shared" si="160"/>
        <v>-22.327739707548695</v>
      </c>
      <c r="I65" s="143">
        <f t="shared" si="160"/>
        <v>-16.716843606401522</v>
      </c>
      <c r="J65" s="143">
        <f t="shared" si="160"/>
        <v>-10.464379947229551</v>
      </c>
      <c r="K65" s="143">
        <f t="shared" si="160"/>
        <v>2.4723247232472327</v>
      </c>
      <c r="L65" s="143">
        <f t="shared" si="160"/>
        <v>11.069546891464698</v>
      </c>
      <c r="M65" s="143">
        <f t="shared" si="160"/>
        <v>48.060015793629908</v>
      </c>
      <c r="N65" s="143">
        <f t="shared" si="160"/>
        <v>-103.78983407953648</v>
      </c>
      <c r="O65" s="143">
        <f t="shared" si="160"/>
        <v>-115.04345535949435</v>
      </c>
      <c r="P65" s="143">
        <f t="shared" si="160"/>
        <v>-139.23887279431131</v>
      </c>
      <c r="Q65" s="143">
        <f t="shared" ref="Q65" si="161">(Q7+Q15-Q10-Q9)/Q42</f>
        <v>-117.35127833091509</v>
      </c>
      <c r="R65" s="118">
        <f>((P65/G65)^(1/($H$2-$H$1) ))-1</f>
        <v>3.2052119075905106E-2</v>
      </c>
      <c r="S65" s="128"/>
      <c r="T65" s="156">
        <f t="shared" ref="T65:AC65" si="162">(T7+T15-T10-T9)/T42</f>
        <v>-138.06032744813541</v>
      </c>
      <c r="U65" s="156">
        <f t="shared" si="162"/>
        <v>-162.42391464486516</v>
      </c>
      <c r="V65" s="156">
        <f t="shared" si="162"/>
        <v>-191.08695840572372</v>
      </c>
      <c r="W65" s="156">
        <f t="shared" si="162"/>
        <v>-224.80818635967503</v>
      </c>
      <c r="X65" s="156">
        <f t="shared" si="162"/>
        <v>-264.48021924667643</v>
      </c>
      <c r="Y65" s="156">
        <f t="shared" si="162"/>
        <v>-311.15319911373695</v>
      </c>
      <c r="Z65" s="156">
        <f t="shared" si="162"/>
        <v>-366.06258719263167</v>
      </c>
      <c r="AA65" s="156">
        <f t="shared" si="162"/>
        <v>-430.66186728544903</v>
      </c>
      <c r="AB65" s="156">
        <f t="shared" si="162"/>
        <v>-506.66102033582234</v>
      </c>
      <c r="AC65" s="156">
        <f t="shared" si="162"/>
        <v>-596.07178863037905</v>
      </c>
      <c r="AD65" s="137">
        <f t="shared" si="139"/>
        <v>9.2515779688707056E-2</v>
      </c>
      <c r="AE65" s="31">
        <f t="shared" si="15"/>
        <v>0.05</v>
      </c>
      <c r="AF65" s="145">
        <f t="shared" si="140"/>
        <v>-4814.4259850915232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38"/>
      <c r="AE66" s="136"/>
      <c r="AF66" s="153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63">G12/G42</f>
        <v>7.2854830005396654</v>
      </c>
      <c r="H67" s="143">
        <f t="shared" si="163"/>
        <v>2.2122700048562023</v>
      </c>
      <c r="I67" s="143">
        <f t="shared" si="163"/>
        <v>1.8539058786246236</v>
      </c>
      <c r="J67" s="143">
        <f t="shared" si="163"/>
        <v>4.4907651715039574</v>
      </c>
      <c r="K67" s="143">
        <f t="shared" si="163"/>
        <v>3.7058513442277281</v>
      </c>
      <c r="L67" s="143">
        <f t="shared" si="163"/>
        <v>14.567966280295046</v>
      </c>
      <c r="M67" s="143">
        <f t="shared" si="163"/>
        <v>6.7833640431692555</v>
      </c>
      <c r="N67" s="143">
        <f t="shared" si="163"/>
        <v>2.5230445088227547</v>
      </c>
      <c r="O67" s="143">
        <f t="shared" si="163"/>
        <v>5.3463260468791152</v>
      </c>
      <c r="P67" s="143">
        <f t="shared" si="163"/>
        <v>4.5535949433763498</v>
      </c>
      <c r="Q67" s="143">
        <f t="shared" ref="Q67" si="164">Q12/Q42</f>
        <v>12.458097763546304</v>
      </c>
      <c r="R67" s="118">
        <f>((P67/G67)^(1/($H$2-$H$1) ))-1</f>
        <v>-4.5909427172446171E-2</v>
      </c>
      <c r="S67" s="128"/>
      <c r="T67" s="156">
        <f t="shared" ref="T67:AC67" si="165">T12/T42</f>
        <v>14.656585604172124</v>
      </c>
      <c r="U67" s="156">
        <f t="shared" si="165"/>
        <v>17.24304188726132</v>
      </c>
      <c r="V67" s="156">
        <f t="shared" si="165"/>
        <v>20.285931632072142</v>
      </c>
      <c r="W67" s="156">
        <f t="shared" si="165"/>
        <v>23.86580192008487</v>
      </c>
      <c r="X67" s="156">
        <f t="shared" si="165"/>
        <v>28.07741402362926</v>
      </c>
      <c r="Y67" s="156">
        <f t="shared" si="165"/>
        <v>33.032251792505008</v>
      </c>
      <c r="Z67" s="156">
        <f t="shared" si="165"/>
        <v>38.861472697064706</v>
      </c>
      <c r="AA67" s="156">
        <f t="shared" si="165"/>
        <v>45.719379643605535</v>
      </c>
      <c r="AB67" s="156">
        <f t="shared" si="165"/>
        <v>53.787505463065337</v>
      </c>
      <c r="AC67" s="156">
        <f t="shared" si="165"/>
        <v>63.279418191841557</v>
      </c>
      <c r="AD67" s="137">
        <f t="shared" si="139"/>
        <v>0.11414112828571765</v>
      </c>
      <c r="AE67" s="31">
        <f t="shared" si="15"/>
        <v>0.05</v>
      </c>
      <c r="AF67" s="145">
        <f t="shared" si="140"/>
        <v>511.10299308795106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6">G13/G42</f>
        <v>18.024824608742577</v>
      </c>
      <c r="H68" s="143">
        <f t="shared" si="166"/>
        <v>2.5791830788323531</v>
      </c>
      <c r="I68" s="143">
        <f t="shared" si="166"/>
        <v>1.3046004331062167</v>
      </c>
      <c r="J68" s="143">
        <f t="shared" si="166"/>
        <v>0.77572559366754612</v>
      </c>
      <c r="K68" s="143">
        <f t="shared" si="166"/>
        <v>25.350553505535057</v>
      </c>
      <c r="L68" s="143">
        <f t="shared" si="166"/>
        <v>12.370916754478397</v>
      </c>
      <c r="M68" s="143">
        <f t="shared" si="166"/>
        <v>13.587786259541986</v>
      </c>
      <c r="N68" s="143">
        <f t="shared" si="166"/>
        <v>1.6381353700289703</v>
      </c>
      <c r="O68" s="143">
        <f t="shared" si="166"/>
        <v>4.7800895443771401</v>
      </c>
      <c r="P68" s="143">
        <f t="shared" si="166"/>
        <v>17.82723202528312</v>
      </c>
      <c r="Q68" s="143">
        <f t="shared" ref="Q68" si="167">Q13/Q42</f>
        <v>38.850252664231746</v>
      </c>
      <c r="R68" s="118">
        <f>((P68/G68)^(1/($H$2-$H$1) ))-1</f>
        <v>-1.1016702561221781E-3</v>
      </c>
      <c r="S68" s="128"/>
      <c r="T68" s="156">
        <f t="shared" ref="T68:AC68" si="168">T13/T42</f>
        <v>45.70617960497853</v>
      </c>
      <c r="U68" s="156">
        <f t="shared" si="168"/>
        <v>53.771976005857098</v>
      </c>
      <c r="V68" s="156">
        <f t="shared" si="168"/>
        <v>63.261148242184817</v>
      </c>
      <c r="W68" s="156">
        <f t="shared" si="168"/>
        <v>74.424880284923304</v>
      </c>
      <c r="X68" s="156">
        <f t="shared" si="168"/>
        <v>87.558682688145069</v>
      </c>
      <c r="Y68" s="156">
        <f t="shared" si="168"/>
        <v>103.01021492722948</v>
      </c>
      <c r="Z68" s="156">
        <f t="shared" si="168"/>
        <v>121.18848814968172</v>
      </c>
      <c r="AA68" s="156">
        <f t="shared" si="168"/>
        <v>142.57469194080204</v>
      </c>
      <c r="AB68" s="156">
        <f t="shared" si="168"/>
        <v>167.73493169506119</v>
      </c>
      <c r="AC68" s="156">
        <f t="shared" si="168"/>
        <v>197.33521375889549</v>
      </c>
      <c r="AD68" s="137">
        <f t="shared" si="139"/>
        <v>0.12711097109583447</v>
      </c>
      <c r="AE68" s="31">
        <f t="shared" si="15"/>
        <v>0.05</v>
      </c>
      <c r="AF68" s="145">
        <f t="shared" si="140"/>
        <v>1593.8613418987713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9">(G67+G68)</f>
        <v>25.310307609282241</v>
      </c>
      <c r="H69" s="143">
        <f t="shared" si="169"/>
        <v>4.7914530836885554</v>
      </c>
      <c r="I69" s="143">
        <f t="shared" si="169"/>
        <v>3.1585063117308403</v>
      </c>
      <c r="J69" s="143">
        <f t="shared" si="169"/>
        <v>5.2664907651715032</v>
      </c>
      <c r="K69" s="143">
        <f t="shared" si="169"/>
        <v>29.056404849762785</v>
      </c>
      <c r="L69" s="143">
        <f t="shared" si="169"/>
        <v>26.938883034773443</v>
      </c>
      <c r="M69" s="143">
        <f t="shared" si="169"/>
        <v>20.371150302711243</v>
      </c>
      <c r="N69" s="143">
        <f t="shared" si="169"/>
        <v>4.1611798788517245</v>
      </c>
      <c r="O69" s="143">
        <f t="shared" ref="O69" si="170">(O67+O68)</f>
        <v>10.126415591256254</v>
      </c>
      <c r="P69" s="143">
        <f t="shared" si="169"/>
        <v>22.38082696865947</v>
      </c>
      <c r="Q69" s="143">
        <f t="shared" ref="Q69" si="171">(Q67+Q68)</f>
        <v>51.308350427778052</v>
      </c>
      <c r="R69" s="118">
        <f>((P69/G69)^(1/($H$2-$H$1) ))-1</f>
        <v>-1.2225363015502921E-2</v>
      </c>
      <c r="S69" s="128"/>
      <c r="T69" s="156">
        <f t="shared" ref="T69:AC69" si="172">(T67+T68)</f>
        <v>60.362765209150652</v>
      </c>
      <c r="U69" s="156">
        <f t="shared" si="172"/>
        <v>71.015017893118426</v>
      </c>
      <c r="V69" s="156">
        <f t="shared" si="172"/>
        <v>83.547079874256951</v>
      </c>
      <c r="W69" s="156">
        <f t="shared" si="172"/>
        <v>98.290682205008181</v>
      </c>
      <c r="X69" s="156">
        <f t="shared" si="172"/>
        <v>115.63609671177433</v>
      </c>
      <c r="Y69" s="156">
        <f t="shared" si="172"/>
        <v>136.04246671973448</v>
      </c>
      <c r="Z69" s="156">
        <f t="shared" si="172"/>
        <v>160.04996084674642</v>
      </c>
      <c r="AA69" s="156">
        <f t="shared" si="172"/>
        <v>188.29407158440756</v>
      </c>
      <c r="AB69" s="156">
        <f t="shared" si="172"/>
        <v>221.52243715812654</v>
      </c>
      <c r="AC69" s="156">
        <f t="shared" si="172"/>
        <v>260.61463195073702</v>
      </c>
      <c r="AD69" s="137">
        <f t="shared" si="139"/>
        <v>0.12366038148016711</v>
      </c>
      <c r="AE69" s="31">
        <f t="shared" si="15"/>
        <v>0.05</v>
      </c>
      <c r="AF69" s="145">
        <f t="shared" si="140"/>
        <v>2104.9643349867224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73">G15/G42</f>
        <v>37.668645439827301</v>
      </c>
      <c r="H70" s="143">
        <f t="shared" si="173"/>
        <v>5.2608859871580425</v>
      </c>
      <c r="I70" s="143">
        <f t="shared" si="173"/>
        <v>7.2201975386890611</v>
      </c>
      <c r="J70" s="143">
        <f t="shared" si="173"/>
        <v>11.767810026385224</v>
      </c>
      <c r="K70" s="143">
        <f t="shared" si="173"/>
        <v>16.868740115972589</v>
      </c>
      <c r="L70" s="143">
        <f t="shared" si="173"/>
        <v>17.665964172813485</v>
      </c>
      <c r="M70" s="143">
        <f t="shared" si="173"/>
        <v>11.163464069491972</v>
      </c>
      <c r="N70" s="143">
        <f t="shared" si="173"/>
        <v>17.355807216223333</v>
      </c>
      <c r="O70" s="143">
        <f t="shared" si="173"/>
        <v>22.475638662101659</v>
      </c>
      <c r="P70" s="143">
        <f t="shared" si="173"/>
        <v>22.341322096391888</v>
      </c>
      <c r="Q70" s="143">
        <f t="shared" ref="Q70" si="174">Q15/Q42</f>
        <v>28.435983389202981</v>
      </c>
      <c r="R70" s="118">
        <f>((P70/G70)^(1/($H$2-$H$1) ))-1</f>
        <v>-5.0898004177102996E-2</v>
      </c>
      <c r="S70" s="128"/>
      <c r="T70" s="156">
        <f t="shared" ref="T70:AC70" si="175">T15/T42</f>
        <v>33.454098104944684</v>
      </c>
      <c r="U70" s="156">
        <f t="shared" si="175"/>
        <v>39.357762476405512</v>
      </c>
      <c r="V70" s="156">
        <f t="shared" si="175"/>
        <v>46.30324997224178</v>
      </c>
      <c r="W70" s="156">
        <f t="shared" si="175"/>
        <v>54.474411732049148</v>
      </c>
      <c r="X70" s="156">
        <f t="shared" si="175"/>
        <v>64.087543214175469</v>
      </c>
      <c r="Y70" s="156">
        <f t="shared" si="175"/>
        <v>75.397109663735847</v>
      </c>
      <c r="Z70" s="156">
        <f t="shared" si="175"/>
        <v>88.702481957336289</v>
      </c>
      <c r="AA70" s="156">
        <f t="shared" si="175"/>
        <v>104.35586112627799</v>
      </c>
      <c r="AB70" s="156">
        <f t="shared" si="175"/>
        <v>122.77160132503292</v>
      </c>
      <c r="AC70" s="156">
        <f t="shared" si="175"/>
        <v>144.43717802945048</v>
      </c>
      <c r="AD70" s="137">
        <f t="shared" si="139"/>
        <v>6.9510246159957267E-2</v>
      </c>
      <c r="AE70" s="31">
        <f t="shared" si="15"/>
        <v>0.05</v>
      </c>
      <c r="AF70" s="145">
        <f t="shared" si="140"/>
        <v>1166.6079763917155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6">G16/G42</f>
        <v>-24.50080949811117</v>
      </c>
      <c r="H71" s="143">
        <f t="shared" si="176"/>
        <v>-12.448065612690876</v>
      </c>
      <c r="I71" s="143">
        <f t="shared" si="176"/>
        <v>-22.532086832514654</v>
      </c>
      <c r="J71" s="143">
        <f t="shared" si="176"/>
        <v>-32.480211081794195</v>
      </c>
      <c r="K71" s="143">
        <f t="shared" si="176"/>
        <v>-45.271481286241439</v>
      </c>
      <c r="L71" s="143">
        <f t="shared" si="176"/>
        <v>-34.594309799789251</v>
      </c>
      <c r="M71" s="143">
        <f t="shared" si="176"/>
        <v>-14.277441431955779</v>
      </c>
      <c r="N71" s="143">
        <f t="shared" si="176"/>
        <v>-55.894126942322892</v>
      </c>
      <c r="O71" s="143">
        <f t="shared" si="176"/>
        <v>-34.219120358177513</v>
      </c>
      <c r="P71" s="143">
        <f t="shared" si="176"/>
        <v>-42.986568343429028</v>
      </c>
      <c r="Q71" s="143">
        <f t="shared" ref="Q71" si="177">Q16/Q42</f>
        <v>-40.733977085105316</v>
      </c>
      <c r="R71" s="118">
        <f>((P71/G71)^(1/($H$2-$H$1) ))-1</f>
        <v>5.782842860361681E-2</v>
      </c>
      <c r="S71" s="128"/>
      <c r="T71" s="156">
        <f t="shared" ref="T71:AC71" si="178">T16/T42</f>
        <v>-47.922325982476842</v>
      </c>
      <c r="U71" s="156">
        <f t="shared" si="178"/>
        <v>-56.379207038208044</v>
      </c>
      <c r="V71" s="156">
        <f t="shared" si="178"/>
        <v>-66.328478868480047</v>
      </c>
      <c r="W71" s="156">
        <f t="shared" si="178"/>
        <v>-78.033504551153001</v>
      </c>
      <c r="X71" s="156">
        <f t="shared" si="178"/>
        <v>-91.804123001356473</v>
      </c>
      <c r="Y71" s="156">
        <f t="shared" si="178"/>
        <v>-108.00485058983114</v>
      </c>
      <c r="Z71" s="156">
        <f t="shared" si="178"/>
        <v>-127.06453010568367</v>
      </c>
      <c r="AA71" s="156">
        <f t="shared" si="178"/>
        <v>-149.48768247727489</v>
      </c>
      <c r="AB71" s="156">
        <f t="shared" si="178"/>
        <v>-175.86786173797043</v>
      </c>
      <c r="AC71" s="156">
        <f t="shared" si="178"/>
        <v>-206.9033667505534</v>
      </c>
      <c r="AD71" s="137">
        <f t="shared" si="139"/>
        <v>0.11257515180565969</v>
      </c>
      <c r="AE71" s="136"/>
      <c r="AF71" s="145">
        <f t="shared" si="140"/>
        <v>-1149.4631486141857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38"/>
      <c r="AE72" s="31">
        <f t="shared" si="15"/>
        <v>0.05</v>
      </c>
      <c r="AF72" s="145">
        <f t="shared" si="140"/>
        <v>0</v>
      </c>
    </row>
    <row r="73" spans="2:32" x14ac:dyDescent="0.2">
      <c r="B73" s="20" t="s">
        <v>282</v>
      </c>
      <c r="C73" s="158"/>
      <c r="D73" s="158"/>
      <c r="E73" s="158"/>
      <c r="F73" s="158"/>
      <c r="G73" s="158">
        <f t="shared" ref="G73:P73" si="179">G44</f>
        <v>0.01</v>
      </c>
      <c r="H73" s="158">
        <f t="shared" si="179"/>
        <v>0</v>
      </c>
      <c r="I73" s="158">
        <f t="shared" si="179"/>
        <v>0</v>
      </c>
      <c r="J73" s="158">
        <f t="shared" si="179"/>
        <v>0</v>
      </c>
      <c r="K73" s="158">
        <f t="shared" si="179"/>
        <v>0</v>
      </c>
      <c r="L73" s="158">
        <f t="shared" si="179"/>
        <v>2</v>
      </c>
      <c r="M73" s="158">
        <f t="shared" si="179"/>
        <v>1</v>
      </c>
      <c r="N73" s="158">
        <f t="shared" si="179"/>
        <v>1</v>
      </c>
      <c r="O73" s="158">
        <f t="shared" si="179"/>
        <v>1</v>
      </c>
      <c r="P73" s="158">
        <f t="shared" si="179"/>
        <v>1</v>
      </c>
      <c r="Q73" s="158">
        <f t="shared" ref="Q73" si="180">Q44</f>
        <v>1.8</v>
      </c>
      <c r="R73" s="118">
        <f>((P73/G73)^(1/($H$2-$H$1) ))-1</f>
        <v>0.5848931924611136</v>
      </c>
      <c r="S73" s="128"/>
      <c r="T73" s="158">
        <f t="shared" ref="T73:AC73" si="181">T44</f>
        <v>1.8900000000000001</v>
      </c>
      <c r="U73" s="158">
        <f t="shared" si="181"/>
        <v>1.9845000000000002</v>
      </c>
      <c r="V73" s="158">
        <f t="shared" si="181"/>
        <v>2.0837250000000003</v>
      </c>
      <c r="W73" s="158">
        <f t="shared" si="181"/>
        <v>2.1879112500000004</v>
      </c>
      <c r="X73" s="158">
        <f t="shared" si="181"/>
        <v>2.2973068125000005</v>
      </c>
      <c r="Y73" s="158">
        <f t="shared" si="181"/>
        <v>2.4121721531250007</v>
      </c>
      <c r="Z73" s="158">
        <f t="shared" si="181"/>
        <v>2.5327807607812507</v>
      </c>
      <c r="AA73" s="158">
        <f t="shared" si="181"/>
        <v>2.6594197988203132</v>
      </c>
      <c r="AB73" s="158">
        <f t="shared" si="181"/>
        <v>2.7923907887613288</v>
      </c>
      <c r="AC73" s="158">
        <f t="shared" si="181"/>
        <v>2.9320103281993952</v>
      </c>
      <c r="AD73" s="137">
        <f t="shared" ref="AD73" si="182">((AC73/G73)^(1/($AC$3-$H$1) ))-1</f>
        <v>0.32848995446765183</v>
      </c>
      <c r="AE73" s="31">
        <f t="shared" si="15"/>
        <v>0.05</v>
      </c>
      <c r="AF73" s="145">
        <f t="shared" si="140"/>
        <v>23.6816218816105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38"/>
      <c r="AE74" s="136"/>
      <c r="AF74" s="153"/>
    </row>
    <row r="75" spans="2:32" x14ac:dyDescent="0.2">
      <c r="B75" s="20" t="s">
        <v>315</v>
      </c>
      <c r="C75" s="127"/>
      <c r="D75" s="127"/>
      <c r="E75" s="127"/>
      <c r="F75" s="143"/>
      <c r="G75" s="143">
        <f t="shared" ref="G75:P75" si="183">G20+G21</f>
        <v>-608</v>
      </c>
      <c r="H75" s="143">
        <f t="shared" si="183"/>
        <v>675</v>
      </c>
      <c r="I75" s="143">
        <f t="shared" si="183"/>
        <v>-453</v>
      </c>
      <c r="J75" s="143">
        <f t="shared" si="183"/>
        <v>132</v>
      </c>
      <c r="K75" s="143">
        <f t="shared" si="183"/>
        <v>-1189</v>
      </c>
      <c r="L75" s="143">
        <f t="shared" si="183"/>
        <v>959</v>
      </c>
      <c r="M75" s="143">
        <f t="shared" si="183"/>
        <v>2091</v>
      </c>
      <c r="N75" s="143">
        <f t="shared" si="183"/>
        <v>-5809</v>
      </c>
      <c r="O75" s="143">
        <f t="shared" si="183"/>
        <v>-1174</v>
      </c>
      <c r="P75" s="143">
        <f t="shared" si="183"/>
        <v>3159</v>
      </c>
      <c r="Q75" s="143">
        <f t="shared" ref="Q75" si="184">Q20+Q21</f>
        <v>-1064</v>
      </c>
      <c r="R75" s="118" t="e">
        <f>((P75/G75)^(1/($H$2-$H$1) ))-1</f>
        <v>#NUM!</v>
      </c>
      <c r="S75" s="128"/>
      <c r="T75" s="143">
        <f t="shared" ref="T75:AC75" si="185">T20+T21</f>
        <v>-1276.8000000000029</v>
      </c>
      <c r="U75" s="143">
        <f t="shared" si="185"/>
        <v>-1532.1600000000035</v>
      </c>
      <c r="V75" s="143">
        <f t="shared" si="185"/>
        <v>-1838.5920000000042</v>
      </c>
      <c r="W75" s="143">
        <f t="shared" si="185"/>
        <v>-2206.3104000000094</v>
      </c>
      <c r="X75" s="143">
        <f t="shared" si="185"/>
        <v>-2647.5724800000098</v>
      </c>
      <c r="Y75" s="143">
        <f t="shared" si="185"/>
        <v>-3177.0869760000132</v>
      </c>
      <c r="Z75" s="143">
        <f t="shared" si="185"/>
        <v>-3812.5043712000188</v>
      </c>
      <c r="AA75" s="143">
        <f t="shared" si="185"/>
        <v>-4575.0052454400284</v>
      </c>
      <c r="AB75" s="143">
        <f t="shared" si="185"/>
        <v>-5490.0062945280224</v>
      </c>
      <c r="AC75" s="143">
        <f t="shared" si="185"/>
        <v>-6588.0075534336356</v>
      </c>
      <c r="AD75" s="137">
        <f t="shared" ref="AD75:AD80" si="186">((AC75/G75)^(1/($AC$3-$H$1) ))-1</f>
        <v>0.12652938728020025</v>
      </c>
      <c r="AE75" s="31">
        <f t="shared" si="15"/>
        <v>0.05</v>
      </c>
      <c r="AF75" s="145">
        <f t="shared" si="140"/>
        <v>-53210.830239271672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316</v>
      </c>
      <c r="C77" s="127"/>
      <c r="D77" s="127"/>
      <c r="E77" s="127"/>
      <c r="F77" s="143"/>
      <c r="G77" s="143">
        <f t="shared" ref="G77:P77" si="187">G75/G42</f>
        <v>-32.811656772800859</v>
      </c>
      <c r="H77" s="143">
        <f t="shared" si="187"/>
        <v>3.6421518372632598</v>
      </c>
      <c r="I77" s="143">
        <f t="shared" si="187"/>
        <v>-2.3926477578830609</v>
      </c>
      <c r="J77" s="143">
        <f t="shared" si="187"/>
        <v>0.69656992084432723</v>
      </c>
      <c r="K77" s="143">
        <f t="shared" si="187"/>
        <v>-6.267791249341065</v>
      </c>
      <c r="L77" s="143">
        <f t="shared" si="187"/>
        <v>5.0526870389884087</v>
      </c>
      <c r="M77" s="143">
        <f t="shared" si="187"/>
        <v>5.504080021058174</v>
      </c>
      <c r="N77" s="143">
        <f t="shared" si="187"/>
        <v>-15.298920200158021</v>
      </c>
      <c r="O77" s="143">
        <f t="shared" si="187"/>
        <v>-3.0919146694759023</v>
      </c>
      <c r="P77" s="143">
        <f t="shared" si="187"/>
        <v>8.3197260995522786</v>
      </c>
      <c r="Q77" s="143">
        <f t="shared" ref="Q77" si="188">Q75/Q42</f>
        <v>-2.6617301245809775</v>
      </c>
      <c r="R77" s="118" t="e">
        <f>((P77/G77)^(1/($H$2-$H$1) ))-1</f>
        <v>#NUM!</v>
      </c>
      <c r="S77" s="128"/>
      <c r="T77" s="145">
        <f t="shared" ref="T77:AC77" si="189">T75/T42</f>
        <v>-3.1314472053893927</v>
      </c>
      <c r="U77" s="145">
        <f t="shared" si="189"/>
        <v>-3.6840555357522264</v>
      </c>
      <c r="V77" s="145">
        <f t="shared" si="189"/>
        <v>-4.3341829832379135</v>
      </c>
      <c r="W77" s="145">
        <f t="shared" si="189"/>
        <v>-5.0990388038093206</v>
      </c>
      <c r="X77" s="145">
        <f t="shared" si="189"/>
        <v>-5.9988691809521377</v>
      </c>
      <c r="Y77" s="145">
        <f t="shared" si="189"/>
        <v>-7.0574931540613424</v>
      </c>
      <c r="Z77" s="145">
        <f t="shared" si="189"/>
        <v>-8.3029331224251148</v>
      </c>
      <c r="AA77" s="145">
        <f t="shared" si="189"/>
        <v>-9.7681566146177943</v>
      </c>
      <c r="AB77" s="145">
        <f t="shared" si="189"/>
        <v>-11.49194895837385</v>
      </c>
      <c r="AC77" s="145">
        <f t="shared" si="189"/>
        <v>-13.519939951028077</v>
      </c>
      <c r="AD77" s="137">
        <f t="shared" si="186"/>
        <v>-4.3362656373461483E-2</v>
      </c>
      <c r="AE77" s="31">
        <f t="shared" si="15"/>
        <v>0.05</v>
      </c>
      <c r="AF77" s="145">
        <f t="shared" si="140"/>
        <v>-109.19951498907292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90">G20/G42</f>
        <v>-0.37776578521316784</v>
      </c>
      <c r="H78" s="143">
        <f t="shared" si="190"/>
        <v>16.214320401446066</v>
      </c>
      <c r="I78" s="143">
        <f t="shared" si="190"/>
        <v>24.01626789204035</v>
      </c>
      <c r="J78" s="143">
        <f t="shared" si="190"/>
        <v>42.78100263852243</v>
      </c>
      <c r="K78" s="143">
        <f t="shared" si="190"/>
        <v>55.134422772799162</v>
      </c>
      <c r="L78" s="143">
        <f t="shared" si="190"/>
        <v>62.449947312961008</v>
      </c>
      <c r="M78" s="143">
        <f t="shared" si="190"/>
        <v>33.408791787312452</v>
      </c>
      <c r="N78" s="143">
        <f t="shared" si="190"/>
        <v>35.009217803529104</v>
      </c>
      <c r="O78" s="143">
        <f t="shared" si="190"/>
        <v>30.12114827495391</v>
      </c>
      <c r="P78" s="143">
        <f t="shared" si="190"/>
        <v>36.565709770871742</v>
      </c>
      <c r="Q78" s="143">
        <f t="shared" ref="Q78" si="191">Q20/Q42</f>
        <v>40.08105268424476</v>
      </c>
      <c r="R78" s="118" t="e">
        <f>((P78/G78)^(1/($H$2-$H$1) ))-1</f>
        <v>#NUM!</v>
      </c>
      <c r="S78" s="128"/>
      <c r="T78" s="145">
        <f t="shared" ref="T78:AC78" si="192">T20/T42</f>
        <v>47.154179628523238</v>
      </c>
      <c r="U78" s="145">
        <f t="shared" si="192"/>
        <v>55.47550544532146</v>
      </c>
      <c r="V78" s="145">
        <f t="shared" si="192"/>
        <v>65.265300523907598</v>
      </c>
      <c r="W78" s="145">
        <f t="shared" si="192"/>
        <v>76.782706498714816</v>
      </c>
      <c r="X78" s="145">
        <f t="shared" si="192"/>
        <v>90.332595880840955</v>
      </c>
      <c r="Y78" s="145">
        <f t="shared" si="192"/>
        <v>106.27364221275405</v>
      </c>
      <c r="Z78" s="145">
        <f t="shared" si="192"/>
        <v>125.02781436794594</v>
      </c>
      <c r="AA78" s="145">
        <f t="shared" si="192"/>
        <v>147.09154631523052</v>
      </c>
      <c r="AB78" s="145">
        <f t="shared" si="192"/>
        <v>173.04887801791824</v>
      </c>
      <c r="AC78" s="145">
        <f t="shared" si="192"/>
        <v>203.5869153151979</v>
      </c>
      <c r="AD78" s="137" t="e">
        <f t="shared" si="186"/>
        <v>#NUM!</v>
      </c>
      <c r="AE78" s="31">
        <f t="shared" si="15"/>
        <v>0.05</v>
      </c>
      <c r="AF78" s="145">
        <f t="shared" si="140"/>
        <v>1644.355854468906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93">G21/G42</f>
        <v>-32.433890987587695</v>
      </c>
      <c r="H79" s="143">
        <f t="shared" si="193"/>
        <v>-12.572168564182808</v>
      </c>
      <c r="I79" s="143">
        <f t="shared" si="193"/>
        <v>-26.408915649923411</v>
      </c>
      <c r="J79" s="143">
        <f t="shared" si="193"/>
        <v>-42.084432717678098</v>
      </c>
      <c r="K79" s="143">
        <f t="shared" si="193"/>
        <v>-61.402214022140228</v>
      </c>
      <c r="L79" s="143">
        <f t="shared" si="193"/>
        <v>-57.397260273972599</v>
      </c>
      <c r="M79" s="143">
        <f t="shared" si="193"/>
        <v>-27.90471176625428</v>
      </c>
      <c r="N79" s="143">
        <f t="shared" si="193"/>
        <v>-50.30813800368712</v>
      </c>
      <c r="O79" s="143">
        <f t="shared" si="193"/>
        <v>-33.213062944429815</v>
      </c>
      <c r="P79" s="143">
        <f t="shared" si="193"/>
        <v>-28.245983671319465</v>
      </c>
      <c r="Q79" s="143">
        <f t="shared" ref="Q79" si="194">Q21/Q42</f>
        <v>-42.742782808825737</v>
      </c>
      <c r="R79" s="118">
        <f>((P79/G79)^(1/($H$2-$H$1) ))-1</f>
        <v>-1.3730131740265827E-2</v>
      </c>
      <c r="S79" s="128"/>
      <c r="T79" s="145">
        <f t="shared" ref="T79:AC79" si="195">T21/T42</f>
        <v>-50.28562683391263</v>
      </c>
      <c r="U79" s="145">
        <f t="shared" si="195"/>
        <v>-59.159560981073682</v>
      </c>
      <c r="V79" s="145">
        <f t="shared" si="195"/>
        <v>-69.599483507145507</v>
      </c>
      <c r="W79" s="145">
        <f t="shared" si="195"/>
        <v>-81.881745302524138</v>
      </c>
      <c r="X79" s="145">
        <f t="shared" si="195"/>
        <v>-96.331465061793097</v>
      </c>
      <c r="Y79" s="145">
        <f t="shared" si="195"/>
        <v>-113.3311353668154</v>
      </c>
      <c r="Z79" s="145">
        <f t="shared" si="195"/>
        <v>-133.33074749037104</v>
      </c>
      <c r="AA79" s="145">
        <f t="shared" si="195"/>
        <v>-156.85970292984831</v>
      </c>
      <c r="AB79" s="145">
        <f t="shared" si="195"/>
        <v>-184.5408269762921</v>
      </c>
      <c r="AC79" s="145">
        <f t="shared" si="195"/>
        <v>-217.10685526622598</v>
      </c>
      <c r="AD79" s="137">
        <f t="shared" si="186"/>
        <v>9.9724053560723114E-2</v>
      </c>
      <c r="AE79" s="31">
        <f t="shared" si="15"/>
        <v>0.05</v>
      </c>
      <c r="AF79" s="145">
        <f t="shared" si="140"/>
        <v>-1753.5553694579792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6">G22/G42</f>
        <v>32.865623313545598</v>
      </c>
      <c r="H80" s="143">
        <f t="shared" si="196"/>
        <v>-2.2824151513516431</v>
      </c>
      <c r="I80" s="143">
        <f t="shared" si="196"/>
        <v>1.9859504568742405</v>
      </c>
      <c r="J80" s="143">
        <f t="shared" si="196"/>
        <v>1.7941952506596306</v>
      </c>
      <c r="K80" s="143">
        <f t="shared" si="196"/>
        <v>4.7337901950448078</v>
      </c>
      <c r="L80" s="143">
        <f t="shared" si="196"/>
        <v>-3.5405690200210747</v>
      </c>
      <c r="M80" s="143">
        <f t="shared" si="196"/>
        <v>-6.6833377204527515</v>
      </c>
      <c r="N80" s="143">
        <f t="shared" si="196"/>
        <v>14.732683697656045</v>
      </c>
      <c r="O80" s="143">
        <f t="shared" si="196"/>
        <v>3.6871214116407693</v>
      </c>
      <c r="P80" s="143">
        <f t="shared" si="196"/>
        <v>-8.38820121148275</v>
      </c>
      <c r="Q80" s="143">
        <f t="shared" ref="Q80" si="197">Q22/Q42</f>
        <v>2.9569219992995448</v>
      </c>
      <c r="R80" s="118" t="e">
        <f>((P80/G80)^(1/($H$2-$H$1) ))-1</f>
        <v>#NUM!</v>
      </c>
      <c r="S80" s="128"/>
      <c r="T80" s="145">
        <f t="shared" ref="T80:AC80" si="198">T22/T42</f>
        <v>3.4787317638818167</v>
      </c>
      <c r="U80" s="145">
        <f t="shared" si="198"/>
        <v>4.0926256045668428</v>
      </c>
      <c r="V80" s="145">
        <f t="shared" si="198"/>
        <v>4.8148536524315801</v>
      </c>
      <c r="W80" s="145">
        <f t="shared" si="198"/>
        <v>5.6645337087430354</v>
      </c>
      <c r="X80" s="145">
        <f t="shared" si="198"/>
        <v>6.6641573044035711</v>
      </c>
      <c r="Y80" s="145">
        <f t="shared" si="198"/>
        <v>7.840185064004201</v>
      </c>
      <c r="Z80" s="145">
        <f t="shared" si="198"/>
        <v>9.2237471341225881</v>
      </c>
      <c r="AA80" s="145">
        <f t="shared" si="198"/>
        <v>10.851467216614811</v>
      </c>
      <c r="AB80" s="145">
        <f t="shared" si="198"/>
        <v>12.766432019546835</v>
      </c>
      <c r="AC80" s="145">
        <f t="shared" si="198"/>
        <v>15.019331787702159</v>
      </c>
      <c r="AD80" s="137">
        <f t="shared" si="186"/>
        <v>-3.8397825156982424E-2</v>
      </c>
      <c r="AE80" s="31">
        <f t="shared" si="15"/>
        <v>0.05</v>
      </c>
      <c r="AF80" s="145">
        <f t="shared" si="140"/>
        <v>121.3099875160559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9">G23/G42</f>
        <v>7.0156502968159737E-3</v>
      </c>
      <c r="H81" s="143">
        <f t="shared" si="199"/>
        <v>2.0719797118653211</v>
      </c>
      <c r="I81" s="143">
        <f t="shared" si="199"/>
        <v>1.6215074209052975</v>
      </c>
      <c r="J81" s="143">
        <f t="shared" si="199"/>
        <v>4.1160949868073882</v>
      </c>
      <c r="K81" s="143">
        <f t="shared" si="199"/>
        <v>2.6462836056932</v>
      </c>
      <c r="L81" s="143">
        <f t="shared" si="199"/>
        <v>4.1622760800842986</v>
      </c>
      <c r="M81" s="143">
        <f t="shared" si="199"/>
        <v>0.89760463279810487</v>
      </c>
      <c r="N81" s="143">
        <f t="shared" si="199"/>
        <v>0.33710824335001316</v>
      </c>
      <c r="O81" s="143">
        <f t="shared" si="199"/>
        <v>0.93494864366605213</v>
      </c>
      <c r="P81" s="143">
        <f t="shared" si="199"/>
        <v>0.86383987358440872</v>
      </c>
      <c r="Q81" s="143">
        <f t="shared" ref="Q81" si="200">Q23/Q42</f>
        <v>1.1132235953369689</v>
      </c>
      <c r="R81" s="118">
        <f>((P81/G81)^(1/($H$2-$H$1) ))-1</f>
        <v>0.61821615069628555</v>
      </c>
      <c r="S81" s="128"/>
      <c r="T81" s="145">
        <f t="shared" ref="T81:AC81" si="201">T23/T42</f>
        <v>1.3096748180434929</v>
      </c>
      <c r="U81" s="145">
        <f t="shared" si="201"/>
        <v>1.5407939035805798</v>
      </c>
      <c r="V81" s="145">
        <f t="shared" si="201"/>
        <v>1.8126987100947998</v>
      </c>
      <c r="W81" s="145">
        <f t="shared" si="201"/>
        <v>2.132586717758588</v>
      </c>
      <c r="X81" s="145">
        <f t="shared" si="201"/>
        <v>2.5089255503042209</v>
      </c>
      <c r="Y81" s="145">
        <f t="shared" si="201"/>
        <v>2.9516771180049659</v>
      </c>
      <c r="Z81" s="145">
        <f t="shared" si="201"/>
        <v>3.4725613152999593</v>
      </c>
      <c r="AA81" s="145">
        <f t="shared" si="201"/>
        <v>4.0853662532940698</v>
      </c>
      <c r="AB81" s="145">
        <f t="shared" si="201"/>
        <v>4.8063132391694934</v>
      </c>
      <c r="AC81" s="145">
        <f t="shared" si="201"/>
        <v>5.6544861637288149</v>
      </c>
      <c r="AD81" s="137">
        <f t="shared" ref="AD81" si="202">((AC81/G81)^(1/($AC$3-$H$1) ))-1</f>
        <v>0.39738559060792089</v>
      </c>
      <c r="AE81" s="31">
        <f t="shared" si="15"/>
        <v>0.05</v>
      </c>
      <c r="AF81" s="145">
        <f t="shared" si="140"/>
        <v>45.670849783963504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3"/>
    </row>
    <row r="83" spans="2:32" x14ac:dyDescent="0.2">
      <c r="B83" s="20" t="s">
        <v>309</v>
      </c>
      <c r="C83" s="143"/>
      <c r="D83" s="143"/>
      <c r="E83" s="143"/>
      <c r="F83" s="143"/>
      <c r="G83" s="143">
        <f t="shared" ref="G83:P83" si="203">G36/G42</f>
        <v>90.07015650296816</v>
      </c>
      <c r="H83" s="143">
        <f t="shared" si="203"/>
        <v>16.424755840932391</v>
      </c>
      <c r="I83" s="143">
        <f t="shared" si="203"/>
        <v>22.120107748375851</v>
      </c>
      <c r="J83" s="143">
        <f t="shared" si="203"/>
        <v>39.234828496042219</v>
      </c>
      <c r="K83" s="143">
        <f t="shared" si="203"/>
        <v>59.98945703742752</v>
      </c>
      <c r="L83" s="143">
        <f t="shared" si="203"/>
        <v>81.348788198103264</v>
      </c>
      <c r="M83" s="143">
        <f t="shared" si="203"/>
        <v>44.738088970781789</v>
      </c>
      <c r="N83" s="143">
        <f t="shared" si="203"/>
        <v>52.596786937055569</v>
      </c>
      <c r="O83" s="143">
        <f t="shared" si="203"/>
        <v>62.428232815380568</v>
      </c>
      <c r="P83" s="143">
        <f t="shared" si="203"/>
        <v>65.499078219647089</v>
      </c>
      <c r="Q83" s="143">
        <f t="shared" ref="Q83" si="204">Q36/Q42</f>
        <v>70.791014159203485</v>
      </c>
      <c r="R83" s="118">
        <f>((P83/G83)^(1/($H$2-$H$1) ))-1</f>
        <v>-3.1353246842817151E-2</v>
      </c>
      <c r="S83" s="128"/>
      <c r="T83" s="143">
        <f t="shared" ref="T83:AC83" si="205">T36/T42</f>
        <v>83.283546069651152</v>
      </c>
      <c r="U83" s="143">
        <f t="shared" si="205"/>
        <v>97.980642434883706</v>
      </c>
      <c r="V83" s="143">
        <f t="shared" si="205"/>
        <v>115.27134404103965</v>
      </c>
      <c r="W83" s="143">
        <f t="shared" si="205"/>
        <v>135.61334593063486</v>
      </c>
      <c r="X83" s="143">
        <f t="shared" si="205"/>
        <v>159.54511285957042</v>
      </c>
      <c r="Y83" s="143">
        <f t="shared" si="205"/>
        <v>187.70013277596519</v>
      </c>
      <c r="Z83" s="143">
        <f t="shared" si="205"/>
        <v>220.82368561878258</v>
      </c>
      <c r="AA83" s="143">
        <f t="shared" si="205"/>
        <v>259.79257131621478</v>
      </c>
      <c r="AB83" s="143">
        <f t="shared" si="205"/>
        <v>305.63831919554679</v>
      </c>
      <c r="AC83" s="143">
        <f t="shared" si="205"/>
        <v>359.5744931712315</v>
      </c>
      <c r="AD83" s="137">
        <f t="shared" ref="AD83:AD85" si="206">((AC83/G83)^(1/($AC$3-$H$1) ))-1</f>
        <v>7.1668333386827987E-2</v>
      </c>
      <c r="AE83" s="31">
        <f t="shared" si="15"/>
        <v>0.05</v>
      </c>
      <c r="AF83" s="145">
        <f t="shared" si="140"/>
        <v>2904.255521767639</v>
      </c>
    </row>
    <row r="84" spans="2:32" x14ac:dyDescent="0.2">
      <c r="B84" s="20" t="s">
        <v>310</v>
      </c>
      <c r="C84" s="143"/>
      <c r="D84" s="143"/>
      <c r="E84" s="143"/>
      <c r="F84" s="143"/>
      <c r="G84" s="143">
        <f t="shared" ref="G84:P84" si="207">G40/G42</f>
        <v>31.570426335671883</v>
      </c>
      <c r="H84" s="143">
        <f t="shared" si="207"/>
        <v>6.599039551071062</v>
      </c>
      <c r="I84" s="143">
        <f t="shared" si="207"/>
        <v>10.848782548988538</v>
      </c>
      <c r="J84" s="143">
        <f t="shared" si="207"/>
        <v>21.688654353562004</v>
      </c>
      <c r="K84" s="143">
        <f t="shared" si="207"/>
        <v>34.238270954138116</v>
      </c>
      <c r="L84" s="143">
        <f t="shared" si="207"/>
        <v>42.381454162276079</v>
      </c>
      <c r="M84" s="143">
        <f t="shared" si="207"/>
        <v>24.653856277967886</v>
      </c>
      <c r="N84" s="143">
        <f t="shared" si="207"/>
        <v>18.891229918356597</v>
      </c>
      <c r="O84" s="143">
        <f t="shared" si="207"/>
        <v>5.8388201211482755</v>
      </c>
      <c r="P84" s="143">
        <f t="shared" si="207"/>
        <v>5.988938635765078</v>
      </c>
      <c r="Q84" s="143">
        <f t="shared" ref="Q84" si="208">Q40/Q42</f>
        <v>7.5524090658928298</v>
      </c>
      <c r="R84" s="118">
        <f>((P84/G84)^(1/($H$2-$H$1) ))-1</f>
        <v>-0.15314912295187377</v>
      </c>
      <c r="S84" s="128"/>
      <c r="T84" s="143">
        <f t="shared" ref="T84:AC84" si="209">T40/T42</f>
        <v>8.8851871363445056</v>
      </c>
      <c r="U84" s="143">
        <f t="shared" si="209"/>
        <v>10.453161336875889</v>
      </c>
      <c r="V84" s="143">
        <f t="shared" si="209"/>
        <v>12.29783686691281</v>
      </c>
      <c r="W84" s="143">
        <f t="shared" si="209"/>
        <v>14.468043372838601</v>
      </c>
      <c r="X84" s="143">
        <f t="shared" si="209"/>
        <v>17.021227497457176</v>
      </c>
      <c r="Y84" s="143">
        <f t="shared" si="209"/>
        <v>20.024973526420208</v>
      </c>
      <c r="Z84" s="143">
        <f t="shared" si="209"/>
        <v>23.558792384023771</v>
      </c>
      <c r="AA84" s="143">
        <f t="shared" si="209"/>
        <v>27.716226334145613</v>
      </c>
      <c r="AB84" s="143">
        <f t="shared" si="209"/>
        <v>32.607325098994835</v>
      </c>
      <c r="AC84" s="143">
        <f t="shared" si="209"/>
        <v>38.36155893999392</v>
      </c>
      <c r="AD84" s="137">
        <f t="shared" si="206"/>
        <v>9.7893594465972011E-3</v>
      </c>
      <c r="AE84" s="31">
        <f t="shared" si="15"/>
        <v>0.05</v>
      </c>
      <c r="AF84" s="145">
        <f t="shared" si="140"/>
        <v>309.84336066918166</v>
      </c>
    </row>
    <row r="85" spans="2:32" x14ac:dyDescent="0.2">
      <c r="B85" s="20" t="s">
        <v>311</v>
      </c>
      <c r="C85" s="143"/>
      <c r="D85" s="143"/>
      <c r="E85" s="143"/>
      <c r="F85" s="143"/>
      <c r="G85" s="143">
        <f t="shared" ref="G85:P85" si="210">G6/G42</f>
        <v>128.76416621694548</v>
      </c>
      <c r="H85" s="143">
        <f t="shared" si="210"/>
        <v>14.439108617061457</v>
      </c>
      <c r="I85" s="143">
        <f t="shared" si="210"/>
        <v>28.806845190936457</v>
      </c>
      <c r="J85" s="143">
        <f t="shared" si="210"/>
        <v>50.44854881266491</v>
      </c>
      <c r="K85" s="143">
        <f t="shared" si="210"/>
        <v>104.19609910384818</v>
      </c>
      <c r="L85" s="143">
        <f t="shared" si="210"/>
        <v>142.7081138040042</v>
      </c>
      <c r="M85" s="143">
        <f t="shared" si="210"/>
        <v>99.278757567781</v>
      </c>
      <c r="N85" s="143">
        <f t="shared" si="210"/>
        <v>123.43429022912827</v>
      </c>
      <c r="O85" s="143">
        <f t="shared" si="210"/>
        <v>128.2907558598894</v>
      </c>
      <c r="P85" s="143">
        <f t="shared" si="210"/>
        <v>127.52699499604951</v>
      </c>
      <c r="Q85" s="143">
        <f t="shared" ref="Q85" si="211">Q6/Q42</f>
        <v>144.57147145644669</v>
      </c>
      <c r="R85" s="118">
        <f>((P85/G85)^(1/($H$2-$H$1) ))-1</f>
        <v>-9.6498357496155318E-4</v>
      </c>
      <c r="S85" s="128"/>
      <c r="T85" s="143">
        <f t="shared" ref="T85:AC85" si="212">T6/T42</f>
        <v>170.08408406640785</v>
      </c>
      <c r="U85" s="143">
        <f t="shared" si="212"/>
        <v>200.09892243106808</v>
      </c>
      <c r="V85" s="143">
        <f t="shared" si="212"/>
        <v>235.41049697772712</v>
      </c>
      <c r="W85" s="143">
        <f t="shared" si="212"/>
        <v>276.95352585614955</v>
      </c>
      <c r="X85" s="143">
        <f t="shared" si="212"/>
        <v>325.82767747782299</v>
      </c>
      <c r="Y85" s="143">
        <f t="shared" si="212"/>
        <v>383.32667938567408</v>
      </c>
      <c r="Z85" s="143">
        <f t="shared" si="212"/>
        <v>450.97256398314596</v>
      </c>
      <c r="AA85" s="143">
        <f t="shared" si="212"/>
        <v>530.55595762723055</v>
      </c>
      <c r="AB85" s="143">
        <f t="shared" si="212"/>
        <v>624.1834795614476</v>
      </c>
      <c r="AC85" s="143">
        <f t="shared" si="212"/>
        <v>734.33350536640876</v>
      </c>
      <c r="AD85" s="137">
        <f t="shared" si="206"/>
        <v>9.0950174787346239E-2</v>
      </c>
      <c r="AE85" s="31">
        <f t="shared" ref="AE85" si="213">$L$1</f>
        <v>0.05</v>
      </c>
      <c r="AF85" s="145">
        <f t="shared" si="140"/>
        <v>5931.1552356517632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3"/>
    </row>
    <row r="87" spans="2:32" x14ac:dyDescent="0.2">
      <c r="B87" s="20"/>
      <c r="C87" s="127"/>
      <c r="D87" s="127"/>
      <c r="E87" s="127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28"/>
      <c r="S87" s="128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38"/>
      <c r="AE87" s="20"/>
      <c r="AF87" s="153"/>
    </row>
    <row r="88" spans="2:32" x14ac:dyDescent="0.2">
      <c r="B88" s="108" t="s">
        <v>308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2:32" x14ac:dyDescent="0.2">
      <c r="B89" s="20" t="s">
        <v>307</v>
      </c>
      <c r="C89" s="151"/>
      <c r="D89" s="151"/>
      <c r="E89" s="151"/>
      <c r="F89" s="151"/>
      <c r="G89" s="151">
        <f t="shared" ref="G89:P89" si="214">G36/G25</f>
        <v>0.33141382049245433</v>
      </c>
      <c r="H89" s="151">
        <f t="shared" si="214"/>
        <v>0.42698835741338198</v>
      </c>
      <c r="I89" s="151">
        <f t="shared" si="214"/>
        <v>0.35877666409663328</v>
      </c>
      <c r="J89" s="151">
        <f t="shared" si="214"/>
        <v>0.39919463087248325</v>
      </c>
      <c r="K89" s="151">
        <f t="shared" si="214"/>
        <v>0.53192483873983365</v>
      </c>
      <c r="L89" s="151">
        <f t="shared" si="214"/>
        <v>0.42862695019710179</v>
      </c>
      <c r="M89" s="151">
        <f t="shared" si="214"/>
        <v>0.39566067604059968</v>
      </c>
      <c r="N89" s="151">
        <f t="shared" si="214"/>
        <v>0.32638219287780484</v>
      </c>
      <c r="O89" s="151">
        <f t="shared" si="214"/>
        <v>0.33994464283153353</v>
      </c>
      <c r="P89" s="151">
        <f t="shared" si="214"/>
        <v>0.30948618076382234</v>
      </c>
      <c r="Q89" s="151">
        <f t="shared" ref="Q89" si="215">Q36/Q25</f>
        <v>0.32936438655912104</v>
      </c>
      <c r="R89" s="118">
        <f t="shared" ref="R89:R142" si="216">((P89/G89)^(1/($H$2-$H$1) ))-1</f>
        <v>-6.8220600249560004E-3</v>
      </c>
      <c r="S89" s="151"/>
      <c r="T89" s="151">
        <f t="shared" ref="T89:AC89" si="217">T36/T25</f>
        <v>0.32936438655912104</v>
      </c>
      <c r="U89" s="151">
        <f t="shared" si="217"/>
        <v>0.32936438655912104</v>
      </c>
      <c r="V89" s="151">
        <f t="shared" si="217"/>
        <v>0.32936438655912104</v>
      </c>
      <c r="W89" s="151">
        <f t="shared" si="217"/>
        <v>0.32936438655912104</v>
      </c>
      <c r="X89" s="151">
        <f t="shared" si="217"/>
        <v>0.32936438655912104</v>
      </c>
      <c r="Y89" s="151">
        <f t="shared" si="217"/>
        <v>0.32936438655912104</v>
      </c>
      <c r="Z89" s="151">
        <f t="shared" si="217"/>
        <v>0.32936438655912104</v>
      </c>
      <c r="AA89" s="151">
        <f t="shared" si="217"/>
        <v>0.32936438655912098</v>
      </c>
      <c r="AB89" s="151">
        <f t="shared" si="217"/>
        <v>0.32936438655912104</v>
      </c>
      <c r="AC89" s="151">
        <f t="shared" si="217"/>
        <v>0.32936438655912104</v>
      </c>
      <c r="AD89" s="137">
        <f t="shared" ref="AD89:AD129" si="218">((AC89/G89)^(1/($AC$3-$H$1) ))-1</f>
        <v>-3.1010749041371355E-4</v>
      </c>
      <c r="AE89" s="145"/>
      <c r="AF89" s="145"/>
    </row>
    <row r="90" spans="2:32" x14ac:dyDescent="0.2">
      <c r="B90" s="20" t="s">
        <v>266</v>
      </c>
      <c r="C90" s="151"/>
      <c r="D90" s="151"/>
      <c r="E90" s="151"/>
      <c r="F90" s="151"/>
      <c r="G90" s="151">
        <f t="shared" ref="G90:P90" si="219">G40/G25</f>
        <v>0.11616362192216044</v>
      </c>
      <c r="H90" s="151">
        <f t="shared" si="219"/>
        <v>0.17155281245616497</v>
      </c>
      <c r="I90" s="151">
        <f t="shared" si="219"/>
        <v>0.17596162083440417</v>
      </c>
      <c r="J90" s="151">
        <f t="shared" si="219"/>
        <v>0.2206711409395973</v>
      </c>
      <c r="K90" s="151">
        <f t="shared" si="219"/>
        <v>0.30358979153033561</v>
      </c>
      <c r="L90" s="151">
        <f t="shared" si="219"/>
        <v>0.22330797845760925</v>
      </c>
      <c r="M90" s="151">
        <f t="shared" si="219"/>
        <v>0.21803706117888072</v>
      </c>
      <c r="N90" s="151">
        <f t="shared" si="219"/>
        <v>0.1172269525568321</v>
      </c>
      <c r="O90" s="151">
        <f t="shared" si="219"/>
        <v>3.1794518779847694E-2</v>
      </c>
      <c r="P90" s="151">
        <f t="shared" si="219"/>
        <v>2.829801266815167E-2</v>
      </c>
      <c r="Q90" s="151">
        <f t="shared" ref="Q90" si="220">Q40/Q25</f>
        <v>3.5138563962894422E-2</v>
      </c>
      <c r="R90" s="118">
        <f t="shared" si="216"/>
        <v>-0.13170244282413268</v>
      </c>
      <c r="S90" s="151"/>
      <c r="T90" s="151">
        <f t="shared" ref="T90:AC90" si="221">T40/T25</f>
        <v>3.5138563962894422E-2</v>
      </c>
      <c r="U90" s="151">
        <f t="shared" si="221"/>
        <v>3.5138563962894422E-2</v>
      </c>
      <c r="V90" s="151">
        <f t="shared" si="221"/>
        <v>3.5138563962894422E-2</v>
      </c>
      <c r="W90" s="151">
        <f t="shared" si="221"/>
        <v>3.5138563962894429E-2</v>
      </c>
      <c r="X90" s="151">
        <f t="shared" si="221"/>
        <v>3.5138563962894429E-2</v>
      </c>
      <c r="Y90" s="151">
        <f t="shared" si="221"/>
        <v>3.5138563962894429E-2</v>
      </c>
      <c r="Z90" s="151">
        <f t="shared" si="221"/>
        <v>3.5138563962894429E-2</v>
      </c>
      <c r="AA90" s="151">
        <f t="shared" si="221"/>
        <v>3.5138563962894429E-2</v>
      </c>
      <c r="AB90" s="151">
        <f t="shared" si="221"/>
        <v>3.5138563962894429E-2</v>
      </c>
      <c r="AC90" s="151">
        <f t="shared" si="221"/>
        <v>3.5138563962894422E-2</v>
      </c>
      <c r="AD90" s="137">
        <f t="shared" si="218"/>
        <v>-5.8032989542377678E-2</v>
      </c>
      <c r="AE90" s="145"/>
      <c r="AF90" s="145"/>
    </row>
    <row r="91" spans="2:32" x14ac:dyDescent="0.2">
      <c r="B91" s="20" t="s">
        <v>357</v>
      </c>
      <c r="C91" s="151"/>
      <c r="D91" s="151"/>
      <c r="E91" s="151"/>
      <c r="F91" s="151"/>
      <c r="G91" s="151">
        <f>G40/G7</f>
        <v>0.13800424628450106</v>
      </c>
      <c r="H91" s="151">
        <f t="shared" ref="H91:O91" si="222">H40/H7</f>
        <v>0.2697397441552713</v>
      </c>
      <c r="I91" s="151">
        <f t="shared" si="222"/>
        <v>0.27900027166530833</v>
      </c>
      <c r="J91" s="151">
        <f t="shared" si="222"/>
        <v>0.35776462395543174</v>
      </c>
      <c r="K91" s="151">
        <f t="shared" si="222"/>
        <v>0.29897808874976983</v>
      </c>
      <c r="L91" s="151">
        <f t="shared" si="222"/>
        <v>0.27616987674666116</v>
      </c>
      <c r="M91" s="151">
        <f t="shared" si="222"/>
        <v>0.23486634234414966</v>
      </c>
      <c r="N91" s="151">
        <f t="shared" si="222"/>
        <v>0.14709018578517818</v>
      </c>
      <c r="O91" s="151">
        <f t="shared" si="222"/>
        <v>4.3804706486732133E-2</v>
      </c>
      <c r="P91" s="151">
        <f t="shared" ref="P91:Q91" si="223">P40/P7</f>
        <v>4.5189880964209776E-2</v>
      </c>
      <c r="Q91" s="151">
        <f t="shared" si="223"/>
        <v>5.0522123301425796E-2</v>
      </c>
      <c r="R91" s="118">
        <f t="shared" si="216"/>
        <v>-0.10563483617889424</v>
      </c>
      <c r="S91" s="20"/>
      <c r="T91" s="151">
        <f t="shared" ref="T91" si="224">T40/T7</f>
        <v>5.0522123301425796E-2</v>
      </c>
      <c r="U91" s="151">
        <f t="shared" ref="U91:AC91" si="225">U40/U7</f>
        <v>5.0522123301425796E-2</v>
      </c>
      <c r="V91" s="151">
        <f t="shared" si="225"/>
        <v>5.0522123301425789E-2</v>
      </c>
      <c r="W91" s="151">
        <f t="shared" si="225"/>
        <v>5.0522123301425796E-2</v>
      </c>
      <c r="X91" s="151">
        <f t="shared" si="225"/>
        <v>5.0522123301425796E-2</v>
      </c>
      <c r="Y91" s="151">
        <f t="shared" si="225"/>
        <v>5.0522123301425796E-2</v>
      </c>
      <c r="Z91" s="151">
        <f t="shared" si="225"/>
        <v>5.0522123301425789E-2</v>
      </c>
      <c r="AA91" s="151">
        <f t="shared" si="225"/>
        <v>5.0522123301425789E-2</v>
      </c>
      <c r="AB91" s="151">
        <f t="shared" si="225"/>
        <v>5.0522123301425789E-2</v>
      </c>
      <c r="AC91" s="151">
        <f t="shared" si="225"/>
        <v>5.0522123301425789E-2</v>
      </c>
      <c r="AD91" s="137">
        <f t="shared" si="218"/>
        <v>-4.9002320465682536E-2</v>
      </c>
      <c r="AE91" s="145"/>
      <c r="AF91" s="145"/>
    </row>
    <row r="92" spans="2:32" x14ac:dyDescent="0.2">
      <c r="B92" s="20" t="s">
        <v>358</v>
      </c>
      <c r="C92" s="151"/>
      <c r="D92" s="151"/>
      <c r="E92" s="151"/>
      <c r="F92" s="151"/>
      <c r="G92" s="151">
        <f>(G40)/(G7+G10)</f>
        <v>6.5450883866636833E-2</v>
      </c>
      <c r="H92" s="151">
        <f t="shared" ref="H92:O92" si="226">(H40)/(H7+H10)</f>
        <v>0.12827774281518775</v>
      </c>
      <c r="I92" s="151">
        <f t="shared" si="226"/>
        <v>0.16927641338388</v>
      </c>
      <c r="J92" s="151">
        <f t="shared" si="226"/>
        <v>0.24503666607047039</v>
      </c>
      <c r="K92" s="151">
        <f t="shared" si="226"/>
        <v>0.20734237829209895</v>
      </c>
      <c r="L92" s="151">
        <f t="shared" si="226"/>
        <v>0.18863146046337118</v>
      </c>
      <c r="M92" s="151">
        <f t="shared" si="226"/>
        <v>0.18670015548379382</v>
      </c>
      <c r="N92" s="151">
        <f t="shared" si="226"/>
        <v>6.8044699096911285E-2</v>
      </c>
      <c r="O92" s="151">
        <f t="shared" si="226"/>
        <v>1.8531521139475399E-2</v>
      </c>
      <c r="P92" s="151">
        <f t="shared" ref="P92:Q92" si="227">(P40)/(P7+P10)</f>
        <v>1.8445664782083208E-2</v>
      </c>
      <c r="Q92" s="151">
        <f t="shared" si="227"/>
        <v>2.2255641314844712E-2</v>
      </c>
      <c r="R92" s="118">
        <f t="shared" si="216"/>
        <v>-0.11895542860200792</v>
      </c>
      <c r="S92" s="20"/>
      <c r="T92" s="151">
        <f t="shared" ref="T92:AC92" si="228">(T40)/(T7+T10)</f>
        <v>2.2255641314844709E-2</v>
      </c>
      <c r="U92" s="151">
        <f t="shared" si="228"/>
        <v>2.2255641314844709E-2</v>
      </c>
      <c r="V92" s="151">
        <f t="shared" si="228"/>
        <v>2.2255641314844709E-2</v>
      </c>
      <c r="W92" s="151">
        <f t="shared" si="228"/>
        <v>2.2255641314844712E-2</v>
      </c>
      <c r="X92" s="151">
        <f t="shared" si="228"/>
        <v>2.2255641314844709E-2</v>
      </c>
      <c r="Y92" s="151">
        <f t="shared" si="228"/>
        <v>2.2255641314844709E-2</v>
      </c>
      <c r="Z92" s="151">
        <f t="shared" si="228"/>
        <v>2.2255641314844709E-2</v>
      </c>
      <c r="AA92" s="151">
        <f t="shared" si="228"/>
        <v>2.2255641314844709E-2</v>
      </c>
      <c r="AB92" s="151">
        <f t="shared" si="228"/>
        <v>2.2255641314844709E-2</v>
      </c>
      <c r="AC92" s="151">
        <f t="shared" si="228"/>
        <v>2.2255641314844705E-2</v>
      </c>
      <c r="AD92" s="137">
        <f t="shared" si="218"/>
        <v>-5.2506520553814218E-2</v>
      </c>
      <c r="AE92" s="145"/>
      <c r="AF92" s="145"/>
    </row>
    <row r="93" spans="2:32" x14ac:dyDescent="0.2">
      <c r="B93" s="20" t="s">
        <v>374</v>
      </c>
      <c r="C93" s="151"/>
      <c r="D93" s="151"/>
      <c r="E93" s="151"/>
      <c r="F93" s="151"/>
      <c r="G93" s="151">
        <f>G20/G25</f>
        <v>-1.3899920571882446E-3</v>
      </c>
      <c r="H93" s="151">
        <f t="shared" ref="H93:P93" si="229">H20/H25</f>
        <v>0.42151774442418294</v>
      </c>
      <c r="I93" s="151">
        <f t="shared" si="229"/>
        <v>0.38953139724149749</v>
      </c>
      <c r="J93" s="151">
        <f t="shared" si="229"/>
        <v>0.4352751677852349</v>
      </c>
      <c r="K93" s="151">
        <f t="shared" si="229"/>
        <v>0.48887538562213706</v>
      </c>
      <c r="L93" s="151">
        <f t="shared" si="229"/>
        <v>0.32904891455221807</v>
      </c>
      <c r="M93" s="151">
        <f t="shared" si="229"/>
        <v>0.29546512710680695</v>
      </c>
      <c r="N93" s="151">
        <f t="shared" si="229"/>
        <v>0.2172449296442171</v>
      </c>
      <c r="O93" s="151">
        <f t="shared" si="229"/>
        <v>0.16402070874385119</v>
      </c>
      <c r="P93" s="151">
        <f t="shared" si="229"/>
        <v>0.1727746736519867</v>
      </c>
      <c r="Q93" s="151">
        <f t="shared" ref="Q93" si="230">Q20/Q25</f>
        <v>0.18648230268747745</v>
      </c>
      <c r="R93" s="118" t="e">
        <f t="shared" si="216"/>
        <v>#NUM!</v>
      </c>
      <c r="S93" s="20"/>
      <c r="T93" s="151">
        <f t="shared" ref="T93:AC93" si="231">T20/T25</f>
        <v>0.18648230268747742</v>
      </c>
      <c r="U93" s="151">
        <f t="shared" si="231"/>
        <v>0.18648230268747745</v>
      </c>
      <c r="V93" s="151">
        <f t="shared" si="231"/>
        <v>0.18648230268747745</v>
      </c>
      <c r="W93" s="151">
        <f t="shared" si="231"/>
        <v>0.18648230268747745</v>
      </c>
      <c r="X93" s="151">
        <f t="shared" si="231"/>
        <v>0.18648230268747745</v>
      </c>
      <c r="Y93" s="151">
        <f t="shared" si="231"/>
        <v>0.18648230268747745</v>
      </c>
      <c r="Z93" s="151">
        <f t="shared" si="231"/>
        <v>0.18648230268747742</v>
      </c>
      <c r="AA93" s="151">
        <f t="shared" si="231"/>
        <v>0.18648230268747742</v>
      </c>
      <c r="AB93" s="151">
        <f t="shared" si="231"/>
        <v>0.18648230268747742</v>
      </c>
      <c r="AC93" s="151">
        <f t="shared" si="231"/>
        <v>0.18648230268747742</v>
      </c>
      <c r="AD93" s="137" t="e">
        <f t="shared" si="218"/>
        <v>#NUM!</v>
      </c>
      <c r="AE93" s="145"/>
      <c r="AF93" s="145"/>
    </row>
    <row r="94" spans="2:32" x14ac:dyDescent="0.2">
      <c r="B94" s="20" t="s">
        <v>426</v>
      </c>
      <c r="C94" s="151"/>
      <c r="D94" s="151"/>
      <c r="E94" s="151"/>
      <c r="F94" s="151"/>
      <c r="G94" s="151">
        <f>G53/G25</f>
        <v>-6.5528196981731535E-3</v>
      </c>
      <c r="H94" s="151">
        <f t="shared" ref="H94:P94" si="232">H53/H25</f>
        <v>-0.100154299340721</v>
      </c>
      <c r="I94" s="151">
        <f t="shared" si="232"/>
        <v>2.595733744538679E-2</v>
      </c>
      <c r="J94" s="151">
        <f t="shared" si="232"/>
        <v>2.9744966442953019E-2</v>
      </c>
      <c r="K94" s="151">
        <f t="shared" si="232"/>
        <v>-0.23193418715527719</v>
      </c>
      <c r="L94" s="151">
        <f t="shared" si="232"/>
        <v>1.357503747709733E-2</v>
      </c>
      <c r="M94" s="151">
        <f t="shared" si="232"/>
        <v>3.4477139398454232E-2</v>
      </c>
      <c r="N94" s="151">
        <f t="shared" si="232"/>
        <v>2.9073853143538872E-2</v>
      </c>
      <c r="O94" s="151">
        <f t="shared" si="232"/>
        <v>3.2411191900070274E-2</v>
      </c>
      <c r="P94" s="151">
        <f t="shared" si="232"/>
        <v>3.3785885837305095E-2</v>
      </c>
      <c r="Q94" s="151">
        <f t="shared" ref="Q94" si="233">Q53/Q25</f>
        <v>5.6391633786095886E-2</v>
      </c>
      <c r="R94" s="118" t="e">
        <f t="shared" si="216"/>
        <v>#NUM!</v>
      </c>
      <c r="S94" s="20"/>
      <c r="T94" s="151">
        <f t="shared" ref="T94:AC94" si="234">T53/T25</f>
        <v>5.6391633786095886E-2</v>
      </c>
      <c r="U94" s="151">
        <f t="shared" si="234"/>
        <v>5.6391633786095879E-2</v>
      </c>
      <c r="V94" s="151">
        <f t="shared" si="234"/>
        <v>5.6391633786095866E-2</v>
      </c>
      <c r="W94" s="151">
        <f t="shared" si="234"/>
        <v>5.6391633786095866E-2</v>
      </c>
      <c r="X94" s="151">
        <f t="shared" si="234"/>
        <v>5.6391633786095866E-2</v>
      </c>
      <c r="Y94" s="151">
        <f t="shared" si="234"/>
        <v>5.6391633786095866E-2</v>
      </c>
      <c r="Z94" s="151">
        <f t="shared" si="234"/>
        <v>5.6391633786095872E-2</v>
      </c>
      <c r="AA94" s="151">
        <f t="shared" si="234"/>
        <v>5.6391633786095859E-2</v>
      </c>
      <c r="AB94" s="151">
        <f t="shared" si="234"/>
        <v>5.6391633786095859E-2</v>
      </c>
      <c r="AC94" s="151">
        <f t="shared" si="234"/>
        <v>5.6391633786095872E-2</v>
      </c>
      <c r="AD94" s="137" t="e">
        <f t="shared" si="218"/>
        <v>#NUM!</v>
      </c>
      <c r="AE94" s="145"/>
      <c r="AF94" s="145"/>
    </row>
    <row r="95" spans="2:32" x14ac:dyDescent="0.2">
      <c r="B95" s="20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20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3"/>
      <c r="AE95" s="145"/>
      <c r="AF95" s="145"/>
    </row>
    <row r="96" spans="2:32" x14ac:dyDescent="0.2">
      <c r="B96" s="20" t="s">
        <v>321</v>
      </c>
      <c r="C96" s="151"/>
      <c r="D96" s="151"/>
      <c r="E96" s="151"/>
      <c r="F96" s="151"/>
      <c r="G96" s="151">
        <f>G29/G25</f>
        <v>5.34154090548054E-2</v>
      </c>
      <c r="H96" s="151">
        <f t="shared" ref="H96:P96" si="235">H29/H25</f>
        <v>4.4606536681161456E-2</v>
      </c>
      <c r="I96" s="151">
        <f t="shared" si="235"/>
        <v>2.0474599503126873E-2</v>
      </c>
      <c r="J96" s="151">
        <f t="shared" si="235"/>
        <v>1.6214765100671141E-2</v>
      </c>
      <c r="K96" s="151">
        <f t="shared" si="235"/>
        <v>1.8509862578292978E-2</v>
      </c>
      <c r="L96" s="151">
        <f t="shared" si="235"/>
        <v>1.7517072899894508E-2</v>
      </c>
      <c r="M96" s="151">
        <f t="shared" si="235"/>
        <v>1.7902039296023839E-2</v>
      </c>
      <c r="N96" s="151">
        <f t="shared" si="235"/>
        <v>4.1412672212325745E-2</v>
      </c>
      <c r="O96" s="151">
        <f t="shared" si="235"/>
        <v>5.8540922715082676E-2</v>
      </c>
      <c r="P96" s="151">
        <f t="shared" si="235"/>
        <v>5.4555183613534265E-2</v>
      </c>
      <c r="Q96" s="151">
        <f t="shared" ref="Q96" si="236">Q29/Q25</f>
        <v>5.6310159805393577E-2</v>
      </c>
      <c r="R96" s="118">
        <f t="shared" si="216"/>
        <v>2.1135773965015314E-3</v>
      </c>
      <c r="S96" s="20"/>
      <c r="T96" s="151">
        <f t="shared" ref="T96:AC96" si="237">T29/T25</f>
        <v>5.6310159805393577E-2</v>
      </c>
      <c r="U96" s="151">
        <f t="shared" si="237"/>
        <v>5.6310159805393584E-2</v>
      </c>
      <c r="V96" s="151">
        <f t="shared" si="237"/>
        <v>5.6310159805393577E-2</v>
      </c>
      <c r="W96" s="151">
        <f t="shared" si="237"/>
        <v>5.6310159805393577E-2</v>
      </c>
      <c r="X96" s="151">
        <f t="shared" si="237"/>
        <v>5.6310159805393577E-2</v>
      </c>
      <c r="Y96" s="151">
        <f t="shared" si="237"/>
        <v>5.6310159805393577E-2</v>
      </c>
      <c r="Z96" s="151">
        <f t="shared" si="237"/>
        <v>5.631015980539357E-2</v>
      </c>
      <c r="AA96" s="151">
        <f t="shared" si="237"/>
        <v>5.631015980539357E-2</v>
      </c>
      <c r="AB96" s="151">
        <f t="shared" si="237"/>
        <v>5.631015980539357E-2</v>
      </c>
      <c r="AC96" s="151">
        <f t="shared" si="237"/>
        <v>5.631015980539357E-2</v>
      </c>
      <c r="AD96" s="137">
        <f t="shared" si="218"/>
        <v>2.6422703493935717E-3</v>
      </c>
      <c r="AE96" s="145"/>
      <c r="AF96" s="145"/>
    </row>
    <row r="97" spans="2:32" x14ac:dyDescent="0.2">
      <c r="B97" s="20" t="s">
        <v>367</v>
      </c>
      <c r="C97" s="151"/>
      <c r="D97" s="151"/>
      <c r="E97" s="151"/>
      <c r="F97" s="151"/>
      <c r="G97" s="151">
        <f>G29/G36</f>
        <v>0.16117435590173756</v>
      </c>
      <c r="H97" s="151">
        <f t="shared" ref="H97:P97" si="238">H29/H36</f>
        <v>0.10446780551905388</v>
      </c>
      <c r="I97" s="151">
        <f t="shared" si="238"/>
        <v>5.7067812798471826E-2</v>
      </c>
      <c r="J97" s="151">
        <f t="shared" si="238"/>
        <v>4.0618695359784802E-2</v>
      </c>
      <c r="K97" s="151">
        <f t="shared" si="238"/>
        <v>3.4797891036906857E-2</v>
      </c>
      <c r="L97" s="151">
        <f t="shared" si="238"/>
        <v>4.0867875647668396E-2</v>
      </c>
      <c r="M97" s="151">
        <f t="shared" si="238"/>
        <v>4.5245940221228527E-2</v>
      </c>
      <c r="N97" s="151">
        <f t="shared" si="238"/>
        <v>0.12688398177357169</v>
      </c>
      <c r="O97" s="151">
        <f t="shared" si="238"/>
        <v>0.17220722240971989</v>
      </c>
      <c r="P97" s="151">
        <f t="shared" si="238"/>
        <v>0.17627663852030559</v>
      </c>
      <c r="Q97" s="151">
        <f t="shared" ref="Q97" si="239">Q29/Q36</f>
        <v>0.17096614601738638</v>
      </c>
      <c r="R97" s="118">
        <f t="shared" ref="R97" si="240">((P97/G97)^(1/($H$2-$H$1) ))-1</f>
        <v>8.9970156019394398E-3</v>
      </c>
      <c r="S97" s="20"/>
      <c r="T97" s="151">
        <f t="shared" ref="T97:AC97" si="241">T29/T36</f>
        <v>0.17096614601738638</v>
      </c>
      <c r="U97" s="151">
        <f t="shared" si="241"/>
        <v>0.17096614601738638</v>
      </c>
      <c r="V97" s="151">
        <f t="shared" si="241"/>
        <v>0.17096614601738638</v>
      </c>
      <c r="W97" s="151">
        <f t="shared" si="241"/>
        <v>0.17096614601738636</v>
      </c>
      <c r="X97" s="151">
        <f t="shared" si="241"/>
        <v>0.17096614601738638</v>
      </c>
      <c r="Y97" s="151">
        <f t="shared" si="241"/>
        <v>0.17096614601738638</v>
      </c>
      <c r="Z97" s="151">
        <f t="shared" si="241"/>
        <v>0.17096614601738636</v>
      </c>
      <c r="AA97" s="151">
        <f t="shared" si="241"/>
        <v>0.17096614601738636</v>
      </c>
      <c r="AB97" s="151">
        <f t="shared" si="241"/>
        <v>0.17096614601738636</v>
      </c>
      <c r="AC97" s="151">
        <f t="shared" si="241"/>
        <v>0.17096614601738636</v>
      </c>
      <c r="AD97" s="137">
        <f t="shared" ref="AD97" si="242">((AC97/G97)^(1/($AC$3-$H$1) ))-1</f>
        <v>2.9532936782983299E-3</v>
      </c>
      <c r="AE97" s="145"/>
      <c r="AF97" s="145"/>
    </row>
    <row r="98" spans="2:32" ht="12" customHeight="1" x14ac:dyDescent="0.2">
      <c r="B98" s="20" t="s">
        <v>366</v>
      </c>
      <c r="C98" s="151"/>
      <c r="D98" s="151"/>
      <c r="E98" s="151"/>
      <c r="F98" s="151"/>
      <c r="G98" s="170">
        <f t="shared" ref="G98:P98" si="243">G29/G40</f>
        <v>0.45982905982905981</v>
      </c>
      <c r="H98" s="170">
        <f t="shared" si="243"/>
        <v>0.26001635322976285</v>
      </c>
      <c r="I98" s="170">
        <f t="shared" si="243"/>
        <v>0.11635832521908471</v>
      </c>
      <c r="J98" s="170">
        <f t="shared" si="243"/>
        <v>7.3479318734793186E-2</v>
      </c>
      <c r="K98" s="170">
        <f t="shared" si="243"/>
        <v>6.0969976905311779E-2</v>
      </c>
      <c r="L98" s="170">
        <f t="shared" si="243"/>
        <v>7.8443560417702632E-2</v>
      </c>
      <c r="M98" s="170">
        <f t="shared" si="243"/>
        <v>8.2105487935084348E-2</v>
      </c>
      <c r="N98" s="170">
        <f t="shared" si="243"/>
        <v>0.35326920395929179</v>
      </c>
      <c r="O98" s="170">
        <f t="shared" si="243"/>
        <v>1.8412268831754623</v>
      </c>
      <c r="P98" s="170">
        <f t="shared" si="243"/>
        <v>1.9278803869832895</v>
      </c>
      <c r="Q98" s="170">
        <f t="shared" ref="Q98" si="244">Q29/Q40</f>
        <v>1.6025173898641933</v>
      </c>
      <c r="R98" s="118">
        <f t="shared" ref="R98" si="245">((P98/G98)^(1/($H$2-$H$1) ))-1</f>
        <v>0.15411309074261359</v>
      </c>
      <c r="S98" s="20"/>
      <c r="T98" s="170">
        <f t="shared" ref="T98:AC98" si="246">T29/T40</f>
        <v>1.6025173898641933</v>
      </c>
      <c r="U98" s="170">
        <f t="shared" si="246"/>
        <v>1.6025173898641933</v>
      </c>
      <c r="V98" s="170">
        <f t="shared" si="246"/>
        <v>1.6025173898641933</v>
      </c>
      <c r="W98" s="170">
        <f t="shared" si="246"/>
        <v>1.6025173898641931</v>
      </c>
      <c r="X98" s="170">
        <f t="shared" si="246"/>
        <v>1.6025173898641931</v>
      </c>
      <c r="Y98" s="170">
        <f t="shared" si="246"/>
        <v>1.6025173898641931</v>
      </c>
      <c r="Z98" s="170">
        <f t="shared" si="246"/>
        <v>1.6025173898641931</v>
      </c>
      <c r="AA98" s="170">
        <f t="shared" si="246"/>
        <v>1.6025173898641929</v>
      </c>
      <c r="AB98" s="170">
        <f t="shared" si="246"/>
        <v>1.6025173898641931</v>
      </c>
      <c r="AC98" s="170">
        <f t="shared" si="246"/>
        <v>1.6025173898641931</v>
      </c>
      <c r="AD98" s="137">
        <f t="shared" ref="AD98" si="247">((AC98/G98)^(1/($AC$3-$H$1) ))-1</f>
        <v>6.441335972296347E-2</v>
      </c>
      <c r="AE98" s="145"/>
      <c r="AF98" s="145"/>
    </row>
    <row r="99" spans="2:32" ht="12" customHeight="1" x14ac:dyDescent="0.2">
      <c r="B99" s="20" t="s">
        <v>323</v>
      </c>
      <c r="C99" s="151"/>
      <c r="D99" s="151"/>
      <c r="E99" s="151"/>
      <c r="F99" s="151"/>
      <c r="G99" s="170">
        <f t="shared" ref="G99:P99" si="248">G29/G12</f>
        <v>1.9925925925925927</v>
      </c>
      <c r="H99" s="170">
        <f t="shared" si="248"/>
        <v>0.775609756097561</v>
      </c>
      <c r="I99" s="170">
        <f t="shared" si="248"/>
        <v>0.68091168091168086</v>
      </c>
      <c r="J99" s="170">
        <f t="shared" si="248"/>
        <v>0.35487661574618096</v>
      </c>
      <c r="K99" s="170">
        <f t="shared" si="248"/>
        <v>0.56330014224751068</v>
      </c>
      <c r="L99" s="170">
        <f t="shared" si="248"/>
        <v>0.22820976491862568</v>
      </c>
      <c r="M99" s="170">
        <f t="shared" si="248"/>
        <v>0.2984090027163368</v>
      </c>
      <c r="N99" s="170">
        <f t="shared" si="248"/>
        <v>2.6450939457202507</v>
      </c>
      <c r="O99" s="170">
        <f t="shared" si="248"/>
        <v>2.0108374384236454</v>
      </c>
      <c r="P99" s="170">
        <f t="shared" si="248"/>
        <v>2.5355696934644305</v>
      </c>
      <c r="Q99" s="170">
        <f t="shared" ref="Q99" si="249">Q29/Q12</f>
        <v>0.97148594377510045</v>
      </c>
      <c r="R99" s="118">
        <f t="shared" si="216"/>
        <v>2.4390881687035071E-2</v>
      </c>
      <c r="S99" s="20"/>
      <c r="T99" s="151">
        <f t="shared" ref="T99:AC99" si="250">T29/T12</f>
        <v>0.97148594377510034</v>
      </c>
      <c r="U99" s="151">
        <f t="shared" si="250"/>
        <v>0.97148594377510034</v>
      </c>
      <c r="V99" s="151">
        <f t="shared" si="250"/>
        <v>0.97148594377510034</v>
      </c>
      <c r="W99" s="151">
        <f t="shared" si="250"/>
        <v>0.97148594377510022</v>
      </c>
      <c r="X99" s="151">
        <f t="shared" si="250"/>
        <v>0.97148594377510022</v>
      </c>
      <c r="Y99" s="151">
        <f t="shared" si="250"/>
        <v>0.97148594377510034</v>
      </c>
      <c r="Z99" s="151">
        <f t="shared" si="250"/>
        <v>0.97148594377510034</v>
      </c>
      <c r="AA99" s="151">
        <f t="shared" si="250"/>
        <v>0.97148594377510045</v>
      </c>
      <c r="AB99" s="151">
        <f t="shared" si="250"/>
        <v>0.97148594377510045</v>
      </c>
      <c r="AC99" s="151">
        <f t="shared" si="250"/>
        <v>0.97148594377510045</v>
      </c>
      <c r="AD99" s="137">
        <f t="shared" si="218"/>
        <v>-3.5280847808883187E-2</v>
      </c>
      <c r="AE99" s="145"/>
      <c r="AF99" s="145"/>
    </row>
    <row r="100" spans="2:32" ht="12" customHeight="1" x14ac:dyDescent="0.2">
      <c r="B100" s="20" t="s">
        <v>368</v>
      </c>
      <c r="C100" s="151"/>
      <c r="D100" s="151"/>
      <c r="E100" s="151"/>
      <c r="F100" s="151"/>
      <c r="G100" s="170">
        <f>G29/G23</f>
        <v>2069.2307692307691</v>
      </c>
      <c r="H100" s="170">
        <f t="shared" ref="H100:P100" si="251">H29/H23</f>
        <v>0.828125</v>
      </c>
      <c r="I100" s="170">
        <f t="shared" si="251"/>
        <v>0.77850162866449513</v>
      </c>
      <c r="J100" s="170">
        <f t="shared" si="251"/>
        <v>0.38717948717948719</v>
      </c>
      <c r="K100" s="170">
        <f t="shared" si="251"/>
        <v>0.78884462151394419</v>
      </c>
      <c r="L100" s="170">
        <f t="shared" si="251"/>
        <v>0.79873417721518991</v>
      </c>
      <c r="M100" s="170">
        <f t="shared" si="251"/>
        <v>2.2551319648093844</v>
      </c>
      <c r="N100" s="170">
        <f t="shared" si="251"/>
        <v>19.796875</v>
      </c>
      <c r="O100" s="170">
        <f t="shared" si="251"/>
        <v>11.498591549295774</v>
      </c>
      <c r="P100" s="170">
        <f t="shared" si="251"/>
        <v>13.365853658536585</v>
      </c>
      <c r="Q100" s="170">
        <f t="shared" ref="Q100" si="252">Q29/Q23</f>
        <v>10.871910112359551</v>
      </c>
      <c r="R100" s="118">
        <f t="shared" ref="R100" si="253">((P100/G100)^(1/($H$2-$H$1) ))-1</f>
        <v>-0.39602525738754535</v>
      </c>
      <c r="S100" s="20"/>
      <c r="T100" s="170">
        <f t="shared" ref="T100:AC100" si="254">T29/T23</f>
        <v>10.871910112359549</v>
      </c>
      <c r="U100" s="170">
        <f t="shared" si="254"/>
        <v>10.871910112359551</v>
      </c>
      <c r="V100" s="170">
        <f t="shared" si="254"/>
        <v>10.871910112359549</v>
      </c>
      <c r="W100" s="170">
        <f t="shared" si="254"/>
        <v>10.871910112359549</v>
      </c>
      <c r="X100" s="170">
        <f t="shared" si="254"/>
        <v>10.871910112359549</v>
      </c>
      <c r="Y100" s="170">
        <f t="shared" si="254"/>
        <v>10.871910112359549</v>
      </c>
      <c r="Z100" s="170">
        <f t="shared" si="254"/>
        <v>10.871910112359549</v>
      </c>
      <c r="AA100" s="170">
        <f t="shared" si="254"/>
        <v>10.871910112359549</v>
      </c>
      <c r="AB100" s="170">
        <f t="shared" si="254"/>
        <v>10.871910112359549</v>
      </c>
      <c r="AC100" s="170">
        <f t="shared" si="254"/>
        <v>10.871910112359549</v>
      </c>
      <c r="AD100" s="137">
        <f t="shared" ref="AD100" si="255">((AC100/G100)^(1/($AC$3-$H$1) ))-1</f>
        <v>-0.23082555600601651</v>
      </c>
      <c r="AE100" s="145"/>
      <c r="AF100" s="145"/>
    </row>
    <row r="101" spans="2:32" ht="12" customHeight="1" x14ac:dyDescent="0.2">
      <c r="B101" s="20"/>
      <c r="C101" s="151"/>
      <c r="D101" s="151"/>
      <c r="E101" s="151"/>
      <c r="F101" s="151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20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45"/>
      <c r="AF101" s="145"/>
    </row>
    <row r="102" spans="2:32" ht="12" customHeight="1" x14ac:dyDescent="0.2">
      <c r="B102" s="20" t="s">
        <v>400</v>
      </c>
      <c r="C102" s="151"/>
      <c r="D102" s="151"/>
      <c r="E102" s="151"/>
      <c r="F102" s="151"/>
      <c r="G102" s="127">
        <f>1/G96</f>
        <v>18.721189591078065</v>
      </c>
      <c r="H102" s="127">
        <f t="shared" ref="H102:P102" si="256">1/H96</f>
        <v>22.418238993710691</v>
      </c>
      <c r="I102" s="127">
        <f t="shared" si="256"/>
        <v>48.84100418410042</v>
      </c>
      <c r="J102" s="127">
        <f t="shared" si="256"/>
        <v>61.672185430463578</v>
      </c>
      <c r="K102" s="127">
        <f t="shared" si="256"/>
        <v>54.025252525252526</v>
      </c>
      <c r="L102" s="127">
        <f t="shared" si="256"/>
        <v>57.087163232963555</v>
      </c>
      <c r="M102" s="127">
        <f t="shared" si="256"/>
        <v>55.859557867360209</v>
      </c>
      <c r="N102" s="127">
        <f t="shared" si="256"/>
        <v>24.147198105761642</v>
      </c>
      <c r="O102" s="127">
        <f t="shared" si="256"/>
        <v>17.082067613914749</v>
      </c>
      <c r="P102" s="127">
        <f t="shared" si="256"/>
        <v>18.330063868613138</v>
      </c>
      <c r="Q102" s="127">
        <f t="shared" ref="Q102" si="257">1/Q96</f>
        <v>17.758784621744521</v>
      </c>
      <c r="R102" s="118">
        <f t="shared" si="216"/>
        <v>-2.1091196089695341E-3</v>
      </c>
      <c r="S102" s="20"/>
      <c r="T102" s="127">
        <f t="shared" ref="T102:AC102" si="258">1/T96</f>
        <v>17.758784621744521</v>
      </c>
      <c r="U102" s="127">
        <f t="shared" si="258"/>
        <v>17.758784621744521</v>
      </c>
      <c r="V102" s="127">
        <f t="shared" si="258"/>
        <v>17.758784621744521</v>
      </c>
      <c r="W102" s="127">
        <f t="shared" si="258"/>
        <v>17.758784621744521</v>
      </c>
      <c r="X102" s="127">
        <f t="shared" si="258"/>
        <v>17.758784621744521</v>
      </c>
      <c r="Y102" s="127">
        <f t="shared" si="258"/>
        <v>17.758784621744521</v>
      </c>
      <c r="Z102" s="127">
        <f t="shared" si="258"/>
        <v>17.758784621744525</v>
      </c>
      <c r="AA102" s="127">
        <f t="shared" si="258"/>
        <v>17.758784621744525</v>
      </c>
      <c r="AB102" s="127">
        <f t="shared" si="258"/>
        <v>17.758784621744525</v>
      </c>
      <c r="AC102" s="127">
        <f t="shared" si="258"/>
        <v>17.758784621744525</v>
      </c>
      <c r="AD102" s="137">
        <f t="shared" si="218"/>
        <v>-2.6353071554352514E-3</v>
      </c>
      <c r="AE102" s="145"/>
      <c r="AF102" s="145"/>
    </row>
    <row r="103" spans="2:32" ht="12" customHeight="1" x14ac:dyDescent="0.2">
      <c r="B103" s="20" t="s">
        <v>401</v>
      </c>
      <c r="C103" s="151"/>
      <c r="D103" s="151"/>
      <c r="E103" s="151"/>
      <c r="F103" s="151"/>
      <c r="G103" s="127">
        <f t="shared" ref="G103:P106" si="259">1/G97</f>
        <v>6.2044609665427508</v>
      </c>
      <c r="H103" s="127">
        <f t="shared" si="259"/>
        <v>9.5723270440251564</v>
      </c>
      <c r="I103" s="127">
        <f t="shared" si="259"/>
        <v>17.523012552301253</v>
      </c>
      <c r="J103" s="127">
        <f t="shared" si="259"/>
        <v>24.619205298013245</v>
      </c>
      <c r="K103" s="127">
        <f t="shared" si="259"/>
        <v>28.737373737373733</v>
      </c>
      <c r="L103" s="127">
        <f t="shared" si="259"/>
        <v>24.469096671949284</v>
      </c>
      <c r="M103" s="127">
        <f t="shared" si="259"/>
        <v>22.101430429128737</v>
      </c>
      <c r="N103" s="127">
        <f t="shared" si="259"/>
        <v>7.8812154696132595</v>
      </c>
      <c r="O103" s="127">
        <f t="shared" si="259"/>
        <v>5.8069573738363545</v>
      </c>
      <c r="P103" s="127">
        <f t="shared" si="259"/>
        <v>5.6729014598540148</v>
      </c>
      <c r="Q103" s="127">
        <f t="shared" ref="Q103" si="260">1/Q97</f>
        <v>5.8491112029764363</v>
      </c>
      <c r="R103" s="118">
        <f t="shared" si="216"/>
        <v>-8.9167910933534156E-3</v>
      </c>
      <c r="S103" s="20"/>
      <c r="T103" s="127">
        <f t="shared" ref="T103:AC103" si="261">1/T97</f>
        <v>5.8491112029764363</v>
      </c>
      <c r="U103" s="127">
        <f t="shared" si="261"/>
        <v>5.8491112029764363</v>
      </c>
      <c r="V103" s="127">
        <f t="shared" si="261"/>
        <v>5.8491112029764363</v>
      </c>
      <c r="W103" s="127">
        <f t="shared" si="261"/>
        <v>5.8491112029764381</v>
      </c>
      <c r="X103" s="127">
        <f t="shared" si="261"/>
        <v>5.8491112029764363</v>
      </c>
      <c r="Y103" s="127">
        <f t="shared" si="261"/>
        <v>5.8491112029764363</v>
      </c>
      <c r="Z103" s="127">
        <f t="shared" si="261"/>
        <v>5.8491112029764381</v>
      </c>
      <c r="AA103" s="127">
        <f t="shared" si="261"/>
        <v>5.8491112029764381</v>
      </c>
      <c r="AB103" s="127">
        <f t="shared" si="261"/>
        <v>5.8491112029764381</v>
      </c>
      <c r="AC103" s="127">
        <f t="shared" si="261"/>
        <v>5.8491112029764381</v>
      </c>
      <c r="AD103" s="137">
        <f t="shared" si="218"/>
        <v>-2.9445974173605283E-3</v>
      </c>
      <c r="AE103" s="145"/>
      <c r="AF103" s="145"/>
    </row>
    <row r="104" spans="2:32" ht="12" customHeight="1" x14ac:dyDescent="0.2">
      <c r="B104" s="20" t="s">
        <v>402</v>
      </c>
      <c r="C104" s="151"/>
      <c r="D104" s="151"/>
      <c r="E104" s="151"/>
      <c r="F104" s="151"/>
      <c r="G104" s="127">
        <f t="shared" si="259"/>
        <v>2.1747211895910783</v>
      </c>
      <c r="H104" s="127">
        <f t="shared" si="259"/>
        <v>3.8459119496855352</v>
      </c>
      <c r="I104" s="127">
        <f t="shared" si="259"/>
        <v>8.5941422594142267</v>
      </c>
      <c r="J104" s="127">
        <f t="shared" si="259"/>
        <v>13.609271523178808</v>
      </c>
      <c r="K104" s="127">
        <f t="shared" si="259"/>
        <v>16.401515151515152</v>
      </c>
      <c r="L104" s="127">
        <f t="shared" si="259"/>
        <v>12.748019017432647</v>
      </c>
      <c r="M104" s="127">
        <f t="shared" si="259"/>
        <v>12.179453836150845</v>
      </c>
      <c r="N104" s="127">
        <f t="shared" si="259"/>
        <v>2.8307024467245463</v>
      </c>
      <c r="O104" s="127">
        <f t="shared" si="259"/>
        <v>0.54311611954924055</v>
      </c>
      <c r="P104" s="127">
        <f t="shared" si="259"/>
        <v>0.51870437956204374</v>
      </c>
      <c r="Q104" s="127">
        <f t="shared" ref="Q104" si="262">1/Q98</f>
        <v>0.62401818933443576</v>
      </c>
      <c r="R104" s="118">
        <f t="shared" si="216"/>
        <v>-0.13353378622839263</v>
      </c>
      <c r="S104" s="20"/>
      <c r="T104" s="127">
        <f t="shared" ref="T104:AC104" si="263">1/T98</f>
        <v>0.62401818933443576</v>
      </c>
      <c r="U104" s="127">
        <f t="shared" si="263"/>
        <v>0.62401818933443576</v>
      </c>
      <c r="V104" s="127">
        <f t="shared" si="263"/>
        <v>0.62401818933443576</v>
      </c>
      <c r="W104" s="127">
        <f t="shared" si="263"/>
        <v>0.62401818933443587</v>
      </c>
      <c r="X104" s="127">
        <f t="shared" si="263"/>
        <v>0.62401818933443587</v>
      </c>
      <c r="Y104" s="127">
        <f t="shared" si="263"/>
        <v>0.62401818933443587</v>
      </c>
      <c r="Z104" s="127">
        <f t="shared" si="263"/>
        <v>0.62401818933443587</v>
      </c>
      <c r="AA104" s="127">
        <f t="shared" si="263"/>
        <v>0.62401818933443598</v>
      </c>
      <c r="AB104" s="127">
        <f t="shared" si="263"/>
        <v>0.62401818933443587</v>
      </c>
      <c r="AC104" s="127">
        <f t="shared" si="263"/>
        <v>0.62401818933443587</v>
      </c>
      <c r="AD104" s="137">
        <f t="shared" si="218"/>
        <v>-6.0515361945220669E-2</v>
      </c>
      <c r="AE104" s="145"/>
      <c r="AF104" s="145"/>
    </row>
    <row r="105" spans="2:32" ht="12" customHeight="1" x14ac:dyDescent="0.2">
      <c r="B105" s="20" t="s">
        <v>403</v>
      </c>
      <c r="C105" s="151"/>
      <c r="D105" s="151"/>
      <c r="E105" s="151"/>
      <c r="F105" s="151"/>
      <c r="G105" s="127">
        <f t="shared" si="259"/>
        <v>0.5018587360594795</v>
      </c>
      <c r="H105" s="127">
        <f t="shared" si="259"/>
        <v>1.2893081761006289</v>
      </c>
      <c r="I105" s="127">
        <f t="shared" si="259"/>
        <v>1.4686192468619248</v>
      </c>
      <c r="J105" s="127">
        <f t="shared" si="259"/>
        <v>2.8178807947019866</v>
      </c>
      <c r="K105" s="127">
        <f t="shared" si="259"/>
        <v>1.7752525252525253</v>
      </c>
      <c r="L105" s="127">
        <f t="shared" si="259"/>
        <v>4.3819334389857367</v>
      </c>
      <c r="M105" s="127">
        <f t="shared" si="259"/>
        <v>3.3511053315994803</v>
      </c>
      <c r="N105" s="127">
        <f t="shared" si="259"/>
        <v>0.37805840568271504</v>
      </c>
      <c r="O105" s="127">
        <f t="shared" si="259"/>
        <v>0.49730524252817243</v>
      </c>
      <c r="P105" s="127">
        <f t="shared" si="259"/>
        <v>0.39438868613138683</v>
      </c>
      <c r="Q105" s="127">
        <f t="shared" ref="Q105" si="264">1/Q99</f>
        <v>1.0293509714758164</v>
      </c>
      <c r="R105" s="118">
        <f t="shared" si="216"/>
        <v>-2.3810131584602212E-2</v>
      </c>
      <c r="S105" s="20"/>
      <c r="T105" s="127">
        <f t="shared" ref="T105:AC105" si="265">1/T99</f>
        <v>1.0293509714758164</v>
      </c>
      <c r="U105" s="127">
        <f t="shared" si="265"/>
        <v>1.0293509714758164</v>
      </c>
      <c r="V105" s="127">
        <f t="shared" si="265"/>
        <v>1.0293509714758164</v>
      </c>
      <c r="W105" s="127">
        <f t="shared" si="265"/>
        <v>1.0293509714758167</v>
      </c>
      <c r="X105" s="127">
        <f t="shared" si="265"/>
        <v>1.0293509714758167</v>
      </c>
      <c r="Y105" s="127">
        <f t="shared" si="265"/>
        <v>1.0293509714758164</v>
      </c>
      <c r="Z105" s="127">
        <f t="shared" si="265"/>
        <v>1.0293509714758164</v>
      </c>
      <c r="AA105" s="127">
        <f t="shared" si="265"/>
        <v>1.0293509714758164</v>
      </c>
      <c r="AB105" s="127">
        <f t="shared" si="265"/>
        <v>1.0293509714758164</v>
      </c>
      <c r="AC105" s="127">
        <f t="shared" si="265"/>
        <v>1.0293509714758164</v>
      </c>
      <c r="AD105" s="137">
        <f t="shared" si="218"/>
        <v>3.6571107486309984E-2</v>
      </c>
      <c r="AE105" s="145"/>
      <c r="AF105" s="145"/>
    </row>
    <row r="106" spans="2:32" ht="12" customHeight="1" x14ac:dyDescent="0.2">
      <c r="B106" s="20" t="s">
        <v>404</v>
      </c>
      <c r="C106" s="151"/>
      <c r="D106" s="151"/>
      <c r="E106" s="151"/>
      <c r="F106" s="151"/>
      <c r="G106" s="127">
        <f t="shared" si="259"/>
        <v>4.8327137546468404E-4</v>
      </c>
      <c r="H106" s="127">
        <f t="shared" si="259"/>
        <v>1.2075471698113207</v>
      </c>
      <c r="I106" s="127">
        <f t="shared" si="259"/>
        <v>1.2845188284518829</v>
      </c>
      <c r="J106" s="127">
        <f t="shared" si="259"/>
        <v>2.5827814569536423</v>
      </c>
      <c r="K106" s="127">
        <f t="shared" si="259"/>
        <v>1.2676767676767677</v>
      </c>
      <c r="L106" s="127">
        <f t="shared" si="259"/>
        <v>1.2519809825673534</v>
      </c>
      <c r="M106" s="127">
        <f t="shared" si="259"/>
        <v>0.44343302990897265</v>
      </c>
      <c r="N106" s="127">
        <f t="shared" si="259"/>
        <v>5.0513022888713496E-2</v>
      </c>
      <c r="O106" s="127">
        <f t="shared" si="259"/>
        <v>8.6967172954434097E-2</v>
      </c>
      <c r="P106" s="127">
        <f t="shared" si="259"/>
        <v>7.4817518248175188E-2</v>
      </c>
      <c r="Q106" s="127">
        <f t="shared" ref="Q106" si="266">1/Q100</f>
        <v>9.1980157089706485E-2</v>
      </c>
      <c r="R106" s="118">
        <f t="shared" si="216"/>
        <v>0.65569837519125906</v>
      </c>
      <c r="S106" s="20"/>
      <c r="T106" s="127">
        <f t="shared" ref="T106:AC106" si="267">1/T100</f>
        <v>9.1980157089706499E-2</v>
      </c>
      <c r="U106" s="127">
        <f t="shared" si="267"/>
        <v>9.1980157089706485E-2</v>
      </c>
      <c r="V106" s="127">
        <f t="shared" si="267"/>
        <v>9.1980157089706499E-2</v>
      </c>
      <c r="W106" s="127">
        <f t="shared" si="267"/>
        <v>9.1980157089706499E-2</v>
      </c>
      <c r="X106" s="127">
        <f t="shared" si="267"/>
        <v>9.1980157089706499E-2</v>
      </c>
      <c r="Y106" s="127">
        <f t="shared" si="267"/>
        <v>9.1980157089706499E-2</v>
      </c>
      <c r="Z106" s="127">
        <f t="shared" si="267"/>
        <v>9.1980157089706499E-2</v>
      </c>
      <c r="AA106" s="127">
        <f t="shared" si="267"/>
        <v>9.1980157089706499E-2</v>
      </c>
      <c r="AB106" s="127">
        <f t="shared" si="267"/>
        <v>9.1980157089706499E-2</v>
      </c>
      <c r="AC106" s="127">
        <f t="shared" si="267"/>
        <v>9.1980157089706499E-2</v>
      </c>
      <c r="AD106" s="137">
        <f t="shared" si="218"/>
        <v>0.3000951966207317</v>
      </c>
      <c r="AE106" s="145"/>
      <c r="AF106" s="145"/>
    </row>
    <row r="107" spans="2:32" ht="12" customHeight="1" x14ac:dyDescent="0.2">
      <c r="B107" s="20"/>
      <c r="C107" s="151"/>
      <c r="D107" s="151"/>
      <c r="E107" s="151"/>
      <c r="F107" s="151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20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45"/>
      <c r="AF107" s="145"/>
    </row>
    <row r="108" spans="2:32" ht="12" customHeight="1" x14ac:dyDescent="0.2">
      <c r="B108" s="20"/>
      <c r="C108" s="151"/>
      <c r="D108" s="151"/>
      <c r="E108" s="151"/>
      <c r="F108" s="151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20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45"/>
      <c r="AF108" s="145"/>
    </row>
    <row r="109" spans="2:32" x14ac:dyDescent="0.2">
      <c r="B109" s="20" t="s">
        <v>324</v>
      </c>
      <c r="C109" s="151"/>
      <c r="D109" s="151"/>
      <c r="E109" s="151"/>
      <c r="F109" s="162"/>
      <c r="G109" s="162">
        <f t="shared" ref="G109:O109" si="268">G10-(G12+G13)</f>
        <v>4230</v>
      </c>
      <c r="H109" s="162">
        <f t="shared" si="268"/>
        <v>4112</v>
      </c>
      <c r="I109" s="162">
        <f t="shared" si="268"/>
        <v>4174</v>
      </c>
      <c r="J109" s="162">
        <f t="shared" si="268"/>
        <v>4287</v>
      </c>
      <c r="K109" s="162">
        <f t="shared" si="268"/>
        <v>4089</v>
      </c>
      <c r="L109" s="162">
        <f t="shared" si="268"/>
        <v>8404</v>
      </c>
      <c r="M109" s="162">
        <f t="shared" si="268"/>
        <v>2549</v>
      </c>
      <c r="N109" s="162">
        <f t="shared" si="268"/>
        <v>55070</v>
      </c>
      <c r="O109" s="162">
        <f t="shared" si="268"/>
        <v>65178</v>
      </c>
      <c r="P109" s="162">
        <f>P10-(P12+P13)</f>
        <v>64462</v>
      </c>
      <c r="Q109" s="162">
        <f>Q10-(Q12+Q13)</f>
        <v>55385</v>
      </c>
      <c r="R109" s="118">
        <f t="shared" si="216"/>
        <v>0.31309558418514727</v>
      </c>
      <c r="S109" s="20"/>
      <c r="T109" s="162">
        <f>T10-(T12+T13)</f>
        <v>66462</v>
      </c>
      <c r="U109" s="162">
        <f t="shared" ref="U109:AC109" si="269">U10-(U12+U13)</f>
        <v>79754.399999999994</v>
      </c>
      <c r="V109" s="162">
        <f t="shared" si="269"/>
        <v>95705.279999999999</v>
      </c>
      <c r="W109" s="162">
        <f t="shared" si="269"/>
        <v>114846.33600000001</v>
      </c>
      <c r="X109" s="162">
        <f t="shared" si="269"/>
        <v>137815.60320000001</v>
      </c>
      <c r="Y109" s="162">
        <f t="shared" si="269"/>
        <v>165378.72383999999</v>
      </c>
      <c r="Z109" s="162">
        <f t="shared" si="269"/>
        <v>198454.468608</v>
      </c>
      <c r="AA109" s="162">
        <f t="shared" si="269"/>
        <v>238145.3623296</v>
      </c>
      <c r="AB109" s="162">
        <f t="shared" si="269"/>
        <v>285774.43479551998</v>
      </c>
      <c r="AC109" s="162">
        <f t="shared" si="269"/>
        <v>342929.32175462396</v>
      </c>
      <c r="AD109" s="137">
        <f t="shared" si="218"/>
        <v>0.24578533061023378</v>
      </c>
      <c r="AE109" s="145"/>
      <c r="AF109" s="145"/>
    </row>
    <row r="110" spans="2:32" ht="12" customHeight="1" x14ac:dyDescent="0.2">
      <c r="B110" s="20" t="s">
        <v>319</v>
      </c>
      <c r="C110" s="20"/>
      <c r="D110" s="20"/>
      <c r="E110" s="20"/>
      <c r="F110" s="20"/>
      <c r="G110" s="151">
        <f t="shared" ref="G110:P110" si="270">G40/G18</f>
        <v>6.796793307772743E-2</v>
      </c>
      <c r="H110" s="151">
        <f t="shared" si="270"/>
        <v>0.11780003852822192</v>
      </c>
      <c r="I110" s="151">
        <f t="shared" si="270"/>
        <v>0.14864669271964104</v>
      </c>
      <c r="J110" s="151">
        <f t="shared" si="270"/>
        <v>0.20044869293796333</v>
      </c>
      <c r="K110" s="151">
        <f t="shared" si="270"/>
        <v>0.19954530093090417</v>
      </c>
      <c r="L110" s="151">
        <f t="shared" si="270"/>
        <v>0.18303449531264221</v>
      </c>
      <c r="M110" s="151">
        <f t="shared" si="270"/>
        <v>0.18419241283014415</v>
      </c>
      <c r="N110" s="151">
        <f t="shared" si="270"/>
        <v>5.5659015782857674E-2</v>
      </c>
      <c r="O110" s="151">
        <f t="shared" si="270"/>
        <v>1.6596547439026214E-2</v>
      </c>
      <c r="P110" s="151">
        <f t="shared" si="270"/>
        <v>1.6607874498805898E-2</v>
      </c>
      <c r="Q110" s="151">
        <f t="shared" ref="Q110" si="271">Q40/Q18</f>
        <v>2.1470123885246134E-2</v>
      </c>
      <c r="R110" s="118">
        <f t="shared" si="216"/>
        <v>-0.13143765147097741</v>
      </c>
      <c r="S110" s="20"/>
      <c r="T110" s="151">
        <f t="shared" ref="T110:AC110" si="272">T40/T18</f>
        <v>2.1470123885246134E-2</v>
      </c>
      <c r="U110" s="151">
        <f t="shared" si="272"/>
        <v>2.1470123885246137E-2</v>
      </c>
      <c r="V110" s="151">
        <f t="shared" si="272"/>
        <v>2.1470123885246134E-2</v>
      </c>
      <c r="W110" s="151">
        <f t="shared" si="272"/>
        <v>2.1470123885246134E-2</v>
      </c>
      <c r="X110" s="151">
        <f t="shared" si="272"/>
        <v>2.1470123885246134E-2</v>
      </c>
      <c r="Y110" s="151">
        <f t="shared" si="272"/>
        <v>2.1470123885246134E-2</v>
      </c>
      <c r="Z110" s="151">
        <f t="shared" si="272"/>
        <v>2.1470123885246137E-2</v>
      </c>
      <c r="AA110" s="151">
        <f t="shared" si="272"/>
        <v>2.1470123885246137E-2</v>
      </c>
      <c r="AB110" s="151">
        <f t="shared" si="272"/>
        <v>2.1470123885246137E-2</v>
      </c>
      <c r="AC110" s="151">
        <f t="shared" si="272"/>
        <v>2.1470123885246134E-2</v>
      </c>
      <c r="AD110" s="137">
        <f t="shared" si="218"/>
        <v>-5.5990153216894489E-2</v>
      </c>
      <c r="AE110" s="20"/>
      <c r="AF110" s="20"/>
    </row>
    <row r="111" spans="2:32" x14ac:dyDescent="0.2">
      <c r="B111" s="20" t="s">
        <v>320</v>
      </c>
      <c r="C111" s="20"/>
      <c r="D111" s="20"/>
      <c r="E111" s="20"/>
      <c r="F111" s="20"/>
      <c r="G111" s="151">
        <f t="shared" ref="G111:P111" si="273">G40/G25</f>
        <v>0.11616362192216044</v>
      </c>
      <c r="H111" s="151">
        <f t="shared" si="273"/>
        <v>0.17155281245616497</v>
      </c>
      <c r="I111" s="151">
        <f t="shared" si="273"/>
        <v>0.17596162083440417</v>
      </c>
      <c r="J111" s="151">
        <f t="shared" si="273"/>
        <v>0.2206711409395973</v>
      </c>
      <c r="K111" s="151">
        <f t="shared" si="273"/>
        <v>0.30358979153033561</v>
      </c>
      <c r="L111" s="151">
        <f t="shared" si="273"/>
        <v>0.22330797845760925</v>
      </c>
      <c r="M111" s="151">
        <f t="shared" si="273"/>
        <v>0.21803706117888072</v>
      </c>
      <c r="N111" s="151">
        <f t="shared" si="273"/>
        <v>0.1172269525568321</v>
      </c>
      <c r="O111" s="151">
        <f t="shared" si="273"/>
        <v>3.1794518779847694E-2</v>
      </c>
      <c r="P111" s="151">
        <f t="shared" si="273"/>
        <v>2.829801266815167E-2</v>
      </c>
      <c r="Q111" s="151">
        <f t="shared" ref="Q111" si="274">Q40/Q25</f>
        <v>3.5138563962894422E-2</v>
      </c>
      <c r="R111" s="118">
        <f t="shared" si="216"/>
        <v>-0.13170244282413268</v>
      </c>
      <c r="S111" s="20"/>
      <c r="T111" s="151">
        <f t="shared" ref="T111:AC111" si="275">T40/T25</f>
        <v>3.5138563962894422E-2</v>
      </c>
      <c r="U111" s="151">
        <f t="shared" si="275"/>
        <v>3.5138563962894422E-2</v>
      </c>
      <c r="V111" s="151">
        <f t="shared" si="275"/>
        <v>3.5138563962894422E-2</v>
      </c>
      <c r="W111" s="151">
        <f t="shared" si="275"/>
        <v>3.5138563962894429E-2</v>
      </c>
      <c r="X111" s="151">
        <f t="shared" si="275"/>
        <v>3.5138563962894429E-2</v>
      </c>
      <c r="Y111" s="151">
        <f t="shared" si="275"/>
        <v>3.5138563962894429E-2</v>
      </c>
      <c r="Z111" s="151">
        <f t="shared" si="275"/>
        <v>3.5138563962894429E-2</v>
      </c>
      <c r="AA111" s="151">
        <f t="shared" si="275"/>
        <v>3.5138563962894429E-2</v>
      </c>
      <c r="AB111" s="151">
        <f t="shared" si="275"/>
        <v>3.5138563962894429E-2</v>
      </c>
      <c r="AC111" s="151">
        <f t="shared" si="275"/>
        <v>3.5138563962894422E-2</v>
      </c>
      <c r="AD111" s="137">
        <f t="shared" si="218"/>
        <v>-5.8032989542377678E-2</v>
      </c>
      <c r="AE111" s="20"/>
      <c r="AF111" s="20"/>
    </row>
    <row r="112" spans="2:32" x14ac:dyDescent="0.2">
      <c r="B112" s="20" t="s">
        <v>346</v>
      </c>
      <c r="C112" s="20"/>
      <c r="D112" s="20"/>
      <c r="E112" s="151"/>
      <c r="F112" s="151"/>
      <c r="G112" s="151">
        <f t="shared" ref="G112:O112" si="276">G25/G18</f>
        <v>0.58510514697339377</v>
      </c>
      <c r="H112" s="151">
        <f t="shared" si="276"/>
        <v>0.68666923521479484</v>
      </c>
      <c r="I112" s="151">
        <f t="shared" si="276"/>
        <v>0.84476769431176724</v>
      </c>
      <c r="J112" s="151">
        <f t="shared" si="276"/>
        <v>0.90835934451814282</v>
      </c>
      <c r="K112" s="151">
        <f t="shared" si="276"/>
        <v>0.65728593812405911</v>
      </c>
      <c r="L112" s="151">
        <f t="shared" si="276"/>
        <v>0.81965049604077544</v>
      </c>
      <c r="M112" s="151">
        <f t="shared" si="276"/>
        <v>0.84477570847017636</v>
      </c>
      <c r="N112" s="151">
        <f t="shared" si="276"/>
        <v>0.47479708862920372</v>
      </c>
      <c r="O112" s="151">
        <f t="shared" si="276"/>
        <v>0.52199398122501539</v>
      </c>
      <c r="P112" s="151">
        <f>P25/P18</f>
        <v>0.58689190274825997</v>
      </c>
      <c r="Q112" s="151">
        <f>Q25/Q18</f>
        <v>0.61101312813802322</v>
      </c>
      <c r="R112" s="118">
        <f t="shared" si="216"/>
        <v>3.0495462179636057E-4</v>
      </c>
      <c r="S112" s="20"/>
      <c r="T112" s="151">
        <f>T25/T18</f>
        <v>0.61101312813802322</v>
      </c>
      <c r="U112" s="151">
        <f t="shared" ref="U112:AC112" si="277">U25/U18</f>
        <v>0.61101312813802322</v>
      </c>
      <c r="V112" s="151">
        <f t="shared" si="277"/>
        <v>0.61101312813802322</v>
      </c>
      <c r="W112" s="151">
        <f t="shared" si="277"/>
        <v>0.61101312813802322</v>
      </c>
      <c r="X112" s="151">
        <f t="shared" si="277"/>
        <v>0.61101312813802322</v>
      </c>
      <c r="Y112" s="151">
        <f t="shared" si="277"/>
        <v>0.61101312813802311</v>
      </c>
      <c r="Z112" s="151">
        <f t="shared" si="277"/>
        <v>0.61101312813802322</v>
      </c>
      <c r="AA112" s="151">
        <f t="shared" si="277"/>
        <v>0.61101312813802322</v>
      </c>
      <c r="AB112" s="151">
        <f t="shared" si="277"/>
        <v>0.61101312813802322</v>
      </c>
      <c r="AC112" s="151">
        <f t="shared" si="277"/>
        <v>0.61101312813802322</v>
      </c>
      <c r="AD112" s="137">
        <f t="shared" si="218"/>
        <v>2.1686920059873493E-3</v>
      </c>
      <c r="AE112" s="20"/>
      <c r="AF112" s="20"/>
    </row>
    <row r="113" spans="2:32" x14ac:dyDescent="0.2">
      <c r="B113" s="20"/>
      <c r="C113" s="20"/>
      <c r="D113" s="20"/>
      <c r="E113" s="20"/>
      <c r="F113" s="20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28"/>
      <c r="S113" s="20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28"/>
      <c r="AE113" s="20"/>
      <c r="AF113" s="20"/>
    </row>
    <row r="114" spans="2:32" x14ac:dyDescent="0.2">
      <c r="B114" s="20" t="s">
        <v>332</v>
      </c>
      <c r="C114" s="20"/>
      <c r="D114" s="20"/>
      <c r="E114" s="164"/>
      <c r="F114" s="164"/>
      <c r="G114" s="164">
        <f>G73*G42</f>
        <v>0.18530000000000002</v>
      </c>
      <c r="H114" s="164">
        <f t="shared" ref="H114:P114" si="278">H73*H42</f>
        <v>0</v>
      </c>
      <c r="I114" s="164">
        <f t="shared" si="278"/>
        <v>0</v>
      </c>
      <c r="J114" s="164">
        <f t="shared" si="278"/>
        <v>0</v>
      </c>
      <c r="K114" s="164">
        <f t="shared" si="278"/>
        <v>0</v>
      </c>
      <c r="L114" s="164">
        <f t="shared" si="278"/>
        <v>379.6</v>
      </c>
      <c r="M114" s="164">
        <f t="shared" si="278"/>
        <v>379.9</v>
      </c>
      <c r="N114" s="164">
        <f t="shared" si="278"/>
        <v>379.7</v>
      </c>
      <c r="O114" s="164">
        <f t="shared" si="278"/>
        <v>379.7</v>
      </c>
      <c r="P114" s="164">
        <f t="shared" si="278"/>
        <v>379.7</v>
      </c>
      <c r="Q114" s="164">
        <f t="shared" ref="Q114" si="279">Q73*Q42</f>
        <v>719.53200000000004</v>
      </c>
      <c r="R114" s="118">
        <f t="shared" si="216"/>
        <v>1.1436630284563547</v>
      </c>
      <c r="S114" s="20"/>
      <c r="T114" s="164">
        <f t="shared" ref="T114:AC114" si="280">T73*T42</f>
        <v>770.61877200000004</v>
      </c>
      <c r="U114" s="164">
        <f t="shared" si="280"/>
        <v>825.33270481200009</v>
      </c>
      <c r="V114" s="164">
        <f t="shared" si="280"/>
        <v>883.93132685365208</v>
      </c>
      <c r="W114" s="164">
        <f t="shared" si="280"/>
        <v>946.69045106026147</v>
      </c>
      <c r="X114" s="164">
        <f t="shared" si="280"/>
        <v>1013.9054730855401</v>
      </c>
      <c r="Y114" s="164">
        <f t="shared" si="280"/>
        <v>1085.8927616746134</v>
      </c>
      <c r="Z114" s="164">
        <f t="shared" si="280"/>
        <v>1162.9911477535111</v>
      </c>
      <c r="AA114" s="164">
        <f t="shared" si="280"/>
        <v>1245.5635192440104</v>
      </c>
      <c r="AB114" s="164">
        <f t="shared" si="280"/>
        <v>1333.9985291103353</v>
      </c>
      <c r="AC114" s="164">
        <f t="shared" si="280"/>
        <v>1428.7124246771691</v>
      </c>
      <c r="AD114" s="137">
        <f t="shared" si="218"/>
        <v>0.56442039858167581</v>
      </c>
      <c r="AE114" s="20"/>
      <c r="AF114" s="20"/>
    </row>
    <row r="115" spans="2:32" x14ac:dyDescent="0.2">
      <c r="B115" s="20" t="s">
        <v>333</v>
      </c>
      <c r="C115" s="20"/>
      <c r="D115" s="20"/>
      <c r="E115" s="164"/>
      <c r="F115" s="164"/>
      <c r="G115" s="164">
        <f t="shared" ref="G115:P115" si="281">(G114*0.17)+G114</f>
        <v>0.21680100000000002</v>
      </c>
      <c r="H115" s="164">
        <f t="shared" si="281"/>
        <v>0</v>
      </c>
      <c r="I115" s="164">
        <f t="shared" si="281"/>
        <v>0</v>
      </c>
      <c r="J115" s="164">
        <f t="shared" si="281"/>
        <v>0</v>
      </c>
      <c r="K115" s="164">
        <f t="shared" si="281"/>
        <v>0</v>
      </c>
      <c r="L115" s="164">
        <f t="shared" si="281"/>
        <v>444.13200000000006</v>
      </c>
      <c r="M115" s="164">
        <f t="shared" si="281"/>
        <v>444.48299999999995</v>
      </c>
      <c r="N115" s="164">
        <f t="shared" si="281"/>
        <v>444.24900000000002</v>
      </c>
      <c r="O115" s="164">
        <f t="shared" si="281"/>
        <v>444.24900000000002</v>
      </c>
      <c r="P115" s="164">
        <f t="shared" si="281"/>
        <v>444.24900000000002</v>
      </c>
      <c r="Q115" s="164">
        <f t="shared" ref="Q115" si="282">(Q114*0.17)+Q114</f>
        <v>841.85244000000012</v>
      </c>
      <c r="R115" s="118">
        <f t="shared" si="216"/>
        <v>1.1436630284563547</v>
      </c>
      <c r="S115" s="20"/>
      <c r="T115" s="164">
        <f t="shared" ref="T115:AC115" si="283">(T114*0.17)+T114</f>
        <v>901.62396324000008</v>
      </c>
      <c r="U115" s="164">
        <f t="shared" si="283"/>
        <v>965.63926463004009</v>
      </c>
      <c r="V115" s="164">
        <f t="shared" si="283"/>
        <v>1034.199652418773</v>
      </c>
      <c r="W115" s="164">
        <f t="shared" si="283"/>
        <v>1107.6278277405058</v>
      </c>
      <c r="X115" s="164">
        <f t="shared" si="283"/>
        <v>1186.2694035100819</v>
      </c>
      <c r="Y115" s="164">
        <f t="shared" si="283"/>
        <v>1270.4945311592978</v>
      </c>
      <c r="Z115" s="164">
        <f t="shared" si="283"/>
        <v>1360.6996428716079</v>
      </c>
      <c r="AA115" s="164">
        <f t="shared" si="283"/>
        <v>1457.3093175154922</v>
      </c>
      <c r="AB115" s="164">
        <f t="shared" si="283"/>
        <v>1560.7782790590923</v>
      </c>
      <c r="AC115" s="164">
        <f t="shared" si="283"/>
        <v>1671.5935368722878</v>
      </c>
      <c r="AD115" s="137">
        <f t="shared" si="218"/>
        <v>0.56442039858167581</v>
      </c>
      <c r="AE115" s="20"/>
      <c r="AF115" s="20"/>
    </row>
    <row r="116" spans="2:32" x14ac:dyDescent="0.2">
      <c r="B116" s="20" t="s">
        <v>334</v>
      </c>
      <c r="C116" s="20"/>
      <c r="D116" s="20"/>
      <c r="E116" s="20"/>
      <c r="F116" s="151"/>
      <c r="G116" s="151">
        <f t="shared" ref="G116:P116" si="284">G115/G40</f>
        <v>3.7060000000000006E-4</v>
      </c>
      <c r="H116" s="151">
        <f t="shared" si="284"/>
        <v>0</v>
      </c>
      <c r="I116" s="151">
        <f t="shared" si="284"/>
        <v>0</v>
      </c>
      <c r="J116" s="151">
        <f t="shared" si="284"/>
        <v>0</v>
      </c>
      <c r="K116" s="151">
        <f t="shared" si="284"/>
        <v>0</v>
      </c>
      <c r="L116" s="151">
        <f t="shared" si="284"/>
        <v>5.5212829438090513E-2</v>
      </c>
      <c r="M116" s="151">
        <f t="shared" si="284"/>
        <v>4.7457078795643814E-2</v>
      </c>
      <c r="N116" s="151">
        <f t="shared" si="284"/>
        <v>6.1933500627352575E-2</v>
      </c>
      <c r="O116" s="151">
        <f t="shared" si="284"/>
        <v>0.20038294993234101</v>
      </c>
      <c r="P116" s="151">
        <f t="shared" si="284"/>
        <v>0.19536015831134565</v>
      </c>
      <c r="Q116" s="151">
        <f t="shared" ref="Q116" si="285">Q115/Q40</f>
        <v>0.27885142100033128</v>
      </c>
      <c r="R116" s="118">
        <f t="shared" si="216"/>
        <v>0.87151390571334852</v>
      </c>
      <c r="S116" s="20"/>
      <c r="T116" s="151">
        <f t="shared" ref="T116:AC116" si="286">T115/T40</f>
        <v>0.24887489324279566</v>
      </c>
      <c r="U116" s="151">
        <f t="shared" si="286"/>
        <v>0.22212084221919515</v>
      </c>
      <c r="V116" s="151">
        <f t="shared" si="286"/>
        <v>0.19824285168063169</v>
      </c>
      <c r="W116" s="151">
        <f t="shared" si="286"/>
        <v>0.17693174512496376</v>
      </c>
      <c r="X116" s="151">
        <f t="shared" si="286"/>
        <v>0.15791158252403018</v>
      </c>
      <c r="Y116" s="151">
        <f t="shared" si="286"/>
        <v>0.14093608740269695</v>
      </c>
      <c r="Z116" s="151">
        <f t="shared" si="286"/>
        <v>0.12578545800690702</v>
      </c>
      <c r="AA116" s="151">
        <f t="shared" si="286"/>
        <v>0.11226352127116454</v>
      </c>
      <c r="AB116" s="151">
        <f t="shared" si="286"/>
        <v>0.10019519273451435</v>
      </c>
      <c r="AC116" s="151">
        <f t="shared" si="286"/>
        <v>8.9424209515554076E-2</v>
      </c>
      <c r="AD116" s="137">
        <f t="shared" si="218"/>
        <v>0.31561096583124471</v>
      </c>
      <c r="AE116" s="20"/>
      <c r="AF116" s="20"/>
    </row>
    <row r="117" spans="2:32" x14ac:dyDescent="0.2">
      <c r="B117" s="20" t="s">
        <v>327</v>
      </c>
      <c r="C117" s="20"/>
      <c r="D117" s="20"/>
      <c r="E117" s="20"/>
      <c r="F117" s="151"/>
      <c r="G117" s="151">
        <f>1-G116</f>
        <v>0.9996294</v>
      </c>
      <c r="H117" s="151">
        <f t="shared" ref="H117:P117" si="287">1-H116</f>
        <v>1</v>
      </c>
      <c r="I117" s="151">
        <f t="shared" si="287"/>
        <v>1</v>
      </c>
      <c r="J117" s="151">
        <f t="shared" si="287"/>
        <v>1</v>
      </c>
      <c r="K117" s="151">
        <f t="shared" si="287"/>
        <v>1</v>
      </c>
      <c r="L117" s="151">
        <f t="shared" si="287"/>
        <v>0.94478717056190953</v>
      </c>
      <c r="M117" s="151">
        <f t="shared" si="287"/>
        <v>0.95254292120435613</v>
      </c>
      <c r="N117" s="151">
        <f t="shared" si="287"/>
        <v>0.93806649937264741</v>
      </c>
      <c r="O117" s="151">
        <f t="shared" si="287"/>
        <v>0.79961705006765893</v>
      </c>
      <c r="P117" s="151">
        <f t="shared" si="287"/>
        <v>0.80463984168865432</v>
      </c>
      <c r="Q117" s="151">
        <f t="shared" ref="Q117" si="288">1-Q116</f>
        <v>0.72114857899966878</v>
      </c>
      <c r="R117" s="118">
        <f t="shared" si="216"/>
        <v>-2.1465254135558665E-2</v>
      </c>
      <c r="S117" s="20"/>
      <c r="T117" s="151">
        <f t="shared" ref="T117:AC117" si="289">1-T116</f>
        <v>0.75112510675720434</v>
      </c>
      <c r="U117" s="151">
        <f t="shared" si="289"/>
        <v>0.77787915778080485</v>
      </c>
      <c r="V117" s="151">
        <f t="shared" si="289"/>
        <v>0.80175714831936828</v>
      </c>
      <c r="W117" s="151">
        <f t="shared" si="289"/>
        <v>0.82306825487503621</v>
      </c>
      <c r="X117" s="151">
        <f t="shared" si="289"/>
        <v>0.84208841747596985</v>
      </c>
      <c r="Y117" s="151">
        <f t="shared" si="289"/>
        <v>0.85906391259730308</v>
      </c>
      <c r="Z117" s="151">
        <f t="shared" si="289"/>
        <v>0.87421454199309301</v>
      </c>
      <c r="AA117" s="151">
        <f t="shared" si="289"/>
        <v>0.88773647872883543</v>
      </c>
      <c r="AB117" s="151">
        <f t="shared" si="289"/>
        <v>0.89980480726548562</v>
      </c>
      <c r="AC117" s="151">
        <f t="shared" si="289"/>
        <v>0.91057579048444592</v>
      </c>
      <c r="AD117" s="137">
        <f t="shared" si="218"/>
        <v>-4.6545077525528278E-3</v>
      </c>
      <c r="AE117" s="20"/>
      <c r="AF117" s="20"/>
    </row>
    <row r="118" spans="2:32" x14ac:dyDescent="0.2">
      <c r="B118" s="20" t="s">
        <v>450</v>
      </c>
      <c r="C118" s="20"/>
      <c r="D118" s="20"/>
      <c r="E118" s="20"/>
      <c r="F118" s="151"/>
      <c r="G118" s="151">
        <f t="shared" ref="G118:P118" si="290">G115/G20</f>
        <v>-3.0971571428571432E-2</v>
      </c>
      <c r="H118" s="151">
        <f t="shared" si="290"/>
        <v>0</v>
      </c>
      <c r="I118" s="151">
        <f t="shared" si="290"/>
        <v>0</v>
      </c>
      <c r="J118" s="151">
        <f t="shared" si="290"/>
        <v>0</v>
      </c>
      <c r="K118" s="151">
        <f t="shared" si="290"/>
        <v>0</v>
      </c>
      <c r="L118" s="151">
        <f t="shared" si="290"/>
        <v>3.7470007593014429E-2</v>
      </c>
      <c r="M118" s="151">
        <f t="shared" si="290"/>
        <v>3.5020721714465804E-2</v>
      </c>
      <c r="N118" s="151">
        <f t="shared" si="290"/>
        <v>3.341976980365606E-2</v>
      </c>
      <c r="O118" s="151">
        <f t="shared" si="290"/>
        <v>3.8843140683745739E-2</v>
      </c>
      <c r="P118" s="151">
        <f t="shared" si="290"/>
        <v>3.1997191011235958E-2</v>
      </c>
      <c r="Q118" s="151">
        <f>Q115/Q20</f>
        <v>5.2543530146049192E-2</v>
      </c>
      <c r="R118" s="118" t="e">
        <f t="shared" si="216"/>
        <v>#NUM!</v>
      </c>
      <c r="S118" s="20"/>
      <c r="T118" s="151">
        <f>T115/T20</f>
        <v>4.6895100655348902E-2</v>
      </c>
      <c r="U118" s="151">
        <f t="shared" ref="U118:AC118" si="291">U115/U20</f>
        <v>4.1853877334898898E-2</v>
      </c>
      <c r="V118" s="151">
        <f t="shared" si="291"/>
        <v>3.7354585521397268E-2</v>
      </c>
      <c r="W118" s="151">
        <f t="shared" si="291"/>
        <v>3.3338967577847066E-2</v>
      </c>
      <c r="X118" s="151">
        <f t="shared" si="291"/>
        <v>2.9755028563228512E-2</v>
      </c>
      <c r="Y118" s="151">
        <f t="shared" si="291"/>
        <v>2.6556362992681447E-2</v>
      </c>
      <c r="Z118" s="151">
        <f t="shared" si="291"/>
        <v>2.3701553970968195E-2</v>
      </c>
      <c r="AA118" s="151">
        <f t="shared" si="291"/>
        <v>2.1153636919089117E-2</v>
      </c>
      <c r="AB118" s="151">
        <f t="shared" si="291"/>
        <v>1.8879620950287036E-2</v>
      </c>
      <c r="AC118" s="151">
        <f t="shared" si="291"/>
        <v>1.6850061698131181E-2</v>
      </c>
      <c r="AD118" s="137" t="s">
        <v>451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28"/>
      <c r="S119" s="20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28"/>
      <c r="AE119" s="20"/>
      <c r="AF119" s="20"/>
    </row>
    <row r="120" spans="2:32" x14ac:dyDescent="0.2">
      <c r="B120" s="20" t="s">
        <v>331</v>
      </c>
      <c r="C120" s="151"/>
      <c r="D120" s="151"/>
      <c r="E120" s="151"/>
      <c r="F120" s="151"/>
      <c r="G120" s="151">
        <f>G31/G25</f>
        <v>0</v>
      </c>
      <c r="H120" s="151">
        <f t="shared" ref="H120:P120" si="292">H31/H25</f>
        <v>0</v>
      </c>
      <c r="I120" s="151">
        <f t="shared" si="292"/>
        <v>0</v>
      </c>
      <c r="J120" s="151">
        <f t="shared" si="292"/>
        <v>0</v>
      </c>
      <c r="K120" s="151">
        <f t="shared" si="292"/>
        <v>0</v>
      </c>
      <c r="L120" s="151">
        <f t="shared" si="292"/>
        <v>0</v>
      </c>
      <c r="M120" s="151">
        <f t="shared" si="292"/>
        <v>0</v>
      </c>
      <c r="N120" s="151">
        <f t="shared" si="292"/>
        <v>0</v>
      </c>
      <c r="O120" s="151">
        <f t="shared" si="292"/>
        <v>0</v>
      </c>
      <c r="P120" s="151">
        <f t="shared" si="292"/>
        <v>0</v>
      </c>
      <c r="Q120" s="151">
        <f t="shared" ref="Q120" si="293">Q31/Q25</f>
        <v>0</v>
      </c>
      <c r="R120" s="118" t="e">
        <f t="shared" si="216"/>
        <v>#DIV/0!</v>
      </c>
      <c r="S120" s="20"/>
      <c r="T120" s="151">
        <f t="shared" ref="T120:AC120" si="294">T31/T25</f>
        <v>0</v>
      </c>
      <c r="U120" s="151">
        <f t="shared" si="294"/>
        <v>0</v>
      </c>
      <c r="V120" s="151">
        <f t="shared" si="294"/>
        <v>0</v>
      </c>
      <c r="W120" s="151">
        <f t="shared" si="294"/>
        <v>0</v>
      </c>
      <c r="X120" s="151">
        <f t="shared" si="294"/>
        <v>0</v>
      </c>
      <c r="Y120" s="151">
        <f t="shared" si="294"/>
        <v>0</v>
      </c>
      <c r="Z120" s="151">
        <f t="shared" si="294"/>
        <v>0</v>
      </c>
      <c r="AA120" s="151">
        <f t="shared" si="294"/>
        <v>0</v>
      </c>
      <c r="AB120" s="151">
        <f t="shared" si="294"/>
        <v>0</v>
      </c>
      <c r="AC120" s="151">
        <f t="shared" si="294"/>
        <v>0</v>
      </c>
      <c r="AD120" s="137" t="e">
        <f t="shared" si="218"/>
        <v>#DIV/0!</v>
      </c>
      <c r="AE120" s="20"/>
      <c r="AF120" s="20"/>
    </row>
    <row r="121" spans="2:32" x14ac:dyDescent="0.2">
      <c r="B121" s="20" t="s">
        <v>328</v>
      </c>
      <c r="C121" s="151"/>
      <c r="D121" s="151"/>
      <c r="E121" s="151"/>
      <c r="F121" s="151"/>
      <c r="G121" s="151">
        <f>G32/G25</f>
        <v>0</v>
      </c>
      <c r="H121" s="151">
        <f t="shared" ref="H121:P121" si="295">H32/H25</f>
        <v>0</v>
      </c>
      <c r="I121" s="151">
        <f t="shared" si="295"/>
        <v>0</v>
      </c>
      <c r="J121" s="151">
        <f t="shared" si="295"/>
        <v>0</v>
      </c>
      <c r="K121" s="151">
        <f t="shared" si="295"/>
        <v>0</v>
      </c>
      <c r="L121" s="151">
        <f t="shared" si="295"/>
        <v>0</v>
      </c>
      <c r="M121" s="151">
        <f t="shared" si="295"/>
        <v>0</v>
      </c>
      <c r="N121" s="151">
        <f t="shared" si="295"/>
        <v>0</v>
      </c>
      <c r="O121" s="151">
        <f t="shared" si="295"/>
        <v>0</v>
      </c>
      <c r="P121" s="151">
        <f t="shared" si="295"/>
        <v>0</v>
      </c>
      <c r="Q121" s="151">
        <f>Q32/Q25</f>
        <v>0</v>
      </c>
      <c r="R121" s="118" t="e">
        <f t="shared" si="216"/>
        <v>#DIV/0!</v>
      </c>
      <c r="S121" s="20"/>
      <c r="T121" s="151">
        <f t="shared" ref="T121:AC121" si="296">T32/T25</f>
        <v>0</v>
      </c>
      <c r="U121" s="151">
        <f t="shared" si="296"/>
        <v>0</v>
      </c>
      <c r="V121" s="151">
        <f t="shared" si="296"/>
        <v>0</v>
      </c>
      <c r="W121" s="151">
        <f t="shared" si="296"/>
        <v>0</v>
      </c>
      <c r="X121" s="151">
        <f t="shared" si="296"/>
        <v>0</v>
      </c>
      <c r="Y121" s="151">
        <f t="shared" si="296"/>
        <v>0</v>
      </c>
      <c r="Z121" s="151">
        <f t="shared" si="296"/>
        <v>0</v>
      </c>
      <c r="AA121" s="151">
        <f t="shared" si="296"/>
        <v>0</v>
      </c>
      <c r="AB121" s="151">
        <f t="shared" si="296"/>
        <v>0</v>
      </c>
      <c r="AC121" s="151">
        <f t="shared" si="296"/>
        <v>0</v>
      </c>
      <c r="AD121" s="137" t="e">
        <f t="shared" si="218"/>
        <v>#DIV/0!</v>
      </c>
      <c r="AE121" s="20"/>
      <c r="AF121" s="20"/>
    </row>
    <row r="122" spans="2:32" x14ac:dyDescent="0.2">
      <c r="B122" s="20" t="s">
        <v>458</v>
      </c>
      <c r="C122" s="151"/>
      <c r="D122" s="151"/>
      <c r="E122" s="151"/>
      <c r="F122" s="151"/>
      <c r="G122" s="151">
        <f t="shared" ref="G122:P122" si="297">(G31+G32)/G25</f>
        <v>0</v>
      </c>
      <c r="H122" s="151">
        <f t="shared" si="297"/>
        <v>0</v>
      </c>
      <c r="I122" s="151">
        <f t="shared" si="297"/>
        <v>0</v>
      </c>
      <c r="J122" s="151">
        <f t="shared" si="297"/>
        <v>0</v>
      </c>
      <c r="K122" s="151">
        <f t="shared" si="297"/>
        <v>0</v>
      </c>
      <c r="L122" s="151">
        <f t="shared" si="297"/>
        <v>0</v>
      </c>
      <c r="M122" s="151">
        <f t="shared" si="297"/>
        <v>0</v>
      </c>
      <c r="N122" s="151">
        <f t="shared" si="297"/>
        <v>0</v>
      </c>
      <c r="O122" s="151">
        <f t="shared" si="297"/>
        <v>0</v>
      </c>
      <c r="P122" s="151">
        <f t="shared" si="297"/>
        <v>0</v>
      </c>
      <c r="Q122" s="151">
        <f>(Q31+Q32)/Q25</f>
        <v>0</v>
      </c>
      <c r="R122" s="118" t="e">
        <f t="shared" si="216"/>
        <v>#DIV/0!</v>
      </c>
      <c r="S122" s="20"/>
      <c r="T122" s="151">
        <f>(T31+T32)/T25</f>
        <v>0</v>
      </c>
      <c r="U122" s="151">
        <f t="shared" ref="U122:AC122" si="298">(U31+U32)/U25</f>
        <v>0</v>
      </c>
      <c r="V122" s="151">
        <f t="shared" si="298"/>
        <v>0</v>
      </c>
      <c r="W122" s="151">
        <f t="shared" si="298"/>
        <v>0</v>
      </c>
      <c r="X122" s="151">
        <f t="shared" si="298"/>
        <v>0</v>
      </c>
      <c r="Y122" s="151">
        <f t="shared" si="298"/>
        <v>0</v>
      </c>
      <c r="Z122" s="151">
        <f t="shared" si="298"/>
        <v>0</v>
      </c>
      <c r="AA122" s="151">
        <f t="shared" si="298"/>
        <v>0</v>
      </c>
      <c r="AB122" s="151">
        <f t="shared" si="298"/>
        <v>0</v>
      </c>
      <c r="AC122" s="151">
        <f t="shared" si="298"/>
        <v>0</v>
      </c>
      <c r="AD122" s="137" t="e">
        <f t="shared" si="218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28"/>
      <c r="S123" s="20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28"/>
      <c r="AE123" s="20"/>
      <c r="AF123" s="20"/>
    </row>
    <row r="124" spans="2:32" x14ac:dyDescent="0.2">
      <c r="B124" s="20" t="s">
        <v>352</v>
      </c>
      <c r="C124" s="20"/>
      <c r="D124" s="20"/>
      <c r="E124" s="20"/>
      <c r="F124" s="20"/>
      <c r="G124" s="151">
        <f>G27/G25</f>
        <v>0.66163621922160443</v>
      </c>
      <c r="H124" s="151">
        <f t="shared" ref="H124:P124" si="299">H27/H25</f>
        <v>0.7138448590265114</v>
      </c>
      <c r="I124" s="151">
        <f t="shared" si="299"/>
        <v>0.6389959736143237</v>
      </c>
      <c r="J124" s="151">
        <f t="shared" si="299"/>
        <v>0.59264429530201346</v>
      </c>
      <c r="K124" s="151">
        <f t="shared" si="299"/>
        <v>0.73170047676918759</v>
      </c>
      <c r="L124" s="151">
        <f t="shared" si="299"/>
        <v>0.60776747543168064</v>
      </c>
      <c r="M124" s="151">
        <f t="shared" si="299"/>
        <v>0.57698575286339515</v>
      </c>
      <c r="N124" s="151">
        <f t="shared" si="299"/>
        <v>0.64545915115461927</v>
      </c>
      <c r="O124" s="151">
        <f t="shared" si="299"/>
        <v>0.68551104992184031</v>
      </c>
      <c r="P124" s="151">
        <f t="shared" si="299"/>
        <v>0.69050137507933151</v>
      </c>
      <c r="Q124" s="151">
        <f t="shared" ref="Q124" si="300">Q27/Q25</f>
        <v>0.67000709987546125</v>
      </c>
      <c r="R124" s="118">
        <f t="shared" si="216"/>
        <v>4.2793380453061136E-3</v>
      </c>
      <c r="S124" s="20"/>
      <c r="T124" s="151">
        <f t="shared" ref="T124:AC124" si="301">T27/T25</f>
        <v>0.67000709987546125</v>
      </c>
      <c r="U124" s="151">
        <f t="shared" si="301"/>
        <v>0.67000709987546125</v>
      </c>
      <c r="V124" s="151">
        <f t="shared" si="301"/>
        <v>0.67000709987546125</v>
      </c>
      <c r="W124" s="151">
        <f t="shared" si="301"/>
        <v>0.67000709987546125</v>
      </c>
      <c r="X124" s="151">
        <f t="shared" si="301"/>
        <v>0.67000709987546125</v>
      </c>
      <c r="Y124" s="151">
        <f t="shared" si="301"/>
        <v>0.67000709987546125</v>
      </c>
      <c r="Z124" s="151">
        <f t="shared" si="301"/>
        <v>0.67000709987546114</v>
      </c>
      <c r="AA124" s="151">
        <f t="shared" si="301"/>
        <v>0.67000709987546114</v>
      </c>
      <c r="AB124" s="151">
        <f t="shared" si="301"/>
        <v>0.67000709987546114</v>
      </c>
      <c r="AC124" s="151">
        <f t="shared" si="301"/>
        <v>0.67000709987546103</v>
      </c>
      <c r="AD124" s="137">
        <f t="shared" si="218"/>
        <v>6.2881872631725955E-4</v>
      </c>
      <c r="AE124" s="20"/>
      <c r="AF124" s="20"/>
    </row>
    <row r="125" spans="2:32" x14ac:dyDescent="0.2">
      <c r="B125" s="20" t="str">
        <f>B33</f>
        <v>Top Expenses ( Raw material )</v>
      </c>
      <c r="C125" s="20"/>
      <c r="D125" s="20"/>
      <c r="E125" s="20"/>
      <c r="F125" s="20"/>
      <c r="G125" s="151">
        <f>G33/G25</f>
        <v>1.9857029388403496E-6</v>
      </c>
      <c r="H125" s="151">
        <f t="shared" ref="H125:P125" si="302">H33/H25</f>
        <v>2.1040819189227102E-2</v>
      </c>
      <c r="I125" s="151">
        <f t="shared" si="302"/>
        <v>2.7071018589908336E-2</v>
      </c>
      <c r="J125" s="151">
        <f t="shared" si="302"/>
        <v>3.5060402684563757E-2</v>
      </c>
      <c r="K125" s="151">
        <f t="shared" si="302"/>
        <v>4.9453117696550433E-2</v>
      </c>
      <c r="L125" s="151">
        <f t="shared" si="302"/>
        <v>6.0962744989173284E-2</v>
      </c>
      <c r="M125" s="151">
        <f t="shared" si="302"/>
        <v>8.3736847006238943E-2</v>
      </c>
      <c r="N125" s="151">
        <f t="shared" si="302"/>
        <v>0</v>
      </c>
      <c r="O125" s="151">
        <f t="shared" si="302"/>
        <v>0</v>
      </c>
      <c r="P125" s="151">
        <f t="shared" si="302"/>
        <v>0</v>
      </c>
      <c r="Q125" s="151">
        <f t="shared" ref="Q125" si="303">Q33/Q25</f>
        <v>0</v>
      </c>
      <c r="R125" s="118">
        <f t="shared" si="216"/>
        <v>-1</v>
      </c>
      <c r="S125" s="20"/>
      <c r="T125" s="151">
        <f t="shared" ref="T125:AC125" si="304">T33/T25</f>
        <v>0</v>
      </c>
      <c r="U125" s="151">
        <f t="shared" si="304"/>
        <v>0</v>
      </c>
      <c r="V125" s="151">
        <f t="shared" si="304"/>
        <v>0</v>
      </c>
      <c r="W125" s="151">
        <f t="shared" si="304"/>
        <v>0</v>
      </c>
      <c r="X125" s="151">
        <f t="shared" si="304"/>
        <v>0</v>
      </c>
      <c r="Y125" s="151">
        <f t="shared" si="304"/>
        <v>0</v>
      </c>
      <c r="Z125" s="151">
        <f t="shared" si="304"/>
        <v>0</v>
      </c>
      <c r="AA125" s="151">
        <f t="shared" si="304"/>
        <v>0</v>
      </c>
      <c r="AB125" s="151">
        <f t="shared" si="304"/>
        <v>0</v>
      </c>
      <c r="AC125" s="151">
        <f t="shared" si="304"/>
        <v>0</v>
      </c>
      <c r="AD125" s="137">
        <f t="shared" si="218"/>
        <v>-1</v>
      </c>
      <c r="AE125" s="20"/>
      <c r="AF125" s="20"/>
    </row>
    <row r="126" spans="2:32" x14ac:dyDescent="0.2">
      <c r="B126" s="20" t="str">
        <f>B34</f>
        <v>2nd highest Expenses Comp. ( Selling exp )</v>
      </c>
      <c r="C126" s="20"/>
      <c r="D126" s="20"/>
      <c r="E126" s="20"/>
      <c r="F126" s="20"/>
      <c r="G126" s="151">
        <f>G34/G25</f>
        <v>7.3868149324861007E-2</v>
      </c>
      <c r="H126" s="151">
        <f t="shared" ref="H126:P126" si="305">H34/H25</f>
        <v>6.8452798428952161E-2</v>
      </c>
      <c r="I126" s="151">
        <f t="shared" si="305"/>
        <v>6.4936177503640877E-2</v>
      </c>
      <c r="J126" s="151">
        <f t="shared" si="305"/>
        <v>6.1637583892617448E-2</v>
      </c>
      <c r="K126" s="151">
        <f t="shared" si="305"/>
        <v>6.5298681873422457E-2</v>
      </c>
      <c r="L126" s="151">
        <f t="shared" si="305"/>
        <v>4.588862361889956E-2</v>
      </c>
      <c r="M126" s="151">
        <f t="shared" si="305"/>
        <v>3.9621938728000745E-2</v>
      </c>
      <c r="N126" s="151">
        <f t="shared" si="305"/>
        <v>5.3571720407262741E-2</v>
      </c>
      <c r="O126" s="151">
        <f t="shared" si="305"/>
        <v>5.0409442269357084E-2</v>
      </c>
      <c r="P126" s="151">
        <f t="shared" si="305"/>
        <v>4.9888624796226931E-2</v>
      </c>
      <c r="Q126" s="151">
        <f t="shared" ref="Q126" si="306">Q34/Q25</f>
        <v>5.3796105543722432E-2</v>
      </c>
      <c r="R126" s="118">
        <f t="shared" si="216"/>
        <v>-3.8488614021003675E-2</v>
      </c>
      <c r="S126" s="20"/>
      <c r="T126" s="151">
        <f t="shared" ref="T126:AC126" si="307">T34/T25</f>
        <v>5.3796105543722432E-2</v>
      </c>
      <c r="U126" s="151">
        <f t="shared" si="307"/>
        <v>5.3796105543722432E-2</v>
      </c>
      <c r="V126" s="151">
        <f t="shared" si="307"/>
        <v>5.3796105543722432E-2</v>
      </c>
      <c r="W126" s="151">
        <f t="shared" si="307"/>
        <v>5.3796105543722432E-2</v>
      </c>
      <c r="X126" s="151">
        <f t="shared" si="307"/>
        <v>5.3796105543722439E-2</v>
      </c>
      <c r="Y126" s="151">
        <f t="shared" si="307"/>
        <v>5.3796105543722432E-2</v>
      </c>
      <c r="Z126" s="151">
        <f t="shared" si="307"/>
        <v>5.3796105543722439E-2</v>
      </c>
      <c r="AA126" s="151">
        <f t="shared" si="307"/>
        <v>5.3796105543722432E-2</v>
      </c>
      <c r="AB126" s="151">
        <f t="shared" si="307"/>
        <v>5.3796105543722432E-2</v>
      </c>
      <c r="AC126" s="151">
        <f t="shared" si="307"/>
        <v>5.3796105543722439E-2</v>
      </c>
      <c r="AD126" s="137">
        <f t="shared" si="218"/>
        <v>-1.5729019406969913E-2</v>
      </c>
      <c r="AE126" s="20"/>
      <c r="AF126" s="20"/>
    </row>
    <row r="127" spans="2:32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28"/>
      <c r="S127" s="128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38"/>
      <c r="AE127" s="20"/>
      <c r="AF127" s="20"/>
    </row>
    <row r="128" spans="2:32" x14ac:dyDescent="0.2">
      <c r="B128" s="108" t="s">
        <v>360</v>
      </c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37"/>
      <c r="AE128" s="20"/>
      <c r="AF128" s="20"/>
    </row>
    <row r="129" spans="2:32" x14ac:dyDescent="0.2">
      <c r="B129" s="20" t="s">
        <v>363</v>
      </c>
      <c r="C129" s="20"/>
      <c r="D129" s="20"/>
      <c r="E129" s="20"/>
      <c r="F129" s="20"/>
      <c r="G129" s="25">
        <f>G15/G9</f>
        <v>0.32924528301886791</v>
      </c>
      <c r="H129" s="25">
        <f t="shared" ref="H129:AC129" si="308">H15/H9</f>
        <v>0.20981278244028406</v>
      </c>
      <c r="I129" s="25">
        <f t="shared" si="308"/>
        <v>0.19194046616119068</v>
      </c>
      <c r="J129" s="25">
        <f t="shared" si="308"/>
        <v>0.21409370199692782</v>
      </c>
      <c r="K129" s="25">
        <f t="shared" si="308"/>
        <v>0.21543018715497508</v>
      </c>
      <c r="L129" s="25">
        <f t="shared" si="308"/>
        <v>0.1988494840469695</v>
      </c>
      <c r="M129" s="25">
        <f t="shared" si="308"/>
        <v>0.27233031528928275</v>
      </c>
      <c r="N129" s="25">
        <f t="shared" si="308"/>
        <v>0.17289780926144563</v>
      </c>
      <c r="O129" s="25">
        <f t="shared" si="308"/>
        <v>0.25245533073009113</v>
      </c>
      <c r="P129" s="25">
        <f t="shared" si="308"/>
        <v>0.21912535840673675</v>
      </c>
      <c r="Q129" s="25">
        <f t="shared" ref="Q129" si="309">Q15/Q9</f>
        <v>0.26975651431012387</v>
      </c>
      <c r="R129" s="118">
        <f t="shared" si="216"/>
        <v>-3.9898147238126458E-2</v>
      </c>
      <c r="S129" s="20"/>
      <c r="T129" s="25">
        <f t="shared" si="308"/>
        <v>0.26975651431012387</v>
      </c>
      <c r="U129" s="25">
        <f t="shared" si="308"/>
        <v>0.26975651431012387</v>
      </c>
      <c r="V129" s="25">
        <f t="shared" si="308"/>
        <v>0.26975651431012387</v>
      </c>
      <c r="W129" s="25">
        <f t="shared" si="308"/>
        <v>0.26975651431012387</v>
      </c>
      <c r="X129" s="25">
        <f t="shared" si="308"/>
        <v>0.26975651431012393</v>
      </c>
      <c r="Y129" s="25">
        <f t="shared" si="308"/>
        <v>0.26975651431012393</v>
      </c>
      <c r="Z129" s="25">
        <f t="shared" si="308"/>
        <v>0.26975651431012393</v>
      </c>
      <c r="AA129" s="25">
        <f t="shared" si="308"/>
        <v>0.26975651431012393</v>
      </c>
      <c r="AB129" s="25">
        <f t="shared" si="308"/>
        <v>0.26975651431012393</v>
      </c>
      <c r="AC129" s="25">
        <f t="shared" si="308"/>
        <v>0.26975651431012393</v>
      </c>
      <c r="AD129" s="137">
        <f t="shared" si="218"/>
        <v>-9.9146852386154949E-3</v>
      </c>
      <c r="AE129" s="20"/>
      <c r="AF129" s="20"/>
    </row>
    <row r="130" spans="2:32" x14ac:dyDescent="0.2">
      <c r="B130" s="20" t="s">
        <v>353</v>
      </c>
      <c r="C130" s="20"/>
      <c r="D130" s="20"/>
      <c r="E130" s="20"/>
      <c r="F130" s="20"/>
      <c r="G130" s="25">
        <f>G12/G9</f>
        <v>6.3679245283018868E-2</v>
      </c>
      <c r="H130" s="25">
        <f t="shared" ref="H130:P130" si="310">H12/H9</f>
        <v>8.8228964923606629E-2</v>
      </c>
      <c r="I130" s="25">
        <f t="shared" si="310"/>
        <v>4.9283909014321822E-2</v>
      </c>
      <c r="J130" s="25">
        <f t="shared" si="310"/>
        <v>8.1701228878648238E-2</v>
      </c>
      <c r="K130" s="25">
        <f t="shared" si="310"/>
        <v>4.7327319240608588E-2</v>
      </c>
      <c r="L130" s="25">
        <f t="shared" si="310"/>
        <v>0.16397817577986004</v>
      </c>
      <c r="M130" s="25">
        <f t="shared" si="310"/>
        <v>0.1654787131573878</v>
      </c>
      <c r="N130" s="25">
        <f t="shared" si="310"/>
        <v>2.5134461498097862E-2</v>
      </c>
      <c r="O130" s="25">
        <f t="shared" si="310"/>
        <v>6.005206484439711E-2</v>
      </c>
      <c r="P130" s="25">
        <f t="shared" si="310"/>
        <v>4.4661999845013303E-2</v>
      </c>
      <c r="Q130" s="25">
        <f t="shared" ref="Q130" si="311">Q12/Q9</f>
        <v>0.11818311262993023</v>
      </c>
      <c r="R130" s="118">
        <f t="shared" si="216"/>
        <v>-3.4851753862181978E-2</v>
      </c>
      <c r="S130" s="128"/>
      <c r="T130" s="25">
        <f t="shared" ref="T130:AC130" si="312">T12/T9</f>
        <v>0.11818311262993023</v>
      </c>
      <c r="U130" s="25">
        <f t="shared" si="312"/>
        <v>0.11818311262993024</v>
      </c>
      <c r="V130" s="25">
        <f t="shared" si="312"/>
        <v>0.11818311262993023</v>
      </c>
      <c r="W130" s="25">
        <f t="shared" si="312"/>
        <v>0.11818311262993023</v>
      </c>
      <c r="X130" s="25">
        <f t="shared" si="312"/>
        <v>0.11818311262993023</v>
      </c>
      <c r="Y130" s="25">
        <f t="shared" si="312"/>
        <v>0.11818311262993021</v>
      </c>
      <c r="Z130" s="25">
        <f t="shared" si="312"/>
        <v>0.1181831126299302</v>
      </c>
      <c r="AA130" s="25">
        <f t="shared" si="312"/>
        <v>0.1181831126299302</v>
      </c>
      <c r="AB130" s="25">
        <f t="shared" si="312"/>
        <v>0.1181831126299302</v>
      </c>
      <c r="AC130" s="25">
        <f t="shared" si="312"/>
        <v>0.11818311262993018</v>
      </c>
      <c r="AD130" s="118">
        <f t="shared" ref="AD130" si="313">((AC130/T130)^(1/($H$2-$H$1) ))-1</f>
        <v>0</v>
      </c>
      <c r="AE130" s="20"/>
      <c r="AF130" s="20"/>
    </row>
    <row r="131" spans="2:32" x14ac:dyDescent="0.2">
      <c r="B131" s="20" t="s">
        <v>355</v>
      </c>
      <c r="C131" s="20"/>
      <c r="D131" s="20"/>
      <c r="E131" s="20"/>
      <c r="F131" s="20"/>
      <c r="G131" s="25">
        <f>G25/360</f>
        <v>13.988888888888889</v>
      </c>
      <c r="H131" s="25">
        <f t="shared" ref="H131:P131" si="314">H25/360</f>
        <v>19.802777777777777</v>
      </c>
      <c r="I131" s="25">
        <f t="shared" si="314"/>
        <v>32.424999999999997</v>
      </c>
      <c r="J131" s="25">
        <f t="shared" si="314"/>
        <v>51.736111111111114</v>
      </c>
      <c r="K131" s="25">
        <f t="shared" si="314"/>
        <v>59.427777777777777</v>
      </c>
      <c r="L131" s="25">
        <f t="shared" si="314"/>
        <v>100.06111111111112</v>
      </c>
      <c r="M131" s="25">
        <f t="shared" si="314"/>
        <v>119.32222222222222</v>
      </c>
      <c r="N131" s="25">
        <f t="shared" si="314"/>
        <v>169.96944444444443</v>
      </c>
      <c r="O131" s="25">
        <f t="shared" si="314"/>
        <v>193.69166666666666</v>
      </c>
      <c r="P131" s="25">
        <f t="shared" si="314"/>
        <v>223.21944444444443</v>
      </c>
      <c r="Q131" s="25">
        <f t="shared" ref="Q131" si="315">Q25/360</f>
        <v>238.65833333333333</v>
      </c>
      <c r="R131" s="118">
        <f t="shared" si="216"/>
        <v>0.31915212143525595</v>
      </c>
      <c r="S131" s="128"/>
      <c r="T131" s="25">
        <f t="shared" ref="T131:AC131" si="316">T25/360</f>
        <v>286.39</v>
      </c>
      <c r="U131" s="25">
        <f t="shared" si="316"/>
        <v>343.66799999999995</v>
      </c>
      <c r="V131" s="25">
        <f t="shared" si="316"/>
        <v>412.40159999999992</v>
      </c>
      <c r="W131" s="25">
        <f t="shared" si="316"/>
        <v>494.88191999999987</v>
      </c>
      <c r="X131" s="25">
        <f t="shared" si="316"/>
        <v>593.85830399999986</v>
      </c>
      <c r="Y131" s="25">
        <f t="shared" si="316"/>
        <v>712.62996479999981</v>
      </c>
      <c r="Z131" s="25">
        <f t="shared" si="316"/>
        <v>855.15595775999975</v>
      </c>
      <c r="AA131" s="25">
        <f t="shared" si="316"/>
        <v>1026.1871493119997</v>
      </c>
      <c r="AB131" s="25">
        <f t="shared" si="316"/>
        <v>1231.4245791743997</v>
      </c>
      <c r="AC131" s="25">
        <f t="shared" si="316"/>
        <v>1477.7094950092794</v>
      </c>
      <c r="AD131" s="118">
        <f t="shared" ref="AD131:AD142" si="317">((AC131/T131)^(1/($H$2-$H$1) ))-1</f>
        <v>0.17831965347429524</v>
      </c>
      <c r="AE131" s="20"/>
      <c r="AF131" s="20"/>
    </row>
    <row r="132" spans="2:32" x14ac:dyDescent="0.2">
      <c r="B132" s="20" t="s">
        <v>354</v>
      </c>
      <c r="C132" s="20"/>
      <c r="D132" s="20"/>
      <c r="E132" s="20"/>
      <c r="F132" s="20"/>
      <c r="G132" s="25">
        <f>G27/360</f>
        <v>9.2555555555555564</v>
      </c>
      <c r="H132" s="25">
        <f t="shared" ref="H132:P132" si="318">H27/360</f>
        <v>14.136111111111111</v>
      </c>
      <c r="I132" s="25">
        <f t="shared" si="318"/>
        <v>20.719444444444445</v>
      </c>
      <c r="J132" s="25">
        <f t="shared" si="318"/>
        <v>30.661111111111111</v>
      </c>
      <c r="K132" s="25">
        <f t="shared" si="318"/>
        <v>43.483333333333334</v>
      </c>
      <c r="L132" s="25">
        <f t="shared" si="318"/>
        <v>60.81388888888889</v>
      </c>
      <c r="M132" s="25">
        <f t="shared" si="318"/>
        <v>68.847222222222229</v>
      </c>
      <c r="N132" s="25">
        <f t="shared" si="318"/>
        <v>109.70833333333333</v>
      </c>
      <c r="O132" s="25">
        <f t="shared" si="318"/>
        <v>132.77777777777777</v>
      </c>
      <c r="P132" s="25">
        <f t="shared" si="318"/>
        <v>154.13333333333333</v>
      </c>
      <c r="Q132" s="25">
        <f t="shared" ref="Q132" si="319">Q27/360</f>
        <v>159.90277777777777</v>
      </c>
      <c r="R132" s="118">
        <f t="shared" si="216"/>
        <v>0.3247972192960602</v>
      </c>
      <c r="S132" s="128"/>
      <c r="T132" s="25">
        <f t="shared" ref="T132:AC132" si="320">T27/360</f>
        <v>191.88333333333333</v>
      </c>
      <c r="U132" s="25">
        <f t="shared" si="320"/>
        <v>230.25999999999996</v>
      </c>
      <c r="V132" s="25">
        <f t="shared" si="320"/>
        <v>276.31199999999995</v>
      </c>
      <c r="W132" s="25">
        <f t="shared" si="320"/>
        <v>331.57439999999997</v>
      </c>
      <c r="X132" s="25">
        <f t="shared" si="320"/>
        <v>397.88927999999993</v>
      </c>
      <c r="Y132" s="25">
        <f t="shared" si="320"/>
        <v>477.46713599999987</v>
      </c>
      <c r="Z132" s="25">
        <f t="shared" si="320"/>
        <v>572.9605631999998</v>
      </c>
      <c r="AA132" s="25">
        <f t="shared" si="320"/>
        <v>687.55267583999978</v>
      </c>
      <c r="AB132" s="25">
        <f t="shared" si="320"/>
        <v>825.0632110079996</v>
      </c>
      <c r="AC132" s="25">
        <f t="shared" si="320"/>
        <v>990.07585320959947</v>
      </c>
      <c r="AD132" s="118">
        <f t="shared" si="317"/>
        <v>0.17831965347429524</v>
      </c>
      <c r="AE132" s="20"/>
      <c r="AF132" s="20"/>
    </row>
    <row r="133" spans="2:32" x14ac:dyDescent="0.2">
      <c r="B133" s="20"/>
      <c r="C133" s="20"/>
      <c r="D133" s="20"/>
      <c r="E133" s="20"/>
      <c r="F133" s="20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128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28"/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25">
        <f>G10/G7</f>
        <v>1.1085161594715736</v>
      </c>
      <c r="H134" s="25">
        <f t="shared" ref="H134:P134" si="321">H10/H7</f>
        <v>1.1027790030877813</v>
      </c>
      <c r="I134" s="25">
        <f t="shared" si="321"/>
        <v>0.64819342569953819</v>
      </c>
      <c r="J134" s="25">
        <f t="shared" si="321"/>
        <v>0.46004526462395545</v>
      </c>
      <c r="K134" s="25">
        <f t="shared" si="321"/>
        <v>0.44195359970539494</v>
      </c>
      <c r="L134" s="25">
        <f t="shared" si="321"/>
        <v>0.4640711367459745</v>
      </c>
      <c r="M134" s="25">
        <f t="shared" si="321"/>
        <v>0.25798685992276443</v>
      </c>
      <c r="N134" s="25">
        <f t="shared" si="321"/>
        <v>1.1616700159947504</v>
      </c>
      <c r="O134" s="25">
        <f t="shared" si="321"/>
        <v>1.3637944320404656</v>
      </c>
      <c r="P134" s="25">
        <f t="shared" si="321"/>
        <v>1.4498916953160708</v>
      </c>
      <c r="Q134" s="25">
        <f t="shared" ref="Q134" si="322">Q10/Q7</f>
        <v>1.2700816654394538</v>
      </c>
      <c r="R134" s="118">
        <f t="shared" si="216"/>
        <v>2.7210271380754936E-2</v>
      </c>
      <c r="S134" s="128"/>
      <c r="T134" s="25">
        <f t="shared" ref="T134:AC134" si="323">T10/T7</f>
        <v>1.2700816654394538</v>
      </c>
      <c r="U134" s="25">
        <f t="shared" si="323"/>
        <v>1.2700816654394538</v>
      </c>
      <c r="V134" s="25">
        <f t="shared" si="323"/>
        <v>1.2700816654394538</v>
      </c>
      <c r="W134" s="25">
        <f t="shared" si="323"/>
        <v>1.2700816654394538</v>
      </c>
      <c r="X134" s="25">
        <f t="shared" si="323"/>
        <v>1.2700816654394538</v>
      </c>
      <c r="Y134" s="25">
        <f t="shared" si="323"/>
        <v>1.2700816654394538</v>
      </c>
      <c r="Z134" s="25">
        <f t="shared" si="323"/>
        <v>1.2700816654394538</v>
      </c>
      <c r="AA134" s="25">
        <f t="shared" si="323"/>
        <v>1.2700816654394538</v>
      </c>
      <c r="AB134" s="25">
        <f t="shared" si="323"/>
        <v>1.2700816654394536</v>
      </c>
      <c r="AC134" s="25">
        <f t="shared" si="323"/>
        <v>1.2700816654394538</v>
      </c>
      <c r="AD134" s="118">
        <f t="shared" si="317"/>
        <v>0</v>
      </c>
      <c r="AE134" s="20"/>
      <c r="AF134" s="20"/>
    </row>
    <row r="135" spans="2:32" x14ac:dyDescent="0.2">
      <c r="B135" s="20" t="s">
        <v>356</v>
      </c>
      <c r="C135" s="20"/>
      <c r="D135" s="20"/>
      <c r="E135" s="20"/>
      <c r="F135" s="20"/>
      <c r="G135" s="25">
        <f>G10/(G10+G7)</f>
        <v>0.52573282613560079</v>
      </c>
      <c r="H135" s="25">
        <f t="shared" ref="H135:P135" si="324">H10/(H10+H7)</f>
        <v>0.5244388504300399</v>
      </c>
      <c r="I135" s="25">
        <f t="shared" si="324"/>
        <v>0.39327509477501238</v>
      </c>
      <c r="J135" s="25">
        <f t="shared" si="324"/>
        <v>0.31508972753830561</v>
      </c>
      <c r="K135" s="25">
        <f t="shared" si="324"/>
        <v>0.30649640861931365</v>
      </c>
      <c r="L135" s="25">
        <f t="shared" si="324"/>
        <v>0.31697307944845698</v>
      </c>
      <c r="M135" s="25">
        <f t="shared" si="324"/>
        <v>0.20507913726428259</v>
      </c>
      <c r="N135" s="25">
        <f t="shared" si="324"/>
        <v>0.53739470289140168</v>
      </c>
      <c r="O135" s="25">
        <f t="shared" si="324"/>
        <v>0.57695136834010396</v>
      </c>
      <c r="P135" s="25">
        <f t="shared" si="324"/>
        <v>0.59181869063359316</v>
      </c>
      <c r="Q135" s="25">
        <f t="shared" ref="Q135" si="325">Q10/(Q10+Q7)</f>
        <v>0.55948721351114261</v>
      </c>
      <c r="R135" s="118">
        <f t="shared" si="216"/>
        <v>1.1911096154118006E-2</v>
      </c>
      <c r="S135" s="128"/>
      <c r="T135" s="25">
        <f t="shared" ref="T135:AC135" si="326">T10/(T10+T7)</f>
        <v>0.5594872135111425</v>
      </c>
      <c r="U135" s="25">
        <f t="shared" si="326"/>
        <v>0.55948721351114261</v>
      </c>
      <c r="V135" s="25">
        <f t="shared" si="326"/>
        <v>0.5594872135111425</v>
      </c>
      <c r="W135" s="25">
        <f t="shared" si="326"/>
        <v>0.55948721351114261</v>
      </c>
      <c r="X135" s="25">
        <f t="shared" si="326"/>
        <v>0.5594872135111425</v>
      </c>
      <c r="Y135" s="25">
        <f t="shared" si="326"/>
        <v>0.5594872135111425</v>
      </c>
      <c r="Z135" s="25">
        <f t="shared" si="326"/>
        <v>0.55948721351114261</v>
      </c>
      <c r="AA135" s="25">
        <f t="shared" si="326"/>
        <v>0.5594872135111425</v>
      </c>
      <c r="AB135" s="25">
        <f t="shared" si="326"/>
        <v>0.5594872135111425</v>
      </c>
      <c r="AC135" s="25">
        <f t="shared" si="326"/>
        <v>0.5594872135111425</v>
      </c>
      <c r="AD135" s="118">
        <f t="shared" si="317"/>
        <v>0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128"/>
      <c r="S136" s="128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136"/>
      <c r="AE136" s="20"/>
      <c r="AF136" s="20"/>
    </row>
    <row r="137" spans="2:32" x14ac:dyDescent="0.2">
      <c r="B137" s="20" t="s">
        <v>361</v>
      </c>
      <c r="C137" s="20"/>
      <c r="D137" s="20"/>
      <c r="E137" s="20"/>
      <c r="F137" s="20"/>
      <c r="G137" s="25">
        <f>G16</f>
        <v>-454</v>
      </c>
      <c r="H137" s="25">
        <f t="shared" ref="H137:P137" si="327">H16</f>
        <v>-2307</v>
      </c>
      <c r="I137" s="25">
        <f t="shared" si="327"/>
        <v>-4266</v>
      </c>
      <c r="J137" s="25">
        <f t="shared" si="327"/>
        <v>-6155</v>
      </c>
      <c r="K137" s="25">
        <f t="shared" si="327"/>
        <v>-8588</v>
      </c>
      <c r="L137" s="25">
        <f t="shared" si="327"/>
        <v>-6566</v>
      </c>
      <c r="M137" s="25">
        <f t="shared" si="327"/>
        <v>-5424</v>
      </c>
      <c r="N137" s="25">
        <f t="shared" si="327"/>
        <v>-21223</v>
      </c>
      <c r="O137" s="25">
        <f t="shared" si="327"/>
        <v>-12993</v>
      </c>
      <c r="P137" s="25">
        <f t="shared" si="327"/>
        <v>-16322</v>
      </c>
      <c r="Q137" s="25">
        <f t="shared" ref="Q137" si="328">Q16</f>
        <v>-16283</v>
      </c>
      <c r="R137" s="118">
        <f t="shared" si="216"/>
        <v>0.43077634734890435</v>
      </c>
      <c r="S137" s="128"/>
      <c r="T137" s="25">
        <f t="shared" ref="T137:AC137" si="329">T16</f>
        <v>-19539.599999999999</v>
      </c>
      <c r="U137" s="25">
        <f t="shared" si="329"/>
        <v>-23447.519999999997</v>
      </c>
      <c r="V137" s="25">
        <f t="shared" si="329"/>
        <v>-28137.023999999994</v>
      </c>
      <c r="W137" s="25">
        <f t="shared" si="329"/>
        <v>-33764.428799999994</v>
      </c>
      <c r="X137" s="25">
        <f t="shared" si="329"/>
        <v>-40517.314559999992</v>
      </c>
      <c r="Y137" s="25">
        <f t="shared" si="329"/>
        <v>-48620.777471999987</v>
      </c>
      <c r="Z137" s="25">
        <f t="shared" si="329"/>
        <v>-58344.932966399982</v>
      </c>
      <c r="AA137" s="25">
        <f t="shared" si="329"/>
        <v>-70013.919559679969</v>
      </c>
      <c r="AB137" s="25">
        <f t="shared" si="329"/>
        <v>-84016.703471615954</v>
      </c>
      <c r="AC137" s="25">
        <f t="shared" si="329"/>
        <v>-100820.04416593914</v>
      </c>
      <c r="AD137" s="118">
        <f t="shared" si="317"/>
        <v>0.17831965347429524</v>
      </c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119">
        <f t="shared" ref="G138:P138" si="330">G137*365/G25</f>
        <v>-32.905083399523434</v>
      </c>
      <c r="H138" s="119">
        <f t="shared" si="330"/>
        <v>-118.11684668256417</v>
      </c>
      <c r="I138" s="119">
        <f t="shared" si="330"/>
        <v>-133.39244410177332</v>
      </c>
      <c r="J138" s="119">
        <f t="shared" si="330"/>
        <v>-120.62147651006711</v>
      </c>
      <c r="K138" s="119">
        <f t="shared" si="330"/>
        <v>-146.51865008880995</v>
      </c>
      <c r="L138" s="119">
        <f t="shared" si="330"/>
        <v>-66.53128643606685</v>
      </c>
      <c r="M138" s="119">
        <f t="shared" si="330"/>
        <v>-46.088090138746622</v>
      </c>
      <c r="N138" s="119">
        <f t="shared" si="330"/>
        <v>-126.59783621239112</v>
      </c>
      <c r="O138" s="119">
        <f t="shared" si="330"/>
        <v>-68.012519898464049</v>
      </c>
      <c r="P138" s="119">
        <f t="shared" si="330"/>
        <v>-74.136437735661218</v>
      </c>
      <c r="Q138" s="119">
        <f t="shared" ref="Q138" si="331">Q137*365/Q25</f>
        <v>-69.174843162587152</v>
      </c>
      <c r="R138" s="118">
        <f t="shared" si="216"/>
        <v>8.461816048341686E-2</v>
      </c>
      <c r="S138" s="128"/>
      <c r="T138" s="119">
        <f t="shared" ref="T138:AC138" si="332">T137*365/T25</f>
        <v>-69.174843162587138</v>
      </c>
      <c r="U138" s="119">
        <f t="shared" si="332"/>
        <v>-69.174843162587152</v>
      </c>
      <c r="V138" s="119">
        <f t="shared" si="332"/>
        <v>-69.174843162587152</v>
      </c>
      <c r="W138" s="119">
        <f t="shared" si="332"/>
        <v>-69.174843162587152</v>
      </c>
      <c r="X138" s="119">
        <f t="shared" si="332"/>
        <v>-69.174843162587152</v>
      </c>
      <c r="Y138" s="119">
        <f t="shared" si="332"/>
        <v>-69.174843162587152</v>
      </c>
      <c r="Z138" s="119">
        <f t="shared" si="332"/>
        <v>-69.174843162587152</v>
      </c>
      <c r="AA138" s="119">
        <f t="shared" si="332"/>
        <v>-69.174843162587138</v>
      </c>
      <c r="AB138" s="119">
        <f t="shared" si="332"/>
        <v>-69.174843162587123</v>
      </c>
      <c r="AC138" s="119">
        <f t="shared" si="332"/>
        <v>-69.174843162587123</v>
      </c>
      <c r="AD138" s="118">
        <f t="shared" si="317"/>
        <v>0</v>
      </c>
      <c r="AE138" s="20"/>
      <c r="AF138" s="20"/>
    </row>
    <row r="139" spans="2:32" x14ac:dyDescent="0.2">
      <c r="B139" s="20" t="s">
        <v>365</v>
      </c>
      <c r="C139" s="20"/>
      <c r="D139" s="20"/>
      <c r="E139" s="20"/>
      <c r="F139" s="20"/>
      <c r="G139" s="133">
        <f>G83/G29</f>
        <v>0.33483329555006752</v>
      </c>
      <c r="H139" s="133">
        <f t="shared" ref="H139:P139" si="333">H83/H29</f>
        <v>5.1650175600416327E-2</v>
      </c>
      <c r="I139" s="133">
        <f t="shared" si="333"/>
        <v>9.2552752085254611E-2</v>
      </c>
      <c r="J139" s="133">
        <f t="shared" si="333"/>
        <v>0.12991665064914643</v>
      </c>
      <c r="K139" s="133">
        <f t="shared" si="333"/>
        <v>0.15148852787229172</v>
      </c>
      <c r="L139" s="133">
        <f t="shared" si="333"/>
        <v>0.12892042503661374</v>
      </c>
      <c r="M139" s="133">
        <f t="shared" si="333"/>
        <v>5.8176968752642118E-2</v>
      </c>
      <c r="N139" s="133">
        <f t="shared" si="333"/>
        <v>2.075642736268965E-2</v>
      </c>
      <c r="O139" s="133">
        <f t="shared" si="333"/>
        <v>1.5293540621112338E-2</v>
      </c>
      <c r="P139" s="133">
        <f t="shared" si="333"/>
        <v>1.4940483170539939E-2</v>
      </c>
      <c r="Q139" s="133">
        <f t="shared" ref="Q139" si="334">Q83/Q29</f>
        <v>1.4632288995288029E-2</v>
      </c>
      <c r="R139" s="118">
        <f t="shared" si="216"/>
        <v>-0.2672537567204486</v>
      </c>
      <c r="S139" s="128"/>
      <c r="T139" s="133">
        <f t="shared" ref="T139:AC139" si="335">T83/T29</f>
        <v>1.4345381367929441E-2</v>
      </c>
      <c r="U139" s="133">
        <f t="shared" si="335"/>
        <v>1.406409938032298E-2</v>
      </c>
      <c r="V139" s="133">
        <f t="shared" si="335"/>
        <v>1.3788332725806846E-2</v>
      </c>
      <c r="W139" s="133">
        <f t="shared" si="335"/>
        <v>1.3517973260594946E-2</v>
      </c>
      <c r="X139" s="133">
        <f t="shared" si="335"/>
        <v>1.3252914961367592E-2</v>
      </c>
      <c r="Y139" s="133">
        <f t="shared" si="335"/>
        <v>1.2993053883693718E-2</v>
      </c>
      <c r="Z139" s="133">
        <f t="shared" si="335"/>
        <v>1.2738288121268352E-2</v>
      </c>
      <c r="AA139" s="133">
        <f t="shared" si="335"/>
        <v>1.2488517765949364E-2</v>
      </c>
      <c r="AB139" s="133">
        <f t="shared" si="335"/>
        <v>1.2243644868577808E-2</v>
      </c>
      <c r="AC139" s="133">
        <f t="shared" si="335"/>
        <v>1.2003573400566478E-2</v>
      </c>
      <c r="AD139" s="118">
        <f t="shared" si="317"/>
        <v>-1.7664485544367503E-2</v>
      </c>
      <c r="AE139" s="20"/>
      <c r="AF139" s="20"/>
    </row>
    <row r="140" spans="2:32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28"/>
      <c r="S140" s="128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 x14ac:dyDescent="0.2">
      <c r="B141" s="20" t="s">
        <v>372</v>
      </c>
      <c r="C141" s="20"/>
      <c r="D141" s="20"/>
      <c r="E141" s="20"/>
      <c r="F141" s="20"/>
      <c r="G141" s="179">
        <f>G25/G14</f>
        <v>157.375</v>
      </c>
      <c r="H141" s="179">
        <f t="shared" ref="H141:P141" si="336">H25/H14</f>
        <v>132.0185185185185</v>
      </c>
      <c r="I141" s="179">
        <f t="shared" si="336"/>
        <v>307.18421052631578</v>
      </c>
      <c r="J141" s="179">
        <f t="shared" si="336"/>
        <v>204.67032967032966</v>
      </c>
      <c r="K141" s="179">
        <f t="shared" si="336"/>
        <v>187.66666666666666</v>
      </c>
      <c r="L141" s="179">
        <f t="shared" si="336"/>
        <v>375.22916666666669</v>
      </c>
      <c r="M141" s="179">
        <f t="shared" si="336"/>
        <v>894.91666666666663</v>
      </c>
      <c r="N141" s="179">
        <f t="shared" si="336"/>
        <v>285.92990654205607</v>
      </c>
      <c r="O141" s="179">
        <f t="shared" si="336"/>
        <v>532.28244274809163</v>
      </c>
      <c r="P141" s="179">
        <f t="shared" si="336"/>
        <v>723.95495495495493</v>
      </c>
      <c r="Q141" s="179">
        <f t="shared" ref="Q141" si="337">Q25/Q14</f>
        <v>605.04929577464793</v>
      </c>
      <c r="R141" s="118">
        <f t="shared" si="216"/>
        <v>0.16487032069904273</v>
      </c>
      <c r="S141" s="128"/>
      <c r="T141" s="112">
        <f t="shared" ref="T141" si="338">T25/T14</f>
        <v>605.04929577464782</v>
      </c>
      <c r="U141" s="112">
        <f t="shared" ref="U141:AC141" si="339">U25/U14</f>
        <v>605.04929577464782</v>
      </c>
      <c r="V141" s="112">
        <f t="shared" si="339"/>
        <v>605.04929577464782</v>
      </c>
      <c r="W141" s="112">
        <f t="shared" si="339"/>
        <v>605.04929577464782</v>
      </c>
      <c r="X141" s="112">
        <f t="shared" si="339"/>
        <v>605.04929577464782</v>
      </c>
      <c r="Y141" s="112">
        <f t="shared" si="339"/>
        <v>605.04929577464782</v>
      </c>
      <c r="Z141" s="112">
        <f t="shared" si="339"/>
        <v>605.04929577464782</v>
      </c>
      <c r="AA141" s="112">
        <f t="shared" si="339"/>
        <v>605.04929577464782</v>
      </c>
      <c r="AB141" s="112">
        <f t="shared" si="339"/>
        <v>605.04929577464782</v>
      </c>
      <c r="AC141" s="112">
        <f t="shared" si="339"/>
        <v>605.04929577464782</v>
      </c>
      <c r="AD141" s="118">
        <f t="shared" si="317"/>
        <v>0</v>
      </c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9">
        <f>G27/G14</f>
        <v>104.125</v>
      </c>
      <c r="H142" s="179">
        <f t="shared" ref="H142:P142" si="340">H27/H14</f>
        <v>94.240740740740748</v>
      </c>
      <c r="I142" s="179">
        <f t="shared" si="340"/>
        <v>196.28947368421052</v>
      </c>
      <c r="J142" s="179">
        <f t="shared" si="340"/>
        <v>121.2967032967033</v>
      </c>
      <c r="K142" s="179">
        <f t="shared" si="340"/>
        <v>137.31578947368422</v>
      </c>
      <c r="L142" s="179">
        <f t="shared" si="340"/>
        <v>228.05208333333334</v>
      </c>
      <c r="M142" s="179">
        <f t="shared" si="340"/>
        <v>516.35416666666663</v>
      </c>
      <c r="N142" s="179">
        <f t="shared" si="340"/>
        <v>184.55607476635515</v>
      </c>
      <c r="O142" s="179">
        <f t="shared" si="340"/>
        <v>364.8854961832061</v>
      </c>
      <c r="P142" s="179">
        <f t="shared" si="340"/>
        <v>499.89189189189187</v>
      </c>
      <c r="Q142" s="179">
        <f t="shared" ref="Q142" si="341">Q27/Q14</f>
        <v>405.38732394366195</v>
      </c>
      <c r="R142" s="118">
        <f t="shared" si="216"/>
        <v>0.169855194580258</v>
      </c>
      <c r="S142" s="128"/>
      <c r="T142" s="112">
        <f t="shared" ref="T142:AC142" si="342">T27/T14</f>
        <v>405.38732394366195</v>
      </c>
      <c r="U142" s="112">
        <f t="shared" si="342"/>
        <v>405.38732394366195</v>
      </c>
      <c r="V142" s="112">
        <f t="shared" si="342"/>
        <v>405.38732394366195</v>
      </c>
      <c r="W142" s="112">
        <f t="shared" si="342"/>
        <v>405.38732394366195</v>
      </c>
      <c r="X142" s="112">
        <f t="shared" si="342"/>
        <v>405.3873239436619</v>
      </c>
      <c r="Y142" s="112">
        <f t="shared" si="342"/>
        <v>405.3873239436619</v>
      </c>
      <c r="Z142" s="112">
        <f t="shared" si="342"/>
        <v>405.3873239436619</v>
      </c>
      <c r="AA142" s="112">
        <f t="shared" si="342"/>
        <v>405.3873239436619</v>
      </c>
      <c r="AB142" s="112">
        <f t="shared" si="342"/>
        <v>405.3873239436619</v>
      </c>
      <c r="AC142" s="112">
        <f t="shared" si="342"/>
        <v>405.38732394366184</v>
      </c>
      <c r="AD142" s="118">
        <f t="shared" si="317"/>
        <v>0</v>
      </c>
      <c r="AE142" s="20"/>
      <c r="AF142" s="20"/>
    </row>
    <row r="143" spans="2:32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28"/>
      <c r="S143" s="128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36"/>
      <c r="AE143" s="20"/>
      <c r="AF143" s="20"/>
    </row>
    <row r="144" spans="2:32" x14ac:dyDescent="0.2">
      <c r="B144" s="108" t="s">
        <v>244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3"/>
      <c r="S144" s="23"/>
      <c r="T144" s="122" t="s">
        <v>66</v>
      </c>
      <c r="U144" s="20"/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 x14ac:dyDescent="0.2">
      <c r="B145" s="23" t="s">
        <v>280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5"/>
      <c r="Q145" s="25"/>
      <c r="R145" s="159">
        <f>AVERAGE(G57:Q57)</f>
        <v>19.113807447712574</v>
      </c>
      <c r="S145" s="23"/>
      <c r="T145" s="193" t="s">
        <v>427</v>
      </c>
      <c r="U145" s="194" t="s">
        <v>428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0" t="s">
        <v>25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>T146+U146</f>
        <v>78.504913063350088</v>
      </c>
      <c r="T146" s="133">
        <f>PV($C$1, ($AC$3-$T$3), 0, -AC57)</f>
        <v>8.6488463544368752</v>
      </c>
      <c r="U146" s="133">
        <f>PV($C$1, ($AC$3-$T$3), 0, -AF57)</f>
        <v>69.856066708913218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272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 t="shared" ref="S147:S165" si="343">T147+U147</f>
        <v>1553.8720056354914</v>
      </c>
      <c r="T147" s="133">
        <f>PV($C$1, ($AC$3-$T$3), 0, -AC59)</f>
        <v>171.18928875645244</v>
      </c>
      <c r="U147" s="133">
        <f>PV($C$1, ($AC$3-$T$3), 0, -AF59)</f>
        <v>1382.6827168790389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43"/>
        <v>1502.774902565109</v>
      </c>
      <c r="T148" s="133">
        <f>PV($C$1, ($AC$3-$T$3), 0, -AC60)</f>
        <v>165.55994689276625</v>
      </c>
      <c r="U148" s="133">
        <f>PV($C$1, ($AC$3-$T$3), 0, -AF60)</f>
        <v>1337.2149556723427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3"/>
        <v>1973.5443447972693</v>
      </c>
      <c r="T149" s="133">
        <f>PV($C$1, ($AC$3-$T$3), 0, -AC61)</f>
        <v>217.42437696919066</v>
      </c>
      <c r="U149" s="133">
        <f>PV($C$1, ($AC$3-$T$3), 0, -AF61)</f>
        <v>1756.1199678280786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275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3"/>
        <v>129.49800167455561</v>
      </c>
      <c r="T150" s="133">
        <f>PV($C$1, ($AC$3-$T$3), 0, -AC67)</f>
        <v>14.266728998044261</v>
      </c>
      <c r="U150" s="133">
        <f>PV($C$1, ($AC$3-$T$3), 0, -AF67)</f>
        <v>115.23127267651134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 t="s">
        <v>270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43"/>
        <v>-419.6723391617777</v>
      </c>
      <c r="T152" s="133">
        <f>PV($C$1, ($AC$3-$T$3), 0, -AC63)</f>
        <v>-46.235088212738226</v>
      </c>
      <c r="U152" s="133">
        <f>PV($C$1, ($AC$3-$T$3), 0, -$AF$63)</f>
        <v>-373.43725094903948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271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3"/>
        <v>-1515.4126593550359</v>
      </c>
      <c r="T153" s="133">
        <f>PV($C$1, ($AC$3-$T$3), 0, -AC64)</f>
        <v>-166.95224213233448</v>
      </c>
      <c r="U153" s="133">
        <f>PV($C$1, ($AC$3-$T$3), 0, -$AF$64)</f>
        <v>-1348.4604172227014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276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3"/>
        <v>-1219.8295699906432</v>
      </c>
      <c r="T154" s="133">
        <f>PV($C$1, ($AC$3-$T$3), 0, -AC65)</f>
        <v>-134.38800347354544</v>
      </c>
      <c r="U154" s="133">
        <f>PV($C$1, ($AC$3-$T$3), 0, -$AF$65)</f>
        <v>-1085.4415665170977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/>
      <c r="T155" s="133"/>
      <c r="U155" s="20"/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 t="s">
        <v>249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 t="shared" si="343"/>
        <v>295.58308936439244</v>
      </c>
      <c r="T156" s="133">
        <f>PV($C$1, ($AC$3-$T$3), 0, -AC70)</f>
        <v>32.564238658788994</v>
      </c>
      <c r="U156" s="133">
        <f>PV($C$1, ($AC$3-$T$3), 0, -AF70)</f>
        <v>263.01885070560343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250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3"/>
        <v>-305.8010653332023</v>
      </c>
      <c r="T157" s="133">
        <f>PV($C$1, ($AC$3-$T$3), 0, -AC71)</f>
        <v>-46.647620135573227</v>
      </c>
      <c r="U157" s="133">
        <f>PV($C$1, ($AC$3-$T$3), 0, -AF71)</f>
        <v>-259.15344519762908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 t="s">
        <v>292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 t="shared" ref="S159" si="344">T159+U159</f>
        <v>63101.893667927157</v>
      </c>
      <c r="T159" s="133">
        <f>PV($C$1, ($AC$3-$T$3), 0, -AC12)</f>
        <v>6951.9035396868894</v>
      </c>
      <c r="U159" s="133">
        <f>PV($C$1, ($AC$3-$T$3), 0, -AF12)</f>
        <v>56149.990128240264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293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>T160+U160</f>
        <v>166.18881661292377</v>
      </c>
      <c r="T160" s="139">
        <f>T159/P42</f>
        <v>18.308937423457703</v>
      </c>
      <c r="U160" s="139">
        <f>U159/P42</f>
        <v>147.87987918946607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/>
      <c r="T161" s="139"/>
      <c r="U161" s="139"/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108" t="s">
        <v>296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20" t="s">
        <v>282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>
        <f t="shared" ref="S163" si="345">T163+U163</f>
        <v>20.887680193736728</v>
      </c>
      <c r="T163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15.548514770394524</v>
      </c>
      <c r="U163" s="133">
        <f>PV($C$1, ($AC$3-$T$3), 0, -AF73)</f>
        <v>5.3391654233422026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/>
      <c r="T164" s="133"/>
      <c r="U164" s="133"/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>
        <f t="shared" si="343"/>
        <v>-46933.052577120892</v>
      </c>
      <c r="T165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-34936.347858958645</v>
      </c>
      <c r="U165" s="133">
        <f>PV($C$1, ($AC$3-$T$3), 0, -AF75)</f>
        <v>-11996.704718162247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 t="s">
        <v>459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ref="S167:S170" si="346">T167+U167</f>
        <v>-96.31623027365886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-71.696536673697253</v>
      </c>
      <c r="U167" s="133">
        <f>PV($C$1, ($AC$3-$T$3), 0, -AF77)</f>
        <v>-24.619693599961604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286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si="346"/>
        <v>1450.3558660193169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1079.6258558138823</v>
      </c>
      <c r="U168" s="133">
        <f>PV($C$1, ($AC$3-$T$3), 0, -AF78)</f>
        <v>370.73001020543467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287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6"/>
        <v>-1546.6720962929758</v>
      </c>
      <c r="T169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-1151.3223924875795</v>
      </c>
      <c r="U169" s="133">
        <f>PV($C$1, ($AC$3-$T$3), 0, -AF79)</f>
        <v>-395.34970380539636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6"/>
        <v>106.99791746566177</v>
      </c>
      <c r="T170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79.647844312321126</v>
      </c>
      <c r="U170" s="133">
        <f>PV($C$1, ($AC$3-$T$3), 0, -AF80)</f>
        <v>27.350073153340652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457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29">
        <f>S168+S169+S170</f>
        <v>10.681687192002869</v>
      </c>
      <c r="T171" s="129">
        <f t="shared" ref="T171:U171" si="347">T168+T169+T170</f>
        <v>7.9513076386239163</v>
      </c>
      <c r="U171" s="129">
        <f t="shared" si="347"/>
        <v>2.7303795533789597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/>
      <c r="T172" s="133"/>
      <c r="U172" s="133"/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 t="s">
        <v>297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>
        <f>T173+U173</f>
        <v>40.282633902046939</v>
      </c>
      <c r="T173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29.985863552439</v>
      </c>
      <c r="U173" s="133">
        <f>PV($C$1, ($AC$3-$T$3), 0, -AF81)</f>
        <v>10.296770349607943</v>
      </c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182">
        <v>41729</v>
      </c>
      <c r="P174" s="20">
        <v>290</v>
      </c>
      <c r="Q174" s="20"/>
      <c r="R174" s="20"/>
      <c r="S174" s="20"/>
      <c r="T174" s="121"/>
      <c r="U174" s="20"/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108" t="s">
        <v>251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3" t="s">
        <v>388</v>
      </c>
      <c r="P175" s="20">
        <v>350</v>
      </c>
      <c r="Q175" s="20"/>
      <c r="R175" s="20">
        <v>160</v>
      </c>
      <c r="S175" s="23" t="s">
        <v>389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20" t="s">
        <v>204</v>
      </c>
      <c r="C176" s="22">
        <v>0</v>
      </c>
      <c r="D176" s="22">
        <v>0</v>
      </c>
      <c r="E176" s="22">
        <v>0</v>
      </c>
      <c r="F176" s="22">
        <v>0</v>
      </c>
      <c r="G176" s="22">
        <v>75</v>
      </c>
      <c r="H176" s="22">
        <v>100</v>
      </c>
      <c r="I176" s="22">
        <v>190</v>
      </c>
      <c r="J176" s="22">
        <v>630</v>
      </c>
      <c r="K176" s="22">
        <v>700</v>
      </c>
      <c r="L176" s="22">
        <v>540</v>
      </c>
      <c r="M176" s="22">
        <v>285</v>
      </c>
      <c r="N176" s="22">
        <v>308</v>
      </c>
      <c r="O176" s="22">
        <v>315</v>
      </c>
      <c r="P176" s="22">
        <v>267</v>
      </c>
      <c r="Q176" s="22">
        <v>200</v>
      </c>
      <c r="R176" s="118">
        <f t="shared" ref="R176:R183" si="348">((P176/G176)^(1/($H$2-$H$1) ))-1</f>
        <v>0.13538982996335291</v>
      </c>
      <c r="S176" s="31">
        <f>L2-3%</f>
        <v>0.17</v>
      </c>
      <c r="T176" s="119">
        <f t="shared" ref="T176" si="349">P176*(1+$S176)</f>
        <v>312.39</v>
      </c>
      <c r="U176" s="119">
        <f t="shared" ref="U176:AC176" si="350">T176*(1+$S176)</f>
        <v>365.49629999999996</v>
      </c>
      <c r="V176" s="119">
        <f t="shared" si="350"/>
        <v>427.63067099999995</v>
      </c>
      <c r="W176" s="119">
        <f t="shared" si="350"/>
        <v>500.32788506999992</v>
      </c>
      <c r="X176" s="119">
        <f t="shared" si="350"/>
        <v>585.38362553189984</v>
      </c>
      <c r="Y176" s="119">
        <f t="shared" si="350"/>
        <v>684.89884187232281</v>
      </c>
      <c r="Z176" s="119">
        <f t="shared" si="350"/>
        <v>801.33164499061763</v>
      </c>
      <c r="AA176" s="119">
        <f t="shared" si="350"/>
        <v>937.55802463902262</v>
      </c>
      <c r="AB176" s="119">
        <f t="shared" si="350"/>
        <v>1096.9428888276564</v>
      </c>
      <c r="AC176" s="119">
        <f t="shared" si="350"/>
        <v>1283.423179928358</v>
      </c>
      <c r="AD176" s="137">
        <f t="shared" ref="AD176:AD183" si="351">((AC176/G176)^(1/($AC$3-$H$1) ))-1</f>
        <v>0.15256500947110263</v>
      </c>
      <c r="AE176" s="31">
        <v>0.08</v>
      </c>
      <c r="AF176" s="127">
        <f t="shared" ref="AF176:AF186" si="352">(AC176*(1+AD176))/($C$1-AE176)</f>
        <v>14792.286495295606</v>
      </c>
    </row>
    <row r="177" spans="2:32" x14ac:dyDescent="0.2">
      <c r="B177" s="20" t="s">
        <v>359</v>
      </c>
      <c r="C177" s="25"/>
      <c r="D177" s="25"/>
      <c r="E177" s="25"/>
      <c r="F177" s="25"/>
      <c r="G177" s="25">
        <f t="shared" ref="G177:P177" si="353">G176/G51</f>
        <v>0.27596306592533759</v>
      </c>
      <c r="H177" s="25">
        <f t="shared" si="353"/>
        <v>2.5996633468929726</v>
      </c>
      <c r="I177" s="25">
        <f t="shared" si="353"/>
        <v>3.0817013621177076</v>
      </c>
      <c r="J177" s="25">
        <f t="shared" si="353"/>
        <v>6.4099328859060396</v>
      </c>
      <c r="K177" s="25">
        <f t="shared" si="353"/>
        <v>6.206880433766476</v>
      </c>
      <c r="L177" s="25">
        <f t="shared" si="353"/>
        <v>2.8452612292487927</v>
      </c>
      <c r="M177" s="25">
        <f t="shared" si="353"/>
        <v>2.5205209982307477</v>
      </c>
      <c r="N177" s="25">
        <f t="shared" si="353"/>
        <v>1.9112520224223308</v>
      </c>
      <c r="O177" s="25">
        <f t="shared" si="353"/>
        <v>1.7152906251344491</v>
      </c>
      <c r="P177" s="25">
        <f t="shared" si="353"/>
        <v>1.2615873766472951</v>
      </c>
      <c r="Q177" s="25">
        <f t="shared" ref="Q177" si="354">Q176/Q51</f>
        <v>0.93052597274113391</v>
      </c>
      <c r="R177" s="118">
        <f t="shared" ref="R177" si="355">((P177/G177)^(1/($H$2-$H$1) ))-1</f>
        <v>0.16414382097106439</v>
      </c>
      <c r="S177" s="128"/>
      <c r="T177" s="25">
        <f t="shared" ref="T177:AC177" si="356">T176/T51</f>
        <v>1.235419786654562</v>
      </c>
      <c r="U177" s="25">
        <f t="shared" si="356"/>
        <v>1.2286249778279621</v>
      </c>
      <c r="V177" s="25">
        <f t="shared" si="356"/>
        <v>1.2218675404499082</v>
      </c>
      <c r="W177" s="25">
        <f t="shared" si="356"/>
        <v>1.2151472689774336</v>
      </c>
      <c r="X177" s="25">
        <f t="shared" si="356"/>
        <v>1.2084639589980577</v>
      </c>
      <c r="Y177" s="25">
        <f t="shared" si="356"/>
        <v>1.2018174072235686</v>
      </c>
      <c r="Z177" s="25">
        <f t="shared" si="356"/>
        <v>1.1952074114838387</v>
      </c>
      <c r="AA177" s="25">
        <f t="shared" si="356"/>
        <v>1.1886337707206776</v>
      </c>
      <c r="AB177" s="25">
        <f t="shared" si="356"/>
        <v>1.182096284981714</v>
      </c>
      <c r="AC177" s="25">
        <f t="shared" si="356"/>
        <v>1.1755947554143147</v>
      </c>
      <c r="AD177" s="137">
        <f t="shared" ref="AD177" si="357">((AC177/G177)^(1/($AC$3-$H$1) ))-1</f>
        <v>7.5153155628960411E-2</v>
      </c>
      <c r="AE177" s="31">
        <v>0.08</v>
      </c>
      <c r="AF177" s="127">
        <f t="shared" ref="AF177" si="358">(AC177*(1+AD177))/($C$1-AE177)</f>
        <v>12.639444110245565</v>
      </c>
    </row>
    <row r="178" spans="2:32" x14ac:dyDescent="0.2">
      <c r="B178" s="20" t="s">
        <v>387</v>
      </c>
      <c r="C178" s="25"/>
      <c r="D178" s="25"/>
      <c r="E178" s="25"/>
      <c r="F178" s="25"/>
      <c r="G178" s="25">
        <f t="shared" ref="G178:P178" si="359">G176/G57</f>
        <v>2.3756410256410256</v>
      </c>
      <c r="H178" s="25">
        <f t="shared" si="359"/>
        <v>15.153720359771055</v>
      </c>
      <c r="I178" s="25">
        <f t="shared" si="359"/>
        <v>17.513485881207401</v>
      </c>
      <c r="J178" s="25">
        <f t="shared" si="359"/>
        <v>29.047445255474454</v>
      </c>
      <c r="K178" s="25">
        <f t="shared" si="359"/>
        <v>20.444957659738257</v>
      </c>
      <c r="L178" s="25">
        <f t="shared" si="359"/>
        <v>12.741422178020885</v>
      </c>
      <c r="M178" s="25">
        <f t="shared" si="359"/>
        <v>11.560057655349135</v>
      </c>
      <c r="N178" s="25">
        <f t="shared" si="359"/>
        <v>16.303861703610764</v>
      </c>
      <c r="O178" s="25">
        <f t="shared" si="359"/>
        <v>53.949255751014881</v>
      </c>
      <c r="P178" s="25">
        <f t="shared" si="359"/>
        <v>44.582189973614774</v>
      </c>
      <c r="Q178" s="25">
        <f t="shared" ref="Q178" si="360">Q176/Q57</f>
        <v>26.481616429281221</v>
      </c>
      <c r="R178" s="118">
        <f t="shared" si="348"/>
        <v>0.34071990799724849</v>
      </c>
      <c r="S178" s="128"/>
      <c r="T178" s="119">
        <f t="shared" ref="T178:AC178" si="361">T176/T57</f>
        <v>35.158516664458432</v>
      </c>
      <c r="U178" s="119">
        <f t="shared" si="361"/>
        <v>34.965144822803907</v>
      </c>
      <c r="V178" s="119">
        <f t="shared" si="361"/>
        <v>34.772836526278489</v>
      </c>
      <c r="W178" s="119">
        <f t="shared" si="361"/>
        <v>34.581585925383955</v>
      </c>
      <c r="X178" s="119">
        <f t="shared" si="361"/>
        <v>34.391387202794341</v>
      </c>
      <c r="Y178" s="119">
        <f t="shared" si="361"/>
        <v>34.20223457317897</v>
      </c>
      <c r="Z178" s="119">
        <f t="shared" si="361"/>
        <v>34.014122283026488</v>
      </c>
      <c r="AA178" s="119">
        <f t="shared" si="361"/>
        <v>33.827044610469841</v>
      </c>
      <c r="AB178" s="119">
        <f t="shared" si="361"/>
        <v>33.640995865112259</v>
      </c>
      <c r="AC178" s="119">
        <f t="shared" si="361"/>
        <v>33.455970387854144</v>
      </c>
      <c r="AD178" s="137">
        <f t="shared" si="351"/>
        <v>0.14139151763566993</v>
      </c>
      <c r="AE178" s="31">
        <v>0.08</v>
      </c>
      <c r="AF178" s="127">
        <f t="shared" si="352"/>
        <v>381.86360814966878</v>
      </c>
    </row>
    <row r="179" spans="2:32" x14ac:dyDescent="0.2">
      <c r="B179" s="20" t="s">
        <v>462</v>
      </c>
      <c r="C179" s="25"/>
      <c r="D179" s="25"/>
      <c r="E179" s="25"/>
      <c r="F179" s="25"/>
      <c r="G179" s="25">
        <f t="shared" ref="G179:P179" si="362">G176/G55</f>
        <v>0.83268424206111447</v>
      </c>
      <c r="H179" s="25">
        <f t="shared" si="362"/>
        <v>6.0883705650459916</v>
      </c>
      <c r="I179" s="25">
        <f t="shared" si="362"/>
        <v>8.5894699140401141</v>
      </c>
      <c r="J179" s="25">
        <f t="shared" si="362"/>
        <v>16.057162071284463</v>
      </c>
      <c r="K179" s="25">
        <f t="shared" si="362"/>
        <v>11.668717047451668</v>
      </c>
      <c r="L179" s="25">
        <f t="shared" si="362"/>
        <v>6.6380829015544043</v>
      </c>
      <c r="M179" s="25">
        <f t="shared" si="362"/>
        <v>6.3704106848670268</v>
      </c>
      <c r="N179" s="25">
        <f t="shared" si="362"/>
        <v>5.8558710129688052</v>
      </c>
      <c r="O179" s="25">
        <f t="shared" si="362"/>
        <v>5.0457939588255147</v>
      </c>
      <c r="P179" s="25">
        <f t="shared" si="362"/>
        <v>4.0763932448733415</v>
      </c>
      <c r="Q179" s="25">
        <f>Q176/Q55</f>
        <v>2.8252173298466321</v>
      </c>
      <c r="R179" s="118">
        <f t="shared" si="348"/>
        <v>0.17214023199137563</v>
      </c>
      <c r="S179" s="128"/>
      <c r="T179" s="25">
        <f t="shared" ref="T179:AC179" si="363">T176/T55</f>
        <v>3.7509209771008551</v>
      </c>
      <c r="U179" s="25">
        <f t="shared" si="363"/>
        <v>3.7302909117268004</v>
      </c>
      <c r="V179" s="25">
        <f t="shared" si="363"/>
        <v>3.709774311712303</v>
      </c>
      <c r="W179" s="25">
        <f t="shared" si="363"/>
        <v>3.6893705529978855</v>
      </c>
      <c r="X179" s="25">
        <f t="shared" si="363"/>
        <v>3.669079014956397</v>
      </c>
      <c r="Y179" s="25">
        <f t="shared" si="363"/>
        <v>3.6488990803741372</v>
      </c>
      <c r="Z179" s="25">
        <f t="shared" si="363"/>
        <v>3.6288301354320791</v>
      </c>
      <c r="AA179" s="25">
        <f t="shared" si="363"/>
        <v>3.6088715696872029</v>
      </c>
      <c r="AB179" s="25">
        <f t="shared" si="363"/>
        <v>3.5890227760539228</v>
      </c>
      <c r="AC179" s="25">
        <f t="shared" si="363"/>
        <v>3.5692831507856266</v>
      </c>
      <c r="AD179" s="137">
        <f t="shared" ref="AD179:AD180" si="364">((AC179/G179)^(1/($AC$3-$H$1) ))-1</f>
        <v>7.5486672101819252E-2</v>
      </c>
      <c r="AE179" s="31">
        <v>0.08</v>
      </c>
      <c r="AF179" s="127">
        <f t="shared" ref="AF179:AF180" si="365">(AC179*(1+AD179))/($C$1-AE179)</f>
        <v>38.387164576275296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66">G176/G56</f>
        <v>2.5176630434782612</v>
      </c>
      <c r="H180" s="25">
        <f t="shared" si="366"/>
        <v>36.410609037328101</v>
      </c>
      <c r="I180" s="25">
        <f t="shared" si="366"/>
        <v>15.262070428510821</v>
      </c>
      <c r="J180" s="25">
        <f t="shared" si="366"/>
        <v>25.597126929674097</v>
      </c>
      <c r="K180" s="25">
        <f t="shared" si="366"/>
        <v>86.621004566210033</v>
      </c>
      <c r="L180" s="25">
        <f t="shared" si="366"/>
        <v>12.011250439470293</v>
      </c>
      <c r="M180" s="25">
        <f t="shared" si="366"/>
        <v>9.9817000092191375</v>
      </c>
      <c r="N180" s="25">
        <f t="shared" si="366"/>
        <v>13.063851653261841</v>
      </c>
      <c r="O180" s="25">
        <f t="shared" si="366"/>
        <v>26.715546124637033</v>
      </c>
      <c r="P180" s="25">
        <f t="shared" si="366"/>
        <v>20.320685508117858</v>
      </c>
      <c r="Q180" s="25">
        <f>Q176/Q56</f>
        <v>10.166327568667345</v>
      </c>
      <c r="R180" s="118">
        <f t="shared" si="348"/>
        <v>0.23223651731020234</v>
      </c>
      <c r="S180" s="128"/>
      <c r="T180" s="25">
        <f t="shared" ref="T180:AC180" si="367">T176/T56</f>
        <v>13.497401043997966</v>
      </c>
      <c r="U180" s="25">
        <f t="shared" si="367"/>
        <v>13.423165338255979</v>
      </c>
      <c r="V180" s="25">
        <f t="shared" si="367"/>
        <v>13.34933792889557</v>
      </c>
      <c r="W180" s="25">
        <f t="shared" si="367"/>
        <v>13.275916570286645</v>
      </c>
      <c r="X180" s="25">
        <f t="shared" si="367"/>
        <v>13.202899029150068</v>
      </c>
      <c r="Y180" s="25">
        <f t="shared" si="367"/>
        <v>13.130283084489744</v>
      </c>
      <c r="Z180" s="25">
        <f t="shared" si="367"/>
        <v>13.05806652752505</v>
      </c>
      <c r="AA180" s="25">
        <f t="shared" si="367"/>
        <v>12.986247161623664</v>
      </c>
      <c r="AB180" s="25">
        <f t="shared" si="367"/>
        <v>12.914822802234733</v>
      </c>
      <c r="AC180" s="25">
        <f t="shared" si="367"/>
        <v>12.843791276822442</v>
      </c>
      <c r="AD180" s="137">
        <f t="shared" si="364"/>
        <v>8.4887690847410768E-2</v>
      </c>
      <c r="AE180" s="31">
        <v>0.08</v>
      </c>
      <c r="AF180" s="127">
        <f t="shared" si="365"/>
        <v>139.34071060038019</v>
      </c>
    </row>
    <row r="181" spans="2:32" x14ac:dyDescent="0.2">
      <c r="B181" s="20" t="s">
        <v>258</v>
      </c>
      <c r="C181" s="25"/>
      <c r="D181" s="25"/>
      <c r="E181" s="25"/>
      <c r="F181" s="25"/>
      <c r="G181" s="25">
        <f t="shared" ref="G181:P181" si="368">G176/G60</f>
        <v>0.58246018440905289</v>
      </c>
      <c r="H181" s="25">
        <f t="shared" si="368"/>
        <v>6.9256352765321383</v>
      </c>
      <c r="I181" s="25">
        <f t="shared" si="368"/>
        <v>6.5956545654565462</v>
      </c>
      <c r="J181" s="25">
        <f t="shared" si="368"/>
        <v>12.48797071129707</v>
      </c>
      <c r="K181" s="25">
        <f t="shared" si="368"/>
        <v>6.7181017909541634</v>
      </c>
      <c r="L181" s="25">
        <f t="shared" si="368"/>
        <v>3.7839474267149087</v>
      </c>
      <c r="M181" s="25">
        <f t="shared" si="368"/>
        <v>2.8707047406936046</v>
      </c>
      <c r="N181" s="25">
        <f t="shared" si="368"/>
        <v>2.4952547580438678</v>
      </c>
      <c r="O181" s="25">
        <f t="shared" si="368"/>
        <v>2.4553600755460665</v>
      </c>
      <c r="P181" s="25">
        <f t="shared" si="368"/>
        <v>2.0936743628928998</v>
      </c>
      <c r="Q181" s="25">
        <f t="shared" ref="Q181" si="369">Q176/Q60</f>
        <v>1.3833987991209704</v>
      </c>
      <c r="R181" s="118">
        <f t="shared" si="348"/>
        <v>0.13648652078907975</v>
      </c>
      <c r="S181" s="128"/>
      <c r="T181" s="119">
        <f t="shared" ref="T181:AC181" si="370">T176/T60</f>
        <v>1.8366797911439499</v>
      </c>
      <c r="U181" s="119">
        <f t="shared" si="370"/>
        <v>1.826578052292658</v>
      </c>
      <c r="V181" s="119">
        <f t="shared" si="370"/>
        <v>1.8165318730050484</v>
      </c>
      <c r="W181" s="119">
        <f t="shared" si="370"/>
        <v>1.8065409477035206</v>
      </c>
      <c r="X181" s="119">
        <f t="shared" si="370"/>
        <v>1.7966049724911513</v>
      </c>
      <c r="Y181" s="119">
        <f t="shared" si="370"/>
        <v>1.78672364514245</v>
      </c>
      <c r="Z181" s="119">
        <f t="shared" si="370"/>
        <v>1.7768966650941664</v>
      </c>
      <c r="AA181" s="119">
        <f t="shared" si="370"/>
        <v>1.7671237334361485</v>
      </c>
      <c r="AB181" s="119">
        <f t="shared" si="370"/>
        <v>1.7574045529022497</v>
      </c>
      <c r="AC181" s="119">
        <f t="shared" si="370"/>
        <v>1.7477388278612878</v>
      </c>
      <c r="AD181" s="137">
        <f t="shared" si="351"/>
        <v>5.6478138147570967E-2</v>
      </c>
      <c r="AE181" s="31">
        <v>0.08</v>
      </c>
      <c r="AF181" s="127">
        <f t="shared" si="352"/>
        <v>18.464478628271113</v>
      </c>
    </row>
    <row r="182" spans="2:32" x14ac:dyDescent="0.2">
      <c r="B182" s="20" t="s">
        <v>259</v>
      </c>
      <c r="C182" s="25"/>
      <c r="D182" s="25"/>
      <c r="E182" s="25"/>
      <c r="F182" s="25"/>
      <c r="G182" s="25">
        <f t="shared" ref="G182:P182" si="371">G176/G69</f>
        <v>2.9632196162046913</v>
      </c>
      <c r="H182" s="25">
        <f t="shared" si="371"/>
        <v>20.870495495495497</v>
      </c>
      <c r="I182" s="25">
        <f t="shared" si="371"/>
        <v>60.155016722408028</v>
      </c>
      <c r="J182" s="25">
        <f t="shared" si="371"/>
        <v>119.624248496994</v>
      </c>
      <c r="K182" s="25">
        <f t="shared" si="371"/>
        <v>24.091074020319301</v>
      </c>
      <c r="L182" s="25">
        <f t="shared" si="371"/>
        <v>20.045374535497753</v>
      </c>
      <c r="M182" s="25">
        <f t="shared" si="371"/>
        <v>13.990373433260109</v>
      </c>
      <c r="N182" s="25">
        <f t="shared" si="371"/>
        <v>74.017468354430392</v>
      </c>
      <c r="O182" s="25">
        <f t="shared" si="371"/>
        <v>31.106762028608586</v>
      </c>
      <c r="P182" s="25">
        <f t="shared" si="371"/>
        <v>11.929854083313719</v>
      </c>
      <c r="Q182" s="25">
        <f t="shared" ref="Q182" si="372">Q176/Q69</f>
        <v>3.8980009751340812</v>
      </c>
      <c r="R182" s="118">
        <f t="shared" si="348"/>
        <v>0.14944217785293534</v>
      </c>
      <c r="S182" s="128"/>
      <c r="T182" s="119">
        <f t="shared" ref="T182:AC182" si="373">T176/T69</f>
        <v>5.1752102296440761</v>
      </c>
      <c r="U182" s="119">
        <f t="shared" si="373"/>
        <v>5.1467465733810327</v>
      </c>
      <c r="V182" s="119">
        <f t="shared" si="373"/>
        <v>5.1184394672274376</v>
      </c>
      <c r="W182" s="119">
        <f t="shared" si="373"/>
        <v>5.090288050157687</v>
      </c>
      <c r="X182" s="119">
        <f t="shared" si="373"/>
        <v>5.0622914658818186</v>
      </c>
      <c r="Y182" s="119">
        <f t="shared" si="373"/>
        <v>5.0344488628194695</v>
      </c>
      <c r="Z182" s="119">
        <f t="shared" si="373"/>
        <v>5.0067593940739634</v>
      </c>
      <c r="AA182" s="119">
        <f t="shared" si="373"/>
        <v>4.9792222174065559</v>
      </c>
      <c r="AB182" s="119">
        <f t="shared" si="373"/>
        <v>4.95183649521082</v>
      </c>
      <c r="AC182" s="119">
        <f t="shared" si="373"/>
        <v>4.9246013944871621</v>
      </c>
      <c r="AD182" s="137">
        <f t="shared" si="351"/>
        <v>2.5723633641741683E-2</v>
      </c>
      <c r="AE182" s="31">
        <v>0.08</v>
      </c>
      <c r="AF182" s="127">
        <f t="shared" si="352"/>
        <v>50.512800365905605</v>
      </c>
    </row>
    <row r="183" spans="2:32" x14ac:dyDescent="0.2">
      <c r="B183" s="20" t="s">
        <v>260</v>
      </c>
      <c r="C183" s="25"/>
      <c r="D183" s="25"/>
      <c r="E183" s="25"/>
      <c r="F183" s="25"/>
      <c r="G183" s="25">
        <f t="shared" ref="G183:P183" si="374">G176/G71</f>
        <v>-3.0611233480176212</v>
      </c>
      <c r="H183" s="25">
        <f t="shared" si="374"/>
        <v>-8.0333766796705675</v>
      </c>
      <c r="I183" s="25">
        <f t="shared" si="374"/>
        <v>-8.4324191279887497</v>
      </c>
      <c r="J183" s="25">
        <f t="shared" si="374"/>
        <v>-19.39642567018684</v>
      </c>
      <c r="K183" s="25">
        <f t="shared" si="374"/>
        <v>-15.462272938984627</v>
      </c>
      <c r="L183" s="25">
        <f t="shared" si="374"/>
        <v>-15.609503502893695</v>
      </c>
      <c r="M183" s="25">
        <f t="shared" si="374"/>
        <v>-19.961559734513273</v>
      </c>
      <c r="N183" s="25">
        <f t="shared" si="374"/>
        <v>-5.5104179427979076</v>
      </c>
      <c r="O183" s="25">
        <f t="shared" si="374"/>
        <v>-9.2053798199030243</v>
      </c>
      <c r="P183" s="25">
        <f t="shared" si="374"/>
        <v>-6.2112424947923044</v>
      </c>
      <c r="Q183" s="25">
        <f t="shared" ref="Q183" si="375">Q176/Q71</f>
        <v>-4.9099060369710745</v>
      </c>
      <c r="R183" s="118">
        <f t="shared" si="348"/>
        <v>7.3321343293941244E-2</v>
      </c>
      <c r="S183" s="128"/>
      <c r="T183" s="119">
        <f t="shared" ref="T183:AC183" si="376">T176/T71</f>
        <v>-6.5186735742799238</v>
      </c>
      <c r="U183" s="119">
        <f t="shared" si="376"/>
        <v>-6.4828208696213849</v>
      </c>
      <c r="V183" s="119">
        <f t="shared" si="376"/>
        <v>-6.4471653548384671</v>
      </c>
      <c r="W183" s="119">
        <f t="shared" si="376"/>
        <v>-6.4117059453868555</v>
      </c>
      <c r="X183" s="119">
        <f t="shared" si="376"/>
        <v>-6.3764415626872264</v>
      </c>
      <c r="Y183" s="119">
        <f t="shared" si="376"/>
        <v>-6.341371134092447</v>
      </c>
      <c r="Z183" s="119">
        <f t="shared" si="376"/>
        <v>-6.306493592854939</v>
      </c>
      <c r="AA183" s="119">
        <f t="shared" si="376"/>
        <v>-6.2718078780942381</v>
      </c>
      <c r="AB183" s="119">
        <f t="shared" si="376"/>
        <v>-6.23731293476472</v>
      </c>
      <c r="AC183" s="119">
        <f t="shared" si="376"/>
        <v>-6.2030077136235153</v>
      </c>
      <c r="AD183" s="137">
        <f t="shared" si="351"/>
        <v>3.5943511411828055E-2</v>
      </c>
      <c r="AE183" s="31">
        <v>0.08</v>
      </c>
      <c r="AF183" s="127">
        <f t="shared" si="352"/>
        <v>-64.259655921658009</v>
      </c>
    </row>
    <row r="184" spans="2:32" x14ac:dyDescent="0.2">
      <c r="B184" s="20" t="s">
        <v>281</v>
      </c>
      <c r="C184" s="25"/>
      <c r="D184" s="25"/>
      <c r="E184" s="25"/>
      <c r="F184" s="25"/>
      <c r="G184" s="181">
        <f t="shared" ref="G184:P184" si="377">G176/G65</f>
        <v>-0.73844314558979807</v>
      </c>
      <c r="H184" s="181">
        <f t="shared" si="377"/>
        <v>-4.4787336877718706</v>
      </c>
      <c r="I184" s="181">
        <f t="shared" si="377"/>
        <v>-11.365781990521327</v>
      </c>
      <c r="J184" s="181">
        <f t="shared" si="377"/>
        <v>-60.204236006051438</v>
      </c>
      <c r="K184" s="181">
        <f t="shared" si="377"/>
        <v>283.1343283582089</v>
      </c>
      <c r="L184" s="181">
        <f t="shared" si="377"/>
        <v>48.782484531175633</v>
      </c>
      <c r="M184" s="181">
        <f t="shared" si="377"/>
        <v>5.9300854419980276</v>
      </c>
      <c r="N184" s="181">
        <f t="shared" si="377"/>
        <v>-2.9675353345682458</v>
      </c>
      <c r="O184" s="181">
        <f t="shared" si="377"/>
        <v>-2.7380957831601114</v>
      </c>
      <c r="P184" s="181">
        <f t="shared" si="377"/>
        <v>-1.91756795097316</v>
      </c>
      <c r="Q184" s="181">
        <f t="shared" ref="Q184" si="378">Q176/Q65</f>
        <v>-1.7042848006821574</v>
      </c>
      <c r="R184" s="118">
        <f t="shared" ref="R184:R187" si="379">((P184/G184)^(1/($H$2-$H$1) ))-1</f>
        <v>0.10012838400058333</v>
      </c>
      <c r="S184" s="128"/>
      <c r="T184" s="134">
        <f t="shared" ref="T184:AC184" si="380">T176/T65</f>
        <v>-2.2627064977616711</v>
      </c>
      <c r="U184" s="134">
        <f t="shared" si="380"/>
        <v>-2.2502616120239822</v>
      </c>
      <c r="V184" s="134">
        <f t="shared" si="380"/>
        <v>-2.2378851731578502</v>
      </c>
      <c r="W184" s="134">
        <f t="shared" si="380"/>
        <v>-2.2255768047054811</v>
      </c>
      <c r="X184" s="134">
        <f t="shared" si="380"/>
        <v>-2.2133361322796015</v>
      </c>
      <c r="Y184" s="134">
        <f t="shared" si="380"/>
        <v>-2.2011627835520637</v>
      </c>
      <c r="Z184" s="134">
        <f t="shared" si="380"/>
        <v>-2.1890563882425278</v>
      </c>
      <c r="AA184" s="134">
        <f t="shared" si="380"/>
        <v>-2.1770165781071937</v>
      </c>
      <c r="AB184" s="134">
        <f t="shared" si="380"/>
        <v>-2.1650429869276042</v>
      </c>
      <c r="AC184" s="134">
        <f t="shared" si="380"/>
        <v>-2.1531352504995032</v>
      </c>
      <c r="AD184" s="137">
        <f t="shared" ref="AD184" si="381">((AC184/G184)^(1/($AC$3-$H$1) ))-1</f>
        <v>5.4964176169158607E-2</v>
      </c>
      <c r="AE184" s="31">
        <v>0.08</v>
      </c>
      <c r="AF184" s="127">
        <f t="shared" si="352"/>
        <v>-22.714805557239835</v>
      </c>
    </row>
    <row r="185" spans="2:32" x14ac:dyDescent="0.2">
      <c r="B185" s="20" t="s">
        <v>369</v>
      </c>
      <c r="C185" s="160"/>
      <c r="D185" s="160"/>
      <c r="E185" s="160"/>
      <c r="F185" s="160"/>
      <c r="G185" s="160">
        <f t="shared" ref="G185:P185" si="382">G57/G176</f>
        <v>0.42093901780895843</v>
      </c>
      <c r="H185" s="160">
        <f t="shared" si="382"/>
        <v>6.599039551071062E-2</v>
      </c>
      <c r="I185" s="160">
        <f t="shared" si="382"/>
        <v>5.7098855520992309E-2</v>
      </c>
      <c r="J185" s="160">
        <f t="shared" si="382"/>
        <v>3.4426435481844452E-2</v>
      </c>
      <c r="K185" s="160">
        <f t="shared" si="382"/>
        <v>4.8911815648768737E-2</v>
      </c>
      <c r="L185" s="160">
        <f t="shared" si="382"/>
        <v>7.8484174374585325E-2</v>
      </c>
      <c r="M185" s="160">
        <f t="shared" si="382"/>
        <v>8.6504758870062759E-2</v>
      </c>
      <c r="N185" s="160">
        <f t="shared" si="382"/>
        <v>6.1335162072586352E-2</v>
      </c>
      <c r="O185" s="160">
        <f t="shared" si="382"/>
        <v>1.8535936892534209E-2</v>
      </c>
      <c r="P185" s="160">
        <f t="shared" si="382"/>
        <v>2.2430481781891679E-2</v>
      </c>
      <c r="Q185" s="160">
        <f t="shared" ref="Q185" si="383">Q57/Q176</f>
        <v>3.7762045329464151E-2</v>
      </c>
      <c r="R185" s="118">
        <f t="shared" si="379"/>
        <v>-0.25413205693813545</v>
      </c>
      <c r="S185" s="128"/>
      <c r="T185" s="160">
        <f t="shared" ref="T185:AC185" si="384">T57/T176</f>
        <v>2.8442610635246026E-2</v>
      </c>
      <c r="U185" s="160">
        <f t="shared" si="384"/>
        <v>2.8599910141021645E-2</v>
      </c>
      <c r="V185" s="160">
        <f t="shared" si="384"/>
        <v>2.8758079578704521E-2</v>
      </c>
      <c r="W185" s="160">
        <f t="shared" si="384"/>
        <v>2.891712375938112E-2</v>
      </c>
      <c r="X185" s="160">
        <f t="shared" si="384"/>
        <v>2.9077047520745219E-2</v>
      </c>
      <c r="Y185" s="160">
        <f t="shared" si="384"/>
        <v>2.923785572724507E-2</v>
      </c>
      <c r="Z185" s="160">
        <f t="shared" si="384"/>
        <v>2.9399553270231339E-2</v>
      </c>
      <c r="AA185" s="160">
        <f t="shared" si="384"/>
        <v>2.9562145068105922E-2</v>
      </c>
      <c r="AB185" s="160">
        <f t="shared" si="384"/>
        <v>2.9725636066471516E-2</v>
      </c>
      <c r="AC185" s="160">
        <f t="shared" si="384"/>
        <v>2.9890031238282062E-2</v>
      </c>
      <c r="AD185" s="137">
        <f t="shared" ref="AD185:AD187" si="385">((AC185/G185)^(1/($AC$3-$H$1) ))-1</f>
        <v>-0.12387643981142837</v>
      </c>
      <c r="AE185" s="31">
        <v>0.08</v>
      </c>
      <c r="AF185" s="127">
        <f t="shared" si="352"/>
        <v>0.26187360582631303</v>
      </c>
    </row>
    <row r="186" spans="2:32" x14ac:dyDescent="0.2">
      <c r="B186" s="20" t="s">
        <v>318</v>
      </c>
      <c r="C186" s="151"/>
      <c r="D186" s="151"/>
      <c r="E186" s="151"/>
      <c r="F186" s="151"/>
      <c r="G186" s="151">
        <f t="shared" ref="G186:P186" si="386">G44/G176</f>
        <v>1.3333333333333334E-4</v>
      </c>
      <c r="H186" s="151">
        <f t="shared" si="386"/>
        <v>0</v>
      </c>
      <c r="I186" s="151">
        <f t="shared" si="386"/>
        <v>0</v>
      </c>
      <c r="J186" s="151">
        <f t="shared" si="386"/>
        <v>0</v>
      </c>
      <c r="K186" s="151">
        <f t="shared" si="386"/>
        <v>0</v>
      </c>
      <c r="L186" s="151">
        <f t="shared" si="386"/>
        <v>3.7037037037037038E-3</v>
      </c>
      <c r="M186" s="151">
        <f t="shared" si="386"/>
        <v>3.5087719298245615E-3</v>
      </c>
      <c r="N186" s="151">
        <f t="shared" si="386"/>
        <v>3.246753246753247E-3</v>
      </c>
      <c r="O186" s="151">
        <f t="shared" si="386"/>
        <v>3.1746031746031746E-3</v>
      </c>
      <c r="P186" s="151">
        <f t="shared" si="386"/>
        <v>3.7453183520599251E-3</v>
      </c>
      <c r="Q186" s="151">
        <f t="shared" ref="Q186" si="387">Q44/Q176</f>
        <v>9.0000000000000011E-3</v>
      </c>
      <c r="R186" s="118">
        <f t="shared" si="379"/>
        <v>0.3959022272660917</v>
      </c>
      <c r="S186" s="128"/>
      <c r="T186" s="151">
        <f t="shared" ref="T186:AC186" si="388">T44/T176</f>
        <v>6.0501296456352644E-3</v>
      </c>
      <c r="U186" s="151">
        <f t="shared" si="388"/>
        <v>5.4296035281342116E-3</v>
      </c>
      <c r="V186" s="151">
        <f t="shared" si="388"/>
        <v>4.8727211149922414E-3</v>
      </c>
      <c r="W186" s="151">
        <f t="shared" si="388"/>
        <v>4.3729548467879098E-3</v>
      </c>
      <c r="X186" s="151">
        <f t="shared" si="388"/>
        <v>3.9244466573737655E-3</v>
      </c>
      <c r="Y186" s="151">
        <f t="shared" si="388"/>
        <v>3.5219393078995335E-3</v>
      </c>
      <c r="Z186" s="151">
        <f t="shared" si="388"/>
        <v>3.1607147634995815E-3</v>
      </c>
      <c r="AA186" s="151">
        <f t="shared" si="388"/>
        <v>2.8365388903201375E-3</v>
      </c>
      <c r="AB186" s="151">
        <f t="shared" si="388"/>
        <v>2.5456118246462772E-3</v>
      </c>
      <c r="AC186" s="151">
        <f t="shared" si="388"/>
        <v>2.2845234323748643E-3</v>
      </c>
      <c r="AD186" s="137">
        <f t="shared" si="385"/>
        <v>0.15263776320719535</v>
      </c>
      <c r="AE186" s="31">
        <v>0.08</v>
      </c>
      <c r="AF186" s="127">
        <f t="shared" si="352"/>
        <v>2.633227979086988E-2</v>
      </c>
    </row>
    <row r="187" spans="2:32" x14ac:dyDescent="0.2">
      <c r="B187" s="20" t="s">
        <v>444</v>
      </c>
      <c r="C187" s="180"/>
      <c r="D187" s="180"/>
      <c r="E187" s="180"/>
      <c r="F187" s="180"/>
      <c r="G187" s="180">
        <f t="shared" ref="G187:O187" si="389">(G178)/($L$2*100)</f>
        <v>0.11878205128205128</v>
      </c>
      <c r="H187" s="180">
        <f t="shared" si="389"/>
        <v>0.75768601798855273</v>
      </c>
      <c r="I187" s="180">
        <f t="shared" si="389"/>
        <v>0.87567429406037012</v>
      </c>
      <c r="J187" s="180">
        <f t="shared" si="389"/>
        <v>1.4523722627737228</v>
      </c>
      <c r="K187" s="180">
        <f t="shared" si="389"/>
        <v>1.0222478829869128</v>
      </c>
      <c r="L187" s="180">
        <f t="shared" si="389"/>
        <v>0.63707110890104424</v>
      </c>
      <c r="M187" s="180">
        <f t="shared" si="389"/>
        <v>0.57800288276745682</v>
      </c>
      <c r="N187" s="180">
        <f t="shared" si="389"/>
        <v>0.81519308518053823</v>
      </c>
      <c r="O187" s="180">
        <f t="shared" si="389"/>
        <v>2.697462787550744</v>
      </c>
      <c r="P187" s="180">
        <f>(P178)/($L$2*100)</f>
        <v>2.2291094986807387</v>
      </c>
      <c r="Q187" s="180">
        <f>(Q178)/($L$2*100)</f>
        <v>1.3240808214640611</v>
      </c>
      <c r="R187" s="118">
        <f t="shared" si="379"/>
        <v>0.34071990799724849</v>
      </c>
      <c r="S187" s="128"/>
      <c r="T187" s="180">
        <f>(T178)/($L$2*100)</f>
        <v>1.7579258332229215</v>
      </c>
      <c r="U187" s="180">
        <f t="shared" ref="U187:AC187" si="390">(U178)/($L$2*100)</f>
        <v>1.7482572411401953</v>
      </c>
      <c r="V187" s="180">
        <f t="shared" si="390"/>
        <v>1.7386418263139245</v>
      </c>
      <c r="W187" s="180">
        <f t="shared" si="390"/>
        <v>1.7290792962691977</v>
      </c>
      <c r="X187" s="180">
        <f t="shared" si="390"/>
        <v>1.7195693601397171</v>
      </c>
      <c r="Y187" s="180">
        <f t="shared" si="390"/>
        <v>1.7101117286589484</v>
      </c>
      <c r="Z187" s="180">
        <f t="shared" si="390"/>
        <v>1.7007061141513244</v>
      </c>
      <c r="AA187" s="180">
        <f t="shared" si="390"/>
        <v>1.691352230523492</v>
      </c>
      <c r="AB187" s="180">
        <f t="shared" si="390"/>
        <v>1.6820497932556129</v>
      </c>
      <c r="AC187" s="180">
        <f t="shared" si="390"/>
        <v>1.6727985193927073</v>
      </c>
      <c r="AD187" s="137">
        <f t="shared" si="385"/>
        <v>0.14139151763566993</v>
      </c>
      <c r="AE187" s="31">
        <v>0.08</v>
      </c>
      <c r="AF187" s="180">
        <f>(AF178)/($L$2*100)</f>
        <v>19.093180407483437</v>
      </c>
    </row>
    <row r="188" spans="2:32" x14ac:dyDescent="0.2">
      <c r="B188" s="20" t="s">
        <v>445</v>
      </c>
      <c r="C188" s="151"/>
      <c r="D188" s="151"/>
      <c r="E188" s="151"/>
      <c r="F188" s="151"/>
      <c r="G188" s="151">
        <f t="shared" ref="G188:P188" si="391">G187-1</f>
        <v>-0.88121794871794867</v>
      </c>
      <c r="H188" s="151">
        <f t="shared" si="391"/>
        <v>-0.24231398201144727</v>
      </c>
      <c r="I188" s="151">
        <f t="shared" si="391"/>
        <v>-0.12432570593962988</v>
      </c>
      <c r="J188" s="151">
        <f t="shared" si="391"/>
        <v>0.45237226277372278</v>
      </c>
      <c r="K188" s="151">
        <f t="shared" si="391"/>
        <v>2.2247882986912826E-2</v>
      </c>
      <c r="L188" s="151">
        <f t="shared" si="391"/>
        <v>-0.36292889109895576</v>
      </c>
      <c r="M188" s="151">
        <f t="shared" si="391"/>
        <v>-0.42199711723254318</v>
      </c>
      <c r="N188" s="151">
        <f t="shared" si="391"/>
        <v>-0.18480691481946177</v>
      </c>
      <c r="O188" s="151">
        <f t="shared" si="391"/>
        <v>1.697462787550744</v>
      </c>
      <c r="P188" s="151">
        <f t="shared" si="391"/>
        <v>1.2291094986807387</v>
      </c>
      <c r="Q188" s="151">
        <f>Q187-1</f>
        <v>0.32408082146406114</v>
      </c>
      <c r="R188" s="128"/>
      <c r="S188" s="128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6"/>
      <c r="AE188" s="20"/>
      <c r="AF188" s="127"/>
    </row>
    <row r="189" spans="2:32" x14ac:dyDescent="0.2">
      <c r="B189" s="20"/>
      <c r="C189" s="129"/>
      <c r="D189" s="129"/>
      <c r="E189" s="129"/>
      <c r="F189" s="129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28"/>
      <c r="S189" s="128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6"/>
      <c r="AE189" s="20"/>
      <c r="AF189" s="20"/>
    </row>
    <row r="190" spans="2:32" x14ac:dyDescent="0.2">
      <c r="B190" s="108" t="s">
        <v>300</v>
      </c>
      <c r="C190" s="20"/>
      <c r="D190" s="20"/>
      <c r="E190" s="20"/>
      <c r="F190" s="20"/>
      <c r="G190" s="20"/>
      <c r="H190" s="20"/>
      <c r="I190" s="20"/>
      <c r="J190" s="20"/>
      <c r="K190" s="208" t="s">
        <v>349</v>
      </c>
      <c r="L190" s="209"/>
      <c r="M190" s="20"/>
      <c r="N190" s="20"/>
      <c r="O190" s="20"/>
      <c r="P190" s="108" t="s">
        <v>428</v>
      </c>
      <c r="Q190" s="197" t="s">
        <v>427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 x14ac:dyDescent="0.2">
      <c r="B191" s="20" t="s">
        <v>298</v>
      </c>
      <c r="C191" s="20" t="s">
        <v>312</v>
      </c>
      <c r="D191" s="20"/>
      <c r="E191" s="20"/>
      <c r="F191" s="20"/>
      <c r="G191" s="20"/>
      <c r="H191" s="20"/>
      <c r="I191" s="20"/>
      <c r="J191" s="20"/>
      <c r="K191" s="20" t="s">
        <v>350</v>
      </c>
      <c r="L191" s="22">
        <v>1</v>
      </c>
      <c r="M191" s="20"/>
      <c r="N191" s="20"/>
      <c r="O191" s="20"/>
      <c r="P191" s="128">
        <f>(Q176-S163)/Q176</f>
        <v>0.89556159903131627</v>
      </c>
      <c r="Q191" s="128">
        <f>(Q176-T163)/Q176</f>
        <v>0.92225742614802741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 x14ac:dyDescent="0.2">
      <c r="B192" s="20" t="s">
        <v>347</v>
      </c>
      <c r="C192" s="20" t="s">
        <v>312</v>
      </c>
      <c r="D192" s="20"/>
      <c r="E192" s="20"/>
      <c r="F192" s="20"/>
      <c r="G192" s="20"/>
      <c r="H192" s="20"/>
      <c r="I192" s="20"/>
      <c r="J192" s="20"/>
      <c r="K192" s="171">
        <f>$L$191</f>
        <v>1</v>
      </c>
      <c r="L192" s="20"/>
      <c r="M192" s="128">
        <f>(P176-(K192*S154))/P176</f>
        <v>5.5686500748713232</v>
      </c>
      <c r="N192" s="20"/>
      <c r="O192" s="20"/>
      <c r="P192" s="128">
        <f>(Q176-S154)/Q176</f>
        <v>7.0991478499532157</v>
      </c>
      <c r="Q192" s="128">
        <f>(Q176-T154)/Q176</f>
        <v>1.6719400173677272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46" x14ac:dyDescent="0.2">
      <c r="B193" s="20" t="s">
        <v>348</v>
      </c>
      <c r="C193" s="20" t="s">
        <v>312</v>
      </c>
      <c r="D193" s="20"/>
      <c r="E193" s="20"/>
      <c r="F193" s="20"/>
      <c r="G193" s="20"/>
      <c r="H193" s="20"/>
      <c r="I193" s="20"/>
      <c r="J193" s="20"/>
      <c r="K193" s="171">
        <f>$L$191</f>
        <v>1</v>
      </c>
      <c r="L193" s="20"/>
      <c r="M193" s="128">
        <f>(P176-(K193*S147))/P176</f>
        <v>-4.8197453394587697</v>
      </c>
      <c r="N193" s="20"/>
      <c r="O193" s="20"/>
      <c r="P193" s="128">
        <f>(Q176-S147)/Q176</f>
        <v>-6.7693600281774566</v>
      </c>
      <c r="Q193" s="128">
        <f>(Q176-T147)/Q176</f>
        <v>0.1440535562177378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46" x14ac:dyDescent="0.2">
      <c r="B194" s="20" t="s">
        <v>351</v>
      </c>
      <c r="C194" s="20" t="s">
        <v>312</v>
      </c>
      <c r="D194" s="20"/>
      <c r="E194" s="20"/>
      <c r="F194" s="20"/>
      <c r="G194" s="20"/>
      <c r="H194" s="20"/>
      <c r="I194" s="20"/>
      <c r="J194" s="20"/>
      <c r="K194" s="171">
        <f>$L$191</f>
        <v>1</v>
      </c>
      <c r="L194" s="20"/>
      <c r="M194" s="128">
        <f>(P176-(K194*S160))/P176</f>
        <v>0.37756997523249525</v>
      </c>
      <c r="N194" s="20"/>
      <c r="O194" s="20"/>
      <c r="P194" s="128">
        <f>(Q176-S160)/Q176</f>
        <v>0.16905591693538113</v>
      </c>
      <c r="Q194" s="128">
        <f>(Q176-T160)/Q176</f>
        <v>0.90845531288271142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46" x14ac:dyDescent="0.2">
      <c r="B195" s="20" t="s">
        <v>397</v>
      </c>
      <c r="C195" s="20" t="s">
        <v>312</v>
      </c>
      <c r="D195" s="20"/>
      <c r="E195" s="20"/>
      <c r="F195" s="20"/>
      <c r="G195" s="20"/>
      <c r="H195" s="20"/>
      <c r="I195" s="20"/>
      <c r="J195" s="20"/>
      <c r="K195" s="171">
        <f>$L$191</f>
        <v>1</v>
      </c>
      <c r="L195" s="20"/>
      <c r="M195" s="128">
        <f>(P176-(K195*S173))/P176</f>
        <v>0.84912871197735229</v>
      </c>
      <c r="N195" s="20"/>
      <c r="O195" s="20"/>
      <c r="P195" s="128">
        <f>(Q176-S173)/Q176</f>
        <v>0.79858683048976531</v>
      </c>
      <c r="Q195" s="128">
        <f>(Q176-T173)/Q176</f>
        <v>0.85007068223780491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36"/>
      <c r="AE195" s="20"/>
      <c r="AF195" s="20"/>
    </row>
    <row r="196" spans="2:46" x14ac:dyDescent="0.2">
      <c r="B196" s="20" t="s">
        <v>299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5">
        <f>Q176/S146</f>
        <v>2.5476112538155236</v>
      </c>
      <c r="Q196" s="25">
        <f>Q176/T146</f>
        <v>23.124471380787057</v>
      </c>
      <c r="R196" s="20"/>
      <c r="S196" s="20"/>
      <c r="T196" s="115" t="s">
        <v>11</v>
      </c>
      <c r="U196" s="115" t="s">
        <v>12</v>
      </c>
      <c r="V196" s="115" t="s">
        <v>13</v>
      </c>
      <c r="W196" s="115" t="s">
        <v>14</v>
      </c>
      <c r="X196" s="115" t="s">
        <v>15</v>
      </c>
      <c r="Y196" s="115" t="s">
        <v>234</v>
      </c>
      <c r="Z196" s="115" t="s">
        <v>235</v>
      </c>
      <c r="AA196" s="115" t="s">
        <v>236</v>
      </c>
      <c r="AB196" s="115" t="s">
        <v>237</v>
      </c>
      <c r="AC196" s="115" t="s">
        <v>238</v>
      </c>
      <c r="AD196" s="115" t="s">
        <v>405</v>
      </c>
      <c r="AE196" s="115" t="s">
        <v>406</v>
      </c>
      <c r="AF196" s="115" t="s">
        <v>407</v>
      </c>
      <c r="AG196" s="115" t="s">
        <v>408</v>
      </c>
      <c r="AH196" s="115" t="s">
        <v>409</v>
      </c>
      <c r="AI196" s="115" t="s">
        <v>410</v>
      </c>
      <c r="AJ196" s="115" t="s">
        <v>411</v>
      </c>
      <c r="AK196" s="115" t="s">
        <v>412</v>
      </c>
      <c r="AL196" s="115" t="s">
        <v>413</v>
      </c>
      <c r="AM196" s="115" t="s">
        <v>414</v>
      </c>
      <c r="AN196" s="115" t="s">
        <v>415</v>
      </c>
      <c r="AO196" s="115" t="s">
        <v>416</v>
      </c>
      <c r="AP196" s="115" t="s">
        <v>417</v>
      </c>
      <c r="AQ196" s="115" t="s">
        <v>418</v>
      </c>
      <c r="AR196" s="115" t="s">
        <v>419</v>
      </c>
      <c r="AS196" s="115" t="s">
        <v>420</v>
      </c>
      <c r="AT196" s="115" t="s">
        <v>421</v>
      </c>
    </row>
    <row r="197" spans="2:46" x14ac:dyDescent="0.2">
      <c r="B197" s="20" t="s">
        <v>369</v>
      </c>
      <c r="C197" s="20"/>
      <c r="D197" s="20"/>
      <c r="E197" s="20"/>
      <c r="F197" s="20"/>
      <c r="G197" s="188" t="s">
        <v>446</v>
      </c>
      <c r="H197" s="189"/>
      <c r="I197" s="188" t="s">
        <v>447</v>
      </c>
      <c r="J197" s="189"/>
      <c r="K197" s="20"/>
      <c r="L197" s="188" t="s">
        <v>448</v>
      </c>
      <c r="M197" s="189"/>
      <c r="N197" s="188" t="s">
        <v>449</v>
      </c>
      <c r="O197" s="189"/>
      <c r="P197" s="151">
        <f>1/P196</f>
        <v>0.39252456531675045</v>
      </c>
      <c r="Q197" s="151">
        <f>1/Q196</f>
        <v>4.324423177218438E-2</v>
      </c>
      <c r="R197" s="20"/>
      <c r="S197" s="20"/>
      <c r="T197" s="129">
        <f>Q176-T198</f>
        <v>179.93050217990179</v>
      </c>
      <c r="U197" s="184">
        <f>T197-U198</f>
        <v>158.85752946879867</v>
      </c>
      <c r="V197" s="184">
        <f t="shared" ref="V197:X197" si="392">U197-V198</f>
        <v>136.73090812214042</v>
      </c>
      <c r="W197" s="184">
        <f t="shared" si="392"/>
        <v>113.49795570814923</v>
      </c>
      <c r="X197" s="184">
        <f t="shared" si="392"/>
        <v>89.103355673458495</v>
      </c>
      <c r="Y197" s="184">
        <f>X197-Y198</f>
        <v>63.489025637033208</v>
      </c>
      <c r="Z197" s="184">
        <f t="shared" ref="Z197:AC197" si="393">Y197-Z198</f>
        <v>36.593979098786662</v>
      </c>
      <c r="AA197" s="184">
        <f t="shared" si="393"/>
        <v>8.3541802336277868</v>
      </c>
      <c r="AB197" s="184">
        <f t="shared" si="393"/>
        <v>-21.297608574789034</v>
      </c>
      <c r="AC197" s="184">
        <f t="shared" si="393"/>
        <v>-52.431986823626701</v>
      </c>
      <c r="AD197" s="184">
        <f t="shared" ref="AD197" si="394">AC197-AD198</f>
        <v>-85.123083984906259</v>
      </c>
      <c r="AE197" s="184">
        <f t="shared" ref="AE197" si="395">AD197-AE198</f>
        <v>-119.44873600424978</v>
      </c>
      <c r="AF197" s="184">
        <f t="shared" ref="AF197" si="396">AE197-AF198</f>
        <v>-155.49067062456049</v>
      </c>
      <c r="AG197" s="184">
        <f t="shared" ref="AG197" si="397">AF197-AG198</f>
        <v>-193.33470197588673</v>
      </c>
      <c r="AH197" s="184">
        <f t="shared" ref="AH197" si="398">AG197-AH198</f>
        <v>-233.07093489477927</v>
      </c>
      <c r="AI197" s="184">
        <f t="shared" ref="AI197" si="399">AH197-AI198</f>
        <v>-274.79397945961648</v>
      </c>
      <c r="AJ197" s="184">
        <f t="shared" ref="AJ197" si="400">AI197-AJ198</f>
        <v>-318.6031762526955</v>
      </c>
      <c r="AK197" s="184">
        <f t="shared" ref="AK197" si="401">AJ197-AK198</f>
        <v>-364.60283288542848</v>
      </c>
      <c r="AL197" s="184">
        <f t="shared" ref="AL197" si="402">AK197-AL198</f>
        <v>-412.90247234979813</v>
      </c>
      <c r="AM197" s="184">
        <f t="shared" ref="AM197" si="403">AL197-AM198</f>
        <v>-463.61709378738624</v>
      </c>
      <c r="AN197" s="184">
        <f t="shared" ref="AN197" si="404">AM197-AN198</f>
        <v>-516.86744629685381</v>
      </c>
      <c r="AO197" s="184">
        <f t="shared" ref="AO197" si="405">AN197-AO198</f>
        <v>-572.78031643179474</v>
      </c>
      <c r="AP197" s="184">
        <f t="shared" ref="AP197" si="406">AO197-AP198</f>
        <v>-631.48883007348275</v>
      </c>
      <c r="AQ197" s="184">
        <f t="shared" ref="AQ197" si="407">AP197-AQ198</f>
        <v>-693.13276939725506</v>
      </c>
      <c r="AR197" s="184">
        <f t="shared" ref="AR197" si="408">AQ197-AR198</f>
        <v>-757.85890568721607</v>
      </c>
      <c r="AS197" s="184">
        <f t="shared" ref="AS197" si="409">AR197-AS198</f>
        <v>-825.82134879167506</v>
      </c>
      <c r="AT197" s="184">
        <f t="shared" ref="AT197" si="410">AS197-AT198</f>
        <v>-897.18191405135701</v>
      </c>
    </row>
    <row r="198" spans="2:46" x14ac:dyDescent="0.2">
      <c r="B198" s="20" t="s">
        <v>394</v>
      </c>
      <c r="C198" s="20"/>
      <c r="D198" s="20"/>
      <c r="E198" s="20"/>
      <c r="F198" s="20"/>
      <c r="G198" s="190">
        <v>0</v>
      </c>
      <c r="H198" s="189"/>
      <c r="I198" s="190">
        <v>0.05</v>
      </c>
      <c r="J198" s="189"/>
      <c r="K198" s="183">
        <f>P1</f>
        <v>0.05</v>
      </c>
      <c r="L198" s="190">
        <v>0.12</v>
      </c>
      <c r="M198" s="189"/>
      <c r="N198" s="190">
        <v>0.2</v>
      </c>
      <c r="O198" s="189"/>
      <c r="P198" s="180">
        <f>Q176/R145</f>
        <v>10.463639991514867</v>
      </c>
      <c r="Q198" s="180">
        <f>Q176/R145</f>
        <v>10.463639991514867</v>
      </c>
      <c r="R198" s="20"/>
      <c r="S198" s="20"/>
      <c r="T198" s="185">
        <f>R145*(1+$K$198)</f>
        <v>20.069497820098203</v>
      </c>
      <c r="U198" s="185">
        <f>T198*(1+$K$198)</f>
        <v>21.072972711103112</v>
      </c>
      <c r="V198" s="185">
        <f t="shared" ref="V198:AC198" si="411">U198*(1+$K$198)</f>
        <v>22.126621346658268</v>
      </c>
      <c r="W198" s="185">
        <f t="shared" si="411"/>
        <v>23.232952413991182</v>
      </c>
      <c r="X198" s="185">
        <f t="shared" si="411"/>
        <v>24.394600034690743</v>
      </c>
      <c r="Y198" s="185">
        <f t="shared" si="411"/>
        <v>25.614330036425283</v>
      </c>
      <c r="Z198" s="185">
        <f t="shared" si="411"/>
        <v>26.895046538246547</v>
      </c>
      <c r="AA198" s="185">
        <f t="shared" si="411"/>
        <v>28.239798865158875</v>
      </c>
      <c r="AB198" s="185">
        <f t="shared" si="411"/>
        <v>29.651788808416821</v>
      </c>
      <c r="AC198" s="185">
        <f t="shared" si="411"/>
        <v>31.134378248837663</v>
      </c>
      <c r="AD198" s="185">
        <f t="shared" ref="AD198" si="412">AC198*(1+$K$198)</f>
        <v>32.691097161279551</v>
      </c>
      <c r="AE198" s="185">
        <f t="shared" ref="AE198" si="413">AD198*(1+$K$198)</f>
        <v>34.325652019343529</v>
      </c>
      <c r="AF198" s="185">
        <f t="shared" ref="AF198" si="414">AE198*(1+$K$198)</f>
        <v>36.041934620310705</v>
      </c>
      <c r="AG198" s="185">
        <f t="shared" ref="AG198" si="415">AF198*(1+$K$198)</f>
        <v>37.844031351326244</v>
      </c>
      <c r="AH198" s="185">
        <f t="shared" ref="AH198" si="416">AG198*(1+$K$198)</f>
        <v>39.736232918892554</v>
      </c>
      <c r="AI198" s="185">
        <f t="shared" ref="AI198" si="417">AH198*(1+$K$198)</f>
        <v>41.723044564837181</v>
      </c>
      <c r="AJ198" s="185">
        <f t="shared" ref="AJ198" si="418">AI198*(1+$K$198)</f>
        <v>43.809196793079039</v>
      </c>
      <c r="AK198" s="185">
        <f t="shared" ref="AK198" si="419">AJ198*(1+$K$198)</f>
        <v>45.999656632732993</v>
      </c>
      <c r="AL198" s="185">
        <f t="shared" ref="AL198" si="420">AK198*(1+$K$198)</f>
        <v>48.299639464369648</v>
      </c>
      <c r="AM198" s="185">
        <f t="shared" ref="AM198" si="421">AL198*(1+$K$198)</f>
        <v>50.714621437588136</v>
      </c>
      <c r="AN198" s="185">
        <f t="shared" ref="AN198" si="422">AM198*(1+$K$198)</f>
        <v>53.250352509467547</v>
      </c>
      <c r="AO198" s="185">
        <f t="shared" ref="AO198" si="423">AN198*(1+$K$198)</f>
        <v>55.912870134940924</v>
      </c>
      <c r="AP198" s="185">
        <f t="shared" ref="AP198" si="424">AO198*(1+$K$198)</f>
        <v>58.708513641687972</v>
      </c>
      <c r="AQ198" s="185">
        <f t="shared" ref="AQ198" si="425">AP198*(1+$K$198)</f>
        <v>61.643939323772372</v>
      </c>
      <c r="AR198" s="185">
        <f t="shared" ref="AR198" si="426">AQ198*(1+$K$198)</f>
        <v>64.726136289960991</v>
      </c>
      <c r="AS198" s="185">
        <f t="shared" ref="AS198" si="427">AR198*(1+$K$198)</f>
        <v>67.962443104459041</v>
      </c>
      <c r="AT198" s="185">
        <f t="shared" ref="AT198" si="428">AS198*(1+$K$198)</f>
        <v>71.360565259681991</v>
      </c>
    </row>
    <row r="199" spans="2:46" x14ac:dyDescent="0.2">
      <c r="B199" s="20" t="s">
        <v>393</v>
      </c>
      <c r="C199" s="20"/>
      <c r="D199" s="20"/>
      <c r="E199" s="23" t="s">
        <v>389</v>
      </c>
      <c r="F199" s="22">
        <v>160</v>
      </c>
      <c r="G199" s="190">
        <v>0</v>
      </c>
      <c r="H199" s="191">
        <v>21</v>
      </c>
      <c r="I199" s="190">
        <v>0.05</v>
      </c>
      <c r="J199" s="189">
        <v>14</v>
      </c>
      <c r="K199" s="183">
        <v>0.2</v>
      </c>
      <c r="L199" s="190">
        <v>0.12</v>
      </c>
      <c r="M199" s="189">
        <v>11</v>
      </c>
      <c r="N199" s="190">
        <v>0.2</v>
      </c>
      <c r="O199" s="189">
        <v>8</v>
      </c>
      <c r="P199" s="180">
        <f>Q176/Q57</f>
        <v>26.481616429281221</v>
      </c>
      <c r="Q199" s="180">
        <f>Q176/Q57</f>
        <v>26.481616429281221</v>
      </c>
      <c r="R199" s="20"/>
      <c r="S199" s="20"/>
      <c r="T199" s="185">
        <f>Q57*(1+$K$199)</f>
        <v>9.0628908790713947</v>
      </c>
      <c r="U199" s="185">
        <f>T199*(1+$K$199)</f>
        <v>10.875469054885674</v>
      </c>
      <c r="V199" s="185">
        <f t="shared" ref="V199:AC199" si="429">U199*(1+$K$199)</f>
        <v>13.050562865862808</v>
      </c>
      <c r="W199" s="185">
        <f t="shared" si="429"/>
        <v>15.660675439035369</v>
      </c>
      <c r="X199" s="185">
        <f t="shared" si="429"/>
        <v>18.792810526842441</v>
      </c>
      <c r="Y199" s="185">
        <f t="shared" si="429"/>
        <v>22.551372632210928</v>
      </c>
      <c r="Z199" s="185">
        <f t="shared" si="429"/>
        <v>27.061647158653113</v>
      </c>
      <c r="AA199" s="185">
        <f t="shared" si="429"/>
        <v>32.473976590383735</v>
      </c>
      <c r="AB199" s="185">
        <f t="shared" si="429"/>
        <v>38.968771908460482</v>
      </c>
      <c r="AC199" s="185">
        <f t="shared" si="429"/>
        <v>46.762526290152579</v>
      </c>
      <c r="AD199" s="185">
        <f t="shared" ref="AD199" si="430">AC199*(1+$K$199)</f>
        <v>56.11503154818309</v>
      </c>
      <c r="AE199" s="185">
        <f t="shared" ref="AE199" si="431">AD199*(1+$K$199)</f>
        <v>67.3380378578197</v>
      </c>
      <c r="AF199" s="185">
        <f t="shared" ref="AF199" si="432">AE199*(1+$K$199)</f>
        <v>80.805645429383631</v>
      </c>
      <c r="AG199" s="185">
        <f t="shared" ref="AG199" si="433">AF199*(1+$K$199)</f>
        <v>96.966774515260354</v>
      </c>
      <c r="AH199" s="185">
        <f t="shared" ref="AH199" si="434">AG199*(1+$K$199)</f>
        <v>116.36012941831243</v>
      </c>
      <c r="AI199" s="185">
        <f t="shared" ref="AI199" si="435">AH199*(1+$K$199)</f>
        <v>139.6321553019749</v>
      </c>
      <c r="AJ199" s="185">
        <f t="shared" ref="AJ199" si="436">AI199*(1+$K$199)</f>
        <v>167.55858636236988</v>
      </c>
      <c r="AK199" s="185">
        <f t="shared" ref="AK199" si="437">AJ199*(1+$K$199)</f>
        <v>201.07030363484384</v>
      </c>
      <c r="AL199" s="185">
        <f t="shared" ref="AL199" si="438">AK199*(1+$K$199)</f>
        <v>241.28436436181261</v>
      </c>
      <c r="AM199" s="185">
        <f t="shared" ref="AM199" si="439">AL199*(1+$K$199)</f>
        <v>289.54123723417513</v>
      </c>
      <c r="AN199" s="185">
        <f t="shared" ref="AN199" si="440">AM199*(1+$K$199)</f>
        <v>347.44948468101012</v>
      </c>
      <c r="AO199" s="185">
        <f t="shared" ref="AO199" si="441">AN199*(1+$K$199)</f>
        <v>416.93938161721212</v>
      </c>
      <c r="AP199" s="185">
        <f t="shared" ref="AP199" si="442">AO199*(1+$K$199)</f>
        <v>500.32725794065453</v>
      </c>
      <c r="AQ199" s="185">
        <f t="shared" ref="AQ199" si="443">AP199*(1+$K$199)</f>
        <v>600.39270952878542</v>
      </c>
      <c r="AR199" s="185">
        <f t="shared" ref="AR199" si="444">AQ199*(1+$K$199)</f>
        <v>720.47125143454252</v>
      </c>
      <c r="AS199" s="185">
        <f t="shared" ref="AS199" si="445">AR199*(1+$K$199)</f>
        <v>864.56550172145103</v>
      </c>
      <c r="AT199" s="185">
        <f t="shared" ref="AT199" si="446">AS199*(1+$K$199)</f>
        <v>1037.4786020657411</v>
      </c>
    </row>
    <row r="200" spans="2:46" x14ac:dyDescent="0.2">
      <c r="B200" s="20"/>
      <c r="C200" s="20"/>
      <c r="D200" s="20"/>
      <c r="E200" s="23" t="s">
        <v>452</v>
      </c>
      <c r="F200" s="22"/>
      <c r="G200" s="190">
        <v>0</v>
      </c>
      <c r="H200" s="191"/>
      <c r="I200" s="190">
        <v>0.05</v>
      </c>
      <c r="J200" s="189"/>
      <c r="K200" s="189"/>
      <c r="L200" s="190">
        <v>0.12</v>
      </c>
      <c r="M200" s="189"/>
      <c r="N200" s="190">
        <v>0.2</v>
      </c>
      <c r="O200" s="20"/>
      <c r="P200" s="20"/>
      <c r="Q200" s="20"/>
      <c r="R200" s="20"/>
      <c r="S200" s="20"/>
      <c r="T200" s="129">
        <f>Q176-T199</f>
        <v>190.9371091209286</v>
      </c>
      <c r="U200" s="184">
        <f>T200-U199</f>
        <v>180.06164006604291</v>
      </c>
      <c r="V200" s="184">
        <f t="shared" ref="V200:AA200" si="447">U200-V199</f>
        <v>167.0110772001801</v>
      </c>
      <c r="W200" s="184">
        <f t="shared" si="447"/>
        <v>151.35040176114472</v>
      </c>
      <c r="X200" s="184">
        <f t="shared" si="447"/>
        <v>132.55759123430229</v>
      </c>
      <c r="Y200" s="184">
        <f t="shared" si="447"/>
        <v>110.00621860209137</v>
      </c>
      <c r="Z200" s="184">
        <f t="shared" si="447"/>
        <v>82.94457144343825</v>
      </c>
      <c r="AA200" s="184">
        <f t="shared" si="447"/>
        <v>50.470594853054514</v>
      </c>
      <c r="AB200" s="184">
        <f>AA200-AB199</f>
        <v>11.501822944594032</v>
      </c>
      <c r="AC200" s="184">
        <f t="shared" ref="AC200" si="448">AB200-AC199</f>
        <v>-35.260703345558547</v>
      </c>
      <c r="AD200" s="184">
        <f t="shared" ref="AD200" si="449">AC200-AD199</f>
        <v>-91.375734893741637</v>
      </c>
      <c r="AE200" s="184">
        <f t="shared" ref="AE200" si="450">AD200-AE199</f>
        <v>-158.71377275156135</v>
      </c>
      <c r="AF200" s="184">
        <f t="shared" ref="AF200" si="451">AE200-AF199</f>
        <v>-239.51941818094497</v>
      </c>
      <c r="AG200" s="184">
        <f t="shared" ref="AG200" si="452">AF200-AG199</f>
        <v>-336.48619269620531</v>
      </c>
      <c r="AH200" s="184">
        <f t="shared" ref="AH200" si="453">AG200-AH199</f>
        <v>-452.84632211451776</v>
      </c>
      <c r="AI200" s="184">
        <f t="shared" ref="AI200" si="454">AH200-AI199</f>
        <v>-592.47847741649264</v>
      </c>
      <c r="AJ200" s="184">
        <f t="shared" ref="AJ200" si="455">AI200-AJ199</f>
        <v>-760.03706377886249</v>
      </c>
      <c r="AK200" s="184">
        <f t="shared" ref="AK200" si="456">AJ200-AK199</f>
        <v>-961.10736741370636</v>
      </c>
      <c r="AL200" s="184">
        <f t="shared" ref="AL200" si="457">AK200-AL199</f>
        <v>-1202.391731775519</v>
      </c>
      <c r="AM200" s="184">
        <f t="shared" ref="AM200" si="458">AL200-AM199</f>
        <v>-1491.9329690096943</v>
      </c>
      <c r="AN200" s="184">
        <f t="shared" ref="AN200" si="459">AM200-AN199</f>
        <v>-1839.3824536907043</v>
      </c>
      <c r="AO200" s="184">
        <f t="shared" ref="AO200" si="460">AN200-AO199</f>
        <v>-2256.3218353079164</v>
      </c>
      <c r="AP200" s="184">
        <f t="shared" ref="AP200" si="461">AO200-AP199</f>
        <v>-2756.6490932485708</v>
      </c>
      <c r="AQ200" s="184">
        <f t="shared" ref="AQ200" si="462">AP200-AQ199</f>
        <v>-3357.0418027773562</v>
      </c>
      <c r="AR200" s="184">
        <f t="shared" ref="AR200" si="463">AQ200-AR199</f>
        <v>-4077.5130542118986</v>
      </c>
      <c r="AS200" s="184">
        <f t="shared" ref="AS200" si="464">AR200-AS199</f>
        <v>-4942.0785559333499</v>
      </c>
      <c r="AT200" s="184">
        <f t="shared" ref="AT200" si="465">AS200-AT199</f>
        <v>-5979.557157999091</v>
      </c>
    </row>
    <row r="201" spans="2:46" x14ac:dyDescent="0.2">
      <c r="B201" s="108" t="s">
        <v>301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 t="s">
        <v>304</v>
      </c>
      <c r="C202" s="25"/>
      <c r="D202" s="25"/>
      <c r="E202" s="25"/>
      <c r="F202" s="25"/>
      <c r="G202" s="25">
        <f t="shared" ref="G202:P202" si="466">G10/G7</f>
        <v>1.1085161594715736</v>
      </c>
      <c r="H202" s="25">
        <f t="shared" si="466"/>
        <v>1.1027790030877813</v>
      </c>
      <c r="I202" s="25">
        <f t="shared" si="466"/>
        <v>0.64819342569953819</v>
      </c>
      <c r="J202" s="25">
        <f t="shared" si="466"/>
        <v>0.46004526462395545</v>
      </c>
      <c r="K202" s="25">
        <f t="shared" si="466"/>
        <v>0.44195359970539494</v>
      </c>
      <c r="L202" s="25">
        <f t="shared" si="466"/>
        <v>0.4640711367459745</v>
      </c>
      <c r="M202" s="25">
        <f t="shared" si="466"/>
        <v>0.25798685992276443</v>
      </c>
      <c r="N202" s="25">
        <f t="shared" si="466"/>
        <v>1.1616700159947504</v>
      </c>
      <c r="O202" s="25">
        <f t="shared" si="466"/>
        <v>1.3637944320404656</v>
      </c>
      <c r="P202" s="25">
        <f t="shared" si="466"/>
        <v>1.4498916953160708</v>
      </c>
      <c r="Q202" s="25">
        <f t="shared" ref="Q202" si="467">Q10/Q7</f>
        <v>1.2700816654394538</v>
      </c>
      <c r="R202" s="118">
        <f t="shared" ref="R202:R204" si="468">((P202/G202)^(1/($H$2-$H$1) ))-1</f>
        <v>2.7210271380754936E-2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 t="s">
        <v>305</v>
      </c>
      <c r="C203" s="112"/>
      <c r="D203" s="112"/>
      <c r="E203" s="112"/>
      <c r="F203" s="112"/>
      <c r="G203" s="112">
        <f>G10/G12</f>
        <v>34.80740740740741</v>
      </c>
      <c r="H203" s="112">
        <f t="shared" ref="H203:P203" si="469">H10/H12</f>
        <v>12.195121951219512</v>
      </c>
      <c r="I203" s="112">
        <f t="shared" si="469"/>
        <v>13.595441595441596</v>
      </c>
      <c r="J203" s="112">
        <f t="shared" si="469"/>
        <v>6.2103407755581665</v>
      </c>
      <c r="K203" s="112">
        <f t="shared" si="469"/>
        <v>13.657183499288763</v>
      </c>
      <c r="L203" s="112">
        <f t="shared" si="469"/>
        <v>4.8886075949367092</v>
      </c>
      <c r="M203" s="112">
        <f t="shared" si="469"/>
        <v>3.9922390376406676</v>
      </c>
      <c r="N203" s="112">
        <f t="shared" si="469"/>
        <v>59.133611691022963</v>
      </c>
      <c r="O203" s="112">
        <f t="shared" si="469"/>
        <v>34.001477832512315</v>
      </c>
      <c r="P203" s="112">
        <f t="shared" si="469"/>
        <v>42.197802197802197</v>
      </c>
      <c r="Q203" s="112">
        <f t="shared" ref="Q203" si="470">Q10/Q12</f>
        <v>15.23995983935743</v>
      </c>
      <c r="R203" s="118">
        <f t="shared" si="468"/>
        <v>1.9440341429033392E-2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 t="s">
        <v>306</v>
      </c>
      <c r="C204" s="25"/>
      <c r="D204" s="25"/>
      <c r="E204" s="25"/>
      <c r="F204" s="25"/>
      <c r="G204" s="25">
        <f>G10/(G12+G13)</f>
        <v>10.019189765458423</v>
      </c>
      <c r="H204" s="25">
        <f t="shared" ref="H204:P204" si="471">H10/(H12+H13)</f>
        <v>5.6306306306306304</v>
      </c>
      <c r="I204" s="25">
        <f t="shared" si="471"/>
        <v>7.9799331103678925</v>
      </c>
      <c r="J204" s="25">
        <f t="shared" si="471"/>
        <v>5.2955911823647295</v>
      </c>
      <c r="K204" s="25">
        <f t="shared" si="471"/>
        <v>1.7418359941944848</v>
      </c>
      <c r="L204" s="25">
        <f t="shared" si="471"/>
        <v>2.6436534324271466</v>
      </c>
      <c r="M204" s="25">
        <f t="shared" si="471"/>
        <v>1.3293707197312314</v>
      </c>
      <c r="N204" s="25">
        <f t="shared" si="471"/>
        <v>35.854430379746837</v>
      </c>
      <c r="O204" s="25">
        <f t="shared" si="471"/>
        <v>17.951365409622888</v>
      </c>
      <c r="P204" s="25">
        <f t="shared" si="471"/>
        <v>8.5855495410684863</v>
      </c>
      <c r="Q204" s="25">
        <f t="shared" ref="Q204" si="472">Q10/(Q12+Q13)</f>
        <v>3.7003900536323746</v>
      </c>
      <c r="R204" s="118">
        <f t="shared" si="468"/>
        <v>-1.5323553673297297E-2</v>
      </c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73" t="s">
        <v>375</v>
      </c>
      <c r="D207" s="174"/>
      <c r="E207" s="174"/>
      <c r="F207" s="174"/>
      <c r="G207" s="174"/>
      <c r="H207" s="174"/>
      <c r="I207" s="174"/>
      <c r="J207" s="174"/>
      <c r="K207" s="20"/>
      <c r="L207" s="205" t="s">
        <v>335</v>
      </c>
      <c r="M207" s="206"/>
      <c r="N207" s="207"/>
      <c r="O207" s="23" t="s">
        <v>338</v>
      </c>
      <c r="P207" s="20"/>
      <c r="Q207" s="136"/>
      <c r="R207" s="205" t="s">
        <v>336</v>
      </c>
      <c r="S207" s="206"/>
      <c r="T207" s="207"/>
      <c r="U207" s="23" t="s">
        <v>338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5" t="s">
        <v>337</v>
      </c>
      <c r="D208" s="165" t="s">
        <v>0</v>
      </c>
      <c r="E208" s="165" t="s">
        <v>376</v>
      </c>
      <c r="F208" s="165" t="s">
        <v>377</v>
      </c>
      <c r="G208" s="165" t="s">
        <v>378</v>
      </c>
      <c r="H208" s="165" t="s">
        <v>379</v>
      </c>
      <c r="I208" s="165" t="s">
        <v>380</v>
      </c>
      <c r="J208" s="165" t="s">
        <v>381</v>
      </c>
      <c r="K208" s="20"/>
      <c r="L208" s="165" t="s">
        <v>337</v>
      </c>
      <c r="M208" s="165"/>
      <c r="N208" s="165" t="s">
        <v>0</v>
      </c>
      <c r="O208" s="165" t="s">
        <v>370</v>
      </c>
      <c r="P208" s="20"/>
      <c r="Q208" s="20"/>
      <c r="R208" s="165" t="s">
        <v>337</v>
      </c>
      <c r="S208" s="165"/>
      <c r="T208" s="165" t="s">
        <v>0</v>
      </c>
      <c r="U208" s="165" t="s">
        <v>370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6" t="s">
        <v>339</v>
      </c>
      <c r="D209" s="21">
        <v>1</v>
      </c>
      <c r="E209" s="175" t="s">
        <v>382</v>
      </c>
      <c r="F209" s="22">
        <v>0</v>
      </c>
      <c r="G209" s="22">
        <v>1</v>
      </c>
      <c r="H209" s="166">
        <f>F209/G209</f>
        <v>0</v>
      </c>
      <c r="I209" s="166">
        <f>H209*D210</f>
        <v>0</v>
      </c>
      <c r="J209" s="176">
        <f>I209+D210</f>
        <v>1</v>
      </c>
      <c r="K209" s="20"/>
      <c r="L209" s="166" t="s">
        <v>339</v>
      </c>
      <c r="M209" s="166"/>
      <c r="N209" s="21">
        <v>80</v>
      </c>
      <c r="O209" s="172">
        <f>N209</f>
        <v>80</v>
      </c>
      <c r="P209" s="20"/>
      <c r="Q209" s="20"/>
      <c r="R209" s="166" t="s">
        <v>339</v>
      </c>
      <c r="S209" s="166"/>
      <c r="T209" s="21">
        <v>1</v>
      </c>
      <c r="U209" s="172">
        <f>T209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6" t="s">
        <v>340</v>
      </c>
      <c r="D210" s="21">
        <v>1</v>
      </c>
      <c r="E210" s="175" t="s">
        <v>383</v>
      </c>
      <c r="F210" s="22">
        <v>0</v>
      </c>
      <c r="G210" s="22">
        <v>1</v>
      </c>
      <c r="H210" s="166">
        <f>F210/G210</f>
        <v>0</v>
      </c>
      <c r="I210" s="166">
        <f>H210*J209</f>
        <v>0</v>
      </c>
      <c r="J210" s="166">
        <f>I210+J209</f>
        <v>1</v>
      </c>
      <c r="K210" s="20"/>
      <c r="L210" s="166" t="s">
        <v>340</v>
      </c>
      <c r="M210" s="166"/>
      <c r="N210" s="21">
        <v>1</v>
      </c>
      <c r="O210" s="172">
        <f>N210</f>
        <v>1</v>
      </c>
      <c r="P210" s="20"/>
      <c r="Q210" s="20"/>
      <c r="R210" s="166" t="s">
        <v>340</v>
      </c>
      <c r="S210" s="166"/>
      <c r="T210" s="21">
        <v>1</v>
      </c>
      <c r="U210" s="172">
        <f>T210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6" t="s">
        <v>342</v>
      </c>
      <c r="D211" s="167">
        <f>D209*D210</f>
        <v>1</v>
      </c>
      <c r="E211" s="175" t="s">
        <v>395</v>
      </c>
      <c r="F211" s="22">
        <v>0</v>
      </c>
      <c r="G211" s="22">
        <v>1</v>
      </c>
      <c r="H211" s="166">
        <f>F211/G211</f>
        <v>0</v>
      </c>
      <c r="I211" s="166">
        <f>H211*J210</f>
        <v>0</v>
      </c>
      <c r="J211" s="166">
        <f>I211+J210</f>
        <v>1</v>
      </c>
      <c r="K211" s="20"/>
      <c r="L211" s="166" t="s">
        <v>341</v>
      </c>
      <c r="M211" s="166"/>
      <c r="N211" s="167">
        <f>N209*N210</f>
        <v>80</v>
      </c>
      <c r="O211" s="172">
        <f>N211</f>
        <v>80</v>
      </c>
      <c r="P211" s="20"/>
      <c r="Q211" s="20"/>
      <c r="R211" s="166" t="s">
        <v>342</v>
      </c>
      <c r="S211" s="166"/>
      <c r="T211" s="167">
        <f>T209*T210</f>
        <v>1</v>
      </c>
      <c r="U211" s="172">
        <f>T211</f>
        <v>1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6"/>
      <c r="D212" s="167"/>
      <c r="E212" s="175" t="s">
        <v>453</v>
      </c>
      <c r="F212" s="22">
        <v>0</v>
      </c>
      <c r="G212" s="22">
        <v>1</v>
      </c>
      <c r="H212" s="166">
        <f t="shared" ref="H212:H215" si="473">F212/G212</f>
        <v>0</v>
      </c>
      <c r="I212" s="166">
        <f t="shared" ref="I212:I214" si="474">H212*J211</f>
        <v>0</v>
      </c>
      <c r="J212" s="166">
        <f t="shared" ref="J212:J214" si="475">I212+J211</f>
        <v>1</v>
      </c>
      <c r="K212" s="20"/>
      <c r="L212" s="166" t="s">
        <v>343</v>
      </c>
      <c r="M212" s="166"/>
      <c r="N212" s="21">
        <v>340</v>
      </c>
      <c r="O212" s="21">
        <v>577</v>
      </c>
      <c r="P212" s="20"/>
      <c r="Q212" s="20"/>
      <c r="R212" s="166" t="s">
        <v>343</v>
      </c>
      <c r="S212" s="166"/>
      <c r="T212" s="21">
        <v>1</v>
      </c>
      <c r="U212" s="21"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6"/>
      <c r="D213" s="167"/>
      <c r="E213" s="175" t="s">
        <v>454</v>
      </c>
      <c r="F213" s="22">
        <v>0</v>
      </c>
      <c r="G213" s="22">
        <v>1</v>
      </c>
      <c r="H213" s="166">
        <f t="shared" si="473"/>
        <v>0</v>
      </c>
      <c r="I213" s="166">
        <f t="shared" si="474"/>
        <v>0</v>
      </c>
      <c r="J213" s="166">
        <f t="shared" si="475"/>
        <v>1</v>
      </c>
      <c r="K213" s="20"/>
      <c r="L213" s="166" t="s">
        <v>344</v>
      </c>
      <c r="M213" s="166"/>
      <c r="N213" s="167">
        <f>N212*N210</f>
        <v>340</v>
      </c>
      <c r="O213" s="167">
        <f>O212*O210</f>
        <v>577</v>
      </c>
      <c r="P213" s="20"/>
      <c r="Q213" s="20"/>
      <c r="R213" s="166" t="s">
        <v>340</v>
      </c>
      <c r="S213" s="166"/>
      <c r="T213" s="21">
        <v>1</v>
      </c>
      <c r="U213" s="127">
        <f>T213</f>
        <v>1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166"/>
      <c r="D214" s="167"/>
      <c r="E214" s="175" t="s">
        <v>455</v>
      </c>
      <c r="F214" s="22">
        <v>0</v>
      </c>
      <c r="G214" s="22">
        <v>1</v>
      </c>
      <c r="H214" s="166">
        <f t="shared" si="473"/>
        <v>0</v>
      </c>
      <c r="I214" s="166">
        <f t="shared" si="474"/>
        <v>0</v>
      </c>
      <c r="J214" s="166">
        <f t="shared" si="475"/>
        <v>1</v>
      </c>
      <c r="K214" s="20"/>
      <c r="L214" s="166"/>
      <c r="M214" s="166"/>
      <c r="N214" s="167"/>
      <c r="O214" s="167"/>
      <c r="P214" s="20"/>
      <c r="Q214" s="20"/>
      <c r="R214" s="166" t="s">
        <v>342</v>
      </c>
      <c r="S214" s="166"/>
      <c r="T214" s="167">
        <f>T213*T212</f>
        <v>1</v>
      </c>
      <c r="U214" s="167">
        <f>U213*U212</f>
        <v>1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166"/>
      <c r="D215" s="167"/>
      <c r="E215" s="175" t="s">
        <v>384</v>
      </c>
      <c r="F215" s="22">
        <v>10</v>
      </c>
      <c r="G215" s="22">
        <v>1</v>
      </c>
      <c r="H215" s="166">
        <f t="shared" si="473"/>
        <v>10</v>
      </c>
      <c r="I215" s="166">
        <f>H215*J214</f>
        <v>10</v>
      </c>
      <c r="J215" s="166">
        <f>I215</f>
        <v>10</v>
      </c>
      <c r="K215" s="20"/>
      <c r="L215" s="166"/>
      <c r="M215" s="166"/>
      <c r="N215" s="167"/>
      <c r="O215" s="167"/>
      <c r="P215" s="20"/>
      <c r="Q215" s="20"/>
      <c r="R215" s="166"/>
      <c r="S215" s="166"/>
      <c r="T215" s="167"/>
      <c r="U215" s="167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166"/>
      <c r="D216" s="167"/>
      <c r="E216" s="175" t="s">
        <v>456</v>
      </c>
      <c r="F216" s="22">
        <v>0</v>
      </c>
      <c r="G216" s="22">
        <v>1</v>
      </c>
      <c r="H216" s="166">
        <f>F216/G216</f>
        <v>0</v>
      </c>
      <c r="I216" s="166">
        <f>H216*J215</f>
        <v>0</v>
      </c>
      <c r="J216" s="166">
        <f>I216</f>
        <v>0</v>
      </c>
      <c r="K216" s="20"/>
      <c r="L216" s="168" t="s">
        <v>345</v>
      </c>
      <c r="M216" s="168"/>
      <c r="N216" s="169">
        <f>N213/N211</f>
        <v>4.25</v>
      </c>
      <c r="O216" s="169">
        <f>O213/O211</f>
        <v>7.2125000000000004</v>
      </c>
      <c r="P216" s="20"/>
      <c r="Q216" s="20"/>
      <c r="R216" s="168" t="s">
        <v>345</v>
      </c>
      <c r="S216" s="168"/>
      <c r="T216" s="169">
        <f>T214/T211</f>
        <v>1</v>
      </c>
      <c r="U216" s="169">
        <f>U214/U211</f>
        <v>1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166" t="s">
        <v>343</v>
      </c>
      <c r="D217" s="21">
        <v>1</v>
      </c>
      <c r="E217" s="175"/>
      <c r="F217" s="166"/>
      <c r="G217" s="166"/>
      <c r="H217" s="168" t="s">
        <v>385</v>
      </c>
      <c r="I217" s="166"/>
      <c r="J217" s="166">
        <f>J216</f>
        <v>0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166" t="s">
        <v>340</v>
      </c>
      <c r="D218" s="21">
        <v>1</v>
      </c>
      <c r="E218" s="175" t="s">
        <v>384</v>
      </c>
      <c r="F218" s="22">
        <v>10</v>
      </c>
      <c r="G218" s="22">
        <v>2</v>
      </c>
      <c r="H218" s="166">
        <f>F218/G218</f>
        <v>5</v>
      </c>
      <c r="I218" s="176">
        <f>H218*D210</f>
        <v>5</v>
      </c>
      <c r="J218" s="176">
        <f>I218</f>
        <v>5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166" t="s">
        <v>342</v>
      </c>
      <c r="D219" s="167">
        <f>D218*D217</f>
        <v>1</v>
      </c>
      <c r="E219" s="166"/>
      <c r="F219" s="166"/>
      <c r="G219" s="166"/>
      <c r="H219" s="168" t="s">
        <v>385</v>
      </c>
      <c r="I219" s="166"/>
      <c r="J219" s="166">
        <f>J218</f>
        <v>5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166"/>
      <c r="D220" s="167"/>
      <c r="E220" s="175" t="s">
        <v>384</v>
      </c>
      <c r="F220" s="22">
        <v>10</v>
      </c>
      <c r="G220" s="22">
        <v>2</v>
      </c>
      <c r="H220" s="166">
        <f>F220/G220</f>
        <v>5</v>
      </c>
      <c r="I220" s="166">
        <f>H220*J219</f>
        <v>25</v>
      </c>
      <c r="J220" s="166">
        <f>I220</f>
        <v>25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168" t="s">
        <v>345</v>
      </c>
      <c r="D221" s="169">
        <f>D219/D211</f>
        <v>1</v>
      </c>
      <c r="E221" s="175"/>
      <c r="F221" s="166"/>
      <c r="G221" s="166"/>
      <c r="H221" s="168" t="s">
        <v>385</v>
      </c>
      <c r="I221" s="166"/>
      <c r="J221" s="166">
        <f>J220</f>
        <v>25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B223" s="20"/>
      <c r="C223" s="20"/>
      <c r="D223" s="136"/>
      <c r="E223" s="177"/>
      <c r="F223" s="177"/>
      <c r="G223" s="178"/>
      <c r="H223" s="20"/>
      <c r="I223" s="136"/>
      <c r="J223" s="177"/>
      <c r="K223" s="178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ht="14.25" x14ac:dyDescent="0.2">
      <c r="B224" s="20"/>
      <c r="C224" s="20"/>
      <c r="D224" s="198" t="s">
        <v>27</v>
      </c>
      <c r="E224" s="199"/>
      <c r="F224" s="199"/>
      <c r="G224" s="200"/>
      <c r="H224" s="20"/>
      <c r="I224" s="198" t="s">
        <v>390</v>
      </c>
      <c r="J224" s="199"/>
      <c r="K224" s="20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20"/>
      <c r="D225" s="20" t="s">
        <v>28</v>
      </c>
      <c r="E225" s="127"/>
      <c r="F225" s="127"/>
      <c r="G225" s="21">
        <f>D211</f>
        <v>1</v>
      </c>
      <c r="H225" s="20"/>
      <c r="I225" s="20" t="s">
        <v>28</v>
      </c>
      <c r="J225" s="127"/>
      <c r="K225" s="21">
        <f>G225</f>
        <v>1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20"/>
      <c r="D226" s="20" t="s">
        <v>29</v>
      </c>
      <c r="E226" s="127"/>
      <c r="F226" s="127"/>
      <c r="G226" s="21">
        <f>D219</f>
        <v>1</v>
      </c>
      <c r="H226" s="20"/>
      <c r="I226" s="20" t="s">
        <v>29</v>
      </c>
      <c r="J226" s="20"/>
      <c r="K226" s="21">
        <f>G226</f>
        <v>1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20"/>
      <c r="D227" s="20" t="s">
        <v>30</v>
      </c>
      <c r="E227" s="20"/>
      <c r="F227" s="20"/>
      <c r="G227" s="22">
        <v>10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20"/>
      <c r="D228" s="23" t="s">
        <v>31</v>
      </c>
      <c r="E228" s="3"/>
      <c r="F228" s="3"/>
      <c r="G228" s="3">
        <f>((G226/G225)^(1/G227))-1</f>
        <v>0</v>
      </c>
      <c r="H228" s="20"/>
      <c r="I228" s="23" t="s">
        <v>391</v>
      </c>
      <c r="J228" s="23"/>
      <c r="K228" s="192">
        <f>(K226-K225)/K225</f>
        <v>0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C229" s="20"/>
      <c r="D229" s="23" t="s">
        <v>32</v>
      </c>
      <c r="E229" s="164"/>
      <c r="F229" s="164"/>
      <c r="G229" s="24">
        <f>G227*12</f>
        <v>120</v>
      </c>
      <c r="H229" s="20"/>
      <c r="I229" s="23" t="s">
        <v>392</v>
      </c>
      <c r="J229" s="23"/>
      <c r="K229" s="195">
        <f>K226/K225</f>
        <v>1</v>
      </c>
    </row>
    <row r="230" spans="2:32" x14ac:dyDescent="0.2">
      <c r="C230" s="20"/>
      <c r="D230" s="20" t="s">
        <v>30</v>
      </c>
      <c r="E230" s="25"/>
      <c r="F230" s="25"/>
      <c r="G230" s="25">
        <f>G229/12</f>
        <v>10</v>
      </c>
      <c r="H230" s="20"/>
      <c r="I230" s="20"/>
      <c r="J230" s="20"/>
      <c r="K230" s="20"/>
    </row>
    <row r="231" spans="2:32" x14ac:dyDescent="0.2">
      <c r="C231" s="20"/>
      <c r="D231" s="23" t="s">
        <v>33</v>
      </c>
      <c r="E231" s="3"/>
      <c r="F231" s="3"/>
      <c r="G231" s="3">
        <f>((G226/G225)^(1/G230))-1</f>
        <v>0</v>
      </c>
      <c r="H231" s="20"/>
      <c r="I231" s="20"/>
      <c r="J231" s="20"/>
      <c r="K231" s="20"/>
    </row>
    <row r="232" spans="2:32" x14ac:dyDescent="0.2"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2:32" x14ac:dyDescent="0.2">
      <c r="C233" s="20"/>
      <c r="D233" s="20"/>
      <c r="E233" s="20"/>
      <c r="F233" s="20"/>
      <c r="G233" s="20"/>
      <c r="H233" s="20"/>
      <c r="I233" s="20"/>
      <c r="J233" s="20"/>
      <c r="K233" s="20"/>
    </row>
  </sheetData>
  <mergeCells count="7">
    <mergeCell ref="D224:G224"/>
    <mergeCell ref="I224:K224"/>
    <mergeCell ref="AE2:AF2"/>
    <mergeCell ref="AE3:AF3"/>
    <mergeCell ref="L207:N207"/>
    <mergeCell ref="R207:T207"/>
    <mergeCell ref="K190:L19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 x14ac:dyDescent="0.2">
      <c r="B3" s="216" t="s">
        <v>429</v>
      </c>
      <c r="C3" s="217"/>
      <c r="F3" s="216" t="s">
        <v>430</v>
      </c>
      <c r="G3" s="217"/>
    </row>
    <row r="4" spans="2:7" x14ac:dyDescent="0.2">
      <c r="B4" s="187" t="s">
        <v>431</v>
      </c>
      <c r="C4" s="187"/>
      <c r="F4" s="187" t="s">
        <v>432</v>
      </c>
      <c r="G4" s="187"/>
    </row>
    <row r="5" spans="2:7" x14ac:dyDescent="0.2">
      <c r="B5" s="187" t="s">
        <v>433</v>
      </c>
      <c r="C5" s="187"/>
      <c r="F5" s="187" t="s">
        <v>291</v>
      </c>
      <c r="G5" s="187"/>
    </row>
    <row r="6" spans="2:7" x14ac:dyDescent="0.2">
      <c r="B6" s="187" t="s">
        <v>434</v>
      </c>
      <c r="C6" s="187"/>
      <c r="F6" s="187" t="s">
        <v>435</v>
      </c>
      <c r="G6" s="187"/>
    </row>
    <row r="7" spans="2:7" x14ac:dyDescent="0.2">
      <c r="B7" s="187" t="s">
        <v>436</v>
      </c>
      <c r="C7" s="187"/>
      <c r="F7" s="187" t="s">
        <v>437</v>
      </c>
      <c r="G7" s="187"/>
    </row>
    <row r="8" spans="2:7" x14ac:dyDescent="0.2">
      <c r="B8" s="187" t="s">
        <v>438</v>
      </c>
      <c r="C8" s="187"/>
      <c r="F8" s="187" t="s">
        <v>439</v>
      </c>
      <c r="G8" s="187"/>
    </row>
    <row r="9" spans="2:7" x14ac:dyDescent="0.2">
      <c r="B9" s="187" t="s">
        <v>440</v>
      </c>
      <c r="C9" s="187"/>
      <c r="F9" s="187" t="s">
        <v>441</v>
      </c>
      <c r="G9" s="187"/>
    </row>
    <row r="10" spans="2:7" x14ac:dyDescent="0.2">
      <c r="B10" s="187" t="s">
        <v>439</v>
      </c>
      <c r="C10" s="187"/>
      <c r="F10" s="187"/>
      <c r="G10" s="187"/>
    </row>
    <row r="11" spans="2:7" x14ac:dyDescent="0.2">
      <c r="B11" s="187" t="s">
        <v>442</v>
      </c>
      <c r="C11" s="187"/>
      <c r="F11" s="187"/>
      <c r="G11" s="187"/>
    </row>
    <row r="12" spans="2:7" x14ac:dyDescent="0.2">
      <c r="B12" s="187" t="s">
        <v>443</v>
      </c>
      <c r="C12" s="187"/>
      <c r="F12" s="187"/>
      <c r="G12" s="187"/>
    </row>
    <row r="13" spans="2:7" x14ac:dyDescent="0.2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2014-12-31T17:22:28Z</dcterms:modified>
</cp:coreProperties>
</file>
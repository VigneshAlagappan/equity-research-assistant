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G63" i="18" l="1"/>
  <c r="G61" i="18"/>
  <c r="G59" i="18"/>
  <c r="G57" i="18"/>
  <c r="G55" i="18"/>
  <c r="G53" i="18"/>
  <c r="G54" i="18" s="1"/>
  <c r="G34" i="18"/>
  <c r="G33" i="18"/>
  <c r="G32" i="18"/>
  <c r="G31" i="18"/>
  <c r="G29" i="18"/>
  <c r="G27" i="18"/>
  <c r="G25" i="18"/>
  <c r="G18" i="18"/>
  <c r="G16" i="18"/>
  <c r="G15" i="18"/>
  <c r="G14" i="18"/>
  <c r="G13" i="18"/>
  <c r="G12" i="18"/>
  <c r="G10" i="18"/>
  <c r="G9" i="18"/>
  <c r="G7" i="18"/>
  <c r="G6" i="18"/>
  <c r="K54" i="18"/>
  <c r="C1" i="18"/>
  <c r="AI47" i="18" l="1"/>
  <c r="W47" i="18"/>
  <c r="X47" i="18" s="1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V47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AI57" i="18"/>
  <c r="X57" i="18"/>
  <c r="Y57" i="18" s="1"/>
  <c r="Z57" i="18" s="1"/>
  <c r="AA57" i="18" s="1"/>
  <c r="AB57" i="18" s="1"/>
  <c r="AC57" i="18" s="1"/>
  <c r="AD57" i="18" s="1"/>
  <c r="AE57" i="18" s="1"/>
  <c r="AF57" i="18" s="1"/>
  <c r="AG57" i="18" s="1"/>
  <c r="W57" i="18"/>
  <c r="V57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G106" i="18"/>
  <c r="H106" i="18"/>
  <c r="I106" i="18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U254" i="18"/>
  <c r="V254" i="18" s="1"/>
  <c r="U253" i="18"/>
  <c r="V253" i="18" s="1"/>
  <c r="U252" i="18"/>
  <c r="V252" i="18" s="1"/>
  <c r="X61" i="18"/>
  <c r="X63" i="18"/>
  <c r="V205" i="18"/>
  <c r="V7" i="18"/>
  <c r="V9" i="18"/>
  <c r="V10" i="18"/>
  <c r="V12" i="18"/>
  <c r="V13" i="18"/>
  <c r="V14" i="18"/>
  <c r="V15" i="18"/>
  <c r="V16" i="18"/>
  <c r="V18" i="18"/>
  <c r="V20" i="18"/>
  <c r="V21" i="18"/>
  <c r="V22" i="18"/>
  <c r="V23" i="18"/>
  <c r="V25" i="18"/>
  <c r="V27" i="18"/>
  <c r="V29" i="18"/>
  <c r="V31" i="18"/>
  <c r="V32" i="18"/>
  <c r="V33" i="18"/>
  <c r="V34" i="18"/>
  <c r="V53" i="18"/>
  <c r="V55" i="18"/>
  <c r="V59" i="18"/>
  <c r="V61" i="18"/>
  <c r="V63" i="18"/>
  <c r="V65" i="18"/>
  <c r="V66" i="18"/>
  <c r="V67" i="18"/>
  <c r="V106" i="18"/>
  <c r="V6" i="18"/>
  <c r="U70" i="18"/>
  <c r="U71" i="18"/>
  <c r="U72" i="18"/>
  <c r="U114" i="18" s="1"/>
  <c r="U74" i="18"/>
  <c r="U75" i="18"/>
  <c r="U76" i="18"/>
  <c r="U207" i="18" s="1"/>
  <c r="U220" i="18" s="1"/>
  <c r="U221" i="18" s="1"/>
  <c r="U77" i="18"/>
  <c r="U78" i="18"/>
  <c r="U79" i="18"/>
  <c r="U80" i="18"/>
  <c r="U82" i="18"/>
  <c r="U83" i="18"/>
  <c r="U84" i="18"/>
  <c r="U213" i="18" s="1"/>
  <c r="U86" i="18"/>
  <c r="U87" i="18"/>
  <c r="U88" i="18" s="1"/>
  <c r="U211" i="18" s="1"/>
  <c r="U89" i="18"/>
  <c r="U90" i="18"/>
  <c r="U92" i="18"/>
  <c r="U94" i="18"/>
  <c r="U96" i="18" s="1"/>
  <c r="U97" i="18"/>
  <c r="U98" i="18"/>
  <c r="U99" i="18"/>
  <c r="U100" i="18"/>
  <c r="U102" i="18"/>
  <c r="U103" i="18"/>
  <c r="U104" i="18"/>
  <c r="U109" i="18"/>
  <c r="U110" i="18"/>
  <c r="U111" i="18"/>
  <c r="U112" i="18"/>
  <c r="U113" i="18"/>
  <c r="U116" i="18"/>
  <c r="U122" i="18" s="1"/>
  <c r="U117" i="18"/>
  <c r="U118" i="18"/>
  <c r="U119" i="18"/>
  <c r="U120" i="18"/>
  <c r="U123" i="18"/>
  <c r="U124" i="18"/>
  <c r="U125" i="18"/>
  <c r="U126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3" i="18"/>
  <c r="U144" i="18" s="1"/>
  <c r="U145" i="18" s="1"/>
  <c r="U146" i="18" s="1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68" i="18"/>
  <c r="U170" i="18"/>
  <c r="U171" i="18"/>
  <c r="U206" i="18"/>
  <c r="U208" i="18"/>
  <c r="U209" i="18"/>
  <c r="U210" i="18"/>
  <c r="U212" i="18"/>
  <c r="U215" i="18"/>
  <c r="U216" i="18"/>
  <c r="U218" i="18"/>
  <c r="U8" i="18"/>
  <c r="U11" i="18"/>
  <c r="U26" i="18"/>
  <c r="U28" i="18"/>
  <c r="U30" i="18"/>
  <c r="U37" i="18"/>
  <c r="U39" i="18"/>
  <c r="U44" i="18"/>
  <c r="U46" i="18"/>
  <c r="U50" i="18"/>
  <c r="U54" i="18"/>
  <c r="U56" i="18"/>
  <c r="U60" i="18"/>
  <c r="U62" i="18"/>
  <c r="U64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J54" i="18"/>
  <c r="I54" i="18"/>
  <c r="H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T174" i="18" l="1"/>
  <c r="U229" i="18" s="1"/>
  <c r="U228" i="18" s="1"/>
  <c r="AJ47" i="18"/>
  <c r="S174" i="18"/>
  <c r="S248" i="18" s="1"/>
  <c r="U219" i="18"/>
  <c r="AJ57" i="18"/>
  <c r="AH57" i="18"/>
  <c r="S249" i="18"/>
  <c r="U147" i="18"/>
  <c r="U230" i="18"/>
  <c r="G215" i="18"/>
  <c r="V215" i="18" s="1"/>
  <c r="G216" i="18"/>
  <c r="V216" i="18" s="1"/>
  <c r="G62" i="18"/>
  <c r="G64" i="18"/>
  <c r="G70" i="18"/>
  <c r="G206" i="18" s="1"/>
  <c r="V206" i="18" s="1"/>
  <c r="G71" i="18"/>
  <c r="V71" i="18" s="1"/>
  <c r="G72" i="18"/>
  <c r="G114" i="18" s="1"/>
  <c r="V114" i="18" s="1"/>
  <c r="G74" i="18"/>
  <c r="G208" i="18" s="1"/>
  <c r="V208" i="18" s="1"/>
  <c r="G75" i="18"/>
  <c r="G209" i="18" s="1"/>
  <c r="V209" i="18" s="1"/>
  <c r="G76" i="18"/>
  <c r="V76" i="18" s="1"/>
  <c r="G77" i="18"/>
  <c r="V77" i="18" s="1"/>
  <c r="G78" i="18"/>
  <c r="V78" i="18" s="1"/>
  <c r="G79" i="18"/>
  <c r="G210" i="18" s="1"/>
  <c r="V210" i="18" s="1"/>
  <c r="G80" i="18"/>
  <c r="V80" i="18" s="1"/>
  <c r="G82" i="18"/>
  <c r="V82" i="18" s="1"/>
  <c r="G83" i="18"/>
  <c r="V83" i="18" s="1"/>
  <c r="G84" i="18"/>
  <c r="G213" i="18" s="1"/>
  <c r="V213" i="18" s="1"/>
  <c r="G86" i="18"/>
  <c r="V86" i="18" s="1"/>
  <c r="G87" i="18"/>
  <c r="V87" i="18" s="1"/>
  <c r="G89" i="18"/>
  <c r="V89" i="18" s="1"/>
  <c r="G90" i="18"/>
  <c r="G212" i="18" s="1"/>
  <c r="V212" i="18" s="1"/>
  <c r="G92" i="18"/>
  <c r="G143" i="18" s="1"/>
  <c r="G144" i="18" s="1"/>
  <c r="G145" i="18" s="1"/>
  <c r="G146" i="18" s="1"/>
  <c r="V146" i="18" s="1"/>
  <c r="G94" i="18"/>
  <c r="G96" i="18" s="1"/>
  <c r="V96" i="18" s="1"/>
  <c r="G97" i="18"/>
  <c r="V97" i="18" s="1"/>
  <c r="G98" i="18"/>
  <c r="V98" i="18" s="1"/>
  <c r="G99" i="18"/>
  <c r="V99" i="18" s="1"/>
  <c r="G100" i="18"/>
  <c r="V100" i="18" s="1"/>
  <c r="G102" i="18"/>
  <c r="G168" i="18" s="1"/>
  <c r="V168" i="18" s="1"/>
  <c r="G103" i="18"/>
  <c r="V103" i="18" s="1"/>
  <c r="G104" i="18"/>
  <c r="V104" i="18" s="1"/>
  <c r="G109" i="18"/>
  <c r="V109" i="18" s="1"/>
  <c r="G110" i="18"/>
  <c r="V110" i="18" s="1"/>
  <c r="G111" i="18"/>
  <c r="V111" i="18" s="1"/>
  <c r="G112" i="18"/>
  <c r="V112" i="18" s="1"/>
  <c r="G113" i="18"/>
  <c r="V113" i="18" s="1"/>
  <c r="G116" i="18"/>
  <c r="G122" i="18" s="1"/>
  <c r="V122" i="18" s="1"/>
  <c r="G117" i="18"/>
  <c r="G123" i="18" s="1"/>
  <c r="V123" i="18" s="1"/>
  <c r="G118" i="18"/>
  <c r="G124" i="18" s="1"/>
  <c r="V124" i="18" s="1"/>
  <c r="G119" i="18"/>
  <c r="G125" i="18" s="1"/>
  <c r="V125" i="18" s="1"/>
  <c r="G120" i="18"/>
  <c r="G126" i="18" s="1"/>
  <c r="V126" i="18" s="1"/>
  <c r="G138" i="18"/>
  <c r="V138" i="18" s="1"/>
  <c r="G139" i="18"/>
  <c r="V139" i="18" s="1"/>
  <c r="G140" i="18"/>
  <c r="V140" i="18" s="1"/>
  <c r="G141" i="18"/>
  <c r="V141" i="18" s="1"/>
  <c r="G149" i="18"/>
  <c r="V149" i="18" s="1"/>
  <c r="G150" i="18"/>
  <c r="V150" i="18" s="1"/>
  <c r="G151" i="18"/>
  <c r="V151" i="18" s="1"/>
  <c r="G153" i="18"/>
  <c r="V153" i="18" s="1"/>
  <c r="G154" i="18"/>
  <c r="V154" i="18" s="1"/>
  <c r="G155" i="18"/>
  <c r="V155" i="18" s="1"/>
  <c r="G158" i="18"/>
  <c r="V158" i="18" s="1"/>
  <c r="G159" i="18"/>
  <c r="V159" i="18" s="1"/>
  <c r="G160" i="18"/>
  <c r="V160" i="18" s="1"/>
  <c r="G161" i="18"/>
  <c r="V161" i="18" s="1"/>
  <c r="G163" i="18"/>
  <c r="V163" i="18" s="1"/>
  <c r="G164" i="18"/>
  <c r="V164" i="18" s="1"/>
  <c r="G166" i="18"/>
  <c r="G167" i="18" s="1"/>
  <c r="V167" i="18" s="1"/>
  <c r="G170" i="18"/>
  <c r="V170" i="18" s="1"/>
  <c r="G171" i="18"/>
  <c r="V171" i="18" s="1"/>
  <c r="AI236" i="18"/>
  <c r="AJ235" i="18"/>
  <c r="AI235" i="18"/>
  <c r="AI234" i="18"/>
  <c r="AI233" i="18"/>
  <c r="R62" i="18"/>
  <c r="Q62" i="18"/>
  <c r="P62" i="18"/>
  <c r="O62" i="18"/>
  <c r="N62" i="18"/>
  <c r="M62" i="18"/>
  <c r="L62" i="18"/>
  <c r="K62" i="18"/>
  <c r="J62" i="18"/>
  <c r="I62" i="18"/>
  <c r="H62" i="18"/>
  <c r="R60" i="18"/>
  <c r="Q60" i="18"/>
  <c r="R56" i="18"/>
  <c r="Q56" i="18"/>
  <c r="R54" i="18"/>
  <c r="Q54" i="18"/>
  <c r="R30" i="18"/>
  <c r="Q30" i="18"/>
  <c r="R28" i="18"/>
  <c r="Q28" i="18"/>
  <c r="R26" i="18"/>
  <c r="Q26" i="18"/>
  <c r="R11" i="18"/>
  <c r="Q11" i="18"/>
  <c r="R8" i="18"/>
  <c r="Q8" i="18"/>
  <c r="V144" i="18" l="1"/>
  <c r="V143" i="18"/>
  <c r="V145" i="18"/>
  <c r="V102" i="18"/>
  <c r="V117" i="18"/>
  <c r="U224" i="18"/>
  <c r="U223" i="18" s="1"/>
  <c r="V79" i="18"/>
  <c r="V90" i="18"/>
  <c r="V116" i="18"/>
  <c r="V120" i="18"/>
  <c r="V72" i="18"/>
  <c r="V84" i="18"/>
  <c r="V166" i="18"/>
  <c r="V94" i="18"/>
  <c r="V74" i="18"/>
  <c r="V118" i="18"/>
  <c r="V70" i="18"/>
  <c r="V75" i="18"/>
  <c r="V92" i="18"/>
  <c r="V119" i="18"/>
  <c r="U231" i="18"/>
  <c r="G207" i="18"/>
  <c r="G219" i="18" s="1"/>
  <c r="V219" i="18" s="1"/>
  <c r="G88" i="18"/>
  <c r="G147" i="18"/>
  <c r="V147" i="18" s="1"/>
  <c r="G218" i="18"/>
  <c r="V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H32" i="20"/>
  <c r="L31" i="20"/>
  <c r="L32" i="20" s="1"/>
  <c r="L33" i="20" s="1"/>
  <c r="H31" i="20"/>
  <c r="C31" i="20"/>
  <c r="C32" i="20" s="1"/>
  <c r="L30" i="20"/>
  <c r="P21" i="20"/>
  <c r="L20" i="20"/>
  <c r="H20" i="20"/>
  <c r="P19" i="20"/>
  <c r="Q19" i="20" s="1"/>
  <c r="R19" i="20" s="1"/>
  <c r="R20" i="20" s="1"/>
  <c r="Q21" i="20" s="1"/>
  <c r="R21" i="20" s="1"/>
  <c r="R22" i="20" s="1"/>
  <c r="H19" i="20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U225" i="18"/>
  <c r="U226" i="18" s="1"/>
  <c r="G211" i="18"/>
  <c r="V211" i="18" s="1"/>
  <c r="V88" i="18"/>
  <c r="G220" i="18"/>
  <c r="V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221" i="18" l="1"/>
  <c r="V221" i="18" s="1"/>
  <c r="V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J51" i="20"/>
  <c r="P50" i="20"/>
  <c r="I96" i="20"/>
  <c r="M95" i="20"/>
  <c r="N95" i="20" s="1"/>
  <c r="J96" i="20" s="1"/>
  <c r="B96" i="20"/>
  <c r="F95" i="20"/>
  <c r="H71" i="20"/>
  <c r="G52" i="20"/>
  <c r="C53" i="20" s="1"/>
  <c r="F52" i="20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7" i="18"/>
  <c r="G279" i="18" s="1"/>
  <c r="G280" i="18" s="1"/>
  <c r="H252" i="18"/>
  <c r="I252" i="18"/>
  <c r="H253" i="18"/>
  <c r="I253" i="18"/>
  <c r="H254" i="18"/>
  <c r="I254" i="18"/>
  <c r="H215" i="18"/>
  <c r="I215" i="18"/>
  <c r="H216" i="18"/>
  <c r="I216" i="18"/>
  <c r="I64" i="18"/>
  <c r="H64" i="18"/>
  <c r="H70" i="18"/>
  <c r="I70" i="18"/>
  <c r="I206" i="18" s="1"/>
  <c r="H71" i="18"/>
  <c r="I71" i="18"/>
  <c r="H72" i="18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8" i="18"/>
  <c r="H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4" i="18"/>
  <c r="I114" i="18"/>
  <c r="H116" i="18"/>
  <c r="I116" i="18"/>
  <c r="H117" i="18"/>
  <c r="H123" i="18" s="1"/>
  <c r="I117" i="18"/>
  <c r="I123" i="18" s="1"/>
  <c r="H118" i="18"/>
  <c r="I118" i="18"/>
  <c r="H119" i="18"/>
  <c r="H125" i="18" s="1"/>
  <c r="I119" i="18"/>
  <c r="I125" i="18" s="1"/>
  <c r="H120" i="18"/>
  <c r="I120" i="18"/>
  <c r="H122" i="18"/>
  <c r="I122" i="18"/>
  <c r="H124" i="18"/>
  <c r="I124" i="18"/>
  <c r="H126" i="18"/>
  <c r="I126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I166" i="18"/>
  <c r="I167" i="18" s="1"/>
  <c r="H167" i="18"/>
  <c r="H168" i="18"/>
  <c r="H170" i="18"/>
  <c r="I170" i="18"/>
  <c r="H171" i="18"/>
  <c r="I171" i="18"/>
  <c r="J49" i="18"/>
  <c r="I49" i="18" s="1"/>
  <c r="J45" i="18"/>
  <c r="I45" i="18" s="1"/>
  <c r="H45" i="18" s="1"/>
  <c r="G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J36" i="18"/>
  <c r="I36" i="18" s="1"/>
  <c r="G46" i="18" l="1"/>
  <c r="V45" i="18"/>
  <c r="G39" i="18"/>
  <c r="V38" i="18"/>
  <c r="I147" i="18"/>
  <c r="H145" i="18"/>
  <c r="H146" i="18" s="1"/>
  <c r="H147" i="18"/>
  <c r="G40" i="18"/>
  <c r="V40" i="18" s="1"/>
  <c r="G42" i="18"/>
  <c r="V42" i="18" s="1"/>
  <c r="G41" i="18"/>
  <c r="V41" i="18" s="1"/>
  <c r="H43" i="18"/>
  <c r="G43" i="18" s="1"/>
  <c r="V43" i="18" s="1"/>
  <c r="I129" i="18"/>
  <c r="I130" i="18"/>
  <c r="I131" i="18"/>
  <c r="I132" i="18"/>
  <c r="I135" i="18"/>
  <c r="H49" i="18"/>
  <c r="G49" i="18" s="1"/>
  <c r="V49" i="18" s="1"/>
  <c r="I133" i="18"/>
  <c r="I39" i="18"/>
  <c r="H39" i="18"/>
  <c r="H36" i="18"/>
  <c r="G36" i="18" s="1"/>
  <c r="V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I49" i="18"/>
  <c r="W49" i="18"/>
  <c r="T50" i="18"/>
  <c r="S50" i="18"/>
  <c r="R50" i="18"/>
  <c r="Q50" i="18"/>
  <c r="P50" i="18"/>
  <c r="O50" i="18"/>
  <c r="N50" i="18"/>
  <c r="M50" i="18"/>
  <c r="L50" i="18"/>
  <c r="K50" i="18"/>
  <c r="J50" i="18"/>
  <c r="T134" i="18"/>
  <c r="S134" i="18"/>
  <c r="R134" i="18"/>
  <c r="Q134" i="18"/>
  <c r="P134" i="18"/>
  <c r="O134" i="18"/>
  <c r="N134" i="18"/>
  <c r="M134" i="18"/>
  <c r="L134" i="18"/>
  <c r="K134" i="18"/>
  <c r="X49" i="18" l="1"/>
  <c r="Y49" i="18" s="1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V133" i="18" s="1"/>
  <c r="G50" i="18"/>
  <c r="G129" i="18"/>
  <c r="V129" i="18" s="1"/>
  <c r="G131" i="18"/>
  <c r="V131" i="18" s="1"/>
  <c r="G135" i="18"/>
  <c r="V135" i="18" s="1"/>
  <c r="G44" i="18"/>
  <c r="G130" i="18"/>
  <c r="V130" i="18" s="1"/>
  <c r="G132" i="18"/>
  <c r="V132" i="18" s="1"/>
  <c r="G37" i="18"/>
  <c r="G128" i="18"/>
  <c r="V128" i="18" s="1"/>
  <c r="G136" i="18"/>
  <c r="V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K46" i="18"/>
  <c r="W51" i="18"/>
  <c r="X51" i="18" s="1"/>
  <c r="J51" i="18"/>
  <c r="T46" i="18"/>
  <c r="S46" i="18"/>
  <c r="R46" i="18"/>
  <c r="Q46" i="18"/>
  <c r="P46" i="18"/>
  <c r="O46" i="18"/>
  <c r="N46" i="18"/>
  <c r="M46" i="18"/>
  <c r="L46" i="18"/>
  <c r="J46" i="18"/>
  <c r="T44" i="18"/>
  <c r="S44" i="18"/>
  <c r="R44" i="18"/>
  <c r="Q44" i="18"/>
  <c r="P44" i="18"/>
  <c r="O44" i="18"/>
  <c r="N44" i="18"/>
  <c r="M44" i="18"/>
  <c r="L44" i="18"/>
  <c r="J44" i="18"/>
  <c r="T39" i="18"/>
  <c r="S39" i="18"/>
  <c r="R39" i="18"/>
  <c r="Q39" i="18"/>
  <c r="P39" i="18"/>
  <c r="O39" i="18"/>
  <c r="N39" i="18"/>
  <c r="M39" i="18"/>
  <c r="L39" i="18"/>
  <c r="K39" i="18"/>
  <c r="T37" i="18"/>
  <c r="S37" i="18"/>
  <c r="R37" i="18"/>
  <c r="Q37" i="18"/>
  <c r="P37" i="18"/>
  <c r="O37" i="18"/>
  <c r="N37" i="18"/>
  <c r="M37" i="18"/>
  <c r="L37" i="18"/>
  <c r="K44" i="18"/>
  <c r="J39" i="18"/>
  <c r="J130" i="18"/>
  <c r="I51" i="18" l="1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I51" i="18"/>
  <c r="AI45" i="18"/>
  <c r="AI43" i="18"/>
  <c r="AI42" i="18"/>
  <c r="AI41" i="18"/>
  <c r="AI40" i="18"/>
  <c r="AI38" i="18"/>
  <c r="AI36" i="18"/>
  <c r="W40" i="18"/>
  <c r="Y51" i="18"/>
  <c r="Z51" i="18" s="1"/>
  <c r="AA51" i="18" s="1"/>
  <c r="AB51" i="18" s="1"/>
  <c r="AC51" i="18" s="1"/>
  <c r="AD51" i="18" s="1"/>
  <c r="AE51" i="18" s="1"/>
  <c r="AF51" i="18" s="1"/>
  <c r="AG51" i="18" s="1"/>
  <c r="W45" i="18"/>
  <c r="X45" i="18" l="1"/>
  <c r="Y45" i="18" s="1"/>
  <c r="Z45" i="18" s="1"/>
  <c r="AA45" i="18" s="1"/>
  <c r="AB45" i="18" s="1"/>
  <c r="AC45" i="18" s="1"/>
  <c r="AD45" i="18" s="1"/>
  <c r="AE45" i="18" s="1"/>
  <c r="AF45" i="18" s="1"/>
  <c r="AG45" i="18" s="1"/>
  <c r="AH45" i="18" s="1"/>
  <c r="X40" i="18"/>
  <c r="Y40" i="18" s="1"/>
  <c r="Z40" i="18" s="1"/>
  <c r="AA40" i="18" s="1"/>
  <c r="AB40" i="18" s="1"/>
  <c r="AC40" i="18" s="1"/>
  <c r="AD40" i="18" s="1"/>
  <c r="AE40" i="18" s="1"/>
  <c r="AF40" i="18" s="1"/>
  <c r="AG40" i="18" s="1"/>
  <c r="AH40" i="18" s="1"/>
  <c r="H51" i="18"/>
  <c r="G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H51" i="18"/>
  <c r="W43" i="18"/>
  <c r="W42" i="18"/>
  <c r="W41" i="18"/>
  <c r="W38" i="18"/>
  <c r="X38" i="18" s="1"/>
  <c r="W36" i="18"/>
  <c r="X36" i="18" s="1"/>
  <c r="X42" i="18" l="1"/>
  <c r="Y42" i="18" s="1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V134" i="18" s="1"/>
  <c r="V51" i="18"/>
  <c r="X41" i="18"/>
  <c r="Y41" i="18" s="1"/>
  <c r="Z41" i="18" s="1"/>
  <c r="AA41" i="18" s="1"/>
  <c r="AB41" i="18" s="1"/>
  <c r="AC41" i="18" s="1"/>
  <c r="AD41" i="18" s="1"/>
  <c r="AE41" i="18" s="1"/>
  <c r="AF41" i="18" s="1"/>
  <c r="AG41" i="18" s="1"/>
  <c r="AH41" i="18" s="1"/>
  <c r="X43" i="18"/>
  <c r="Y43" i="18" s="1"/>
  <c r="Z43" i="18" s="1"/>
  <c r="AA43" i="18" s="1"/>
  <c r="AB43" i="18" s="1"/>
  <c r="AC43" i="18" s="1"/>
  <c r="AD43" i="18" s="1"/>
  <c r="AE43" i="18" s="1"/>
  <c r="AF43" i="18" s="1"/>
  <c r="AG43" i="18" s="1"/>
  <c r="AH43" i="18" s="1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Y38" i="18"/>
  <c r="X131" i="18"/>
  <c r="Y36" i="18"/>
  <c r="X130" i="18"/>
  <c r="B219" i="18"/>
  <c r="AI231" i="18"/>
  <c r="AI228" i="18"/>
  <c r="AI230" i="18"/>
  <c r="AI229" i="18"/>
  <c r="AI226" i="18"/>
  <c r="AI225" i="18"/>
  <c r="AI224" i="18"/>
  <c r="AI223" i="18"/>
  <c r="AI218" i="18"/>
  <c r="AI221" i="18"/>
  <c r="AI220" i="18"/>
  <c r="AI219" i="18"/>
  <c r="AI216" i="18"/>
  <c r="AI215" i="18"/>
  <c r="AI212" i="18"/>
  <c r="AI211" i="18"/>
  <c r="AI214" i="18"/>
  <c r="AI213" i="18"/>
  <c r="AI210" i="18"/>
  <c r="AI209" i="18"/>
  <c r="AI208" i="18"/>
  <c r="AI207" i="18"/>
  <c r="AI206" i="18"/>
  <c r="AI205" i="18"/>
  <c r="AJ228" i="18"/>
  <c r="X132" i="18" l="1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Z38" i="18"/>
  <c r="Y131" i="18"/>
  <c r="Z36" i="18"/>
  <c r="Y130" i="18"/>
  <c r="Y132" i="18"/>
  <c r="AJ229" i="18"/>
  <c r="T216" i="18"/>
  <c r="S216" i="18"/>
  <c r="R216" i="18"/>
  <c r="Q216" i="18"/>
  <c r="P216" i="18"/>
  <c r="O216" i="18"/>
  <c r="N216" i="18"/>
  <c r="M216" i="18"/>
  <c r="L216" i="18"/>
  <c r="K216" i="18"/>
  <c r="J216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A38" i="18"/>
  <c r="Z131" i="18"/>
  <c r="AA36" i="18"/>
  <c r="Z132" i="18"/>
  <c r="Z130" i="18"/>
  <c r="T64" i="18"/>
  <c r="S64" i="18"/>
  <c r="R64" i="18"/>
  <c r="Q64" i="18"/>
  <c r="P64" i="18"/>
  <c r="O64" i="18"/>
  <c r="N64" i="18"/>
  <c r="M64" i="18"/>
  <c r="L64" i="18"/>
  <c r="K64" i="18"/>
  <c r="J64" i="18"/>
  <c r="T62" i="18"/>
  <c r="S62" i="18"/>
  <c r="T60" i="18"/>
  <c r="S60" i="18"/>
  <c r="T56" i="18"/>
  <c r="S56" i="18"/>
  <c r="T54" i="18"/>
  <c r="S54" i="18"/>
  <c r="T30" i="18"/>
  <c r="S30" i="18"/>
  <c r="T28" i="18"/>
  <c r="S28" i="18"/>
  <c r="T26" i="18"/>
  <c r="S26" i="18"/>
  <c r="T11" i="18"/>
  <c r="S11" i="18"/>
  <c r="T8" i="18"/>
  <c r="S8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B38" i="18"/>
  <c r="AA131" i="18"/>
  <c r="AB36" i="18"/>
  <c r="AA132" i="18"/>
  <c r="AA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C38" i="18"/>
  <c r="AB131" i="18"/>
  <c r="AC36" i="18"/>
  <c r="AB130" i="18"/>
  <c r="AB132" i="18"/>
  <c r="G224" i="18"/>
  <c r="V224" i="18" s="1"/>
  <c r="AJ49" i="18"/>
  <c r="T229" i="18" l="1"/>
  <c r="G229" i="18"/>
  <c r="V229" i="18" s="1"/>
  <c r="G223" i="18"/>
  <c r="V223" i="18" s="1"/>
  <c r="G225" i="18"/>
  <c r="X229" i="18"/>
  <c r="X230" i="18" s="1"/>
  <c r="X231" i="18" s="1"/>
  <c r="H229" i="18"/>
  <c r="I229" i="18"/>
  <c r="X224" i="18"/>
  <c r="X225" i="18" s="1"/>
  <c r="X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D38" i="18"/>
  <c r="AC131" i="18"/>
  <c r="AD36" i="18"/>
  <c r="AC130" i="18"/>
  <c r="AC132" i="18"/>
  <c r="AJ45" i="18"/>
  <c r="AJ40" i="18"/>
  <c r="AJ51" i="18"/>
  <c r="AJ41" i="18"/>
  <c r="AJ42" i="18"/>
  <c r="AJ43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I75" i="18"/>
  <c r="AI74" i="18"/>
  <c r="AI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V226" i="18" s="1"/>
  <c r="V225" i="18"/>
  <c r="X228" i="18"/>
  <c r="G228" i="18"/>
  <c r="V228" i="18" s="1"/>
  <c r="G230" i="18"/>
  <c r="T223" i="18"/>
  <c r="X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E38" i="18"/>
  <c r="AD131" i="18"/>
  <c r="AE36" i="18"/>
  <c r="AD132" i="18"/>
  <c r="AD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V231" i="18" s="1"/>
  <c r="V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F38" i="18"/>
  <c r="AE131" i="18"/>
  <c r="AF36" i="18"/>
  <c r="AE132" i="18"/>
  <c r="AE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G38" i="18"/>
  <c r="AF131" i="18"/>
  <c r="AG36" i="18"/>
  <c r="AF130" i="18"/>
  <c r="AF132" i="18"/>
  <c r="I265" i="18"/>
  <c r="I262" i="18"/>
  <c r="I263" i="18"/>
  <c r="I264" i="18"/>
  <c r="B113" i="20" l="1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H38" i="18"/>
  <c r="AG131" i="18"/>
  <c r="AH131" i="18" s="1"/>
  <c r="AJ38" i="18"/>
  <c r="AG130" i="18"/>
  <c r="AH130" i="18" s="1"/>
  <c r="AG132" i="18"/>
  <c r="AH132" i="18" s="1"/>
  <c r="AH36" i="18"/>
  <c r="AJ36" i="18"/>
  <c r="T254" i="18"/>
  <c r="T253" i="18"/>
  <c r="T252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T96" i="18" l="1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49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5" i="18"/>
  <c r="N244" i="18"/>
  <c r="N243" i="18"/>
  <c r="N242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I55" i="18"/>
  <c r="W55" i="18"/>
  <c r="X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 s="1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Y55" i="18"/>
  <c r="X249" i="18"/>
  <c r="X250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Z55" i="18"/>
  <c r="D261" i="18"/>
  <c r="I261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79" i="18"/>
  <c r="H280" i="18" s="1"/>
  <c r="AI77" i="18"/>
  <c r="K77" i="18"/>
  <c r="L77" i="18"/>
  <c r="M77" i="18"/>
  <c r="N77" i="18"/>
  <c r="O77" i="18"/>
  <c r="P77" i="18"/>
  <c r="Q77" i="18"/>
  <c r="R77" i="18"/>
  <c r="S77" i="18"/>
  <c r="J77" i="18"/>
  <c r="I270" i="18"/>
  <c r="D269" i="18"/>
  <c r="I268" i="18"/>
  <c r="J268" i="18" s="1"/>
  <c r="K268" i="18" s="1"/>
  <c r="K269" i="18" s="1"/>
  <c r="I266" i="18"/>
  <c r="I260" i="18"/>
  <c r="I259" i="18"/>
  <c r="J259" i="18" s="1"/>
  <c r="K259" i="18" s="1"/>
  <c r="H276" i="18" l="1"/>
  <c r="N276" i="18" s="1"/>
  <c r="G276" i="18"/>
  <c r="H275" i="18"/>
  <c r="N275" i="18" s="1"/>
  <c r="N278" i="18" s="1"/>
  <c r="G275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A55" i="18"/>
  <c r="D271" i="18"/>
  <c r="J260" i="18"/>
  <c r="K260" i="18" s="1"/>
  <c r="J270" i="18"/>
  <c r="K270" i="18" s="1"/>
  <c r="K271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I14" i="18"/>
  <c r="W14" i="18"/>
  <c r="X14" i="18" s="1"/>
  <c r="P260" i="18"/>
  <c r="P263" i="18" s="1"/>
  <c r="P259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79" i="18" l="1"/>
  <c r="H278" i="18"/>
  <c r="H281" i="18"/>
  <c r="G281" i="18"/>
  <c r="G278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B55" i="18"/>
  <c r="Y14" i="18"/>
  <c r="Z14" i="18" s="1"/>
  <c r="AA14" i="18" s="1"/>
  <c r="AB14" i="18" s="1"/>
  <c r="AC14" i="18" s="1"/>
  <c r="AD14" i="18" s="1"/>
  <c r="AE14" i="18" s="1"/>
  <c r="AF14" i="18" s="1"/>
  <c r="AG14" i="18" s="1"/>
  <c r="J261" i="18"/>
  <c r="K261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I32" i="18"/>
  <c r="W32" i="18"/>
  <c r="X32" i="18" s="1"/>
  <c r="J141" i="18"/>
  <c r="K141" i="18"/>
  <c r="L141" i="18"/>
  <c r="M141" i="18"/>
  <c r="N141" i="18"/>
  <c r="O141" i="18"/>
  <c r="P141" i="18"/>
  <c r="Q141" i="18"/>
  <c r="R141" i="18"/>
  <c r="S141" i="18"/>
  <c r="O263" i="18"/>
  <c r="O261" i="18"/>
  <c r="P261" i="18" s="1"/>
  <c r="P266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F77" i="20" l="1"/>
  <c r="G77" i="20" s="1"/>
  <c r="C78" i="20" s="1"/>
  <c r="M64" i="20"/>
  <c r="N64" i="20" s="1"/>
  <c r="J262" i="18"/>
  <c r="K262" i="18" s="1"/>
  <c r="J263" i="18" s="1"/>
  <c r="K263" i="18" s="1"/>
  <c r="J264" i="18" s="1"/>
  <c r="K264" i="18" s="1"/>
  <c r="J265" i="18" s="1"/>
  <c r="K265" i="18" s="1"/>
  <c r="J266" i="18" s="1"/>
  <c r="K266" i="18" s="1"/>
  <c r="K267" i="18" s="1"/>
  <c r="AC55" i="18"/>
  <c r="AH14" i="18"/>
  <c r="AJ14" i="18"/>
  <c r="Y32" i="18"/>
  <c r="Z32" i="18" s="1"/>
  <c r="AA32" i="18" s="1"/>
  <c r="AB32" i="18" s="1"/>
  <c r="AC32" i="18" s="1"/>
  <c r="AD32" i="18" s="1"/>
  <c r="AE32" i="18" s="1"/>
  <c r="AF32" i="18" s="1"/>
  <c r="AG32" i="18" s="1"/>
  <c r="AH32" i="18" s="1"/>
  <c r="O266" i="18"/>
  <c r="W9" i="18"/>
  <c r="X9" i="18" s="1"/>
  <c r="W10" i="18"/>
  <c r="X10" i="18" s="1"/>
  <c r="W12" i="18"/>
  <c r="X12" i="18" s="1"/>
  <c r="W13" i="18"/>
  <c r="X13" i="18" s="1"/>
  <c r="W15" i="18"/>
  <c r="X15" i="18" s="1"/>
  <c r="W16" i="18"/>
  <c r="X16" i="18" s="1"/>
  <c r="W18" i="18"/>
  <c r="X18" i="18" s="1"/>
  <c r="W20" i="18"/>
  <c r="X20" i="18" s="1"/>
  <c r="W21" i="18"/>
  <c r="X21" i="18" s="1"/>
  <c r="W22" i="18"/>
  <c r="X22" i="18" s="1"/>
  <c r="W23" i="18"/>
  <c r="X23" i="18" s="1"/>
  <c r="W25" i="18"/>
  <c r="W27" i="18"/>
  <c r="X27" i="18" s="1"/>
  <c r="W29" i="18"/>
  <c r="X29" i="18" s="1"/>
  <c r="W31" i="18"/>
  <c r="X31" i="18" s="1"/>
  <c r="W33" i="18"/>
  <c r="X33" i="18" s="1"/>
  <c r="W34" i="18"/>
  <c r="X34" i="18" s="1"/>
  <c r="W53" i="18"/>
  <c r="X53" i="18" s="1"/>
  <c r="W59" i="18"/>
  <c r="W7" i="18"/>
  <c r="X7" i="18" s="1"/>
  <c r="W6" i="18"/>
  <c r="X6" i="18" s="1"/>
  <c r="AI9" i="18"/>
  <c r="AI10" i="18"/>
  <c r="AI11" i="18"/>
  <c r="AI12" i="18"/>
  <c r="AI13" i="18"/>
  <c r="AI15" i="18"/>
  <c r="AI16" i="18"/>
  <c r="AI18" i="18"/>
  <c r="AI20" i="18"/>
  <c r="AI21" i="18"/>
  <c r="AI22" i="18"/>
  <c r="AI23" i="18"/>
  <c r="AI25" i="18"/>
  <c r="AI27" i="18"/>
  <c r="AI29" i="18"/>
  <c r="AI31" i="18"/>
  <c r="AI33" i="18"/>
  <c r="AI34" i="18"/>
  <c r="AI53" i="18"/>
  <c r="AI59" i="18"/>
  <c r="AI61" i="18"/>
  <c r="AI63" i="18"/>
  <c r="AI70" i="18"/>
  <c r="AI71" i="18"/>
  <c r="AI76" i="18"/>
  <c r="AI78" i="18"/>
  <c r="AI79" i="18"/>
  <c r="AI80" i="18"/>
  <c r="AI82" i="18"/>
  <c r="AI83" i="18"/>
  <c r="AI84" i="18"/>
  <c r="AI86" i="18"/>
  <c r="AI87" i="18"/>
  <c r="AI88" i="18"/>
  <c r="AI89" i="18"/>
  <c r="AI91" i="18"/>
  <c r="AI92" i="18"/>
  <c r="AI94" i="18"/>
  <c r="AI96" i="18"/>
  <c r="AI97" i="18"/>
  <c r="AI98" i="18"/>
  <c r="AI99" i="18"/>
  <c r="AI100" i="18"/>
  <c r="AI102" i="18"/>
  <c r="AI103" i="18"/>
  <c r="AI104" i="18"/>
  <c r="AI7" i="18"/>
  <c r="AI6" i="18"/>
  <c r="X25" i="18" l="1"/>
  <c r="X133" i="18" s="1"/>
  <c r="X59" i="18"/>
  <c r="X134" i="18" s="1"/>
  <c r="J65" i="20"/>
  <c r="P64" i="20"/>
  <c r="F78" i="20"/>
  <c r="G78" i="20" s="1"/>
  <c r="X136" i="18"/>
  <c r="X129" i="18"/>
  <c r="AD55" i="18"/>
  <c r="AJ32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X72" i="18" l="1"/>
  <c r="X135" i="18"/>
  <c r="X114" i="18"/>
  <c r="X128" i="18"/>
  <c r="G81" i="20"/>
  <c r="G82" i="20" s="1"/>
  <c r="C79" i="20"/>
  <c r="M65" i="20"/>
  <c r="N65" i="20"/>
  <c r="J66" i="20" s="1"/>
  <c r="AE55" i="18"/>
  <c r="Y31" i="18"/>
  <c r="X151" i="18"/>
  <c r="Y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F55" i="18"/>
  <c r="Z31" i="18"/>
  <c r="Z29" i="18"/>
  <c r="AJ91" i="18"/>
  <c r="M67" i="20" l="1"/>
  <c r="N67" i="20"/>
  <c r="J68" i="20" s="1"/>
  <c r="AG55" i="18"/>
  <c r="AA31" i="18"/>
  <c r="AA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M68" i="20" l="1"/>
  <c r="N68" i="20" s="1"/>
  <c r="J69" i="20" s="1"/>
  <c r="AH55" i="18"/>
  <c r="AJ55" i="18"/>
  <c r="AB31" i="18"/>
  <c r="X92" i="18"/>
  <c r="AB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Y63" i="18"/>
  <c r="M69" i="20" l="1"/>
  <c r="N69" i="20" s="1"/>
  <c r="J70" i="20" s="1"/>
  <c r="AC31" i="18"/>
  <c r="Z63" i="18"/>
  <c r="AC29" i="18"/>
  <c r="S145" i="18"/>
  <c r="Y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/>
  <c r="J71" i="20" s="1"/>
  <c r="AD31" i="18"/>
  <c r="AA63" i="18"/>
  <c r="Z92" i="18"/>
  <c r="AD29" i="18"/>
  <c r="S109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252" i="18"/>
  <c r="L252" i="18"/>
  <c r="M252" i="18"/>
  <c r="N252" i="18"/>
  <c r="O252" i="18"/>
  <c r="P252" i="18"/>
  <c r="Q252" i="18"/>
  <c r="R252" i="18"/>
  <c r="S252" i="18"/>
  <c r="J252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X117" i="18"/>
  <c r="X123" i="18" s="1"/>
  <c r="J218" i="18" l="1"/>
  <c r="M71" i="20"/>
  <c r="N71" i="20" s="1"/>
  <c r="J72" i="20" s="1"/>
  <c r="AE31" i="18"/>
  <c r="AB63" i="18"/>
  <c r="AA92" i="18"/>
  <c r="AE29" i="18"/>
  <c r="Y53" i="18"/>
  <c r="M72" i="20" l="1"/>
  <c r="N72" i="20" s="1"/>
  <c r="J73" i="20" s="1"/>
  <c r="Y117" i="18"/>
  <c r="Y123" i="18" s="1"/>
  <c r="AF31" i="18"/>
  <c r="AC63" i="18"/>
  <c r="AB92" i="18"/>
  <c r="AF29" i="18"/>
  <c r="Z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Y22" i="18"/>
  <c r="Z22" i="18" s="1"/>
  <c r="AA22" i="18" s="1"/>
  <c r="AB22" i="18" s="1"/>
  <c r="AC22" i="18" s="1"/>
  <c r="AD22" i="18" s="1"/>
  <c r="AE22" i="18" s="1"/>
  <c r="AF22" i="18" s="1"/>
  <c r="AG22" i="18" s="1"/>
  <c r="J94" i="18"/>
  <c r="J96" i="18" s="1"/>
  <c r="K94" i="18"/>
  <c r="K96" i="18" s="1"/>
  <c r="K98" i="18"/>
  <c r="K97" i="18"/>
  <c r="M73" i="20" l="1"/>
  <c r="N73" i="20" s="1"/>
  <c r="J74" i="20" s="1"/>
  <c r="Z117" i="18"/>
  <c r="Z123" i="18" s="1"/>
  <c r="AG31" i="18"/>
  <c r="AH31" i="18" s="1"/>
  <c r="AD63" i="18"/>
  <c r="AC92" i="18"/>
  <c r="Y23" i="18"/>
  <c r="X120" i="18"/>
  <c r="X126" i="18" s="1"/>
  <c r="AG29" i="18"/>
  <c r="AH22" i="18"/>
  <c r="AJ22" i="18"/>
  <c r="AA53" i="18"/>
  <c r="Y21" i="18"/>
  <c r="M74" i="20" l="1"/>
  <c r="N74" i="20" s="1"/>
  <c r="J75" i="20" s="1"/>
  <c r="AJ31" i="18"/>
  <c r="AA117" i="18"/>
  <c r="AA123" i="18" s="1"/>
  <c r="AD92" i="18"/>
  <c r="AE63" i="18"/>
  <c r="Z23" i="18"/>
  <c r="Y120" i="18"/>
  <c r="Y126" i="18" s="1"/>
  <c r="AJ29" i="18"/>
  <c r="AH29" i="18"/>
  <c r="Y20" i="18"/>
  <c r="X94" i="18"/>
  <c r="Z21" i="18"/>
  <c r="Y9" i="18"/>
  <c r="Z9" i="18" s="1"/>
  <c r="AA9" i="18" s="1"/>
  <c r="AB9" i="18" s="1"/>
  <c r="AC9" i="18" s="1"/>
  <c r="AD9" i="18" s="1"/>
  <c r="AE9" i="18" s="1"/>
  <c r="AF9" i="18" s="1"/>
  <c r="AG9" i="18" s="1"/>
  <c r="AJ9" i="18" s="1"/>
  <c r="X113" i="18"/>
  <c r="Y33" i="18"/>
  <c r="Z33" i="18" s="1"/>
  <c r="AA33" i="18" s="1"/>
  <c r="AB33" i="18" s="1"/>
  <c r="AC33" i="18" s="1"/>
  <c r="AD33" i="18" s="1"/>
  <c r="AE33" i="18" s="1"/>
  <c r="AF33" i="18" s="1"/>
  <c r="AG33" i="18" s="1"/>
  <c r="AJ33" i="18" s="1"/>
  <c r="Y34" i="18"/>
  <c r="Z34" i="18" s="1"/>
  <c r="AA34" i="18" s="1"/>
  <c r="AB34" i="18" s="1"/>
  <c r="AC34" i="18" s="1"/>
  <c r="AD34" i="18" s="1"/>
  <c r="AE34" i="18" s="1"/>
  <c r="AF34" i="18" s="1"/>
  <c r="AG34" i="18" s="1"/>
  <c r="AJ34" i="18" s="1"/>
  <c r="AB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R218" i="18" s="1"/>
  <c r="M75" i="20" l="1"/>
  <c r="N75" i="20" s="1"/>
  <c r="J76" i="20" s="1"/>
  <c r="AB117" i="18"/>
  <c r="AB123" i="18" s="1"/>
  <c r="AE92" i="18"/>
  <c r="AF63" i="18"/>
  <c r="Y94" i="18"/>
  <c r="X160" i="18"/>
  <c r="X170" i="18"/>
  <c r="X161" i="18"/>
  <c r="X171" i="18"/>
  <c r="AA23" i="18"/>
  <c r="Z120" i="18"/>
  <c r="Z126" i="18" s="1"/>
  <c r="X154" i="18"/>
  <c r="X155" i="18"/>
  <c r="X153" i="18"/>
  <c r="X141" i="18"/>
  <c r="S146" i="18"/>
  <c r="X116" i="18"/>
  <c r="X122" i="18" s="1"/>
  <c r="X150" i="18"/>
  <c r="X149" i="18"/>
  <c r="Y18" i="18"/>
  <c r="R207" i="18"/>
  <c r="Z20" i="18"/>
  <c r="Y27" i="18"/>
  <c r="AC53" i="18"/>
  <c r="Y25" i="18"/>
  <c r="Y133" i="18" s="1"/>
  <c r="X109" i="18"/>
  <c r="AA21" i="18"/>
  <c r="AH33" i="18"/>
  <c r="AH34" i="18"/>
  <c r="AH9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Y128" i="18"/>
  <c r="Y129" i="18"/>
  <c r="R220" i="18"/>
  <c r="R221" i="18" s="1"/>
  <c r="R219" i="18"/>
  <c r="AC117" i="18"/>
  <c r="AC123" i="18" s="1"/>
  <c r="Y113" i="18"/>
  <c r="Y151" i="18"/>
  <c r="AG63" i="18"/>
  <c r="AF92" i="18"/>
  <c r="Y161" i="18"/>
  <c r="Y171" i="18"/>
  <c r="Y160" i="18"/>
  <c r="Y170" i="18"/>
  <c r="AB23" i="18"/>
  <c r="AA120" i="18"/>
  <c r="AA126" i="18" s="1"/>
  <c r="Y153" i="18"/>
  <c r="Y155" i="18"/>
  <c r="Y154" i="18"/>
  <c r="Y141" i="18"/>
  <c r="Y116" i="18"/>
  <c r="Y122" i="18" s="1"/>
  <c r="Y150" i="18"/>
  <c r="Y149" i="18"/>
  <c r="Z18" i="18"/>
  <c r="AA20" i="18"/>
  <c r="Z94" i="18"/>
  <c r="Z27" i="18"/>
  <c r="Z25" i="18"/>
  <c r="Y109" i="18"/>
  <c r="AD53" i="18"/>
  <c r="AB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N77" i="20" l="1"/>
  <c r="J78" i="20" s="1"/>
  <c r="M77" i="20"/>
  <c r="Z129" i="18"/>
  <c r="Z133" i="18"/>
  <c r="Z151" i="18"/>
  <c r="Z128" i="18"/>
  <c r="AD117" i="18"/>
  <c r="AD123" i="18" s="1"/>
  <c r="AJ63" i="18"/>
  <c r="AG92" i="18"/>
  <c r="AH63" i="18"/>
  <c r="Z160" i="18"/>
  <c r="Z170" i="18"/>
  <c r="Z161" i="18"/>
  <c r="Z171" i="18"/>
  <c r="Z113" i="18"/>
  <c r="AC23" i="18"/>
  <c r="AB120" i="18"/>
  <c r="AB126" i="18" s="1"/>
  <c r="Z155" i="18"/>
  <c r="Z154" i="18"/>
  <c r="Z153" i="18"/>
  <c r="Z141" i="18"/>
  <c r="Z116" i="18"/>
  <c r="Z122" i="18" s="1"/>
  <c r="Z150" i="18"/>
  <c r="Z149" i="18"/>
  <c r="AA18" i="18"/>
  <c r="AB20" i="18"/>
  <c r="AA94" i="18"/>
  <c r="AA27" i="18"/>
  <c r="AA25" i="18"/>
  <c r="AA133" i="18" s="1"/>
  <c r="Z109" i="18"/>
  <c r="AE53" i="18"/>
  <c r="AC21" i="18"/>
  <c r="M78" i="20" l="1"/>
  <c r="N78" i="20" s="1"/>
  <c r="AA128" i="18"/>
  <c r="AA129" i="18"/>
  <c r="AE117" i="18"/>
  <c r="AE123" i="18" s="1"/>
  <c r="AA113" i="18"/>
  <c r="AA151" i="18"/>
  <c r="X192" i="18"/>
  <c r="T241" i="18" s="1"/>
  <c r="AJ92" i="18"/>
  <c r="Y192" i="18" s="1"/>
  <c r="S241" i="18" s="1"/>
  <c r="AH92" i="18"/>
  <c r="AA161" i="18"/>
  <c r="AA171" i="18"/>
  <c r="AA160" i="18"/>
  <c r="AA170" i="18"/>
  <c r="AD23" i="18"/>
  <c r="AC120" i="18"/>
  <c r="AC126" i="18" s="1"/>
  <c r="AA141" i="18"/>
  <c r="AA155" i="18"/>
  <c r="AA154" i="18"/>
  <c r="AA153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K76" i="18"/>
  <c r="L76" i="18"/>
  <c r="M76" i="18"/>
  <c r="M218" i="18" s="1"/>
  <c r="N76" i="18"/>
  <c r="N218" i="18" s="1"/>
  <c r="O76" i="18"/>
  <c r="O218" i="18" s="1"/>
  <c r="P76" i="18"/>
  <c r="P218" i="18" s="1"/>
  <c r="Q76" i="18"/>
  <c r="S76" i="18"/>
  <c r="S218" i="18" s="1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X158" i="18"/>
  <c r="X166" i="18"/>
  <c r="X167" i="18" s="1"/>
  <c r="X118" i="18"/>
  <c r="X124" i="18" s="1"/>
  <c r="Q218" i="18" l="1"/>
  <c r="U174" i="18"/>
  <c r="L218" i="18"/>
  <c r="V174" i="18"/>
  <c r="X248" i="18" s="1"/>
  <c r="X247" i="18" s="1"/>
  <c r="K218" i="18"/>
  <c r="N81" i="20"/>
  <c r="N82" i="20" s="1"/>
  <c r="J79" i="20"/>
  <c r="AB129" i="18"/>
  <c r="AB133" i="18"/>
  <c r="AB151" i="18"/>
  <c r="AB128" i="18"/>
  <c r="X215" i="18"/>
  <c r="AF117" i="18"/>
  <c r="AF123" i="18" s="1"/>
  <c r="X138" i="18"/>
  <c r="W192" i="18"/>
  <c r="AB160" i="18"/>
  <c r="AB170" i="18"/>
  <c r="AB113" i="18"/>
  <c r="AB161" i="18"/>
  <c r="AB171" i="18"/>
  <c r="AE23" i="18"/>
  <c r="AD120" i="18"/>
  <c r="AD126" i="18" s="1"/>
  <c r="X111" i="18"/>
  <c r="X112" i="18"/>
  <c r="X164" i="18"/>
  <c r="X163" i="18"/>
  <c r="X119" i="18"/>
  <c r="X125" i="18" s="1"/>
  <c r="X159" i="18"/>
  <c r="K207" i="18"/>
  <c r="AB141" i="18"/>
  <c r="AB154" i="18"/>
  <c r="AB153" i="18"/>
  <c r="AB155" i="18"/>
  <c r="X140" i="18"/>
  <c r="AB116" i="18"/>
  <c r="AB122" i="18" s="1"/>
  <c r="AB150" i="18"/>
  <c r="AB149" i="18"/>
  <c r="X139" i="18"/>
  <c r="AC18" i="18"/>
  <c r="S207" i="18"/>
  <c r="N207" i="18"/>
  <c r="M207" i="18"/>
  <c r="P207" i="18"/>
  <c r="L207" i="18"/>
  <c r="AD20" i="18"/>
  <c r="AC94" i="18"/>
  <c r="K88" i="18"/>
  <c r="K211" i="18" s="1"/>
  <c r="AC27" i="18"/>
  <c r="Y12" i="18"/>
  <c r="Y15" i="18"/>
  <c r="Y158" i="18" s="1"/>
  <c r="Y13" i="18"/>
  <c r="Y10" i="18"/>
  <c r="Y16" i="18"/>
  <c r="Y166" i="18" s="1"/>
  <c r="Y167" i="18" s="1"/>
  <c r="Y6" i="18"/>
  <c r="Y7" i="18"/>
  <c r="AC25" i="18"/>
  <c r="AC133" i="18" s="1"/>
  <c r="AB109" i="18"/>
  <c r="Y59" i="18"/>
  <c r="Y134" i="18" s="1"/>
  <c r="X110" i="18"/>
  <c r="AG53" i="18"/>
  <c r="O88" i="18"/>
  <c r="O211" i="18" s="1"/>
  <c r="N88" i="18"/>
  <c r="N211" i="18" s="1"/>
  <c r="M88" i="18"/>
  <c r="M211" i="18" s="1"/>
  <c r="AE21" i="18"/>
  <c r="Y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M79" i="20" l="1"/>
  <c r="N79" i="20" s="1"/>
  <c r="J80" i="20" s="1"/>
  <c r="Y136" i="18"/>
  <c r="Y135" i="18"/>
  <c r="AC128" i="18"/>
  <c r="AC129" i="18"/>
  <c r="Y215" i="18"/>
  <c r="Y224" i="18"/>
  <c r="Y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C113" i="18"/>
  <c r="AC151" i="18"/>
  <c r="Y118" i="18"/>
  <c r="Y124" i="18" s="1"/>
  <c r="Y72" i="18"/>
  <c r="Y114" i="18" s="1"/>
  <c r="Y249" i="18"/>
  <c r="Z249" i="18" s="1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Y138" i="18"/>
  <c r="AC160" i="18"/>
  <c r="AC170" i="18"/>
  <c r="AC161" i="18"/>
  <c r="AC171" i="18"/>
  <c r="AJ53" i="18"/>
  <c r="AG117" i="18"/>
  <c r="AF23" i="18"/>
  <c r="AE120" i="18"/>
  <c r="AE126" i="18" s="1"/>
  <c r="Y164" i="18"/>
  <c r="Y163" i="18"/>
  <c r="Y119" i="18"/>
  <c r="Y125" i="18" s="1"/>
  <c r="Y159" i="18"/>
  <c r="Y112" i="18"/>
  <c r="AC153" i="18"/>
  <c r="AC154" i="18"/>
  <c r="AC155" i="18"/>
  <c r="AC141" i="18"/>
  <c r="AC116" i="18"/>
  <c r="AC122" i="18" s="1"/>
  <c r="AC150" i="18"/>
  <c r="AC149" i="18"/>
  <c r="Y139" i="18"/>
  <c r="Y140" i="18"/>
  <c r="AD18" i="18"/>
  <c r="AE20" i="18"/>
  <c r="AD94" i="18"/>
  <c r="AD27" i="18"/>
  <c r="Z15" i="18"/>
  <c r="Z158" i="18" s="1"/>
  <c r="Z13" i="18"/>
  <c r="Z12" i="18"/>
  <c r="Z16" i="18"/>
  <c r="Z166" i="18" s="1"/>
  <c r="Z167" i="18" s="1"/>
  <c r="Z10" i="18"/>
  <c r="Z7" i="18"/>
  <c r="Z6" i="18"/>
  <c r="AH53" i="18"/>
  <c r="AD25" i="18"/>
  <c r="AD133" i="18" s="1"/>
  <c r="AC109" i="18"/>
  <c r="Z59" i="18"/>
  <c r="Z134" i="18" s="1"/>
  <c r="Y111" i="18"/>
  <c r="Y110" i="18"/>
  <c r="AF21" i="18"/>
  <c r="Z205" i="18"/>
  <c r="J211" i="18"/>
  <c r="Q211" i="18"/>
  <c r="S211" i="18"/>
  <c r="M80" i="20" l="1"/>
  <c r="N80" i="20" s="1"/>
  <c r="Z135" i="18"/>
  <c r="Z136" i="18"/>
  <c r="AD128" i="18"/>
  <c r="AD129" i="18"/>
  <c r="Y230" i="18"/>
  <c r="Y231" i="18" s="1"/>
  <c r="Y228" i="18"/>
  <c r="Y225" i="18"/>
  <c r="Y226" i="18" s="1"/>
  <c r="Y223" i="18"/>
  <c r="Z215" i="18"/>
  <c r="Z229" i="18"/>
  <c r="Z224" i="18"/>
  <c r="AD113" i="18"/>
  <c r="AD151" i="18"/>
  <c r="Z118" i="18"/>
  <c r="Z124" i="18" s="1"/>
  <c r="Z72" i="18"/>
  <c r="Z114" i="18" s="1"/>
  <c r="Y250" i="18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H117" i="18"/>
  <c r="AG123" i="18"/>
  <c r="AH123" i="18" s="1"/>
  <c r="Y248" i="18"/>
  <c r="Z248" i="18" s="1"/>
  <c r="AA248" i="18" s="1"/>
  <c r="AB248" i="18" s="1"/>
  <c r="AC248" i="18" s="1"/>
  <c r="AD248" i="18" s="1"/>
  <c r="AE248" i="18" s="1"/>
  <c r="AF248" i="18" s="1"/>
  <c r="AG248" i="18" s="1"/>
  <c r="AH248" i="18" s="1"/>
  <c r="Z138" i="18"/>
  <c r="AD160" i="18"/>
  <c r="AD170" i="18"/>
  <c r="AD161" i="18"/>
  <c r="AD171" i="18"/>
  <c r="AG23" i="18"/>
  <c r="AF120" i="18"/>
  <c r="AF126" i="18" s="1"/>
  <c r="Z119" i="18"/>
  <c r="Z125" i="18" s="1"/>
  <c r="Z159" i="18"/>
  <c r="Z164" i="18"/>
  <c r="Z163" i="18"/>
  <c r="Z112" i="18"/>
  <c r="AD155" i="18"/>
  <c r="AD154" i="18"/>
  <c r="AD153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3" i="18"/>
  <c r="AA12" i="18"/>
  <c r="AA15" i="18"/>
  <c r="AA158" i="18" s="1"/>
  <c r="AA10" i="18"/>
  <c r="AA16" i="18"/>
  <c r="AA166" i="18" s="1"/>
  <c r="AA167" i="18" s="1"/>
  <c r="AA6" i="18"/>
  <c r="AA7" i="18"/>
  <c r="AA59" i="18"/>
  <c r="AA134" i="18" s="1"/>
  <c r="Z111" i="18"/>
  <c r="Z110" i="18"/>
  <c r="AE25" i="18"/>
  <c r="AE133" i="18" s="1"/>
  <c r="AD109" i="18"/>
  <c r="AG21" i="18"/>
  <c r="AJ21" i="18" s="1"/>
  <c r="AA205" i="18"/>
  <c r="AA136" i="18" l="1"/>
  <c r="AA135" i="18"/>
  <c r="AE128" i="18"/>
  <c r="AE129" i="18"/>
  <c r="Z225" i="18"/>
  <c r="Z226" i="18" s="1"/>
  <c r="Z223" i="18"/>
  <c r="Z230" i="18"/>
  <c r="Z231" i="18" s="1"/>
  <c r="Z228" i="18"/>
  <c r="AA215" i="18"/>
  <c r="AA224" i="18"/>
  <c r="AA229" i="18"/>
  <c r="AE113" i="18"/>
  <c r="AE151" i="18"/>
  <c r="AA118" i="18"/>
  <c r="AA124" i="18" s="1"/>
  <c r="AA72" i="18"/>
  <c r="AA114" i="18" s="1"/>
  <c r="Y247" i="18"/>
  <c r="Z247" i="18" s="1"/>
  <c r="AA247" i="18" s="1"/>
  <c r="AB247" i="18" s="1"/>
  <c r="AC247" i="18" s="1"/>
  <c r="AD247" i="18" s="1"/>
  <c r="AE247" i="18" s="1"/>
  <c r="AF247" i="18" s="1"/>
  <c r="AG247" i="18" s="1"/>
  <c r="AH247" i="18" s="1"/>
  <c r="AI248" i="18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A138" i="18"/>
  <c r="AE160" i="18"/>
  <c r="AE170" i="18"/>
  <c r="AE161" i="18"/>
  <c r="AE171" i="18"/>
  <c r="AJ23" i="18"/>
  <c r="AG120" i="18"/>
  <c r="AH23" i="18"/>
  <c r="AA112" i="18"/>
  <c r="AA163" i="18"/>
  <c r="AA164" i="18"/>
  <c r="AA119" i="18"/>
  <c r="AA125" i="18" s="1"/>
  <c r="AA159" i="18"/>
  <c r="AE155" i="18"/>
  <c r="AE154" i="18"/>
  <c r="AE153" i="18"/>
  <c r="AE141" i="18"/>
  <c r="AE116" i="18"/>
  <c r="AE122" i="18" s="1"/>
  <c r="AE150" i="18"/>
  <c r="AE149" i="18"/>
  <c r="AA140" i="18"/>
  <c r="AA139" i="18"/>
  <c r="AF18" i="18"/>
  <c r="AG20" i="18"/>
  <c r="AF94" i="18"/>
  <c r="AF27" i="18"/>
  <c r="AB12" i="18"/>
  <c r="AB15" i="18"/>
  <c r="AB158" i="18" s="1"/>
  <c r="AB13" i="18"/>
  <c r="AB16" i="18"/>
  <c r="AB166" i="18" s="1"/>
  <c r="AB167" i="18" s="1"/>
  <c r="AB10" i="18"/>
  <c r="AB7" i="18"/>
  <c r="AB6" i="18"/>
  <c r="AF25" i="18"/>
  <c r="AE109" i="18"/>
  <c r="AB59" i="18"/>
  <c r="AB134" i="18" s="1"/>
  <c r="AA110" i="18"/>
  <c r="AA111" i="18"/>
  <c r="AH21" i="18"/>
  <c r="AB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29" i="18" l="1"/>
  <c r="AF133" i="18"/>
  <c r="AB136" i="18"/>
  <c r="AB135" i="18"/>
  <c r="AF151" i="18"/>
  <c r="AF128" i="18"/>
  <c r="AA230" i="18"/>
  <c r="AA231" i="18" s="1"/>
  <c r="AA228" i="18"/>
  <c r="AA225" i="18"/>
  <c r="AA226" i="18" s="1"/>
  <c r="AA223" i="18"/>
  <c r="AB215" i="18"/>
  <c r="AB229" i="18"/>
  <c r="AB224" i="18"/>
  <c r="AB118" i="18"/>
  <c r="AB124" i="18" s="1"/>
  <c r="AB72" i="18"/>
  <c r="AB114" i="18" s="1"/>
  <c r="AI247" i="18"/>
  <c r="AJ247" i="18" s="1"/>
  <c r="AK247" i="18" s="1"/>
  <c r="AL247" i="18" s="1"/>
  <c r="AM247" i="18" s="1"/>
  <c r="AN247" i="18" s="1"/>
  <c r="AO247" i="18" s="1"/>
  <c r="AP247" i="18" s="1"/>
  <c r="AQ247" i="18" s="1"/>
  <c r="AR247" i="18" s="1"/>
  <c r="AS247" i="18" s="1"/>
  <c r="AT247" i="18" s="1"/>
  <c r="AU247" i="18" s="1"/>
  <c r="AV247" i="18" s="1"/>
  <c r="AW247" i="18" s="1"/>
  <c r="AX247" i="18" s="1"/>
  <c r="AH120" i="18"/>
  <c r="AG126" i="18"/>
  <c r="AH126" i="18" s="1"/>
  <c r="AB138" i="18"/>
  <c r="AF160" i="18"/>
  <c r="AF170" i="18"/>
  <c r="AF161" i="18"/>
  <c r="AF171" i="18"/>
  <c r="AJ20" i="18"/>
  <c r="AF113" i="18"/>
  <c r="AB164" i="18"/>
  <c r="AB163" i="18"/>
  <c r="AB119" i="18"/>
  <c r="AB125" i="18" s="1"/>
  <c r="AB159" i="18"/>
  <c r="AB112" i="18"/>
  <c r="AF154" i="18"/>
  <c r="AF153" i="18"/>
  <c r="AF155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G171" i="18" s="1"/>
  <c r="AH171" i="18" s="1"/>
  <c r="AC15" i="18"/>
  <c r="AC158" i="18" s="1"/>
  <c r="AC13" i="18"/>
  <c r="AC12" i="18"/>
  <c r="AC10" i="18"/>
  <c r="AC16" i="18"/>
  <c r="AC166" i="18" s="1"/>
  <c r="AC167" i="18" s="1"/>
  <c r="AC6" i="18"/>
  <c r="AC7" i="18"/>
  <c r="AC59" i="18"/>
  <c r="AC134" i="18" s="1"/>
  <c r="AB111" i="18"/>
  <c r="AB110" i="18"/>
  <c r="AG25" i="18"/>
  <c r="AG133" i="18" s="1"/>
  <c r="AH133" i="18" s="1"/>
  <c r="AF109" i="18"/>
  <c r="AC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136" i="18" l="1"/>
  <c r="AC135" i="18"/>
  <c r="AG128" i="18"/>
  <c r="AH128" i="18" s="1"/>
  <c r="AG129" i="18"/>
  <c r="AH129" i="18" s="1"/>
  <c r="AB225" i="18"/>
  <c r="AB226" i="18" s="1"/>
  <c r="AB223" i="18"/>
  <c r="AB230" i="18"/>
  <c r="AB231" i="18" s="1"/>
  <c r="AB228" i="18"/>
  <c r="AC215" i="18"/>
  <c r="AC229" i="18"/>
  <c r="AC224" i="18"/>
  <c r="AG113" i="18"/>
  <c r="AH113" i="18" s="1"/>
  <c r="AG151" i="18"/>
  <c r="AH151" i="18" s="1"/>
  <c r="AC118" i="18"/>
  <c r="AC124" i="18" s="1"/>
  <c r="AC72" i="18"/>
  <c r="AC114" i="18" s="1"/>
  <c r="AC138" i="18"/>
  <c r="AG160" i="18"/>
  <c r="AH160" i="18" s="1"/>
  <c r="AG170" i="18"/>
  <c r="AH170" i="18" s="1"/>
  <c r="AC119" i="18"/>
  <c r="AC125" i="18" s="1"/>
  <c r="AC159" i="18"/>
  <c r="AC164" i="18"/>
  <c r="AC163" i="18"/>
  <c r="AJ27" i="18"/>
  <c r="AG161" i="18"/>
  <c r="AH161" i="18" s="1"/>
  <c r="AC112" i="18"/>
  <c r="AG153" i="18"/>
  <c r="AH153" i="18" s="1"/>
  <c r="AG155" i="18"/>
  <c r="AH155" i="18" s="1"/>
  <c r="AG154" i="18"/>
  <c r="AH15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G141" i="18"/>
  <c r="AH141" i="18" s="1"/>
  <c r="AG116" i="18"/>
  <c r="AG150" i="18"/>
  <c r="AH150" i="18" s="1"/>
  <c r="AG149" i="18"/>
  <c r="AH149" i="18" s="1"/>
  <c r="AC140" i="18"/>
  <c r="AC139" i="18"/>
  <c r="AJ25" i="18"/>
  <c r="AJ18" i="18"/>
  <c r="AH18" i="18"/>
  <c r="X194" i="18"/>
  <c r="AJ94" i="18"/>
  <c r="AH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27" i="18"/>
  <c r="AD12" i="18"/>
  <c r="AD15" i="18"/>
  <c r="AD158" i="18" s="1"/>
  <c r="AD13" i="18"/>
  <c r="AD10" i="18"/>
  <c r="AD16" i="18"/>
  <c r="AD166" i="18" s="1"/>
  <c r="AD167" i="18" s="1"/>
  <c r="AD7" i="18"/>
  <c r="AD6" i="18"/>
  <c r="AH25" i="18"/>
  <c r="AG109" i="18"/>
  <c r="AH109" i="18" s="1"/>
  <c r="AD59" i="18"/>
  <c r="AD134" i="18" s="1"/>
  <c r="AC111" i="18"/>
  <c r="AC110" i="18"/>
  <c r="O31" i="9"/>
  <c r="O32" i="9" s="1"/>
  <c r="AD205" i="18"/>
  <c r="P31" i="11"/>
  <c r="N32" i="11"/>
  <c r="T19" i="9"/>
  <c r="D22" i="9"/>
  <c r="AD135" i="18" l="1"/>
  <c r="AD136" i="18"/>
  <c r="AC225" i="18"/>
  <c r="AC226" i="18" s="1"/>
  <c r="AC223" i="18"/>
  <c r="AC230" i="18"/>
  <c r="AC231" i="18" s="1"/>
  <c r="AC228" i="18"/>
  <c r="AD215" i="18"/>
  <c r="AD224" i="18"/>
  <c r="AD229" i="18"/>
  <c r="AD118" i="18"/>
  <c r="AD124" i="18" s="1"/>
  <c r="AD72" i="18"/>
  <c r="AD114" i="18" s="1"/>
  <c r="AH116" i="18"/>
  <c r="AG122" i="18"/>
  <c r="AH122" i="18" s="1"/>
  <c r="AD138" i="18"/>
  <c r="AD164" i="18"/>
  <c r="AD163" i="18"/>
  <c r="AD119" i="18"/>
  <c r="AD125" i="18" s="1"/>
  <c r="AD159" i="18"/>
  <c r="AD112" i="18"/>
  <c r="AD139" i="18"/>
  <c r="AD140" i="18"/>
  <c r="Y194" i="18"/>
  <c r="W194" i="18" s="1"/>
  <c r="AE13" i="18"/>
  <c r="AE12" i="18"/>
  <c r="AE15" i="18"/>
  <c r="AE158" i="18" s="1"/>
  <c r="AE10" i="18"/>
  <c r="AE16" i="18"/>
  <c r="AE166" i="18" s="1"/>
  <c r="AE167" i="18" s="1"/>
  <c r="AE6" i="18"/>
  <c r="AE7" i="18"/>
  <c r="AE59" i="18"/>
  <c r="AE134" i="18" s="1"/>
  <c r="AD111" i="18"/>
  <c r="AD110" i="18"/>
  <c r="AE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E136" i="18" l="1"/>
  <c r="AE135" i="18"/>
  <c r="AD230" i="18"/>
  <c r="AD231" i="18" s="1"/>
  <c r="AD228" i="18"/>
  <c r="AD225" i="18"/>
  <c r="AD226" i="18" s="1"/>
  <c r="AD223" i="18"/>
  <c r="AE215" i="18"/>
  <c r="AE229" i="18"/>
  <c r="AE224" i="18"/>
  <c r="AE118" i="18"/>
  <c r="AE124" i="18" s="1"/>
  <c r="AE72" i="18"/>
  <c r="AE114" i="18" s="1"/>
  <c r="AE138" i="18"/>
  <c r="AE119" i="18"/>
  <c r="AE125" i="18" s="1"/>
  <c r="AE159" i="18"/>
  <c r="AE163" i="18"/>
  <c r="AE164" i="18"/>
  <c r="AE112" i="18"/>
  <c r="AE139" i="18"/>
  <c r="AE140" i="18"/>
  <c r="AF12" i="18"/>
  <c r="AF15" i="18"/>
  <c r="AF158" i="18" s="1"/>
  <c r="AF13" i="18"/>
  <c r="AF10" i="18"/>
  <c r="AF16" i="18"/>
  <c r="AF166" i="18" s="1"/>
  <c r="AF167" i="18" s="1"/>
  <c r="AF7" i="18"/>
  <c r="AF6" i="18"/>
  <c r="AF59" i="18"/>
  <c r="AF134" i="18" s="1"/>
  <c r="AE110" i="18"/>
  <c r="AE111" i="18"/>
  <c r="AF205" i="18"/>
  <c r="N34" i="11"/>
  <c r="O33" i="11"/>
  <c r="AF136" i="18" l="1"/>
  <c r="AF135" i="18"/>
  <c r="AE225" i="18"/>
  <c r="AE226" i="18" s="1"/>
  <c r="AE223" i="18"/>
  <c r="AE230" i="18"/>
  <c r="AE231" i="18" s="1"/>
  <c r="AE228" i="18"/>
  <c r="AF215" i="18"/>
  <c r="AF229" i="18"/>
  <c r="AF224" i="18"/>
  <c r="AF118" i="18"/>
  <c r="AF124" i="18" s="1"/>
  <c r="AF72" i="18"/>
  <c r="AF114" i="18" s="1"/>
  <c r="AF138" i="18"/>
  <c r="AF112" i="18"/>
  <c r="AF163" i="18"/>
  <c r="AF164" i="18"/>
  <c r="AF119" i="18"/>
  <c r="AF125" i="18" s="1"/>
  <c r="AF159" i="18"/>
  <c r="AF139" i="18"/>
  <c r="AF140" i="18"/>
  <c r="AG15" i="18"/>
  <c r="AG13" i="18"/>
  <c r="AJ13" i="18" s="1"/>
  <c r="AG12" i="18"/>
  <c r="AG159" i="18" s="1"/>
  <c r="AH159" i="18" s="1"/>
  <c r="AG10" i="18"/>
  <c r="AG16" i="18"/>
  <c r="AG6" i="18"/>
  <c r="AJ6" i="18" s="1"/>
  <c r="AG7" i="18"/>
  <c r="AJ7" i="18" s="1"/>
  <c r="AG59" i="18"/>
  <c r="AG134" i="18" s="1"/>
  <c r="AH134" i="18" s="1"/>
  <c r="AF111" i="18"/>
  <c r="AF110" i="18"/>
  <c r="AG205" i="18"/>
  <c r="N35" i="11"/>
  <c r="O34" i="11"/>
  <c r="AG136" i="18" l="1"/>
  <c r="AH136" i="18" s="1"/>
  <c r="AG135" i="18"/>
  <c r="AH135" i="18" s="1"/>
  <c r="AF225" i="18"/>
  <c r="AF226" i="18" s="1"/>
  <c r="AF223" i="18"/>
  <c r="AF230" i="18"/>
  <c r="AF231" i="18" s="1"/>
  <c r="AF228" i="18"/>
  <c r="AG215" i="18"/>
  <c r="AH215" i="18" s="1"/>
  <c r="AJ215" i="18" s="1"/>
  <c r="AJ231" i="18" s="1"/>
  <c r="AG229" i="18"/>
  <c r="AG228" i="18" s="1"/>
  <c r="AH228" i="18" s="1"/>
  <c r="AG224" i="18"/>
  <c r="AG223" i="18" s="1"/>
  <c r="AH223" i="18" s="1"/>
  <c r="AG118" i="18"/>
  <c r="AG124" i="18" s="1"/>
  <c r="AH124" i="18" s="1"/>
  <c r="AG72" i="18"/>
  <c r="AG138" i="18"/>
  <c r="AH138" i="18" s="1"/>
  <c r="AJ16" i="18"/>
  <c r="AG166" i="18"/>
  <c r="AG164" i="18"/>
  <c r="AH164" i="18" s="1"/>
  <c r="AG163" i="18"/>
  <c r="AH163" i="18" s="1"/>
  <c r="AJ15" i="18"/>
  <c r="AG158" i="18"/>
  <c r="AH158" i="18" s="1"/>
  <c r="AG112" i="18"/>
  <c r="AH112" i="18" s="1"/>
  <c r="AJ10" i="18"/>
  <c r="AJ12" i="18"/>
  <c r="AG119" i="18"/>
  <c r="AJ59" i="18"/>
  <c r="AG139" i="18"/>
  <c r="AH139" i="18" s="1"/>
  <c r="AG140" i="18"/>
  <c r="AH140" i="18" s="1"/>
  <c r="AH15" i="18"/>
  <c r="AH13" i="18"/>
  <c r="X188" i="18"/>
  <c r="AH12" i="18"/>
  <c r="AH10" i="18"/>
  <c r="AH16" i="18"/>
  <c r="AH7" i="18"/>
  <c r="AH6" i="18"/>
  <c r="AG111" i="18"/>
  <c r="AH111" i="18" s="1"/>
  <c r="AG110" i="18"/>
  <c r="AH110" i="18" s="1"/>
  <c r="AH59" i="18"/>
  <c r="AH205" i="18"/>
  <c r="AJ205" i="18" s="1"/>
  <c r="N36" i="11"/>
  <c r="O35" i="11"/>
  <c r="AG225" i="18" l="1"/>
  <c r="AH224" i="18"/>
  <c r="AH229" i="18"/>
  <c r="AG230" i="18"/>
  <c r="AH72" i="18"/>
  <c r="AJ72" i="18"/>
  <c r="AH118" i="18"/>
  <c r="AG114" i="18"/>
  <c r="AH114" i="18" s="1"/>
  <c r="AH119" i="18"/>
  <c r="AG125" i="18"/>
  <c r="AH125" i="18" s="1"/>
  <c r="AH166" i="18"/>
  <c r="AG167" i="18"/>
  <c r="AH167" i="18" s="1"/>
  <c r="Y188" i="18"/>
  <c r="Y189" i="18" s="1"/>
  <c r="S244" i="18" s="1"/>
  <c r="X189" i="18"/>
  <c r="T244" i="18" s="1"/>
  <c r="N37" i="11"/>
  <c r="O36" i="11"/>
  <c r="AH225" i="18" l="1"/>
  <c r="AG226" i="18"/>
  <c r="AH226" i="18" s="1"/>
  <c r="AG231" i="18"/>
  <c r="AH231" i="18" s="1"/>
  <c r="AH230" i="18"/>
  <c r="W188" i="18"/>
  <c r="W189" i="18"/>
  <c r="N38" i="11"/>
  <c r="O37" i="11"/>
  <c r="P244" i="18" l="1"/>
  <c r="N39" i="11"/>
  <c r="O38" i="11"/>
  <c r="N40" i="11" l="1"/>
  <c r="O39" i="11"/>
  <c r="N41" i="11" l="1"/>
  <c r="O40" i="11"/>
  <c r="N42" i="11" l="1"/>
  <c r="O41" i="11"/>
  <c r="X216" i="18"/>
  <c r="X97" i="18"/>
  <c r="X78" i="18"/>
  <c r="X83" i="18"/>
  <c r="X104" i="18"/>
  <c r="X106" i="18"/>
  <c r="X99" i="18"/>
  <c r="X96" i="18"/>
  <c r="X82" i="18"/>
  <c r="X77" i="18"/>
  <c r="X71" i="18"/>
  <c r="X89" i="18"/>
  <c r="X103" i="18"/>
  <c r="X87" i="18"/>
  <c r="X80" i="18"/>
  <c r="X98" i="18"/>
  <c r="X100" i="18"/>
  <c r="X84" i="18"/>
  <c r="X213" i="18" s="1"/>
  <c r="X70" i="18"/>
  <c r="X206" i="18" s="1"/>
  <c r="X75" i="18"/>
  <c r="X209" i="18" s="1"/>
  <c r="X90" i="18"/>
  <c r="X212" i="18" s="1"/>
  <c r="X102" i="18"/>
  <c r="X168" i="18" s="1"/>
  <c r="X74" i="18"/>
  <c r="X208" i="18" s="1"/>
  <c r="X86" i="18"/>
  <c r="X143" i="18"/>
  <c r="X144" i="18" s="1"/>
  <c r="X76" i="18"/>
  <c r="X218" i="18" s="1"/>
  <c r="X79" i="18"/>
  <c r="Y61" i="18"/>
  <c r="X210" i="18" l="1"/>
  <c r="X234" i="18" s="1"/>
  <c r="X88" i="18"/>
  <c r="X211" i="18" s="1"/>
  <c r="Y80" i="18"/>
  <c r="Y103" i="18"/>
  <c r="Y87" i="18"/>
  <c r="Y99" i="18"/>
  <c r="Y83" i="18"/>
  <c r="Y82" i="18"/>
  <c r="Y216" i="18"/>
  <c r="Y98" i="18"/>
  <c r="Y78" i="18"/>
  <c r="Y102" i="18"/>
  <c r="Y168" i="18" s="1"/>
  <c r="Y90" i="18"/>
  <c r="Y212" i="18" s="1"/>
  <c r="Y74" i="18"/>
  <c r="Y208" i="18" s="1"/>
  <c r="Y143" i="18"/>
  <c r="Y144" i="18" s="1"/>
  <c r="Y96" i="18"/>
  <c r="Y77" i="18"/>
  <c r="Y106" i="18"/>
  <c r="Y89" i="18"/>
  <c r="Y104" i="18"/>
  <c r="Y97" i="18"/>
  <c r="Y100" i="18"/>
  <c r="Y71" i="18"/>
  <c r="Y79" i="18"/>
  <c r="Y210" i="18" s="1"/>
  <c r="Y234" i="18" s="1"/>
  <c r="Y70" i="18"/>
  <c r="Y206" i="18" s="1"/>
  <c r="Y84" i="18"/>
  <c r="Y213" i="18" s="1"/>
  <c r="Y75" i="18"/>
  <c r="Y209" i="18" s="1"/>
  <c r="Y76" i="18"/>
  <c r="Y218" i="18" s="1"/>
  <c r="Z61" i="18"/>
  <c r="Y86" i="18"/>
  <c r="X145" i="18"/>
  <c r="X146" i="18" s="1"/>
  <c r="X147" i="18"/>
  <c r="X207" i="18"/>
  <c r="X235" i="18" l="1"/>
  <c r="X236" i="18" s="1"/>
  <c r="X233" i="18"/>
  <c r="Y235" i="18"/>
  <c r="Y236" i="18" s="1"/>
  <c r="Y233" i="18"/>
  <c r="Y88" i="18"/>
  <c r="Y211" i="18" s="1"/>
  <c r="X220" i="18"/>
  <c r="X221" i="18" s="1"/>
  <c r="X219" i="18"/>
  <c r="Z97" i="18"/>
  <c r="Z74" i="18"/>
  <c r="Z208" i="18" s="1"/>
  <c r="Z98" i="18"/>
  <c r="Z99" i="18"/>
  <c r="Z103" i="18"/>
  <c r="Z83" i="18"/>
  <c r="Z80" i="18"/>
  <c r="Z106" i="18"/>
  <c r="Z89" i="18"/>
  <c r="Z87" i="18"/>
  <c r="Z70" i="18"/>
  <c r="Z206" i="18" s="1"/>
  <c r="Z79" i="18"/>
  <c r="Z210" i="18" s="1"/>
  <c r="Z234" i="18" s="1"/>
  <c r="Z75" i="18"/>
  <c r="Z209" i="18" s="1"/>
  <c r="Z78" i="18"/>
  <c r="Z77" i="18"/>
  <c r="Z96" i="18"/>
  <c r="Z100" i="18"/>
  <c r="Z71" i="18"/>
  <c r="Z84" i="18"/>
  <c r="Z213" i="18" s="1"/>
  <c r="Z104" i="18"/>
  <c r="Z82" i="18"/>
  <c r="Z216" i="18"/>
  <c r="Z102" i="18"/>
  <c r="Z168" i="18" s="1"/>
  <c r="Z90" i="18"/>
  <c r="Z212" i="18" s="1"/>
  <c r="Z86" i="18"/>
  <c r="Z143" i="18"/>
  <c r="Z144" i="18" s="1"/>
  <c r="Z76" i="18"/>
  <c r="Z218" i="18" s="1"/>
  <c r="AA61" i="18"/>
  <c r="Y207" i="18"/>
  <c r="Y147" i="18"/>
  <c r="Y145" i="18"/>
  <c r="Y146" i="18" s="1"/>
  <c r="Z235" i="18" l="1"/>
  <c r="Z236" i="18" s="1"/>
  <c r="Z233" i="18"/>
  <c r="Y220" i="18"/>
  <c r="Y221" i="18" s="1"/>
  <c r="Y219" i="18"/>
  <c r="AA97" i="18"/>
  <c r="AA216" i="18"/>
  <c r="AA71" i="18"/>
  <c r="AA98" i="18"/>
  <c r="AA83" i="18"/>
  <c r="AA78" i="18"/>
  <c r="AA82" i="18"/>
  <c r="AA96" i="18"/>
  <c r="AA102" i="18"/>
  <c r="AA168" i="18" s="1"/>
  <c r="AA74" i="18"/>
  <c r="AA208" i="18" s="1"/>
  <c r="AA75" i="18"/>
  <c r="AA209" i="18" s="1"/>
  <c r="AA90" i="18"/>
  <c r="AA212" i="18" s="1"/>
  <c r="AA106" i="18"/>
  <c r="AA77" i="18"/>
  <c r="AA100" i="18"/>
  <c r="AA104" i="18"/>
  <c r="AA103" i="18"/>
  <c r="AA80" i="18"/>
  <c r="AA99" i="18"/>
  <c r="AA89" i="18"/>
  <c r="AA87" i="18"/>
  <c r="AA84" i="18"/>
  <c r="AA213" i="18" s="1"/>
  <c r="AA70" i="18"/>
  <c r="AA206" i="18" s="1"/>
  <c r="AA143" i="18"/>
  <c r="AA144" i="18" s="1"/>
  <c r="AA76" i="18"/>
  <c r="AA218" i="18" s="1"/>
  <c r="AA79" i="18"/>
  <c r="AA210" i="18" s="1"/>
  <c r="AA234" i="18" s="1"/>
  <c r="AB61" i="18"/>
  <c r="AA86" i="18"/>
  <c r="Z207" i="18"/>
  <c r="Z145" i="18"/>
  <c r="Z146" i="18" s="1"/>
  <c r="Z147" i="18"/>
  <c r="Z88" i="18"/>
  <c r="Z211" i="18" s="1"/>
  <c r="AA235" i="18" l="1"/>
  <c r="AA236" i="18" s="1"/>
  <c r="AA233" i="18"/>
  <c r="Z220" i="18"/>
  <c r="Z221" i="18" s="1"/>
  <c r="Z219" i="18"/>
  <c r="AA207" i="18"/>
  <c r="AA88" i="18"/>
  <c r="AA211" i="18" s="1"/>
  <c r="AA147" i="18"/>
  <c r="AA145" i="18"/>
  <c r="AA146" i="18" s="1"/>
  <c r="AB77" i="18"/>
  <c r="AB98" i="18"/>
  <c r="AB87" i="18"/>
  <c r="AB97" i="18"/>
  <c r="AB96" i="18"/>
  <c r="AB82" i="18"/>
  <c r="AB71" i="18"/>
  <c r="AB80" i="18"/>
  <c r="AB79" i="18"/>
  <c r="AB210" i="18" s="1"/>
  <c r="AB234" i="18" s="1"/>
  <c r="AB70" i="18"/>
  <c r="AB206" i="18" s="1"/>
  <c r="AB102" i="18"/>
  <c r="AB168" i="18" s="1"/>
  <c r="AB216" i="18"/>
  <c r="AB100" i="18"/>
  <c r="AB78" i="18"/>
  <c r="AB106" i="18"/>
  <c r="AB99" i="18"/>
  <c r="AB83" i="18"/>
  <c r="AB89" i="18"/>
  <c r="AB103" i="18"/>
  <c r="AB104" i="18"/>
  <c r="AB74" i="18"/>
  <c r="AB208" i="18" s="1"/>
  <c r="AB75" i="18"/>
  <c r="AB209" i="18" s="1"/>
  <c r="AB90" i="18"/>
  <c r="AB212" i="18" s="1"/>
  <c r="AB84" i="18"/>
  <c r="AB213" i="18" s="1"/>
  <c r="AB86" i="18"/>
  <c r="AB76" i="18"/>
  <c r="AB218" i="18" s="1"/>
  <c r="AB143" i="18"/>
  <c r="AB144" i="18" s="1"/>
  <c r="AC61" i="18"/>
  <c r="AB235" i="18" l="1"/>
  <c r="AB236" i="18" s="1"/>
  <c r="AB233" i="18"/>
  <c r="AB88" i="18"/>
  <c r="AB211" i="18" s="1"/>
  <c r="AA220" i="18"/>
  <c r="AA221" i="18" s="1"/>
  <c r="AA219" i="18"/>
  <c r="AC77" i="18"/>
  <c r="AC80" i="18"/>
  <c r="AC82" i="18"/>
  <c r="AC71" i="18"/>
  <c r="AC84" i="18"/>
  <c r="AC213" i="18" s="1"/>
  <c r="AC96" i="18"/>
  <c r="AC89" i="18"/>
  <c r="AC97" i="18"/>
  <c r="AC87" i="18"/>
  <c r="AC75" i="18"/>
  <c r="AC209" i="18" s="1"/>
  <c r="AC70" i="18"/>
  <c r="AC206" i="18" s="1"/>
  <c r="AC79" i="18"/>
  <c r="AC210" i="18" s="1"/>
  <c r="AC234" i="18" s="1"/>
  <c r="AC99" i="18"/>
  <c r="AC98" i="18"/>
  <c r="AC78" i="18"/>
  <c r="AC104" i="18"/>
  <c r="AC90" i="18"/>
  <c r="AC212" i="18" s="1"/>
  <c r="AC106" i="18"/>
  <c r="AC216" i="18"/>
  <c r="AC103" i="18"/>
  <c r="AC100" i="18"/>
  <c r="AC83" i="18"/>
  <c r="AC102" i="18"/>
  <c r="AC168" i="18" s="1"/>
  <c r="AC74" i="18"/>
  <c r="AC208" i="18" s="1"/>
  <c r="AD61" i="18"/>
  <c r="AC143" i="18"/>
  <c r="AC144" i="18" s="1"/>
  <c r="AC86" i="18"/>
  <c r="AC76" i="18"/>
  <c r="AC218" i="18" s="1"/>
  <c r="AB145" i="18"/>
  <c r="AB146" i="18" s="1"/>
  <c r="AB147" i="18"/>
  <c r="AB207" i="18"/>
  <c r="AC235" i="18" l="1"/>
  <c r="AC236" i="18" s="1"/>
  <c r="AC233" i="18"/>
  <c r="AB220" i="18"/>
  <c r="AB221" i="18" s="1"/>
  <c r="AB219" i="18"/>
  <c r="AC88" i="18"/>
  <c r="AC211" i="18" s="1"/>
  <c r="AD96" i="18"/>
  <c r="AD83" i="18"/>
  <c r="AD216" i="18"/>
  <c r="AD82" i="18"/>
  <c r="AD84" i="18"/>
  <c r="AD213" i="18" s="1"/>
  <c r="AD99" i="18"/>
  <c r="AD71" i="18"/>
  <c r="AD87" i="18"/>
  <c r="AD104" i="18"/>
  <c r="AD102" i="18"/>
  <c r="AD168" i="18" s="1"/>
  <c r="AD70" i="18"/>
  <c r="AD206" i="18" s="1"/>
  <c r="AD103" i="18"/>
  <c r="AD78" i="18"/>
  <c r="AD80" i="18"/>
  <c r="AD100" i="18"/>
  <c r="AD90" i="18"/>
  <c r="AD212" i="18" s="1"/>
  <c r="AD77" i="18"/>
  <c r="AD106" i="18"/>
  <c r="AD98" i="18"/>
  <c r="AD97" i="18"/>
  <c r="AD89" i="18"/>
  <c r="AD74" i="18"/>
  <c r="AD208" i="18" s="1"/>
  <c r="AD75" i="18"/>
  <c r="AD209" i="18" s="1"/>
  <c r="AD79" i="18"/>
  <c r="AD210" i="18" s="1"/>
  <c r="AD234" i="18" s="1"/>
  <c r="AD143" i="18"/>
  <c r="AD144" i="18" s="1"/>
  <c r="AD76" i="18"/>
  <c r="AD218" i="18" s="1"/>
  <c r="AD86" i="18"/>
  <c r="AE61" i="18"/>
  <c r="AC207" i="18"/>
  <c r="AC145" i="18"/>
  <c r="AC146" i="18" s="1"/>
  <c r="AC147" i="18"/>
  <c r="AD235" i="18" l="1"/>
  <c r="AD236" i="18" s="1"/>
  <c r="AD233" i="18"/>
  <c r="AC220" i="18"/>
  <c r="AC221" i="18" s="1"/>
  <c r="AC219" i="18"/>
  <c r="AD88" i="18"/>
  <c r="AD211" i="18" s="1"/>
  <c r="AD147" i="18"/>
  <c r="AD145" i="18"/>
  <c r="AD146" i="18" s="1"/>
  <c r="AE96" i="18"/>
  <c r="AE98" i="18"/>
  <c r="AE80" i="18"/>
  <c r="AE100" i="18"/>
  <c r="AE70" i="18"/>
  <c r="AE206" i="18" s="1"/>
  <c r="AE78" i="18"/>
  <c r="AE87" i="18"/>
  <c r="AE104" i="18"/>
  <c r="AE99" i="18"/>
  <c r="AE74" i="18"/>
  <c r="AE208" i="18" s="1"/>
  <c r="AE84" i="18"/>
  <c r="AE213" i="18" s="1"/>
  <c r="AE89" i="18"/>
  <c r="AE83" i="18"/>
  <c r="AE216" i="18"/>
  <c r="AE103" i="18"/>
  <c r="AE106" i="18"/>
  <c r="AE97" i="18"/>
  <c r="AE71" i="18"/>
  <c r="AE77" i="18"/>
  <c r="AE82" i="18"/>
  <c r="AE75" i="18"/>
  <c r="AE209" i="18" s="1"/>
  <c r="AE90" i="18"/>
  <c r="AE212" i="18" s="1"/>
  <c r="AE102" i="18"/>
  <c r="AE168" i="18" s="1"/>
  <c r="AE79" i="18"/>
  <c r="AE210" i="18" s="1"/>
  <c r="AE234" i="18" s="1"/>
  <c r="AE143" i="18"/>
  <c r="AE144" i="18" s="1"/>
  <c r="AE86" i="18"/>
  <c r="AE76" i="18"/>
  <c r="AE218" i="18" s="1"/>
  <c r="AF61" i="18"/>
  <c r="AD207" i="18"/>
  <c r="AE235" i="18" l="1"/>
  <c r="AE236" i="18" s="1"/>
  <c r="AE233" i="18"/>
  <c r="AD220" i="18"/>
  <c r="AD221" i="18" s="1"/>
  <c r="AD219" i="18"/>
  <c r="AE207" i="18"/>
  <c r="AE88" i="18"/>
  <c r="AE211" i="18" s="1"/>
  <c r="AE145" i="18"/>
  <c r="AE146" i="18" s="1"/>
  <c r="AE147" i="18"/>
  <c r="AF83" i="18"/>
  <c r="AF96" i="18"/>
  <c r="AF87" i="18"/>
  <c r="AF77" i="18"/>
  <c r="AF102" i="18"/>
  <c r="AF168" i="18" s="1"/>
  <c r="AF104" i="18"/>
  <c r="AF97" i="18"/>
  <c r="AF103" i="18"/>
  <c r="AF80" i="18"/>
  <c r="AF70" i="18"/>
  <c r="AF206" i="18" s="1"/>
  <c r="AF90" i="18"/>
  <c r="AF212" i="18" s="1"/>
  <c r="AF100" i="18"/>
  <c r="AF75" i="18"/>
  <c r="AF209" i="18" s="1"/>
  <c r="AF106" i="18"/>
  <c r="AF98" i="18"/>
  <c r="AF99" i="18"/>
  <c r="AF89" i="18"/>
  <c r="AF82" i="18"/>
  <c r="AF71" i="18"/>
  <c r="AF216" i="18"/>
  <c r="AF78" i="18"/>
  <c r="AF74" i="18"/>
  <c r="AF208" i="18" s="1"/>
  <c r="AF84" i="18"/>
  <c r="AF213" i="18" s="1"/>
  <c r="AF79" i="18"/>
  <c r="AF210" i="18" s="1"/>
  <c r="AF234" i="18" s="1"/>
  <c r="AF143" i="18"/>
  <c r="AF144" i="18" s="1"/>
  <c r="AF76" i="18"/>
  <c r="AF218" i="18" s="1"/>
  <c r="AG61" i="18"/>
  <c r="AF86" i="18"/>
  <c r="AF235" i="18" l="1"/>
  <c r="AF236" i="18" s="1"/>
  <c r="AF233" i="18"/>
  <c r="AE220" i="18"/>
  <c r="AE221" i="18" s="1"/>
  <c r="AE219" i="18"/>
  <c r="AF88" i="18"/>
  <c r="AF211" i="18" s="1"/>
  <c r="AF207" i="18"/>
  <c r="AG216" i="18"/>
  <c r="AG103" i="18"/>
  <c r="AG104" i="18"/>
  <c r="AG71" i="18"/>
  <c r="AH61" i="18"/>
  <c r="AG77" i="18"/>
  <c r="AJ61" i="18"/>
  <c r="AG106" i="18"/>
  <c r="AG102" i="18"/>
  <c r="AG74" i="18"/>
  <c r="AG70" i="18"/>
  <c r="AG75" i="18"/>
  <c r="AG79" i="18"/>
  <c r="AG89" i="18"/>
  <c r="AG76" i="18"/>
  <c r="AG218" i="18" s="1"/>
  <c r="AG90" i="18"/>
  <c r="AG97" i="18"/>
  <c r="AG99" i="18"/>
  <c r="AG84" i="18"/>
  <c r="AG86" i="18"/>
  <c r="AG82" i="18"/>
  <c r="AG87" i="18"/>
  <c r="AG98" i="18"/>
  <c r="AG96" i="18"/>
  <c r="AG80" i="18"/>
  <c r="AG100" i="18"/>
  <c r="AG143" i="18"/>
  <c r="AG78" i="18"/>
  <c r="AG83" i="18"/>
  <c r="AF147" i="18"/>
  <c r="AF145" i="18"/>
  <c r="AF146" i="18" s="1"/>
  <c r="AF220" i="18" l="1"/>
  <c r="AF221" i="18" s="1"/>
  <c r="AF219" i="18"/>
  <c r="AG144" i="18"/>
  <c r="AH143" i="18"/>
  <c r="AH98" i="18"/>
  <c r="X198" i="18"/>
  <c r="AJ98" i="18"/>
  <c r="Y198" i="18" s="1"/>
  <c r="AJ84" i="18"/>
  <c r="Y183" i="18" s="1"/>
  <c r="S242" i="18" s="1"/>
  <c r="AG213" i="18"/>
  <c r="AH84" i="18"/>
  <c r="X183" i="18"/>
  <c r="T242" i="18" s="1"/>
  <c r="AH76" i="18"/>
  <c r="AJ76" i="18"/>
  <c r="Y175" i="18" s="1"/>
  <c r="S246" i="18" s="1"/>
  <c r="X175" i="18"/>
  <c r="T246" i="18" s="1"/>
  <c r="AG207" i="18"/>
  <c r="AG219" i="18" s="1"/>
  <c r="AH219" i="18" s="1"/>
  <c r="AJ70" i="18"/>
  <c r="AH70" i="18"/>
  <c r="AG206" i="18"/>
  <c r="AH104" i="18"/>
  <c r="AJ104" i="18"/>
  <c r="X202" i="18"/>
  <c r="T245" i="18" s="1"/>
  <c r="AJ100" i="18"/>
  <c r="Y202" i="18" s="1"/>
  <c r="S245" i="18" s="1"/>
  <c r="AH100" i="18"/>
  <c r="AJ87" i="18"/>
  <c r="AH87" i="18"/>
  <c r="AJ99" i="18"/>
  <c r="Y199" i="18" s="1"/>
  <c r="AH99" i="18"/>
  <c r="X199" i="18"/>
  <c r="AH89" i="18"/>
  <c r="X185" i="18"/>
  <c r="AJ89" i="18"/>
  <c r="Y185" i="18" s="1"/>
  <c r="AH74" i="18"/>
  <c r="AJ74" i="18"/>
  <c r="AG208" i="18"/>
  <c r="AH77" i="18"/>
  <c r="AJ77" i="18"/>
  <c r="AJ103" i="18"/>
  <c r="AH103" i="18"/>
  <c r="AH83" i="18"/>
  <c r="AJ83" i="18"/>
  <c r="Y182" i="18" s="1"/>
  <c r="X182" i="18"/>
  <c r="AH80" i="18"/>
  <c r="X178" i="18"/>
  <c r="AJ80" i="18"/>
  <c r="Y178" i="18" s="1"/>
  <c r="X181" i="18"/>
  <c r="AH82" i="18"/>
  <c r="AJ82" i="18"/>
  <c r="Y181" i="18" s="1"/>
  <c r="AH97" i="18"/>
  <c r="X197" i="18"/>
  <c r="AJ97" i="18"/>
  <c r="Y197" i="18" s="1"/>
  <c r="AH79" i="18"/>
  <c r="AJ79" i="18"/>
  <c r="Y177" i="18" s="1"/>
  <c r="AG210" i="18"/>
  <c r="AG234" i="18" s="1"/>
  <c r="X177" i="18"/>
  <c r="AJ102" i="18"/>
  <c r="AH102" i="18"/>
  <c r="AG168" i="18"/>
  <c r="AH168" i="18" s="1"/>
  <c r="AH216" i="18"/>
  <c r="AJ216" i="18" s="1"/>
  <c r="X176" i="18"/>
  <c r="T243" i="18" s="1"/>
  <c r="AJ78" i="18"/>
  <c r="Y176" i="18" s="1"/>
  <c r="S243" i="18" s="1"/>
  <c r="AH78" i="18"/>
  <c r="AH96" i="18"/>
  <c r="X196" i="18"/>
  <c r="AJ96" i="18"/>
  <c r="Y196" i="18" s="1"/>
  <c r="AH86" i="18"/>
  <c r="AJ86" i="18"/>
  <c r="Y179" i="18" s="1"/>
  <c r="X179" i="18"/>
  <c r="AG88" i="18"/>
  <c r="AH90" i="18"/>
  <c r="AG212" i="18"/>
  <c r="X186" i="18"/>
  <c r="AJ90" i="18"/>
  <c r="Y186" i="18" s="1"/>
  <c r="AH75" i="18"/>
  <c r="AJ75" i="18"/>
  <c r="AG209" i="18"/>
  <c r="AH71" i="18"/>
  <c r="AJ71" i="18"/>
  <c r="G234" i="18" l="1"/>
  <c r="G235" i="18" s="1"/>
  <c r="G236" i="18" s="1"/>
  <c r="U234" i="18"/>
  <c r="G233" i="18"/>
  <c r="AG235" i="18"/>
  <c r="AG236" i="18" s="1"/>
  <c r="AG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W179" i="18"/>
  <c r="Y200" i="18"/>
  <c r="AH218" i="18"/>
  <c r="AJ218" i="18" s="1"/>
  <c r="W196" i="18"/>
  <c r="W181" i="18"/>
  <c r="W177" i="18"/>
  <c r="W185" i="18"/>
  <c r="AJ88" i="18"/>
  <c r="AG211" i="18"/>
  <c r="AH88" i="18"/>
  <c r="AH210" i="18"/>
  <c r="AJ210" i="18" s="1"/>
  <c r="X200" i="18"/>
  <c r="W197" i="18"/>
  <c r="W182" i="18"/>
  <c r="W202" i="18"/>
  <c r="AJ230" i="18"/>
  <c r="W198" i="18"/>
  <c r="AH209" i="18"/>
  <c r="AJ209" i="18" s="1"/>
  <c r="W186" i="18"/>
  <c r="W176" i="18"/>
  <c r="W199" i="18"/>
  <c r="AH213" i="18"/>
  <c r="AJ213" i="18" s="1"/>
  <c r="AH212" i="18"/>
  <c r="AJ212" i="18" s="1"/>
  <c r="AJ226" i="18" s="1"/>
  <c r="W178" i="18"/>
  <c r="AG220" i="18"/>
  <c r="AH207" i="18"/>
  <c r="AJ207" i="18" s="1"/>
  <c r="AJ220" i="18" s="1"/>
  <c r="AJ236" i="18" s="1"/>
  <c r="AH208" i="18"/>
  <c r="AJ208" i="18" s="1"/>
  <c r="AJ221" i="18" s="1"/>
  <c r="AH206" i="18"/>
  <c r="AJ206" i="18" s="1"/>
  <c r="AJ219" i="18" s="1"/>
  <c r="W175" i="18"/>
  <c r="S247" i="18" s="1"/>
  <c r="T247" i="18"/>
  <c r="W183" i="18"/>
  <c r="AG147" i="18"/>
  <c r="AH144" i="18"/>
  <c r="AG145" i="18"/>
  <c r="U233" i="18" l="1"/>
  <c r="V233" i="18" s="1"/>
  <c r="V234" i="18"/>
  <c r="U235" i="18"/>
  <c r="AJ234" i="18"/>
  <c r="AJ233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H233" i="18" s="1"/>
  <c r="J235" i="18"/>
  <c r="AH234" i="18"/>
  <c r="S235" i="18"/>
  <c r="S236" i="18" s="1"/>
  <c r="S233" i="18"/>
  <c r="O235" i="18"/>
  <c r="O236" i="18" s="1"/>
  <c r="O233" i="18"/>
  <c r="K235" i="18"/>
  <c r="K236" i="18" s="1"/>
  <c r="K233" i="18"/>
  <c r="AJ224" i="18"/>
  <c r="AJ223" i="18"/>
  <c r="AH220" i="18"/>
  <c r="AG221" i="18"/>
  <c r="AH221" i="18" s="1"/>
  <c r="W200" i="18"/>
  <c r="AH145" i="18"/>
  <c r="AG146" i="18"/>
  <c r="AH146" i="18" s="1"/>
  <c r="P242" i="18"/>
  <c r="P243" i="18"/>
  <c r="P245" i="18"/>
  <c r="AH211" i="18"/>
  <c r="AJ211" i="18" s="1"/>
  <c r="AJ225" i="18" s="1"/>
  <c r="U236" i="18" l="1"/>
  <c r="V236" i="18" s="1"/>
  <c r="V235" i="18"/>
  <c r="J236" i="18"/>
  <c r="AH236" i="18" s="1"/>
  <c r="AH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<sst xmlns="http://schemas.openxmlformats.org/spreadsheetml/2006/main" count="763" uniqueCount="509">
  <si>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</si>
  <si>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</si>
  <si>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</si>
  <si>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</si>
  <si>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</si>
  <si>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</si>
  <si>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</si>
  <si>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</si>
  <si>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</si>
  <si>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</si>
  <si>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</si>
  <si>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</si>
  <si>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</si>
  <si>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</si>
  <si>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</si>
  <si>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</si>
  <si>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</si>
  <si>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</si>
  <si>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</si>
  <si>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</si>
  <si>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</si>
  <si>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</si>
  <si>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</si>
  <si>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</si>
  <si>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</si>
  <si>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</si>
  <si>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</si>
  <si>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</si>
  <si>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</si>
  <si>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</si>
  <si>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</si>
  <si>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</si>
  <si>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</si>
  <si>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</si>
  <si>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</si>
  <si>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</si>
  <si>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</si>
  <si>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</si>
  <si>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</si>
  <si>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</si>
  <si>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</si>
  <si>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</si>
  <si>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</si>
  <si>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</si>
  <si>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</si>
  <si>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</si>
  <si>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</si>
  <si>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</si>
  <si>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</si>
  <si>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</si>
  <si>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</si>
  <si>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</si>
  <si>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</si>
  <si>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</si>
  <si>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</si>
  <si>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</si>
  <si>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</si>
  <si>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</si>
  <si>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</si>
  <si>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</si>
  <si>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</si>
  <si>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</si>
  <si>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</si>
  <si>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</si>
  <si>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</si>
  <si>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</si>
  <si>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</si>
  <si>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</si>
  <si>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</si>
  <si>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</si>
  <si>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</si>
  <si>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</si>
  <si>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</si>
  <si>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</si>
  <si>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</si>
  <si>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</si>
  <si>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</si>
  <si>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</si>
  <si>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</si>
  <si>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</si>
  <si>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</si>
  <si>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</si>
  <si>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</si>
  <si>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</si>
  <si>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</si>
  <si>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</si>
  <si>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</si>
  <si>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</si>
  <si>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</si>
  <si>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</si>
  <si>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</si>
  <si>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</si>
  <si>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</si>
  <si>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</si>
  <si>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</si>
  <si>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</si>
  <si>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</si>
  <si>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</si>
  <si>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</si>
  <si>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</si>
  <si>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</si>
  <si>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</si>
  <si>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</si>
  <si>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</si>
  <si>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</si>
  <si>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</si>
  <si>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</si>
  <si>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</si>
  <si>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</si>
  <si>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</si>
  <si>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</si>
  <si>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</si>
  <si>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</si>
  <si>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</si>
  <si>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</si>
  <si>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</si>
  <si>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</si>
  <si>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</si>
  <si>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</si>
  <si>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</si>
  <si>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</si>
  <si>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</si>
  <si>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</si>
  <si>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</si>
  <si>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</si>
  <si>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</si>
  <si>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</si>
  <si>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</si>
  <si>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</si>
  <si>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</si>
  <si>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</si>
  <si>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</si>
  <si>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</si>
  <si>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</si>
  <si>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</si>
  <si>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</si>
  <si>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</si>
  <si>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</si>
  <si>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</si>
  <si>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</si>
  <si>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</si>
  <si>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</si>
  <si>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</si>
  <si>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</si>
  <si>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</si>
  <si>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</si>
  <si>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</si>
  <si>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</si>
  <si>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</si>
  <si>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</si>
  <si>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</si>
  <si>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</si>
  <si>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</si>
  <si>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</si>
  <si>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</si>
  <si>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</si>
  <si>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</si>
  <si>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</si>
  <si>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</si>
  <si>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</si>
  <si>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</si>
  <si>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</si>
  <si>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</si>
  <si>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</si>
  <si>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</si>
  <si>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</si>
  <si>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</si>
  <si>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</si>
  <si>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</si>
  <si>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</si>
  <si>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</si>
  <si>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</si>
  <si>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</si>
  <si>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</si>
  <si>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</si>
  <si>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</si>
  <si>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</si>
  <si>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</si>
  <si>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</si>
  <si>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</si>
  <si>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</si>
  <si>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</si>
  <si>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</si>
  <si>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</si>
  <si>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</si>
  <si>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</si>
  <si>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</si>
  <si>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</si>
  <si>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</si>
  <si>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</si>
  <si>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</si>
  <si>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</si>
  <si>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</si>
  <si>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</si>
  <si>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</si>
  <si>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</si>
  <si>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</si>
  <si>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</si>
  <si>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</si>
  <si>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</si>
  <si>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</si>
  <si>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</si>
  <si>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</si>
  <si>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</si>
  <si>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</si>
  <si>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</si>
  <si>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</si>
  <si>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</si>
  <si>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</si>
  <si>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</si>
  <si>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</si>
  <si>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</si>
  <si>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</si>
  <si>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</si>
  <si>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</si>
  <si>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</si>
  <si>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</si>
  <si>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</si>
  <si>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</si>
  <si>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</si>
  <si>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</si>
  <si>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</si>
  <si>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</si>
  <si>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</si>
  <si>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</si>
  <si>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</si>
  <si>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</si>
  <si>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</si>
  <si>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</si>
  <si>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</si>
  <si>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</si>
  <si>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</si>
  <si>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</si>
  <si>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</si>
  <si>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</si>
  <si>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</si>
  <si>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</si>
  <si>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</si>
  <si>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</si>
  <si>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</si>
  <si>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</si>
  <si>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</si>
  <si>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</si>
  <si>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</si>
  <si>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</si>
  <si>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</si>
  <si>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</si>
  <si>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</si>
  <si>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</si>
  <si>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</si>
  <si>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</si>
  <si>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</si>
  <si>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</si>
  <si>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</si>
  <si>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</si>
  <si>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</si>
  <si>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</si>
  <si>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</si>
  <si>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</si>
  <si>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</si>
  <si>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</si>
  <si>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</si>
  <si>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</si>
  <si>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</si>
  <si>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</si>
  <si>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</si>
  <si>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</si>
  <si>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</si>
  <si>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</si>
  <si>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</si>
  <si>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</si>
  <si>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</si>
  <si>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</si>
  <si>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</si>
  <si>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</si>
  <si>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</si>
  <si>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</si>
  <si>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</si>
  <si>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</si>
  <si>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</si>
  <si>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</si>
  <si>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</si>
  <si>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</si>
  <si>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</si>
  <si>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</si>
  <si>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</si>
  <si>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</si>
  <si>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</si>
  <si>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</si>
  <si>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</si>
  <si>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</si>
  <si>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</si>
  <si>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</si>
  <si>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</si>
  <si>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</si>
  <si>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</si>
  <si>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</si>
  <si>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</si>
  <si>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</si>
  <si>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</si>
  <si>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</si>
  <si>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</si>
  <si>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</si>
  <si>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</si>
  <si>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</si>
  <si>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</si>
  <si>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</si>
  <si>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</si>
  <si>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</si>
  <si>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</si>
  <si>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</si>
  <si>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</si>
  <si>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</si>
  <si>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</si>
  <si>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</si>
  <si>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</si>
  <si>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</si>
  <si>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</si>
  <si>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</si>
  <si>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</si>
  <si>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</si>
  <si>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</si>
  <si>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</si>
  <si>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</si>
  <si>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</si>
  <si>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</si>
  <si>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</si>
  <si>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</si>
  <si>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</si>
  <si>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</si>
  <si>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</si>
  <si>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</si>
  <si>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</si>
  <si>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</si>
  <si>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</si>
  <si>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</si>
  <si>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</si>
  <si>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</si>
  <si>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</si>
  <si>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</si>
  <si>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</si>
  <si>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</si>
  <si>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</si>
  <si>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</si>
  <si>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</si>
  <si>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</si>
  <si>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</si>
  <si>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</si>
  <si>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</si>
  <si>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</si>
  <si>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</si>
  <si>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</si>
  <si>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</si>
  <si>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</si>
  <si>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</si>
  <si>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</si>
  <si>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</si>
  <si>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</si>
  <si>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</si>
  <si>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</si>
  <si>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</si>
  <si>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</si>
  <si>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</si>
  <si>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</si>
  <si>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</si>
  <si>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</si>
  <si>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</si>
  <si>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</si>
  <si>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</si>
  <si>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</si>
  <si>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</si>
  <si>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</si>
  <si>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</si>
  <si>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</si>
  <si>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</si>
  <si>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</si>
  <si>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</si>
  <si>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</si>
  <si>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</si>
  <si>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</si>
  <si>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</si>
  <si>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</si>
  <si>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</si>
  <si>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</si>
  <si>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</si>
  <si>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</si>
  <si>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</si>
  <si>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</si>
  <si>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</si>
  <si>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</si>
  <si>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</si>
  <si>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</si>
  <si>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</si>
  <si>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</si>
  <si>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</si>
  <si>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</si>
  <si>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</si>
  <si>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</si>
  <si>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</si>
  <si>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</si>
  <si>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</si>
  <si>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</si>
  <si>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</si>
  <si>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</si>
  <si>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</si>
  <si>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</si>
  <si>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</si>
  <si>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</si>
  <si>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</si>
  <si>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</si>
  <si>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</si>
  <si>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</si>
  <si>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</si>
  <si>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</si>
  <si>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</si>
  <si>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</si>
  <si>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</si>
  <si>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</si>
  <si>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</si>
  <si>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</si>
  <si>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</si>
  <si>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</si>
  <si>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</si>
  <si>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</si>
  <si>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</si>
  <si>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</si>
  <si>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</si>
  <si>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</si>
  <si>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</si>
  <si>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</si>
  <si>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</si>
  <si>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</si>
  <si>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</si>
  <si>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</si>
  <si>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</si>
  <si>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</si>
  <si>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</si>
  <si>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</si>
  <si>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</si>
  <si>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</si>
  <si>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</si>
  <si>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</si>
  <si>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</si>
  <si>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</si>
  <si>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</si>
  <si>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</si>
  <si>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</si>
  <si>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</si>
  <si>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</si>
  <si>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</si>
  <si>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</si>
  <si>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</si>
  <si>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</si>
  <si>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</si>
  <si>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</si>
  <si>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</si>
  <si>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</si>
  <si>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</si>
  <si>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</si>
  <si>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</si>
  <si>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</si>
  <si>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</si>
  <si>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</si>
  <si>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</si>
  <si>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</si>
  <si>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</si>
  <si>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</si>
  <si>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</si>
  <si>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</si>
  <si>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</si>
  <si>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</si>
  <si>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</si>
  <si>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</si>
  <si>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</si>
  <si>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</si>
  <si>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</si>
  <si>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</si>
  <si>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</si>
  <si>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</si>
  <si>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</si>
  <si>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</si>
  <si>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</si>
  <si>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</si>
  <si>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</si>
  <si>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</si>
  <si>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</si>
  <si>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</si>
  <si>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</si>
  <si>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</si>
  <si>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</si>
  <si>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</si>
  <si>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</si>
  <si>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</si>
  <si>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</si>
  <si>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</si>
  <si>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</si>
  <si>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</si>
  <si>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</si>
  <si>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</si>
  <si>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</si>
  <si>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</si>
  <si>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</si>
  <si>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</si>
  <si>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</si>
  <si>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</si>
  <si>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</si>
  <si>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</si>
  <si>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Top Expenses ( Employee Cost)</t>
  </si>
  <si>
    <t>2nd highest Expenses Comp. (Misc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</si>
</sst>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2-49AD-AD7B-6C0A2FE0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57440"/>
        <c:axId val="72163328"/>
      </c:lineChart>
      <c:catAx>
        <c:axId val="7215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72163328"/>
        <c:crosses val="autoZero"/>
        <c:auto val="1"/>
        <c:lblAlgn val="ctr"/>
        <c:lblOffset val="100"/>
        <c:noMultiLvlLbl val="0"/>
      </c:catAx>
      <c:valAx>
        <c:axId val="7216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15744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 x14ac:dyDescent="0.25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 x14ac:dyDescent="0.25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 x14ac:dyDescent="0.25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 x14ac:dyDescent="0.25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 x14ac:dyDescent="0.25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 x14ac:dyDescent="0.25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 x14ac:dyDescent="0.25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 x14ac:dyDescent="0.25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 x14ac:dyDescent="0.3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 x14ac:dyDescent="0.25">
      <c r="K13" s="207" t="s">
        <v>319</v>
      </c>
    </row>
    <row r="14" spans="2:23" x14ac:dyDescent="0.25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 x14ac:dyDescent="0.25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 x14ac:dyDescent="0.25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 x14ac:dyDescent="0.25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 x14ac:dyDescent="0.25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 x14ac:dyDescent="0.25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 x14ac:dyDescent="0.25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 x14ac:dyDescent="0.25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 x14ac:dyDescent="0.25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 x14ac:dyDescent="0.25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 x14ac:dyDescent="0.25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45</v>
      </c>
      <c r="M27" s="273">
        <v>2000000</v>
      </c>
    </row>
    <row r="28" spans="2:18" x14ac:dyDescent="0.25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 x14ac:dyDescent="0.25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8</v>
      </c>
      <c r="M29" s="272"/>
    </row>
    <row r="30" spans="2:18" ht="15.75" thickBot="1" x14ac:dyDescent="0.3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96</v>
      </c>
      <c r="M31" s="274"/>
      <c r="P31" s="215" t="s">
        <v>468</v>
      </c>
      <c r="Q31" s="216" t="s">
        <v>469</v>
      </c>
    </row>
    <row r="32" spans="2:18" x14ac:dyDescent="0.25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8</v>
      </c>
      <c r="M32" s="275"/>
      <c r="P32" s="217">
        <v>0.05</v>
      </c>
      <c r="Q32" s="218">
        <v>14</v>
      </c>
    </row>
    <row r="33" spans="2:17" x14ac:dyDescent="0.25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0.23274951685376255</v>
      </c>
      <c r="M33" s="276"/>
      <c r="P33" s="217">
        <v>0.08</v>
      </c>
      <c r="Q33" s="218">
        <v>9</v>
      </c>
    </row>
    <row r="34" spans="2:17" x14ac:dyDescent="0.25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 x14ac:dyDescent="0.25">
      <c r="P35" s="217">
        <v>0.15</v>
      </c>
      <c r="Q35" s="218">
        <v>5</v>
      </c>
    </row>
    <row r="36" spans="2:17" x14ac:dyDescent="0.25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 x14ac:dyDescent="0.25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 x14ac:dyDescent="0.25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 x14ac:dyDescent="0.25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 x14ac:dyDescent="0.25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 x14ac:dyDescent="0.3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 x14ac:dyDescent="0.3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 x14ac:dyDescent="0.3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 x14ac:dyDescent="0.3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 x14ac:dyDescent="0.3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 x14ac:dyDescent="0.25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 x14ac:dyDescent="0.25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 x14ac:dyDescent="0.25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 x14ac:dyDescent="0.25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 x14ac:dyDescent="0.25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 x14ac:dyDescent="0.25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 x14ac:dyDescent="0.25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 x14ac:dyDescent="0.25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 x14ac:dyDescent="0.25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 x14ac:dyDescent="0.25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 x14ac:dyDescent="0.25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 x14ac:dyDescent="0.25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 x14ac:dyDescent="0.25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 x14ac:dyDescent="0.25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 x14ac:dyDescent="0.25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 x14ac:dyDescent="0.25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 x14ac:dyDescent="0.25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 x14ac:dyDescent="0.25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2332630920.4101563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 x14ac:dyDescent="0.25">
      <c r="A65">
        <f t="shared" si="8"/>
        <v>2029</v>
      </c>
      <c r="B65" s="238">
        <f t="shared" si="8"/>
        <v>16</v>
      </c>
      <c r="C65" s="239">
        <f t="shared" si="2"/>
        <v>2332630920.4101563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 x14ac:dyDescent="0.25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 x14ac:dyDescent="0.25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 x14ac:dyDescent="0.25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 x14ac:dyDescent="0.25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 x14ac:dyDescent="0.25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 x14ac:dyDescent="0.25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 x14ac:dyDescent="0.25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 x14ac:dyDescent="0.25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 x14ac:dyDescent="0.25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 x14ac:dyDescent="0.25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 x14ac:dyDescent="0.25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 x14ac:dyDescent="0.25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 x14ac:dyDescent="0.25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 x14ac:dyDescent="0.25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 x14ac:dyDescent="0.3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 x14ac:dyDescent="0.3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 x14ac:dyDescent="0.3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 x14ac:dyDescent="0.25">
      <c r="G83" s="261"/>
      <c r="H83" s="250">
        <f t="shared" si="14"/>
        <v>0</v>
      </c>
    </row>
    <row r="84" spans="2:14" ht="15.75" thickBot="1" x14ac:dyDescent="0.3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 x14ac:dyDescent="0.3">
      <c r="H85" s="250">
        <f t="shared" si="14"/>
        <v>1.4999999999999999E-7</v>
      </c>
    </row>
    <row r="86" spans="2:14" ht="15.75" thickBot="1" x14ac:dyDescent="0.3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 x14ac:dyDescent="0.3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 x14ac:dyDescent="0.3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 x14ac:dyDescent="0.25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 x14ac:dyDescent="0.25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 x14ac:dyDescent="0.25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 x14ac:dyDescent="0.25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 x14ac:dyDescent="0.25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 x14ac:dyDescent="0.25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 x14ac:dyDescent="0.25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 x14ac:dyDescent="0.25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 x14ac:dyDescent="0.25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 x14ac:dyDescent="0.25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 x14ac:dyDescent="0.25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 x14ac:dyDescent="0.25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 x14ac:dyDescent="0.25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 x14ac:dyDescent="0.25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 x14ac:dyDescent="0.25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 x14ac:dyDescent="0.25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 x14ac:dyDescent="0.25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 x14ac:dyDescent="0.25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 x14ac:dyDescent="0.25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 x14ac:dyDescent="0.25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 x14ac:dyDescent="0.25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 x14ac:dyDescent="0.25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 x14ac:dyDescent="0.25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 x14ac:dyDescent="0.25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 x14ac:dyDescent="0.25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 x14ac:dyDescent="0.25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 x14ac:dyDescent="0.25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 x14ac:dyDescent="0.25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 x14ac:dyDescent="0.25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 x14ac:dyDescent="0.25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 x14ac:dyDescent="0.25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 x14ac:dyDescent="0.25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 x14ac:dyDescent="0.25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 x14ac:dyDescent="0.25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 x14ac:dyDescent="0.3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 x14ac:dyDescent="0.3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 x14ac:dyDescent="0.3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283"/>
  <sheetViews>
    <sheetView tabSelected="1" zoomScale="80" zoomScaleNormal="80" workbookViewId="0">
      <pane xSplit="2" ySplit="3" topLeftCell="C217" activePane="bottomRight" state="frozen"/>
      <selection pane="topRight" activeCell="C1" sqref="C1"/>
      <selection pane="bottomLeft" activeCell="A5" sqref="A5"/>
      <selection pane="bottomRight" activeCell="O262" sqref="O262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4" width="9.7109375" style="89" bestFit="1" customWidth="1"/>
    <col min="25" max="25" width="10.5703125" style="89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 x14ac:dyDescent="0.2">
      <c r="B1" s="106" t="s">
        <v>506</v>
      </c>
      <c r="C1" s="278">
        <f>S2</f>
        <v>0.1</v>
      </c>
      <c r="I1" s="89" t="s">
        <v>209</v>
      </c>
      <c r="K1" s="107">
        <v>2008</v>
      </c>
      <c r="M1" s="89" t="s">
        <v>271</v>
      </c>
      <c r="O1" s="139">
        <v>0.02</v>
      </c>
      <c r="Q1" s="89" t="s">
        <v>340</v>
      </c>
      <c r="S1" s="139">
        <v>0.01</v>
      </c>
    </row>
    <row r="2" spans="2:36" x14ac:dyDescent="0.2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0.2</v>
      </c>
      <c r="Q2" s="89" t="s">
        <v>406</v>
      </c>
      <c r="S2" s="139">
        <v>0.1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 x14ac:dyDescent="0.2">
      <c r="B6" s="10" t="s">
        <v>10</v>
      </c>
      <c r="C6" s="118"/>
      <c r="D6" s="118"/>
      <c r="E6" s="124"/>
      <c r="F6" s="124"/>
      <c r="G6" s="124">
        <f>K6</f>
        <v>138</v>
      </c>
      <c r="H6" s="124"/>
      <c r="I6" s="124"/>
      <c r="J6" s="124"/>
      <c r="K6" s="124">
        <v>138</v>
      </c>
      <c r="L6" s="124">
        <v>185</v>
      </c>
      <c r="M6" s="124">
        <v>245</v>
      </c>
      <c r="N6" s="124">
        <v>306</v>
      </c>
      <c r="O6" s="124">
        <v>369</v>
      </c>
      <c r="P6" s="124">
        <v>568</v>
      </c>
      <c r="Q6" s="124">
        <v>868.45</v>
      </c>
      <c r="R6" s="124">
        <v>1477</v>
      </c>
      <c r="S6" s="180">
        <v>2018</v>
      </c>
      <c r="T6" s="180">
        <v>5411</v>
      </c>
      <c r="U6" s="180">
        <v>6138.95</v>
      </c>
      <c r="V6" s="101">
        <f>((U6/G6)^(1/($K$2-$K$1) ))-1</f>
        <v>0.46157632969244111</v>
      </c>
      <c r="W6" s="21">
        <f>$O$2</f>
        <v>0.2</v>
      </c>
      <c r="X6" s="130">
        <f>U6*(1+$W6)</f>
        <v>7366.74</v>
      </c>
      <c r="Y6" s="130">
        <f>X6*(1+$W6)</f>
        <v>8840.0879999999997</v>
      </c>
      <c r="Z6" s="130">
        <f t="shared" ref="Z6:AG6" si="0">Y6*(1+$W6)</f>
        <v>10608.105599999999</v>
      </c>
      <c r="AA6" s="130">
        <f t="shared" si="0"/>
        <v>12729.726719999999</v>
      </c>
      <c r="AB6" s="130">
        <f t="shared" si="0"/>
        <v>15275.672063999998</v>
      </c>
      <c r="AC6" s="130">
        <f t="shared" si="0"/>
        <v>18330.806476799997</v>
      </c>
      <c r="AD6" s="130">
        <f t="shared" si="0"/>
        <v>21996.967772159995</v>
      </c>
      <c r="AE6" s="130">
        <f t="shared" si="0"/>
        <v>26396.361326591992</v>
      </c>
      <c r="AF6" s="130">
        <f t="shared" si="0"/>
        <v>31675.633591910388</v>
      </c>
      <c r="AG6" s="130">
        <f t="shared" si="0"/>
        <v>38010.760310292462</v>
      </c>
      <c r="AH6" s="115" t="e">
        <f>((AG6/J6)^(1/($AG$3-$K$1) ))-1</f>
        <v>#DIV/0!</v>
      </c>
      <c r="AI6" s="21">
        <f>$O$1</f>
        <v>0.02</v>
      </c>
      <c r="AJ6" s="123">
        <f t="shared" ref="AJ6:AJ63" si="1">(AG6*(1+AI6))/($C$1-AI6)</f>
        <v>484637.1939562289</v>
      </c>
    </row>
    <row r="7" spans="2:36" x14ac:dyDescent="0.2">
      <c r="B7" s="10" t="s">
        <v>198</v>
      </c>
      <c r="C7" s="118"/>
      <c r="D7" s="118"/>
      <c r="E7" s="124"/>
      <c r="F7" s="124"/>
      <c r="G7" s="124">
        <f>K7</f>
        <v>168</v>
      </c>
      <c r="H7" s="124"/>
      <c r="I7" s="124"/>
      <c r="J7" s="124"/>
      <c r="K7" s="124">
        <v>168</v>
      </c>
      <c r="L7" s="124">
        <v>215</v>
      </c>
      <c r="M7" s="124">
        <v>274</v>
      </c>
      <c r="N7" s="124">
        <v>336</v>
      </c>
      <c r="O7" s="124">
        <v>399</v>
      </c>
      <c r="P7" s="124">
        <v>618</v>
      </c>
      <c r="Q7" s="124">
        <v>934</v>
      </c>
      <c r="R7" s="124">
        <v>1581</v>
      </c>
      <c r="S7" s="180">
        <v>2145</v>
      </c>
      <c r="T7" s="180">
        <v>5577</v>
      </c>
      <c r="U7" s="180">
        <v>6305.54</v>
      </c>
      <c r="V7" s="101">
        <f t="shared" ref="V7:V74" si="2">((U7/G7)^(1/($K$2-$K$1) ))-1</f>
        <v>0.43694882081595421</v>
      </c>
      <c r="W7" s="21">
        <f>$O$2</f>
        <v>0.2</v>
      </c>
      <c r="X7" s="130">
        <f>U7*(1+$W7)</f>
        <v>7566.6479999999992</v>
      </c>
      <c r="Y7" s="130">
        <f t="shared" ref="Y7:AG7" si="3">X7*(1+$W7)</f>
        <v>9079.9775999999983</v>
      </c>
      <c r="Z7" s="130">
        <f t="shared" si="3"/>
        <v>10895.973119999997</v>
      </c>
      <c r="AA7" s="130">
        <f t="shared" si="3"/>
        <v>13075.167743999997</v>
      </c>
      <c r="AB7" s="130">
        <f t="shared" si="3"/>
        <v>15690.201292799995</v>
      </c>
      <c r="AC7" s="130">
        <f t="shared" si="3"/>
        <v>18828.241551359992</v>
      </c>
      <c r="AD7" s="130">
        <f t="shared" si="3"/>
        <v>22593.889861631989</v>
      </c>
      <c r="AE7" s="130">
        <f t="shared" si="3"/>
        <v>27112.667833958385</v>
      </c>
      <c r="AF7" s="130">
        <f t="shared" si="3"/>
        <v>32535.201400750062</v>
      </c>
      <c r="AG7" s="130">
        <f t="shared" si="3"/>
        <v>39042.241680900072</v>
      </c>
      <c r="AH7" s="115" t="e">
        <f>((AG7/J7)^(1/($AG$3-$K$1) ))-1</f>
        <v>#DIV/0!</v>
      </c>
      <c r="AI7" s="21">
        <f>$O$1</f>
        <v>0.02</v>
      </c>
      <c r="AJ7" s="123">
        <f t="shared" si="1"/>
        <v>497788.58143147588</v>
      </c>
    </row>
    <row r="8" spans="2:36" x14ac:dyDescent="0.2">
      <c r="B8" s="10"/>
      <c r="C8" s="118"/>
      <c r="D8" s="118"/>
      <c r="E8" s="124"/>
      <c r="F8" s="268"/>
      <c r="G8" s="268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>
        <f t="shared" si="4"/>
        <v>1</v>
      </c>
      <c r="L8" s="127">
        <f t="shared" si="4"/>
        <v>0.21860465116279071</v>
      </c>
      <c r="M8" s="127">
        <f t="shared" si="4"/>
        <v>0.21532846715328466</v>
      </c>
      <c r="N8" s="127">
        <f t="shared" si="4"/>
        <v>0.18452380952380953</v>
      </c>
      <c r="O8" s="127">
        <f t="shared" si="4"/>
        <v>0.15789473684210525</v>
      </c>
      <c r="P8" s="127">
        <f t="shared" si="4"/>
        <v>0.35436893203883496</v>
      </c>
      <c r="Q8" s="127">
        <f t="shared" ref="Q8:R8" si="5">(Q7-P7)/Q7</f>
        <v>0.33832976445396146</v>
      </c>
      <c r="R8" s="127">
        <f t="shared" si="5"/>
        <v>0.40923466160657812</v>
      </c>
      <c r="S8" s="127">
        <f t="shared" ref="S8:U8" si="6">(S7-R7)/R7</f>
        <v>0.35673624288425049</v>
      </c>
      <c r="T8" s="127">
        <f t="shared" si="6"/>
        <v>1.6</v>
      </c>
      <c r="U8" s="127">
        <f t="shared" si="6"/>
        <v>0.13063295678680292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 x14ac:dyDescent="0.2">
      <c r="B9" s="10" t="s">
        <v>220</v>
      </c>
      <c r="C9" s="118"/>
      <c r="D9" s="118"/>
      <c r="E9" s="124"/>
      <c r="F9" s="124"/>
      <c r="G9" s="124">
        <f>K9</f>
        <v>44</v>
      </c>
      <c r="H9" s="124"/>
      <c r="I9" s="124"/>
      <c r="J9" s="124"/>
      <c r="K9" s="124">
        <v>44</v>
      </c>
      <c r="L9" s="124">
        <v>48</v>
      </c>
      <c r="M9" s="124">
        <v>134</v>
      </c>
      <c r="N9" s="124">
        <v>156</v>
      </c>
      <c r="O9" s="124">
        <v>1201</v>
      </c>
      <c r="P9" s="124">
        <v>1443</v>
      </c>
      <c r="Q9" s="124">
        <v>2124</v>
      </c>
      <c r="R9" s="124">
        <v>2765</v>
      </c>
      <c r="S9" s="180">
        <v>2198</v>
      </c>
      <c r="T9" s="180">
        <v>5080</v>
      </c>
      <c r="U9" s="180">
        <v>6418.6</v>
      </c>
      <c r="V9" s="101">
        <f t="shared" si="2"/>
        <v>0.64588225725588777</v>
      </c>
      <c r="W9" s="21">
        <f t="shared" ref="W9:W59" si="7">$O$2</f>
        <v>0.2</v>
      </c>
      <c r="X9" s="130">
        <f t="shared" ref="X9:X63" si="8">U9*(1+$W9)</f>
        <v>7702.32</v>
      </c>
      <c r="Y9" s="130">
        <f t="shared" ref="Y9" si="9">X9*(1+$W9)</f>
        <v>9242.7839999999997</v>
      </c>
      <c r="Z9" s="130">
        <f t="shared" ref="Z9" si="10">Y9*(1+$W9)</f>
        <v>11091.3408</v>
      </c>
      <c r="AA9" s="130">
        <f t="shared" ref="AA9" si="11">Z9*(1+$W9)</f>
        <v>13309.60896</v>
      </c>
      <c r="AB9" s="130">
        <f t="shared" ref="AB9" si="12">AA9*(1+$W9)</f>
        <v>15971.530751999999</v>
      </c>
      <c r="AC9" s="130">
        <f t="shared" ref="AC9" si="13">AB9*(1+$W9)</f>
        <v>19165.836902399999</v>
      </c>
      <c r="AD9" s="130">
        <f t="shared" ref="AD9" si="14">AC9*(1+$W9)</f>
        <v>22999.004282879996</v>
      </c>
      <c r="AE9" s="130">
        <f t="shared" ref="AE9" si="15">AD9*(1+$W9)</f>
        <v>27598.805139455995</v>
      </c>
      <c r="AF9" s="130">
        <f t="shared" ref="AF9" si="16">AE9*(1+$W9)</f>
        <v>33118.566167347191</v>
      </c>
      <c r="AG9" s="130">
        <f t="shared" ref="AG9" si="17">AF9*(1+$W9)</f>
        <v>39742.279400816631</v>
      </c>
      <c r="AH9" s="115" t="e">
        <f>((AG9/J9)^(1/($AG$3-$K$1) ))-1</f>
        <v>#DIV/0!</v>
      </c>
      <c r="AI9" s="21">
        <f t="shared" ref="AI9:AI103" si="18">$O$1</f>
        <v>0.02</v>
      </c>
      <c r="AJ9" s="123">
        <f t="shared" si="1"/>
        <v>506714.06236041203</v>
      </c>
    </row>
    <row r="10" spans="2:36" x14ac:dyDescent="0.2">
      <c r="B10" s="10" t="s">
        <v>3</v>
      </c>
      <c r="C10" s="118"/>
      <c r="D10" s="118"/>
      <c r="E10" s="124"/>
      <c r="F10" s="124"/>
      <c r="G10" s="124">
        <f>K10</f>
        <v>1883</v>
      </c>
      <c r="H10" s="124"/>
      <c r="I10" s="124"/>
      <c r="J10" s="124"/>
      <c r="K10" s="124">
        <v>1883</v>
      </c>
      <c r="L10" s="124">
        <v>2339</v>
      </c>
      <c r="M10" s="124">
        <v>2655</v>
      </c>
      <c r="N10" s="124">
        <v>3178</v>
      </c>
      <c r="O10" s="124">
        <v>2793</v>
      </c>
      <c r="P10" s="124">
        <v>5535</v>
      </c>
      <c r="Q10" s="124">
        <v>8396</v>
      </c>
      <c r="R10" s="124">
        <v>14552</v>
      </c>
      <c r="S10" s="180">
        <v>24094</v>
      </c>
      <c r="T10" s="180">
        <v>32031</v>
      </c>
      <c r="U10" s="180">
        <v>50630.66</v>
      </c>
      <c r="V10" s="101">
        <f t="shared" si="2"/>
        <v>0.38981286307414464</v>
      </c>
      <c r="W10" s="21">
        <f t="shared" si="7"/>
        <v>0.2</v>
      </c>
      <c r="X10" s="130">
        <f t="shared" si="8"/>
        <v>60756.792000000001</v>
      </c>
      <c r="Y10" s="130">
        <f t="shared" ref="Y10:AG10" si="19">X10*(1+$W10)</f>
        <v>72908.150399999999</v>
      </c>
      <c r="Z10" s="130">
        <f t="shared" si="19"/>
        <v>87489.780480000001</v>
      </c>
      <c r="AA10" s="130">
        <f t="shared" si="19"/>
        <v>104987.736576</v>
      </c>
      <c r="AB10" s="130">
        <f t="shared" si="19"/>
        <v>125985.28389119999</v>
      </c>
      <c r="AC10" s="130">
        <f t="shared" si="19"/>
        <v>151182.34066943999</v>
      </c>
      <c r="AD10" s="130">
        <f t="shared" si="19"/>
        <v>181418.80880332799</v>
      </c>
      <c r="AE10" s="130">
        <f t="shared" si="19"/>
        <v>217702.57056399359</v>
      </c>
      <c r="AF10" s="130">
        <f t="shared" si="19"/>
        <v>261243.08467679229</v>
      </c>
      <c r="AG10" s="130">
        <f t="shared" si="19"/>
        <v>313491.70161215076</v>
      </c>
      <c r="AH10" s="115" t="e">
        <f t="shared" ref="AH10:AH61" si="20">((AG10/J10)^(1/($AG$3-$K$1) ))-1</f>
        <v>#DIV/0!</v>
      </c>
      <c r="AI10" s="21">
        <f t="shared" si="18"/>
        <v>0.02</v>
      </c>
      <c r="AJ10" s="123">
        <f t="shared" si="1"/>
        <v>3997019.1955549219</v>
      </c>
    </row>
    <row r="11" spans="2:36" x14ac:dyDescent="0.2">
      <c r="B11" s="10"/>
      <c r="C11" s="118"/>
      <c r="D11" s="118"/>
      <c r="E11" s="124"/>
      <c r="F11" s="268"/>
      <c r="G11" s="268">
        <f>(G10-F10)/G10</f>
        <v>1</v>
      </c>
      <c r="H11" s="268" t="e">
        <f t="shared" ref="H11:P11" si="21">(H10-G10)/H10</f>
        <v>#DIV/0!</v>
      </c>
      <c r="I11" s="268" t="e">
        <f t="shared" si="21"/>
        <v>#DIV/0!</v>
      </c>
      <c r="J11" s="268" t="e">
        <f t="shared" si="21"/>
        <v>#DIV/0!</v>
      </c>
      <c r="K11" s="268">
        <f t="shared" si="21"/>
        <v>1</v>
      </c>
      <c r="L11" s="268">
        <f t="shared" si="21"/>
        <v>0.19495510902094912</v>
      </c>
      <c r="M11" s="268">
        <f t="shared" si="21"/>
        <v>0.11902071563088512</v>
      </c>
      <c r="N11" s="268">
        <f t="shared" si="21"/>
        <v>0.16456891126494649</v>
      </c>
      <c r="O11" s="268">
        <f t="shared" si="21"/>
        <v>-0.13784461152882205</v>
      </c>
      <c r="P11" s="268">
        <f t="shared" si="21"/>
        <v>0.4953929539295393</v>
      </c>
      <c r="Q11" s="268">
        <f t="shared" ref="Q11:R11" si="22">(Q10-P10)/Q10</f>
        <v>0.34075750357313006</v>
      </c>
      <c r="R11" s="268">
        <f t="shared" si="22"/>
        <v>0.42303463441451344</v>
      </c>
      <c r="S11" s="127">
        <f t="shared" ref="S11:U11" si="23">(S10-R10)/R10</f>
        <v>0.65571742715777903</v>
      </c>
      <c r="T11" s="127">
        <f t="shared" si="23"/>
        <v>0.32941811239312691</v>
      </c>
      <c r="U11" s="127">
        <f t="shared" si="23"/>
        <v>0.58067684430707767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0.02</v>
      </c>
      <c r="AJ11" s="130"/>
    </row>
    <row r="12" spans="2:36" x14ac:dyDescent="0.2">
      <c r="B12" s="10" t="s">
        <v>2</v>
      </c>
      <c r="C12" s="118"/>
      <c r="D12" s="118"/>
      <c r="E12" s="124"/>
      <c r="F12" s="124"/>
      <c r="G12" s="124">
        <f>K12</f>
        <v>20</v>
      </c>
      <c r="H12" s="124"/>
      <c r="I12" s="124"/>
      <c r="J12" s="124"/>
      <c r="K12" s="124">
        <v>20</v>
      </c>
      <c r="L12" s="124">
        <v>21</v>
      </c>
      <c r="M12" s="124">
        <v>7</v>
      </c>
      <c r="N12" s="124">
        <v>67</v>
      </c>
      <c r="O12" s="124">
        <v>11</v>
      </c>
      <c r="P12" s="124">
        <v>128</v>
      </c>
      <c r="Q12" s="124">
        <v>138.41999999999999</v>
      </c>
      <c r="R12" s="124">
        <v>293</v>
      </c>
      <c r="S12" s="180">
        <v>248</v>
      </c>
      <c r="T12" s="180">
        <v>151</v>
      </c>
      <c r="U12" s="180">
        <v>2816.93</v>
      </c>
      <c r="V12" s="101">
        <f t="shared" si="2"/>
        <v>0.64011615326274729</v>
      </c>
      <c r="W12" s="21">
        <f t="shared" si="7"/>
        <v>0.2</v>
      </c>
      <c r="X12" s="130">
        <f t="shared" si="8"/>
        <v>3380.3159999999998</v>
      </c>
      <c r="Y12" s="130">
        <f t="shared" ref="Y12:AG12" si="24">X12*(1+$W12)</f>
        <v>4056.3791999999994</v>
      </c>
      <c r="Z12" s="130">
        <f t="shared" si="24"/>
        <v>4867.6550399999987</v>
      </c>
      <c r="AA12" s="130">
        <f t="shared" si="24"/>
        <v>5841.1860479999987</v>
      </c>
      <c r="AB12" s="130">
        <f t="shared" si="24"/>
        <v>7009.4232575999986</v>
      </c>
      <c r="AC12" s="130">
        <f t="shared" si="24"/>
        <v>8411.3079091199979</v>
      </c>
      <c r="AD12" s="130">
        <f t="shared" si="24"/>
        <v>10093.569490943997</v>
      </c>
      <c r="AE12" s="130">
        <f t="shared" si="24"/>
        <v>12112.283389132795</v>
      </c>
      <c r="AF12" s="130">
        <f t="shared" si="24"/>
        <v>14534.740066959353</v>
      </c>
      <c r="AG12" s="130">
        <f t="shared" si="24"/>
        <v>17441.688080351225</v>
      </c>
      <c r="AH12" s="115" t="e">
        <f t="shared" si="20"/>
        <v>#DIV/0!</v>
      </c>
      <c r="AI12" s="21">
        <f t="shared" si="18"/>
        <v>0.02</v>
      </c>
      <c r="AJ12" s="123">
        <f t="shared" si="1"/>
        <v>222381.52302447811</v>
      </c>
    </row>
    <row r="13" spans="2:36" x14ac:dyDescent="0.2">
      <c r="B13" s="10" t="s">
        <v>191</v>
      </c>
      <c r="C13" s="118"/>
      <c r="D13" s="118"/>
      <c r="E13" s="124"/>
      <c r="F13" s="124"/>
      <c r="G13" s="124">
        <f>K13</f>
        <v>135</v>
      </c>
      <c r="H13" s="124"/>
      <c r="I13" s="124"/>
      <c r="J13" s="124"/>
      <c r="K13" s="124">
        <v>135</v>
      </c>
      <c r="L13" s="124">
        <v>366</v>
      </c>
      <c r="M13" s="124">
        <v>429</v>
      </c>
      <c r="N13" s="124">
        <v>310</v>
      </c>
      <c r="O13" s="124">
        <v>378</v>
      </c>
      <c r="P13" s="124">
        <v>776</v>
      </c>
      <c r="Q13" s="124">
        <v>645</v>
      </c>
      <c r="R13" s="124">
        <v>1585</v>
      </c>
      <c r="S13" s="180">
        <v>1622</v>
      </c>
      <c r="T13" s="180">
        <v>3279</v>
      </c>
      <c r="U13" s="180">
        <v>2379.91</v>
      </c>
      <c r="V13" s="101">
        <f t="shared" si="2"/>
        <v>0.33236334604855866</v>
      </c>
      <c r="W13" s="21">
        <f t="shared" si="7"/>
        <v>0.2</v>
      </c>
      <c r="X13" s="130">
        <f t="shared" si="8"/>
        <v>2855.8919999999998</v>
      </c>
      <c r="Y13" s="130">
        <f t="shared" ref="Y13:AG13" si="25">X13*(1+$W13)</f>
        <v>3427.0703999999996</v>
      </c>
      <c r="Z13" s="130">
        <f t="shared" si="25"/>
        <v>4112.4844799999992</v>
      </c>
      <c r="AA13" s="130">
        <f t="shared" si="25"/>
        <v>4934.9813759999988</v>
      </c>
      <c r="AB13" s="130">
        <f t="shared" si="25"/>
        <v>5921.977651199998</v>
      </c>
      <c r="AC13" s="130">
        <f t="shared" si="25"/>
        <v>7106.3731814399971</v>
      </c>
      <c r="AD13" s="130">
        <f t="shared" si="25"/>
        <v>8527.6478177279969</v>
      </c>
      <c r="AE13" s="130">
        <f t="shared" si="25"/>
        <v>10233.177381273596</v>
      </c>
      <c r="AF13" s="130">
        <f t="shared" si="25"/>
        <v>12279.812857528314</v>
      </c>
      <c r="AG13" s="130">
        <f t="shared" si="25"/>
        <v>14735.775429033976</v>
      </c>
      <c r="AH13" s="115" t="e">
        <f t="shared" si="20"/>
        <v>#DIV/0!</v>
      </c>
      <c r="AI13" s="21">
        <f t="shared" si="18"/>
        <v>0.02</v>
      </c>
      <c r="AJ13" s="123">
        <f t="shared" si="1"/>
        <v>187881.13672018319</v>
      </c>
    </row>
    <row r="14" spans="2:36" x14ac:dyDescent="0.2">
      <c r="B14" s="10" t="s">
        <v>315</v>
      </c>
      <c r="C14" s="118"/>
      <c r="D14" s="118"/>
      <c r="E14" s="124"/>
      <c r="F14" s="124"/>
      <c r="G14" s="124">
        <f>K14</f>
        <v>0</v>
      </c>
      <c r="H14" s="124"/>
      <c r="I14" s="124"/>
      <c r="J14" s="124"/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/>
      <c r="Q14" s="124">
        <v>0</v>
      </c>
      <c r="R14" s="124">
        <v>0</v>
      </c>
      <c r="S14" s="180">
        <v>0</v>
      </c>
      <c r="T14" s="180">
        <v>0</v>
      </c>
      <c r="U14" s="180">
        <v>0</v>
      </c>
      <c r="V14" s="101" t="e">
        <f t="shared" si="2"/>
        <v>#DIV/0!</v>
      </c>
      <c r="W14" s="21">
        <f t="shared" si="7"/>
        <v>0.2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0.02</v>
      </c>
      <c r="AJ14" s="123">
        <f t="shared" ref="AJ14" si="36">(AG14*(1+AI14))/($C$1-AI14)</f>
        <v>0</v>
      </c>
    </row>
    <row r="15" spans="2:36" x14ac:dyDescent="0.2">
      <c r="B15" s="10" t="s">
        <v>11</v>
      </c>
      <c r="C15" s="118"/>
      <c r="D15" s="118"/>
      <c r="E15" s="124"/>
      <c r="F15" s="124"/>
      <c r="G15" s="124">
        <f>K15</f>
        <v>20</v>
      </c>
      <c r="H15" s="124"/>
      <c r="I15" s="124"/>
      <c r="J15" s="124"/>
      <c r="K15" s="124">
        <v>20</v>
      </c>
      <c r="L15" s="124">
        <v>21</v>
      </c>
      <c r="M15" s="124">
        <v>7</v>
      </c>
      <c r="N15" s="124">
        <v>67</v>
      </c>
      <c r="O15" s="124">
        <v>11</v>
      </c>
      <c r="P15" s="124">
        <v>128</v>
      </c>
      <c r="Q15" s="124">
        <v>138</v>
      </c>
      <c r="R15" s="124">
        <v>293</v>
      </c>
      <c r="S15" s="180">
        <v>248</v>
      </c>
      <c r="T15" s="180">
        <v>151</v>
      </c>
      <c r="U15" s="180">
        <v>2816.93</v>
      </c>
      <c r="V15" s="101">
        <f t="shared" si="2"/>
        <v>0.64011615326274729</v>
      </c>
      <c r="W15" s="21">
        <f t="shared" si="7"/>
        <v>0.2</v>
      </c>
      <c r="X15" s="130">
        <f t="shared" si="8"/>
        <v>3380.3159999999998</v>
      </c>
      <c r="Y15" s="130">
        <f t="shared" ref="Y15:AG15" si="37">X15*(1+$W15)</f>
        <v>4056.3791999999994</v>
      </c>
      <c r="Z15" s="130">
        <f t="shared" si="37"/>
        <v>4867.6550399999987</v>
      </c>
      <c r="AA15" s="130">
        <f t="shared" si="37"/>
        <v>5841.1860479999987</v>
      </c>
      <c r="AB15" s="130">
        <f t="shared" si="37"/>
        <v>7009.4232575999986</v>
      </c>
      <c r="AC15" s="130">
        <f t="shared" si="37"/>
        <v>8411.3079091199979</v>
      </c>
      <c r="AD15" s="130">
        <f t="shared" si="37"/>
        <v>10093.569490943997</v>
      </c>
      <c r="AE15" s="130">
        <f t="shared" si="37"/>
        <v>12112.283389132795</v>
      </c>
      <c r="AF15" s="130">
        <f t="shared" si="37"/>
        <v>14534.740066959353</v>
      </c>
      <c r="AG15" s="130">
        <f t="shared" si="37"/>
        <v>17441.688080351225</v>
      </c>
      <c r="AH15" s="115" t="e">
        <f t="shared" si="20"/>
        <v>#DIV/0!</v>
      </c>
      <c r="AI15" s="21">
        <f t="shared" si="18"/>
        <v>0.02</v>
      </c>
      <c r="AJ15" s="123">
        <f t="shared" si="1"/>
        <v>222381.52302447811</v>
      </c>
    </row>
    <row r="16" spans="2:36" x14ac:dyDescent="0.2">
      <c r="B16" s="10" t="s">
        <v>12</v>
      </c>
      <c r="C16" s="118"/>
      <c r="D16" s="118"/>
      <c r="E16" s="124"/>
      <c r="F16" s="124"/>
      <c r="G16" s="124">
        <f>K16</f>
        <v>1913.83</v>
      </c>
      <c r="H16" s="124"/>
      <c r="I16" s="124"/>
      <c r="J16" s="124"/>
      <c r="K16" s="124">
        <v>1913.83</v>
      </c>
      <c r="L16" s="124">
        <v>2185</v>
      </c>
      <c r="M16" s="124">
        <v>2498</v>
      </c>
      <c r="N16" s="124">
        <v>3202</v>
      </c>
      <c r="O16" s="124">
        <v>2809</v>
      </c>
      <c r="P16" s="124">
        <v>5358</v>
      </c>
      <c r="Q16" s="124">
        <v>8656</v>
      </c>
      <c r="R16" s="124">
        <v>14490</v>
      </c>
      <c r="S16" s="180">
        <v>24556</v>
      </c>
      <c r="T16" s="180">
        <v>34268</v>
      </c>
      <c r="U16" s="180">
        <v>54470.48</v>
      </c>
      <c r="V16" s="101">
        <f t="shared" si="2"/>
        <v>0.39773803872747981</v>
      </c>
      <c r="W16" s="21">
        <f t="shared" si="7"/>
        <v>0.2</v>
      </c>
      <c r="X16" s="130">
        <f t="shared" si="8"/>
        <v>65364.576000000001</v>
      </c>
      <c r="Y16" s="130">
        <f t="shared" ref="Y16:AG16" si="38">X16*(1+$W16)</f>
        <v>78437.491200000004</v>
      </c>
      <c r="Z16" s="130">
        <f t="shared" si="38"/>
        <v>94124.989440000005</v>
      </c>
      <c r="AA16" s="130">
        <f t="shared" si="38"/>
        <v>112949.987328</v>
      </c>
      <c r="AB16" s="130">
        <f t="shared" si="38"/>
        <v>135539.98479359999</v>
      </c>
      <c r="AC16" s="130">
        <f t="shared" si="38"/>
        <v>162647.98175231999</v>
      </c>
      <c r="AD16" s="130">
        <f t="shared" si="38"/>
        <v>195177.57810278397</v>
      </c>
      <c r="AE16" s="130">
        <f t="shared" si="38"/>
        <v>234213.09372334075</v>
      </c>
      <c r="AF16" s="130">
        <f t="shared" si="38"/>
        <v>281055.71246800886</v>
      </c>
      <c r="AG16" s="130">
        <f t="shared" si="38"/>
        <v>337266.85496161063</v>
      </c>
      <c r="AH16" s="115" t="e">
        <f t="shared" si="20"/>
        <v>#DIV/0!</v>
      </c>
      <c r="AI16" s="21">
        <f t="shared" si="18"/>
        <v>0.02</v>
      </c>
      <c r="AJ16" s="123">
        <f t="shared" si="1"/>
        <v>4300152.4007605361</v>
      </c>
    </row>
    <row r="17" spans="2:36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 x14ac:dyDescent="0.2">
      <c r="B18" s="10" t="s">
        <v>228</v>
      </c>
      <c r="C18" s="118"/>
      <c r="D18" s="118"/>
      <c r="E18" s="124"/>
      <c r="F18" s="124"/>
      <c r="G18" s="124">
        <f>K18</f>
        <v>2.4900000000000002</v>
      </c>
      <c r="H18" s="124"/>
      <c r="I18" s="124"/>
      <c r="J18" s="124"/>
      <c r="K18" s="124">
        <v>2.4900000000000002</v>
      </c>
      <c r="L18" s="124">
        <v>2.2200000000000002</v>
      </c>
      <c r="M18" s="124">
        <v>2</v>
      </c>
      <c r="N18" s="124">
        <v>1.78</v>
      </c>
      <c r="O18" s="124">
        <v>4.6100000000000003</v>
      </c>
      <c r="P18" s="124">
        <v>14.15</v>
      </c>
      <c r="Q18" s="124">
        <v>25</v>
      </c>
      <c r="R18" s="124">
        <v>40</v>
      </c>
      <c r="S18" s="180">
        <v>58</v>
      </c>
      <c r="T18" s="180">
        <v>58</v>
      </c>
      <c r="U18" s="180">
        <v>85.81</v>
      </c>
      <c r="V18" s="101">
        <f t="shared" si="2"/>
        <v>0.42473421984314763</v>
      </c>
      <c r="W18" s="21">
        <f t="shared" si="7"/>
        <v>0.2</v>
      </c>
      <c r="X18" s="130">
        <f t="shared" si="8"/>
        <v>102.97199999999999</v>
      </c>
      <c r="Y18" s="130">
        <f t="shared" ref="Y18:Y34" si="39">X18*(1+$W18)</f>
        <v>123.56639999999999</v>
      </c>
      <c r="Z18" s="130">
        <f t="shared" ref="Z18:Z34" si="40">Y18*(1+$W18)</f>
        <v>148.27967999999998</v>
      </c>
      <c r="AA18" s="130">
        <f t="shared" ref="AA18:AA34" si="41">Z18*(1+$W18)</f>
        <v>177.93561599999998</v>
      </c>
      <c r="AB18" s="130">
        <f t="shared" ref="AB18:AB53" si="42">AA18*(1+$W18)</f>
        <v>213.52273919999996</v>
      </c>
      <c r="AC18" s="130">
        <f t="shared" ref="AC18:AC53" si="43">AB18*(1+$W18)</f>
        <v>256.22728703999996</v>
      </c>
      <c r="AD18" s="130">
        <f t="shared" ref="AD18:AD53" si="44">AC18*(1+$W18)</f>
        <v>307.47274444799996</v>
      </c>
      <c r="AE18" s="130">
        <f t="shared" ref="AE18:AE53" si="45">AD18*(1+$W18)</f>
        <v>368.96729333759993</v>
      </c>
      <c r="AF18" s="130">
        <f t="shared" ref="AF18:AF53" si="46">AE18*(1+$W18)</f>
        <v>442.76075200511991</v>
      </c>
      <c r="AG18" s="130">
        <f t="shared" ref="AG18:AG53" si="47">AF18*(1+$W18)</f>
        <v>531.31290240614385</v>
      </c>
      <c r="AH18" s="115" t="e">
        <f t="shared" si="20"/>
        <v>#DIV/0!</v>
      </c>
      <c r="AI18" s="21">
        <f t="shared" si="18"/>
        <v>0.02</v>
      </c>
      <c r="AJ18" s="123">
        <f t="shared" si="1"/>
        <v>6774.2395056783334</v>
      </c>
    </row>
    <row r="19" spans="2:36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0.2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0.02</v>
      </c>
      <c r="AJ20" s="123">
        <f t="shared" si="1"/>
        <v>0</v>
      </c>
    </row>
    <row r="21" spans="2:36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0.2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0.02</v>
      </c>
      <c r="AJ21" s="123">
        <f t="shared" si="1"/>
        <v>0</v>
      </c>
    </row>
    <row r="22" spans="2:36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0.2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0.02</v>
      </c>
      <c r="AJ22" s="123">
        <f t="shared" si="1"/>
        <v>0</v>
      </c>
    </row>
    <row r="23" spans="2:36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0.2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0.02</v>
      </c>
      <c r="AJ23" s="123">
        <f t="shared" si="1"/>
        <v>0</v>
      </c>
    </row>
    <row r="24" spans="2:36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 x14ac:dyDescent="0.2">
      <c r="B25" s="10" t="s">
        <v>68</v>
      </c>
      <c r="C25" s="118"/>
      <c r="D25" s="118"/>
      <c r="E25" s="124"/>
      <c r="F25" s="124"/>
      <c r="G25" s="124">
        <f>K25</f>
        <v>227</v>
      </c>
      <c r="H25" s="124"/>
      <c r="I25" s="124"/>
      <c r="J25" s="124"/>
      <c r="K25" s="124">
        <v>227</v>
      </c>
      <c r="L25" s="124">
        <v>277</v>
      </c>
      <c r="M25" s="124">
        <v>316</v>
      </c>
      <c r="N25" s="124">
        <v>363</v>
      </c>
      <c r="O25" s="124">
        <v>461</v>
      </c>
      <c r="P25" s="124">
        <v>666</v>
      </c>
      <c r="Q25" s="124">
        <v>1120</v>
      </c>
      <c r="R25" s="124">
        <v>1776</v>
      </c>
      <c r="S25" s="180">
        <v>2696</v>
      </c>
      <c r="T25" s="180">
        <v>3907</v>
      </c>
      <c r="U25" s="180">
        <v>5516.96</v>
      </c>
      <c r="V25" s="101">
        <f t="shared" si="2"/>
        <v>0.37583830890698477</v>
      </c>
      <c r="W25" s="21">
        <f t="shared" si="7"/>
        <v>0.2</v>
      </c>
      <c r="X25" s="130">
        <f t="shared" si="8"/>
        <v>6620.3519999999999</v>
      </c>
      <c r="Y25" s="130">
        <f t="shared" si="39"/>
        <v>7944.4223999999995</v>
      </c>
      <c r="Z25" s="130">
        <f t="shared" si="40"/>
        <v>9533.3068799999983</v>
      </c>
      <c r="AA25" s="130">
        <f t="shared" si="41"/>
        <v>11439.968255999998</v>
      </c>
      <c r="AB25" s="130">
        <f t="shared" si="42"/>
        <v>13727.961907199997</v>
      </c>
      <c r="AC25" s="130">
        <f t="shared" si="43"/>
        <v>16473.554288639996</v>
      </c>
      <c r="AD25" s="130">
        <f t="shared" si="44"/>
        <v>19768.265146367994</v>
      </c>
      <c r="AE25" s="130">
        <f t="shared" si="45"/>
        <v>23721.918175641593</v>
      </c>
      <c r="AF25" s="130">
        <f t="shared" si="46"/>
        <v>28466.30181076991</v>
      </c>
      <c r="AG25" s="130">
        <f t="shared" si="47"/>
        <v>34159.562172923892</v>
      </c>
      <c r="AH25" s="115" t="e">
        <f t="shared" si="20"/>
        <v>#DIV/0!</v>
      </c>
      <c r="AI25" s="21">
        <f t="shared" si="18"/>
        <v>0.02</v>
      </c>
      <c r="AJ25" s="123">
        <f t="shared" si="1"/>
        <v>435534.41770477965</v>
      </c>
    </row>
    <row r="26" spans="2:36" s="106" customFormat="1" x14ac:dyDescent="0.2">
      <c r="B26" s="13"/>
      <c r="C26" s="125"/>
      <c r="D26" s="125"/>
      <c r="E26" s="126"/>
      <c r="F26" s="268"/>
      <c r="G26" s="268">
        <f>(G25-F25)/G25</f>
        <v>1</v>
      </c>
      <c r="H26" s="268" t="e">
        <f>(H25-G25)/H25</f>
        <v>#DIV/0!</v>
      </c>
      <c r="I26" s="268" t="e">
        <f t="shared" ref="I26:P26" si="68">(I25-H25)/I25</f>
        <v>#DIV/0!</v>
      </c>
      <c r="J26" s="268" t="e">
        <f t="shared" si="68"/>
        <v>#DIV/0!</v>
      </c>
      <c r="K26" s="268">
        <f t="shared" si="68"/>
        <v>1</v>
      </c>
      <c r="L26" s="268">
        <f t="shared" si="68"/>
        <v>0.18050541516245489</v>
      </c>
      <c r="M26" s="268">
        <f t="shared" si="68"/>
        <v>0.12341772151898735</v>
      </c>
      <c r="N26" s="268">
        <f t="shared" si="68"/>
        <v>0.12947658402203857</v>
      </c>
      <c r="O26" s="268">
        <f t="shared" si="68"/>
        <v>0.21258134490238612</v>
      </c>
      <c r="P26" s="268">
        <f t="shared" si="68"/>
        <v>0.30780780780780781</v>
      </c>
      <c r="Q26" s="268">
        <f t="shared" ref="Q26:R26" si="69">(Q25-P25)/Q25</f>
        <v>0.40535714285714286</v>
      </c>
      <c r="R26" s="268">
        <f t="shared" si="69"/>
        <v>0.36936936936936937</v>
      </c>
      <c r="S26" s="127">
        <f t="shared" ref="S26:U26" si="70">(S25-R25)/R25</f>
        <v>0.51801801801801806</v>
      </c>
      <c r="T26" s="127">
        <f t="shared" si="70"/>
        <v>0.4491839762611276</v>
      </c>
      <c r="U26" s="127">
        <f t="shared" si="70"/>
        <v>0.41207064243665215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 x14ac:dyDescent="0.2">
      <c r="B27" s="10" t="s">
        <v>218</v>
      </c>
      <c r="C27" s="118"/>
      <c r="D27" s="118"/>
      <c r="E27" s="124"/>
      <c r="F27" s="124"/>
      <c r="G27" s="124">
        <f>K27</f>
        <v>24</v>
      </c>
      <c r="H27" s="124"/>
      <c r="I27" s="124"/>
      <c r="J27" s="124"/>
      <c r="K27" s="124">
        <v>24</v>
      </c>
      <c r="L27" s="124">
        <v>19</v>
      </c>
      <c r="M27" s="124">
        <v>22</v>
      </c>
      <c r="N27" s="124">
        <v>35</v>
      </c>
      <c r="O27" s="124">
        <v>41</v>
      </c>
      <c r="P27" s="124">
        <v>74</v>
      </c>
      <c r="Q27" s="124">
        <v>136</v>
      </c>
      <c r="R27" s="124">
        <v>210</v>
      </c>
      <c r="S27" s="180">
        <v>318</v>
      </c>
      <c r="T27" s="180">
        <v>441</v>
      </c>
      <c r="U27" s="180">
        <v>484.51</v>
      </c>
      <c r="V27" s="101">
        <f t="shared" si="2"/>
        <v>0.35054528276748464</v>
      </c>
      <c r="W27" s="21">
        <f t="shared" si="7"/>
        <v>0.2</v>
      </c>
      <c r="X27" s="130">
        <f t="shared" si="8"/>
        <v>581.41199999999992</v>
      </c>
      <c r="Y27" s="130">
        <f t="shared" si="39"/>
        <v>697.69439999999986</v>
      </c>
      <c r="Z27" s="130">
        <f t="shared" si="40"/>
        <v>837.23327999999981</v>
      </c>
      <c r="AA27" s="130">
        <f t="shared" si="41"/>
        <v>1004.6799359999998</v>
      </c>
      <c r="AB27" s="130">
        <f t="shared" si="42"/>
        <v>1205.6159231999998</v>
      </c>
      <c r="AC27" s="130">
        <f t="shared" si="43"/>
        <v>1446.7391078399996</v>
      </c>
      <c r="AD27" s="130">
        <f t="shared" si="44"/>
        <v>1736.0869294079996</v>
      </c>
      <c r="AE27" s="130">
        <f t="shared" si="45"/>
        <v>2083.3043152895993</v>
      </c>
      <c r="AF27" s="130">
        <f t="shared" si="46"/>
        <v>2499.9651783475192</v>
      </c>
      <c r="AG27" s="130">
        <f t="shared" si="47"/>
        <v>2999.9582140170228</v>
      </c>
      <c r="AH27" s="115" t="e">
        <f t="shared" si="20"/>
        <v>#DIV/0!</v>
      </c>
      <c r="AI27" s="21">
        <f t="shared" si="18"/>
        <v>0.02</v>
      </c>
      <c r="AJ27" s="123">
        <f t="shared" si="1"/>
        <v>38249.46722871704</v>
      </c>
    </row>
    <row r="28" spans="2:36" s="106" customFormat="1" x14ac:dyDescent="0.2">
      <c r="B28" s="13"/>
      <c r="C28" s="125"/>
      <c r="D28" s="125"/>
      <c r="E28" s="126"/>
      <c r="F28" s="268"/>
      <c r="G28" s="268">
        <f t="shared" ref="G28:P28" si="71">(G27-F27)/G27</f>
        <v>1</v>
      </c>
      <c r="H28" s="268" t="e">
        <f t="shared" si="71"/>
        <v>#DIV/0!</v>
      </c>
      <c r="I28" s="268" t="e">
        <f t="shared" si="71"/>
        <v>#DIV/0!</v>
      </c>
      <c r="J28" s="268" t="e">
        <f t="shared" si="71"/>
        <v>#DIV/0!</v>
      </c>
      <c r="K28" s="268">
        <f t="shared" si="71"/>
        <v>1</v>
      </c>
      <c r="L28" s="268">
        <f t="shared" si="71"/>
        <v>-0.26315789473684209</v>
      </c>
      <c r="M28" s="268">
        <f t="shared" si="71"/>
        <v>0.13636363636363635</v>
      </c>
      <c r="N28" s="268">
        <f t="shared" si="71"/>
        <v>0.37142857142857144</v>
      </c>
      <c r="O28" s="268">
        <f t="shared" si="71"/>
        <v>0.14634146341463414</v>
      </c>
      <c r="P28" s="268">
        <f t="shared" si="71"/>
        <v>0.44594594594594594</v>
      </c>
      <c r="Q28" s="268">
        <f t="shared" ref="Q28:R28" si="72">(Q27-P27)/Q27</f>
        <v>0.45588235294117646</v>
      </c>
      <c r="R28" s="268">
        <f t="shared" si="72"/>
        <v>0.35238095238095241</v>
      </c>
      <c r="S28" s="127">
        <f t="shared" ref="S28:U28" si="73">(S27-R27)/R27</f>
        <v>0.51428571428571423</v>
      </c>
      <c r="T28" s="127">
        <f t="shared" si="73"/>
        <v>0.3867924528301887</v>
      </c>
      <c r="U28" s="127">
        <f t="shared" si="73"/>
        <v>9.866213151927436E-2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 x14ac:dyDescent="0.2">
      <c r="B29" s="10" t="s">
        <v>268</v>
      </c>
      <c r="C29" s="125"/>
      <c r="D29" s="125"/>
      <c r="E29" s="126"/>
      <c r="F29" s="124"/>
      <c r="G29" s="124">
        <f>K29</f>
        <v>145</v>
      </c>
      <c r="H29" s="124"/>
      <c r="I29" s="124"/>
      <c r="J29" s="124"/>
      <c r="K29" s="124">
        <v>145</v>
      </c>
      <c r="L29" s="124">
        <v>181</v>
      </c>
      <c r="M29" s="124">
        <v>199</v>
      </c>
      <c r="N29" s="124">
        <v>229</v>
      </c>
      <c r="O29" s="124">
        <v>314</v>
      </c>
      <c r="P29" s="124">
        <v>461</v>
      </c>
      <c r="Q29" s="124">
        <v>801</v>
      </c>
      <c r="R29" s="124">
        <v>301</v>
      </c>
      <c r="S29" s="180">
        <v>518</v>
      </c>
      <c r="T29" s="180">
        <v>822</v>
      </c>
      <c r="U29" s="180">
        <v>3530.8</v>
      </c>
      <c r="V29" s="101">
        <f t="shared" si="2"/>
        <v>0.37610163726198143</v>
      </c>
      <c r="W29" s="21">
        <f t="shared" si="7"/>
        <v>0.2</v>
      </c>
      <c r="X29" s="130">
        <f t="shared" si="8"/>
        <v>4236.96</v>
      </c>
      <c r="Y29" s="130">
        <f t="shared" ref="Y29" si="74">X29*(1+$W29)</f>
        <v>5084.3519999999999</v>
      </c>
      <c r="Z29" s="130">
        <f t="shared" ref="Z29" si="75">Y29*(1+$W29)</f>
        <v>6101.2223999999997</v>
      </c>
      <c r="AA29" s="130">
        <f t="shared" ref="AA29" si="76">Z29*(1+$W29)</f>
        <v>7321.466879999999</v>
      </c>
      <c r="AB29" s="130">
        <f t="shared" ref="AB29" si="77">AA29*(1+$W29)</f>
        <v>8785.7602559999978</v>
      </c>
      <c r="AC29" s="130">
        <f t="shared" ref="AC29" si="78">AB29*(1+$W29)</f>
        <v>10542.912307199997</v>
      </c>
      <c r="AD29" s="130">
        <f t="shared" ref="AD29" si="79">AC29*(1+$W29)</f>
        <v>12651.494768639996</v>
      </c>
      <c r="AE29" s="130">
        <f t="shared" ref="AE29" si="80">AD29*(1+$W29)</f>
        <v>15181.793722367995</v>
      </c>
      <c r="AF29" s="130">
        <f t="shared" ref="AF29" si="81">AE29*(1+$W29)</f>
        <v>18218.152466841591</v>
      </c>
      <c r="AG29" s="130">
        <f t="shared" ref="AG29" si="82">AF29*(1+$W29)</f>
        <v>21861.782960209908</v>
      </c>
      <c r="AH29" s="115" t="e">
        <f t="shared" ref="AH29" si="83">((AG29/J29)^(1/($AG$3-$K$1) ))-1</f>
        <v>#DIV/0!</v>
      </c>
      <c r="AI29" s="21">
        <f t="shared" si="18"/>
        <v>0.02</v>
      </c>
      <c r="AJ29" s="123">
        <f t="shared" ref="AJ29" si="84">(AG29*(1+AI29))/($C$1-AI29)</f>
        <v>278737.73274267634</v>
      </c>
    </row>
    <row r="30" spans="2:36" s="106" customFormat="1" x14ac:dyDescent="0.2">
      <c r="B30" s="13"/>
      <c r="C30" s="125"/>
      <c r="D30" s="125"/>
      <c r="E30" s="126"/>
      <c r="F30" s="268"/>
      <c r="G30" s="268">
        <f t="shared" ref="G30:P30" si="85">(G29-F29)/G29</f>
        <v>1</v>
      </c>
      <c r="H30" s="268" t="e">
        <f t="shared" si="85"/>
        <v>#DIV/0!</v>
      </c>
      <c r="I30" s="268" t="e">
        <f t="shared" si="85"/>
        <v>#DIV/0!</v>
      </c>
      <c r="J30" s="268" t="e">
        <f t="shared" si="85"/>
        <v>#DIV/0!</v>
      </c>
      <c r="K30" s="268">
        <f t="shared" si="85"/>
        <v>1</v>
      </c>
      <c r="L30" s="268">
        <f t="shared" si="85"/>
        <v>0.19889502762430938</v>
      </c>
      <c r="M30" s="268">
        <f t="shared" si="85"/>
        <v>9.0452261306532666E-2</v>
      </c>
      <c r="N30" s="268">
        <f t="shared" si="85"/>
        <v>0.13100436681222707</v>
      </c>
      <c r="O30" s="268">
        <f t="shared" si="85"/>
        <v>0.27070063694267515</v>
      </c>
      <c r="P30" s="268">
        <f t="shared" si="85"/>
        <v>0.31887201735357917</v>
      </c>
      <c r="Q30" s="268">
        <f t="shared" ref="Q30:R30" si="86">(Q29-P29)/Q29</f>
        <v>0.42446941323345816</v>
      </c>
      <c r="R30" s="268">
        <f t="shared" si="86"/>
        <v>-1.6611295681063123</v>
      </c>
      <c r="S30" s="127">
        <f t="shared" ref="S30:U30" si="87">(S29-R29)/R29</f>
        <v>0.72093023255813948</v>
      </c>
      <c r="T30" s="127">
        <f t="shared" si="87"/>
        <v>0.58687258687258692</v>
      </c>
      <c r="U30" s="127">
        <f t="shared" si="87"/>
        <v>3.2953771289537714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 x14ac:dyDescent="0.2">
      <c r="B31" s="10" t="s">
        <v>276</v>
      </c>
      <c r="C31" s="118"/>
      <c r="D31" s="118"/>
      <c r="E31" s="124"/>
      <c r="F31" s="124"/>
      <c r="G31" s="124">
        <f>K31</f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0.2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0.02</v>
      </c>
      <c r="AJ31" s="123">
        <f t="shared" si="1"/>
        <v>0</v>
      </c>
    </row>
    <row r="32" spans="2:36" x14ac:dyDescent="0.2">
      <c r="B32" s="10" t="s">
        <v>275</v>
      </c>
      <c r="C32" s="118"/>
      <c r="D32" s="118"/>
      <c r="E32" s="124"/>
      <c r="F32" s="124"/>
      <c r="G32" s="124">
        <f>K32</f>
        <v>0</v>
      </c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0.2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0.02</v>
      </c>
      <c r="AJ32" s="123">
        <f t="shared" si="1"/>
        <v>0</v>
      </c>
    </row>
    <row r="33" spans="1:36" x14ac:dyDescent="0.2">
      <c r="B33" s="10" t="s">
        <v>507</v>
      </c>
      <c r="C33" s="118"/>
      <c r="D33" s="118"/>
      <c r="E33" s="124"/>
      <c r="F33" s="124"/>
      <c r="G33" s="124">
        <f>K33</f>
        <v>5</v>
      </c>
      <c r="H33" s="124"/>
      <c r="I33" s="124"/>
      <c r="J33" s="124"/>
      <c r="K33" s="124">
        <v>5</v>
      </c>
      <c r="L33" s="124">
        <v>6</v>
      </c>
      <c r="M33" s="124">
        <v>6</v>
      </c>
      <c r="N33" s="124">
        <v>9</v>
      </c>
      <c r="O33" s="124">
        <v>15</v>
      </c>
      <c r="P33" s="124">
        <v>25</v>
      </c>
      <c r="Q33" s="124">
        <v>40</v>
      </c>
      <c r="R33" s="124">
        <v>67</v>
      </c>
      <c r="S33" s="180">
        <v>75</v>
      </c>
      <c r="T33" s="180">
        <v>101</v>
      </c>
      <c r="U33" s="180">
        <v>137.08000000000001</v>
      </c>
      <c r="V33" s="101">
        <f t="shared" si="2"/>
        <v>0.39251669010083634</v>
      </c>
      <c r="W33" s="21">
        <f t="shared" si="7"/>
        <v>0.2</v>
      </c>
      <c r="X33" s="130">
        <f t="shared" si="8"/>
        <v>164.49600000000001</v>
      </c>
      <c r="Y33" s="130">
        <f t="shared" si="39"/>
        <v>197.39520000000002</v>
      </c>
      <c r="Z33" s="130">
        <f t="shared" si="40"/>
        <v>236.87424000000001</v>
      </c>
      <c r="AA33" s="130">
        <f t="shared" si="41"/>
        <v>284.24908800000003</v>
      </c>
      <c r="AB33" s="130">
        <f t="shared" si="42"/>
        <v>341.09890560000002</v>
      </c>
      <c r="AC33" s="130">
        <f t="shared" si="43"/>
        <v>409.31868672000002</v>
      </c>
      <c r="AD33" s="130">
        <f t="shared" si="44"/>
        <v>491.18242406399997</v>
      </c>
      <c r="AE33" s="130">
        <f t="shared" si="45"/>
        <v>589.41890887679995</v>
      </c>
      <c r="AF33" s="130">
        <f t="shared" si="46"/>
        <v>707.30269065215987</v>
      </c>
      <c r="AG33" s="130">
        <f t="shared" si="47"/>
        <v>848.7632287825918</v>
      </c>
      <c r="AH33" s="115" t="e">
        <f t="shared" si="20"/>
        <v>#DIV/0!</v>
      </c>
      <c r="AI33" s="21">
        <f t="shared" si="18"/>
        <v>0.02</v>
      </c>
      <c r="AJ33" s="123">
        <f t="shared" si="1"/>
        <v>10821.731166978045</v>
      </c>
    </row>
    <row r="34" spans="1:36" x14ac:dyDescent="0.2">
      <c r="B34" s="10" t="s">
        <v>508</v>
      </c>
      <c r="C34" s="118"/>
      <c r="D34" s="118"/>
      <c r="E34" s="124"/>
      <c r="F34" s="124"/>
      <c r="G34" s="124">
        <f>K34</f>
        <v>7</v>
      </c>
      <c r="H34" s="124"/>
      <c r="I34" s="124"/>
      <c r="J34" s="124"/>
      <c r="K34" s="124">
        <v>7</v>
      </c>
      <c r="L34" s="124">
        <v>7</v>
      </c>
      <c r="M34" s="124">
        <v>9</v>
      </c>
      <c r="N34" s="124">
        <v>14</v>
      </c>
      <c r="O34" s="124">
        <v>15</v>
      </c>
      <c r="P34" s="124">
        <v>32</v>
      </c>
      <c r="Q34" s="124">
        <v>70</v>
      </c>
      <c r="R34" s="124">
        <v>99</v>
      </c>
      <c r="S34" s="180">
        <v>163</v>
      </c>
      <c r="T34" s="180">
        <v>243</v>
      </c>
      <c r="U34" s="180">
        <v>347.43</v>
      </c>
      <c r="V34" s="101">
        <f t="shared" si="2"/>
        <v>0.47766820135152632</v>
      </c>
      <c r="W34" s="21">
        <f t="shared" si="7"/>
        <v>0.2</v>
      </c>
      <c r="X34" s="130">
        <f t="shared" si="8"/>
        <v>416.916</v>
      </c>
      <c r="Y34" s="130">
        <f t="shared" si="39"/>
        <v>500.29919999999998</v>
      </c>
      <c r="Z34" s="130">
        <f t="shared" si="40"/>
        <v>600.35903999999994</v>
      </c>
      <c r="AA34" s="130">
        <f t="shared" si="41"/>
        <v>720.43084799999986</v>
      </c>
      <c r="AB34" s="130">
        <f t="shared" si="42"/>
        <v>864.5170175999998</v>
      </c>
      <c r="AC34" s="130">
        <f t="shared" si="43"/>
        <v>1037.4204211199997</v>
      </c>
      <c r="AD34" s="130">
        <f t="shared" si="44"/>
        <v>1244.9045053439995</v>
      </c>
      <c r="AE34" s="130">
        <f t="shared" si="45"/>
        <v>1493.8854064127993</v>
      </c>
      <c r="AF34" s="130">
        <f t="shared" si="46"/>
        <v>1792.662487695359</v>
      </c>
      <c r="AG34" s="130">
        <f t="shared" si="47"/>
        <v>2151.1949852344305</v>
      </c>
      <c r="AH34" s="115" t="e">
        <f t="shared" si="20"/>
        <v>#DIV/0!</v>
      </c>
      <c r="AI34" s="21">
        <f t="shared" si="18"/>
        <v>0.02</v>
      </c>
      <c r="AJ34" s="123">
        <f t="shared" si="1"/>
        <v>27427.73606173899</v>
      </c>
    </row>
    <row r="35" spans="1:36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 x14ac:dyDescent="0.2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0.2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0.02</v>
      </c>
      <c r="AJ36" s="123">
        <f t="shared" ref="AJ36:AJ51" si="103">(AG36*(1+AI36))/($C$1-AI36)</f>
        <v>0</v>
      </c>
    </row>
    <row r="37" spans="1:36" x14ac:dyDescent="0.2">
      <c r="A37" s="305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 x14ac:dyDescent="0.2">
      <c r="A38" s="305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0.2</v>
      </c>
      <c r="X38" s="130">
        <f t="shared" si="8"/>
        <v>1.2</v>
      </c>
      <c r="Y38" s="130">
        <f t="shared" si="93"/>
        <v>1.44</v>
      </c>
      <c r="Z38" s="130">
        <f t="shared" si="94"/>
        <v>1.728</v>
      </c>
      <c r="AA38" s="130">
        <f t="shared" si="95"/>
        <v>2.0735999999999999</v>
      </c>
      <c r="AB38" s="130">
        <f t="shared" si="96"/>
        <v>2.4883199999999999</v>
      </c>
      <c r="AC38" s="130">
        <f t="shared" si="97"/>
        <v>2.9859839999999997</v>
      </c>
      <c r="AD38" s="130">
        <f t="shared" si="98"/>
        <v>3.5831807999999996</v>
      </c>
      <c r="AE38" s="130">
        <f t="shared" si="99"/>
        <v>4.2998169599999994</v>
      </c>
      <c r="AF38" s="130">
        <f t="shared" si="100"/>
        <v>5.1597803519999994</v>
      </c>
      <c r="AG38" s="130">
        <f t="shared" si="101"/>
        <v>6.1917364223999991</v>
      </c>
      <c r="AH38" s="115" t="e">
        <f t="shared" si="102"/>
        <v>#DIV/0!</v>
      </c>
      <c r="AI38" s="21">
        <f t="shared" si="18"/>
        <v>0.02</v>
      </c>
      <c r="AJ38" s="123">
        <f t="shared" si="103"/>
        <v>78.944639385599984</v>
      </c>
    </row>
    <row r="39" spans="1:36" x14ac:dyDescent="0.2">
      <c r="A39" s="305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 x14ac:dyDescent="0.2">
      <c r="A40" s="305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0.2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0.02</v>
      </c>
      <c r="AJ40" s="123">
        <f t="shared" si="103"/>
        <v>0</v>
      </c>
    </row>
    <row r="41" spans="1:36" x14ac:dyDescent="0.2">
      <c r="A41" s="305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0.2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0.02</v>
      </c>
      <c r="AJ41" s="123">
        <f t="shared" si="103"/>
        <v>0</v>
      </c>
    </row>
    <row r="42" spans="1:36" x14ac:dyDescent="0.2">
      <c r="A42" s="305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0.2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0.02</v>
      </c>
      <c r="AJ42" s="123">
        <f t="shared" si="103"/>
        <v>0</v>
      </c>
    </row>
    <row r="43" spans="1:36" x14ac:dyDescent="0.2">
      <c r="A43" s="305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0.2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0.02</v>
      </c>
      <c r="AJ43" s="123">
        <f t="shared" si="103"/>
        <v>0</v>
      </c>
    </row>
    <row r="44" spans="1:36" x14ac:dyDescent="0.2">
      <c r="A44" s="305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 x14ac:dyDescent="0.2">
      <c r="A45" s="305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0.2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0.02</v>
      </c>
      <c r="AJ45" s="123">
        <f t="shared" si="103"/>
        <v>0</v>
      </c>
    </row>
    <row r="46" spans="1:36" x14ac:dyDescent="0.2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 x14ac:dyDescent="0.2">
      <c r="A47" s="178"/>
      <c r="B47" s="177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0.2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0.02</v>
      </c>
      <c r="AJ47" s="123">
        <f t="shared" ref="AJ47" si="181">(AG47*(1+AI47))/($C$1-AI47)</f>
        <v>0</v>
      </c>
    </row>
    <row r="48" spans="1:36" x14ac:dyDescent="0.2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 x14ac:dyDescent="0.2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0.2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0.02</v>
      </c>
      <c r="AJ49" s="123">
        <f t="shared" si="103"/>
        <v>0</v>
      </c>
    </row>
    <row r="50" spans="1:36" x14ac:dyDescent="0.2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 x14ac:dyDescent="0.2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0.2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0.02</v>
      </c>
      <c r="AJ51" s="123">
        <f t="shared" si="103"/>
        <v>0</v>
      </c>
    </row>
    <row r="52" spans="1:36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 x14ac:dyDescent="0.2">
      <c r="B53" s="10" t="s">
        <v>229</v>
      </c>
      <c r="C53" s="118"/>
      <c r="D53" s="118"/>
      <c r="E53" s="124"/>
      <c r="F53" s="124"/>
      <c r="G53" s="124">
        <f>K53</f>
        <v>200</v>
      </c>
      <c r="H53" s="124"/>
      <c r="I53" s="124"/>
      <c r="J53" s="124"/>
      <c r="K53" s="124">
        <v>200</v>
      </c>
      <c r="L53" s="124">
        <v>256</v>
      </c>
      <c r="M53" s="124">
        <v>284</v>
      </c>
      <c r="N53" s="124">
        <v>323</v>
      </c>
      <c r="O53" s="124">
        <v>420</v>
      </c>
      <c r="P53" s="124">
        <v>591</v>
      </c>
      <c r="Q53" s="124">
        <v>983</v>
      </c>
      <c r="R53" s="124">
        <v>1565</v>
      </c>
      <c r="S53" s="180">
        <v>2378</v>
      </c>
      <c r="T53" s="180">
        <v>3466</v>
      </c>
      <c r="U53" s="180">
        <v>5031.8900000000003</v>
      </c>
      <c r="V53" s="101">
        <f t="shared" si="2"/>
        <v>0.3806071375306912</v>
      </c>
      <c r="W53" s="21">
        <f t="shared" si="7"/>
        <v>0.2</v>
      </c>
      <c r="X53" s="130">
        <f t="shared" si="8"/>
        <v>6038.268</v>
      </c>
      <c r="Y53" s="130">
        <f t="shared" ref="Y53" si="225">X53*(1+$W53)</f>
        <v>7245.9215999999997</v>
      </c>
      <c r="Z53" s="130">
        <f t="shared" ref="Z53" si="226">Y53*(1+$W53)</f>
        <v>8695.10592</v>
      </c>
      <c r="AA53" s="130">
        <f t="shared" ref="AA53" si="227">Z53*(1+$W53)</f>
        <v>10434.127103999999</v>
      </c>
      <c r="AB53" s="130">
        <f t="shared" si="42"/>
        <v>12520.952524799999</v>
      </c>
      <c r="AC53" s="130">
        <f t="shared" si="43"/>
        <v>15025.143029759998</v>
      </c>
      <c r="AD53" s="130">
        <f t="shared" si="44"/>
        <v>18030.171635711999</v>
      </c>
      <c r="AE53" s="130">
        <f t="shared" si="45"/>
        <v>21636.205962854398</v>
      </c>
      <c r="AF53" s="130">
        <f t="shared" si="46"/>
        <v>25963.447155425278</v>
      </c>
      <c r="AG53" s="130">
        <f t="shared" si="47"/>
        <v>31156.136586510333</v>
      </c>
      <c r="AH53" s="115" t="e">
        <f t="shared" si="20"/>
        <v>#DIV/0!</v>
      </c>
      <c r="AI53" s="21">
        <f t="shared" si="18"/>
        <v>0.02</v>
      </c>
      <c r="AJ53" s="123">
        <f t="shared" si="1"/>
        <v>397240.74147800676</v>
      </c>
    </row>
    <row r="54" spans="1:36" s="106" customFormat="1" x14ac:dyDescent="0.2">
      <c r="B54" s="13"/>
      <c r="C54" s="125"/>
      <c r="D54" s="125"/>
      <c r="E54" s="126"/>
      <c r="F54" s="268"/>
      <c r="G54" s="268">
        <f t="shared" ref="G54:P54" si="228">(G53-F53)/G53</f>
        <v>1</v>
      </c>
      <c r="H54" s="268" t="e">
        <f t="shared" si="228"/>
        <v>#DIV/0!</v>
      </c>
      <c r="I54" s="268" t="e">
        <f t="shared" si="228"/>
        <v>#DIV/0!</v>
      </c>
      <c r="J54" s="268" t="e">
        <f t="shared" si="228"/>
        <v>#DIV/0!</v>
      </c>
      <c r="K54" s="268">
        <f t="shared" si="228"/>
        <v>1</v>
      </c>
      <c r="L54" s="268">
        <f t="shared" si="228"/>
        <v>0.21875</v>
      </c>
      <c r="M54" s="268">
        <f t="shared" si="228"/>
        <v>9.8591549295774641E-2</v>
      </c>
      <c r="N54" s="268">
        <f t="shared" si="228"/>
        <v>0.12074303405572756</v>
      </c>
      <c r="O54" s="268">
        <f t="shared" si="228"/>
        <v>0.23095238095238096</v>
      </c>
      <c r="P54" s="268">
        <f t="shared" si="228"/>
        <v>0.28934010152284262</v>
      </c>
      <c r="Q54" s="268">
        <f t="shared" ref="Q54:R54" si="229">(Q53-P53)/Q53</f>
        <v>0.39877924720244151</v>
      </c>
      <c r="R54" s="268">
        <f t="shared" si="229"/>
        <v>0.37188498402555908</v>
      </c>
      <c r="S54" s="127">
        <f t="shared" ref="S54:U54" si="230">(S53-R53)/R53</f>
        <v>0.5194888178913738</v>
      </c>
      <c r="T54" s="127">
        <f t="shared" si="230"/>
        <v>0.45752733389402861</v>
      </c>
      <c r="U54" s="127">
        <f t="shared" si="230"/>
        <v>0.45178592036930187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 x14ac:dyDescent="0.2">
      <c r="B55" s="10" t="s">
        <v>342</v>
      </c>
      <c r="C55" s="125"/>
      <c r="D55" s="125"/>
      <c r="E55" s="126"/>
      <c r="F55" s="124"/>
      <c r="G55" s="124">
        <f>K55</f>
        <v>57</v>
      </c>
      <c r="H55" s="124"/>
      <c r="I55" s="124"/>
      <c r="J55" s="124"/>
      <c r="K55" s="124">
        <v>57</v>
      </c>
      <c r="L55" s="124">
        <v>75</v>
      </c>
      <c r="M55" s="124">
        <v>94</v>
      </c>
      <c r="N55" s="124">
        <v>97</v>
      </c>
      <c r="O55" s="124">
        <v>105</v>
      </c>
      <c r="P55" s="124">
        <v>128</v>
      </c>
      <c r="Q55" s="124">
        <v>178</v>
      </c>
      <c r="R55" s="124">
        <v>295</v>
      </c>
      <c r="S55" s="180">
        <v>503</v>
      </c>
      <c r="T55" s="180">
        <v>804</v>
      </c>
      <c r="U55" s="180">
        <v>1477.52</v>
      </c>
      <c r="V55" s="101">
        <f t="shared" si="2"/>
        <v>0.38473239141249116</v>
      </c>
      <c r="W55" s="21">
        <f t="shared" si="7"/>
        <v>0.2</v>
      </c>
      <c r="X55" s="130">
        <f t="shared" si="8"/>
        <v>1773.0239999999999</v>
      </c>
      <c r="Y55" s="130">
        <f t="shared" ref="Y55" si="231">X55*(1+$W55)</f>
        <v>2127.6288</v>
      </c>
      <c r="Z55" s="130">
        <f t="shared" ref="Z55" si="232">Y55*(1+$W55)</f>
        <v>2553.1545599999999</v>
      </c>
      <c r="AA55" s="130">
        <f t="shared" ref="AA55" si="233">Z55*(1+$W55)</f>
        <v>3063.785472</v>
      </c>
      <c r="AB55" s="130">
        <f t="shared" ref="AB55" si="234">AA55*(1+$W55)</f>
        <v>3676.5425663999999</v>
      </c>
      <c r="AC55" s="130">
        <f t="shared" ref="AC55" si="235">AB55*(1+$W55)</f>
        <v>4411.8510796800001</v>
      </c>
      <c r="AD55" s="130">
        <f t="shared" ref="AD55" si="236">AC55*(1+$W55)</f>
        <v>5294.2212956160001</v>
      </c>
      <c r="AE55" s="130">
        <f t="shared" ref="AE55" si="237">AD55*(1+$W55)</f>
        <v>6353.0655547391998</v>
      </c>
      <c r="AF55" s="130">
        <f t="shared" ref="AF55" si="238">AE55*(1+$W55)</f>
        <v>7623.678665687039</v>
      </c>
      <c r="AG55" s="130">
        <f t="shared" ref="AG55" si="239">AF55*(1+$W55)</f>
        <v>9148.4143988244468</v>
      </c>
      <c r="AH55" s="115" t="e">
        <f t="shared" ref="AH55" si="240">((AG55/J55)^(1/($AG$3-$K$1) ))-1</f>
        <v>#DIV/0!</v>
      </c>
      <c r="AI55" s="21">
        <f t="shared" si="18"/>
        <v>0.02</v>
      </c>
      <c r="AJ55" s="123">
        <f t="shared" ref="AJ55" si="241">(AG55*(1+AI55))/($C$1-AI55)</f>
        <v>116642.2835850117</v>
      </c>
    </row>
    <row r="56" spans="1:36" s="106" customFormat="1" x14ac:dyDescent="0.2">
      <c r="B56" s="13"/>
      <c r="C56" s="125"/>
      <c r="D56" s="125"/>
      <c r="E56" s="126"/>
      <c r="F56" s="268"/>
      <c r="G56" s="268">
        <f t="shared" ref="G56:P56" si="242">(G55-F55)/G55</f>
        <v>1</v>
      </c>
      <c r="H56" s="268" t="e">
        <f t="shared" si="242"/>
        <v>#DIV/0!</v>
      </c>
      <c r="I56" s="268" t="e">
        <f t="shared" si="242"/>
        <v>#DIV/0!</v>
      </c>
      <c r="J56" s="268" t="e">
        <f t="shared" si="242"/>
        <v>#DIV/0!</v>
      </c>
      <c r="K56" s="268">
        <f t="shared" si="242"/>
        <v>1</v>
      </c>
      <c r="L56" s="268">
        <f t="shared" si="242"/>
        <v>0.24</v>
      </c>
      <c r="M56" s="268">
        <f t="shared" si="242"/>
        <v>0.20212765957446807</v>
      </c>
      <c r="N56" s="268">
        <f t="shared" si="242"/>
        <v>3.0927835051546393E-2</v>
      </c>
      <c r="O56" s="268">
        <f t="shared" si="242"/>
        <v>7.6190476190476197E-2</v>
      </c>
      <c r="P56" s="268">
        <f t="shared" si="242"/>
        <v>0.1796875</v>
      </c>
      <c r="Q56" s="268">
        <f t="shared" ref="Q56:R56" si="243">(Q55-P55)/Q55</f>
        <v>0.2808988764044944</v>
      </c>
      <c r="R56" s="268">
        <f t="shared" si="243"/>
        <v>0.39661016949152544</v>
      </c>
      <c r="S56" s="127">
        <f t="shared" ref="S56:U56" si="244">(S55-R55)/R55</f>
        <v>0.70508474576271185</v>
      </c>
      <c r="T56" s="127">
        <f t="shared" si="244"/>
        <v>0.59840954274353875</v>
      </c>
      <c r="U56" s="127">
        <f t="shared" si="244"/>
        <v>0.83771144278606968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 x14ac:dyDescent="0.2">
      <c r="B57" s="10" t="s">
        <v>504</v>
      </c>
      <c r="C57" s="125"/>
      <c r="D57" s="125"/>
      <c r="E57" s="126"/>
      <c r="F57" s="268"/>
      <c r="G57" s="124">
        <f>K57</f>
        <v>0.5</v>
      </c>
      <c r="H57" s="124"/>
      <c r="I57" s="124"/>
      <c r="J57" s="124"/>
      <c r="K57" s="124">
        <v>0.5</v>
      </c>
      <c r="L57" s="124">
        <v>0.45</v>
      </c>
      <c r="M57" s="124">
        <v>0.38</v>
      </c>
      <c r="N57" s="124">
        <v>0.28000000000000003</v>
      </c>
      <c r="O57" s="124">
        <v>0.22</v>
      </c>
      <c r="P57" s="124">
        <v>0.97</v>
      </c>
      <c r="Q57" s="124">
        <v>3</v>
      </c>
      <c r="R57" s="124">
        <v>5</v>
      </c>
      <c r="S57" s="180">
        <v>15</v>
      </c>
      <c r="T57" s="180">
        <v>18</v>
      </c>
      <c r="U57" s="180">
        <v>24.13</v>
      </c>
      <c r="V57" s="101">
        <f t="shared" si="2"/>
        <v>0.47352915027961284</v>
      </c>
      <c r="W57" s="21">
        <f t="shared" si="7"/>
        <v>0.2</v>
      </c>
      <c r="X57" s="130">
        <f t="shared" ref="X57" si="245">U57*(1+$W57)</f>
        <v>28.955999999999996</v>
      </c>
      <c r="Y57" s="130">
        <f t="shared" ref="Y57" si="246">X57*(1+$W57)</f>
        <v>34.747199999999992</v>
      </c>
      <c r="Z57" s="130">
        <f t="shared" ref="Z57" si="247">Y57*(1+$W57)</f>
        <v>41.696639999999988</v>
      </c>
      <c r="AA57" s="130">
        <f t="shared" ref="AA57" si="248">Z57*(1+$W57)</f>
        <v>50.035967999999983</v>
      </c>
      <c r="AB57" s="130">
        <f t="shared" ref="AB57" si="249">AA57*(1+$W57)</f>
        <v>60.043161599999976</v>
      </c>
      <c r="AC57" s="130">
        <f t="shared" ref="AC57" si="250">AB57*(1+$W57)</f>
        <v>72.051793919999966</v>
      </c>
      <c r="AD57" s="130">
        <f t="shared" ref="AD57" si="251">AC57*(1+$W57)</f>
        <v>86.462152703999962</v>
      </c>
      <c r="AE57" s="130">
        <f t="shared" ref="AE57" si="252">AD57*(1+$W57)</f>
        <v>103.75458324479995</v>
      </c>
      <c r="AF57" s="130">
        <f t="shared" ref="AF57" si="253">AE57*(1+$W57)</f>
        <v>124.50549989375993</v>
      </c>
      <c r="AG57" s="130">
        <f t="shared" ref="AG57" si="254">AF57*(1+$W57)</f>
        <v>149.40659987251192</v>
      </c>
      <c r="AH57" s="115" t="e">
        <f t="shared" ref="AH57" si="255">((AG57/J57)^(1/($AG$3-$K$1) ))-1</f>
        <v>#DIV/0!</v>
      </c>
      <c r="AI57" s="21">
        <f t="shared" si="18"/>
        <v>0.02</v>
      </c>
      <c r="AJ57" s="123">
        <f t="shared" ref="AJ57" si="256">(AG57*(1+AI57))/($C$1-AI57)</f>
        <v>1904.934148374527</v>
      </c>
    </row>
    <row r="58" spans="1:36" s="106" customFormat="1" x14ac:dyDescent="0.2">
      <c r="B58" s="13"/>
      <c r="C58" s="125"/>
      <c r="D58" s="125"/>
      <c r="E58" s="126"/>
      <c r="F58" s="268"/>
      <c r="G58" s="268">
        <f t="shared" ref="G58" si="257">(G57-F57)/G57</f>
        <v>1</v>
      </c>
      <c r="H58" s="268" t="e">
        <f t="shared" ref="H58" si="258">(H57-G57)/H57</f>
        <v>#DIV/0!</v>
      </c>
      <c r="I58" s="268" t="e">
        <f t="shared" ref="I58" si="259">(I57-H57)/I57</f>
        <v>#DIV/0!</v>
      </c>
      <c r="J58" s="268" t="e">
        <f t="shared" ref="J58" si="260">(J57-I57)/J57</f>
        <v>#DIV/0!</v>
      </c>
      <c r="K58" s="268">
        <f t="shared" ref="K58" si="261">(K57-J57)/K57</f>
        <v>1</v>
      </c>
      <c r="L58" s="268">
        <f t="shared" ref="L58" si="262">(L57-K57)/L57</f>
        <v>-0.11111111111111108</v>
      </c>
      <c r="M58" s="268">
        <f t="shared" ref="M58" si="263">(M57-L57)/M57</f>
        <v>-0.18421052631578949</v>
      </c>
      <c r="N58" s="268">
        <f t="shared" ref="N58" si="264">(N57-M57)/N57</f>
        <v>-0.35714285714285704</v>
      </c>
      <c r="O58" s="268">
        <f t="shared" ref="O58" si="265">(O57-N57)/O57</f>
        <v>-0.27272727272727282</v>
      </c>
      <c r="P58" s="268">
        <f t="shared" ref="P58" si="266">(P57-O57)/P57</f>
        <v>0.77319587628865982</v>
      </c>
      <c r="Q58" s="268">
        <f t="shared" ref="Q58" si="267">(Q57-P57)/Q57</f>
        <v>0.67666666666666675</v>
      </c>
      <c r="R58" s="268">
        <f t="shared" ref="R58" si="268">(R57-Q57)/R57</f>
        <v>0.4</v>
      </c>
      <c r="S58" s="127">
        <f t="shared" ref="S58" si="269">(S57-R57)/R57</f>
        <v>2</v>
      </c>
      <c r="T58" s="127">
        <f t="shared" ref="T58" si="270">(T57-S57)/S57</f>
        <v>0.2</v>
      </c>
      <c r="U58" s="127">
        <f t="shared" ref="U58" si="271">(U57-T57)/T57</f>
        <v>0.3405555555555555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 x14ac:dyDescent="0.2">
      <c r="B59" s="10" t="s">
        <v>343</v>
      </c>
      <c r="C59" s="118"/>
      <c r="D59" s="118"/>
      <c r="E59" s="124"/>
      <c r="F59" s="124"/>
      <c r="G59" s="124">
        <f>K59</f>
        <v>40</v>
      </c>
      <c r="H59" s="124"/>
      <c r="I59" s="124"/>
      <c r="J59" s="124"/>
      <c r="K59" s="124">
        <v>40</v>
      </c>
      <c r="L59" s="124">
        <v>53</v>
      </c>
      <c r="M59" s="124">
        <v>67</v>
      </c>
      <c r="N59" s="124">
        <v>69</v>
      </c>
      <c r="O59" s="124">
        <v>77</v>
      </c>
      <c r="P59" s="124">
        <v>93</v>
      </c>
      <c r="Q59" s="124">
        <v>129</v>
      </c>
      <c r="R59" s="124">
        <v>196</v>
      </c>
      <c r="S59" s="180">
        <v>326</v>
      </c>
      <c r="T59" s="180">
        <v>523</v>
      </c>
      <c r="U59" s="180">
        <v>829.41</v>
      </c>
      <c r="V59" s="101">
        <f t="shared" si="2"/>
        <v>0.35416295092737404</v>
      </c>
      <c r="W59" s="21">
        <f t="shared" si="7"/>
        <v>0.2</v>
      </c>
      <c r="X59" s="130">
        <f t="shared" si="8"/>
        <v>995.29199999999992</v>
      </c>
      <c r="Y59" s="130">
        <f t="shared" ref="Y59:AG59" si="272">X59*(1+$W59)</f>
        <v>1194.3503999999998</v>
      </c>
      <c r="Z59" s="130">
        <f t="shared" si="272"/>
        <v>1433.2204799999997</v>
      </c>
      <c r="AA59" s="130">
        <f t="shared" si="272"/>
        <v>1719.8645759999997</v>
      </c>
      <c r="AB59" s="130">
        <f t="shared" si="272"/>
        <v>2063.8374911999995</v>
      </c>
      <c r="AC59" s="130">
        <f t="shared" si="272"/>
        <v>2476.6049894399994</v>
      </c>
      <c r="AD59" s="130">
        <f t="shared" si="272"/>
        <v>2971.9259873279993</v>
      </c>
      <c r="AE59" s="130">
        <f t="shared" si="272"/>
        <v>3566.3111847935993</v>
      </c>
      <c r="AF59" s="130">
        <f t="shared" si="272"/>
        <v>4279.5734217523186</v>
      </c>
      <c r="AG59" s="130">
        <f t="shared" si="272"/>
        <v>5135.4881061027818</v>
      </c>
      <c r="AH59" s="115" t="e">
        <f t="shared" si="20"/>
        <v>#DIV/0!</v>
      </c>
      <c r="AI59" s="21">
        <f t="shared" si="18"/>
        <v>0.02</v>
      </c>
      <c r="AJ59" s="123">
        <f t="shared" si="1"/>
        <v>65477.473352810463</v>
      </c>
    </row>
    <row r="60" spans="1:36" s="106" customFormat="1" x14ac:dyDescent="0.2">
      <c r="B60" s="13"/>
      <c r="C60" s="125"/>
      <c r="D60" s="125"/>
      <c r="E60" s="126"/>
      <c r="F60" s="268"/>
      <c r="G60" s="268">
        <f>(G59-F59)/G59</f>
        <v>1</v>
      </c>
      <c r="H60" s="268" t="e">
        <f t="shared" ref="H60:P60" si="273">(H59-G59)/H59</f>
        <v>#DIV/0!</v>
      </c>
      <c r="I60" s="268" t="e">
        <f t="shared" si="273"/>
        <v>#DIV/0!</v>
      </c>
      <c r="J60" s="268" t="e">
        <f t="shared" si="273"/>
        <v>#DIV/0!</v>
      </c>
      <c r="K60" s="268">
        <f t="shared" si="273"/>
        <v>1</v>
      </c>
      <c r="L60" s="268">
        <f t="shared" si="273"/>
        <v>0.24528301886792453</v>
      </c>
      <c r="M60" s="268">
        <f t="shared" si="273"/>
        <v>0.20895522388059701</v>
      </c>
      <c r="N60" s="268">
        <f t="shared" si="273"/>
        <v>2.8985507246376812E-2</v>
      </c>
      <c r="O60" s="268">
        <f t="shared" si="273"/>
        <v>0.1038961038961039</v>
      </c>
      <c r="P60" s="268">
        <f t="shared" si="273"/>
        <v>0.17204301075268819</v>
      </c>
      <c r="Q60" s="268">
        <f t="shared" ref="Q60:R60" si="274">(Q59-P59)/Q59</f>
        <v>0.27906976744186046</v>
      </c>
      <c r="R60" s="268">
        <f t="shared" si="274"/>
        <v>0.34183673469387754</v>
      </c>
      <c r="S60" s="127">
        <f t="shared" ref="S60:U60" si="275">(S59-R59)/R59</f>
        <v>0.66326530612244894</v>
      </c>
      <c r="T60" s="127">
        <f t="shared" si="275"/>
        <v>0.60429447852760731</v>
      </c>
      <c r="U60" s="127">
        <f t="shared" si="275"/>
        <v>0.58586998087954101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 x14ac:dyDescent="0.2">
      <c r="B61" s="10" t="s">
        <v>197</v>
      </c>
      <c r="C61" s="119"/>
      <c r="D61" s="119"/>
      <c r="E61" s="122"/>
      <c r="F61" s="124"/>
      <c r="G61" s="124">
        <f>K61</f>
        <v>3</v>
      </c>
      <c r="H61" s="270"/>
      <c r="I61" s="270"/>
      <c r="J61" s="270"/>
      <c r="K61" s="270">
        <v>3</v>
      </c>
      <c r="L61" s="270">
        <v>3</v>
      </c>
      <c r="M61" s="270">
        <v>3</v>
      </c>
      <c r="N61" s="270">
        <v>3</v>
      </c>
      <c r="O61" s="270">
        <v>3</v>
      </c>
      <c r="P61" s="270">
        <v>5</v>
      </c>
      <c r="Q61" s="122">
        <v>5</v>
      </c>
      <c r="R61" s="122">
        <v>12.69</v>
      </c>
      <c r="S61" s="122">
        <v>12.69</v>
      </c>
      <c r="T61" s="122">
        <v>16.559999999999999</v>
      </c>
      <c r="U61" s="122">
        <v>16.649999999999999</v>
      </c>
      <c r="V61" s="101">
        <f t="shared" si="2"/>
        <v>0.18694145521884575</v>
      </c>
      <c r="W61" s="21">
        <v>0.02</v>
      </c>
      <c r="X61" s="130">
        <f t="shared" si="8"/>
        <v>16.983000000000001</v>
      </c>
      <c r="Y61" s="130">
        <f>X61*(1+$W61)</f>
        <v>17.322660000000003</v>
      </c>
      <c r="Z61" s="130">
        <f t="shared" ref="Z61:AG61" si="276">Y61*(1+$W61)</f>
        <v>17.669113200000002</v>
      </c>
      <c r="AA61" s="130">
        <f t="shared" si="276"/>
        <v>18.022495464000002</v>
      </c>
      <c r="AB61" s="130">
        <f t="shared" si="276"/>
        <v>18.382945373280002</v>
      </c>
      <c r="AC61" s="130">
        <f t="shared" si="276"/>
        <v>18.750604280745602</v>
      </c>
      <c r="AD61" s="130">
        <f t="shared" si="276"/>
        <v>19.125616366360514</v>
      </c>
      <c r="AE61" s="130">
        <f t="shared" si="276"/>
        <v>19.508128693687723</v>
      </c>
      <c r="AF61" s="130">
        <f t="shared" si="276"/>
        <v>19.898291267561479</v>
      </c>
      <c r="AG61" s="130">
        <f t="shared" si="276"/>
        <v>20.296257092912708</v>
      </c>
      <c r="AH61" s="115" t="e">
        <f t="shared" si="20"/>
        <v>#DIV/0!</v>
      </c>
      <c r="AI61" s="21">
        <f t="shared" si="18"/>
        <v>0.02</v>
      </c>
      <c r="AJ61" s="123">
        <f t="shared" si="1"/>
        <v>258.77727793463703</v>
      </c>
    </row>
    <row r="62" spans="1:36" x14ac:dyDescent="0.2">
      <c r="B62" s="10"/>
      <c r="C62" s="119"/>
      <c r="D62" s="119"/>
      <c r="E62" s="120"/>
      <c r="F62" s="268"/>
      <c r="G62" s="268">
        <f t="shared" ref="G62" si="277">(G61-E61)/G61</f>
        <v>1</v>
      </c>
      <c r="H62" s="268" t="e">
        <f>(H61-F61)/H61</f>
        <v>#DIV/0!</v>
      </c>
      <c r="I62" s="268" t="e">
        <f t="shared" ref="I62:R62" si="278">(I61-H61)/I61</f>
        <v>#DIV/0!</v>
      </c>
      <c r="J62" s="268" t="e">
        <f t="shared" si="278"/>
        <v>#DIV/0!</v>
      </c>
      <c r="K62" s="268">
        <f t="shared" si="278"/>
        <v>1</v>
      </c>
      <c r="L62" s="268">
        <f t="shared" si="278"/>
        <v>0</v>
      </c>
      <c r="M62" s="268">
        <f t="shared" si="278"/>
        <v>0</v>
      </c>
      <c r="N62" s="268">
        <f t="shared" si="278"/>
        <v>0</v>
      </c>
      <c r="O62" s="268">
        <f t="shared" si="278"/>
        <v>0</v>
      </c>
      <c r="P62" s="268">
        <f t="shared" si="278"/>
        <v>0.4</v>
      </c>
      <c r="Q62" s="268">
        <f t="shared" si="278"/>
        <v>0</v>
      </c>
      <c r="R62" s="268">
        <f t="shared" si="278"/>
        <v>0.60598896769109534</v>
      </c>
      <c r="S62" s="127">
        <f t="shared" ref="S62:U62" si="279">(S61-R61)/R61</f>
        <v>0</v>
      </c>
      <c r="T62" s="127">
        <f t="shared" si="279"/>
        <v>0.30496453900709214</v>
      </c>
      <c r="U62" s="127">
        <f t="shared" si="279"/>
        <v>5.4347826086956442E-3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 x14ac:dyDescent="0.2">
      <c r="B63" s="10" t="s">
        <v>232</v>
      </c>
      <c r="C63" s="122"/>
      <c r="D63" s="122"/>
      <c r="E63" s="122"/>
      <c r="F63" s="124"/>
      <c r="G63" s="124">
        <f>K63</f>
        <v>0</v>
      </c>
      <c r="H63" s="271">
        <v>0</v>
      </c>
      <c r="I63" s="271">
        <v>0</v>
      </c>
      <c r="J63" s="271">
        <v>0</v>
      </c>
      <c r="K63" s="271">
        <v>0</v>
      </c>
      <c r="L63" s="271">
        <v>0</v>
      </c>
      <c r="M63" s="271">
        <v>0</v>
      </c>
      <c r="N63" s="271">
        <v>0</v>
      </c>
      <c r="O63" s="271">
        <v>0</v>
      </c>
      <c r="P63" s="271">
        <v>0</v>
      </c>
      <c r="Q63" s="124">
        <v>0</v>
      </c>
      <c r="R63" s="124">
        <v>0</v>
      </c>
      <c r="S63" s="180">
        <v>0</v>
      </c>
      <c r="T63" s="180">
        <v>6</v>
      </c>
      <c r="U63" s="180">
        <v>9</v>
      </c>
      <c r="V63" s="101" t="e">
        <f t="shared" si="2"/>
        <v>#DIV/0!</v>
      </c>
      <c r="W63" s="21">
        <v>0.02</v>
      </c>
      <c r="X63" s="130">
        <f t="shared" si="8"/>
        <v>9.18</v>
      </c>
      <c r="Y63" s="130">
        <f t="shared" ref="Y63" si="280">X63*(1+$W63)</f>
        <v>9.3635999999999999</v>
      </c>
      <c r="Z63" s="130">
        <f t="shared" ref="Z63" si="281">Y63*(1+$W63)</f>
        <v>9.550872</v>
      </c>
      <c r="AA63" s="130">
        <f t="shared" ref="AA63" si="282">Z63*(1+$W63)</f>
        <v>9.7418894399999996</v>
      </c>
      <c r="AB63" s="130">
        <f t="shared" ref="AB63" si="283">AA63*(1+$W63)</f>
        <v>9.9367272288000006</v>
      </c>
      <c r="AC63" s="130">
        <f t="shared" ref="AC63" si="284">AB63*(1+$W63)</f>
        <v>10.135461773376001</v>
      </c>
      <c r="AD63" s="130">
        <f t="shared" ref="AD63" si="285">AC63*(1+$W63)</f>
        <v>10.338171008843521</v>
      </c>
      <c r="AE63" s="130">
        <f t="shared" ref="AE63" si="286">AD63*(1+$W63)</f>
        <v>10.54493442902039</v>
      </c>
      <c r="AF63" s="130">
        <f t="shared" ref="AF63" si="287">AE63*(1+$W63)</f>
        <v>10.755833117600798</v>
      </c>
      <c r="AG63" s="130">
        <f t="shared" ref="AG63" si="288">AF63*(1+$W63)</f>
        <v>10.970949779952814</v>
      </c>
      <c r="AH63" s="115" t="e">
        <f t="shared" ref="AH63" si="289">((AG63/J63)^(1/($AG$3-$K$1) ))-1</f>
        <v>#DIV/0!</v>
      </c>
      <c r="AI63" s="21">
        <f t="shared" si="18"/>
        <v>0.02</v>
      </c>
      <c r="AJ63" s="123">
        <f t="shared" si="1"/>
        <v>139.8796096943984</v>
      </c>
    </row>
    <row r="64" spans="1:36" x14ac:dyDescent="0.2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 t="e">
        <f t="shared" ref="I64" si="292">(I63-H63)/H63</f>
        <v>#DIV/0!</v>
      </c>
      <c r="J64" s="127" t="e">
        <f t="shared" ref="J64:U64" si="293">(J63-I63)/I63</f>
        <v>#DIV/0!</v>
      </c>
      <c r="K64" s="127" t="e">
        <f t="shared" si="293"/>
        <v>#DIV/0!</v>
      </c>
      <c r="L64" s="127" t="e">
        <f t="shared" si="293"/>
        <v>#DIV/0!</v>
      </c>
      <c r="M64" s="127" t="e">
        <f t="shared" si="293"/>
        <v>#DIV/0!</v>
      </c>
      <c r="N64" s="127" t="e">
        <f t="shared" si="293"/>
        <v>#DIV/0!</v>
      </c>
      <c r="O64" s="127" t="e">
        <f t="shared" si="293"/>
        <v>#DIV/0!</v>
      </c>
      <c r="P64" s="127" t="e">
        <f t="shared" si="293"/>
        <v>#DIV/0!</v>
      </c>
      <c r="Q64" s="127" t="e">
        <f t="shared" si="293"/>
        <v>#DIV/0!</v>
      </c>
      <c r="R64" s="127" t="e">
        <f t="shared" si="293"/>
        <v>#DIV/0!</v>
      </c>
      <c r="S64" s="127" t="e">
        <f t="shared" si="293"/>
        <v>#DIV/0!</v>
      </c>
      <c r="T64" s="127" t="e">
        <f t="shared" si="293"/>
        <v>#DIV/0!</v>
      </c>
      <c r="U64" s="127">
        <f t="shared" si="293"/>
        <v>0.5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 x14ac:dyDescent="0.2">
      <c r="B70" s="10" t="s">
        <v>252</v>
      </c>
      <c r="C70" s="111"/>
      <c r="D70" s="111"/>
      <c r="E70" s="111"/>
      <c r="F70" s="111"/>
      <c r="G70" s="111">
        <f t="shared" ref="G70" si="294">G25/G61</f>
        <v>75.666666666666671</v>
      </c>
      <c r="H70" s="111" t="e">
        <f t="shared" ref="H70:I70" si="295">H25/H61</f>
        <v>#DIV/0!</v>
      </c>
      <c r="I70" s="111" t="e">
        <f t="shared" si="295"/>
        <v>#DIV/0!</v>
      </c>
      <c r="J70" s="111" t="e">
        <f t="shared" ref="J70:S70" si="296">J25/J61</f>
        <v>#DIV/0!</v>
      </c>
      <c r="K70" s="111">
        <f t="shared" si="296"/>
        <v>75.666666666666671</v>
      </c>
      <c r="L70" s="111">
        <f t="shared" si="296"/>
        <v>92.333333333333329</v>
      </c>
      <c r="M70" s="111">
        <f t="shared" si="296"/>
        <v>105.33333333333333</v>
      </c>
      <c r="N70" s="111">
        <f t="shared" si="296"/>
        <v>121</v>
      </c>
      <c r="O70" s="111">
        <f t="shared" si="296"/>
        <v>153.66666666666666</v>
      </c>
      <c r="P70" s="111">
        <f t="shared" si="296"/>
        <v>133.19999999999999</v>
      </c>
      <c r="Q70" s="111">
        <f t="shared" si="296"/>
        <v>224</v>
      </c>
      <c r="R70" s="111">
        <f t="shared" si="296"/>
        <v>139.95271867612294</v>
      </c>
      <c r="S70" s="111">
        <f t="shared" si="296"/>
        <v>212.45074862096141</v>
      </c>
      <c r="T70" s="111">
        <f t="shared" ref="T70:U70" si="297">T25/T61</f>
        <v>235.92995169082127</v>
      </c>
      <c r="U70" s="111">
        <f t="shared" si="297"/>
        <v>331.34894894894899</v>
      </c>
      <c r="V70" s="101">
        <f t="shared" si="2"/>
        <v>0.15914588951087794</v>
      </c>
      <c r="W70" s="109"/>
      <c r="X70" s="134">
        <f t="shared" ref="X70:AG70" si="298">X25/X61</f>
        <v>389.82229288111637</v>
      </c>
      <c r="Y70" s="134">
        <f t="shared" si="298"/>
        <v>458.61446221307801</v>
      </c>
      <c r="Z70" s="134">
        <f t="shared" si="298"/>
        <v>539.54642613303292</v>
      </c>
      <c r="AA70" s="134">
        <f t="shared" si="298"/>
        <v>634.76050133297997</v>
      </c>
      <c r="AB70" s="134">
        <f t="shared" si="298"/>
        <v>746.77706039174109</v>
      </c>
      <c r="AC70" s="134">
        <f t="shared" si="298"/>
        <v>878.56124751969537</v>
      </c>
      <c r="AD70" s="134">
        <f t="shared" si="298"/>
        <v>1033.6014676702298</v>
      </c>
      <c r="AE70" s="134">
        <f t="shared" si="298"/>
        <v>1216.0017266708585</v>
      </c>
      <c r="AF70" s="134">
        <f t="shared" si="298"/>
        <v>1430.5902666715981</v>
      </c>
      <c r="AG70" s="134">
        <f t="shared" si="298"/>
        <v>1683.0473725548215</v>
      </c>
      <c r="AH70" s="115" t="e">
        <f t="shared" ref="AH70" si="299">((AG70/J70)^(1/($AG$3-$K$1) ))-1</f>
        <v>#DIV/0!</v>
      </c>
      <c r="AI70" s="21">
        <f t="shared" si="18"/>
        <v>0.02</v>
      </c>
      <c r="AJ70" s="123">
        <f t="shared" ref="AJ70:AJ71" si="300">(AG70*(1+AI70))/($C$1-AI70)</f>
        <v>21458.854000073974</v>
      </c>
    </row>
    <row r="71" spans="2:36" x14ac:dyDescent="0.2">
      <c r="B71" s="10" t="s">
        <v>253</v>
      </c>
      <c r="C71" s="111"/>
      <c r="D71" s="111"/>
      <c r="E71" s="111"/>
      <c r="F71" s="111"/>
      <c r="G71" s="111">
        <f t="shared" ref="G71" si="301">G27/G61</f>
        <v>8</v>
      </c>
      <c r="H71" s="111" t="e">
        <f t="shared" ref="H71:I71" si="302">H27/H61</f>
        <v>#DIV/0!</v>
      </c>
      <c r="I71" s="111" t="e">
        <f t="shared" si="302"/>
        <v>#DIV/0!</v>
      </c>
      <c r="J71" s="111" t="e">
        <f t="shared" ref="J71:S71" si="303">J27/J61</f>
        <v>#DIV/0!</v>
      </c>
      <c r="K71" s="111">
        <f t="shared" si="303"/>
        <v>8</v>
      </c>
      <c r="L71" s="111">
        <f t="shared" si="303"/>
        <v>6.333333333333333</v>
      </c>
      <c r="M71" s="111">
        <f t="shared" si="303"/>
        <v>7.333333333333333</v>
      </c>
      <c r="N71" s="111">
        <f t="shared" si="303"/>
        <v>11.666666666666666</v>
      </c>
      <c r="O71" s="111">
        <f t="shared" si="303"/>
        <v>13.666666666666666</v>
      </c>
      <c r="P71" s="111">
        <f t="shared" si="303"/>
        <v>14.8</v>
      </c>
      <c r="Q71" s="111">
        <f t="shared" si="303"/>
        <v>27.2</v>
      </c>
      <c r="R71" s="111">
        <f t="shared" si="303"/>
        <v>16.548463356973997</v>
      </c>
      <c r="S71" s="111">
        <f t="shared" si="303"/>
        <v>25.059101654846337</v>
      </c>
      <c r="T71" s="111">
        <f t="shared" ref="T71:U71" si="304">T27/T61</f>
        <v>26.630434782608699</v>
      </c>
      <c r="U71" s="111">
        <f t="shared" si="304"/>
        <v>29.099699699699702</v>
      </c>
      <c r="V71" s="101">
        <f t="shared" si="2"/>
        <v>0.13783647612044514</v>
      </c>
      <c r="W71" s="109"/>
      <c r="X71" s="134">
        <f t="shared" ref="X71:AG71" si="305">X27/X61</f>
        <v>34.23494082317611</v>
      </c>
      <c r="Y71" s="134">
        <f t="shared" si="305"/>
        <v>40.276400968442474</v>
      </c>
      <c r="Z71" s="134">
        <f t="shared" si="305"/>
        <v>47.384001139344093</v>
      </c>
      <c r="AA71" s="134">
        <f t="shared" si="305"/>
        <v>55.745883693345988</v>
      </c>
      <c r="AB71" s="134">
        <f t="shared" si="305"/>
        <v>65.58339258040705</v>
      </c>
      <c r="AC71" s="134">
        <f t="shared" si="305"/>
        <v>77.156932447537699</v>
      </c>
      <c r="AD71" s="134">
        <f t="shared" si="305"/>
        <v>90.772861702985537</v>
      </c>
      <c r="AE71" s="134">
        <f t="shared" si="305"/>
        <v>106.79160200351238</v>
      </c>
      <c r="AF71" s="134">
        <f t="shared" si="305"/>
        <v>125.63717882766163</v>
      </c>
      <c r="AG71" s="134">
        <f t="shared" si="305"/>
        <v>147.8084456796019</v>
      </c>
      <c r="AH71" s="115" t="e">
        <f t="shared" ref="AH71" si="306">((AG71/J71)^(1/($AG$3-$K$1) ))-1</f>
        <v>#DIV/0!</v>
      </c>
      <c r="AI71" s="21">
        <f t="shared" si="18"/>
        <v>0.02</v>
      </c>
      <c r="AJ71" s="123">
        <f t="shared" si="300"/>
        <v>1884.5576824149243</v>
      </c>
    </row>
    <row r="72" spans="2:36" x14ac:dyDescent="0.2">
      <c r="B72" s="10" t="s">
        <v>369</v>
      </c>
      <c r="C72" s="111"/>
      <c r="D72" s="111"/>
      <c r="E72" s="111"/>
      <c r="F72" s="111"/>
      <c r="G72" s="111">
        <f t="shared" ref="G72" si="307">G55-G59</f>
        <v>17</v>
      </c>
      <c r="H72" s="111">
        <f t="shared" ref="H72:I72" si="308">H55-H59</f>
        <v>0</v>
      </c>
      <c r="I72" s="111">
        <f t="shared" si="308"/>
        <v>0</v>
      </c>
      <c r="J72" s="111">
        <f>J55-J59</f>
        <v>0</v>
      </c>
      <c r="K72" s="111">
        <f t="shared" ref="K72:S72" si="309">K55-K59</f>
        <v>17</v>
      </c>
      <c r="L72" s="111">
        <f t="shared" si="309"/>
        <v>22</v>
      </c>
      <c r="M72" s="111">
        <f t="shared" si="309"/>
        <v>27</v>
      </c>
      <c r="N72" s="111">
        <f t="shared" si="309"/>
        <v>28</v>
      </c>
      <c r="O72" s="111">
        <f t="shared" si="309"/>
        <v>28</v>
      </c>
      <c r="P72" s="111">
        <f t="shared" si="309"/>
        <v>35</v>
      </c>
      <c r="Q72" s="111">
        <f t="shared" si="309"/>
        <v>49</v>
      </c>
      <c r="R72" s="111">
        <f t="shared" si="309"/>
        <v>99</v>
      </c>
      <c r="S72" s="111">
        <f t="shared" si="309"/>
        <v>177</v>
      </c>
      <c r="T72" s="111">
        <f t="shared" ref="T72:U72" si="310">T55-T59</f>
        <v>281</v>
      </c>
      <c r="U72" s="111">
        <f t="shared" si="310"/>
        <v>648.11</v>
      </c>
      <c r="V72" s="101">
        <f t="shared" si="2"/>
        <v>0.4391961219993934</v>
      </c>
      <c r="W72" s="109"/>
      <c r="X72" s="111">
        <f t="shared" ref="X72:AG72" si="311">X55-X59</f>
        <v>777.73199999999997</v>
      </c>
      <c r="Y72" s="111">
        <f t="shared" si="311"/>
        <v>933.27840000000015</v>
      </c>
      <c r="Z72" s="111">
        <f t="shared" si="311"/>
        <v>1119.9340800000002</v>
      </c>
      <c r="AA72" s="111">
        <f t="shared" si="311"/>
        <v>1343.9208960000003</v>
      </c>
      <c r="AB72" s="111">
        <f t="shared" si="311"/>
        <v>1612.7050752000005</v>
      </c>
      <c r="AC72" s="111">
        <f t="shared" si="311"/>
        <v>1935.2460902400007</v>
      </c>
      <c r="AD72" s="111">
        <f t="shared" si="311"/>
        <v>2322.2953082880008</v>
      </c>
      <c r="AE72" s="111">
        <f t="shared" si="311"/>
        <v>2786.7543699456005</v>
      </c>
      <c r="AF72" s="111">
        <f t="shared" si="311"/>
        <v>3344.1052439347204</v>
      </c>
      <c r="AG72" s="111">
        <f t="shared" si="311"/>
        <v>4012.926292721665</v>
      </c>
      <c r="AH72" s="115" t="e">
        <f t="shared" ref="AH72" si="312">((AG72/J72)^(1/($AG$3-$K$1) ))-1</f>
        <v>#DIV/0!</v>
      </c>
      <c r="AI72" s="21">
        <f t="shared" si="18"/>
        <v>0.02</v>
      </c>
      <c r="AJ72" s="123">
        <f t="shared" ref="AJ72" si="313">(AG72*(1+AI72))/($C$1-AI72)</f>
        <v>51164.810232201227</v>
      </c>
    </row>
    <row r="73" spans="2:36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 x14ac:dyDescent="0.2">
      <c r="B74" s="10" t="s">
        <v>402</v>
      </c>
      <c r="C74" s="111"/>
      <c r="D74" s="111"/>
      <c r="E74" s="111"/>
      <c r="F74" s="15"/>
      <c r="G74" s="15">
        <f t="shared" ref="G74" si="314">G53/G61</f>
        <v>66.666666666666671</v>
      </c>
      <c r="H74" s="15" t="e">
        <f t="shared" ref="H74:I74" si="315">H53/H61</f>
        <v>#DIV/0!</v>
      </c>
      <c r="I74" s="15" t="e">
        <f t="shared" si="315"/>
        <v>#DIV/0!</v>
      </c>
      <c r="J74" s="15" t="e">
        <f t="shared" ref="J74:S74" si="316">J53/J61</f>
        <v>#DIV/0!</v>
      </c>
      <c r="K74" s="15">
        <f t="shared" si="316"/>
        <v>66.666666666666671</v>
      </c>
      <c r="L74" s="15">
        <f t="shared" si="316"/>
        <v>85.333333333333329</v>
      </c>
      <c r="M74" s="15">
        <f t="shared" si="316"/>
        <v>94.666666666666671</v>
      </c>
      <c r="N74" s="15">
        <f t="shared" si="316"/>
        <v>107.66666666666667</v>
      </c>
      <c r="O74" s="15">
        <f t="shared" si="316"/>
        <v>140</v>
      </c>
      <c r="P74" s="15">
        <f t="shared" si="316"/>
        <v>118.2</v>
      </c>
      <c r="Q74" s="15">
        <f t="shared" si="316"/>
        <v>196.6</v>
      </c>
      <c r="R74" s="15">
        <f t="shared" si="316"/>
        <v>123.32545311268716</v>
      </c>
      <c r="S74" s="15">
        <f t="shared" si="316"/>
        <v>187.39164696611505</v>
      </c>
      <c r="T74" s="15">
        <f>T53/T61</f>
        <v>209.29951690821258</v>
      </c>
      <c r="U74" s="15">
        <f>U53/U61</f>
        <v>302.21561561561566</v>
      </c>
      <c r="V74" s="101">
        <f t="shared" si="2"/>
        <v>0.16316363495463038</v>
      </c>
      <c r="W74" s="109"/>
      <c r="X74" s="96">
        <f>X53/X61</f>
        <v>355.54778307719482</v>
      </c>
      <c r="Y74" s="96">
        <f t="shared" ref="Y74:AG74" si="317">Y53/Y61</f>
        <v>418.29150950258207</v>
      </c>
      <c r="Z74" s="96">
        <f t="shared" si="317"/>
        <v>492.10765823833191</v>
      </c>
      <c r="AA74" s="96">
        <f t="shared" si="317"/>
        <v>578.95018616274342</v>
      </c>
      <c r="AB74" s="96">
        <f t="shared" si="317"/>
        <v>681.11786607381578</v>
      </c>
      <c r="AC74" s="96">
        <f t="shared" si="317"/>
        <v>801.31513655743026</v>
      </c>
      <c r="AD74" s="96">
        <f t="shared" si="317"/>
        <v>942.72369006756503</v>
      </c>
      <c r="AE74" s="96">
        <f t="shared" si="317"/>
        <v>1109.0866941971353</v>
      </c>
      <c r="AF74" s="96">
        <f t="shared" si="317"/>
        <v>1304.8078755260415</v>
      </c>
      <c r="AG74" s="96">
        <f t="shared" si="317"/>
        <v>1535.0680888541665</v>
      </c>
      <c r="AH74" s="115" t="e">
        <f t="shared" ref="AH74:AH75" si="318">((AG74/J74)^(1/($AG$3-$K$1) ))-1</f>
        <v>#DIV/0!</v>
      </c>
      <c r="AI74" s="21">
        <f t="shared" si="18"/>
        <v>0.02</v>
      </c>
      <c r="AJ74" s="123">
        <f t="shared" ref="AJ74:AJ75" si="319">(AG74*(1+AI74))/($C$1-AI74)</f>
        <v>19572.11813289062</v>
      </c>
    </row>
    <row r="75" spans="2:36" x14ac:dyDescent="0.2">
      <c r="B75" s="10" t="s">
        <v>403</v>
      </c>
      <c r="C75" s="111"/>
      <c r="D75" s="111"/>
      <c r="E75" s="111"/>
      <c r="F75" s="15"/>
      <c r="G75" s="15">
        <f t="shared" ref="G75" si="320">G55/G61</f>
        <v>19</v>
      </c>
      <c r="H75" s="15" t="e">
        <f t="shared" ref="H75:I75" si="321">H55/H61</f>
        <v>#DIV/0!</v>
      </c>
      <c r="I75" s="15" t="e">
        <f t="shared" si="321"/>
        <v>#DIV/0!</v>
      </c>
      <c r="J75" s="15" t="e">
        <f t="shared" ref="J75:S75" si="322">J55/J61</f>
        <v>#DIV/0!</v>
      </c>
      <c r="K75" s="15">
        <f t="shared" si="322"/>
        <v>19</v>
      </c>
      <c r="L75" s="15">
        <f t="shared" si="322"/>
        <v>25</v>
      </c>
      <c r="M75" s="15">
        <f t="shared" si="322"/>
        <v>31.333333333333332</v>
      </c>
      <c r="N75" s="15">
        <f t="shared" si="322"/>
        <v>32.333333333333336</v>
      </c>
      <c r="O75" s="15">
        <f t="shared" si="322"/>
        <v>35</v>
      </c>
      <c r="P75" s="15">
        <f t="shared" si="322"/>
        <v>25.6</v>
      </c>
      <c r="Q75" s="15">
        <f t="shared" si="322"/>
        <v>35.6</v>
      </c>
      <c r="R75" s="15">
        <f t="shared" si="322"/>
        <v>23.246650906225376</v>
      </c>
      <c r="S75" s="15">
        <f t="shared" si="322"/>
        <v>39.637509850275812</v>
      </c>
      <c r="T75" s="15">
        <f>T55/T61</f>
        <v>48.550724637681164</v>
      </c>
      <c r="U75" s="15">
        <f>U55/U61</f>
        <v>88.739939939939944</v>
      </c>
      <c r="V75" s="101">
        <f t="shared" ref="V75:V138" si="323">((U75/G75)^(1/($K$2-$K$1) ))-1</f>
        <v>0.16663916768934239</v>
      </c>
      <c r="W75" s="109"/>
      <c r="X75" s="96">
        <f>X55/X61</f>
        <v>104.3999293411058</v>
      </c>
      <c r="Y75" s="96">
        <f t="shared" ref="Y75:AG75" si="324">Y55/Y61</f>
        <v>122.82344628365388</v>
      </c>
      <c r="Z75" s="96">
        <f t="shared" si="324"/>
        <v>144.49817209841632</v>
      </c>
      <c r="AA75" s="96">
        <f t="shared" si="324"/>
        <v>169.99784952754862</v>
      </c>
      <c r="AB75" s="96">
        <f t="shared" si="324"/>
        <v>199.99747003241015</v>
      </c>
      <c r="AC75" s="96">
        <f t="shared" si="324"/>
        <v>235.29114121460017</v>
      </c>
      <c r="AD75" s="96">
        <f t="shared" si="324"/>
        <v>276.81310731129435</v>
      </c>
      <c r="AE75" s="96">
        <f t="shared" si="324"/>
        <v>325.66247918975802</v>
      </c>
      <c r="AF75" s="96">
        <f t="shared" si="324"/>
        <v>383.13232845853878</v>
      </c>
      <c r="AG75" s="96">
        <f t="shared" si="324"/>
        <v>450.7439158335751</v>
      </c>
      <c r="AH75" s="115" t="e">
        <f t="shared" si="318"/>
        <v>#DIV/0!</v>
      </c>
      <c r="AI75" s="21">
        <f t="shared" si="18"/>
        <v>0.02</v>
      </c>
      <c r="AJ75" s="123">
        <f t="shared" si="319"/>
        <v>5746.9849268780827</v>
      </c>
    </row>
    <row r="76" spans="2:36" x14ac:dyDescent="0.2">
      <c r="B76" s="10" t="s">
        <v>214</v>
      </c>
      <c r="C76" s="15"/>
      <c r="D76" s="15"/>
      <c r="E76" s="15"/>
      <c r="F76" s="111"/>
      <c r="G76" s="111">
        <f t="shared" ref="G76" si="325">G59/G61</f>
        <v>13.333333333333334</v>
      </c>
      <c r="H76" s="111" t="e">
        <f t="shared" ref="H76:I76" si="326">H59/H61</f>
        <v>#DIV/0!</v>
      </c>
      <c r="I76" s="111" t="e">
        <f t="shared" si="326"/>
        <v>#DIV/0!</v>
      </c>
      <c r="J76" s="111" t="e">
        <f t="shared" ref="J76:S76" si="327">J59/J61</f>
        <v>#DIV/0!</v>
      </c>
      <c r="K76" s="111">
        <f t="shared" si="327"/>
        <v>13.333333333333334</v>
      </c>
      <c r="L76" s="111">
        <f t="shared" si="327"/>
        <v>17.666666666666668</v>
      </c>
      <c r="M76" s="111">
        <f t="shared" si="327"/>
        <v>22.333333333333332</v>
      </c>
      <c r="N76" s="111">
        <f t="shared" si="327"/>
        <v>23</v>
      </c>
      <c r="O76" s="111">
        <f t="shared" si="327"/>
        <v>25.666666666666668</v>
      </c>
      <c r="P76" s="111">
        <f t="shared" si="327"/>
        <v>18.600000000000001</v>
      </c>
      <c r="Q76" s="111">
        <f t="shared" si="327"/>
        <v>25.8</v>
      </c>
      <c r="R76" s="111">
        <f t="shared" si="327"/>
        <v>15.445232466509063</v>
      </c>
      <c r="S76" s="111">
        <f t="shared" si="327"/>
        <v>25.689519306540586</v>
      </c>
      <c r="T76" s="111">
        <f t="shared" ref="T76:U76" si="328">T59/T61</f>
        <v>31.582125603864736</v>
      </c>
      <c r="U76" s="111">
        <f t="shared" si="328"/>
        <v>49.814414414414415</v>
      </c>
      <c r="V76" s="101">
        <f t="shared" si="323"/>
        <v>0.14088436710443841</v>
      </c>
      <c r="W76" s="109"/>
      <c r="X76" s="134">
        <f t="shared" ref="X76:AG76" si="329">X59/X61</f>
        <v>58.605193428722835</v>
      </c>
      <c r="Y76" s="134">
        <f t="shared" si="329"/>
        <v>68.947286386732728</v>
      </c>
      <c r="Z76" s="134">
        <f t="shared" si="329"/>
        <v>81.114454572626741</v>
      </c>
      <c r="AA76" s="134">
        <f t="shared" si="329"/>
        <v>95.428770085443233</v>
      </c>
      <c r="AB76" s="134">
        <f t="shared" si="329"/>
        <v>112.26914127699203</v>
      </c>
      <c r="AC76" s="134">
        <f t="shared" si="329"/>
        <v>132.08134267881414</v>
      </c>
      <c r="AD76" s="134">
        <f t="shared" si="329"/>
        <v>155.38981491625194</v>
      </c>
      <c r="AE76" s="134">
        <f t="shared" si="329"/>
        <v>182.81154696029643</v>
      </c>
      <c r="AF76" s="134">
        <f t="shared" si="329"/>
        <v>215.07240818858398</v>
      </c>
      <c r="AG76" s="134">
        <f t="shared" si="329"/>
        <v>253.02636257480466</v>
      </c>
      <c r="AH76" s="115" t="e">
        <f t="shared" ref="AH76:AH90" si="330">((AG76/J76)^(1/($AG$3-$K$1) ))-1</f>
        <v>#DIV/0!</v>
      </c>
      <c r="AI76" s="21">
        <f t="shared" si="18"/>
        <v>0.02</v>
      </c>
      <c r="AJ76" s="123">
        <f t="shared" ref="AJ76:AJ104" si="331">(AG76*(1+AI76))/($C$1-AI76)</f>
        <v>3226.0861228287595</v>
      </c>
    </row>
    <row r="77" spans="2:36" x14ac:dyDescent="0.2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 t="e">
        <f t="shared" ref="H77:I77" si="333">H20/H61</f>
        <v>#DIV/0!</v>
      </c>
      <c r="I77" s="111" t="e">
        <f t="shared" si="333"/>
        <v>#DIV/0!</v>
      </c>
      <c r="J77" s="111" t="e">
        <f>J20/J61</f>
        <v>#DIV/0!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0.02</v>
      </c>
      <c r="AJ77" s="123">
        <f t="shared" si="331"/>
        <v>0</v>
      </c>
    </row>
    <row r="78" spans="2:36" x14ac:dyDescent="0.2">
      <c r="B78" s="10" t="s">
        <v>202</v>
      </c>
      <c r="C78" s="15"/>
      <c r="D78" s="15"/>
      <c r="E78" s="15"/>
      <c r="F78" s="111"/>
      <c r="G78" s="111">
        <f t="shared" ref="G78" si="338">G7/G61</f>
        <v>56</v>
      </c>
      <c r="H78" s="111" t="e">
        <f t="shared" ref="H78:I78" si="339">H7/H61</f>
        <v>#DIV/0!</v>
      </c>
      <c r="I78" s="111" t="e">
        <f t="shared" si="339"/>
        <v>#DIV/0!</v>
      </c>
      <c r="J78" s="111" t="e">
        <f t="shared" ref="J78:S78" si="340">J7/J61</f>
        <v>#DIV/0!</v>
      </c>
      <c r="K78" s="111">
        <f t="shared" si="340"/>
        <v>56</v>
      </c>
      <c r="L78" s="111">
        <f t="shared" si="340"/>
        <v>71.666666666666671</v>
      </c>
      <c r="M78" s="111">
        <f t="shared" si="340"/>
        <v>91.333333333333329</v>
      </c>
      <c r="N78" s="111">
        <f t="shared" si="340"/>
        <v>112</v>
      </c>
      <c r="O78" s="111">
        <f t="shared" si="340"/>
        <v>133</v>
      </c>
      <c r="P78" s="111">
        <f t="shared" si="340"/>
        <v>123.6</v>
      </c>
      <c r="Q78" s="111">
        <f t="shared" si="340"/>
        <v>186.8</v>
      </c>
      <c r="R78" s="111">
        <f t="shared" si="340"/>
        <v>124.58628841607566</v>
      </c>
      <c r="S78" s="111">
        <f t="shared" si="340"/>
        <v>169.03073286052009</v>
      </c>
      <c r="T78" s="111">
        <f t="shared" ref="T78:U78" si="341">T7/T61</f>
        <v>336.77536231884062</v>
      </c>
      <c r="U78" s="111">
        <f t="shared" si="341"/>
        <v>378.71111111111117</v>
      </c>
      <c r="V78" s="101">
        <f t="shared" si="323"/>
        <v>0.21063158970297535</v>
      </c>
      <c r="W78" s="109"/>
      <c r="X78" s="134">
        <f t="shared" ref="X78:AG78" si="342">X7/X61</f>
        <v>445.54248366013064</v>
      </c>
      <c r="Y78" s="134">
        <f t="shared" si="342"/>
        <v>524.16762783544777</v>
      </c>
      <c r="Z78" s="134">
        <f t="shared" si="342"/>
        <v>616.66779745346787</v>
      </c>
      <c r="AA78" s="134">
        <f t="shared" si="342"/>
        <v>725.49152641584453</v>
      </c>
      <c r="AB78" s="134">
        <f t="shared" si="342"/>
        <v>853.51944284217006</v>
      </c>
      <c r="AC78" s="134">
        <f t="shared" si="342"/>
        <v>1004.1405209907882</v>
      </c>
      <c r="AD78" s="134">
        <f t="shared" si="342"/>
        <v>1181.3417894009272</v>
      </c>
      <c r="AE78" s="134">
        <f t="shared" si="342"/>
        <v>1389.8138698834437</v>
      </c>
      <c r="AF78" s="134">
        <f t="shared" si="342"/>
        <v>1635.0751410393455</v>
      </c>
      <c r="AG78" s="134">
        <f t="shared" si="342"/>
        <v>1923.6178129874652</v>
      </c>
      <c r="AH78" s="115" t="e">
        <f t="shared" si="330"/>
        <v>#DIV/0!</v>
      </c>
      <c r="AI78" s="21">
        <f t="shared" si="18"/>
        <v>0.02</v>
      </c>
      <c r="AJ78" s="123">
        <f t="shared" si="331"/>
        <v>24526.127115590181</v>
      </c>
    </row>
    <row r="79" spans="2:36" x14ac:dyDescent="0.2">
      <c r="B79" s="10" t="s">
        <v>203</v>
      </c>
      <c r="C79" s="108"/>
      <c r="D79" s="108"/>
      <c r="E79" s="108"/>
      <c r="F79" s="121"/>
      <c r="G79" s="121">
        <f t="shared" ref="G79" si="343">G6/G61</f>
        <v>46</v>
      </c>
      <c r="H79" s="121" t="e">
        <f t="shared" ref="H79:I79" si="344">H6/H61</f>
        <v>#DIV/0!</v>
      </c>
      <c r="I79" s="121" t="e">
        <f t="shared" si="344"/>
        <v>#DIV/0!</v>
      </c>
      <c r="J79" s="121" t="e">
        <f t="shared" ref="J79:S79" si="345">J6/J61</f>
        <v>#DIV/0!</v>
      </c>
      <c r="K79" s="121">
        <f t="shared" si="345"/>
        <v>46</v>
      </c>
      <c r="L79" s="121">
        <f t="shared" si="345"/>
        <v>61.666666666666664</v>
      </c>
      <c r="M79" s="121">
        <f t="shared" si="345"/>
        <v>81.666666666666671</v>
      </c>
      <c r="N79" s="121">
        <f t="shared" si="345"/>
        <v>102</v>
      </c>
      <c r="O79" s="121">
        <f t="shared" si="345"/>
        <v>123</v>
      </c>
      <c r="P79" s="121">
        <f t="shared" si="345"/>
        <v>113.6</v>
      </c>
      <c r="Q79" s="121">
        <f t="shared" si="345"/>
        <v>173.69</v>
      </c>
      <c r="R79" s="121">
        <f t="shared" si="345"/>
        <v>116.39085894405044</v>
      </c>
      <c r="S79" s="121">
        <f t="shared" si="345"/>
        <v>159.02285263987392</v>
      </c>
      <c r="T79" s="121">
        <f t="shared" ref="T79:U79" si="346">T6/T61</f>
        <v>326.7512077294686</v>
      </c>
      <c r="U79" s="121">
        <f t="shared" si="346"/>
        <v>368.70570570570572</v>
      </c>
      <c r="V79" s="101">
        <f t="shared" si="323"/>
        <v>0.23138030377661623</v>
      </c>
      <c r="W79" s="109"/>
      <c r="X79" s="133">
        <f t="shared" ref="X79:AG79" si="347">X6/X61</f>
        <v>433.77141847730081</v>
      </c>
      <c r="Y79" s="133">
        <f t="shared" si="347"/>
        <v>510.31931585564797</v>
      </c>
      <c r="Z79" s="133">
        <f t="shared" si="347"/>
        <v>600.37566571252694</v>
      </c>
      <c r="AA79" s="133">
        <f t="shared" si="347"/>
        <v>706.3243126029729</v>
      </c>
      <c r="AB79" s="133">
        <f t="shared" si="347"/>
        <v>830.96977953290934</v>
      </c>
      <c r="AC79" s="133">
        <f t="shared" si="347"/>
        <v>977.61150533283444</v>
      </c>
      <c r="AD79" s="133">
        <f t="shared" si="347"/>
        <v>1150.1311827445111</v>
      </c>
      <c r="AE79" s="133">
        <f t="shared" si="347"/>
        <v>1353.0955091111894</v>
      </c>
      <c r="AF79" s="133">
        <f t="shared" si="347"/>
        <v>1591.8770695425756</v>
      </c>
      <c r="AG79" s="133">
        <f t="shared" si="347"/>
        <v>1872.7965524030299</v>
      </c>
      <c r="AH79" s="115" t="e">
        <f t="shared" si="330"/>
        <v>#DIV/0!</v>
      </c>
      <c r="AI79" s="21">
        <f t="shared" si="18"/>
        <v>0.02</v>
      </c>
      <c r="AJ79" s="123">
        <f t="shared" si="331"/>
        <v>23878.156043138632</v>
      </c>
    </row>
    <row r="80" spans="2:36" x14ac:dyDescent="0.2">
      <c r="B80" s="10" t="s">
        <v>204</v>
      </c>
      <c r="C80" s="108"/>
      <c r="D80" s="108"/>
      <c r="E80" s="108"/>
      <c r="F80" s="121"/>
      <c r="G80" s="121">
        <f t="shared" ref="G80" si="348">G10/G61</f>
        <v>627.66666666666663</v>
      </c>
      <c r="H80" s="121" t="e">
        <f t="shared" ref="H80:I80" si="349">H10/H61</f>
        <v>#DIV/0!</v>
      </c>
      <c r="I80" s="121" t="e">
        <f t="shared" si="349"/>
        <v>#DIV/0!</v>
      </c>
      <c r="J80" s="121" t="e">
        <f t="shared" ref="J80:S80" si="350">J10/J61</f>
        <v>#DIV/0!</v>
      </c>
      <c r="K80" s="121">
        <f t="shared" si="350"/>
        <v>627.66666666666663</v>
      </c>
      <c r="L80" s="121">
        <f t="shared" si="350"/>
        <v>779.66666666666663</v>
      </c>
      <c r="M80" s="121">
        <f t="shared" si="350"/>
        <v>885</v>
      </c>
      <c r="N80" s="121">
        <f t="shared" si="350"/>
        <v>1059.3333333333333</v>
      </c>
      <c r="O80" s="121">
        <f t="shared" si="350"/>
        <v>931</v>
      </c>
      <c r="P80" s="121">
        <f t="shared" si="350"/>
        <v>1107</v>
      </c>
      <c r="Q80" s="121">
        <f t="shared" si="350"/>
        <v>1679.2</v>
      </c>
      <c r="R80" s="121">
        <f t="shared" si="350"/>
        <v>1146.7297084318361</v>
      </c>
      <c r="S80" s="121">
        <f t="shared" si="350"/>
        <v>1898.6603624901497</v>
      </c>
      <c r="T80" s="121">
        <f t="shared" ref="T80:U80" si="351">T10/T61</f>
        <v>1934.2391304347827</v>
      </c>
      <c r="U80" s="121">
        <f t="shared" si="351"/>
        <v>3040.8804804804809</v>
      </c>
      <c r="V80" s="101">
        <f t="shared" si="323"/>
        <v>0.17091947287146847</v>
      </c>
      <c r="W80" s="109"/>
      <c r="X80" s="133">
        <f t="shared" ref="X80:AG80" si="352">X10/X61</f>
        <v>3577.5064476240946</v>
      </c>
      <c r="Y80" s="133">
        <f t="shared" si="352"/>
        <v>4208.8311148518751</v>
      </c>
      <c r="Z80" s="133">
        <f t="shared" si="352"/>
        <v>4951.5660174727946</v>
      </c>
      <c r="AA80" s="133">
        <f t="shared" si="352"/>
        <v>5825.3717852621112</v>
      </c>
      <c r="AB80" s="133">
        <f t="shared" si="352"/>
        <v>6853.3785708966016</v>
      </c>
      <c r="AC80" s="133">
        <f t="shared" si="352"/>
        <v>8062.7983187018845</v>
      </c>
      <c r="AD80" s="133">
        <f t="shared" si="352"/>
        <v>9485.6450808257468</v>
      </c>
      <c r="AE80" s="133">
        <f t="shared" si="352"/>
        <v>11159.582448030291</v>
      </c>
      <c r="AF80" s="133">
        <f t="shared" si="352"/>
        <v>13128.920527094457</v>
      </c>
      <c r="AG80" s="133">
        <f t="shared" si="352"/>
        <v>15445.788855405246</v>
      </c>
      <c r="AH80" s="115" t="e">
        <f t="shared" si="330"/>
        <v>#DIV/0!</v>
      </c>
      <c r="AI80" s="21">
        <f t="shared" si="18"/>
        <v>0.02</v>
      </c>
      <c r="AJ80" s="123">
        <f t="shared" si="331"/>
        <v>196933.80790641689</v>
      </c>
    </row>
    <row r="81" spans="2:36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 x14ac:dyDescent="0.2">
      <c r="B82" s="10" t="s">
        <v>221</v>
      </c>
      <c r="C82" s="108"/>
      <c r="D82" s="108"/>
      <c r="E82" s="108"/>
      <c r="F82" s="121"/>
      <c r="G82" s="121">
        <f t="shared" ref="G82" si="353">(G7-G10)/G61</f>
        <v>-571.66666666666663</v>
      </c>
      <c r="H82" s="121" t="e">
        <f t="shared" ref="H82:I82" si="354">(H7-H10)/H61</f>
        <v>#DIV/0!</v>
      </c>
      <c r="I82" s="121" t="e">
        <f t="shared" si="354"/>
        <v>#DIV/0!</v>
      </c>
      <c r="J82" s="121" t="e">
        <f t="shared" ref="J82:S82" si="355">(J7-J10)/J61</f>
        <v>#DIV/0!</v>
      </c>
      <c r="K82" s="121">
        <f t="shared" si="355"/>
        <v>-571.66666666666663</v>
      </c>
      <c r="L82" s="121">
        <f t="shared" si="355"/>
        <v>-708</v>
      </c>
      <c r="M82" s="121">
        <f t="shared" si="355"/>
        <v>-793.66666666666663</v>
      </c>
      <c r="N82" s="121">
        <f t="shared" si="355"/>
        <v>-947.33333333333337</v>
      </c>
      <c r="O82" s="121">
        <f t="shared" si="355"/>
        <v>-798</v>
      </c>
      <c r="P82" s="121">
        <f t="shared" si="355"/>
        <v>-983.4</v>
      </c>
      <c r="Q82" s="121">
        <f t="shared" si="355"/>
        <v>-1492.4</v>
      </c>
      <c r="R82" s="121">
        <f t="shared" si="355"/>
        <v>-1022.1434200157605</v>
      </c>
      <c r="S82" s="121">
        <f t="shared" si="355"/>
        <v>-1729.6296296296298</v>
      </c>
      <c r="T82" s="121">
        <f t="shared" ref="T82:U82" si="356">(T7-T10)/T61</f>
        <v>-1597.4637681159422</v>
      </c>
      <c r="U82" s="121">
        <f t="shared" si="356"/>
        <v>-2662.1693693693696</v>
      </c>
      <c r="V82" s="101">
        <f t="shared" si="323"/>
        <v>0.166297329608462</v>
      </c>
      <c r="W82" s="109"/>
      <c r="X82" s="133">
        <f t="shared" ref="X82:AG82" si="357">(X7-X10)/X61</f>
        <v>-3131.963963963964</v>
      </c>
      <c r="Y82" s="133">
        <f t="shared" si="357"/>
        <v>-3684.6634870164276</v>
      </c>
      <c r="Z82" s="133">
        <f t="shared" si="357"/>
        <v>-4334.8982200193268</v>
      </c>
      <c r="AA82" s="133">
        <f t="shared" si="357"/>
        <v>-5099.8802588462668</v>
      </c>
      <c r="AB82" s="133">
        <f t="shared" si="357"/>
        <v>-5999.8591280544315</v>
      </c>
      <c r="AC82" s="133">
        <f t="shared" si="357"/>
        <v>-7058.6577977110956</v>
      </c>
      <c r="AD82" s="133">
        <f t="shared" si="357"/>
        <v>-8304.3032914248179</v>
      </c>
      <c r="AE82" s="133">
        <f t="shared" si="357"/>
        <v>-9769.7685781468463</v>
      </c>
      <c r="AF82" s="133">
        <f t="shared" si="357"/>
        <v>-11493.845386055113</v>
      </c>
      <c r="AG82" s="133">
        <f t="shared" si="357"/>
        <v>-13522.171042417778</v>
      </c>
      <c r="AH82" s="115" t="e">
        <f t="shared" si="330"/>
        <v>#DIV/0!</v>
      </c>
      <c r="AI82" s="21">
        <f t="shared" si="18"/>
        <v>0.02</v>
      </c>
      <c r="AJ82" s="123">
        <f t="shared" si="331"/>
        <v>-172407.68079082668</v>
      </c>
    </row>
    <row r="83" spans="2:36" x14ac:dyDescent="0.2">
      <c r="B83" s="10" t="s">
        <v>222</v>
      </c>
      <c r="C83" s="108"/>
      <c r="D83" s="108"/>
      <c r="E83" s="108"/>
      <c r="F83" s="121"/>
      <c r="G83" s="121">
        <f t="shared" ref="G83" si="358">(G7-G10-G9)/G61</f>
        <v>-586.33333333333337</v>
      </c>
      <c r="H83" s="121" t="e">
        <f t="shared" ref="H83:I83" si="359">(H7-H10-H9)/H61</f>
        <v>#DIV/0!</v>
      </c>
      <c r="I83" s="121" t="e">
        <f t="shared" si="359"/>
        <v>#DIV/0!</v>
      </c>
      <c r="J83" s="121" t="e">
        <f t="shared" ref="J83:S83" si="360">(J7-J10-J9)/J61</f>
        <v>#DIV/0!</v>
      </c>
      <c r="K83" s="121">
        <f t="shared" si="360"/>
        <v>-586.33333333333337</v>
      </c>
      <c r="L83" s="121">
        <f t="shared" si="360"/>
        <v>-724</v>
      </c>
      <c r="M83" s="121">
        <f t="shared" si="360"/>
        <v>-838.33333333333337</v>
      </c>
      <c r="N83" s="121">
        <f t="shared" si="360"/>
        <v>-999.33333333333337</v>
      </c>
      <c r="O83" s="121">
        <f t="shared" si="360"/>
        <v>-1198.3333333333333</v>
      </c>
      <c r="P83" s="121">
        <f t="shared" si="360"/>
        <v>-1272</v>
      </c>
      <c r="Q83" s="121">
        <f t="shared" si="360"/>
        <v>-1917.2</v>
      </c>
      <c r="R83" s="121">
        <f t="shared" si="360"/>
        <v>-1240.0315208825848</v>
      </c>
      <c r="S83" s="121">
        <f t="shared" si="360"/>
        <v>-1902.8368794326243</v>
      </c>
      <c r="T83" s="121">
        <f t="shared" ref="T83:U83" si="361">(T7-T10-T9)/T61</f>
        <v>-1904.2270531400968</v>
      </c>
      <c r="U83" s="121">
        <f t="shared" si="361"/>
        <v>-3047.6708708708711</v>
      </c>
      <c r="V83" s="101">
        <f t="shared" si="323"/>
        <v>0.17918609122694074</v>
      </c>
      <c r="W83" s="109"/>
      <c r="X83" s="133">
        <f t="shared" ref="X83:AG83" si="362">(X7-X10-X9)/X61</f>
        <v>-3585.4951422010245</v>
      </c>
      <c r="Y83" s="133">
        <f t="shared" si="362"/>
        <v>-4218.2295790600283</v>
      </c>
      <c r="Z83" s="133">
        <f t="shared" si="362"/>
        <v>-4962.6230341882692</v>
      </c>
      <c r="AA83" s="133">
        <f t="shared" si="362"/>
        <v>-5838.3800402214929</v>
      </c>
      <c r="AB83" s="133">
        <f t="shared" si="362"/>
        <v>-6868.6824002605799</v>
      </c>
      <c r="AC83" s="133">
        <f t="shared" si="362"/>
        <v>-8080.8028238359766</v>
      </c>
      <c r="AD83" s="133">
        <f t="shared" si="362"/>
        <v>-9506.8268515717355</v>
      </c>
      <c r="AE83" s="133">
        <f t="shared" si="362"/>
        <v>-11184.502178319692</v>
      </c>
      <c r="AF83" s="133">
        <f t="shared" si="362"/>
        <v>-13158.237856846694</v>
      </c>
      <c r="AG83" s="133">
        <f t="shared" si="362"/>
        <v>-15480.279831584347</v>
      </c>
      <c r="AH83" s="115" t="e">
        <f t="shared" si="330"/>
        <v>#DIV/0!</v>
      </c>
      <c r="AI83" s="21">
        <f t="shared" si="18"/>
        <v>0.02</v>
      </c>
      <c r="AJ83" s="123">
        <f t="shared" si="331"/>
        <v>-197373.56785270042</v>
      </c>
    </row>
    <row r="84" spans="2:36" x14ac:dyDescent="0.2">
      <c r="B84" s="10" t="s">
        <v>227</v>
      </c>
      <c r="C84" s="108"/>
      <c r="D84" s="108"/>
      <c r="E84" s="108"/>
      <c r="F84" s="121"/>
      <c r="G84" s="121">
        <f t="shared" ref="G84" si="363">(G7+G15-G10-G9)/G61</f>
        <v>-579.66666666666663</v>
      </c>
      <c r="H84" s="121" t="e">
        <f t="shared" ref="H84:I84" si="364">(H7+H15-H10-H9)/H61</f>
        <v>#DIV/0!</v>
      </c>
      <c r="I84" s="121" t="e">
        <f t="shared" si="364"/>
        <v>#DIV/0!</v>
      </c>
      <c r="J84" s="121" t="e">
        <f t="shared" ref="J84:S84" si="365">(J7+J15-J10-J9)/J61</f>
        <v>#DIV/0!</v>
      </c>
      <c r="K84" s="121">
        <f t="shared" si="365"/>
        <v>-579.66666666666663</v>
      </c>
      <c r="L84" s="121">
        <f t="shared" si="365"/>
        <v>-717</v>
      </c>
      <c r="M84" s="121">
        <f t="shared" si="365"/>
        <v>-836</v>
      </c>
      <c r="N84" s="121">
        <f t="shared" si="365"/>
        <v>-977</v>
      </c>
      <c r="O84" s="121">
        <f t="shared" si="365"/>
        <v>-1194.6666666666667</v>
      </c>
      <c r="P84" s="121">
        <f t="shared" si="365"/>
        <v>-1246.4000000000001</v>
      </c>
      <c r="Q84" s="121">
        <f t="shared" si="365"/>
        <v>-1889.6</v>
      </c>
      <c r="R84" s="121">
        <f t="shared" si="365"/>
        <v>-1216.942474389283</v>
      </c>
      <c r="S84" s="121">
        <f t="shared" si="365"/>
        <v>-1883.2939322301024</v>
      </c>
      <c r="T84" s="121">
        <f t="shared" ref="T84:U84" si="366">(T7+T15-T10-T9)/T61</f>
        <v>-1895.108695652174</v>
      </c>
      <c r="U84" s="121">
        <f t="shared" si="366"/>
        <v>-2878.4858858858861</v>
      </c>
      <c r="V84" s="101">
        <f t="shared" si="323"/>
        <v>0.17381208828998784</v>
      </c>
      <c r="W84" s="109"/>
      <c r="X84" s="133">
        <f t="shared" ref="X84:AG84" si="367">(X7+X15-X10-X9)/X61</f>
        <v>-3386.4539833951599</v>
      </c>
      <c r="Y84" s="133">
        <f t="shared" si="367"/>
        <v>-3984.0635098766584</v>
      </c>
      <c r="Z84" s="133">
        <f t="shared" si="367"/>
        <v>-4687.1335410313632</v>
      </c>
      <c r="AA84" s="133">
        <f t="shared" si="367"/>
        <v>-5514.2747541545441</v>
      </c>
      <c r="AB84" s="133">
        <f t="shared" si="367"/>
        <v>-6487.3820637112276</v>
      </c>
      <c r="AC84" s="133">
        <f t="shared" si="367"/>
        <v>-7632.2141926014465</v>
      </c>
      <c r="AD84" s="133">
        <f t="shared" si="367"/>
        <v>-8979.0755207075836</v>
      </c>
      <c r="AE84" s="133">
        <f t="shared" si="367"/>
        <v>-10563.618259655981</v>
      </c>
      <c r="AF84" s="133">
        <f t="shared" si="367"/>
        <v>-12427.786187830565</v>
      </c>
      <c r="AG84" s="133">
        <f t="shared" si="367"/>
        <v>-14620.924926859489</v>
      </c>
      <c r="AH84" s="115" t="e">
        <f t="shared" si="330"/>
        <v>#DIV/0!</v>
      </c>
      <c r="AI84" s="21">
        <f t="shared" si="18"/>
        <v>0.02</v>
      </c>
      <c r="AJ84" s="123">
        <f t="shared" si="331"/>
        <v>-186416.79281745848</v>
      </c>
    </row>
    <row r="85" spans="2:36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 x14ac:dyDescent="0.2">
      <c r="B86" s="10" t="s">
        <v>205</v>
      </c>
      <c r="C86" s="108"/>
      <c r="D86" s="108"/>
      <c r="E86" s="108"/>
      <c r="F86" s="121"/>
      <c r="G86" s="121">
        <f t="shared" ref="G86" si="368">G12/G61</f>
        <v>6.666666666666667</v>
      </c>
      <c r="H86" s="121" t="e">
        <f t="shared" ref="H86:I86" si="369">H12/H61</f>
        <v>#DIV/0!</v>
      </c>
      <c r="I86" s="121" t="e">
        <f t="shared" si="369"/>
        <v>#DIV/0!</v>
      </c>
      <c r="J86" s="121" t="e">
        <f t="shared" ref="J86:S86" si="370">J12/J61</f>
        <v>#DIV/0!</v>
      </c>
      <c r="K86" s="121">
        <f t="shared" si="370"/>
        <v>6.666666666666667</v>
      </c>
      <c r="L86" s="121">
        <f t="shared" si="370"/>
        <v>7</v>
      </c>
      <c r="M86" s="121">
        <f t="shared" si="370"/>
        <v>2.3333333333333335</v>
      </c>
      <c r="N86" s="121">
        <f t="shared" si="370"/>
        <v>22.333333333333332</v>
      </c>
      <c r="O86" s="121">
        <f t="shared" si="370"/>
        <v>3.6666666666666665</v>
      </c>
      <c r="P86" s="121">
        <f t="shared" si="370"/>
        <v>25.6</v>
      </c>
      <c r="Q86" s="121">
        <f t="shared" si="370"/>
        <v>27.683999999999997</v>
      </c>
      <c r="R86" s="121">
        <f t="shared" si="370"/>
        <v>23.089046493301815</v>
      </c>
      <c r="S86" s="121">
        <f t="shared" si="370"/>
        <v>19.54294720252167</v>
      </c>
      <c r="T86" s="121">
        <f t="shared" ref="T86:U86" si="371">T12/T61</f>
        <v>9.1183574879227063</v>
      </c>
      <c r="U86" s="121">
        <f t="shared" si="371"/>
        <v>169.18498498498499</v>
      </c>
      <c r="V86" s="101">
        <f t="shared" si="323"/>
        <v>0.38180037949752665</v>
      </c>
      <c r="W86" s="109"/>
      <c r="X86" s="133">
        <f t="shared" ref="X86:AG86" si="372">X12/X61</f>
        <v>199.04115880586468</v>
      </c>
      <c r="Y86" s="133">
        <f t="shared" si="372"/>
        <v>234.16606918337015</v>
      </c>
      <c r="Z86" s="133">
        <f t="shared" si="372"/>
        <v>275.48949315690606</v>
      </c>
      <c r="AA86" s="133">
        <f t="shared" si="372"/>
        <v>324.10528606694828</v>
      </c>
      <c r="AB86" s="133">
        <f t="shared" si="372"/>
        <v>381.30033654935096</v>
      </c>
      <c r="AC86" s="133">
        <f t="shared" si="372"/>
        <v>448.58863123453051</v>
      </c>
      <c r="AD86" s="133">
        <f t="shared" si="372"/>
        <v>527.75133086415349</v>
      </c>
      <c r="AE86" s="133">
        <f t="shared" si="372"/>
        <v>620.88391866371001</v>
      </c>
      <c r="AF86" s="133">
        <f t="shared" si="372"/>
        <v>730.45166901612924</v>
      </c>
      <c r="AG86" s="133">
        <f t="shared" si="372"/>
        <v>859.3549047248581</v>
      </c>
      <c r="AH86" s="115" t="e">
        <f t="shared" si="330"/>
        <v>#DIV/0!</v>
      </c>
      <c r="AI86" s="21">
        <f t="shared" si="18"/>
        <v>0.02</v>
      </c>
      <c r="AJ86" s="123">
        <f t="shared" si="331"/>
        <v>10956.775035241941</v>
      </c>
    </row>
    <row r="87" spans="2:36" x14ac:dyDescent="0.2">
      <c r="B87" s="10" t="s">
        <v>212</v>
      </c>
      <c r="C87" s="108"/>
      <c r="D87" s="108"/>
      <c r="E87" s="108"/>
      <c r="F87" s="121"/>
      <c r="G87" s="121">
        <f t="shared" ref="G87" si="373">G13/G61</f>
        <v>45</v>
      </c>
      <c r="H87" s="121" t="e">
        <f t="shared" ref="H87:I87" si="374">H13/H61</f>
        <v>#DIV/0!</v>
      </c>
      <c r="I87" s="121" t="e">
        <f t="shared" si="374"/>
        <v>#DIV/0!</v>
      </c>
      <c r="J87" s="121" t="e">
        <f t="shared" ref="J87:S87" si="375">J13/J61</f>
        <v>#DIV/0!</v>
      </c>
      <c r="K87" s="121">
        <f t="shared" si="375"/>
        <v>45</v>
      </c>
      <c r="L87" s="121">
        <f t="shared" si="375"/>
        <v>122</v>
      </c>
      <c r="M87" s="121">
        <f t="shared" si="375"/>
        <v>143</v>
      </c>
      <c r="N87" s="121">
        <f t="shared" si="375"/>
        <v>103.33333333333333</v>
      </c>
      <c r="O87" s="121">
        <f t="shared" si="375"/>
        <v>126</v>
      </c>
      <c r="P87" s="121">
        <f t="shared" si="375"/>
        <v>155.19999999999999</v>
      </c>
      <c r="Q87" s="121">
        <f t="shared" si="375"/>
        <v>129</v>
      </c>
      <c r="R87" s="121">
        <f t="shared" si="375"/>
        <v>124.90149724192278</v>
      </c>
      <c r="S87" s="121">
        <f t="shared" si="375"/>
        <v>127.81717888100867</v>
      </c>
      <c r="T87" s="121">
        <f t="shared" ref="T87:U87" si="376">T13/T61</f>
        <v>198.00724637681162</v>
      </c>
      <c r="U87" s="121">
        <f t="shared" si="376"/>
        <v>142.93753753753754</v>
      </c>
      <c r="V87" s="101">
        <f t="shared" si="323"/>
        <v>0.12251816649448855</v>
      </c>
      <c r="W87" s="109"/>
      <c r="X87" s="133">
        <f t="shared" ref="X87:AG87" si="377">X13/X61</f>
        <v>168.16180886769121</v>
      </c>
      <c r="Y87" s="133">
        <f t="shared" si="377"/>
        <v>197.83742219728373</v>
      </c>
      <c r="Z87" s="133">
        <f t="shared" si="377"/>
        <v>232.74990846739263</v>
      </c>
      <c r="AA87" s="133">
        <f t="shared" si="377"/>
        <v>273.82342172634424</v>
      </c>
      <c r="AB87" s="133">
        <f t="shared" si="377"/>
        <v>322.14520203099323</v>
      </c>
      <c r="AC87" s="133">
        <f t="shared" si="377"/>
        <v>378.99435533058022</v>
      </c>
      <c r="AD87" s="133">
        <f t="shared" si="377"/>
        <v>445.87571215362379</v>
      </c>
      <c r="AE87" s="133">
        <f t="shared" si="377"/>
        <v>524.5596613572045</v>
      </c>
      <c r="AF87" s="133">
        <f t="shared" si="377"/>
        <v>617.12901336141692</v>
      </c>
      <c r="AG87" s="133">
        <f t="shared" si="377"/>
        <v>726.03413336637288</v>
      </c>
      <c r="AH87" s="115" t="e">
        <f t="shared" si="330"/>
        <v>#DIV/0!</v>
      </c>
      <c r="AI87" s="21">
        <f t="shared" si="18"/>
        <v>0.02</v>
      </c>
      <c r="AJ87" s="123">
        <f t="shared" si="331"/>
        <v>9256.9352004212542</v>
      </c>
    </row>
    <row r="88" spans="2:36" x14ac:dyDescent="0.2">
      <c r="B88" s="10" t="s">
        <v>213</v>
      </c>
      <c r="C88" s="108"/>
      <c r="D88" s="108"/>
      <c r="E88" s="108"/>
      <c r="F88" s="121"/>
      <c r="G88" s="121">
        <f t="shared" ref="G88" si="378">(G86+G87)</f>
        <v>51.666666666666664</v>
      </c>
      <c r="H88" s="121" t="e">
        <f t="shared" ref="H88:I88" si="379">(H86+H87)</f>
        <v>#DIV/0!</v>
      </c>
      <c r="I88" s="121" t="e">
        <f t="shared" si="379"/>
        <v>#DIV/0!</v>
      </c>
      <c r="J88" s="121" t="e">
        <f t="shared" ref="J88:S88" si="380">(J86+J87)</f>
        <v>#DIV/0!</v>
      </c>
      <c r="K88" s="121">
        <f t="shared" si="380"/>
        <v>51.666666666666664</v>
      </c>
      <c r="L88" s="121">
        <f t="shared" si="380"/>
        <v>129</v>
      </c>
      <c r="M88" s="121">
        <f t="shared" si="380"/>
        <v>145.33333333333334</v>
      </c>
      <c r="N88" s="121">
        <f t="shared" si="380"/>
        <v>125.66666666666666</v>
      </c>
      <c r="O88" s="121">
        <f t="shared" si="380"/>
        <v>129.66666666666666</v>
      </c>
      <c r="P88" s="121">
        <f t="shared" si="380"/>
        <v>180.79999999999998</v>
      </c>
      <c r="Q88" s="121">
        <f t="shared" si="380"/>
        <v>156.684</v>
      </c>
      <c r="R88" s="121">
        <f t="shared" ref="R88" si="381">(R86+R87)</f>
        <v>147.99054373522461</v>
      </c>
      <c r="S88" s="121">
        <f t="shared" si="380"/>
        <v>147.36012608353033</v>
      </c>
      <c r="T88" s="121">
        <f t="shared" ref="T88:U88" si="382">(T86+T87)</f>
        <v>207.12560386473433</v>
      </c>
      <c r="U88" s="121">
        <f t="shared" si="382"/>
        <v>312.12252252252256</v>
      </c>
      <c r="V88" s="101">
        <f t="shared" si="323"/>
        <v>0.19704772738907628</v>
      </c>
      <c r="W88" s="109"/>
      <c r="X88" s="133">
        <f t="shared" ref="X88:AG88" si="383">(X86+X87)</f>
        <v>367.20296767355592</v>
      </c>
      <c r="Y88" s="133">
        <f t="shared" si="383"/>
        <v>432.00349138065388</v>
      </c>
      <c r="Z88" s="133">
        <f t="shared" si="383"/>
        <v>508.23940162429869</v>
      </c>
      <c r="AA88" s="133">
        <f t="shared" si="383"/>
        <v>597.92870779329246</v>
      </c>
      <c r="AB88" s="133">
        <f t="shared" si="383"/>
        <v>703.44553858034419</v>
      </c>
      <c r="AC88" s="133">
        <f t="shared" si="383"/>
        <v>827.58298656511079</v>
      </c>
      <c r="AD88" s="133">
        <f t="shared" si="383"/>
        <v>973.62704301777728</v>
      </c>
      <c r="AE88" s="133">
        <f t="shared" si="383"/>
        <v>1145.4435800209144</v>
      </c>
      <c r="AF88" s="133">
        <f t="shared" si="383"/>
        <v>1347.5806823775461</v>
      </c>
      <c r="AG88" s="133">
        <f t="shared" si="383"/>
        <v>1585.389038091231</v>
      </c>
      <c r="AH88" s="115" t="e">
        <f t="shared" si="330"/>
        <v>#DIV/0!</v>
      </c>
      <c r="AI88" s="21">
        <f t="shared" si="18"/>
        <v>0.02</v>
      </c>
      <c r="AJ88" s="123">
        <f t="shared" si="331"/>
        <v>20213.710235663195</v>
      </c>
    </row>
    <row r="89" spans="2:36" x14ac:dyDescent="0.2">
      <c r="B89" s="10" t="s">
        <v>206</v>
      </c>
      <c r="C89" s="108"/>
      <c r="D89" s="108"/>
      <c r="E89" s="108"/>
      <c r="F89" s="121"/>
      <c r="G89" s="121">
        <f t="shared" ref="G89" si="384">G15/G61</f>
        <v>6.666666666666667</v>
      </c>
      <c r="H89" s="121" t="e">
        <f t="shared" ref="H89:I89" si="385">H15/H61</f>
        <v>#DIV/0!</v>
      </c>
      <c r="I89" s="121" t="e">
        <f t="shared" si="385"/>
        <v>#DIV/0!</v>
      </c>
      <c r="J89" s="121" t="e">
        <f t="shared" ref="J89:S89" si="386">J15/J61</f>
        <v>#DIV/0!</v>
      </c>
      <c r="K89" s="121">
        <f t="shared" si="386"/>
        <v>6.666666666666667</v>
      </c>
      <c r="L89" s="121">
        <f t="shared" si="386"/>
        <v>7</v>
      </c>
      <c r="M89" s="121">
        <f t="shared" si="386"/>
        <v>2.3333333333333335</v>
      </c>
      <c r="N89" s="121">
        <f t="shared" si="386"/>
        <v>22.333333333333332</v>
      </c>
      <c r="O89" s="121">
        <f t="shared" si="386"/>
        <v>3.6666666666666665</v>
      </c>
      <c r="P89" s="121">
        <f t="shared" si="386"/>
        <v>25.6</v>
      </c>
      <c r="Q89" s="121">
        <f t="shared" si="386"/>
        <v>27.6</v>
      </c>
      <c r="R89" s="121">
        <f t="shared" si="386"/>
        <v>23.089046493301815</v>
      </c>
      <c r="S89" s="121">
        <f t="shared" si="386"/>
        <v>19.54294720252167</v>
      </c>
      <c r="T89" s="121">
        <f t="shared" ref="T89:U89" si="387">T15/T61</f>
        <v>9.1183574879227063</v>
      </c>
      <c r="U89" s="121">
        <f t="shared" si="387"/>
        <v>169.18498498498499</v>
      </c>
      <c r="V89" s="101">
        <f t="shared" si="323"/>
        <v>0.38180037949752665</v>
      </c>
      <c r="W89" s="109"/>
      <c r="X89" s="133">
        <f t="shared" ref="X89:AG89" si="388">X15/X61</f>
        <v>199.04115880586468</v>
      </c>
      <c r="Y89" s="133">
        <f t="shared" si="388"/>
        <v>234.16606918337015</v>
      </c>
      <c r="Z89" s="133">
        <f t="shared" si="388"/>
        <v>275.48949315690606</v>
      </c>
      <c r="AA89" s="133">
        <f t="shared" si="388"/>
        <v>324.10528606694828</v>
      </c>
      <c r="AB89" s="133">
        <f t="shared" si="388"/>
        <v>381.30033654935096</v>
      </c>
      <c r="AC89" s="133">
        <f t="shared" si="388"/>
        <v>448.58863123453051</v>
      </c>
      <c r="AD89" s="133">
        <f t="shared" si="388"/>
        <v>527.75133086415349</v>
      </c>
      <c r="AE89" s="133">
        <f t="shared" si="388"/>
        <v>620.88391866371001</v>
      </c>
      <c r="AF89" s="133">
        <f t="shared" si="388"/>
        <v>730.45166901612924</v>
      </c>
      <c r="AG89" s="133">
        <f t="shared" si="388"/>
        <v>859.3549047248581</v>
      </c>
      <c r="AH89" s="115" t="e">
        <f t="shared" si="330"/>
        <v>#DIV/0!</v>
      </c>
      <c r="AI89" s="21">
        <f t="shared" si="18"/>
        <v>0.02</v>
      </c>
      <c r="AJ89" s="123">
        <f t="shared" si="331"/>
        <v>10956.775035241941</v>
      </c>
    </row>
    <row r="90" spans="2:36" x14ac:dyDescent="0.2">
      <c r="B90" s="10" t="s">
        <v>207</v>
      </c>
      <c r="C90" s="108"/>
      <c r="D90" s="108"/>
      <c r="E90" s="108"/>
      <c r="F90" s="121"/>
      <c r="G90" s="121">
        <f t="shared" ref="G90" si="389">G16/G61</f>
        <v>637.94333333333327</v>
      </c>
      <c r="H90" s="121" t="e">
        <f t="shared" ref="H90:I90" si="390">H16/H61</f>
        <v>#DIV/0!</v>
      </c>
      <c r="I90" s="121" t="e">
        <f t="shared" si="390"/>
        <v>#DIV/0!</v>
      </c>
      <c r="J90" s="121" t="e">
        <f t="shared" ref="J90:S90" si="391">J16/J61</f>
        <v>#DIV/0!</v>
      </c>
      <c r="K90" s="121">
        <f t="shared" si="391"/>
        <v>637.94333333333327</v>
      </c>
      <c r="L90" s="121">
        <f t="shared" si="391"/>
        <v>728.33333333333337</v>
      </c>
      <c r="M90" s="121">
        <f t="shared" si="391"/>
        <v>832.66666666666663</v>
      </c>
      <c r="N90" s="121">
        <f t="shared" si="391"/>
        <v>1067.3333333333333</v>
      </c>
      <c r="O90" s="121">
        <f t="shared" si="391"/>
        <v>936.33333333333337</v>
      </c>
      <c r="P90" s="121">
        <f t="shared" si="391"/>
        <v>1071.5999999999999</v>
      </c>
      <c r="Q90" s="121">
        <f t="shared" si="391"/>
        <v>1731.2</v>
      </c>
      <c r="R90" s="121">
        <f t="shared" si="391"/>
        <v>1141.8439716312057</v>
      </c>
      <c r="S90" s="121">
        <f t="shared" si="391"/>
        <v>1935.0669818754925</v>
      </c>
      <c r="T90" s="121">
        <f t="shared" ref="T90:U90" si="392">T16/T61</f>
        <v>2069.3236714975847</v>
      </c>
      <c r="U90" s="121">
        <f t="shared" si="392"/>
        <v>3271.5003003003008</v>
      </c>
      <c r="V90" s="101">
        <f t="shared" si="323"/>
        <v>0.17759644553805565</v>
      </c>
      <c r="W90" s="109"/>
      <c r="X90" s="133">
        <f t="shared" ref="X90:AG90" si="393">X16/X61</f>
        <v>3848.8238827062355</v>
      </c>
      <c r="Y90" s="133">
        <f t="shared" si="393"/>
        <v>4528.0280973014533</v>
      </c>
      <c r="Z90" s="133">
        <f t="shared" si="393"/>
        <v>5327.0918791781805</v>
      </c>
      <c r="AA90" s="133">
        <f t="shared" si="393"/>
        <v>6267.1669166802121</v>
      </c>
      <c r="AB90" s="133">
        <f t="shared" si="393"/>
        <v>7373.1375490355431</v>
      </c>
      <c r="AC90" s="133">
        <f t="shared" si="393"/>
        <v>8674.2794694535805</v>
      </c>
      <c r="AD90" s="133">
        <f t="shared" si="393"/>
        <v>10205.034669945388</v>
      </c>
      <c r="AE90" s="133">
        <f t="shared" si="393"/>
        <v>12005.92314111222</v>
      </c>
      <c r="AF90" s="133">
        <f t="shared" si="393"/>
        <v>14124.615460132021</v>
      </c>
      <c r="AG90" s="133">
        <f t="shared" si="393"/>
        <v>16617.194658978849</v>
      </c>
      <c r="AH90" s="115" t="e">
        <f t="shared" si="330"/>
        <v>#DIV/0!</v>
      </c>
      <c r="AI90" s="114"/>
      <c r="AJ90" s="123">
        <f t="shared" si="331"/>
        <v>166171.94658978848</v>
      </c>
    </row>
    <row r="91" spans="2:36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0.02</v>
      </c>
      <c r="AJ91" s="123">
        <f t="shared" si="331"/>
        <v>0</v>
      </c>
    </row>
    <row r="92" spans="2:36" x14ac:dyDescent="0.2">
      <c r="B92" s="10" t="s">
        <v>232</v>
      </c>
      <c r="C92" s="135"/>
      <c r="D92" s="135"/>
      <c r="E92" s="135"/>
      <c r="F92" s="135"/>
      <c r="G92" s="135">
        <f t="shared" ref="G92" si="394">G63</f>
        <v>0</v>
      </c>
      <c r="H92" s="135">
        <f t="shared" ref="H92:I92" si="395">H63</f>
        <v>0</v>
      </c>
      <c r="I92" s="135">
        <f t="shared" si="395"/>
        <v>0</v>
      </c>
      <c r="J92" s="135">
        <f t="shared" ref="J92:S92" si="396">J63</f>
        <v>0</v>
      </c>
      <c r="K92" s="135">
        <f t="shared" si="396"/>
        <v>0</v>
      </c>
      <c r="L92" s="135">
        <f t="shared" si="396"/>
        <v>0</v>
      </c>
      <c r="M92" s="135">
        <f t="shared" si="396"/>
        <v>0</v>
      </c>
      <c r="N92" s="135">
        <f t="shared" si="396"/>
        <v>0</v>
      </c>
      <c r="O92" s="135">
        <f t="shared" si="396"/>
        <v>0</v>
      </c>
      <c r="P92" s="135">
        <f t="shared" si="396"/>
        <v>0</v>
      </c>
      <c r="Q92" s="135">
        <f t="shared" si="396"/>
        <v>0</v>
      </c>
      <c r="R92" s="135">
        <f t="shared" si="396"/>
        <v>0</v>
      </c>
      <c r="S92" s="135">
        <f t="shared" si="396"/>
        <v>0</v>
      </c>
      <c r="T92" s="135">
        <f t="shared" ref="T92:U92" si="397">T63</f>
        <v>6</v>
      </c>
      <c r="U92" s="135">
        <f t="shared" si="397"/>
        <v>9</v>
      </c>
      <c r="V92" s="101" t="e">
        <f t="shared" si="323"/>
        <v>#DIV/0!</v>
      </c>
      <c r="W92" s="109"/>
      <c r="X92" s="135">
        <f t="shared" ref="X92:AG92" si="398">X63</f>
        <v>9.18</v>
      </c>
      <c r="Y92" s="135">
        <f t="shared" si="398"/>
        <v>9.3635999999999999</v>
      </c>
      <c r="Z92" s="135">
        <f t="shared" si="398"/>
        <v>9.550872</v>
      </c>
      <c r="AA92" s="135">
        <f t="shared" si="398"/>
        <v>9.7418894399999996</v>
      </c>
      <c r="AB92" s="135">
        <f t="shared" si="398"/>
        <v>9.9367272288000006</v>
      </c>
      <c r="AC92" s="135">
        <f t="shared" si="398"/>
        <v>10.135461773376001</v>
      </c>
      <c r="AD92" s="135">
        <f t="shared" si="398"/>
        <v>10.338171008843521</v>
      </c>
      <c r="AE92" s="135">
        <f t="shared" si="398"/>
        <v>10.54493442902039</v>
      </c>
      <c r="AF92" s="135">
        <f t="shared" si="398"/>
        <v>10.755833117600798</v>
      </c>
      <c r="AG92" s="135">
        <f t="shared" si="398"/>
        <v>10.970949779952814</v>
      </c>
      <c r="AH92" s="115" t="e">
        <f t="shared" ref="AH92" si="399">((AG92/J92)^(1/($AG$3-$K$1) ))-1</f>
        <v>#DIV/0!</v>
      </c>
      <c r="AI92" s="21">
        <f t="shared" si="18"/>
        <v>0.02</v>
      </c>
      <c r="AJ92" s="123">
        <f t="shared" si="331"/>
        <v>139.8796096943984</v>
      </c>
    </row>
    <row r="93" spans="2:36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 x14ac:dyDescent="0.2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0.02</v>
      </c>
      <c r="AJ94" s="123">
        <f t="shared" si="331"/>
        <v>0</v>
      </c>
    </row>
    <row r="95" spans="2:36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 x14ac:dyDescent="0.2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 t="e">
        <f t="shared" ref="H96:I96" si="407">H94/H61</f>
        <v>#DIV/0!</v>
      </c>
      <c r="I96" s="121" t="e">
        <f t="shared" si="407"/>
        <v>#DIV/0!</v>
      </c>
      <c r="J96" s="121" t="e">
        <f t="shared" ref="J96:S96" si="408">J94/J61</f>
        <v>#DIV/0!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0.02</v>
      </c>
      <c r="AJ96" s="123">
        <f t="shared" si="331"/>
        <v>0</v>
      </c>
    </row>
    <row r="97" spans="2:36" x14ac:dyDescent="0.2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 t="e">
        <f t="shared" ref="H97:I97" si="412">H20/H61</f>
        <v>#DIV/0!</v>
      </c>
      <c r="I97" s="121" t="e">
        <f t="shared" si="412"/>
        <v>#DIV/0!</v>
      </c>
      <c r="J97" s="121" t="e">
        <f t="shared" ref="J97:S97" si="413">J20/J61</f>
        <v>#DIV/0!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0.02</v>
      </c>
      <c r="AJ97" s="123">
        <f t="shared" si="331"/>
        <v>0</v>
      </c>
    </row>
    <row r="98" spans="2:36" x14ac:dyDescent="0.2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 t="e">
        <f t="shared" ref="H98:I98" si="417">H21/H61</f>
        <v>#DIV/0!</v>
      </c>
      <c r="I98" s="121" t="e">
        <f t="shared" si="417"/>
        <v>#DIV/0!</v>
      </c>
      <c r="J98" s="121" t="e">
        <f t="shared" ref="J98:S98" si="418">J21/J61</f>
        <v>#DIV/0!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0.02</v>
      </c>
      <c r="AJ98" s="123">
        <f t="shared" si="331"/>
        <v>0</v>
      </c>
    </row>
    <row r="99" spans="2:36" x14ac:dyDescent="0.2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 t="e">
        <f t="shared" ref="H99:I99" si="422">H22/H61</f>
        <v>#DIV/0!</v>
      </c>
      <c r="I99" s="121" t="e">
        <f t="shared" si="422"/>
        <v>#DIV/0!</v>
      </c>
      <c r="J99" s="121" t="e">
        <f t="shared" ref="J99:S99" si="423">J22/J61</f>
        <v>#DIV/0!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0.02</v>
      </c>
      <c r="AJ99" s="123">
        <f t="shared" si="331"/>
        <v>0</v>
      </c>
    </row>
    <row r="100" spans="2:36" x14ac:dyDescent="0.2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 t="e">
        <f t="shared" ref="H100:I100" si="427">H23/H61</f>
        <v>#DIV/0!</v>
      </c>
      <c r="I100" s="121" t="e">
        <f t="shared" si="427"/>
        <v>#DIV/0!</v>
      </c>
      <c r="J100" s="121" t="e">
        <f t="shared" ref="J100:S100" si="428">J23/J61</f>
        <v>#DIV/0!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0.02</v>
      </c>
      <c r="AJ100" s="123">
        <f t="shared" si="331"/>
        <v>0</v>
      </c>
    </row>
    <row r="101" spans="2:36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 x14ac:dyDescent="0.2">
      <c r="B102" s="10" t="s">
        <v>430</v>
      </c>
      <c r="C102" s="121"/>
      <c r="D102" s="121"/>
      <c r="E102" s="121"/>
      <c r="F102" s="121"/>
      <c r="G102" s="121">
        <f t="shared" ref="G102" si="432">G53/G61</f>
        <v>66.666666666666671</v>
      </c>
      <c r="H102" s="121" t="e">
        <f t="shared" ref="H102:I102" si="433">H53/H61</f>
        <v>#DIV/0!</v>
      </c>
      <c r="I102" s="121" t="e">
        <f t="shared" si="433"/>
        <v>#DIV/0!</v>
      </c>
      <c r="J102" s="121" t="e">
        <f t="shared" ref="J102:S102" si="434">J53/J61</f>
        <v>#DIV/0!</v>
      </c>
      <c r="K102" s="121">
        <f t="shared" si="434"/>
        <v>66.666666666666671</v>
      </c>
      <c r="L102" s="121">
        <f t="shared" si="434"/>
        <v>85.333333333333329</v>
      </c>
      <c r="M102" s="121">
        <f t="shared" si="434"/>
        <v>94.666666666666671</v>
      </c>
      <c r="N102" s="121">
        <f t="shared" si="434"/>
        <v>107.66666666666667</v>
      </c>
      <c r="O102" s="121">
        <f t="shared" si="434"/>
        <v>140</v>
      </c>
      <c r="P102" s="121">
        <f t="shared" si="434"/>
        <v>118.2</v>
      </c>
      <c r="Q102" s="121">
        <f t="shared" si="434"/>
        <v>196.6</v>
      </c>
      <c r="R102" s="121">
        <f t="shared" si="434"/>
        <v>123.32545311268716</v>
      </c>
      <c r="S102" s="121">
        <f t="shared" si="434"/>
        <v>187.39164696611505</v>
      </c>
      <c r="T102" s="121">
        <f t="shared" ref="T102:U102" si="435">T53/T61</f>
        <v>209.29951690821258</v>
      </c>
      <c r="U102" s="121">
        <f t="shared" si="435"/>
        <v>302.21561561561566</v>
      </c>
      <c r="V102" s="101">
        <f t="shared" si="323"/>
        <v>0.16316363495463038</v>
      </c>
      <c r="W102" s="109"/>
      <c r="X102" s="121">
        <f t="shared" ref="X102:AG102" si="436">X53/X61</f>
        <v>355.54778307719482</v>
      </c>
      <c r="Y102" s="121">
        <f t="shared" si="436"/>
        <v>418.29150950258207</v>
      </c>
      <c r="Z102" s="121">
        <f t="shared" si="436"/>
        <v>492.10765823833191</v>
      </c>
      <c r="AA102" s="121">
        <f t="shared" si="436"/>
        <v>578.95018616274342</v>
      </c>
      <c r="AB102" s="121">
        <f t="shared" si="436"/>
        <v>681.11786607381578</v>
      </c>
      <c r="AC102" s="121">
        <f t="shared" si="436"/>
        <v>801.31513655743026</v>
      </c>
      <c r="AD102" s="121">
        <f t="shared" si="436"/>
        <v>942.72369006756503</v>
      </c>
      <c r="AE102" s="121">
        <f t="shared" si="436"/>
        <v>1109.0866941971353</v>
      </c>
      <c r="AF102" s="121">
        <f t="shared" si="436"/>
        <v>1304.8078755260415</v>
      </c>
      <c r="AG102" s="121">
        <f t="shared" si="436"/>
        <v>1535.0680888541665</v>
      </c>
      <c r="AH102" s="115" t="e">
        <f t="shared" ref="AH102:AH104" si="437">((AG102/J102)^(1/($AG$3-$K$1) ))-1</f>
        <v>#DIV/0!</v>
      </c>
      <c r="AI102" s="21">
        <f t="shared" si="18"/>
        <v>0.02</v>
      </c>
      <c r="AJ102" s="123">
        <f t="shared" si="331"/>
        <v>19572.11813289062</v>
      </c>
    </row>
    <row r="103" spans="2:36" x14ac:dyDescent="0.2">
      <c r="B103" s="10" t="s">
        <v>431</v>
      </c>
      <c r="C103" s="121"/>
      <c r="D103" s="121"/>
      <c r="E103" s="121"/>
      <c r="F103" s="121"/>
      <c r="G103" s="121">
        <f t="shared" ref="G103" si="438">G59/G61</f>
        <v>13.333333333333334</v>
      </c>
      <c r="H103" s="121" t="e">
        <f t="shared" ref="H103:I103" si="439">H59/H61</f>
        <v>#DIV/0!</v>
      </c>
      <c r="I103" s="121" t="e">
        <f t="shared" si="439"/>
        <v>#DIV/0!</v>
      </c>
      <c r="J103" s="121" t="e">
        <f t="shared" ref="J103:S103" si="440">J59/J61</f>
        <v>#DIV/0!</v>
      </c>
      <c r="K103" s="121">
        <f t="shared" si="440"/>
        <v>13.333333333333334</v>
      </c>
      <c r="L103" s="121">
        <f t="shared" si="440"/>
        <v>17.666666666666668</v>
      </c>
      <c r="M103" s="121">
        <f t="shared" si="440"/>
        <v>22.333333333333332</v>
      </c>
      <c r="N103" s="121">
        <f t="shared" si="440"/>
        <v>23</v>
      </c>
      <c r="O103" s="121">
        <f t="shared" si="440"/>
        <v>25.666666666666668</v>
      </c>
      <c r="P103" s="121">
        <f t="shared" si="440"/>
        <v>18.600000000000001</v>
      </c>
      <c r="Q103" s="121">
        <f t="shared" si="440"/>
        <v>25.8</v>
      </c>
      <c r="R103" s="121">
        <f t="shared" si="440"/>
        <v>15.445232466509063</v>
      </c>
      <c r="S103" s="121">
        <f t="shared" si="440"/>
        <v>25.689519306540586</v>
      </c>
      <c r="T103" s="121">
        <f t="shared" ref="T103:U103" si="441">T59/T61</f>
        <v>31.582125603864736</v>
      </c>
      <c r="U103" s="121">
        <f t="shared" si="441"/>
        <v>49.814414414414415</v>
      </c>
      <c r="V103" s="101">
        <f t="shared" si="323"/>
        <v>0.14088436710443841</v>
      </c>
      <c r="W103" s="109"/>
      <c r="X103" s="121">
        <f t="shared" ref="X103:AG103" si="442">X59/X61</f>
        <v>58.605193428722835</v>
      </c>
      <c r="Y103" s="121">
        <f t="shared" si="442"/>
        <v>68.947286386732728</v>
      </c>
      <c r="Z103" s="121">
        <f t="shared" si="442"/>
        <v>81.114454572626741</v>
      </c>
      <c r="AA103" s="121">
        <f t="shared" si="442"/>
        <v>95.428770085443233</v>
      </c>
      <c r="AB103" s="121">
        <f t="shared" si="442"/>
        <v>112.26914127699203</v>
      </c>
      <c r="AC103" s="121">
        <f t="shared" si="442"/>
        <v>132.08134267881414</v>
      </c>
      <c r="AD103" s="121">
        <f t="shared" si="442"/>
        <v>155.38981491625194</v>
      </c>
      <c r="AE103" s="121">
        <f t="shared" si="442"/>
        <v>182.81154696029643</v>
      </c>
      <c r="AF103" s="121">
        <f t="shared" si="442"/>
        <v>215.07240818858398</v>
      </c>
      <c r="AG103" s="121">
        <f t="shared" si="442"/>
        <v>253.02636257480466</v>
      </c>
      <c r="AH103" s="115" t="e">
        <f t="shared" si="437"/>
        <v>#DIV/0!</v>
      </c>
      <c r="AI103" s="21">
        <f t="shared" si="18"/>
        <v>0.02</v>
      </c>
      <c r="AJ103" s="123">
        <f t="shared" si="331"/>
        <v>3226.0861228287595</v>
      </c>
    </row>
    <row r="104" spans="2:36" x14ac:dyDescent="0.2">
      <c r="B104" s="10" t="s">
        <v>259</v>
      </c>
      <c r="C104" s="121"/>
      <c r="D104" s="121"/>
      <c r="E104" s="121"/>
      <c r="F104" s="121"/>
      <c r="G104" s="121">
        <f t="shared" ref="G104" si="443">G6/G61</f>
        <v>46</v>
      </c>
      <c r="H104" s="121" t="e">
        <f t="shared" ref="H104:I104" si="444">H6/H61</f>
        <v>#DIV/0!</v>
      </c>
      <c r="I104" s="121" t="e">
        <f t="shared" si="444"/>
        <v>#DIV/0!</v>
      </c>
      <c r="J104" s="121" t="e">
        <f t="shared" ref="J104:S104" si="445">J6/J61</f>
        <v>#DIV/0!</v>
      </c>
      <c r="K104" s="121">
        <f t="shared" si="445"/>
        <v>46</v>
      </c>
      <c r="L104" s="121">
        <f t="shared" si="445"/>
        <v>61.666666666666664</v>
      </c>
      <c r="M104" s="121">
        <f t="shared" si="445"/>
        <v>81.666666666666671</v>
      </c>
      <c r="N104" s="121">
        <f t="shared" si="445"/>
        <v>102</v>
      </c>
      <c r="O104" s="121">
        <f t="shared" si="445"/>
        <v>123</v>
      </c>
      <c r="P104" s="121">
        <f t="shared" si="445"/>
        <v>113.6</v>
      </c>
      <c r="Q104" s="121">
        <f t="shared" si="445"/>
        <v>173.69</v>
      </c>
      <c r="R104" s="121">
        <f t="shared" si="445"/>
        <v>116.39085894405044</v>
      </c>
      <c r="S104" s="121">
        <f t="shared" si="445"/>
        <v>159.02285263987392</v>
      </c>
      <c r="T104" s="121">
        <f t="shared" ref="T104:U104" si="446">T6/T61</f>
        <v>326.7512077294686</v>
      </c>
      <c r="U104" s="121">
        <f t="shared" si="446"/>
        <v>368.70570570570572</v>
      </c>
      <c r="V104" s="101">
        <f t="shared" si="323"/>
        <v>0.23138030377661623</v>
      </c>
      <c r="W104" s="109"/>
      <c r="X104" s="121">
        <f t="shared" ref="X104:AG104" si="447">X6/X61</f>
        <v>433.77141847730081</v>
      </c>
      <c r="Y104" s="121">
        <f t="shared" si="447"/>
        <v>510.31931585564797</v>
      </c>
      <c r="Z104" s="121">
        <f t="shared" si="447"/>
        <v>600.37566571252694</v>
      </c>
      <c r="AA104" s="121">
        <f t="shared" si="447"/>
        <v>706.3243126029729</v>
      </c>
      <c r="AB104" s="121">
        <f t="shared" si="447"/>
        <v>830.96977953290934</v>
      </c>
      <c r="AC104" s="121">
        <f t="shared" si="447"/>
        <v>977.61150533283444</v>
      </c>
      <c r="AD104" s="121">
        <f t="shared" si="447"/>
        <v>1150.1311827445111</v>
      </c>
      <c r="AE104" s="121">
        <f t="shared" si="447"/>
        <v>1353.0955091111894</v>
      </c>
      <c r="AF104" s="121">
        <f t="shared" si="447"/>
        <v>1591.8770695425756</v>
      </c>
      <c r="AG104" s="121">
        <f t="shared" si="447"/>
        <v>1872.7965524030299</v>
      </c>
      <c r="AH104" s="115" t="e">
        <f t="shared" si="437"/>
        <v>#DIV/0!</v>
      </c>
      <c r="AI104" s="21">
        <f t="shared" ref="AI104" si="448">$O$1</f>
        <v>0.02</v>
      </c>
      <c r="AJ104" s="123">
        <f t="shared" si="331"/>
        <v>23878.156043138632</v>
      </c>
    </row>
    <row r="105" spans="2:36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 x14ac:dyDescent="0.2">
      <c r="B106" s="10" t="s">
        <v>407</v>
      </c>
      <c r="C106" s="108"/>
      <c r="D106" s="108"/>
      <c r="E106" s="108"/>
      <c r="F106" s="121"/>
      <c r="G106" s="121">
        <f t="shared" ref="G106:T106" si="449">G59/$U$61</f>
        <v>2.4024024024024024</v>
      </c>
      <c r="H106" s="121">
        <f t="shared" si="449"/>
        <v>0</v>
      </c>
      <c r="I106" s="121">
        <f t="shared" si="449"/>
        <v>0</v>
      </c>
      <c r="J106" s="121">
        <f t="shared" si="449"/>
        <v>0</v>
      </c>
      <c r="K106" s="121">
        <f t="shared" si="449"/>
        <v>2.4024024024024024</v>
      </c>
      <c r="L106" s="121">
        <f t="shared" si="449"/>
        <v>3.1831831831831834</v>
      </c>
      <c r="M106" s="121">
        <f t="shared" si="449"/>
        <v>4.0240240240240244</v>
      </c>
      <c r="N106" s="121">
        <f t="shared" si="449"/>
        <v>4.1441441441441444</v>
      </c>
      <c r="O106" s="121">
        <f t="shared" si="449"/>
        <v>4.6246246246246248</v>
      </c>
      <c r="P106" s="121">
        <f t="shared" si="449"/>
        <v>5.5855855855855863</v>
      </c>
      <c r="Q106" s="121">
        <f t="shared" si="449"/>
        <v>7.7477477477477485</v>
      </c>
      <c r="R106" s="121">
        <f t="shared" si="449"/>
        <v>11.771771771771773</v>
      </c>
      <c r="S106" s="121">
        <f t="shared" si="449"/>
        <v>19.57957957957958</v>
      </c>
      <c r="T106" s="121">
        <f t="shared" si="449"/>
        <v>31.411411411411414</v>
      </c>
      <c r="U106" s="121">
        <f>U59/$U$61</f>
        <v>49.814414414414415</v>
      </c>
      <c r="V106" s="101">
        <f t="shared" si="323"/>
        <v>0.35416295092737404</v>
      </c>
      <c r="W106" s="109"/>
      <c r="X106" s="121">
        <f t="shared" ref="X106:AG106" si="450">X59/X61</f>
        <v>58.605193428722835</v>
      </c>
      <c r="Y106" s="121">
        <f t="shared" si="450"/>
        <v>68.947286386732728</v>
      </c>
      <c r="Z106" s="121">
        <f t="shared" si="450"/>
        <v>81.114454572626741</v>
      </c>
      <c r="AA106" s="121">
        <f t="shared" si="450"/>
        <v>95.428770085443233</v>
      </c>
      <c r="AB106" s="121">
        <f t="shared" si="450"/>
        <v>112.26914127699203</v>
      </c>
      <c r="AC106" s="121">
        <f t="shared" si="450"/>
        <v>132.08134267881414</v>
      </c>
      <c r="AD106" s="121">
        <f t="shared" si="450"/>
        <v>155.38981491625194</v>
      </c>
      <c r="AE106" s="121">
        <f t="shared" si="450"/>
        <v>182.81154696029643</v>
      </c>
      <c r="AF106" s="121">
        <f t="shared" si="450"/>
        <v>215.07240818858398</v>
      </c>
      <c r="AG106" s="121">
        <f t="shared" si="450"/>
        <v>253.02636257480466</v>
      </c>
      <c r="AH106" s="116"/>
      <c r="AI106" s="10"/>
      <c r="AJ106" s="130"/>
    </row>
    <row r="107" spans="2:36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 x14ac:dyDescent="0.2">
      <c r="B109" s="10" t="s">
        <v>257</v>
      </c>
      <c r="C109" s="128"/>
      <c r="D109" s="128"/>
      <c r="E109" s="128"/>
      <c r="F109" s="128"/>
      <c r="G109" s="128">
        <f t="shared" ref="G109" si="451">G53/G25</f>
        <v>0.88105726872246692</v>
      </c>
      <c r="H109" s="128" t="e">
        <f t="shared" ref="H109:I109" si="452">H53/H25</f>
        <v>#DIV/0!</v>
      </c>
      <c r="I109" s="128" t="e">
        <f t="shared" si="452"/>
        <v>#DIV/0!</v>
      </c>
      <c r="J109" s="128" t="e">
        <f t="shared" ref="J109:S109" si="453">J53/J25</f>
        <v>#DIV/0!</v>
      </c>
      <c r="K109" s="128">
        <f t="shared" si="453"/>
        <v>0.88105726872246692</v>
      </c>
      <c r="L109" s="128">
        <f t="shared" si="453"/>
        <v>0.92418772563176899</v>
      </c>
      <c r="M109" s="128">
        <f t="shared" si="453"/>
        <v>0.89873417721518989</v>
      </c>
      <c r="N109" s="128">
        <f t="shared" si="453"/>
        <v>0.88980716253443526</v>
      </c>
      <c r="O109" s="128">
        <f t="shared" si="453"/>
        <v>0.91106290672451196</v>
      </c>
      <c r="P109" s="128">
        <f t="shared" si="453"/>
        <v>0.88738738738738743</v>
      </c>
      <c r="Q109" s="128">
        <f t="shared" si="453"/>
        <v>0.87767857142857142</v>
      </c>
      <c r="R109" s="128">
        <f t="shared" si="453"/>
        <v>0.88119369369369371</v>
      </c>
      <c r="S109" s="128">
        <f t="shared" si="453"/>
        <v>0.88204747774480707</v>
      </c>
      <c r="T109" s="128">
        <f t="shared" ref="T109:U109" si="454">T53/T25</f>
        <v>0.88712567187100078</v>
      </c>
      <c r="U109" s="128">
        <f t="shared" si="454"/>
        <v>0.91207657840549872</v>
      </c>
      <c r="V109" s="101">
        <f t="shared" si="323"/>
        <v>3.4661257742525375E-3</v>
      </c>
      <c r="W109" s="128"/>
      <c r="X109" s="128">
        <f t="shared" ref="X109:AG109" si="455">X53/X25</f>
        <v>0.91207657840549872</v>
      </c>
      <c r="Y109" s="128">
        <f t="shared" si="455"/>
        <v>0.91207657840549872</v>
      </c>
      <c r="Z109" s="128">
        <f t="shared" si="455"/>
        <v>0.91207657840549883</v>
      </c>
      <c r="AA109" s="128">
        <f t="shared" si="455"/>
        <v>0.91207657840549872</v>
      </c>
      <c r="AB109" s="128">
        <f t="shared" si="455"/>
        <v>0.91207657840549883</v>
      </c>
      <c r="AC109" s="128">
        <f t="shared" si="455"/>
        <v>0.91207657840549883</v>
      </c>
      <c r="AD109" s="128">
        <f t="shared" si="455"/>
        <v>0.91207657840549883</v>
      </c>
      <c r="AE109" s="128">
        <f t="shared" si="455"/>
        <v>0.91207657840549883</v>
      </c>
      <c r="AF109" s="128">
        <f t="shared" si="455"/>
        <v>0.91207657840549894</v>
      </c>
      <c r="AG109" s="128">
        <f t="shared" si="455"/>
        <v>0.91207657840549894</v>
      </c>
      <c r="AH109" s="115" t="e">
        <f t="shared" ref="AH109:AH158" si="456">((AG109/J109)^(1/($AG$3-$K$1) ))-1</f>
        <v>#DIV/0!</v>
      </c>
      <c r="AI109" s="123"/>
      <c r="AJ109" s="123"/>
    </row>
    <row r="110" spans="2:36" x14ac:dyDescent="0.2">
      <c r="B110" s="10" t="s">
        <v>219</v>
      </c>
      <c r="C110" s="128"/>
      <c r="D110" s="128"/>
      <c r="E110" s="128"/>
      <c r="F110" s="128"/>
      <c r="G110" s="128">
        <f t="shared" ref="G110" si="457">G59/G25</f>
        <v>0.1762114537444934</v>
      </c>
      <c r="H110" s="128" t="e">
        <f t="shared" ref="H110:I110" si="458">H59/H25</f>
        <v>#DIV/0!</v>
      </c>
      <c r="I110" s="128" t="e">
        <f t="shared" si="458"/>
        <v>#DIV/0!</v>
      </c>
      <c r="J110" s="128" t="e">
        <f t="shared" ref="J110:S110" si="459">J59/J25</f>
        <v>#DIV/0!</v>
      </c>
      <c r="K110" s="128">
        <f t="shared" si="459"/>
        <v>0.1762114537444934</v>
      </c>
      <c r="L110" s="128">
        <f t="shared" si="459"/>
        <v>0.19133574007220217</v>
      </c>
      <c r="M110" s="128">
        <f t="shared" si="459"/>
        <v>0.21202531645569619</v>
      </c>
      <c r="N110" s="128">
        <f t="shared" si="459"/>
        <v>0.19008264462809918</v>
      </c>
      <c r="O110" s="128">
        <f t="shared" si="459"/>
        <v>0.16702819956616052</v>
      </c>
      <c r="P110" s="128">
        <f t="shared" si="459"/>
        <v>0.13963963963963963</v>
      </c>
      <c r="Q110" s="128">
        <f t="shared" si="459"/>
        <v>0.11517857142857142</v>
      </c>
      <c r="R110" s="128">
        <f t="shared" si="459"/>
        <v>0.11036036036036036</v>
      </c>
      <c r="S110" s="128">
        <f t="shared" si="459"/>
        <v>0.12091988130563798</v>
      </c>
      <c r="T110" s="128">
        <f t="shared" ref="T110:U110" si="460">T59/T25</f>
        <v>0.13386229843869976</v>
      </c>
      <c r="U110" s="128">
        <f t="shared" si="460"/>
        <v>0.15033822974971722</v>
      </c>
      <c r="V110" s="101">
        <f t="shared" si="323"/>
        <v>-1.5754291648435337E-2</v>
      </c>
      <c r="W110" s="128"/>
      <c r="X110" s="128">
        <f t="shared" ref="X110:AG110" si="461">X59/X25</f>
        <v>0.15033822974971722</v>
      </c>
      <c r="Y110" s="128">
        <f t="shared" si="461"/>
        <v>0.15033822974971722</v>
      </c>
      <c r="Z110" s="128">
        <f t="shared" si="461"/>
        <v>0.15033822974971722</v>
      </c>
      <c r="AA110" s="128">
        <f t="shared" si="461"/>
        <v>0.15033822974971722</v>
      </c>
      <c r="AB110" s="128">
        <f t="shared" si="461"/>
        <v>0.15033822974971722</v>
      </c>
      <c r="AC110" s="128">
        <f t="shared" si="461"/>
        <v>0.15033822974971722</v>
      </c>
      <c r="AD110" s="128">
        <f t="shared" si="461"/>
        <v>0.15033822974971725</v>
      </c>
      <c r="AE110" s="128">
        <f t="shared" si="461"/>
        <v>0.15033822974971725</v>
      </c>
      <c r="AF110" s="128">
        <f t="shared" si="461"/>
        <v>0.15033822974971725</v>
      </c>
      <c r="AG110" s="128">
        <f t="shared" si="461"/>
        <v>0.15033822974971722</v>
      </c>
      <c r="AH110" s="115" t="e">
        <f t="shared" si="456"/>
        <v>#DIV/0!</v>
      </c>
      <c r="AI110" s="123"/>
      <c r="AJ110" s="123"/>
    </row>
    <row r="111" spans="2:36" x14ac:dyDescent="0.2">
      <c r="B111" s="10" t="s">
        <v>301</v>
      </c>
      <c r="C111" s="128"/>
      <c r="D111" s="128"/>
      <c r="E111" s="128"/>
      <c r="F111" s="128"/>
      <c r="G111" s="128">
        <f t="shared" ref="G111" si="462">G59/G7</f>
        <v>0.23809523809523808</v>
      </c>
      <c r="H111" s="128" t="e">
        <f t="shared" ref="H111:I111" si="463">H59/H7</f>
        <v>#DIV/0!</v>
      </c>
      <c r="I111" s="128" t="e">
        <f t="shared" si="463"/>
        <v>#DIV/0!</v>
      </c>
      <c r="J111" s="128" t="e">
        <f>J59/J7</f>
        <v>#DIV/0!</v>
      </c>
      <c r="K111" s="128">
        <f t="shared" ref="K111:R111" si="464">K59/K7</f>
        <v>0.23809523809523808</v>
      </c>
      <c r="L111" s="128">
        <f t="shared" si="464"/>
        <v>0.24651162790697675</v>
      </c>
      <c r="M111" s="128">
        <f t="shared" si="464"/>
        <v>0.24452554744525548</v>
      </c>
      <c r="N111" s="128">
        <f t="shared" si="464"/>
        <v>0.20535714285714285</v>
      </c>
      <c r="O111" s="128">
        <f t="shared" si="464"/>
        <v>0.19298245614035087</v>
      </c>
      <c r="P111" s="128">
        <f t="shared" si="464"/>
        <v>0.15048543689320387</v>
      </c>
      <c r="Q111" s="128">
        <f t="shared" si="464"/>
        <v>0.13811563169164881</v>
      </c>
      <c r="R111" s="128">
        <f t="shared" si="464"/>
        <v>0.12397216951296648</v>
      </c>
      <c r="S111" s="128">
        <f t="shared" ref="S111:T111" si="465">S59/S7</f>
        <v>0.15198135198135199</v>
      </c>
      <c r="T111" s="128">
        <f t="shared" si="465"/>
        <v>9.377801685493993E-2</v>
      </c>
      <c r="U111" s="128">
        <f t="shared" ref="U111" si="466">U59/U7</f>
        <v>0.13153671216105203</v>
      </c>
      <c r="V111" s="101">
        <f t="shared" si="323"/>
        <v>-5.7612260568592366E-2</v>
      </c>
      <c r="W111" s="10"/>
      <c r="X111" s="128">
        <f t="shared" ref="X111" si="467">X59/X7</f>
        <v>0.13153671216105203</v>
      </c>
      <c r="Y111" s="128">
        <f t="shared" ref="Y111:AG111" si="468">Y59/Y7</f>
        <v>0.13153671216105203</v>
      </c>
      <c r="Z111" s="128">
        <f t="shared" si="468"/>
        <v>0.13153671216105203</v>
      </c>
      <c r="AA111" s="128">
        <f t="shared" si="468"/>
        <v>0.13153671216105203</v>
      </c>
      <c r="AB111" s="128">
        <f t="shared" si="468"/>
        <v>0.13153671216105203</v>
      </c>
      <c r="AC111" s="128">
        <f t="shared" si="468"/>
        <v>0.13153671216105206</v>
      </c>
      <c r="AD111" s="128">
        <f t="shared" si="468"/>
        <v>0.13153671216105206</v>
      </c>
      <c r="AE111" s="128">
        <f t="shared" si="468"/>
        <v>0.13153671216105206</v>
      </c>
      <c r="AF111" s="128">
        <f t="shared" si="468"/>
        <v>0.13153671216105206</v>
      </c>
      <c r="AG111" s="128">
        <f t="shared" si="468"/>
        <v>0.13153671216105206</v>
      </c>
      <c r="AH111" s="115" t="e">
        <f t="shared" si="456"/>
        <v>#DIV/0!</v>
      </c>
      <c r="AI111" s="123"/>
      <c r="AJ111" s="123"/>
    </row>
    <row r="112" spans="2:36" x14ac:dyDescent="0.2">
      <c r="B112" s="10" t="s">
        <v>302</v>
      </c>
      <c r="C112" s="128"/>
      <c r="D112" s="128"/>
      <c r="E112" s="128"/>
      <c r="F112" s="128"/>
      <c r="G112" s="128">
        <f t="shared" ref="G112" si="469">(G59)/(G7+G10)</f>
        <v>1.9502681618722574E-2</v>
      </c>
      <c r="H112" s="128" t="e">
        <f t="shared" ref="H112:I112" si="470">(H59)/(H7+H10)</f>
        <v>#DIV/0!</v>
      </c>
      <c r="I112" s="128" t="e">
        <f t="shared" si="470"/>
        <v>#DIV/0!</v>
      </c>
      <c r="J112" s="128" t="e">
        <f>(J59)/(J7+J10)</f>
        <v>#DIV/0!</v>
      </c>
      <c r="K112" s="128">
        <f t="shared" ref="K112:R112" si="471">(K59)/(K7+K10)</f>
        <v>1.9502681618722574E-2</v>
      </c>
      <c r="L112" s="128">
        <f t="shared" si="471"/>
        <v>2.0751761942051684E-2</v>
      </c>
      <c r="M112" s="128">
        <f t="shared" si="471"/>
        <v>2.2874701263229772E-2</v>
      </c>
      <c r="N112" s="128">
        <f t="shared" si="471"/>
        <v>1.9635742743312465E-2</v>
      </c>
      <c r="O112" s="128">
        <f t="shared" si="471"/>
        <v>2.4122807017543858E-2</v>
      </c>
      <c r="P112" s="128">
        <f t="shared" si="471"/>
        <v>1.5114578254509995E-2</v>
      </c>
      <c r="Q112" s="128">
        <f t="shared" si="471"/>
        <v>1.382636655948553E-2</v>
      </c>
      <c r="R112" s="128">
        <f t="shared" si="471"/>
        <v>1.214901134320957E-2</v>
      </c>
      <c r="S112" s="128">
        <f t="shared" ref="S112:T112" si="472">(S59)/(S7+S10)</f>
        <v>1.2424253973093487E-2</v>
      </c>
      <c r="T112" s="128">
        <f t="shared" si="472"/>
        <v>1.3906615613699214E-2</v>
      </c>
      <c r="U112" s="128">
        <f t="shared" ref="U112" si="473">(U59)/(U7+U10)</f>
        <v>1.4567357849663306E-2</v>
      </c>
      <c r="V112" s="101">
        <f t="shared" si="323"/>
        <v>-2.8755336040565349E-2</v>
      </c>
      <c r="W112" s="10"/>
      <c r="X112" s="128">
        <f t="shared" ref="X112:AG112" si="474">(X59)/(X7+X10)</f>
        <v>1.4567357849663306E-2</v>
      </c>
      <c r="Y112" s="128">
        <f t="shared" si="474"/>
        <v>1.4567357849663306E-2</v>
      </c>
      <c r="Z112" s="128">
        <f t="shared" si="474"/>
        <v>1.4567357849663305E-2</v>
      </c>
      <c r="AA112" s="128">
        <f t="shared" si="474"/>
        <v>1.4567357849663306E-2</v>
      </c>
      <c r="AB112" s="128">
        <f t="shared" si="474"/>
        <v>1.4567357849663305E-2</v>
      </c>
      <c r="AC112" s="128">
        <f t="shared" si="474"/>
        <v>1.4567357849663305E-2</v>
      </c>
      <c r="AD112" s="128">
        <f t="shared" si="474"/>
        <v>1.4567357849663305E-2</v>
      </c>
      <c r="AE112" s="128">
        <f t="shared" si="474"/>
        <v>1.4567357849663306E-2</v>
      </c>
      <c r="AF112" s="128">
        <f t="shared" si="474"/>
        <v>1.4567357849663305E-2</v>
      </c>
      <c r="AG112" s="128">
        <f t="shared" si="474"/>
        <v>1.4567357849663301E-2</v>
      </c>
      <c r="AH112" s="115" t="e">
        <f t="shared" si="456"/>
        <v>#DIV/0!</v>
      </c>
      <c r="AI112" s="123"/>
      <c r="AJ112" s="123"/>
    </row>
    <row r="113" spans="1:36" x14ac:dyDescent="0.2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 t="e">
        <f t="shared" ref="H113:I113" si="476">H20/H25</f>
        <v>#DIV/0!</v>
      </c>
      <c r="I113" s="128" t="e">
        <f t="shared" si="476"/>
        <v>#DIV/0!</v>
      </c>
      <c r="J113" s="128" t="e">
        <f>J20/J25</f>
        <v>#DIV/0!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 x14ac:dyDescent="0.2">
      <c r="B114" s="10" t="s">
        <v>370</v>
      </c>
      <c r="C114" s="128"/>
      <c r="D114" s="128"/>
      <c r="E114" s="128"/>
      <c r="F114" s="128"/>
      <c r="G114" s="128">
        <f t="shared" ref="G114" si="480">G72/G25</f>
        <v>7.4889867841409691E-2</v>
      </c>
      <c r="H114" s="128" t="e">
        <f t="shared" ref="H114:I114" si="481">H72/H25</f>
        <v>#DIV/0!</v>
      </c>
      <c r="I114" s="128" t="e">
        <f t="shared" si="481"/>
        <v>#DIV/0!</v>
      </c>
      <c r="J114" s="128" t="e">
        <f>J72/J25</f>
        <v>#DIV/0!</v>
      </c>
      <c r="K114" s="128">
        <f t="shared" ref="K114:S114" si="482">K72/K25</f>
        <v>7.4889867841409691E-2</v>
      </c>
      <c r="L114" s="128">
        <f t="shared" si="482"/>
        <v>7.9422382671480149E-2</v>
      </c>
      <c r="M114" s="128">
        <f t="shared" si="482"/>
        <v>8.5443037974683542E-2</v>
      </c>
      <c r="N114" s="128">
        <f t="shared" si="482"/>
        <v>7.7134986225895319E-2</v>
      </c>
      <c r="O114" s="128">
        <f t="shared" si="482"/>
        <v>6.0737527114967459E-2</v>
      </c>
      <c r="P114" s="128">
        <f t="shared" si="482"/>
        <v>5.2552552552552555E-2</v>
      </c>
      <c r="Q114" s="128">
        <f t="shared" si="482"/>
        <v>4.3749999999999997E-2</v>
      </c>
      <c r="R114" s="128">
        <f t="shared" si="482"/>
        <v>5.5743243243243243E-2</v>
      </c>
      <c r="S114" s="128">
        <f t="shared" si="482"/>
        <v>6.5652818991097928E-2</v>
      </c>
      <c r="T114" s="128">
        <f t="shared" ref="T114:U114" si="483">T72/T25</f>
        <v>7.1922190939339645E-2</v>
      </c>
      <c r="U114" s="128">
        <f t="shared" si="483"/>
        <v>0.11747592877236739</v>
      </c>
      <c r="V114" s="101">
        <f t="shared" si="323"/>
        <v>4.6050333590974546E-2</v>
      </c>
      <c r="W114" s="10"/>
      <c r="X114" s="128">
        <f t="shared" ref="X114:AG114" si="484">X72/X25</f>
        <v>0.11747592877236739</v>
      </c>
      <c r="Y114" s="128">
        <f t="shared" si="484"/>
        <v>0.11747592877236741</v>
      </c>
      <c r="Z114" s="128">
        <f t="shared" si="484"/>
        <v>0.11747592877236744</v>
      </c>
      <c r="AA114" s="128">
        <f t="shared" si="484"/>
        <v>0.11747592877236744</v>
      </c>
      <c r="AB114" s="128">
        <f t="shared" si="484"/>
        <v>0.11747592877236746</v>
      </c>
      <c r="AC114" s="128">
        <f t="shared" si="484"/>
        <v>0.11747592877236747</v>
      </c>
      <c r="AD114" s="128">
        <f t="shared" si="484"/>
        <v>0.11747592877236747</v>
      </c>
      <c r="AE114" s="128">
        <f t="shared" si="484"/>
        <v>0.11747592877236744</v>
      </c>
      <c r="AF114" s="128">
        <f t="shared" si="484"/>
        <v>0.11747592877236744</v>
      </c>
      <c r="AG114" s="128">
        <f t="shared" si="484"/>
        <v>0.11747592877236747</v>
      </c>
      <c r="AH114" s="115" t="e">
        <f t="shared" si="456"/>
        <v>#DIV/0!</v>
      </c>
      <c r="AI114" s="123"/>
      <c r="AJ114" s="123"/>
    </row>
    <row r="115" spans="1:36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 x14ac:dyDescent="0.2">
      <c r="B116" s="10" t="s">
        <v>267</v>
      </c>
      <c r="C116" s="128"/>
      <c r="D116" s="128"/>
      <c r="E116" s="128"/>
      <c r="F116" s="128"/>
      <c r="G116" s="128">
        <f t="shared" ref="G116" si="485">G29/G25</f>
        <v>0.63876651982378851</v>
      </c>
      <c r="H116" s="128" t="e">
        <f t="shared" ref="H116:I116" si="486">H29/H25</f>
        <v>#DIV/0!</v>
      </c>
      <c r="I116" s="128" t="e">
        <f t="shared" si="486"/>
        <v>#DIV/0!</v>
      </c>
      <c r="J116" s="128" t="e">
        <f>J29/J25</f>
        <v>#DIV/0!</v>
      </c>
      <c r="K116" s="128">
        <f t="shared" ref="K116:S116" si="487">K29/K25</f>
        <v>0.63876651982378851</v>
      </c>
      <c r="L116" s="128">
        <f t="shared" si="487"/>
        <v>0.6534296028880866</v>
      </c>
      <c r="M116" s="128">
        <f t="shared" si="487"/>
        <v>0.629746835443038</v>
      </c>
      <c r="N116" s="128">
        <f t="shared" si="487"/>
        <v>0.63085399449035817</v>
      </c>
      <c r="O116" s="128">
        <f t="shared" si="487"/>
        <v>0.68112798264642083</v>
      </c>
      <c r="P116" s="128">
        <f t="shared" si="487"/>
        <v>0.69219219219219219</v>
      </c>
      <c r="Q116" s="128">
        <f t="shared" si="487"/>
        <v>0.71517857142857144</v>
      </c>
      <c r="R116" s="128">
        <f t="shared" si="487"/>
        <v>0.16948198198198197</v>
      </c>
      <c r="S116" s="128">
        <f t="shared" si="487"/>
        <v>0.19213649851632048</v>
      </c>
      <c r="T116" s="128">
        <f t="shared" ref="T116:U116" si="488">T29/T25</f>
        <v>0.21039160481187613</v>
      </c>
      <c r="U116" s="128">
        <f t="shared" si="488"/>
        <v>0.63999013949711436</v>
      </c>
      <c r="V116" s="101">
        <f t="shared" si="323"/>
        <v>1.9139484145203056E-4</v>
      </c>
      <c r="W116" s="10"/>
      <c r="X116" s="128">
        <f t="shared" ref="X116:AG116" si="489">X29/X25</f>
        <v>0.63999013949711436</v>
      </c>
      <c r="Y116" s="128">
        <f t="shared" si="489"/>
        <v>0.63999013949711436</v>
      </c>
      <c r="Z116" s="128">
        <f t="shared" si="489"/>
        <v>0.63999013949711447</v>
      </c>
      <c r="AA116" s="128">
        <f t="shared" si="489"/>
        <v>0.63999013949711436</v>
      </c>
      <c r="AB116" s="128">
        <f t="shared" si="489"/>
        <v>0.63999013949711436</v>
      </c>
      <c r="AC116" s="128">
        <f t="shared" si="489"/>
        <v>0.63999013949711425</v>
      </c>
      <c r="AD116" s="128">
        <f t="shared" si="489"/>
        <v>0.63999013949711436</v>
      </c>
      <c r="AE116" s="128">
        <f t="shared" si="489"/>
        <v>0.63999013949711436</v>
      </c>
      <c r="AF116" s="128">
        <f t="shared" si="489"/>
        <v>0.63999013949711425</v>
      </c>
      <c r="AG116" s="128">
        <f t="shared" si="489"/>
        <v>0.63999013949711425</v>
      </c>
      <c r="AH116" s="115" t="e">
        <f t="shared" si="456"/>
        <v>#DIV/0!</v>
      </c>
      <c r="AI116" s="123"/>
      <c r="AJ116" s="123"/>
    </row>
    <row r="117" spans="1:36" x14ac:dyDescent="0.2">
      <c r="B117" s="10" t="s">
        <v>311</v>
      </c>
      <c r="C117" s="128"/>
      <c r="D117" s="128"/>
      <c r="E117" s="128"/>
      <c r="F117" s="128"/>
      <c r="G117" s="128">
        <f t="shared" ref="G117" si="490">G29/G53</f>
        <v>0.72499999999999998</v>
      </c>
      <c r="H117" s="128" t="e">
        <f t="shared" ref="H117:I117" si="491">H29/H53</f>
        <v>#DIV/0!</v>
      </c>
      <c r="I117" s="128" t="e">
        <f t="shared" si="491"/>
        <v>#DIV/0!</v>
      </c>
      <c r="J117" s="128" t="e">
        <f>J29/J53</f>
        <v>#DIV/0!</v>
      </c>
      <c r="K117" s="128">
        <f t="shared" ref="K117:S117" si="492">K29/K53</f>
        <v>0.72499999999999998</v>
      </c>
      <c r="L117" s="128">
        <f t="shared" si="492"/>
        <v>0.70703125</v>
      </c>
      <c r="M117" s="128">
        <f t="shared" si="492"/>
        <v>0.70070422535211263</v>
      </c>
      <c r="N117" s="128">
        <f t="shared" si="492"/>
        <v>0.70897832817337458</v>
      </c>
      <c r="O117" s="128">
        <f t="shared" si="492"/>
        <v>0.74761904761904763</v>
      </c>
      <c r="P117" s="128">
        <f t="shared" si="492"/>
        <v>0.78003384094754658</v>
      </c>
      <c r="Q117" s="128">
        <f t="shared" si="492"/>
        <v>0.814852492370295</v>
      </c>
      <c r="R117" s="128">
        <f t="shared" si="492"/>
        <v>0.19233226837060702</v>
      </c>
      <c r="S117" s="128">
        <f t="shared" si="492"/>
        <v>0.21783010933557612</v>
      </c>
      <c r="T117" s="128">
        <f t="shared" ref="T117:U117" si="493">T29/T53</f>
        <v>0.2371609924985574</v>
      </c>
      <c r="U117" s="128">
        <f t="shared" si="493"/>
        <v>0.70168465526869628</v>
      </c>
      <c r="V117" s="101">
        <f t="shared" si="323"/>
        <v>-3.2634195103236063E-3</v>
      </c>
      <c r="W117" s="10"/>
      <c r="X117" s="128">
        <f t="shared" ref="X117:AG117" si="494">X29/X53</f>
        <v>0.70168465526869628</v>
      </c>
      <c r="Y117" s="128">
        <f t="shared" si="494"/>
        <v>0.70168465526869628</v>
      </c>
      <c r="Z117" s="128">
        <f t="shared" si="494"/>
        <v>0.70168465526869617</v>
      </c>
      <c r="AA117" s="128">
        <f t="shared" si="494"/>
        <v>0.70168465526869617</v>
      </c>
      <c r="AB117" s="128">
        <f t="shared" si="494"/>
        <v>0.70168465526869617</v>
      </c>
      <c r="AC117" s="128">
        <f t="shared" si="494"/>
        <v>0.70168465526869617</v>
      </c>
      <c r="AD117" s="128">
        <f t="shared" si="494"/>
        <v>0.70168465526869606</v>
      </c>
      <c r="AE117" s="128">
        <f t="shared" si="494"/>
        <v>0.70168465526869606</v>
      </c>
      <c r="AF117" s="128">
        <f t="shared" si="494"/>
        <v>0.70168465526869594</v>
      </c>
      <c r="AG117" s="128">
        <f t="shared" si="494"/>
        <v>0.70168465526869594</v>
      </c>
      <c r="AH117" s="115" t="e">
        <f t="shared" ref="AH117" si="495">((AG117/J117)^(1/($AG$3-$K$1) ))-1</f>
        <v>#DIV/0!</v>
      </c>
      <c r="AI117" s="123"/>
      <c r="AJ117" s="123"/>
    </row>
    <row r="118" spans="1:36" ht="12" customHeight="1" x14ac:dyDescent="0.2">
      <c r="B118" s="10" t="s">
        <v>310</v>
      </c>
      <c r="C118" s="128"/>
      <c r="D118" s="128"/>
      <c r="E118" s="128"/>
      <c r="F118" s="146"/>
      <c r="G118" s="146">
        <f t="shared" ref="G118" si="496">G29/G59</f>
        <v>3.625</v>
      </c>
      <c r="H118" s="146" t="e">
        <f t="shared" ref="H118:I118" si="497">H29/H59</f>
        <v>#DIV/0!</v>
      </c>
      <c r="I118" s="146" t="e">
        <f t="shared" si="497"/>
        <v>#DIV/0!</v>
      </c>
      <c r="J118" s="146" t="e">
        <f t="shared" ref="J118:S118" si="498">J29/J59</f>
        <v>#DIV/0!</v>
      </c>
      <c r="K118" s="146">
        <f t="shared" si="498"/>
        <v>3.625</v>
      </c>
      <c r="L118" s="146">
        <f t="shared" si="498"/>
        <v>3.4150943396226414</v>
      </c>
      <c r="M118" s="146">
        <f t="shared" si="498"/>
        <v>2.9701492537313432</v>
      </c>
      <c r="N118" s="146">
        <f t="shared" si="498"/>
        <v>3.318840579710145</v>
      </c>
      <c r="O118" s="146">
        <f t="shared" si="498"/>
        <v>4.0779220779220777</v>
      </c>
      <c r="P118" s="146">
        <f t="shared" si="498"/>
        <v>4.956989247311828</v>
      </c>
      <c r="Q118" s="146">
        <f t="shared" si="498"/>
        <v>6.2093023255813957</v>
      </c>
      <c r="R118" s="146">
        <f t="shared" si="498"/>
        <v>1.5357142857142858</v>
      </c>
      <c r="S118" s="146">
        <f t="shared" si="498"/>
        <v>1.5889570552147239</v>
      </c>
      <c r="T118" s="146">
        <f t="shared" ref="T118:U118" si="499">T29/T59</f>
        <v>1.5717017208413002</v>
      </c>
      <c r="U118" s="146">
        <f t="shared" si="499"/>
        <v>4.2570019652524085</v>
      </c>
      <c r="V118" s="101">
        <f t="shared" si="323"/>
        <v>1.6200920516680206E-2</v>
      </c>
      <c r="W118" s="10"/>
      <c r="X118" s="146">
        <f t="shared" ref="X118:AG118" si="500">X29/X59</f>
        <v>4.2570019652524085</v>
      </c>
      <c r="Y118" s="146">
        <f t="shared" si="500"/>
        <v>4.2570019652524085</v>
      </c>
      <c r="Z118" s="146">
        <f t="shared" si="500"/>
        <v>4.2570019652524085</v>
      </c>
      <c r="AA118" s="146">
        <f t="shared" si="500"/>
        <v>4.2570019652524085</v>
      </c>
      <c r="AB118" s="146">
        <f t="shared" si="500"/>
        <v>4.2570019652524085</v>
      </c>
      <c r="AC118" s="146">
        <f t="shared" si="500"/>
        <v>4.2570019652524076</v>
      </c>
      <c r="AD118" s="146">
        <f t="shared" si="500"/>
        <v>4.2570019652524076</v>
      </c>
      <c r="AE118" s="146">
        <f t="shared" si="500"/>
        <v>4.2570019652524076</v>
      </c>
      <c r="AF118" s="146">
        <f t="shared" si="500"/>
        <v>4.2570019652524076</v>
      </c>
      <c r="AG118" s="146">
        <f t="shared" si="500"/>
        <v>4.2570019652524076</v>
      </c>
      <c r="AH118" s="115" t="e">
        <f t="shared" ref="AH118" si="501">((AG118/J118)^(1/($AG$3-$K$1) ))-1</f>
        <v>#DIV/0!</v>
      </c>
      <c r="AI118" s="123"/>
      <c r="AJ118" s="123"/>
    </row>
    <row r="119" spans="1:36" ht="12" customHeight="1" x14ac:dyDescent="0.2">
      <c r="B119" s="10" t="s">
        <v>269</v>
      </c>
      <c r="C119" s="128"/>
      <c r="D119" s="128"/>
      <c r="E119" s="128"/>
      <c r="F119" s="146"/>
      <c r="G119" s="146">
        <f t="shared" ref="G119" si="502">G29/G12</f>
        <v>7.25</v>
      </c>
      <c r="H119" s="146" t="e">
        <f t="shared" ref="H119:I119" si="503">H29/H12</f>
        <v>#DIV/0!</v>
      </c>
      <c r="I119" s="146" t="e">
        <f t="shared" si="503"/>
        <v>#DIV/0!</v>
      </c>
      <c r="J119" s="146" t="e">
        <f t="shared" ref="J119:S119" si="504">J29/J12</f>
        <v>#DIV/0!</v>
      </c>
      <c r="K119" s="146">
        <f t="shared" si="504"/>
        <v>7.25</v>
      </c>
      <c r="L119" s="146">
        <f t="shared" si="504"/>
        <v>8.6190476190476186</v>
      </c>
      <c r="M119" s="146">
        <f t="shared" si="504"/>
        <v>28.428571428571427</v>
      </c>
      <c r="N119" s="146">
        <f t="shared" si="504"/>
        <v>3.4179104477611939</v>
      </c>
      <c r="O119" s="146">
        <f t="shared" si="504"/>
        <v>28.545454545454547</v>
      </c>
      <c r="P119" s="146">
        <f t="shared" si="504"/>
        <v>3.6015625</v>
      </c>
      <c r="Q119" s="146">
        <f t="shared" si="504"/>
        <v>5.7867360208062424</v>
      </c>
      <c r="R119" s="146">
        <f t="shared" si="504"/>
        <v>1.0273037542662116</v>
      </c>
      <c r="S119" s="146">
        <f t="shared" si="504"/>
        <v>2.088709677419355</v>
      </c>
      <c r="T119" s="146">
        <f t="shared" ref="T119:U119" si="505">T29/T12</f>
        <v>5.443708609271523</v>
      </c>
      <c r="U119" s="146">
        <f t="shared" si="505"/>
        <v>1.2534212777740308</v>
      </c>
      <c r="V119" s="101">
        <f t="shared" si="323"/>
        <v>-0.16097306003331013</v>
      </c>
      <c r="W119" s="10"/>
      <c r="X119" s="128">
        <f t="shared" ref="X119:AG119" si="506">X29/X12</f>
        <v>1.2534212777740308</v>
      </c>
      <c r="Y119" s="128">
        <f t="shared" si="506"/>
        <v>1.2534212777740308</v>
      </c>
      <c r="Z119" s="128">
        <f t="shared" si="506"/>
        <v>1.2534212777740308</v>
      </c>
      <c r="AA119" s="128">
        <f t="shared" si="506"/>
        <v>1.2534212777740308</v>
      </c>
      <c r="AB119" s="128">
        <f t="shared" si="506"/>
        <v>1.2534212777740306</v>
      </c>
      <c r="AC119" s="128">
        <f t="shared" si="506"/>
        <v>1.2534212777740306</v>
      </c>
      <c r="AD119" s="128">
        <f t="shared" si="506"/>
        <v>1.2534212777740306</v>
      </c>
      <c r="AE119" s="128">
        <f t="shared" si="506"/>
        <v>1.2534212777740306</v>
      </c>
      <c r="AF119" s="128">
        <f t="shared" si="506"/>
        <v>1.2534212777740306</v>
      </c>
      <c r="AG119" s="128">
        <f t="shared" si="506"/>
        <v>1.2534212777740303</v>
      </c>
      <c r="AH119" s="115" t="e">
        <f t="shared" si="456"/>
        <v>#DIV/0!</v>
      </c>
      <c r="AI119" s="123"/>
      <c r="AJ119" s="123"/>
    </row>
    <row r="120" spans="1:36" ht="12" customHeight="1" x14ac:dyDescent="0.2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 x14ac:dyDescent="0.2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513">1/G116</f>
        <v>1.5655172413793104</v>
      </c>
      <c r="H122" s="108" t="e">
        <f t="shared" ref="H122:I122" si="514">1/H116</f>
        <v>#DIV/0!</v>
      </c>
      <c r="I122" s="108" t="e">
        <f t="shared" si="514"/>
        <v>#DIV/0!</v>
      </c>
      <c r="J122" s="108" t="e">
        <f>1/J116</f>
        <v>#DIV/0!</v>
      </c>
      <c r="K122" s="108">
        <f t="shared" ref="K122:S122" si="515">1/K116</f>
        <v>1.5655172413793104</v>
      </c>
      <c r="L122" s="108">
        <f t="shared" si="515"/>
        <v>1.5303867403314919</v>
      </c>
      <c r="M122" s="108">
        <f t="shared" si="515"/>
        <v>1.5879396984924623</v>
      </c>
      <c r="N122" s="108">
        <f t="shared" si="515"/>
        <v>1.5851528384279474</v>
      </c>
      <c r="O122" s="108">
        <f t="shared" si="515"/>
        <v>1.4681528662420382</v>
      </c>
      <c r="P122" s="108">
        <f t="shared" si="515"/>
        <v>1.4446854663774404</v>
      </c>
      <c r="Q122" s="108">
        <f t="shared" si="515"/>
        <v>1.3982521847690388</v>
      </c>
      <c r="R122" s="108">
        <f t="shared" si="515"/>
        <v>5.9003322259136217</v>
      </c>
      <c r="S122" s="108">
        <f t="shared" si="515"/>
        <v>5.2046332046332049</v>
      </c>
      <c r="T122" s="108">
        <f t="shared" ref="T122:U122" si="516">1/T116</f>
        <v>4.7530413625304133</v>
      </c>
      <c r="U122" s="108">
        <f t="shared" si="516"/>
        <v>1.56252407386428</v>
      </c>
      <c r="V122" s="101">
        <f t="shared" si="323"/>
        <v>-1.913582164764227E-4</v>
      </c>
      <c r="W122" s="10"/>
      <c r="X122" s="108">
        <f t="shared" ref="X122:AG122" si="517">1/X116</f>
        <v>1.56252407386428</v>
      </c>
      <c r="Y122" s="108">
        <f t="shared" si="517"/>
        <v>1.56252407386428</v>
      </c>
      <c r="Z122" s="108">
        <f t="shared" si="517"/>
        <v>1.5625240738642798</v>
      </c>
      <c r="AA122" s="108">
        <f t="shared" si="517"/>
        <v>1.56252407386428</v>
      </c>
      <c r="AB122" s="108">
        <f t="shared" si="517"/>
        <v>1.56252407386428</v>
      </c>
      <c r="AC122" s="108">
        <f t="shared" si="517"/>
        <v>1.5625240738642803</v>
      </c>
      <c r="AD122" s="108">
        <f t="shared" si="517"/>
        <v>1.56252407386428</v>
      </c>
      <c r="AE122" s="108">
        <f t="shared" si="517"/>
        <v>1.56252407386428</v>
      </c>
      <c r="AF122" s="108">
        <f t="shared" si="517"/>
        <v>1.5625240738642803</v>
      </c>
      <c r="AG122" s="108">
        <f t="shared" si="517"/>
        <v>1.5625240738642803</v>
      </c>
      <c r="AH122" s="115" t="e">
        <f t="shared" si="456"/>
        <v>#DIV/0!</v>
      </c>
      <c r="AI122" s="123"/>
      <c r="AJ122" s="123"/>
    </row>
    <row r="123" spans="1:36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518">1/G117</f>
        <v>1.3793103448275863</v>
      </c>
      <c r="H123" s="108" t="e">
        <f t="shared" ref="H123:I123" si="519">1/H117</f>
        <v>#DIV/0!</v>
      </c>
      <c r="I123" s="108" t="e">
        <f t="shared" si="519"/>
        <v>#DIV/0!</v>
      </c>
      <c r="J123" s="108" t="e">
        <f t="shared" ref="J123:S126" si="520">1/J117</f>
        <v>#DIV/0!</v>
      </c>
      <c r="K123" s="108">
        <f t="shared" si="520"/>
        <v>1.3793103448275863</v>
      </c>
      <c r="L123" s="108">
        <f t="shared" si="520"/>
        <v>1.4143646408839778</v>
      </c>
      <c r="M123" s="108">
        <f t="shared" si="520"/>
        <v>1.42713567839196</v>
      </c>
      <c r="N123" s="108">
        <f t="shared" si="520"/>
        <v>1.4104803493449782</v>
      </c>
      <c r="O123" s="108">
        <f t="shared" si="520"/>
        <v>1.3375796178343948</v>
      </c>
      <c r="P123" s="108">
        <f t="shared" si="520"/>
        <v>1.2819956616052059</v>
      </c>
      <c r="Q123" s="108">
        <f t="shared" si="520"/>
        <v>1.2272159800249689</v>
      </c>
      <c r="R123" s="108">
        <f t="shared" si="520"/>
        <v>5.1993355481727574</v>
      </c>
      <c r="S123" s="108">
        <f t="shared" si="520"/>
        <v>4.5907335907335911</v>
      </c>
      <c r="T123" s="108">
        <f t="shared" ref="T123:U123" si="521">1/T117</f>
        <v>4.21654501216545</v>
      </c>
      <c r="U123" s="108">
        <f t="shared" si="521"/>
        <v>1.4251416109663533</v>
      </c>
      <c r="V123" s="101">
        <f t="shared" si="323"/>
        <v>3.2741042861297309E-3</v>
      </c>
      <c r="W123" s="10"/>
      <c r="X123" s="108">
        <f t="shared" ref="X123:AG123" si="522">1/X117</f>
        <v>1.4251416109663533</v>
      </c>
      <c r="Y123" s="108">
        <f t="shared" si="522"/>
        <v>1.4251416109663533</v>
      </c>
      <c r="Z123" s="108">
        <f t="shared" si="522"/>
        <v>1.4251416109663535</v>
      </c>
      <c r="AA123" s="108">
        <f t="shared" si="522"/>
        <v>1.4251416109663535</v>
      </c>
      <c r="AB123" s="108">
        <f t="shared" si="522"/>
        <v>1.4251416109663535</v>
      </c>
      <c r="AC123" s="108">
        <f t="shared" si="522"/>
        <v>1.4251416109663535</v>
      </c>
      <c r="AD123" s="108">
        <f t="shared" si="522"/>
        <v>1.4251416109663537</v>
      </c>
      <c r="AE123" s="108">
        <f t="shared" si="522"/>
        <v>1.4251416109663537</v>
      </c>
      <c r="AF123" s="108">
        <f t="shared" si="522"/>
        <v>1.4251416109663539</v>
      </c>
      <c r="AG123" s="108">
        <f t="shared" si="522"/>
        <v>1.4251416109663539</v>
      </c>
      <c r="AH123" s="115" t="e">
        <f t="shared" si="456"/>
        <v>#DIV/0!</v>
      </c>
      <c r="AI123" s="123"/>
      <c r="AJ123" s="123"/>
    </row>
    <row r="124" spans="1:36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523">1/G118</f>
        <v>0.27586206896551724</v>
      </c>
      <c r="H124" s="108" t="e">
        <f t="shared" ref="H124:I124" si="524">1/H118</f>
        <v>#DIV/0!</v>
      </c>
      <c r="I124" s="108" t="e">
        <f t="shared" si="524"/>
        <v>#DIV/0!</v>
      </c>
      <c r="J124" s="108" t="e">
        <f t="shared" si="520"/>
        <v>#DIV/0!</v>
      </c>
      <c r="K124" s="108">
        <f t="shared" si="520"/>
        <v>0.27586206896551724</v>
      </c>
      <c r="L124" s="108">
        <f t="shared" si="520"/>
        <v>0.29281767955801108</v>
      </c>
      <c r="M124" s="108">
        <f t="shared" si="520"/>
        <v>0.33668341708542715</v>
      </c>
      <c r="N124" s="108">
        <f t="shared" si="520"/>
        <v>0.30131004366812225</v>
      </c>
      <c r="O124" s="108">
        <f t="shared" si="520"/>
        <v>0.24522292993630573</v>
      </c>
      <c r="P124" s="108">
        <f t="shared" si="520"/>
        <v>0.2017353579175705</v>
      </c>
      <c r="Q124" s="108">
        <f t="shared" si="520"/>
        <v>0.16104868913857676</v>
      </c>
      <c r="R124" s="108">
        <f t="shared" si="520"/>
        <v>0.65116279069767435</v>
      </c>
      <c r="S124" s="108">
        <f t="shared" si="520"/>
        <v>0.62934362934362942</v>
      </c>
      <c r="T124" s="108">
        <f t="shared" ref="T124:U124" si="525">1/T118</f>
        <v>0.63625304136253036</v>
      </c>
      <c r="U124" s="108">
        <f t="shared" si="525"/>
        <v>0.23490710320607228</v>
      </c>
      <c r="V124" s="101">
        <f t="shared" si="323"/>
        <v>-1.5942635151760198E-2</v>
      </c>
      <c r="W124" s="10"/>
      <c r="X124" s="108">
        <f t="shared" ref="X124:AG124" si="526">1/X118</f>
        <v>0.23490710320607228</v>
      </c>
      <c r="Y124" s="108">
        <f t="shared" si="526"/>
        <v>0.23490710320607228</v>
      </c>
      <c r="Z124" s="108">
        <f t="shared" si="526"/>
        <v>0.23490710320607228</v>
      </c>
      <c r="AA124" s="108">
        <f t="shared" si="526"/>
        <v>0.23490710320607228</v>
      </c>
      <c r="AB124" s="108">
        <f t="shared" si="526"/>
        <v>0.23490710320607228</v>
      </c>
      <c r="AC124" s="108">
        <f t="shared" si="526"/>
        <v>0.23490710320607233</v>
      </c>
      <c r="AD124" s="108">
        <f t="shared" si="526"/>
        <v>0.23490710320607233</v>
      </c>
      <c r="AE124" s="108">
        <f t="shared" si="526"/>
        <v>0.23490710320607233</v>
      </c>
      <c r="AF124" s="108">
        <f t="shared" si="526"/>
        <v>0.23490710320607233</v>
      </c>
      <c r="AG124" s="108">
        <f t="shared" si="526"/>
        <v>0.23490710320607233</v>
      </c>
      <c r="AH124" s="115" t="e">
        <f t="shared" si="456"/>
        <v>#DIV/0!</v>
      </c>
      <c r="AI124" s="123"/>
      <c r="AJ124" s="123"/>
    </row>
    <row r="125" spans="1:36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527">1/G119</f>
        <v>0.13793103448275862</v>
      </c>
      <c r="H125" s="108" t="e">
        <f t="shared" ref="H125:I125" si="528">1/H119</f>
        <v>#DIV/0!</v>
      </c>
      <c r="I125" s="108" t="e">
        <f t="shared" si="528"/>
        <v>#DIV/0!</v>
      </c>
      <c r="J125" s="108" t="e">
        <f t="shared" si="520"/>
        <v>#DIV/0!</v>
      </c>
      <c r="K125" s="108">
        <f t="shared" si="520"/>
        <v>0.13793103448275862</v>
      </c>
      <c r="L125" s="108">
        <f t="shared" si="520"/>
        <v>0.11602209944751382</v>
      </c>
      <c r="M125" s="108">
        <f t="shared" si="520"/>
        <v>3.5175879396984924E-2</v>
      </c>
      <c r="N125" s="108">
        <f t="shared" si="520"/>
        <v>0.29257641921397382</v>
      </c>
      <c r="O125" s="108">
        <f t="shared" si="520"/>
        <v>3.5031847133757961E-2</v>
      </c>
      <c r="P125" s="108">
        <f t="shared" si="520"/>
        <v>0.27765726681127983</v>
      </c>
      <c r="Q125" s="108">
        <f t="shared" si="520"/>
        <v>0.17280898876404494</v>
      </c>
      <c r="R125" s="108">
        <f t="shared" si="520"/>
        <v>0.97342192691029905</v>
      </c>
      <c r="S125" s="108">
        <f t="shared" si="520"/>
        <v>0.47876447876447875</v>
      </c>
      <c r="T125" s="108">
        <f t="shared" ref="T125:U125" si="529">1/T119</f>
        <v>0.18369829683698297</v>
      </c>
      <c r="U125" s="108">
        <f t="shared" si="529"/>
        <v>0.79781635889883296</v>
      </c>
      <c r="V125" s="101">
        <f t="shared" si="323"/>
        <v>0.19185684316608587</v>
      </c>
      <c r="W125" s="10"/>
      <c r="X125" s="108">
        <f t="shared" ref="X125:AG125" si="530">1/X119</f>
        <v>0.79781635889883296</v>
      </c>
      <c r="Y125" s="108">
        <f t="shared" si="530"/>
        <v>0.79781635889883296</v>
      </c>
      <c r="Z125" s="108">
        <f t="shared" si="530"/>
        <v>0.79781635889883296</v>
      </c>
      <c r="AA125" s="108">
        <f t="shared" si="530"/>
        <v>0.79781635889883296</v>
      </c>
      <c r="AB125" s="108">
        <f t="shared" si="530"/>
        <v>0.79781635889883318</v>
      </c>
      <c r="AC125" s="108">
        <f t="shared" si="530"/>
        <v>0.79781635889883318</v>
      </c>
      <c r="AD125" s="108">
        <f t="shared" si="530"/>
        <v>0.79781635889883318</v>
      </c>
      <c r="AE125" s="108">
        <f t="shared" si="530"/>
        <v>0.79781635889883318</v>
      </c>
      <c r="AF125" s="108">
        <f t="shared" si="530"/>
        <v>0.79781635889883318</v>
      </c>
      <c r="AG125" s="108">
        <f t="shared" si="530"/>
        <v>0.79781635889883329</v>
      </c>
      <c r="AH125" s="115" t="e">
        <f t="shared" si="456"/>
        <v>#DIV/0!</v>
      </c>
      <c r="AI125" s="123"/>
      <c r="AJ125" s="123"/>
    </row>
    <row r="126" spans="1:36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 x14ac:dyDescent="0.2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 x14ac:dyDescent="0.2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5516.96</v>
      </c>
      <c r="V128" s="101" t="e">
        <f t="shared" si="323"/>
        <v>#DIV/0!</v>
      </c>
      <c r="W128" s="10"/>
      <c r="X128" s="146">
        <f t="shared" ref="X128:AG128" si="539">X25/(X36+X38)</f>
        <v>5516.96</v>
      </c>
      <c r="Y128" s="146">
        <f t="shared" si="539"/>
        <v>5516.96</v>
      </c>
      <c r="Z128" s="146">
        <f t="shared" si="539"/>
        <v>5516.9599999999991</v>
      </c>
      <c r="AA128" s="146">
        <f t="shared" si="539"/>
        <v>5516.9599999999991</v>
      </c>
      <c r="AB128" s="146">
        <f t="shared" si="539"/>
        <v>5516.9599999999991</v>
      </c>
      <c r="AC128" s="146">
        <f t="shared" si="539"/>
        <v>5516.9599999999991</v>
      </c>
      <c r="AD128" s="146">
        <f t="shared" si="539"/>
        <v>5516.9599999999991</v>
      </c>
      <c r="AE128" s="146">
        <f t="shared" si="539"/>
        <v>5516.9599999999991</v>
      </c>
      <c r="AF128" s="146">
        <f t="shared" si="539"/>
        <v>5516.9599999999991</v>
      </c>
      <c r="AG128" s="146">
        <f t="shared" si="539"/>
        <v>5516.9599999999991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 x14ac:dyDescent="0.2">
      <c r="A129" s="305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 x14ac:dyDescent="0.2">
      <c r="A130" s="305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 x14ac:dyDescent="0.2">
      <c r="A131" s="305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 x14ac:dyDescent="0.2">
      <c r="A132" s="305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 x14ac:dyDescent="0.2">
      <c r="A133" s="305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 t="e">
        <f t="shared" ref="H133:I133" si="562">H49/H25</f>
        <v>#DIV/0!</v>
      </c>
      <c r="I133" s="146" t="e">
        <f t="shared" si="562"/>
        <v>#DIV/0!</v>
      </c>
      <c r="J133" s="146" t="e">
        <f t="shared" ref="J133:T133" si="563">J49/J25</f>
        <v>#DIV/0!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 x14ac:dyDescent="0.2">
      <c r="A134" s="305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 x14ac:dyDescent="0.2">
      <c r="A135" s="305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 x14ac:dyDescent="0.2">
      <c r="A136" s="305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829.41</v>
      </c>
      <c r="V136" s="101" t="e">
        <f t="shared" si="323"/>
        <v>#DIV/0!</v>
      </c>
      <c r="W136" s="10"/>
      <c r="X136" s="146">
        <f t="shared" ref="X136:AG136" si="580">X59/(X36+X38)</f>
        <v>829.41</v>
      </c>
      <c r="Y136" s="146">
        <f t="shared" si="580"/>
        <v>829.40999999999985</v>
      </c>
      <c r="Z136" s="146">
        <f t="shared" si="580"/>
        <v>829.40999999999985</v>
      </c>
      <c r="AA136" s="146">
        <f t="shared" si="580"/>
        <v>829.40999999999985</v>
      </c>
      <c r="AB136" s="146">
        <f t="shared" si="580"/>
        <v>829.40999999999985</v>
      </c>
      <c r="AC136" s="146">
        <f t="shared" si="580"/>
        <v>829.40999999999985</v>
      </c>
      <c r="AD136" s="146">
        <f t="shared" si="580"/>
        <v>829.40999999999985</v>
      </c>
      <c r="AE136" s="146">
        <f t="shared" si="580"/>
        <v>829.41</v>
      </c>
      <c r="AF136" s="146">
        <f t="shared" si="580"/>
        <v>829.40999999999985</v>
      </c>
      <c r="AG136" s="146">
        <f t="shared" si="580"/>
        <v>829.40999999999974</v>
      </c>
      <c r="AH136" s="115" t="e">
        <f t="shared" si="540"/>
        <v>#DIV/0!</v>
      </c>
      <c r="AI136" s="123"/>
      <c r="AJ136" s="123"/>
    </row>
    <row r="137" spans="1:36" ht="12" customHeight="1" x14ac:dyDescent="0.2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 x14ac:dyDescent="0.2">
      <c r="B138" s="10" t="s">
        <v>270</v>
      </c>
      <c r="C138" s="128"/>
      <c r="D138" s="128"/>
      <c r="E138" s="128"/>
      <c r="F138" s="138"/>
      <c r="G138" s="138">
        <f t="shared" ref="G138" si="581">G10-(G12+G13)</f>
        <v>1728</v>
      </c>
      <c r="H138" s="138">
        <f t="shared" ref="H138:I138" si="582">H10-(H12+H13)</f>
        <v>0</v>
      </c>
      <c r="I138" s="138">
        <f t="shared" si="582"/>
        <v>0</v>
      </c>
      <c r="J138" s="138">
        <f t="shared" ref="J138:T138" si="583">J10-(J12+J13)</f>
        <v>0</v>
      </c>
      <c r="K138" s="138">
        <f t="shared" si="583"/>
        <v>1728</v>
      </c>
      <c r="L138" s="138">
        <f t="shared" si="583"/>
        <v>1952</v>
      </c>
      <c r="M138" s="138">
        <f t="shared" si="583"/>
        <v>2219</v>
      </c>
      <c r="N138" s="138">
        <f t="shared" si="583"/>
        <v>2801</v>
      </c>
      <c r="O138" s="138">
        <f t="shared" si="583"/>
        <v>2404</v>
      </c>
      <c r="P138" s="138">
        <f t="shared" si="583"/>
        <v>4631</v>
      </c>
      <c r="Q138" s="138">
        <f t="shared" si="583"/>
        <v>7612.58</v>
      </c>
      <c r="R138" s="138">
        <f t="shared" si="583"/>
        <v>12674</v>
      </c>
      <c r="S138" s="138">
        <f t="shared" si="583"/>
        <v>22224</v>
      </c>
      <c r="T138" s="138">
        <f t="shared" si="583"/>
        <v>28601</v>
      </c>
      <c r="U138" s="138">
        <f t="shared" ref="U138" si="584">U10-(U12+U13)</f>
        <v>45433.820000000007</v>
      </c>
      <c r="V138" s="101">
        <f t="shared" si="323"/>
        <v>0.38670330776653983</v>
      </c>
      <c r="W138" s="10"/>
      <c r="X138" s="138">
        <f t="shared" ref="X138:AG138" si="585">X10-(X12+X13)</f>
        <v>54520.584000000003</v>
      </c>
      <c r="Y138" s="138">
        <f t="shared" si="585"/>
        <v>65424.700799999999</v>
      </c>
      <c r="Z138" s="138">
        <f t="shared" si="585"/>
        <v>78509.640960000004</v>
      </c>
      <c r="AA138" s="138">
        <f t="shared" si="585"/>
        <v>94211.569151999996</v>
      </c>
      <c r="AB138" s="138">
        <f t="shared" si="585"/>
        <v>113053.88298239998</v>
      </c>
      <c r="AC138" s="138">
        <f t="shared" si="585"/>
        <v>135664.65957888</v>
      </c>
      <c r="AD138" s="138">
        <f t="shared" si="585"/>
        <v>162797.59149465599</v>
      </c>
      <c r="AE138" s="138">
        <f t="shared" si="585"/>
        <v>195357.10979358721</v>
      </c>
      <c r="AF138" s="138">
        <f t="shared" si="585"/>
        <v>234428.53175230464</v>
      </c>
      <c r="AG138" s="138">
        <f t="shared" si="585"/>
        <v>281314.23810276558</v>
      </c>
      <c r="AH138" s="115" t="e">
        <f t="shared" si="456"/>
        <v>#DIV/0!</v>
      </c>
      <c r="AI138" s="123"/>
      <c r="AJ138" s="123"/>
    </row>
    <row r="139" spans="1:36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586">G59/G18</f>
        <v>16.064257028112447</v>
      </c>
      <c r="H139" s="128" t="e">
        <f t="shared" ref="H139:I139" si="587">H59/H18</f>
        <v>#DIV/0!</v>
      </c>
      <c r="I139" s="128" t="e">
        <f t="shared" si="587"/>
        <v>#DIV/0!</v>
      </c>
      <c r="J139" s="128" t="e">
        <f t="shared" ref="J139:T139" si="588">J59/J18</f>
        <v>#DIV/0!</v>
      </c>
      <c r="K139" s="128">
        <f t="shared" si="588"/>
        <v>16.064257028112447</v>
      </c>
      <c r="L139" s="128">
        <f t="shared" si="588"/>
        <v>23.873873873873872</v>
      </c>
      <c r="M139" s="128">
        <f t="shared" si="588"/>
        <v>33.5</v>
      </c>
      <c r="N139" s="128">
        <f t="shared" si="588"/>
        <v>38.764044943820224</v>
      </c>
      <c r="O139" s="128">
        <f t="shared" si="588"/>
        <v>16.70281995661605</v>
      </c>
      <c r="P139" s="128">
        <f t="shared" si="588"/>
        <v>6.5724381625441692</v>
      </c>
      <c r="Q139" s="128">
        <f t="shared" si="588"/>
        <v>5.16</v>
      </c>
      <c r="R139" s="128">
        <f t="shared" si="588"/>
        <v>4.9000000000000004</v>
      </c>
      <c r="S139" s="128">
        <f t="shared" si="588"/>
        <v>5.6206896551724137</v>
      </c>
      <c r="T139" s="128">
        <f t="shared" si="588"/>
        <v>9.0172413793103452</v>
      </c>
      <c r="U139" s="128">
        <f t="shared" ref="U139" si="589">U59/U18</f>
        <v>9.6656566833702353</v>
      </c>
      <c r="V139" s="101">
        <f t="shared" ref="V139:V171" si="590">((U139/G139)^(1/($K$2-$K$1) ))-1</f>
        <v>-4.9532935991067339E-2</v>
      </c>
      <c r="W139" s="10"/>
      <c r="X139" s="128">
        <f t="shared" ref="X139:AG139" si="591">X59/X18</f>
        <v>9.6656566833702371</v>
      </c>
      <c r="Y139" s="128">
        <f t="shared" si="591"/>
        <v>9.6656566833702353</v>
      </c>
      <c r="Z139" s="128">
        <f t="shared" si="591"/>
        <v>9.6656566833702353</v>
      </c>
      <c r="AA139" s="128">
        <f t="shared" si="591"/>
        <v>9.6656566833702353</v>
      </c>
      <c r="AB139" s="128">
        <f t="shared" si="591"/>
        <v>9.6656566833702353</v>
      </c>
      <c r="AC139" s="128">
        <f t="shared" si="591"/>
        <v>9.6656566833702353</v>
      </c>
      <c r="AD139" s="128">
        <f t="shared" si="591"/>
        <v>9.6656566833702353</v>
      </c>
      <c r="AE139" s="128">
        <f t="shared" si="591"/>
        <v>9.6656566833702371</v>
      </c>
      <c r="AF139" s="128">
        <f t="shared" si="591"/>
        <v>9.6656566833702353</v>
      </c>
      <c r="AG139" s="128">
        <f t="shared" si="591"/>
        <v>9.6656566833702353</v>
      </c>
      <c r="AH139" s="115" t="e">
        <f t="shared" si="456"/>
        <v>#DIV/0!</v>
      </c>
      <c r="AI139" s="10"/>
      <c r="AJ139" s="10"/>
    </row>
    <row r="140" spans="1:36" x14ac:dyDescent="0.2">
      <c r="B140" s="10" t="s">
        <v>266</v>
      </c>
      <c r="C140" s="10"/>
      <c r="D140" s="10"/>
      <c r="E140" s="10"/>
      <c r="F140" s="128"/>
      <c r="G140" s="128">
        <f t="shared" ref="G140" si="592">G59/G25</f>
        <v>0.1762114537444934</v>
      </c>
      <c r="H140" s="128" t="e">
        <f t="shared" ref="H140:I140" si="593">H59/H25</f>
        <v>#DIV/0!</v>
      </c>
      <c r="I140" s="128" t="e">
        <f t="shared" si="593"/>
        <v>#DIV/0!</v>
      </c>
      <c r="J140" s="128" t="e">
        <f t="shared" ref="J140:T140" si="594">J59/J25</f>
        <v>#DIV/0!</v>
      </c>
      <c r="K140" s="128">
        <f t="shared" si="594"/>
        <v>0.1762114537444934</v>
      </c>
      <c r="L140" s="128">
        <f t="shared" si="594"/>
        <v>0.19133574007220217</v>
      </c>
      <c r="M140" s="128">
        <f t="shared" si="594"/>
        <v>0.21202531645569619</v>
      </c>
      <c r="N140" s="128">
        <f t="shared" si="594"/>
        <v>0.19008264462809918</v>
      </c>
      <c r="O140" s="128">
        <f t="shared" si="594"/>
        <v>0.16702819956616052</v>
      </c>
      <c r="P140" s="128">
        <f t="shared" si="594"/>
        <v>0.13963963963963963</v>
      </c>
      <c r="Q140" s="128">
        <f t="shared" si="594"/>
        <v>0.11517857142857142</v>
      </c>
      <c r="R140" s="128">
        <f t="shared" si="594"/>
        <v>0.11036036036036036</v>
      </c>
      <c r="S140" s="128">
        <f t="shared" si="594"/>
        <v>0.12091988130563798</v>
      </c>
      <c r="T140" s="128">
        <f t="shared" si="594"/>
        <v>0.13386229843869976</v>
      </c>
      <c r="U140" s="128">
        <f t="shared" ref="U140" si="595">U59/U25</f>
        <v>0.15033822974971722</v>
      </c>
      <c r="V140" s="101">
        <f t="shared" si="590"/>
        <v>-1.5754291648435337E-2</v>
      </c>
      <c r="W140" s="10"/>
      <c r="X140" s="128">
        <f t="shared" ref="X140:AG140" si="596">X59/X25</f>
        <v>0.15033822974971722</v>
      </c>
      <c r="Y140" s="128">
        <f t="shared" si="596"/>
        <v>0.15033822974971722</v>
      </c>
      <c r="Z140" s="128">
        <f t="shared" si="596"/>
        <v>0.15033822974971722</v>
      </c>
      <c r="AA140" s="128">
        <f t="shared" si="596"/>
        <v>0.15033822974971722</v>
      </c>
      <c r="AB140" s="128">
        <f t="shared" si="596"/>
        <v>0.15033822974971722</v>
      </c>
      <c r="AC140" s="128">
        <f t="shared" si="596"/>
        <v>0.15033822974971722</v>
      </c>
      <c r="AD140" s="128">
        <f t="shared" si="596"/>
        <v>0.15033822974971725</v>
      </c>
      <c r="AE140" s="128">
        <f t="shared" si="596"/>
        <v>0.15033822974971725</v>
      </c>
      <c r="AF140" s="128">
        <f t="shared" si="596"/>
        <v>0.15033822974971725</v>
      </c>
      <c r="AG140" s="128">
        <f t="shared" si="596"/>
        <v>0.15033822974971722</v>
      </c>
      <c r="AH140" s="115" t="e">
        <f t="shared" si="456"/>
        <v>#DIV/0!</v>
      </c>
      <c r="AI140" s="10"/>
      <c r="AJ140" s="10"/>
    </row>
    <row r="141" spans="1:36" x14ac:dyDescent="0.2">
      <c r="B141" s="10" t="s">
        <v>290</v>
      </c>
      <c r="C141" s="10"/>
      <c r="D141" s="10"/>
      <c r="E141" s="128"/>
      <c r="F141" s="128"/>
      <c r="G141" s="128">
        <f t="shared" ref="G141" si="597">G25/G18</f>
        <v>91.164658634538142</v>
      </c>
      <c r="H141" s="128" t="e">
        <f t="shared" ref="H141:I141" si="598">H25/H18</f>
        <v>#DIV/0!</v>
      </c>
      <c r="I141" s="128" t="e">
        <f t="shared" si="598"/>
        <v>#DIV/0!</v>
      </c>
      <c r="J141" s="128" t="e">
        <f t="shared" ref="J141:T141" si="599">J25/J18</f>
        <v>#DIV/0!</v>
      </c>
      <c r="K141" s="128">
        <f t="shared" si="599"/>
        <v>91.164658634538142</v>
      </c>
      <c r="L141" s="128">
        <f t="shared" si="599"/>
        <v>124.77477477477477</v>
      </c>
      <c r="M141" s="128">
        <f t="shared" si="599"/>
        <v>158</v>
      </c>
      <c r="N141" s="128">
        <f t="shared" si="599"/>
        <v>203.93258426966293</v>
      </c>
      <c r="O141" s="128">
        <f t="shared" si="599"/>
        <v>100</v>
      </c>
      <c r="P141" s="128">
        <f t="shared" si="599"/>
        <v>47.06713780918728</v>
      </c>
      <c r="Q141" s="128">
        <f t="shared" si="599"/>
        <v>44.8</v>
      </c>
      <c r="R141" s="128">
        <f t="shared" si="599"/>
        <v>44.4</v>
      </c>
      <c r="S141" s="128">
        <f t="shared" si="599"/>
        <v>46.482758620689658</v>
      </c>
      <c r="T141" s="128">
        <f t="shared" si="599"/>
        <v>67.362068965517238</v>
      </c>
      <c r="U141" s="128">
        <f t="shared" ref="U141" si="600">U25/U18</f>
        <v>64.292739773919124</v>
      </c>
      <c r="V141" s="101">
        <f t="shared" si="590"/>
        <v>-3.4319320933799191E-2</v>
      </c>
      <c r="W141" s="10"/>
      <c r="X141" s="128">
        <f t="shared" ref="X141:AG141" si="601">X25/X18</f>
        <v>64.292739773919124</v>
      </c>
      <c r="Y141" s="128">
        <f t="shared" si="601"/>
        <v>64.292739773919124</v>
      </c>
      <c r="Z141" s="128">
        <f t="shared" si="601"/>
        <v>64.292739773919124</v>
      </c>
      <c r="AA141" s="128">
        <f t="shared" si="601"/>
        <v>64.292739773919124</v>
      </c>
      <c r="AB141" s="128">
        <f t="shared" si="601"/>
        <v>64.292739773919124</v>
      </c>
      <c r="AC141" s="128">
        <f t="shared" si="601"/>
        <v>64.292739773919124</v>
      </c>
      <c r="AD141" s="128">
        <f t="shared" si="601"/>
        <v>64.292739773919109</v>
      </c>
      <c r="AE141" s="128">
        <f t="shared" si="601"/>
        <v>64.292739773919124</v>
      </c>
      <c r="AF141" s="128">
        <f t="shared" si="601"/>
        <v>64.292739773919109</v>
      </c>
      <c r="AG141" s="128">
        <f t="shared" si="601"/>
        <v>64.292739773919124</v>
      </c>
      <c r="AH141" s="115" t="e">
        <f t="shared" si="456"/>
        <v>#DIV/0!</v>
      </c>
      <c r="AI141" s="10"/>
      <c r="AJ141" s="10"/>
    </row>
    <row r="142" spans="1:36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 x14ac:dyDescent="0.2">
      <c r="B143" s="10" t="s">
        <v>278</v>
      </c>
      <c r="C143" s="10"/>
      <c r="D143" s="10"/>
      <c r="E143" s="140"/>
      <c r="F143" s="140"/>
      <c r="G143" s="140">
        <f t="shared" ref="G143" si="602">G92*G61</f>
        <v>0</v>
      </c>
      <c r="H143" s="140">
        <f t="shared" ref="H143:I143" si="603">H92*H61</f>
        <v>0</v>
      </c>
      <c r="I143" s="140">
        <f t="shared" si="603"/>
        <v>0</v>
      </c>
      <c r="J143" s="140">
        <f t="shared" ref="J143:T143" si="604">J92*J61</f>
        <v>0</v>
      </c>
      <c r="K143" s="140">
        <f t="shared" si="604"/>
        <v>0</v>
      </c>
      <c r="L143" s="140">
        <f t="shared" si="604"/>
        <v>0</v>
      </c>
      <c r="M143" s="140">
        <f t="shared" si="604"/>
        <v>0</v>
      </c>
      <c r="N143" s="140">
        <f t="shared" si="604"/>
        <v>0</v>
      </c>
      <c r="O143" s="140">
        <f t="shared" si="604"/>
        <v>0</v>
      </c>
      <c r="P143" s="140">
        <f t="shared" si="604"/>
        <v>0</v>
      </c>
      <c r="Q143" s="140">
        <f t="shared" si="604"/>
        <v>0</v>
      </c>
      <c r="R143" s="140">
        <f t="shared" si="604"/>
        <v>0</v>
      </c>
      <c r="S143" s="140">
        <f t="shared" si="604"/>
        <v>0</v>
      </c>
      <c r="T143" s="140">
        <f t="shared" si="604"/>
        <v>99.359999999999985</v>
      </c>
      <c r="U143" s="140">
        <f t="shared" ref="U143" si="605">U92*U61</f>
        <v>149.85</v>
      </c>
      <c r="V143" s="101" t="e">
        <f t="shared" si="590"/>
        <v>#DIV/0!</v>
      </c>
      <c r="W143" s="10"/>
      <c r="X143" s="140">
        <f t="shared" ref="X143:AG143" si="606">X92*X61</f>
        <v>155.90394000000001</v>
      </c>
      <c r="Y143" s="140">
        <f t="shared" si="606"/>
        <v>162.20245917600002</v>
      </c>
      <c r="Z143" s="140">
        <f t="shared" si="606"/>
        <v>168.75543852671041</v>
      </c>
      <c r="AA143" s="140">
        <f t="shared" si="606"/>
        <v>175.57315824318951</v>
      </c>
      <c r="AB143" s="140">
        <f t="shared" si="606"/>
        <v>182.66631383621439</v>
      </c>
      <c r="AC143" s="140">
        <f t="shared" si="606"/>
        <v>190.04603291519746</v>
      </c>
      <c r="AD143" s="140">
        <f t="shared" si="606"/>
        <v>197.72389264497141</v>
      </c>
      <c r="AE143" s="140">
        <f t="shared" si="606"/>
        <v>205.71193790782826</v>
      </c>
      <c r="AF143" s="140">
        <f t="shared" si="606"/>
        <v>214.02270019930452</v>
      </c>
      <c r="AG143" s="140">
        <f t="shared" si="606"/>
        <v>222.66921728735642</v>
      </c>
      <c r="AH143" s="115" t="e">
        <f t="shared" si="456"/>
        <v>#DIV/0!</v>
      </c>
      <c r="AI143" s="10"/>
      <c r="AJ143" s="10"/>
    </row>
    <row r="144" spans="1:36" x14ac:dyDescent="0.2">
      <c r="B144" s="10" t="s">
        <v>279</v>
      </c>
      <c r="C144" s="10"/>
      <c r="D144" s="10"/>
      <c r="E144" s="140"/>
      <c r="F144" s="140"/>
      <c r="G144" s="140">
        <f t="shared" ref="G144" si="607">(G143*0.17)+G143</f>
        <v>0</v>
      </c>
      <c r="H144" s="140">
        <f t="shared" ref="H144:I144" si="608">(H143*0.17)+H143</f>
        <v>0</v>
      </c>
      <c r="I144" s="140">
        <f t="shared" si="608"/>
        <v>0</v>
      </c>
      <c r="J144" s="140">
        <f t="shared" ref="J144:S144" si="609">(J143*0.17)+J143</f>
        <v>0</v>
      </c>
      <c r="K144" s="140">
        <f t="shared" si="609"/>
        <v>0</v>
      </c>
      <c r="L144" s="140">
        <f t="shared" si="609"/>
        <v>0</v>
      </c>
      <c r="M144" s="140">
        <f t="shared" si="609"/>
        <v>0</v>
      </c>
      <c r="N144" s="140">
        <f t="shared" si="609"/>
        <v>0</v>
      </c>
      <c r="O144" s="140">
        <f t="shared" si="609"/>
        <v>0</v>
      </c>
      <c r="P144" s="140">
        <f t="shared" si="609"/>
        <v>0</v>
      </c>
      <c r="Q144" s="140">
        <f t="shared" si="609"/>
        <v>0</v>
      </c>
      <c r="R144" s="140">
        <f t="shared" si="609"/>
        <v>0</v>
      </c>
      <c r="S144" s="140">
        <f t="shared" si="609"/>
        <v>0</v>
      </c>
      <c r="T144" s="140">
        <f t="shared" ref="T144:U144" si="610">(T143*0.17)+T143</f>
        <v>116.25119999999998</v>
      </c>
      <c r="U144" s="140">
        <f t="shared" si="610"/>
        <v>175.3245</v>
      </c>
      <c r="V144" s="101" t="e">
        <f t="shared" si="590"/>
        <v>#DIV/0!</v>
      </c>
      <c r="W144" s="10"/>
      <c r="X144" s="140">
        <f t="shared" ref="X144:AG144" si="611">(X143*0.17)+X143</f>
        <v>182.40760980000002</v>
      </c>
      <c r="Y144" s="140">
        <f t="shared" si="611"/>
        <v>189.77687723592004</v>
      </c>
      <c r="Z144" s="140">
        <f t="shared" si="611"/>
        <v>197.44386307625118</v>
      </c>
      <c r="AA144" s="140">
        <f t="shared" si="611"/>
        <v>205.42059514453172</v>
      </c>
      <c r="AB144" s="140">
        <f t="shared" si="611"/>
        <v>213.71958718837084</v>
      </c>
      <c r="AC144" s="140">
        <f t="shared" si="611"/>
        <v>222.35385851078104</v>
      </c>
      <c r="AD144" s="140">
        <f t="shared" si="611"/>
        <v>231.33695439461655</v>
      </c>
      <c r="AE144" s="140">
        <f t="shared" si="611"/>
        <v>240.68296735215907</v>
      </c>
      <c r="AF144" s="140">
        <f t="shared" si="611"/>
        <v>250.4065592331863</v>
      </c>
      <c r="AG144" s="140">
        <f t="shared" si="611"/>
        <v>260.52298422620703</v>
      </c>
      <c r="AH144" s="115" t="e">
        <f t="shared" si="456"/>
        <v>#DIV/0!</v>
      </c>
      <c r="AI144" s="10"/>
      <c r="AJ144" s="10"/>
    </row>
    <row r="145" spans="2:36" x14ac:dyDescent="0.2">
      <c r="B145" s="10" t="s">
        <v>280</v>
      </c>
      <c r="C145" s="10"/>
      <c r="D145" s="10"/>
      <c r="E145" s="10"/>
      <c r="F145" s="128"/>
      <c r="G145" s="128">
        <f t="shared" ref="G145" si="612">G144/G59</f>
        <v>0</v>
      </c>
      <c r="H145" s="128" t="e">
        <f t="shared" ref="H145:I145" si="613">H144/H59</f>
        <v>#DIV/0!</v>
      </c>
      <c r="I145" s="128" t="e">
        <f t="shared" si="613"/>
        <v>#DIV/0!</v>
      </c>
      <c r="J145" s="128" t="e">
        <f t="shared" ref="J145:T145" si="614">J144/J59</f>
        <v>#DIV/0!</v>
      </c>
      <c r="K145" s="128">
        <f t="shared" si="614"/>
        <v>0</v>
      </c>
      <c r="L145" s="128">
        <f t="shared" si="614"/>
        <v>0</v>
      </c>
      <c r="M145" s="128">
        <f t="shared" si="614"/>
        <v>0</v>
      </c>
      <c r="N145" s="128">
        <f t="shared" si="614"/>
        <v>0</v>
      </c>
      <c r="O145" s="128">
        <f t="shared" si="614"/>
        <v>0</v>
      </c>
      <c r="P145" s="128">
        <f t="shared" si="614"/>
        <v>0</v>
      </c>
      <c r="Q145" s="128">
        <f t="shared" si="614"/>
        <v>0</v>
      </c>
      <c r="R145" s="128">
        <f t="shared" si="614"/>
        <v>0</v>
      </c>
      <c r="S145" s="128">
        <f t="shared" si="614"/>
        <v>0</v>
      </c>
      <c r="T145" s="128">
        <f t="shared" si="614"/>
        <v>0.22227762906309748</v>
      </c>
      <c r="U145" s="128">
        <f t="shared" ref="U145" si="615">U144/U59</f>
        <v>0.21138459869063553</v>
      </c>
      <c r="V145" s="101" t="e">
        <f t="shared" si="590"/>
        <v>#DIV/0!</v>
      </c>
      <c r="W145" s="10"/>
      <c r="X145" s="128">
        <f t="shared" ref="X145:AG145" si="616">X144/X59</f>
        <v>0.18327044706478102</v>
      </c>
      <c r="Y145" s="128">
        <f t="shared" si="616"/>
        <v>0.15889547760516518</v>
      </c>
      <c r="Z145" s="128">
        <f t="shared" si="616"/>
        <v>0.13776237908367819</v>
      </c>
      <c r="AA145" s="128">
        <f t="shared" si="616"/>
        <v>0.11943998266554898</v>
      </c>
      <c r="AB145" s="128">
        <f t="shared" si="616"/>
        <v>0.10355446497103099</v>
      </c>
      <c r="AC145" s="128">
        <f t="shared" si="616"/>
        <v>8.9781721129883876E-2</v>
      </c>
      <c r="AD145" s="128">
        <f t="shared" si="616"/>
        <v>7.7840752219609316E-2</v>
      </c>
      <c r="AE145" s="128">
        <f t="shared" si="616"/>
        <v>6.7487932174401272E-2</v>
      </c>
      <c r="AF145" s="128">
        <f t="shared" si="616"/>
        <v>5.851203719520591E-2</v>
      </c>
      <c r="AG145" s="128">
        <f t="shared" si="616"/>
        <v>5.0729936248243533E-2</v>
      </c>
      <c r="AH145" s="115" t="e">
        <f t="shared" si="456"/>
        <v>#DIV/0!</v>
      </c>
      <c r="AI145" s="10"/>
      <c r="AJ145" s="10"/>
    </row>
    <row r="146" spans="2:36" x14ac:dyDescent="0.2">
      <c r="B146" s="10" t="s">
        <v>273</v>
      </c>
      <c r="C146" s="10"/>
      <c r="D146" s="10"/>
      <c r="E146" s="10"/>
      <c r="F146" s="128"/>
      <c r="G146" s="128">
        <f t="shared" ref="G146" si="617">1-G145</f>
        <v>1</v>
      </c>
      <c r="H146" s="128" t="e">
        <f t="shared" ref="H146:I146" si="618">1-H145</f>
        <v>#DIV/0!</v>
      </c>
      <c r="I146" s="128" t="e">
        <f t="shared" si="618"/>
        <v>#DIV/0!</v>
      </c>
      <c r="J146" s="128" t="e">
        <f>1-J145</f>
        <v>#DIV/0!</v>
      </c>
      <c r="K146" s="128">
        <f t="shared" ref="K146:S146" si="619">1-K145</f>
        <v>1</v>
      </c>
      <c r="L146" s="128">
        <f t="shared" si="619"/>
        <v>1</v>
      </c>
      <c r="M146" s="128">
        <f t="shared" si="619"/>
        <v>1</v>
      </c>
      <c r="N146" s="128">
        <f t="shared" si="619"/>
        <v>1</v>
      </c>
      <c r="O146" s="128">
        <f t="shared" si="619"/>
        <v>1</v>
      </c>
      <c r="P146" s="128">
        <f t="shared" si="619"/>
        <v>1</v>
      </c>
      <c r="Q146" s="128">
        <f t="shared" si="619"/>
        <v>1</v>
      </c>
      <c r="R146" s="128">
        <f t="shared" si="619"/>
        <v>1</v>
      </c>
      <c r="S146" s="128">
        <f t="shared" si="619"/>
        <v>1</v>
      </c>
      <c r="T146" s="128">
        <f t="shared" ref="T146:U146" si="620">1-T145</f>
        <v>0.77772237093690255</v>
      </c>
      <c r="U146" s="128">
        <f t="shared" si="620"/>
        <v>0.78861540130936447</v>
      </c>
      <c r="V146" s="101">
        <f t="shared" si="590"/>
        <v>-2.3467896169305669E-2</v>
      </c>
      <c r="W146" s="10"/>
      <c r="X146" s="128">
        <f t="shared" ref="X146:AG146" si="621">1-X145</f>
        <v>0.81672955293521898</v>
      </c>
      <c r="Y146" s="128">
        <f t="shared" si="621"/>
        <v>0.8411045223948348</v>
      </c>
      <c r="Z146" s="128">
        <f t="shared" si="621"/>
        <v>0.86223762091632183</v>
      </c>
      <c r="AA146" s="128">
        <f t="shared" si="621"/>
        <v>0.880560017334451</v>
      </c>
      <c r="AB146" s="128">
        <f t="shared" si="621"/>
        <v>0.89644553502896906</v>
      </c>
      <c r="AC146" s="128">
        <f t="shared" si="621"/>
        <v>0.91021827887011608</v>
      </c>
      <c r="AD146" s="128">
        <f t="shared" si="621"/>
        <v>0.92215924778039071</v>
      </c>
      <c r="AE146" s="128">
        <f t="shared" si="621"/>
        <v>0.9325120678255987</v>
      </c>
      <c r="AF146" s="128">
        <f t="shared" si="621"/>
        <v>0.94148796280479408</v>
      </c>
      <c r="AG146" s="128">
        <f t="shared" si="621"/>
        <v>0.94927006375175649</v>
      </c>
      <c r="AH146" s="115" t="e">
        <f t="shared" si="456"/>
        <v>#DIV/0!</v>
      </c>
      <c r="AI146" s="10"/>
      <c r="AJ146" s="10"/>
    </row>
    <row r="147" spans="2:36" x14ac:dyDescent="0.2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 x14ac:dyDescent="0.2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 t="e">
        <f t="shared" ref="H149:I149" si="628">H31/H25</f>
        <v>#DIV/0!</v>
      </c>
      <c r="I149" s="128" t="e">
        <f t="shared" si="628"/>
        <v>#DIV/0!</v>
      </c>
      <c r="J149" s="128" t="e">
        <f t="shared" ref="J149:T149" si="629">J31/J25</f>
        <v>#DIV/0!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 x14ac:dyDescent="0.2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 t="e">
        <f t="shared" ref="H150:I150" si="633">H32/H25</f>
        <v>#DIV/0!</v>
      </c>
      <c r="I150" s="128" t="e">
        <f t="shared" si="633"/>
        <v>#DIV/0!</v>
      </c>
      <c r="J150" s="128" t="e">
        <f t="shared" ref="J150:T150" si="634">J32/J25</f>
        <v>#DIV/0!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 x14ac:dyDescent="0.2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 t="e">
        <f t="shared" ref="H151:I151" si="638">(H31+H32)/H25</f>
        <v>#DIV/0!</v>
      </c>
      <c r="I151" s="128" t="e">
        <f t="shared" si="638"/>
        <v>#DIV/0!</v>
      </c>
      <c r="J151" s="128" t="e">
        <f t="shared" ref="J151:T151" si="639">(J31+J32)/J25</f>
        <v>#DIV/0!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 x14ac:dyDescent="0.2">
      <c r="B153" s="10" t="s">
        <v>296</v>
      </c>
      <c r="C153" s="10"/>
      <c r="D153" s="10"/>
      <c r="E153" s="10"/>
      <c r="F153" s="128"/>
      <c r="G153" s="128">
        <f t="shared" ref="G153" si="642">G27/G25</f>
        <v>0.10572687224669604</v>
      </c>
      <c r="H153" s="128" t="e">
        <f t="shared" ref="H153:I153" si="643">H27/H25</f>
        <v>#DIV/0!</v>
      </c>
      <c r="I153" s="128" t="e">
        <f t="shared" si="643"/>
        <v>#DIV/0!</v>
      </c>
      <c r="J153" s="128" t="e">
        <f t="shared" ref="J153:T153" si="644">J27/J25</f>
        <v>#DIV/0!</v>
      </c>
      <c r="K153" s="128">
        <f t="shared" si="644"/>
        <v>0.10572687224669604</v>
      </c>
      <c r="L153" s="128">
        <f t="shared" si="644"/>
        <v>6.8592057761732855E-2</v>
      </c>
      <c r="M153" s="128">
        <f t="shared" si="644"/>
        <v>6.9620253164556958E-2</v>
      </c>
      <c r="N153" s="128">
        <f t="shared" si="644"/>
        <v>9.6418732782369149E-2</v>
      </c>
      <c r="O153" s="128">
        <f t="shared" si="644"/>
        <v>8.8937093275488072E-2</v>
      </c>
      <c r="P153" s="128">
        <f t="shared" si="644"/>
        <v>0.1111111111111111</v>
      </c>
      <c r="Q153" s="128">
        <f t="shared" si="644"/>
        <v>0.12142857142857143</v>
      </c>
      <c r="R153" s="128">
        <f t="shared" si="644"/>
        <v>0.11824324324324324</v>
      </c>
      <c r="S153" s="128">
        <f t="shared" si="644"/>
        <v>0.11795252225519288</v>
      </c>
      <c r="T153" s="128">
        <f t="shared" si="644"/>
        <v>0.11287432812899924</v>
      </c>
      <c r="U153" s="128">
        <f t="shared" ref="U153" si="645">U27/U25</f>
        <v>8.7821916417737303E-2</v>
      </c>
      <c r="V153" s="101">
        <f t="shared" si="590"/>
        <v>-1.8383719929701448E-2</v>
      </c>
      <c r="W153" s="10"/>
      <c r="X153" s="128">
        <f t="shared" ref="X153:AG153" si="646">X27/X25</f>
        <v>8.7821916417737289E-2</v>
      </c>
      <c r="Y153" s="128">
        <f t="shared" si="646"/>
        <v>8.7821916417737289E-2</v>
      </c>
      <c r="Z153" s="128">
        <f t="shared" si="646"/>
        <v>8.7821916417737303E-2</v>
      </c>
      <c r="AA153" s="128">
        <f t="shared" si="646"/>
        <v>8.7821916417737303E-2</v>
      </c>
      <c r="AB153" s="128">
        <f t="shared" si="646"/>
        <v>8.7821916417737303E-2</v>
      </c>
      <c r="AC153" s="128">
        <f t="shared" si="646"/>
        <v>8.7821916417737303E-2</v>
      </c>
      <c r="AD153" s="128">
        <f t="shared" si="646"/>
        <v>8.7821916417737317E-2</v>
      </c>
      <c r="AE153" s="128">
        <f t="shared" si="646"/>
        <v>8.7821916417737303E-2</v>
      </c>
      <c r="AF153" s="128">
        <f t="shared" si="646"/>
        <v>8.7821916417737303E-2</v>
      </c>
      <c r="AG153" s="128">
        <f t="shared" si="646"/>
        <v>8.7821916417737303E-2</v>
      </c>
      <c r="AH153" s="115" t="e">
        <f t="shared" si="456"/>
        <v>#DIV/0!</v>
      </c>
      <c r="AI153" s="10"/>
      <c r="AJ153" s="10"/>
    </row>
    <row r="154" spans="2:36" x14ac:dyDescent="0.2">
      <c r="B154" s="10" t="str">
        <f>B33</f>
        <v>Top Expenses ( Employee Cost)</v>
      </c>
      <c r="C154" s="10"/>
      <c r="D154" s="10"/>
      <c r="E154" s="10"/>
      <c r="F154" s="128"/>
      <c r="G154" s="128">
        <f t="shared" ref="G154" si="647">G33/G25</f>
        <v>2.2026431718061675E-2</v>
      </c>
      <c r="H154" s="128" t="e">
        <f t="shared" ref="H154:I154" si="648">H33/H25</f>
        <v>#DIV/0!</v>
      </c>
      <c r="I154" s="128" t="e">
        <f t="shared" si="648"/>
        <v>#DIV/0!</v>
      </c>
      <c r="J154" s="128" t="e">
        <f t="shared" ref="J154:T154" si="649">J33/J25</f>
        <v>#DIV/0!</v>
      </c>
      <c r="K154" s="128">
        <f t="shared" si="649"/>
        <v>2.2026431718061675E-2</v>
      </c>
      <c r="L154" s="128">
        <f t="shared" si="649"/>
        <v>2.1660649819494584E-2</v>
      </c>
      <c r="M154" s="128">
        <f t="shared" si="649"/>
        <v>1.8987341772151899E-2</v>
      </c>
      <c r="N154" s="128">
        <f t="shared" si="649"/>
        <v>2.4793388429752067E-2</v>
      </c>
      <c r="O154" s="128">
        <f t="shared" si="649"/>
        <v>3.2537960954446853E-2</v>
      </c>
      <c r="P154" s="128">
        <f t="shared" si="649"/>
        <v>3.7537537537537538E-2</v>
      </c>
      <c r="Q154" s="128">
        <f t="shared" si="649"/>
        <v>3.5714285714285712E-2</v>
      </c>
      <c r="R154" s="128">
        <f t="shared" si="649"/>
        <v>3.7725225225225228E-2</v>
      </c>
      <c r="S154" s="128">
        <f t="shared" si="649"/>
        <v>2.7818991097922848E-2</v>
      </c>
      <c r="T154" s="128">
        <f t="shared" si="649"/>
        <v>2.5851036600972613E-2</v>
      </c>
      <c r="U154" s="128">
        <f t="shared" ref="U154" si="650">U33/U25</f>
        <v>2.4847017197877092E-2</v>
      </c>
      <c r="V154" s="101">
        <f t="shared" si="590"/>
        <v>1.2122341038098838E-2</v>
      </c>
      <c r="W154" s="10"/>
      <c r="X154" s="128">
        <f t="shared" ref="X154:AG154" si="651">X33/X25</f>
        <v>2.4847017197877092E-2</v>
      </c>
      <c r="Y154" s="128">
        <f t="shared" si="651"/>
        <v>2.4847017197877096E-2</v>
      </c>
      <c r="Z154" s="128">
        <f t="shared" si="651"/>
        <v>2.4847017197877099E-2</v>
      </c>
      <c r="AA154" s="128">
        <f t="shared" si="651"/>
        <v>2.4847017197877099E-2</v>
      </c>
      <c r="AB154" s="128">
        <f t="shared" si="651"/>
        <v>2.4847017197877099E-2</v>
      </c>
      <c r="AC154" s="128">
        <f t="shared" si="651"/>
        <v>2.4847017197877099E-2</v>
      </c>
      <c r="AD154" s="128">
        <f t="shared" si="651"/>
        <v>2.4847017197877099E-2</v>
      </c>
      <c r="AE154" s="128">
        <f t="shared" si="651"/>
        <v>2.4847017197877096E-2</v>
      </c>
      <c r="AF154" s="128">
        <f t="shared" si="651"/>
        <v>2.4847017197877096E-2</v>
      </c>
      <c r="AG154" s="128">
        <f t="shared" si="651"/>
        <v>2.4847017197877096E-2</v>
      </c>
      <c r="AH154" s="115" t="e">
        <f t="shared" si="456"/>
        <v>#DIV/0!</v>
      </c>
      <c r="AI154" s="10"/>
      <c r="AJ154" s="10"/>
    </row>
    <row r="155" spans="2:36" x14ac:dyDescent="0.2">
      <c r="B155" s="10" t="str">
        <f>B34</f>
        <v>2nd highest Expenses Comp. (Misc Cost)</v>
      </c>
      <c r="C155" s="10"/>
      <c r="D155" s="10"/>
      <c r="E155" s="10"/>
      <c r="F155" s="128"/>
      <c r="G155" s="128">
        <f t="shared" ref="G155" si="652">G34/G25</f>
        <v>3.0837004405286344E-2</v>
      </c>
      <c r="H155" s="128" t="e">
        <f t="shared" ref="H155:I155" si="653">H34/H25</f>
        <v>#DIV/0!</v>
      </c>
      <c r="I155" s="128" t="e">
        <f t="shared" si="653"/>
        <v>#DIV/0!</v>
      </c>
      <c r="J155" s="128" t="e">
        <f t="shared" ref="J155:T155" si="654">J34/J25</f>
        <v>#DIV/0!</v>
      </c>
      <c r="K155" s="128">
        <f t="shared" si="654"/>
        <v>3.0837004405286344E-2</v>
      </c>
      <c r="L155" s="128">
        <f t="shared" si="654"/>
        <v>2.5270758122743681E-2</v>
      </c>
      <c r="M155" s="128">
        <f t="shared" si="654"/>
        <v>2.8481012658227847E-2</v>
      </c>
      <c r="N155" s="128">
        <f t="shared" si="654"/>
        <v>3.8567493112947659E-2</v>
      </c>
      <c r="O155" s="128">
        <f t="shared" si="654"/>
        <v>3.2537960954446853E-2</v>
      </c>
      <c r="P155" s="128">
        <f t="shared" si="654"/>
        <v>4.8048048048048048E-2</v>
      </c>
      <c r="Q155" s="128">
        <f t="shared" si="654"/>
        <v>6.25E-2</v>
      </c>
      <c r="R155" s="128">
        <f t="shared" si="654"/>
        <v>5.5743243243243243E-2</v>
      </c>
      <c r="S155" s="128">
        <f t="shared" si="654"/>
        <v>6.045994065281899E-2</v>
      </c>
      <c r="T155" s="128">
        <f t="shared" si="654"/>
        <v>6.2196058356795494E-2</v>
      </c>
      <c r="U155" s="128">
        <f t="shared" ref="U155" si="655">U34/U25</f>
        <v>6.2974899219860214E-2</v>
      </c>
      <c r="V155" s="101">
        <f t="shared" si="590"/>
        <v>7.4012979421570924E-2</v>
      </c>
      <c r="W155" s="10"/>
      <c r="X155" s="128">
        <f t="shared" ref="X155:AG155" si="656">X34/X25</f>
        <v>6.2974899219860214E-2</v>
      </c>
      <c r="Y155" s="128">
        <f t="shared" si="656"/>
        <v>6.2974899219860214E-2</v>
      </c>
      <c r="Z155" s="128">
        <f t="shared" si="656"/>
        <v>6.2974899219860214E-2</v>
      </c>
      <c r="AA155" s="128">
        <f t="shared" si="656"/>
        <v>6.2974899219860214E-2</v>
      </c>
      <c r="AB155" s="128">
        <f t="shared" si="656"/>
        <v>6.2974899219860214E-2</v>
      </c>
      <c r="AC155" s="128">
        <f t="shared" si="656"/>
        <v>6.2974899219860214E-2</v>
      </c>
      <c r="AD155" s="128">
        <f t="shared" si="656"/>
        <v>6.2974899219860214E-2</v>
      </c>
      <c r="AE155" s="128">
        <f t="shared" si="656"/>
        <v>6.29748992198602E-2</v>
      </c>
      <c r="AF155" s="128">
        <f t="shared" si="656"/>
        <v>6.29748992198602E-2</v>
      </c>
      <c r="AG155" s="128">
        <f t="shared" si="656"/>
        <v>6.2974899219860186E-2</v>
      </c>
      <c r="AH155" s="115" t="e">
        <f t="shared" si="456"/>
        <v>#DIV/0!</v>
      </c>
      <c r="AI155" s="10"/>
      <c r="AJ155" s="10"/>
    </row>
    <row r="156" spans="2:36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 x14ac:dyDescent="0.2">
      <c r="B158" s="10" t="s">
        <v>307</v>
      </c>
      <c r="C158" s="10"/>
      <c r="D158" s="10"/>
      <c r="E158" s="10"/>
      <c r="F158" s="15"/>
      <c r="G158" s="15">
        <f t="shared" ref="G158" si="657">G15/G9</f>
        <v>0.45454545454545453</v>
      </c>
      <c r="H158" s="15" t="e">
        <f t="shared" ref="H158:I158" si="658">H15/H9</f>
        <v>#DIV/0!</v>
      </c>
      <c r="I158" s="15" t="e">
        <f t="shared" si="658"/>
        <v>#DIV/0!</v>
      </c>
      <c r="J158" s="15" t="e">
        <f t="shared" ref="J158:T158" si="659">J15/J9</f>
        <v>#DIV/0!</v>
      </c>
      <c r="K158" s="15">
        <f t="shared" si="659"/>
        <v>0.45454545454545453</v>
      </c>
      <c r="L158" s="15">
        <f t="shared" si="659"/>
        <v>0.4375</v>
      </c>
      <c r="M158" s="15">
        <f t="shared" si="659"/>
        <v>5.2238805970149252E-2</v>
      </c>
      <c r="N158" s="15">
        <f t="shared" si="659"/>
        <v>0.42948717948717946</v>
      </c>
      <c r="O158" s="15">
        <f t="shared" si="659"/>
        <v>9.1590341382181521E-3</v>
      </c>
      <c r="P158" s="15">
        <f t="shared" si="659"/>
        <v>8.8704088704088704E-2</v>
      </c>
      <c r="Q158" s="15">
        <f t="shared" si="659"/>
        <v>6.4971751412429377E-2</v>
      </c>
      <c r="R158" s="15">
        <f t="shared" si="659"/>
        <v>0.10596745027124774</v>
      </c>
      <c r="S158" s="15">
        <f t="shared" si="659"/>
        <v>0.11282984531392175</v>
      </c>
      <c r="T158" s="15">
        <f t="shared" si="659"/>
        <v>2.9724409448818899E-2</v>
      </c>
      <c r="U158" s="15">
        <f t="shared" ref="U158" si="660">U15/U9</f>
        <v>0.43886984700713544</v>
      </c>
      <c r="V158" s="101">
        <f t="shared" si="590"/>
        <v>-3.5033514503971519E-3</v>
      </c>
      <c r="W158" s="10"/>
      <c r="X158" s="10">
        <f t="shared" ref="X158:AG158" si="661">X15/X9</f>
        <v>0.43886984700713549</v>
      </c>
      <c r="Y158" s="10">
        <f t="shared" si="661"/>
        <v>0.43886984700713544</v>
      </c>
      <c r="Z158" s="10">
        <f t="shared" si="661"/>
        <v>0.43886984700713538</v>
      </c>
      <c r="AA158" s="10">
        <f t="shared" si="661"/>
        <v>0.43886984700713544</v>
      </c>
      <c r="AB158" s="10">
        <f t="shared" si="661"/>
        <v>0.43886984700713544</v>
      </c>
      <c r="AC158" s="10">
        <f t="shared" si="661"/>
        <v>0.43886984700713544</v>
      </c>
      <c r="AD158" s="10">
        <f t="shared" si="661"/>
        <v>0.43886984700713544</v>
      </c>
      <c r="AE158" s="10">
        <f t="shared" si="661"/>
        <v>0.43886984700713544</v>
      </c>
      <c r="AF158" s="10">
        <f t="shared" si="661"/>
        <v>0.43886984700713544</v>
      </c>
      <c r="AG158" s="10">
        <f t="shared" si="661"/>
        <v>0.43886984700713544</v>
      </c>
      <c r="AH158" s="115" t="e">
        <f t="shared" si="456"/>
        <v>#DIV/0!</v>
      </c>
      <c r="AI158" s="10"/>
      <c r="AJ158" s="10"/>
    </row>
    <row r="159" spans="2:36" x14ac:dyDescent="0.2">
      <c r="B159" s="10" t="s">
        <v>297</v>
      </c>
      <c r="C159" s="10"/>
      <c r="D159" s="10"/>
      <c r="E159" s="10"/>
      <c r="F159" s="15"/>
      <c r="G159" s="15">
        <f t="shared" ref="G159" si="662">G12/G9</f>
        <v>0.45454545454545453</v>
      </c>
      <c r="H159" s="15" t="e">
        <f t="shared" ref="H159:I159" si="663">H12/H9</f>
        <v>#DIV/0!</v>
      </c>
      <c r="I159" s="15" t="e">
        <f t="shared" si="663"/>
        <v>#DIV/0!</v>
      </c>
      <c r="J159" s="15" t="e">
        <f t="shared" ref="J159:T159" si="664">J12/J9</f>
        <v>#DIV/0!</v>
      </c>
      <c r="K159" s="15">
        <f t="shared" si="664"/>
        <v>0.45454545454545453</v>
      </c>
      <c r="L159" s="15">
        <f t="shared" si="664"/>
        <v>0.4375</v>
      </c>
      <c r="M159" s="15">
        <f t="shared" si="664"/>
        <v>5.2238805970149252E-2</v>
      </c>
      <c r="N159" s="15">
        <f t="shared" si="664"/>
        <v>0.42948717948717946</v>
      </c>
      <c r="O159" s="15">
        <f t="shared" si="664"/>
        <v>9.1590341382181521E-3</v>
      </c>
      <c r="P159" s="15">
        <f t="shared" si="664"/>
        <v>8.8704088704088704E-2</v>
      </c>
      <c r="Q159" s="15">
        <f t="shared" si="664"/>
        <v>6.5169491525423728E-2</v>
      </c>
      <c r="R159" s="15">
        <f t="shared" si="664"/>
        <v>0.10596745027124774</v>
      </c>
      <c r="S159" s="15">
        <f t="shared" si="664"/>
        <v>0.11282984531392175</v>
      </c>
      <c r="T159" s="15">
        <f t="shared" si="664"/>
        <v>2.9724409448818899E-2</v>
      </c>
      <c r="U159" s="15">
        <f t="shared" ref="U159" si="665">U12/U9</f>
        <v>0.43886984700713544</v>
      </c>
      <c r="V159" s="101">
        <f t="shared" si="590"/>
        <v>-3.5033514503971519E-3</v>
      </c>
      <c r="W159" s="109"/>
      <c r="X159" s="10">
        <f t="shared" ref="X159:AG159" si="666">X12/X9</f>
        <v>0.43886984700713549</v>
      </c>
      <c r="Y159" s="10">
        <f t="shared" si="666"/>
        <v>0.43886984700713544</v>
      </c>
      <c r="Z159" s="10">
        <f t="shared" si="666"/>
        <v>0.43886984700713538</v>
      </c>
      <c r="AA159" s="10">
        <f t="shared" si="666"/>
        <v>0.43886984700713544</v>
      </c>
      <c r="AB159" s="10">
        <f t="shared" si="666"/>
        <v>0.43886984700713544</v>
      </c>
      <c r="AC159" s="10">
        <f t="shared" si="666"/>
        <v>0.43886984700713544</v>
      </c>
      <c r="AD159" s="10">
        <f t="shared" si="666"/>
        <v>0.43886984700713544</v>
      </c>
      <c r="AE159" s="10">
        <f t="shared" si="666"/>
        <v>0.43886984700713544</v>
      </c>
      <c r="AF159" s="10">
        <f t="shared" si="666"/>
        <v>0.43886984700713544</v>
      </c>
      <c r="AG159" s="10">
        <f t="shared" si="666"/>
        <v>0.43886984700713544</v>
      </c>
      <c r="AH159" s="101">
        <f t="shared" ref="AH159" si="667">((AG159/X159)^(1/($K$2-$K$1) ))-1</f>
        <v>0</v>
      </c>
      <c r="AI159" s="10"/>
      <c r="AJ159" s="10"/>
    </row>
    <row r="160" spans="2:36" x14ac:dyDescent="0.2">
      <c r="B160" s="10" t="s">
        <v>299</v>
      </c>
      <c r="C160" s="10"/>
      <c r="D160" s="10"/>
      <c r="E160" s="10"/>
      <c r="F160" s="15"/>
      <c r="G160" s="15">
        <f t="shared" ref="G160" si="668">G25/360</f>
        <v>0.63055555555555554</v>
      </c>
      <c r="H160" s="15">
        <f t="shared" ref="H160:I160" si="669">H25/360</f>
        <v>0</v>
      </c>
      <c r="I160" s="15">
        <f t="shared" si="669"/>
        <v>0</v>
      </c>
      <c r="J160" s="15">
        <f t="shared" ref="J160:T160" si="670">J25/360</f>
        <v>0</v>
      </c>
      <c r="K160" s="15">
        <f t="shared" si="670"/>
        <v>0.63055555555555554</v>
      </c>
      <c r="L160" s="15">
        <f t="shared" si="670"/>
        <v>0.76944444444444449</v>
      </c>
      <c r="M160" s="15">
        <f t="shared" si="670"/>
        <v>0.87777777777777777</v>
      </c>
      <c r="N160" s="15">
        <f t="shared" si="670"/>
        <v>1.0083333333333333</v>
      </c>
      <c r="O160" s="15">
        <f t="shared" si="670"/>
        <v>1.2805555555555554</v>
      </c>
      <c r="P160" s="15">
        <f t="shared" si="670"/>
        <v>1.85</v>
      </c>
      <c r="Q160" s="15">
        <f t="shared" si="670"/>
        <v>3.1111111111111112</v>
      </c>
      <c r="R160" s="15">
        <f t="shared" si="670"/>
        <v>4.9333333333333336</v>
      </c>
      <c r="S160" s="15">
        <f t="shared" si="670"/>
        <v>7.4888888888888889</v>
      </c>
      <c r="T160" s="15">
        <f t="shared" si="670"/>
        <v>10.852777777777778</v>
      </c>
      <c r="U160" s="15">
        <f t="shared" ref="U160" si="671">U25/360</f>
        <v>15.324888888888889</v>
      </c>
      <c r="V160" s="101">
        <f t="shared" si="590"/>
        <v>0.37583830890698477</v>
      </c>
      <c r="W160" s="109"/>
      <c r="X160" s="15">
        <f t="shared" ref="X160:AG160" si="672">X25/360</f>
        <v>18.389866666666666</v>
      </c>
      <c r="Y160" s="15">
        <f t="shared" si="672"/>
        <v>22.067839999999997</v>
      </c>
      <c r="Z160" s="15">
        <f t="shared" si="672"/>
        <v>26.481407999999995</v>
      </c>
      <c r="AA160" s="15">
        <f t="shared" si="672"/>
        <v>31.777689599999995</v>
      </c>
      <c r="AB160" s="15">
        <f t="shared" si="672"/>
        <v>38.133227519999991</v>
      </c>
      <c r="AC160" s="15">
        <f t="shared" si="672"/>
        <v>45.759873023999987</v>
      </c>
      <c r="AD160" s="15">
        <f t="shared" si="672"/>
        <v>54.911847628799983</v>
      </c>
      <c r="AE160" s="15">
        <f t="shared" si="672"/>
        <v>65.894217154559982</v>
      </c>
      <c r="AF160" s="15">
        <f t="shared" si="672"/>
        <v>79.073060585471978</v>
      </c>
      <c r="AG160" s="15">
        <f t="shared" si="672"/>
        <v>94.887672702566363</v>
      </c>
      <c r="AH160" s="101">
        <f t="shared" ref="AH160:AH171" si="673">((AG160/X160)^(1/($K$2-$K$1) ))-1</f>
        <v>0.17831965347429524</v>
      </c>
      <c r="AI160" s="10"/>
      <c r="AJ160" s="10"/>
    </row>
    <row r="161" spans="2:36" x14ac:dyDescent="0.2">
      <c r="B161" s="10" t="s">
        <v>298</v>
      </c>
      <c r="C161" s="10"/>
      <c r="D161" s="10"/>
      <c r="E161" s="10"/>
      <c r="F161" s="15"/>
      <c r="G161" s="15">
        <f t="shared" ref="G161" si="674">G27/360</f>
        <v>6.6666666666666666E-2</v>
      </c>
      <c r="H161" s="15">
        <f t="shared" ref="H161:I161" si="675">H27/360</f>
        <v>0</v>
      </c>
      <c r="I161" s="15">
        <f t="shared" si="675"/>
        <v>0</v>
      </c>
      <c r="J161" s="15">
        <f t="shared" ref="J161:T161" si="676">J27/360</f>
        <v>0</v>
      </c>
      <c r="K161" s="15">
        <f t="shared" si="676"/>
        <v>6.6666666666666666E-2</v>
      </c>
      <c r="L161" s="15">
        <f t="shared" si="676"/>
        <v>5.2777777777777778E-2</v>
      </c>
      <c r="M161" s="15">
        <f t="shared" si="676"/>
        <v>6.1111111111111109E-2</v>
      </c>
      <c r="N161" s="15">
        <f t="shared" si="676"/>
        <v>9.7222222222222224E-2</v>
      </c>
      <c r="O161" s="15">
        <f t="shared" si="676"/>
        <v>0.11388888888888889</v>
      </c>
      <c r="P161" s="15">
        <f t="shared" si="676"/>
        <v>0.20555555555555555</v>
      </c>
      <c r="Q161" s="15">
        <f t="shared" si="676"/>
        <v>0.37777777777777777</v>
      </c>
      <c r="R161" s="15">
        <f t="shared" si="676"/>
        <v>0.58333333333333337</v>
      </c>
      <c r="S161" s="15">
        <f t="shared" si="676"/>
        <v>0.8833333333333333</v>
      </c>
      <c r="T161" s="15">
        <f t="shared" si="676"/>
        <v>1.2250000000000001</v>
      </c>
      <c r="U161" s="15">
        <f t="shared" ref="U161" si="677">U27/360</f>
        <v>1.3458611111111112</v>
      </c>
      <c r="V161" s="101">
        <f t="shared" si="590"/>
        <v>0.35054528276748464</v>
      </c>
      <c r="W161" s="109"/>
      <c r="X161" s="15">
        <f t="shared" ref="X161:AG161" si="678">X27/360</f>
        <v>1.6150333333333331</v>
      </c>
      <c r="Y161" s="15">
        <f t="shared" si="678"/>
        <v>1.9380399999999995</v>
      </c>
      <c r="Z161" s="15">
        <f t="shared" si="678"/>
        <v>2.3256479999999993</v>
      </c>
      <c r="AA161" s="15">
        <f t="shared" si="678"/>
        <v>2.7907775999999993</v>
      </c>
      <c r="AB161" s="15">
        <f t="shared" si="678"/>
        <v>3.3489331199999994</v>
      </c>
      <c r="AC161" s="15">
        <f t="shared" si="678"/>
        <v>4.0187197439999993</v>
      </c>
      <c r="AD161" s="15">
        <f t="shared" si="678"/>
        <v>4.8224636927999986</v>
      </c>
      <c r="AE161" s="15">
        <f t="shared" si="678"/>
        <v>5.7869564313599984</v>
      </c>
      <c r="AF161" s="15">
        <f t="shared" si="678"/>
        <v>6.9443477176319979</v>
      </c>
      <c r="AG161" s="15">
        <f t="shared" si="678"/>
        <v>8.3332172611583974</v>
      </c>
      <c r="AH161" s="101">
        <f t="shared" si="673"/>
        <v>0.17831965347429524</v>
      </c>
      <c r="AI161" s="10"/>
      <c r="AJ161" s="10"/>
    </row>
    <row r="162" spans="2:36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 x14ac:dyDescent="0.2">
      <c r="B163" s="10" t="s">
        <v>308</v>
      </c>
      <c r="C163" s="10"/>
      <c r="D163" s="10"/>
      <c r="E163" s="10"/>
      <c r="F163" s="15"/>
      <c r="G163" s="15">
        <f t="shared" ref="G163" si="679">G10/G7</f>
        <v>11.208333333333334</v>
      </c>
      <c r="H163" s="15" t="e">
        <f t="shared" ref="H163:I163" si="680">H10/H7</f>
        <v>#DIV/0!</v>
      </c>
      <c r="I163" s="15" t="e">
        <f t="shared" si="680"/>
        <v>#DIV/0!</v>
      </c>
      <c r="J163" s="15" t="e">
        <f t="shared" ref="J163:T163" si="681">J10/J7</f>
        <v>#DIV/0!</v>
      </c>
      <c r="K163" s="15">
        <f t="shared" si="681"/>
        <v>11.208333333333334</v>
      </c>
      <c r="L163" s="15">
        <f t="shared" si="681"/>
        <v>10.879069767441861</v>
      </c>
      <c r="M163" s="15">
        <f t="shared" si="681"/>
        <v>9.6897810218978098</v>
      </c>
      <c r="N163" s="15">
        <f t="shared" si="681"/>
        <v>9.4583333333333339</v>
      </c>
      <c r="O163" s="15">
        <f t="shared" si="681"/>
        <v>7</v>
      </c>
      <c r="P163" s="15">
        <f t="shared" si="681"/>
        <v>8.9563106796116507</v>
      </c>
      <c r="Q163" s="15">
        <f t="shared" si="681"/>
        <v>8.9892933618843678</v>
      </c>
      <c r="R163" s="15">
        <f t="shared" si="681"/>
        <v>9.2043010752688179</v>
      </c>
      <c r="S163" s="15">
        <f t="shared" si="681"/>
        <v>11.232634032634033</v>
      </c>
      <c r="T163" s="15">
        <f t="shared" si="681"/>
        <v>5.7434104357181281</v>
      </c>
      <c r="U163" s="15">
        <f t="shared" ref="U163" si="682">U10/U7</f>
        <v>8.0295517909647707</v>
      </c>
      <c r="V163" s="101">
        <f t="shared" si="590"/>
        <v>-3.2802809020744395E-2</v>
      </c>
      <c r="W163" s="109"/>
      <c r="X163" s="15">
        <f t="shared" ref="X163:AG163" si="683">X10/X7</f>
        <v>8.0295517909647725</v>
      </c>
      <c r="Y163" s="15">
        <f t="shared" si="683"/>
        <v>8.0295517909647725</v>
      </c>
      <c r="Z163" s="15">
        <f t="shared" si="683"/>
        <v>8.0295517909647725</v>
      </c>
      <c r="AA163" s="15">
        <f t="shared" si="683"/>
        <v>8.0295517909647725</v>
      </c>
      <c r="AB163" s="15">
        <f t="shared" si="683"/>
        <v>8.0295517909647725</v>
      </c>
      <c r="AC163" s="15">
        <f t="shared" si="683"/>
        <v>8.0295517909647742</v>
      </c>
      <c r="AD163" s="15">
        <f t="shared" si="683"/>
        <v>8.0295517909647742</v>
      </c>
      <c r="AE163" s="15">
        <f t="shared" si="683"/>
        <v>8.0295517909647742</v>
      </c>
      <c r="AF163" s="15">
        <f t="shared" si="683"/>
        <v>8.0295517909647742</v>
      </c>
      <c r="AG163" s="15">
        <f t="shared" si="683"/>
        <v>8.029551790964776</v>
      </c>
      <c r="AH163" s="101">
        <f t="shared" si="673"/>
        <v>0</v>
      </c>
      <c r="AI163" s="10"/>
      <c r="AJ163" s="10"/>
    </row>
    <row r="164" spans="2:36" x14ac:dyDescent="0.2">
      <c r="B164" s="10" t="s">
        <v>300</v>
      </c>
      <c r="C164" s="10"/>
      <c r="D164" s="10"/>
      <c r="E164" s="10"/>
      <c r="F164" s="15"/>
      <c r="G164" s="15">
        <f t="shared" ref="G164" si="684">G10/(G10+G7)</f>
        <v>0.91808873720136519</v>
      </c>
      <c r="H164" s="15" t="e">
        <f t="shared" ref="H164:I164" si="685">H10/(H10+H7)</f>
        <v>#DIV/0!</v>
      </c>
      <c r="I164" s="15" t="e">
        <f t="shared" si="685"/>
        <v>#DIV/0!</v>
      </c>
      <c r="J164" s="15" t="e">
        <f t="shared" ref="J164:T164" si="686">J10/(J10+J7)</f>
        <v>#DIV/0!</v>
      </c>
      <c r="K164" s="15">
        <f t="shared" si="686"/>
        <v>0.91808873720136519</v>
      </c>
      <c r="L164" s="15">
        <f t="shared" si="686"/>
        <v>0.91581832419733755</v>
      </c>
      <c r="M164" s="15">
        <f t="shared" si="686"/>
        <v>0.90645271423694096</v>
      </c>
      <c r="N164" s="15">
        <f t="shared" si="686"/>
        <v>0.90438247011952189</v>
      </c>
      <c r="O164" s="15">
        <f t="shared" si="686"/>
        <v>0.875</v>
      </c>
      <c r="P164" s="15">
        <f t="shared" si="686"/>
        <v>0.89956118966357879</v>
      </c>
      <c r="Q164" s="15">
        <f t="shared" si="686"/>
        <v>0.89989281886387995</v>
      </c>
      <c r="R164" s="15">
        <f t="shared" si="686"/>
        <v>0.90200210748155951</v>
      </c>
      <c r="S164" s="15">
        <f t="shared" si="686"/>
        <v>0.91825145775372541</v>
      </c>
      <c r="T164" s="15">
        <f t="shared" si="686"/>
        <v>0.85170708359923419</v>
      </c>
      <c r="U164" s="15">
        <f t="shared" ref="U164" si="687">U10/(U10+U7)</f>
        <v>0.88925253178118668</v>
      </c>
      <c r="V164" s="101">
        <f t="shared" si="590"/>
        <v>-3.1861924456519919E-3</v>
      </c>
      <c r="W164" s="109"/>
      <c r="X164" s="15">
        <f t="shared" ref="X164:AG164" si="688">X10/(X10+X7)</f>
        <v>0.88925253178118668</v>
      </c>
      <c r="Y164" s="15">
        <f t="shared" si="688"/>
        <v>0.88925253178118668</v>
      </c>
      <c r="Z164" s="15">
        <f t="shared" si="688"/>
        <v>0.88925253178118668</v>
      </c>
      <c r="AA164" s="15">
        <f t="shared" si="688"/>
        <v>0.88925253178118668</v>
      </c>
      <c r="AB164" s="15">
        <f t="shared" si="688"/>
        <v>0.88925253178118657</v>
      </c>
      <c r="AC164" s="15">
        <f t="shared" si="688"/>
        <v>0.88925253178118668</v>
      </c>
      <c r="AD164" s="15">
        <f t="shared" si="688"/>
        <v>0.88925253178118668</v>
      </c>
      <c r="AE164" s="15">
        <f t="shared" si="688"/>
        <v>0.88925253178118679</v>
      </c>
      <c r="AF164" s="15">
        <f t="shared" si="688"/>
        <v>0.88925253178118668</v>
      </c>
      <c r="AG164" s="15">
        <f t="shared" si="688"/>
        <v>0.88925253178118668</v>
      </c>
      <c r="AH164" s="101">
        <f t="shared" si="673"/>
        <v>0</v>
      </c>
      <c r="AI164" s="10"/>
      <c r="AJ164" s="10"/>
    </row>
    <row r="165" spans="2:36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 x14ac:dyDescent="0.2">
      <c r="B166" s="10" t="s">
        <v>305</v>
      </c>
      <c r="C166" s="10"/>
      <c r="D166" s="10"/>
      <c r="E166" s="10"/>
      <c r="F166" s="15"/>
      <c r="G166" s="15">
        <f t="shared" ref="G166" si="689">G16</f>
        <v>1913.83</v>
      </c>
      <c r="H166" s="15">
        <f t="shared" ref="H166:I166" si="690">H16</f>
        <v>0</v>
      </c>
      <c r="I166" s="15">
        <f t="shared" si="690"/>
        <v>0</v>
      </c>
      <c r="J166" s="15">
        <f t="shared" ref="J166:T166" si="691">J16</f>
        <v>0</v>
      </c>
      <c r="K166" s="15">
        <f t="shared" si="691"/>
        <v>1913.83</v>
      </c>
      <c r="L166" s="15">
        <f t="shared" si="691"/>
        <v>2185</v>
      </c>
      <c r="M166" s="15">
        <f t="shared" si="691"/>
        <v>2498</v>
      </c>
      <c r="N166" s="15">
        <f t="shared" si="691"/>
        <v>3202</v>
      </c>
      <c r="O166" s="15">
        <f t="shared" si="691"/>
        <v>2809</v>
      </c>
      <c r="P166" s="15">
        <f t="shared" si="691"/>
        <v>5358</v>
      </c>
      <c r="Q166" s="15">
        <f t="shared" si="691"/>
        <v>8656</v>
      </c>
      <c r="R166" s="15">
        <f t="shared" si="691"/>
        <v>14490</v>
      </c>
      <c r="S166" s="15">
        <f t="shared" si="691"/>
        <v>24556</v>
      </c>
      <c r="T166" s="15">
        <f t="shared" si="691"/>
        <v>34268</v>
      </c>
      <c r="U166" s="15">
        <f t="shared" ref="U166" si="692">U16</f>
        <v>54470.48</v>
      </c>
      <c r="V166" s="101">
        <f t="shared" si="590"/>
        <v>0.39773803872747981</v>
      </c>
      <c r="W166" s="109"/>
      <c r="X166" s="15">
        <f t="shared" ref="X166:AG166" si="693">X16</f>
        <v>65364.576000000001</v>
      </c>
      <c r="Y166" s="15">
        <f t="shared" si="693"/>
        <v>78437.491200000004</v>
      </c>
      <c r="Z166" s="15">
        <f t="shared" si="693"/>
        <v>94124.989440000005</v>
      </c>
      <c r="AA166" s="15">
        <f t="shared" si="693"/>
        <v>112949.987328</v>
      </c>
      <c r="AB166" s="15">
        <f t="shared" si="693"/>
        <v>135539.98479359999</v>
      </c>
      <c r="AC166" s="15">
        <f t="shared" si="693"/>
        <v>162647.98175231999</v>
      </c>
      <c r="AD166" s="15">
        <f t="shared" si="693"/>
        <v>195177.57810278397</v>
      </c>
      <c r="AE166" s="15">
        <f t="shared" si="693"/>
        <v>234213.09372334075</v>
      </c>
      <c r="AF166" s="15">
        <f t="shared" si="693"/>
        <v>281055.71246800886</v>
      </c>
      <c r="AG166" s="15">
        <f t="shared" si="693"/>
        <v>337266.85496161063</v>
      </c>
      <c r="AH166" s="101">
        <f t="shared" si="673"/>
        <v>0.17831965347429524</v>
      </c>
      <c r="AI166" s="10"/>
      <c r="AJ166" s="10"/>
    </row>
    <row r="167" spans="2:36" x14ac:dyDescent="0.2">
      <c r="B167" s="10" t="s">
        <v>306</v>
      </c>
      <c r="C167" s="10"/>
      <c r="D167" s="10"/>
      <c r="E167" s="10"/>
      <c r="F167" s="102"/>
      <c r="G167" s="102">
        <f t="shared" ref="G167" si="694">G166*365/G25</f>
        <v>3077.3037444933921</v>
      </c>
      <c r="H167" s="102" t="e">
        <f t="shared" ref="H167:I167" si="695">H166*365/H25</f>
        <v>#DIV/0!</v>
      </c>
      <c r="I167" s="102" t="e">
        <f t="shared" si="695"/>
        <v>#DIV/0!</v>
      </c>
      <c r="J167" s="102" t="e">
        <f t="shared" ref="J167:T167" si="696">J166*365/J25</f>
        <v>#DIV/0!</v>
      </c>
      <c r="K167" s="102">
        <f t="shared" si="696"/>
        <v>3077.3037444933921</v>
      </c>
      <c r="L167" s="102">
        <f t="shared" si="696"/>
        <v>2879.1516245487364</v>
      </c>
      <c r="M167" s="102">
        <f t="shared" si="696"/>
        <v>2885.3481012658226</v>
      </c>
      <c r="N167" s="102">
        <f t="shared" si="696"/>
        <v>3219.6418732782367</v>
      </c>
      <c r="O167" s="102">
        <f t="shared" si="696"/>
        <v>2224.0455531453363</v>
      </c>
      <c r="P167" s="102">
        <f t="shared" si="696"/>
        <v>2936.4414414414414</v>
      </c>
      <c r="Q167" s="102">
        <f t="shared" si="696"/>
        <v>2820.9285714285716</v>
      </c>
      <c r="R167" s="102">
        <f t="shared" si="696"/>
        <v>2977.9560810810813</v>
      </c>
      <c r="S167" s="102">
        <f t="shared" si="696"/>
        <v>3324.5326409495551</v>
      </c>
      <c r="T167" s="102">
        <f t="shared" si="696"/>
        <v>3201.3872536472995</v>
      </c>
      <c r="U167" s="102">
        <f t="shared" ref="U167" si="697">U166*365/U25</f>
        <v>3603.7464835706628</v>
      </c>
      <c r="V167" s="101">
        <f t="shared" si="590"/>
        <v>1.591737174253649E-2</v>
      </c>
      <c r="W167" s="109"/>
      <c r="X167" s="102">
        <f t="shared" ref="X167:AG167" si="698">X166*365/X25</f>
        <v>3603.7464835706623</v>
      </c>
      <c r="Y167" s="102">
        <f t="shared" si="698"/>
        <v>3603.7464835706628</v>
      </c>
      <c r="Z167" s="102">
        <f t="shared" si="698"/>
        <v>3603.7464835706628</v>
      </c>
      <c r="AA167" s="102">
        <f t="shared" si="698"/>
        <v>3603.7464835706628</v>
      </c>
      <c r="AB167" s="102">
        <f t="shared" si="698"/>
        <v>3603.7464835706628</v>
      </c>
      <c r="AC167" s="102">
        <f t="shared" si="698"/>
        <v>3603.7464835706623</v>
      </c>
      <c r="AD167" s="102">
        <f t="shared" si="698"/>
        <v>3603.7464835706623</v>
      </c>
      <c r="AE167" s="102">
        <f t="shared" si="698"/>
        <v>3603.7464835706628</v>
      </c>
      <c r="AF167" s="102">
        <f t="shared" si="698"/>
        <v>3603.7464835706619</v>
      </c>
      <c r="AG167" s="102">
        <f t="shared" si="698"/>
        <v>3603.7464835706619</v>
      </c>
      <c r="AH167" s="101">
        <f t="shared" si="673"/>
        <v>0</v>
      </c>
      <c r="AI167" s="10"/>
      <c r="AJ167" s="10"/>
    </row>
    <row r="168" spans="2:36" x14ac:dyDescent="0.2">
      <c r="B168" s="10" t="s">
        <v>309</v>
      </c>
      <c r="C168" s="10"/>
      <c r="D168" s="10"/>
      <c r="E168" s="10"/>
      <c r="F168" s="111"/>
      <c r="G168" s="111">
        <f t="shared" ref="G168" si="699">G102/G29</f>
        <v>0.45977011494252878</v>
      </c>
      <c r="H168" s="111" t="e">
        <f t="shared" ref="H168:I168" si="700">H102/H29</f>
        <v>#DIV/0!</v>
      </c>
      <c r="I168" s="111" t="e">
        <f t="shared" si="700"/>
        <v>#DIV/0!</v>
      </c>
      <c r="J168" s="111" t="e">
        <f t="shared" ref="J168:T168" si="701">J102/J29</f>
        <v>#DIV/0!</v>
      </c>
      <c r="K168" s="111">
        <f t="shared" si="701"/>
        <v>0.45977011494252878</v>
      </c>
      <c r="L168" s="111">
        <f t="shared" si="701"/>
        <v>0.47145488029465926</v>
      </c>
      <c r="M168" s="111">
        <f t="shared" si="701"/>
        <v>0.47571189279731996</v>
      </c>
      <c r="N168" s="111">
        <f t="shared" si="701"/>
        <v>0.47016011644832606</v>
      </c>
      <c r="O168" s="111">
        <f t="shared" si="701"/>
        <v>0.44585987261146498</v>
      </c>
      <c r="P168" s="111">
        <f t="shared" si="701"/>
        <v>0.25639913232104122</v>
      </c>
      <c r="Q168" s="111">
        <f t="shared" si="701"/>
        <v>0.24544319600499376</v>
      </c>
      <c r="R168" s="111">
        <f t="shared" si="701"/>
        <v>0.40971911333118655</v>
      </c>
      <c r="S168" s="111">
        <f t="shared" si="701"/>
        <v>0.36175993622802133</v>
      </c>
      <c r="T168" s="111">
        <f t="shared" si="701"/>
        <v>0.25462228334332432</v>
      </c>
      <c r="U168" s="111">
        <f t="shared" ref="U168" si="702">U102/U29</f>
        <v>8.5594090748729937E-2</v>
      </c>
      <c r="V168" s="101">
        <f t="shared" si="590"/>
        <v>-0.15474002540323417</v>
      </c>
      <c r="W168" s="109"/>
      <c r="X168" s="111">
        <f t="shared" ref="X168:AG168" si="703">X102/X29</f>
        <v>8.3915775243852866E-2</v>
      </c>
      <c r="Y168" s="111">
        <f t="shared" si="703"/>
        <v>8.227036788613025E-2</v>
      </c>
      <c r="Z168" s="111">
        <f t="shared" si="703"/>
        <v>8.0657223417774759E-2</v>
      </c>
      <c r="AA168" s="111">
        <f t="shared" si="703"/>
        <v>7.9075709233112523E-2</v>
      </c>
      <c r="AB168" s="111">
        <f t="shared" si="703"/>
        <v>7.752520513050247E-2</v>
      </c>
      <c r="AC168" s="111">
        <f t="shared" si="703"/>
        <v>7.6005103069120075E-2</v>
      </c>
      <c r="AD168" s="111">
        <f t="shared" si="703"/>
        <v>7.451480693050988E-2</v>
      </c>
      <c r="AE168" s="111">
        <f t="shared" si="703"/>
        <v>7.3053732284813613E-2</v>
      </c>
      <c r="AF168" s="111">
        <f t="shared" si="703"/>
        <v>7.1621306161581966E-2</v>
      </c>
      <c r="AG168" s="111">
        <f t="shared" si="703"/>
        <v>7.0216966825080371E-2</v>
      </c>
      <c r="AH168" s="101">
        <f t="shared" si="673"/>
        <v>-1.7664485544367392E-2</v>
      </c>
      <c r="AI168" s="10"/>
      <c r="AJ168" s="10"/>
    </row>
    <row r="169" spans="2:36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 x14ac:dyDescent="0.2">
      <c r="B170" s="10" t="s">
        <v>316</v>
      </c>
      <c r="C170" s="10"/>
      <c r="D170" s="10"/>
      <c r="E170" s="10"/>
      <c r="F170" s="155"/>
      <c r="G170" s="155" t="e">
        <f t="shared" ref="G170" si="704">G25/G14</f>
        <v>#DIV/0!</v>
      </c>
      <c r="H170" s="155" t="e">
        <f t="shared" ref="H170:I170" si="705">H25/H14</f>
        <v>#DIV/0!</v>
      </c>
      <c r="I170" s="155" t="e">
        <f t="shared" si="705"/>
        <v>#DIV/0!</v>
      </c>
      <c r="J170" s="155" t="e">
        <f t="shared" ref="J170:T170" si="706">J25/J14</f>
        <v>#DIV/0!</v>
      </c>
      <c r="K170" s="155" t="e">
        <f t="shared" si="706"/>
        <v>#DIV/0!</v>
      </c>
      <c r="L170" s="155" t="e">
        <f t="shared" si="706"/>
        <v>#DIV/0!</v>
      </c>
      <c r="M170" s="155" t="e">
        <f t="shared" si="706"/>
        <v>#DIV/0!</v>
      </c>
      <c r="N170" s="155" t="e">
        <f t="shared" si="706"/>
        <v>#DIV/0!</v>
      </c>
      <c r="O170" s="155" t="e">
        <f t="shared" si="706"/>
        <v>#DIV/0!</v>
      </c>
      <c r="P170" s="155" t="e">
        <f t="shared" si="706"/>
        <v>#DIV/0!</v>
      </c>
      <c r="Q170" s="155" t="e">
        <f t="shared" si="706"/>
        <v>#DIV/0!</v>
      </c>
      <c r="R170" s="155" t="e">
        <f t="shared" si="706"/>
        <v>#DIV/0!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 x14ac:dyDescent="0.2">
      <c r="B171" s="10" t="s">
        <v>317</v>
      </c>
      <c r="C171" s="10"/>
      <c r="D171" s="10"/>
      <c r="E171" s="10"/>
      <c r="F171" s="155"/>
      <c r="G171" s="155" t="e">
        <f t="shared" ref="G171" si="709">G27/G14</f>
        <v>#DIV/0!</v>
      </c>
      <c r="H171" s="155" t="e">
        <f t="shared" ref="H171:I171" si="710">H27/H14</f>
        <v>#DIV/0!</v>
      </c>
      <c r="I171" s="155" t="e">
        <f t="shared" si="710"/>
        <v>#DIV/0!</v>
      </c>
      <c r="J171" s="155" t="e">
        <f t="shared" ref="J171:T171" si="711">J27/J14</f>
        <v>#DIV/0!</v>
      </c>
      <c r="K171" s="155" t="e">
        <f t="shared" si="711"/>
        <v>#DIV/0!</v>
      </c>
      <c r="L171" s="155" t="e">
        <f t="shared" si="711"/>
        <v>#DIV/0!</v>
      </c>
      <c r="M171" s="155" t="e">
        <f t="shared" si="711"/>
        <v>#DIV/0!</v>
      </c>
      <c r="N171" s="155" t="e">
        <f t="shared" si="711"/>
        <v>#DIV/0!</v>
      </c>
      <c r="O171" s="155" t="e">
        <f t="shared" si="711"/>
        <v>#DIV/0!</v>
      </c>
      <c r="P171" s="155" t="e">
        <f t="shared" si="711"/>
        <v>#DIV/0!</v>
      </c>
      <c r="Q171" s="155" t="e">
        <f t="shared" si="711"/>
        <v>#DIV/0!</v>
      </c>
      <c r="R171" s="155" t="e">
        <f t="shared" si="711"/>
        <v>#DIV/0!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499</v>
      </c>
      <c r="T173" s="13" t="s">
        <v>410</v>
      </c>
      <c r="U173" s="13" t="s">
        <v>410</v>
      </c>
      <c r="V173" s="13" t="s">
        <v>500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6.9197769197769201</v>
      </c>
      <c r="T174" s="111">
        <f>AVERAGE(Q106:U106)</f>
        <v>24.064984984984985</v>
      </c>
      <c r="U174" s="111">
        <f>AVERAGE(Q76:U76)</f>
        <v>29.666258358265758</v>
      </c>
      <c r="V174" s="111">
        <f>AVERAGE(L76:U76)</f>
        <v>25.559795845799549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1475.4833191096272</v>
      </c>
      <c r="X175" s="111">
        <f>PV($C$1, ($AG$3-$X$3), 0, -AG76)</f>
        <v>107.30787775342745</v>
      </c>
      <c r="Y175" s="111">
        <f>PV($C$1, ($AG$3-$X$3), 0, -AJ76)</f>
        <v>1368.1754413561998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11217.273830769484</v>
      </c>
      <c r="X176" s="111">
        <f>PV($C$1, ($AG$3-$X$3), 0, -AG78)</f>
        <v>815.80173314687158</v>
      </c>
      <c r="Y176" s="111">
        <f>PV($C$1, ($AG$3-$X$3), 0, -AJ78)</f>
        <v>10401.472097622613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10920.917666591971</v>
      </c>
      <c r="X177" s="111">
        <f>PV($C$1, ($AG$3-$X$3), 0, -AG79)</f>
        <v>794.24855757032515</v>
      </c>
      <c r="Y177" s="111">
        <f>PV($C$1, ($AG$3-$X$3), 0, -AJ79)</f>
        <v>10126.669109021646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90069.681177597435</v>
      </c>
      <c r="X178" s="111">
        <f>PV($C$1, ($AG$3-$X$3), 0, -AG80)</f>
        <v>6550.5222674616307</v>
      </c>
      <c r="Y178" s="111">
        <f>PV($C$1, ($AG$3-$X$3), 0, -AJ80)</f>
        <v>83519.158910135797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5011.1925659197295</v>
      </c>
      <c r="X179" s="111">
        <f>PV($C$1, ($AG$3-$X$3), 0, -AG86)</f>
        <v>364.45036843052577</v>
      </c>
      <c r="Y179" s="111">
        <f>PV($C$1, ($AG$3-$X$3), 0, -AJ86)</f>
        <v>4646.742197489204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-78852.407346827938</v>
      </c>
      <c r="X181" s="111">
        <f>PV($C$1, ($AG$3-$X$3), 0, -AG82)</f>
        <v>-5734.720534314758</v>
      </c>
      <c r="Y181" s="111">
        <f>PV($C$1, ($AG$3-$X$3), 0, -$AJ$82)</f>
        <v>-73117.686812513173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-90270.809864324779</v>
      </c>
      <c r="X182" s="111">
        <f>PV($C$1, ($AG$3-$X$3), 0, -AG83)</f>
        <v>-6565.1498083145289</v>
      </c>
      <c r="Y182" s="111">
        <f>PV($C$1, ($AG$3-$X$3), 0, -$AJ$83)</f>
        <v>-83705.660056010252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-85259.61729840505</v>
      </c>
      <c r="X183" s="111">
        <f>PV($C$1, ($AG$3-$X$3), 0, -AG84)</f>
        <v>-6200.6994398840034</v>
      </c>
      <c r="Y183" s="111">
        <f>PV($C$1, ($AG$3-$X$3), 0, -$AJ$84)</f>
        <v>-79058.917858521047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5011.1925659197295</v>
      </c>
      <c r="X185" s="111">
        <f>PV($C$1, ($AG$3-$X$3), 0, -AG89)</f>
        <v>364.45036843052577</v>
      </c>
      <c r="Y185" s="111">
        <f>PV($C$1, ($AG$3-$X$3), 0, -AJ89)</f>
        <v>4646.742197489204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77520.439467953911</v>
      </c>
      <c r="X186" s="111">
        <f>PV($C$1, ($AG$3-$X$3), 0, -AG90)</f>
        <v>7047.3126789049029</v>
      </c>
      <c r="Y186" s="111">
        <f>PV($C$1, ($AG$3-$X$3), 0, -AJ90)</f>
        <v>70473.126789049013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101708.45265999973</v>
      </c>
      <c r="X188" s="111">
        <f>PV($C$1, ($AG$3-$X$3), 0, -AG12)</f>
        <v>7396.978375272708</v>
      </c>
      <c r="Y188" s="111">
        <f>PV($C$1, ($AG$3-$X$3), 0, -AJ12)</f>
        <v>94311.474284727024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8014.8504854215707</v>
      </c>
      <c r="X189" s="117">
        <f>X188/S61</f>
        <v>582.89821712156879</v>
      </c>
      <c r="Y189" s="117">
        <f>Y188/S61</f>
        <v>7431.9522683000023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133.47552018012675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74.15291084985968</v>
      </c>
      <c r="Y192" s="111">
        <f>PV($C$1, ($AG$3-$X$3), 0, -AJ92)</f>
        <v>59.322609330267078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 x14ac:dyDescent="0.2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 x14ac:dyDescent="0.2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1292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 x14ac:dyDescent="0.2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890</v>
      </c>
      <c r="V204" s="10">
        <v>550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200</v>
      </c>
      <c r="T205" s="12">
        <v>1190</v>
      </c>
      <c r="U205" s="12">
        <v>400</v>
      </c>
      <c r="V205" s="101" t="e">
        <f t="shared" ref="V205:V236" si="719">((U205/G205)^(1/($K$2-$K$1) ))-1</f>
        <v>#DIV/0!</v>
      </c>
      <c r="W205" s="21">
        <v>0</v>
      </c>
      <c r="X205" s="172">
        <v>550</v>
      </c>
      <c r="Y205" s="102">
        <f t="shared" ref="Y205:AG205" si="720">X205*(1+$W205)</f>
        <v>550</v>
      </c>
      <c r="Z205" s="102">
        <f t="shared" si="720"/>
        <v>550</v>
      </c>
      <c r="AA205" s="102">
        <f t="shared" si="720"/>
        <v>550</v>
      </c>
      <c r="AB205" s="102">
        <f t="shared" si="720"/>
        <v>550</v>
      </c>
      <c r="AC205" s="102">
        <f t="shared" si="720"/>
        <v>550</v>
      </c>
      <c r="AD205" s="102">
        <f t="shared" si="720"/>
        <v>550</v>
      </c>
      <c r="AE205" s="102">
        <f t="shared" si="720"/>
        <v>550</v>
      </c>
      <c r="AF205" s="102">
        <f t="shared" si="720"/>
        <v>550</v>
      </c>
      <c r="AG205" s="102">
        <f t="shared" si="720"/>
        <v>550</v>
      </c>
      <c r="AH205" s="115" t="e">
        <f t="shared" ref="AH205:AH212" si="721">((AG205/J205)^(1/($AG$3-$K$1) ))-1</f>
        <v>#DIV/0!</v>
      </c>
      <c r="AI205" s="21">
        <f t="shared" ref="AI205:AI212" si="722">$O$1</f>
        <v>0.02</v>
      </c>
      <c r="AJ205" s="108" t="e">
        <f t="shared" ref="AJ205:AJ216" si="723">(AG205*(1+AH205))/($C$1-AI205)</f>
        <v>#DIV/0!</v>
      </c>
    </row>
    <row r="206" spans="2:36" x14ac:dyDescent="0.2">
      <c r="B206" s="10" t="s">
        <v>303</v>
      </c>
      <c r="C206" s="15"/>
      <c r="D206" s="15"/>
      <c r="E206" s="15"/>
      <c r="F206" s="15"/>
      <c r="G206" s="15">
        <f t="shared" ref="G206" si="724">G205/G70</f>
        <v>0</v>
      </c>
      <c r="H206" s="15" t="e">
        <f t="shared" ref="H206:I206" si="725">H205/H70</f>
        <v>#DIV/0!</v>
      </c>
      <c r="I206" s="15" t="e">
        <f t="shared" si="725"/>
        <v>#DIV/0!</v>
      </c>
      <c r="J206" s="15" t="e">
        <f t="shared" ref="J206:T206" si="726">J205/J70</f>
        <v>#DIV/0!</v>
      </c>
      <c r="K206" s="15">
        <f t="shared" si="726"/>
        <v>0</v>
      </c>
      <c r="L206" s="15">
        <f t="shared" si="726"/>
        <v>0</v>
      </c>
      <c r="M206" s="15">
        <f t="shared" si="726"/>
        <v>0</v>
      </c>
      <c r="N206" s="15">
        <f t="shared" si="726"/>
        <v>0</v>
      </c>
      <c r="O206" s="15">
        <f t="shared" si="726"/>
        <v>0</v>
      </c>
      <c r="P206" s="15">
        <f t="shared" si="726"/>
        <v>0</v>
      </c>
      <c r="Q206" s="15">
        <f t="shared" si="726"/>
        <v>0</v>
      </c>
      <c r="R206" s="15">
        <f t="shared" si="726"/>
        <v>0</v>
      </c>
      <c r="S206" s="15">
        <f t="shared" si="726"/>
        <v>0.94139465875370909</v>
      </c>
      <c r="T206" s="15">
        <f t="shared" si="726"/>
        <v>5.0438699769644222</v>
      </c>
      <c r="U206" s="15">
        <f t="shared" ref="U206" si="727">U205/U70</f>
        <v>1.2071865665148922</v>
      </c>
      <c r="V206" s="101" t="e">
        <f t="shared" si="719"/>
        <v>#DIV/0!</v>
      </c>
      <c r="W206" s="109"/>
      <c r="X206" s="15">
        <f t="shared" ref="X206:AG206" si="728">X205/X70</f>
        <v>1.4108992996142804</v>
      </c>
      <c r="Y206" s="15">
        <f t="shared" si="728"/>
        <v>1.1992644046721386</v>
      </c>
      <c r="Z206" s="15">
        <f t="shared" si="728"/>
        <v>1.0193747439713179</v>
      </c>
      <c r="AA206" s="15">
        <f t="shared" si="728"/>
        <v>0.86646853237562005</v>
      </c>
      <c r="AB206" s="15">
        <f t="shared" si="728"/>
        <v>0.73649825251927714</v>
      </c>
      <c r="AC206" s="15">
        <f t="shared" si="728"/>
        <v>0.62602351464138561</v>
      </c>
      <c r="AD206" s="15">
        <f t="shared" si="728"/>
        <v>0.53211998744517774</v>
      </c>
      <c r="AE206" s="15">
        <f t="shared" si="728"/>
        <v>0.45230198932840115</v>
      </c>
      <c r="AF206" s="15">
        <f t="shared" si="728"/>
        <v>0.38445669092914103</v>
      </c>
      <c r="AG206" s="15">
        <f t="shared" si="728"/>
        <v>0.32678818728976983</v>
      </c>
      <c r="AH206" s="115" t="e">
        <f t="shared" ref="AH206" si="729">((AG206/J206)^(1/($AG$3-$K$1) ))-1</f>
        <v>#DIV/0!</v>
      </c>
      <c r="AI206" s="21">
        <f t="shared" si="722"/>
        <v>0.02</v>
      </c>
      <c r="AJ206" s="108" t="e">
        <f t="shared" ref="AJ206" si="730">(AG206*(1+AH206))/($C$1-AI206)</f>
        <v>#DIV/0!</v>
      </c>
    </row>
    <row r="207" spans="2:36" x14ac:dyDescent="0.2">
      <c r="B207" s="10" t="s">
        <v>331</v>
      </c>
      <c r="C207" s="15"/>
      <c r="D207" s="15"/>
      <c r="E207" s="15"/>
      <c r="F207" s="15"/>
      <c r="G207" s="15">
        <f t="shared" ref="G207" si="731">G205/G76</f>
        <v>0</v>
      </c>
      <c r="H207" s="15" t="e">
        <f t="shared" ref="H207:I207" si="732">H205/H76</f>
        <v>#DIV/0!</v>
      </c>
      <c r="I207" s="15" t="e">
        <f t="shared" si="732"/>
        <v>#DIV/0!</v>
      </c>
      <c r="J207" s="15" t="e">
        <f t="shared" ref="J207:T207" si="733">J205/J76</f>
        <v>#DIV/0!</v>
      </c>
      <c r="K207" s="15">
        <f t="shared" si="733"/>
        <v>0</v>
      </c>
      <c r="L207" s="15">
        <f t="shared" si="733"/>
        <v>0</v>
      </c>
      <c r="M207" s="15">
        <f t="shared" si="733"/>
        <v>0</v>
      </c>
      <c r="N207" s="15">
        <f t="shared" si="733"/>
        <v>0</v>
      </c>
      <c r="O207" s="15">
        <f t="shared" si="733"/>
        <v>0</v>
      </c>
      <c r="P207" s="15">
        <f t="shared" si="733"/>
        <v>0</v>
      </c>
      <c r="Q207" s="15">
        <f t="shared" si="733"/>
        <v>0</v>
      </c>
      <c r="R207" s="15">
        <f t="shared" si="733"/>
        <v>0</v>
      </c>
      <c r="S207" s="15">
        <f t="shared" si="733"/>
        <v>7.7852760736196309</v>
      </c>
      <c r="T207" s="15">
        <f t="shared" si="733"/>
        <v>37.679541108986612</v>
      </c>
      <c r="U207" s="15">
        <f t="shared" ref="U207" si="734">U205/U76</f>
        <v>8.0298043187325927</v>
      </c>
      <c r="V207" s="101" t="e">
        <f t="shared" si="719"/>
        <v>#DIV/0!</v>
      </c>
      <c r="W207" s="109"/>
      <c r="X207" s="102">
        <f t="shared" ref="X207:AG207" si="735">X205/X76</f>
        <v>9.3848337975187182</v>
      </c>
      <c r="Y207" s="102">
        <f t="shared" si="735"/>
        <v>7.9771087278909132</v>
      </c>
      <c r="Z207" s="102">
        <f t="shared" si="735"/>
        <v>6.7805424187072765</v>
      </c>
      <c r="AA207" s="102">
        <f t="shared" si="735"/>
        <v>5.7634610559011845</v>
      </c>
      <c r="AB207" s="102">
        <f t="shared" si="735"/>
        <v>4.8989418975160071</v>
      </c>
      <c r="AC207" s="102">
        <f t="shared" si="735"/>
        <v>4.164100612888606</v>
      </c>
      <c r="AD207" s="102">
        <f t="shared" si="735"/>
        <v>3.5394855209553153</v>
      </c>
      <c r="AE207" s="102">
        <f t="shared" si="735"/>
        <v>3.0085626928120175</v>
      </c>
      <c r="AF207" s="102">
        <f t="shared" si="735"/>
        <v>2.5572782888902155</v>
      </c>
      <c r="AG207" s="102">
        <f t="shared" si="735"/>
        <v>2.1736865455566834</v>
      </c>
      <c r="AH207" s="115" t="e">
        <f t="shared" si="721"/>
        <v>#DIV/0!</v>
      </c>
      <c r="AI207" s="21">
        <f t="shared" si="722"/>
        <v>0.02</v>
      </c>
      <c r="AJ207" s="108" t="e">
        <f t="shared" si="723"/>
        <v>#DIV/0!</v>
      </c>
    </row>
    <row r="208" spans="2:36" x14ac:dyDescent="0.2">
      <c r="B208" s="10" t="s">
        <v>404</v>
      </c>
      <c r="C208" s="15"/>
      <c r="D208" s="15"/>
      <c r="E208" s="15"/>
      <c r="F208" s="15"/>
      <c r="G208" s="15">
        <f t="shared" ref="G208" si="736">G205/G74</f>
        <v>0</v>
      </c>
      <c r="H208" s="15" t="e">
        <f t="shared" ref="H208:I208" si="737">H205/H74</f>
        <v>#DIV/0!</v>
      </c>
      <c r="I208" s="15" t="e">
        <f t="shared" si="737"/>
        <v>#DIV/0!</v>
      </c>
      <c r="J208" s="15" t="e">
        <f t="shared" ref="J208:T208" si="738">J205/J74</f>
        <v>#DIV/0!</v>
      </c>
      <c r="K208" s="15">
        <f t="shared" si="738"/>
        <v>0</v>
      </c>
      <c r="L208" s="15">
        <f t="shared" si="738"/>
        <v>0</v>
      </c>
      <c r="M208" s="15">
        <f t="shared" si="738"/>
        <v>0</v>
      </c>
      <c r="N208" s="15">
        <f t="shared" si="738"/>
        <v>0</v>
      </c>
      <c r="O208" s="15">
        <f t="shared" si="738"/>
        <v>0</v>
      </c>
      <c r="P208" s="15">
        <f t="shared" si="738"/>
        <v>0</v>
      </c>
      <c r="Q208" s="15">
        <f t="shared" si="738"/>
        <v>0</v>
      </c>
      <c r="R208" s="15">
        <f t="shared" si="738"/>
        <v>0</v>
      </c>
      <c r="S208" s="15">
        <f t="shared" si="738"/>
        <v>1.0672834314550042</v>
      </c>
      <c r="T208" s="15">
        <f t="shared" si="738"/>
        <v>5.6856318522792835</v>
      </c>
      <c r="U208" s="15">
        <f t="shared" ref="U208" si="739">U205/U74</f>
        <v>1.3235583448763784</v>
      </c>
      <c r="V208" s="101" t="e">
        <f t="shared" si="719"/>
        <v>#DIV/0!</v>
      </c>
      <c r="W208" s="109"/>
      <c r="X208" s="15">
        <f t="shared" ref="X208:AG208" si="740">X205/X74</f>
        <v>1.5469088155742674</v>
      </c>
      <c r="Y208" s="15">
        <f t="shared" si="740"/>
        <v>1.3148724932381275</v>
      </c>
      <c r="Z208" s="15">
        <f t="shared" si="740"/>
        <v>1.1176416192524083</v>
      </c>
      <c r="AA208" s="15">
        <f t="shared" si="740"/>
        <v>0.94999537636454701</v>
      </c>
      <c r="AB208" s="15">
        <f t="shared" si="740"/>
        <v>0.807496069909865</v>
      </c>
      <c r="AC208" s="15">
        <f t="shared" si="740"/>
        <v>0.68637165942338529</v>
      </c>
      <c r="AD208" s="15">
        <f t="shared" si="740"/>
        <v>0.58341591050987751</v>
      </c>
      <c r="AE208" s="15">
        <f t="shared" si="740"/>
        <v>0.49590352393339587</v>
      </c>
      <c r="AF208" s="15">
        <f t="shared" si="740"/>
        <v>0.42151799534338652</v>
      </c>
      <c r="AG208" s="15">
        <f t="shared" si="740"/>
        <v>0.35829029604187851</v>
      </c>
      <c r="AH208" s="115" t="e">
        <f t="shared" ref="AH208:AH209" si="741">((AG208/J208)^(1/($AG$3-$K$1) ))-1</f>
        <v>#DIV/0!</v>
      </c>
      <c r="AI208" s="21">
        <f t="shared" si="722"/>
        <v>0.02</v>
      </c>
      <c r="AJ208" s="108" t="e">
        <f t="shared" ref="AJ208:AJ209" si="742">(AG208*(1+AH208))/($C$1-AI208)</f>
        <v>#DIV/0!</v>
      </c>
    </row>
    <row r="209" spans="2:36" x14ac:dyDescent="0.2">
      <c r="B209" s="10" t="s">
        <v>405</v>
      </c>
      <c r="C209" s="15"/>
      <c r="D209" s="15"/>
      <c r="E209" s="15"/>
      <c r="F209" s="15"/>
      <c r="G209" s="15">
        <f t="shared" ref="G209" si="743">G205/G75</f>
        <v>0</v>
      </c>
      <c r="H209" s="15" t="e">
        <f t="shared" ref="H209:I209" si="744">H205/H75</f>
        <v>#DIV/0!</v>
      </c>
      <c r="I209" s="15" t="e">
        <f t="shared" si="744"/>
        <v>#DIV/0!</v>
      </c>
      <c r="J209" s="15" t="e">
        <f t="shared" ref="J209:T209" si="745">J205/J75</f>
        <v>#DIV/0!</v>
      </c>
      <c r="K209" s="15">
        <f t="shared" si="745"/>
        <v>0</v>
      </c>
      <c r="L209" s="15">
        <f t="shared" si="745"/>
        <v>0</v>
      </c>
      <c r="M209" s="15">
        <f t="shared" si="745"/>
        <v>0</v>
      </c>
      <c r="N209" s="15">
        <f t="shared" si="745"/>
        <v>0</v>
      </c>
      <c r="O209" s="15">
        <f t="shared" si="745"/>
        <v>0</v>
      </c>
      <c r="P209" s="15">
        <f t="shared" si="745"/>
        <v>0</v>
      </c>
      <c r="Q209" s="15">
        <f t="shared" si="745"/>
        <v>0</v>
      </c>
      <c r="R209" s="15">
        <f t="shared" si="745"/>
        <v>0</v>
      </c>
      <c r="S209" s="15">
        <f t="shared" si="745"/>
        <v>5.0457256461232598</v>
      </c>
      <c r="T209" s="15">
        <f t="shared" si="745"/>
        <v>24.510447761194026</v>
      </c>
      <c r="U209" s="15">
        <f t="shared" ref="U209" si="746">U205/U75</f>
        <v>4.5075531972494449</v>
      </c>
      <c r="V209" s="101" t="e">
        <f t="shared" si="719"/>
        <v>#DIV/0!</v>
      </c>
      <c r="W209" s="109"/>
      <c r="X209" s="15">
        <f t="shared" ref="X209:AG210" si="747">X205/X75</f>
        <v>5.2682027992852891</v>
      </c>
      <c r="Y209" s="15">
        <f t="shared" si="747"/>
        <v>4.4779723793924964</v>
      </c>
      <c r="Z209" s="15">
        <f t="shared" si="747"/>
        <v>3.8062765224836221</v>
      </c>
      <c r="AA209" s="15">
        <f t="shared" si="747"/>
        <v>3.2353350441110784</v>
      </c>
      <c r="AB209" s="15">
        <f t="shared" si="747"/>
        <v>2.7500347874944167</v>
      </c>
      <c r="AC209" s="15">
        <f t="shared" si="747"/>
        <v>2.337529569370254</v>
      </c>
      <c r="AD209" s="15">
        <f t="shared" si="747"/>
        <v>1.9869001339647159</v>
      </c>
      <c r="AE209" s="15">
        <f t="shared" si="747"/>
        <v>1.6888651138700086</v>
      </c>
      <c r="AF209" s="15">
        <f t="shared" si="747"/>
        <v>1.4355353467895076</v>
      </c>
      <c r="AG209" s="15">
        <f t="shared" si="747"/>
        <v>1.2202050447710813</v>
      </c>
      <c r="AH209" s="115" t="e">
        <f t="shared" si="741"/>
        <v>#DIV/0!</v>
      </c>
      <c r="AI209" s="21">
        <f t="shared" si="722"/>
        <v>0.02</v>
      </c>
      <c r="AJ209" s="108" t="e">
        <f t="shared" si="742"/>
        <v>#DIV/0!</v>
      </c>
    </row>
    <row r="210" spans="2:36" x14ac:dyDescent="0.2">
      <c r="B210" s="10" t="s">
        <v>215</v>
      </c>
      <c r="C210" s="15"/>
      <c r="D210" s="15"/>
      <c r="E210" s="15"/>
      <c r="F210" s="15"/>
      <c r="G210" s="15">
        <f t="shared" ref="G210" si="748">G205/G79</f>
        <v>0</v>
      </c>
      <c r="H210" s="15" t="e">
        <f t="shared" ref="H210:I210" si="749">H205/H79</f>
        <v>#DIV/0!</v>
      </c>
      <c r="I210" s="15" t="e">
        <f t="shared" si="749"/>
        <v>#DIV/0!</v>
      </c>
      <c r="J210" s="15" t="e">
        <f t="shared" ref="J210:T210" si="750">J205/J79</f>
        <v>#DIV/0!</v>
      </c>
      <c r="K210" s="15">
        <f t="shared" si="750"/>
        <v>0</v>
      </c>
      <c r="L210" s="15">
        <f t="shared" si="750"/>
        <v>0</v>
      </c>
      <c r="M210" s="15">
        <f t="shared" si="750"/>
        <v>0</v>
      </c>
      <c r="N210" s="15">
        <f t="shared" si="750"/>
        <v>0</v>
      </c>
      <c r="O210" s="15">
        <f t="shared" si="750"/>
        <v>0</v>
      </c>
      <c r="P210" s="15">
        <f t="shared" si="750"/>
        <v>0</v>
      </c>
      <c r="Q210" s="15">
        <f t="shared" si="750"/>
        <v>0</v>
      </c>
      <c r="R210" s="15">
        <f t="shared" si="750"/>
        <v>0</v>
      </c>
      <c r="S210" s="15">
        <f t="shared" si="750"/>
        <v>1.2576808721506443</v>
      </c>
      <c r="T210" s="15">
        <f t="shared" si="750"/>
        <v>3.6419146183699871</v>
      </c>
      <c r="U210" s="15">
        <f t="shared" ref="U210" si="751">U205/U79</f>
        <v>1.084876078156688</v>
      </c>
      <c r="V210" s="101" t="e">
        <f t="shared" si="719"/>
        <v>#DIV/0!</v>
      </c>
      <c r="W210" s="109"/>
      <c r="X210" s="15">
        <f t="shared" si="747"/>
        <v>2.4074646239846523E-2</v>
      </c>
      <c r="Y210" s="102">
        <f t="shared" ref="Y210:AG210" si="752">Y205/Y79</f>
        <v>1.0777565788937848</v>
      </c>
      <c r="Z210" s="102">
        <f t="shared" si="752"/>
        <v>0.91609309205971734</v>
      </c>
      <c r="AA210" s="102">
        <f t="shared" si="752"/>
        <v>0.77867912825075969</v>
      </c>
      <c r="AB210" s="102">
        <f t="shared" si="752"/>
        <v>0.66187725901314565</v>
      </c>
      <c r="AC210" s="102">
        <f t="shared" si="752"/>
        <v>0.56259567016117384</v>
      </c>
      <c r="AD210" s="102">
        <f t="shared" si="752"/>
        <v>0.47820631963699778</v>
      </c>
      <c r="AE210" s="102">
        <f t="shared" si="752"/>
        <v>0.40647537169144821</v>
      </c>
      <c r="AF210" s="102">
        <f t="shared" si="752"/>
        <v>0.34550406593773098</v>
      </c>
      <c r="AG210" s="102">
        <f t="shared" si="752"/>
        <v>0.29367845604707138</v>
      </c>
      <c r="AH210" s="115" t="e">
        <f t="shared" si="721"/>
        <v>#DIV/0!</v>
      </c>
      <c r="AI210" s="21">
        <f t="shared" si="722"/>
        <v>0.02</v>
      </c>
      <c r="AJ210" s="108" t="e">
        <f t="shared" si="723"/>
        <v>#DIV/0!</v>
      </c>
    </row>
    <row r="211" spans="2:36" x14ac:dyDescent="0.2">
      <c r="B211" s="10" t="s">
        <v>216</v>
      </c>
      <c r="C211" s="15"/>
      <c r="D211" s="15"/>
      <c r="E211" s="15"/>
      <c r="F211" s="15"/>
      <c r="G211" s="15">
        <f t="shared" ref="G211" si="753">G205/G88</f>
        <v>0</v>
      </c>
      <c r="H211" s="15" t="e">
        <f t="shared" ref="H211:I211" si="754">H205/H88</f>
        <v>#DIV/0!</v>
      </c>
      <c r="I211" s="15" t="e">
        <f t="shared" si="754"/>
        <v>#DIV/0!</v>
      </c>
      <c r="J211" s="15" t="e">
        <f t="shared" ref="J211:T211" si="755">J205/J88</f>
        <v>#DIV/0!</v>
      </c>
      <c r="K211" s="15">
        <f t="shared" si="755"/>
        <v>0</v>
      </c>
      <c r="L211" s="15">
        <f t="shared" si="755"/>
        <v>0</v>
      </c>
      <c r="M211" s="15">
        <f t="shared" si="755"/>
        <v>0</v>
      </c>
      <c r="N211" s="15">
        <f t="shared" si="755"/>
        <v>0</v>
      </c>
      <c r="O211" s="15">
        <f t="shared" si="755"/>
        <v>0</v>
      </c>
      <c r="P211" s="15">
        <f t="shared" si="755"/>
        <v>0</v>
      </c>
      <c r="Q211" s="15">
        <f t="shared" si="755"/>
        <v>0</v>
      </c>
      <c r="R211" s="15">
        <f t="shared" si="755"/>
        <v>0</v>
      </c>
      <c r="S211" s="15">
        <f t="shared" si="755"/>
        <v>1.3572192513368984</v>
      </c>
      <c r="T211" s="15">
        <f t="shared" si="755"/>
        <v>5.7453061224489783</v>
      </c>
      <c r="U211" s="15">
        <f t="shared" ref="U211" si="756">U205/U88</f>
        <v>1.2815480176414897</v>
      </c>
      <c r="V211" s="101" t="e">
        <f t="shared" si="719"/>
        <v>#DIV/0!</v>
      </c>
      <c r="W211" s="109"/>
      <c r="X211" s="102">
        <f t="shared" ref="X211:AG211" si="757">X205/X88</f>
        <v>1.4978092456184913</v>
      </c>
      <c r="Y211" s="102">
        <f t="shared" si="757"/>
        <v>1.2731378587757178</v>
      </c>
      <c r="Z211" s="102">
        <f t="shared" si="757"/>
        <v>1.0821671799593602</v>
      </c>
      <c r="AA211" s="102">
        <f t="shared" si="757"/>
        <v>0.91984210296545632</v>
      </c>
      <c r="AB211" s="102">
        <f t="shared" si="757"/>
        <v>0.78186578752063773</v>
      </c>
      <c r="AC211" s="102">
        <f t="shared" si="757"/>
        <v>0.66458591939254219</v>
      </c>
      <c r="AD211" s="102">
        <f t="shared" si="757"/>
        <v>0.56489803148366091</v>
      </c>
      <c r="AE211" s="102">
        <f t="shared" si="757"/>
        <v>0.48016332676111179</v>
      </c>
      <c r="AF211" s="102">
        <f t="shared" si="757"/>
        <v>0.4081388277469451</v>
      </c>
      <c r="AG211" s="102">
        <f t="shared" si="757"/>
        <v>0.34691800358490327</v>
      </c>
      <c r="AH211" s="115" t="e">
        <f t="shared" si="721"/>
        <v>#DIV/0!</v>
      </c>
      <c r="AI211" s="21">
        <f t="shared" si="722"/>
        <v>0.02</v>
      </c>
      <c r="AJ211" s="108" t="e">
        <f t="shared" si="723"/>
        <v>#DIV/0!</v>
      </c>
    </row>
    <row r="212" spans="2:36" x14ac:dyDescent="0.2">
      <c r="B212" s="10" t="s">
        <v>217</v>
      </c>
      <c r="C212" s="15"/>
      <c r="D212" s="15"/>
      <c r="E212" s="15"/>
      <c r="F212" s="15"/>
      <c r="G212" s="15">
        <f t="shared" ref="G212" si="758">G205/G90</f>
        <v>0</v>
      </c>
      <c r="H212" s="15" t="e">
        <f t="shared" ref="H212:I212" si="759">H205/H90</f>
        <v>#DIV/0!</v>
      </c>
      <c r="I212" s="15" t="e">
        <f t="shared" si="759"/>
        <v>#DIV/0!</v>
      </c>
      <c r="J212" s="15" t="e">
        <f t="shared" ref="J212:T212" si="760">J205/J90</f>
        <v>#DIV/0!</v>
      </c>
      <c r="K212" s="15">
        <f t="shared" si="760"/>
        <v>0</v>
      </c>
      <c r="L212" s="15">
        <f t="shared" si="760"/>
        <v>0</v>
      </c>
      <c r="M212" s="15">
        <f t="shared" si="760"/>
        <v>0</v>
      </c>
      <c r="N212" s="15">
        <f t="shared" si="760"/>
        <v>0</v>
      </c>
      <c r="O212" s="15">
        <f t="shared" si="760"/>
        <v>0</v>
      </c>
      <c r="P212" s="15">
        <f t="shared" si="760"/>
        <v>0</v>
      </c>
      <c r="Q212" s="15">
        <f t="shared" si="760"/>
        <v>0</v>
      </c>
      <c r="R212" s="15">
        <f t="shared" si="760"/>
        <v>0</v>
      </c>
      <c r="S212" s="15">
        <f t="shared" si="760"/>
        <v>0.10335559537383938</v>
      </c>
      <c r="T212" s="15">
        <f t="shared" si="760"/>
        <v>0.57506711801097232</v>
      </c>
      <c r="U212" s="15">
        <f t="shared" ref="U212" si="761">U205/U90</f>
        <v>0.12226806152616976</v>
      </c>
      <c r="V212" s="101" t="e">
        <f t="shared" si="719"/>
        <v>#DIV/0!</v>
      </c>
      <c r="W212" s="109"/>
      <c r="X212" s="102">
        <f t="shared" ref="X212:AG212" si="762">X205/X90</f>
        <v>0.14290079690871094</v>
      </c>
      <c r="Y212" s="102">
        <f t="shared" si="762"/>
        <v>0.1214656773724043</v>
      </c>
      <c r="Z212" s="102">
        <f t="shared" si="762"/>
        <v>0.10324582576654365</v>
      </c>
      <c r="AA212" s="102">
        <f t="shared" si="762"/>
        <v>8.7758951901562104E-2</v>
      </c>
      <c r="AB212" s="102">
        <f t="shared" si="762"/>
        <v>7.4595109116327787E-2</v>
      </c>
      <c r="AC212" s="102">
        <f t="shared" si="762"/>
        <v>6.3405842748878616E-2</v>
      </c>
      <c r="AD212" s="102">
        <f t="shared" si="762"/>
        <v>5.3894966336546835E-2</v>
      </c>
      <c r="AE212" s="102">
        <f t="shared" si="762"/>
        <v>4.5810721386064811E-2</v>
      </c>
      <c r="AF212" s="102">
        <f t="shared" si="762"/>
        <v>3.8939113178155099E-2</v>
      </c>
      <c r="AG212" s="102">
        <f t="shared" si="762"/>
        <v>3.3098246201431827E-2</v>
      </c>
      <c r="AH212" s="115" t="e">
        <f t="shared" si="721"/>
        <v>#DIV/0!</v>
      </c>
      <c r="AI212" s="21">
        <f t="shared" si="722"/>
        <v>0.02</v>
      </c>
      <c r="AJ212" s="108" t="e">
        <f t="shared" si="723"/>
        <v>#DIV/0!</v>
      </c>
    </row>
    <row r="213" spans="2:36" x14ac:dyDescent="0.2">
      <c r="B213" s="10" t="s">
        <v>231</v>
      </c>
      <c r="C213" s="15"/>
      <c r="D213" s="15"/>
      <c r="E213" s="15"/>
      <c r="F213" s="15"/>
      <c r="G213" s="157">
        <f t="shared" ref="G213" si="763">G205/G84</f>
        <v>0</v>
      </c>
      <c r="H213" s="157" t="e">
        <f t="shared" ref="H213:I213" si="764">H205/H84</f>
        <v>#DIV/0!</v>
      </c>
      <c r="I213" s="157" t="e">
        <f t="shared" si="764"/>
        <v>#DIV/0!</v>
      </c>
      <c r="J213" s="157" t="e">
        <f t="shared" ref="J213:T213" si="765">J205/J84</f>
        <v>#DIV/0!</v>
      </c>
      <c r="K213" s="157">
        <f t="shared" si="765"/>
        <v>0</v>
      </c>
      <c r="L213" s="157">
        <f t="shared" si="765"/>
        <v>0</v>
      </c>
      <c r="M213" s="157">
        <f t="shared" si="765"/>
        <v>0</v>
      </c>
      <c r="N213" s="157">
        <f t="shared" si="765"/>
        <v>0</v>
      </c>
      <c r="O213" s="157">
        <f t="shared" si="765"/>
        <v>0</v>
      </c>
      <c r="P213" s="157">
        <f t="shared" si="765"/>
        <v>0</v>
      </c>
      <c r="Q213" s="157">
        <f t="shared" si="765"/>
        <v>0</v>
      </c>
      <c r="R213" s="157">
        <f t="shared" si="765"/>
        <v>0</v>
      </c>
      <c r="S213" s="157">
        <f t="shared" si="765"/>
        <v>-0.10619691200468639</v>
      </c>
      <c r="T213" s="157">
        <f t="shared" si="765"/>
        <v>-0.62793232004588473</v>
      </c>
      <c r="U213" s="157">
        <f t="shared" ref="U213" si="766">U205/U84</f>
        <v>-0.13896194591793024</v>
      </c>
      <c r="V213" s="101" t="e">
        <f t="shared" si="719"/>
        <v>#DIV/0!</v>
      </c>
      <c r="W213" s="109"/>
      <c r="X213" s="112">
        <f t="shared" ref="X213:AG213" si="767">X205/X84</f>
        <v>-0.16241177429158096</v>
      </c>
      <c r="Y213" s="112">
        <f t="shared" si="767"/>
        <v>-0.13805000814784382</v>
      </c>
      <c r="Z213" s="112">
        <f t="shared" si="767"/>
        <v>-0.11734250692566725</v>
      </c>
      <c r="AA213" s="112">
        <f t="shared" si="767"/>
        <v>-9.9741130886817173E-2</v>
      </c>
      <c r="AB213" s="112">
        <f t="shared" si="767"/>
        <v>-8.4779961253794611E-2</v>
      </c>
      <c r="AC213" s="112">
        <f t="shared" si="767"/>
        <v>-7.2062967065725403E-2</v>
      </c>
      <c r="AD213" s="112">
        <f t="shared" si="767"/>
        <v>-6.125352200586659E-2</v>
      </c>
      <c r="AE213" s="112">
        <f t="shared" si="767"/>
        <v>-5.2065493704986601E-2</v>
      </c>
      <c r="AF213" s="112">
        <f t="shared" si="767"/>
        <v>-4.4255669649238619E-2</v>
      </c>
      <c r="AG213" s="112">
        <f t="shared" si="767"/>
        <v>-3.7617319201852822E-2</v>
      </c>
      <c r="AH213" s="115" t="e">
        <f t="shared" ref="AH213" si="768">((AG213/J213)^(1/($AG$3-$K$1) ))-1</f>
        <v>#DIV/0!</v>
      </c>
      <c r="AI213" s="21">
        <f t="shared" ref="AI213:AI216" si="769">$O$1</f>
        <v>0.02</v>
      </c>
      <c r="AJ213" s="108" t="e">
        <f t="shared" si="723"/>
        <v>#DIV/0!</v>
      </c>
    </row>
    <row r="214" spans="2:36" x14ac:dyDescent="0.2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0.02</v>
      </c>
      <c r="AJ214" s="108"/>
    </row>
    <row r="215" spans="2:36" x14ac:dyDescent="0.2">
      <c r="B215" s="10" t="s">
        <v>264</v>
      </c>
      <c r="C215" s="128"/>
      <c r="D215" s="128"/>
      <c r="E215" s="128"/>
      <c r="F215" s="128"/>
      <c r="G215" s="128" t="e">
        <f t="shared" ref="G215" si="770">G63/G205</f>
        <v>#DIV/0!</v>
      </c>
      <c r="H215" s="128" t="e">
        <f t="shared" ref="H215:I215" si="771">H63/H205</f>
        <v>#DIV/0!</v>
      </c>
      <c r="I215" s="128" t="e">
        <f t="shared" si="771"/>
        <v>#DIV/0!</v>
      </c>
      <c r="J215" s="128" t="e">
        <f t="shared" ref="J215:T215" si="772">J63/J205</f>
        <v>#DIV/0!</v>
      </c>
      <c r="K215" s="128" t="e">
        <f t="shared" si="772"/>
        <v>#DIV/0!</v>
      </c>
      <c r="L215" s="128" t="e">
        <f t="shared" si="772"/>
        <v>#DIV/0!</v>
      </c>
      <c r="M215" s="128" t="e">
        <f t="shared" si="772"/>
        <v>#DIV/0!</v>
      </c>
      <c r="N215" s="128" t="e">
        <f t="shared" si="772"/>
        <v>#DIV/0!</v>
      </c>
      <c r="O215" s="128" t="e">
        <f t="shared" si="772"/>
        <v>#DIV/0!</v>
      </c>
      <c r="P215" s="128" t="e">
        <f t="shared" si="772"/>
        <v>#DIV/0!</v>
      </c>
      <c r="Q215" s="128" t="e">
        <f t="shared" si="772"/>
        <v>#DIV/0!</v>
      </c>
      <c r="R215" s="128" t="e">
        <f t="shared" si="772"/>
        <v>#DIV/0!</v>
      </c>
      <c r="S215" s="128">
        <f t="shared" si="772"/>
        <v>0</v>
      </c>
      <c r="T215" s="128">
        <f t="shared" si="772"/>
        <v>5.0420168067226894E-3</v>
      </c>
      <c r="U215" s="128">
        <f t="shared" ref="U215" si="773">U63/U205</f>
        <v>2.2499999999999999E-2</v>
      </c>
      <c r="V215" s="101" t="e">
        <f t="shared" si="719"/>
        <v>#DIV/0!</v>
      </c>
      <c r="W215" s="109"/>
      <c r="X215" s="128">
        <f t="shared" ref="X215:AG215" si="774">X63/X205</f>
        <v>1.669090909090909E-2</v>
      </c>
      <c r="Y215" s="128">
        <f t="shared" si="774"/>
        <v>1.7024727272727271E-2</v>
      </c>
      <c r="Z215" s="128">
        <f t="shared" si="774"/>
        <v>1.7365221818181818E-2</v>
      </c>
      <c r="AA215" s="128">
        <f t="shared" si="774"/>
        <v>1.7712526254545453E-2</v>
      </c>
      <c r="AB215" s="128">
        <f t="shared" si="774"/>
        <v>1.8066776779636366E-2</v>
      </c>
      <c r="AC215" s="128">
        <f t="shared" si="774"/>
        <v>1.8428112315229093E-2</v>
      </c>
      <c r="AD215" s="128">
        <f t="shared" si="774"/>
        <v>1.8796674561533673E-2</v>
      </c>
      <c r="AE215" s="128">
        <f t="shared" si="774"/>
        <v>1.9172608052764346E-2</v>
      </c>
      <c r="AF215" s="128">
        <f t="shared" si="774"/>
        <v>1.9556060213819632E-2</v>
      </c>
      <c r="AG215" s="128">
        <f t="shared" si="774"/>
        <v>1.9947181418096028E-2</v>
      </c>
      <c r="AH215" s="115" t="e">
        <f t="shared" ref="AH215:AH220" si="775">((AG215/J215)^(1/($AG$3-$K$1) ))-1</f>
        <v>#DIV/0!</v>
      </c>
      <c r="AI215" s="21">
        <f t="shared" si="769"/>
        <v>0.02</v>
      </c>
      <c r="AJ215" s="108" t="e">
        <f t="shared" si="723"/>
        <v>#DIV/0!</v>
      </c>
    </row>
    <row r="216" spans="2:36" x14ac:dyDescent="0.2">
      <c r="B216" s="10" t="s">
        <v>132</v>
      </c>
      <c r="C216" s="128"/>
      <c r="D216" s="128"/>
      <c r="E216" s="128"/>
      <c r="F216" s="128"/>
      <c r="G216" s="140">
        <f t="shared" ref="G216" si="776">G205*G61</f>
        <v>0</v>
      </c>
      <c r="H216" s="140">
        <f t="shared" ref="H216:I216" si="777">H205*H61</f>
        <v>0</v>
      </c>
      <c r="I216" s="140">
        <f t="shared" si="777"/>
        <v>0</v>
      </c>
      <c r="J216" s="140">
        <f t="shared" ref="J216:T216" si="778">J205*J61</f>
        <v>0</v>
      </c>
      <c r="K216" s="140">
        <f t="shared" si="778"/>
        <v>0</v>
      </c>
      <c r="L216" s="140">
        <f t="shared" si="778"/>
        <v>0</v>
      </c>
      <c r="M216" s="140">
        <f t="shared" si="778"/>
        <v>0</v>
      </c>
      <c r="N216" s="140">
        <f t="shared" si="778"/>
        <v>0</v>
      </c>
      <c r="O216" s="140">
        <f t="shared" si="778"/>
        <v>0</v>
      </c>
      <c r="P216" s="140">
        <f t="shared" si="778"/>
        <v>0</v>
      </c>
      <c r="Q216" s="140">
        <f t="shared" si="778"/>
        <v>0</v>
      </c>
      <c r="R216" s="140">
        <f t="shared" si="778"/>
        <v>0</v>
      </c>
      <c r="S216" s="140">
        <f t="shared" si="778"/>
        <v>2538</v>
      </c>
      <c r="T216" s="140">
        <f t="shared" si="778"/>
        <v>19706.399999999998</v>
      </c>
      <c r="U216" s="140">
        <f t="shared" ref="U216" si="779">U205*U61</f>
        <v>6659.9999999999991</v>
      </c>
      <c r="V216" s="101" t="e">
        <f t="shared" si="719"/>
        <v>#DIV/0!</v>
      </c>
      <c r="W216" s="109"/>
      <c r="X216" s="140">
        <f t="shared" ref="X216:AG216" si="780">X205*X61</f>
        <v>9340.65</v>
      </c>
      <c r="Y216" s="140">
        <f t="shared" si="780"/>
        <v>9527.4630000000016</v>
      </c>
      <c r="Z216" s="140">
        <f t="shared" si="780"/>
        <v>9718.0122600000013</v>
      </c>
      <c r="AA216" s="140">
        <f t="shared" si="780"/>
        <v>9912.3725052000009</v>
      </c>
      <c r="AB216" s="140">
        <f t="shared" si="780"/>
        <v>10110.619955304001</v>
      </c>
      <c r="AC216" s="140">
        <f t="shared" si="780"/>
        <v>10312.83235441008</v>
      </c>
      <c r="AD216" s="140">
        <f t="shared" si="780"/>
        <v>10519.089001498283</v>
      </c>
      <c r="AE216" s="140">
        <f t="shared" si="780"/>
        <v>10729.470781528247</v>
      </c>
      <c r="AF216" s="140">
        <f t="shared" si="780"/>
        <v>10944.060197158813</v>
      </c>
      <c r="AG216" s="140">
        <f t="shared" si="780"/>
        <v>11162.941401101989</v>
      </c>
      <c r="AH216" s="115" t="e">
        <f t="shared" si="775"/>
        <v>#DIV/0!</v>
      </c>
      <c r="AI216" s="21">
        <f t="shared" si="769"/>
        <v>0.02</v>
      </c>
      <c r="AJ216" s="108" t="e">
        <f t="shared" si="723"/>
        <v>#DIV/0!</v>
      </c>
    </row>
    <row r="217" spans="2:36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 x14ac:dyDescent="0.2">
      <c r="B218" s="10" t="s">
        <v>313</v>
      </c>
      <c r="C218" s="136"/>
      <c r="D218" s="136"/>
      <c r="E218" s="136"/>
      <c r="F218" s="136"/>
      <c r="G218" s="136" t="e">
        <f t="shared" ref="G218" si="781">G76/G205</f>
        <v>#DIV/0!</v>
      </c>
      <c r="H218" s="136" t="e">
        <f t="shared" ref="H218:I218" si="782">H76/H205</f>
        <v>#DIV/0!</v>
      </c>
      <c r="I218" s="136" t="e">
        <f t="shared" si="782"/>
        <v>#DIV/0!</v>
      </c>
      <c r="J218" s="136" t="e">
        <f t="shared" ref="J218:T218" si="783">J76/J205</f>
        <v>#DIV/0!</v>
      </c>
      <c r="K218" s="136" t="e">
        <f t="shared" si="783"/>
        <v>#DIV/0!</v>
      </c>
      <c r="L218" s="136" t="e">
        <f t="shared" si="783"/>
        <v>#DIV/0!</v>
      </c>
      <c r="M218" s="136" t="e">
        <f t="shared" si="783"/>
        <v>#DIV/0!</v>
      </c>
      <c r="N218" s="136" t="e">
        <f t="shared" si="783"/>
        <v>#DIV/0!</v>
      </c>
      <c r="O218" s="136" t="e">
        <f t="shared" si="783"/>
        <v>#DIV/0!</v>
      </c>
      <c r="P218" s="136" t="e">
        <f t="shared" si="783"/>
        <v>#DIV/0!</v>
      </c>
      <c r="Q218" s="136" t="e">
        <f t="shared" si="783"/>
        <v>#DIV/0!</v>
      </c>
      <c r="R218" s="136" t="e">
        <f t="shared" si="783"/>
        <v>#DIV/0!</v>
      </c>
      <c r="S218" s="136">
        <f t="shared" si="783"/>
        <v>0.12844759653270293</v>
      </c>
      <c r="T218" s="136">
        <f t="shared" si="783"/>
        <v>2.6539601347785491E-2</v>
      </c>
      <c r="U218" s="136">
        <f t="shared" ref="U218" si="784">U76/U205</f>
        <v>0.12453603603603604</v>
      </c>
      <c r="V218" s="101" t="e">
        <f t="shared" si="719"/>
        <v>#DIV/0!</v>
      </c>
      <c r="W218" s="109"/>
      <c r="X218" s="136">
        <f t="shared" ref="X218:AG218" si="785">X76/X205</f>
        <v>0.10655489714313243</v>
      </c>
      <c r="Y218" s="136">
        <f t="shared" si="785"/>
        <v>0.12535870252133224</v>
      </c>
      <c r="Z218" s="136">
        <f t="shared" si="785"/>
        <v>0.14748082649568497</v>
      </c>
      <c r="AA218" s="136">
        <f t="shared" si="785"/>
        <v>0.17350685470080587</v>
      </c>
      <c r="AB218" s="136">
        <f t="shared" si="785"/>
        <v>0.2041257114127128</v>
      </c>
      <c r="AC218" s="136">
        <f t="shared" si="785"/>
        <v>0.24014789577966206</v>
      </c>
      <c r="AD218" s="136">
        <f t="shared" si="785"/>
        <v>0.28252693621136715</v>
      </c>
      <c r="AE218" s="136">
        <f t="shared" si="785"/>
        <v>0.33238463083690262</v>
      </c>
      <c r="AF218" s="136">
        <f t="shared" si="785"/>
        <v>0.39104074216106177</v>
      </c>
      <c r="AG218" s="136">
        <f t="shared" si="785"/>
        <v>0.4600479319541903</v>
      </c>
      <c r="AH218" s="115" t="e">
        <f t="shared" ref="AH218" si="786">((AG218/J218)^(1/($AG$3-$K$1) ))-1</f>
        <v>#DIV/0!</v>
      </c>
      <c r="AI218" s="21">
        <f t="shared" ref="AI218" si="787">$O$1</f>
        <v>0.02</v>
      </c>
      <c r="AJ218" s="108" t="e">
        <f t="shared" ref="AJ218" si="788">(AG218*(1+AH218))/($C$1-AI218)</f>
        <v>#DIV/0!</v>
      </c>
    </row>
    <row r="219" spans="2:36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0</v>
      </c>
      <c r="H219" s="156" t="e">
        <f t="shared" ref="H219:I219" si="790">H207</f>
        <v>#DIV/0!</v>
      </c>
      <c r="I219" s="156" t="e">
        <f t="shared" si="790"/>
        <v>#DIV/0!</v>
      </c>
      <c r="J219" s="156" t="e">
        <f t="shared" ref="J219:T219" si="791">J207</f>
        <v>#DIV/0!</v>
      </c>
      <c r="K219" s="156">
        <f t="shared" si="791"/>
        <v>0</v>
      </c>
      <c r="L219" s="156">
        <f t="shared" si="791"/>
        <v>0</v>
      </c>
      <c r="M219" s="156">
        <f t="shared" si="791"/>
        <v>0</v>
      </c>
      <c r="N219" s="156">
        <f t="shared" si="791"/>
        <v>0</v>
      </c>
      <c r="O219" s="156">
        <f t="shared" si="791"/>
        <v>0</v>
      </c>
      <c r="P219" s="156">
        <f t="shared" si="791"/>
        <v>0</v>
      </c>
      <c r="Q219" s="156">
        <f t="shared" si="791"/>
        <v>0</v>
      </c>
      <c r="R219" s="156">
        <f t="shared" si="791"/>
        <v>0</v>
      </c>
      <c r="S219" s="156">
        <f t="shared" si="791"/>
        <v>7.7852760736196309</v>
      </c>
      <c r="T219" s="156">
        <f t="shared" si="791"/>
        <v>37.679541108986612</v>
      </c>
      <c r="U219" s="156">
        <f t="shared" ref="U219" si="792">U207</f>
        <v>8.0298043187325927</v>
      </c>
      <c r="V219" s="101" t="e">
        <f t="shared" si="719"/>
        <v>#DIV/0!</v>
      </c>
      <c r="W219" s="109"/>
      <c r="X219" s="128">
        <f t="shared" ref="X219:AG219" si="793">X207</f>
        <v>9.3848337975187182</v>
      </c>
      <c r="Y219" s="128">
        <f t="shared" si="793"/>
        <v>7.9771087278909132</v>
      </c>
      <c r="Z219" s="128">
        <f t="shared" si="793"/>
        <v>6.7805424187072765</v>
      </c>
      <c r="AA219" s="128">
        <f t="shared" si="793"/>
        <v>5.7634610559011845</v>
      </c>
      <c r="AB219" s="128">
        <f t="shared" si="793"/>
        <v>4.8989418975160071</v>
      </c>
      <c r="AC219" s="128">
        <f t="shared" si="793"/>
        <v>4.164100612888606</v>
      </c>
      <c r="AD219" s="128">
        <f t="shared" si="793"/>
        <v>3.5394855209553153</v>
      </c>
      <c r="AE219" s="128">
        <f t="shared" si="793"/>
        <v>3.0085626928120175</v>
      </c>
      <c r="AF219" s="128">
        <f t="shared" si="793"/>
        <v>2.5572782888902155</v>
      </c>
      <c r="AG219" s="128">
        <f t="shared" si="793"/>
        <v>2.1736865455566834</v>
      </c>
      <c r="AH219" s="115" t="e">
        <f t="shared" ref="AH219" si="794">((AG219/J219)^(1/($AG$3-$K$1) ))-1</f>
        <v>#DIV/0!</v>
      </c>
      <c r="AI219" s="21">
        <f t="shared" ref="AI219:AI221" si="795">$O$1</f>
        <v>0.02</v>
      </c>
      <c r="AJ219" s="156" t="e">
        <f>(AJ206)/($O$2*100)</f>
        <v>#DIV/0!</v>
      </c>
    </row>
    <row r="220" spans="2:36" x14ac:dyDescent="0.2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</v>
      </c>
      <c r="H220" s="156" t="e">
        <f t="shared" ref="H220:I220" si="797">(H207)/($O$2*100)</f>
        <v>#DIV/0!</v>
      </c>
      <c r="I220" s="156" t="e">
        <f t="shared" si="797"/>
        <v>#DIV/0!</v>
      </c>
      <c r="J220" s="156" t="e">
        <f t="shared" ref="J220:T220" si="798">(J207)/($O$2*100)</f>
        <v>#DIV/0!</v>
      </c>
      <c r="K220" s="156">
        <f t="shared" si="798"/>
        <v>0</v>
      </c>
      <c r="L220" s="156">
        <f t="shared" si="798"/>
        <v>0</v>
      </c>
      <c r="M220" s="156">
        <f t="shared" si="798"/>
        <v>0</v>
      </c>
      <c r="N220" s="156">
        <f t="shared" si="798"/>
        <v>0</v>
      </c>
      <c r="O220" s="156">
        <f t="shared" si="798"/>
        <v>0</v>
      </c>
      <c r="P220" s="156">
        <f t="shared" si="798"/>
        <v>0</v>
      </c>
      <c r="Q220" s="156">
        <f t="shared" si="798"/>
        <v>0</v>
      </c>
      <c r="R220" s="156">
        <f t="shared" si="798"/>
        <v>0</v>
      </c>
      <c r="S220" s="156">
        <f t="shared" si="798"/>
        <v>0.38926380368098157</v>
      </c>
      <c r="T220" s="156">
        <f t="shared" si="798"/>
        <v>1.8839770554493307</v>
      </c>
      <c r="U220" s="156">
        <f t="shared" ref="U220" si="799">(U207)/($O$2*100)</f>
        <v>0.40149021593662965</v>
      </c>
      <c r="V220" s="101" t="e">
        <f t="shared" si="719"/>
        <v>#DIV/0!</v>
      </c>
      <c r="W220" s="109"/>
      <c r="X220" s="156">
        <f t="shared" ref="X220:AG220" si="800">(X207)/($O$2*100)</f>
        <v>0.4692416898759359</v>
      </c>
      <c r="Y220" s="156">
        <f t="shared" si="800"/>
        <v>0.39885543639454568</v>
      </c>
      <c r="Z220" s="156">
        <f t="shared" si="800"/>
        <v>0.3390271209353638</v>
      </c>
      <c r="AA220" s="156">
        <f t="shared" si="800"/>
        <v>0.28817305279505923</v>
      </c>
      <c r="AB220" s="156">
        <f t="shared" si="800"/>
        <v>0.24494709487580035</v>
      </c>
      <c r="AC220" s="156">
        <f t="shared" si="800"/>
        <v>0.2082050306444303</v>
      </c>
      <c r="AD220" s="156">
        <f t="shared" si="800"/>
        <v>0.17697427604776578</v>
      </c>
      <c r="AE220" s="156">
        <f t="shared" si="800"/>
        <v>0.15042813464060087</v>
      </c>
      <c r="AF220" s="156">
        <f t="shared" si="800"/>
        <v>0.12786391444451078</v>
      </c>
      <c r="AG220" s="156">
        <f t="shared" si="800"/>
        <v>0.10868432727783417</v>
      </c>
      <c r="AH220" s="115" t="e">
        <f t="shared" si="775"/>
        <v>#DIV/0!</v>
      </c>
      <c r="AI220" s="21">
        <f t="shared" si="795"/>
        <v>0.02</v>
      </c>
      <c r="AJ220" s="156" t="e">
        <f>(AJ207)/($O$2*100)</f>
        <v>#DIV/0!</v>
      </c>
    </row>
    <row r="221" spans="2:36" x14ac:dyDescent="0.2">
      <c r="B221" s="10" t="s">
        <v>433</v>
      </c>
      <c r="C221" s="128"/>
      <c r="D221" s="128"/>
      <c r="E221" s="128"/>
      <c r="F221" s="128"/>
      <c r="G221" s="128">
        <f t="shared" ref="G221" si="801">G220-1</f>
        <v>-1</v>
      </c>
      <c r="H221" s="128" t="e">
        <f t="shared" ref="H221:I221" si="802">H220-1</f>
        <v>#DIV/0!</v>
      </c>
      <c r="I221" s="128" t="e">
        <f t="shared" si="802"/>
        <v>#DIV/0!</v>
      </c>
      <c r="J221" s="128" t="e">
        <f t="shared" ref="J221:S221" si="803">J220-1</f>
        <v>#DIV/0!</v>
      </c>
      <c r="K221" s="128">
        <f t="shared" si="803"/>
        <v>-1</v>
      </c>
      <c r="L221" s="128">
        <f t="shared" si="803"/>
        <v>-1</v>
      </c>
      <c r="M221" s="128">
        <f t="shared" si="803"/>
        <v>-1</v>
      </c>
      <c r="N221" s="128">
        <f t="shared" si="803"/>
        <v>-1</v>
      </c>
      <c r="O221" s="128">
        <f t="shared" si="803"/>
        <v>-1</v>
      </c>
      <c r="P221" s="128">
        <f t="shared" si="803"/>
        <v>-1</v>
      </c>
      <c r="Q221" s="128">
        <f t="shared" si="803"/>
        <v>-1</v>
      </c>
      <c r="R221" s="128">
        <f t="shared" si="803"/>
        <v>-1</v>
      </c>
      <c r="S221" s="128">
        <f t="shared" si="803"/>
        <v>-0.61073619631901843</v>
      </c>
      <c r="T221" s="128">
        <f>T220-1</f>
        <v>0.8839770554493307</v>
      </c>
      <c r="U221" s="128">
        <f>U220-1</f>
        <v>-0.59850978406337041</v>
      </c>
      <c r="V221" s="101">
        <f t="shared" si="719"/>
        <v>-5.0036048263126909E-2</v>
      </c>
      <c r="W221" s="109"/>
      <c r="X221" s="128">
        <f t="shared" ref="X221:AG221" si="804">X220-1</f>
        <v>-0.53075831012406405</v>
      </c>
      <c r="Y221" s="128">
        <f t="shared" si="804"/>
        <v>-0.60114456360545432</v>
      </c>
      <c r="Z221" s="128">
        <f t="shared" si="804"/>
        <v>-0.6609728790646362</v>
      </c>
      <c r="AA221" s="128">
        <f t="shared" si="804"/>
        <v>-0.71182694720494077</v>
      </c>
      <c r="AB221" s="128">
        <f t="shared" si="804"/>
        <v>-0.75505290512419965</v>
      </c>
      <c r="AC221" s="128">
        <f t="shared" si="804"/>
        <v>-0.7917949693555697</v>
      </c>
      <c r="AD221" s="128">
        <f t="shared" si="804"/>
        <v>-0.82302572395223428</v>
      </c>
      <c r="AE221" s="128">
        <f t="shared" si="804"/>
        <v>-0.8495718653593991</v>
      </c>
      <c r="AF221" s="128">
        <f t="shared" si="804"/>
        <v>-0.87213608555548916</v>
      </c>
      <c r="AG221" s="128">
        <f t="shared" si="804"/>
        <v>-0.89131567272216583</v>
      </c>
      <c r="AH221" s="115" t="e">
        <f t="shared" ref="AH221" si="805">((AG221/J221)^(1/($AG$3-$K$1) ))-1</f>
        <v>#DIV/0!</v>
      </c>
      <c r="AI221" s="21">
        <f t="shared" si="795"/>
        <v>0.02</v>
      </c>
      <c r="AJ221" s="156" t="e">
        <f>(AJ208)/($O$2*100)</f>
        <v>#DIV/0!</v>
      </c>
    </row>
    <row r="222" spans="2:36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 x14ac:dyDescent="0.2">
      <c r="B223" s="10" t="s">
        <v>502</v>
      </c>
      <c r="C223" s="128"/>
      <c r="D223" s="128"/>
      <c r="E223" s="128"/>
      <c r="F223" s="128"/>
      <c r="G223" s="128" t="e">
        <f t="shared" ref="G223:S223" si="806">1/G224</f>
        <v>#DIV/0!</v>
      </c>
      <c r="H223" s="128" t="e">
        <f t="shared" si="806"/>
        <v>#DIV/0!</v>
      </c>
      <c r="I223" s="128" t="e">
        <f t="shared" si="806"/>
        <v>#DIV/0!</v>
      </c>
      <c r="J223" s="128" t="e">
        <f t="shared" si="806"/>
        <v>#DIV/0!</v>
      </c>
      <c r="K223" s="128" t="e">
        <f t="shared" si="806"/>
        <v>#DIV/0!</v>
      </c>
      <c r="L223" s="128" t="e">
        <f t="shared" si="806"/>
        <v>#DIV/0!</v>
      </c>
      <c r="M223" s="128" t="e">
        <f t="shared" si="806"/>
        <v>#DIV/0!</v>
      </c>
      <c r="N223" s="128" t="e">
        <f t="shared" si="806"/>
        <v>#DIV/0!</v>
      </c>
      <c r="O223" s="128" t="e">
        <f t="shared" si="806"/>
        <v>#DIV/0!</v>
      </c>
      <c r="P223" s="128" t="e">
        <f t="shared" si="806"/>
        <v>#DIV/0!</v>
      </c>
      <c r="Q223" s="128" t="e">
        <f t="shared" si="806"/>
        <v>#DIV/0!</v>
      </c>
      <c r="R223" s="128" t="e">
        <f t="shared" si="806"/>
        <v>#DIV/0!</v>
      </c>
      <c r="S223" s="128">
        <f t="shared" si="806"/>
        <v>3.4598884598884598E-2</v>
      </c>
      <c r="T223" s="128">
        <f>1/T224</f>
        <v>5.8149385880478313E-3</v>
      </c>
      <c r="U223" s="128">
        <f>1/U224</f>
        <v>1.7299442299442299E-2</v>
      </c>
      <c r="V223" s="101" t="e">
        <f t="shared" si="719"/>
        <v>#DIV/0!</v>
      </c>
      <c r="W223" s="109"/>
      <c r="X223" s="128">
        <f t="shared" ref="X223:AG223" si="807">1/X224</f>
        <v>1.2581412581412581E-2</v>
      </c>
      <c r="Y223" s="128">
        <f t="shared" si="807"/>
        <v>1.2581412581412581E-2</v>
      </c>
      <c r="Z223" s="128">
        <f t="shared" si="807"/>
        <v>1.2581412581412581E-2</v>
      </c>
      <c r="AA223" s="128">
        <f t="shared" si="807"/>
        <v>1.2581412581412581E-2</v>
      </c>
      <c r="AB223" s="128">
        <f t="shared" si="807"/>
        <v>1.2581412581412581E-2</v>
      </c>
      <c r="AC223" s="128">
        <f t="shared" si="807"/>
        <v>1.2581412581412581E-2</v>
      </c>
      <c r="AD223" s="128">
        <f t="shared" si="807"/>
        <v>1.2581412581412581E-2</v>
      </c>
      <c r="AE223" s="128">
        <f t="shared" si="807"/>
        <v>1.2581412581412581E-2</v>
      </c>
      <c r="AF223" s="128">
        <f t="shared" si="807"/>
        <v>1.2581412581412581E-2</v>
      </c>
      <c r="AG223" s="128">
        <f t="shared" si="807"/>
        <v>1.2581412581412581E-2</v>
      </c>
      <c r="AH223" s="115" t="e">
        <f t="shared" ref="AH223" si="808">((AG223/J223)^(1/($AG$3-$K$1) ))-1</f>
        <v>#DIV/0!</v>
      </c>
      <c r="AI223" s="21">
        <f t="shared" ref="AI223:AI226" si="809">$O$1</f>
        <v>0.02</v>
      </c>
      <c r="AJ223" s="156" t="e">
        <f>(AJ210)/($O$2*100)</f>
        <v>#DIV/0!</v>
      </c>
    </row>
    <row r="224" spans="2:36" x14ac:dyDescent="0.2">
      <c r="B224" s="10" t="s">
        <v>501</v>
      </c>
      <c r="C224" s="110"/>
      <c r="D224" s="110"/>
      <c r="E224" s="110"/>
      <c r="F224" s="110"/>
      <c r="G224" s="112">
        <f t="shared" ref="G224:U224" si="810">G205/$S$174</f>
        <v>0</v>
      </c>
      <c r="H224" s="112">
        <f t="shared" si="810"/>
        <v>0</v>
      </c>
      <c r="I224" s="112">
        <f t="shared" si="810"/>
        <v>0</v>
      </c>
      <c r="J224" s="112">
        <f t="shared" si="810"/>
        <v>0</v>
      </c>
      <c r="K224" s="112">
        <f t="shared" si="810"/>
        <v>0</v>
      </c>
      <c r="L224" s="112">
        <f t="shared" si="810"/>
        <v>0</v>
      </c>
      <c r="M224" s="112">
        <f t="shared" si="810"/>
        <v>0</v>
      </c>
      <c r="N224" s="112">
        <f t="shared" si="810"/>
        <v>0</v>
      </c>
      <c r="O224" s="112">
        <f t="shared" si="810"/>
        <v>0</v>
      </c>
      <c r="P224" s="112">
        <f t="shared" si="810"/>
        <v>0</v>
      </c>
      <c r="Q224" s="112">
        <f t="shared" si="810"/>
        <v>0</v>
      </c>
      <c r="R224" s="112">
        <f t="shared" si="810"/>
        <v>0</v>
      </c>
      <c r="S224" s="112">
        <f t="shared" si="810"/>
        <v>28.902665840049597</v>
      </c>
      <c r="T224" s="112">
        <f t="shared" si="810"/>
        <v>171.97086174829511</v>
      </c>
      <c r="U224" s="112">
        <f t="shared" si="810"/>
        <v>57.805331680099194</v>
      </c>
      <c r="V224" s="101" t="e">
        <f t="shared" si="719"/>
        <v>#DIV/0!</v>
      </c>
      <c r="W224" s="109"/>
      <c r="X224" s="112">
        <f t="shared" ref="X224:AG224" si="811">X205/$S$174</f>
        <v>79.482331060136389</v>
      </c>
      <c r="Y224" s="112">
        <f t="shared" si="811"/>
        <v>79.482331060136389</v>
      </c>
      <c r="Z224" s="112">
        <f t="shared" si="811"/>
        <v>79.482331060136389</v>
      </c>
      <c r="AA224" s="112">
        <f t="shared" si="811"/>
        <v>79.482331060136389</v>
      </c>
      <c r="AB224" s="112">
        <f t="shared" si="811"/>
        <v>79.482331060136389</v>
      </c>
      <c r="AC224" s="112">
        <f t="shared" si="811"/>
        <v>79.482331060136389</v>
      </c>
      <c r="AD224" s="112">
        <f t="shared" si="811"/>
        <v>79.482331060136389</v>
      </c>
      <c r="AE224" s="112">
        <f t="shared" si="811"/>
        <v>79.482331060136389</v>
      </c>
      <c r="AF224" s="112">
        <f t="shared" si="811"/>
        <v>79.482331060136389</v>
      </c>
      <c r="AG224" s="112">
        <f t="shared" si="811"/>
        <v>79.482331060136389</v>
      </c>
      <c r="AH224" s="115" t="e">
        <f t="shared" ref="AH224:AH226" si="812">((AG224/J224)^(1/($AG$3-$K$1) ))-1</f>
        <v>#DIV/0!</v>
      </c>
      <c r="AI224" s="21">
        <f t="shared" si="809"/>
        <v>0.02</v>
      </c>
      <c r="AJ224" s="156" t="e">
        <f>(AJ210)/($O$2*100)</f>
        <v>#DIV/0!</v>
      </c>
    </row>
    <row r="225" spans="2:36" x14ac:dyDescent="0.2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</v>
      </c>
      <c r="H225" s="156">
        <f t="shared" ref="H225:I225" si="814">(H224)/($O$2*100)</f>
        <v>0</v>
      </c>
      <c r="I225" s="156">
        <f t="shared" si="814"/>
        <v>0</v>
      </c>
      <c r="J225" s="156">
        <f t="shared" ref="J225:T225" si="815">(J224)/($O$2*100)</f>
        <v>0</v>
      </c>
      <c r="K225" s="156">
        <f t="shared" si="815"/>
        <v>0</v>
      </c>
      <c r="L225" s="156">
        <f t="shared" si="815"/>
        <v>0</v>
      </c>
      <c r="M225" s="156">
        <f t="shared" si="815"/>
        <v>0</v>
      </c>
      <c r="N225" s="156">
        <f t="shared" si="815"/>
        <v>0</v>
      </c>
      <c r="O225" s="156">
        <f t="shared" si="815"/>
        <v>0</v>
      </c>
      <c r="P225" s="156">
        <f t="shared" si="815"/>
        <v>0</v>
      </c>
      <c r="Q225" s="156">
        <f t="shared" si="815"/>
        <v>0</v>
      </c>
      <c r="R225" s="156">
        <f t="shared" si="815"/>
        <v>0</v>
      </c>
      <c r="S225" s="156">
        <f t="shared" si="815"/>
        <v>1.4451332920024798</v>
      </c>
      <c r="T225" s="156">
        <f t="shared" si="815"/>
        <v>8.5985430874147557</v>
      </c>
      <c r="U225" s="156">
        <f t="shared" ref="U225" si="816">(U224)/($O$2*100)</f>
        <v>2.8902665840049595</v>
      </c>
      <c r="V225" s="101" t="e">
        <f t="shared" si="719"/>
        <v>#DIV/0!</v>
      </c>
      <c r="W225" s="109"/>
      <c r="X225" s="156">
        <f t="shared" ref="X225:AG225" si="817">(X224)/($O$2*100)</f>
        <v>3.9741165530068194</v>
      </c>
      <c r="Y225" s="156">
        <f t="shared" si="817"/>
        <v>3.9741165530068194</v>
      </c>
      <c r="Z225" s="156">
        <f t="shared" si="817"/>
        <v>3.9741165530068194</v>
      </c>
      <c r="AA225" s="156">
        <f t="shared" si="817"/>
        <v>3.9741165530068194</v>
      </c>
      <c r="AB225" s="156">
        <f t="shared" si="817"/>
        <v>3.9741165530068194</v>
      </c>
      <c r="AC225" s="156">
        <f t="shared" si="817"/>
        <v>3.9741165530068194</v>
      </c>
      <c r="AD225" s="156">
        <f t="shared" si="817"/>
        <v>3.9741165530068194</v>
      </c>
      <c r="AE225" s="156">
        <f t="shared" si="817"/>
        <v>3.9741165530068194</v>
      </c>
      <c r="AF225" s="156">
        <f t="shared" si="817"/>
        <v>3.9741165530068194</v>
      </c>
      <c r="AG225" s="156">
        <f t="shared" si="817"/>
        <v>3.9741165530068194</v>
      </c>
      <c r="AH225" s="115" t="e">
        <f t="shared" si="812"/>
        <v>#DIV/0!</v>
      </c>
      <c r="AI225" s="21">
        <f t="shared" si="809"/>
        <v>0.02</v>
      </c>
      <c r="AJ225" s="156" t="e">
        <f>(AJ211)/($O$2*100)</f>
        <v>#DIV/0!</v>
      </c>
    </row>
    <row r="226" spans="2:36" x14ac:dyDescent="0.2">
      <c r="B226" s="10" t="s">
        <v>434</v>
      </c>
      <c r="C226" s="110"/>
      <c r="D226" s="110"/>
      <c r="E226" s="110"/>
      <c r="F226" s="110"/>
      <c r="G226" s="128">
        <f t="shared" ref="G226" si="818">G225-1</f>
        <v>-1</v>
      </c>
      <c r="H226" s="128">
        <f t="shared" ref="H226:I226" si="819">H225-1</f>
        <v>-1</v>
      </c>
      <c r="I226" s="128">
        <f t="shared" si="819"/>
        <v>-1</v>
      </c>
      <c r="J226" s="128">
        <f t="shared" ref="J226:T226" si="820">J225-1</f>
        <v>-1</v>
      </c>
      <c r="K226" s="128">
        <f t="shared" si="820"/>
        <v>-1</v>
      </c>
      <c r="L226" s="128">
        <f t="shared" si="820"/>
        <v>-1</v>
      </c>
      <c r="M226" s="128">
        <f t="shared" si="820"/>
        <v>-1</v>
      </c>
      <c r="N226" s="128">
        <f t="shared" si="820"/>
        <v>-1</v>
      </c>
      <c r="O226" s="128">
        <f t="shared" si="820"/>
        <v>-1</v>
      </c>
      <c r="P226" s="128">
        <f t="shared" si="820"/>
        <v>-1</v>
      </c>
      <c r="Q226" s="128">
        <f t="shared" si="820"/>
        <v>-1</v>
      </c>
      <c r="R226" s="128">
        <f t="shared" si="820"/>
        <v>-1</v>
      </c>
      <c r="S226" s="128">
        <f t="shared" si="820"/>
        <v>0.44513329200247975</v>
      </c>
      <c r="T226" s="128">
        <f t="shared" si="820"/>
        <v>7.5985430874147557</v>
      </c>
      <c r="U226" s="128">
        <f t="shared" ref="U226" si="821">U225-1</f>
        <v>1.8902665840049595</v>
      </c>
      <c r="V226" s="101" t="e">
        <f t="shared" si="719"/>
        <v>#NUM!</v>
      </c>
      <c r="W226" s="109"/>
      <c r="X226" s="128">
        <f t="shared" ref="X226:AG226" si="822">X225-1</f>
        <v>2.9741165530068194</v>
      </c>
      <c r="Y226" s="128">
        <f t="shared" si="822"/>
        <v>2.9741165530068194</v>
      </c>
      <c r="Z226" s="128">
        <f t="shared" si="822"/>
        <v>2.9741165530068194</v>
      </c>
      <c r="AA226" s="128">
        <f t="shared" si="822"/>
        <v>2.9741165530068194</v>
      </c>
      <c r="AB226" s="128">
        <f t="shared" si="822"/>
        <v>2.9741165530068194</v>
      </c>
      <c r="AC226" s="128">
        <f t="shared" si="822"/>
        <v>2.9741165530068194</v>
      </c>
      <c r="AD226" s="128">
        <f t="shared" si="822"/>
        <v>2.9741165530068194</v>
      </c>
      <c r="AE226" s="128">
        <f t="shared" si="822"/>
        <v>2.9741165530068194</v>
      </c>
      <c r="AF226" s="128">
        <f t="shared" si="822"/>
        <v>2.9741165530068194</v>
      </c>
      <c r="AG226" s="128">
        <f t="shared" si="822"/>
        <v>2.9741165530068194</v>
      </c>
      <c r="AH226" s="115" t="e">
        <f t="shared" si="812"/>
        <v>#NUM!</v>
      </c>
      <c r="AI226" s="21">
        <f t="shared" si="809"/>
        <v>0.02</v>
      </c>
      <c r="AJ226" s="156" t="e">
        <f>(AJ212)/($O$2*100)</f>
        <v>#DIV/0!</v>
      </c>
    </row>
    <row r="227" spans="2:36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 x14ac:dyDescent="0.2">
      <c r="B228" s="10" t="s">
        <v>502</v>
      </c>
      <c r="C228" s="110"/>
      <c r="D228" s="110"/>
      <c r="E228" s="110"/>
      <c r="F228" s="110"/>
      <c r="G228" s="128" t="e">
        <f t="shared" ref="G228:U228" si="823">1/G229</f>
        <v>#DIV/0!</v>
      </c>
      <c r="H228" s="128" t="e">
        <f t="shared" si="823"/>
        <v>#DIV/0!</v>
      </c>
      <c r="I228" s="128" t="e">
        <f t="shared" si="823"/>
        <v>#DIV/0!</v>
      </c>
      <c r="J228" s="128" t="e">
        <f t="shared" si="823"/>
        <v>#DIV/0!</v>
      </c>
      <c r="K228" s="128" t="e">
        <f t="shared" si="823"/>
        <v>#DIV/0!</v>
      </c>
      <c r="L228" s="128" t="e">
        <f t="shared" si="823"/>
        <v>#DIV/0!</v>
      </c>
      <c r="M228" s="128" t="e">
        <f t="shared" si="823"/>
        <v>#DIV/0!</v>
      </c>
      <c r="N228" s="128" t="e">
        <f t="shared" si="823"/>
        <v>#DIV/0!</v>
      </c>
      <c r="O228" s="128" t="e">
        <f t="shared" si="823"/>
        <v>#DIV/0!</v>
      </c>
      <c r="P228" s="128" t="e">
        <f t="shared" si="823"/>
        <v>#DIV/0!</v>
      </c>
      <c r="Q228" s="128" t="e">
        <f t="shared" si="823"/>
        <v>#DIV/0!</v>
      </c>
      <c r="R228" s="128" t="e">
        <f t="shared" si="823"/>
        <v>#DIV/0!</v>
      </c>
      <c r="S228" s="128">
        <f t="shared" si="823"/>
        <v>0.12032492492492493</v>
      </c>
      <c r="T228" s="128">
        <f t="shared" si="823"/>
        <v>2.0222676457970573E-2</v>
      </c>
      <c r="U228" s="128">
        <f t="shared" si="823"/>
        <v>6.0162462462462464E-2</v>
      </c>
      <c r="V228" s="101" t="e">
        <f t="shared" si="719"/>
        <v>#DIV/0!</v>
      </c>
      <c r="W228" s="109"/>
      <c r="X228" s="128">
        <f t="shared" ref="X228:AG228" si="824">1/X229</f>
        <v>4.3754518154518154E-2</v>
      </c>
      <c r="Y228" s="128">
        <f t="shared" si="824"/>
        <v>4.3754518154518154E-2</v>
      </c>
      <c r="Z228" s="128">
        <f t="shared" si="824"/>
        <v>4.3754518154518154E-2</v>
      </c>
      <c r="AA228" s="128">
        <f t="shared" si="824"/>
        <v>4.3754518154518154E-2</v>
      </c>
      <c r="AB228" s="128">
        <f t="shared" si="824"/>
        <v>4.3754518154518154E-2</v>
      </c>
      <c r="AC228" s="128">
        <f t="shared" si="824"/>
        <v>4.3754518154518154E-2</v>
      </c>
      <c r="AD228" s="128">
        <f t="shared" si="824"/>
        <v>4.3754518154518154E-2</v>
      </c>
      <c r="AE228" s="128">
        <f t="shared" si="824"/>
        <v>4.3754518154518154E-2</v>
      </c>
      <c r="AF228" s="128">
        <f t="shared" si="824"/>
        <v>4.3754518154518154E-2</v>
      </c>
      <c r="AG228" s="128">
        <f t="shared" si="824"/>
        <v>4.3754518154518154E-2</v>
      </c>
      <c r="AH228" s="115" t="e">
        <f t="shared" ref="AH228" si="825">((AG228/J228)^(1/($AG$3-$K$1) ))-1</f>
        <v>#DIV/0!</v>
      </c>
      <c r="AI228" s="21">
        <f t="shared" ref="AI228" si="826">$O$1</f>
        <v>0.02</v>
      </c>
      <c r="AJ228" s="156">
        <f>(AJ214)/($O$2*100)</f>
        <v>0</v>
      </c>
    </row>
    <row r="229" spans="2:36" x14ac:dyDescent="0.2">
      <c r="B229" s="10" t="s">
        <v>411</v>
      </c>
      <c r="C229" s="110"/>
      <c r="D229" s="110"/>
      <c r="E229" s="110"/>
      <c r="F229" s="110"/>
      <c r="G229" s="112">
        <f t="shared" ref="G229" si="827">G205/$T$174</f>
        <v>0</v>
      </c>
      <c r="H229" s="112">
        <f t="shared" ref="H229:I229" si="828">H205/$T$174</f>
        <v>0</v>
      </c>
      <c r="I229" s="112">
        <f t="shared" si="828"/>
        <v>0</v>
      </c>
      <c r="J229" s="112">
        <f t="shared" ref="J229:S229" si="829">J205/$T$174</f>
        <v>0</v>
      </c>
      <c r="K229" s="112">
        <f t="shared" si="829"/>
        <v>0</v>
      </c>
      <c r="L229" s="112">
        <f t="shared" si="829"/>
        <v>0</v>
      </c>
      <c r="M229" s="112">
        <f t="shared" si="829"/>
        <v>0</v>
      </c>
      <c r="N229" s="112">
        <f t="shared" si="829"/>
        <v>0</v>
      </c>
      <c r="O229" s="112">
        <f t="shared" si="829"/>
        <v>0</v>
      </c>
      <c r="P229" s="112">
        <f t="shared" si="829"/>
        <v>0</v>
      </c>
      <c r="Q229" s="112">
        <f t="shared" si="829"/>
        <v>0</v>
      </c>
      <c r="R229" s="112">
        <f t="shared" si="829"/>
        <v>0</v>
      </c>
      <c r="S229" s="112">
        <f t="shared" si="829"/>
        <v>8.3108300347906816</v>
      </c>
      <c r="T229" s="112">
        <f>T205/$T$174</f>
        <v>49.44943870700456</v>
      </c>
      <c r="U229" s="112">
        <f>U205/$T$174</f>
        <v>16.621660069581363</v>
      </c>
      <c r="V229" s="101" t="e">
        <f t="shared" si="719"/>
        <v>#DIV/0!</v>
      </c>
      <c r="W229" s="109"/>
      <c r="X229" s="112">
        <f t="shared" ref="X229:AG229" si="830">X205/$T$174</f>
        <v>22.854782595674376</v>
      </c>
      <c r="Y229" s="112">
        <f t="shared" si="830"/>
        <v>22.854782595674376</v>
      </c>
      <c r="Z229" s="112">
        <f t="shared" si="830"/>
        <v>22.854782595674376</v>
      </c>
      <c r="AA229" s="112">
        <f t="shared" si="830"/>
        <v>22.854782595674376</v>
      </c>
      <c r="AB229" s="112">
        <f t="shared" si="830"/>
        <v>22.854782595674376</v>
      </c>
      <c r="AC229" s="112">
        <f t="shared" si="830"/>
        <v>22.854782595674376</v>
      </c>
      <c r="AD229" s="112">
        <f t="shared" si="830"/>
        <v>22.854782595674376</v>
      </c>
      <c r="AE229" s="112">
        <f t="shared" si="830"/>
        <v>22.854782595674376</v>
      </c>
      <c r="AF229" s="112">
        <f t="shared" si="830"/>
        <v>22.854782595674376</v>
      </c>
      <c r="AG229" s="112">
        <f t="shared" si="830"/>
        <v>22.854782595674376</v>
      </c>
      <c r="AH229" s="115" t="e">
        <f t="shared" ref="AH229:AH231" si="831">((AG229/J229)^(1/($AG$3-$K$1) ))-1</f>
        <v>#DIV/0!</v>
      </c>
      <c r="AI229" s="21">
        <f t="shared" ref="AI229:AI231" si="832">$O$1</f>
        <v>0.02</v>
      </c>
      <c r="AJ229" s="156">
        <f>(AJ214)/($O$2*100)</f>
        <v>0</v>
      </c>
    </row>
    <row r="230" spans="2:36" x14ac:dyDescent="0.2">
      <c r="B230" s="10" t="s">
        <v>432</v>
      </c>
      <c r="C230" s="110"/>
      <c r="D230" s="110"/>
      <c r="E230" s="110"/>
      <c r="F230" s="110"/>
      <c r="G230" s="156">
        <f t="shared" ref="G230" si="833">(G229)/($O$2*100)</f>
        <v>0</v>
      </c>
      <c r="H230" s="156">
        <f t="shared" ref="H230:I230" si="834">(H229)/($O$2*100)</f>
        <v>0</v>
      </c>
      <c r="I230" s="156">
        <f t="shared" si="834"/>
        <v>0</v>
      </c>
      <c r="J230" s="156">
        <f t="shared" ref="J230:T230" si="835">(J229)/($O$2*100)</f>
        <v>0</v>
      </c>
      <c r="K230" s="156">
        <f t="shared" si="835"/>
        <v>0</v>
      </c>
      <c r="L230" s="156">
        <f t="shared" si="835"/>
        <v>0</v>
      </c>
      <c r="M230" s="156">
        <f t="shared" si="835"/>
        <v>0</v>
      </c>
      <c r="N230" s="156">
        <f t="shared" si="835"/>
        <v>0</v>
      </c>
      <c r="O230" s="156">
        <f t="shared" si="835"/>
        <v>0</v>
      </c>
      <c r="P230" s="156">
        <f t="shared" si="835"/>
        <v>0</v>
      </c>
      <c r="Q230" s="156">
        <f t="shared" si="835"/>
        <v>0</v>
      </c>
      <c r="R230" s="156">
        <f t="shared" si="835"/>
        <v>0</v>
      </c>
      <c r="S230" s="156">
        <f t="shared" si="835"/>
        <v>0.41554150173953408</v>
      </c>
      <c r="T230" s="156">
        <f t="shared" si="835"/>
        <v>2.472471935350228</v>
      </c>
      <c r="U230" s="156">
        <f t="shared" ref="U230" si="836">(U229)/($O$2*100)</f>
        <v>0.83108300347906816</v>
      </c>
      <c r="V230" s="101" t="e">
        <f t="shared" si="719"/>
        <v>#DIV/0!</v>
      </c>
      <c r="W230" s="109"/>
      <c r="X230" s="156">
        <f t="shared" ref="X230:AG230" si="837">(X229)/($O$2*100)</f>
        <v>1.1427391297837188</v>
      </c>
      <c r="Y230" s="156">
        <f t="shared" si="837"/>
        <v>1.1427391297837188</v>
      </c>
      <c r="Z230" s="156">
        <f t="shared" si="837"/>
        <v>1.1427391297837188</v>
      </c>
      <c r="AA230" s="156">
        <f t="shared" si="837"/>
        <v>1.1427391297837188</v>
      </c>
      <c r="AB230" s="156">
        <f t="shared" si="837"/>
        <v>1.1427391297837188</v>
      </c>
      <c r="AC230" s="156">
        <f t="shared" si="837"/>
        <v>1.1427391297837188</v>
      </c>
      <c r="AD230" s="156">
        <f t="shared" si="837"/>
        <v>1.1427391297837188</v>
      </c>
      <c r="AE230" s="156">
        <f t="shared" si="837"/>
        <v>1.1427391297837188</v>
      </c>
      <c r="AF230" s="156">
        <f t="shared" si="837"/>
        <v>1.1427391297837188</v>
      </c>
      <c r="AG230" s="156">
        <f t="shared" si="837"/>
        <v>1.1427391297837188</v>
      </c>
      <c r="AH230" s="115" t="e">
        <f t="shared" si="831"/>
        <v>#DIV/0!</v>
      </c>
      <c r="AI230" s="21">
        <f t="shared" si="832"/>
        <v>0.02</v>
      </c>
      <c r="AJ230" s="156" t="e">
        <f>(#REF!)/($O$2*100)</f>
        <v>#REF!</v>
      </c>
    </row>
    <row r="231" spans="2:36" x14ac:dyDescent="0.2">
      <c r="B231" s="10" t="s">
        <v>434</v>
      </c>
      <c r="C231" s="110"/>
      <c r="D231" s="110"/>
      <c r="E231" s="110"/>
      <c r="F231" s="110"/>
      <c r="G231" s="128">
        <f t="shared" ref="G231" si="838">G230-1</f>
        <v>-1</v>
      </c>
      <c r="H231" s="128">
        <f t="shared" ref="H231:I231" si="839">H230-1</f>
        <v>-1</v>
      </c>
      <c r="I231" s="128">
        <f t="shared" si="839"/>
        <v>-1</v>
      </c>
      <c r="J231" s="128">
        <f t="shared" ref="J231:T231" si="840">J230-1</f>
        <v>-1</v>
      </c>
      <c r="K231" s="128">
        <f t="shared" si="840"/>
        <v>-1</v>
      </c>
      <c r="L231" s="128">
        <f t="shared" si="840"/>
        <v>-1</v>
      </c>
      <c r="M231" s="128">
        <f t="shared" si="840"/>
        <v>-1</v>
      </c>
      <c r="N231" s="128">
        <f t="shared" si="840"/>
        <v>-1</v>
      </c>
      <c r="O231" s="128">
        <f t="shared" si="840"/>
        <v>-1</v>
      </c>
      <c r="P231" s="128">
        <f t="shared" si="840"/>
        <v>-1</v>
      </c>
      <c r="Q231" s="128">
        <f t="shared" si="840"/>
        <v>-1</v>
      </c>
      <c r="R231" s="128">
        <f t="shared" si="840"/>
        <v>-1</v>
      </c>
      <c r="S231" s="128">
        <f t="shared" si="840"/>
        <v>-0.58445849826046592</v>
      </c>
      <c r="T231" s="128">
        <f t="shared" si="840"/>
        <v>1.472471935350228</v>
      </c>
      <c r="U231" s="128">
        <f t="shared" ref="U231" si="841">U230-1</f>
        <v>-0.16891699652093184</v>
      </c>
      <c r="V231" s="101">
        <f t="shared" si="719"/>
        <v>-0.16291928793425314</v>
      </c>
      <c r="W231" s="109"/>
      <c r="X231" s="128">
        <f t="shared" ref="X231:AG231" si="842">X230-1</f>
        <v>0.14273912978371883</v>
      </c>
      <c r="Y231" s="128">
        <f t="shared" si="842"/>
        <v>0.14273912978371883</v>
      </c>
      <c r="Z231" s="128">
        <f t="shared" si="842"/>
        <v>0.14273912978371883</v>
      </c>
      <c r="AA231" s="128">
        <f t="shared" si="842"/>
        <v>0.14273912978371883</v>
      </c>
      <c r="AB231" s="128">
        <f t="shared" si="842"/>
        <v>0.14273912978371883</v>
      </c>
      <c r="AC231" s="128">
        <f t="shared" si="842"/>
        <v>0.14273912978371883</v>
      </c>
      <c r="AD231" s="128">
        <f t="shared" si="842"/>
        <v>0.14273912978371883</v>
      </c>
      <c r="AE231" s="128">
        <f t="shared" si="842"/>
        <v>0.14273912978371883</v>
      </c>
      <c r="AF231" s="128">
        <f t="shared" si="842"/>
        <v>0.14273912978371883</v>
      </c>
      <c r="AG231" s="128">
        <f t="shared" si="842"/>
        <v>0.14273912978371883</v>
      </c>
      <c r="AH231" s="115" t="e">
        <f t="shared" si="831"/>
        <v>#NUM!</v>
      </c>
      <c r="AI231" s="21">
        <f t="shared" si="832"/>
        <v>0.02</v>
      </c>
      <c r="AJ231" s="156" t="e">
        <f>(AJ215)/($O$2*100)</f>
        <v>#DIV/0!</v>
      </c>
    </row>
    <row r="232" spans="2:36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 x14ac:dyDescent="0.2">
      <c r="B233" s="10" t="s">
        <v>503</v>
      </c>
      <c r="C233" s="110"/>
      <c r="D233" s="110"/>
      <c r="E233" s="110"/>
      <c r="F233" s="110"/>
      <c r="G233" s="128" t="e">
        <f t="shared" ref="G233:S233" si="843">1/G234</f>
        <v>#DIV/0!</v>
      </c>
      <c r="H233" s="128" t="e">
        <f t="shared" si="843"/>
        <v>#DIV/0!</v>
      </c>
      <c r="I233" s="128" t="e">
        <f t="shared" si="843"/>
        <v>#DIV/0!</v>
      </c>
      <c r="J233" s="128" t="e">
        <f t="shared" si="843"/>
        <v>#DIV/0!</v>
      </c>
      <c r="K233" s="128" t="e">
        <f t="shared" si="843"/>
        <v>#DIV/0!</v>
      </c>
      <c r="L233" s="128" t="e">
        <f t="shared" si="843"/>
        <v>#DIV/0!</v>
      </c>
      <c r="M233" s="128" t="e">
        <f t="shared" si="843"/>
        <v>#DIV/0!</v>
      </c>
      <c r="N233" s="128" t="e">
        <f t="shared" si="843"/>
        <v>#DIV/0!</v>
      </c>
      <c r="O233" s="128" t="e">
        <f t="shared" si="843"/>
        <v>#DIV/0!</v>
      </c>
      <c r="P233" s="128" t="e">
        <f t="shared" si="843"/>
        <v>#DIV/0!</v>
      </c>
      <c r="Q233" s="128" t="e">
        <f t="shared" si="843"/>
        <v>#DIV/0!</v>
      </c>
      <c r="R233" s="128" t="e">
        <f t="shared" si="843"/>
        <v>#DIV/0!</v>
      </c>
      <c r="S233" s="128">
        <f t="shared" si="843"/>
        <v>0.53653938876713725</v>
      </c>
      <c r="T233" s="128">
        <f>1/T234</f>
        <v>9.0174687187754163E-2</v>
      </c>
      <c r="U233" s="128">
        <f>1/U234</f>
        <v>0.26826969438356862</v>
      </c>
      <c r="V233" s="101" t="e">
        <f t="shared" si="719"/>
        <v>#DIV/0!</v>
      </c>
      <c r="W233" s="109"/>
      <c r="X233" s="128">
        <f t="shared" ref="X233:AG233" si="844">1/X234</f>
        <v>999.59869587427022</v>
      </c>
      <c r="Y233" s="128">
        <f t="shared" si="844"/>
        <v>22.328775770207237</v>
      </c>
      <c r="Z233" s="128">
        <f t="shared" si="844"/>
        <v>26.269147964949681</v>
      </c>
      <c r="AA233" s="128">
        <f t="shared" si="844"/>
        <v>30.904879958764333</v>
      </c>
      <c r="AB233" s="128">
        <f t="shared" si="844"/>
        <v>36.358682304428633</v>
      </c>
      <c r="AC233" s="128">
        <f t="shared" si="844"/>
        <v>42.774920358151327</v>
      </c>
      <c r="AD233" s="128">
        <f t="shared" si="844"/>
        <v>50.323435715472151</v>
      </c>
      <c r="AE233" s="128">
        <f t="shared" si="844"/>
        <v>59.204042018202507</v>
      </c>
      <c r="AF233" s="128">
        <f t="shared" si="844"/>
        <v>69.651814139061784</v>
      </c>
      <c r="AG233" s="128">
        <f t="shared" si="844"/>
        <v>81.943310751837373</v>
      </c>
      <c r="AH233" s="115" t="e">
        <f t="shared" ref="AH233:AH236" si="845">((AG233/J233)^(1/($AG$3-$K$1) ))-1</f>
        <v>#DIV/0!</v>
      </c>
      <c r="AI233" s="21">
        <f t="shared" ref="AI233:AI236" si="846">$O$1</f>
        <v>0.02</v>
      </c>
      <c r="AJ233" s="156" t="e">
        <f>(AJ219)/($O$2*100)</f>
        <v>#DIV/0!</v>
      </c>
    </row>
    <row r="234" spans="2:36" x14ac:dyDescent="0.2">
      <c r="B234" s="10" t="s">
        <v>498</v>
      </c>
      <c r="C234" s="110"/>
      <c r="D234" s="110"/>
      <c r="E234" s="110"/>
      <c r="F234" s="110"/>
      <c r="G234" s="112">
        <f t="shared" ref="G234" si="847">G205/$X$175</f>
        <v>0</v>
      </c>
      <c r="H234" s="112">
        <f t="shared" ref="H234:S234" si="848">H205/$X$175</f>
        <v>0</v>
      </c>
      <c r="I234" s="112">
        <f t="shared" si="848"/>
        <v>0</v>
      </c>
      <c r="J234" s="112">
        <f t="shared" si="848"/>
        <v>0</v>
      </c>
      <c r="K234" s="112">
        <f t="shared" si="848"/>
        <v>0</v>
      </c>
      <c r="L234" s="112">
        <f t="shared" si="848"/>
        <v>0</v>
      </c>
      <c r="M234" s="112">
        <f t="shared" si="848"/>
        <v>0</v>
      </c>
      <c r="N234" s="112">
        <f t="shared" si="848"/>
        <v>0</v>
      </c>
      <c r="O234" s="112">
        <f t="shared" si="848"/>
        <v>0</v>
      </c>
      <c r="P234" s="112">
        <f t="shared" si="848"/>
        <v>0</v>
      </c>
      <c r="Q234" s="112">
        <f t="shared" si="848"/>
        <v>0</v>
      </c>
      <c r="R234" s="112">
        <f t="shared" si="848"/>
        <v>0</v>
      </c>
      <c r="S234" s="112">
        <f t="shared" si="848"/>
        <v>1.8637960622011456</v>
      </c>
      <c r="T234" s="112">
        <f>T205/$X$175</f>
        <v>11.089586570096817</v>
      </c>
      <c r="U234" s="112">
        <f>U205/$X$175</f>
        <v>3.7275921244022912</v>
      </c>
      <c r="V234" s="101" t="e">
        <f t="shared" si="719"/>
        <v>#DIV/0!</v>
      </c>
      <c r="W234" s="109"/>
      <c r="X234" s="112">
        <f t="shared" ref="X234:AG234" si="849">X210/$T$174</f>
        <v>1.0004014652353851E-3</v>
      </c>
      <c r="Y234" s="112">
        <f t="shared" si="849"/>
        <v>4.4785258730318599E-2</v>
      </c>
      <c r="Z234" s="112">
        <f t="shared" si="849"/>
        <v>3.806746992077082E-2</v>
      </c>
      <c r="AA234" s="112">
        <f t="shared" si="849"/>
        <v>3.2357349432655197E-2</v>
      </c>
      <c r="AB234" s="112">
        <f t="shared" si="849"/>
        <v>2.7503747017756913E-2</v>
      </c>
      <c r="AC234" s="112">
        <f t="shared" si="849"/>
        <v>2.3378184965093377E-2</v>
      </c>
      <c r="AD234" s="112">
        <f t="shared" si="849"/>
        <v>1.9871457220329371E-2</v>
      </c>
      <c r="AE234" s="112">
        <f t="shared" si="849"/>
        <v>1.6890738637279971E-2</v>
      </c>
      <c r="AF234" s="112">
        <f t="shared" si="849"/>
        <v>1.4357127841687974E-2</v>
      </c>
      <c r="AG234" s="112">
        <f t="shared" si="849"/>
        <v>1.220355866543478E-2</v>
      </c>
      <c r="AH234" s="115" t="e">
        <f t="shared" si="845"/>
        <v>#DIV/0!</v>
      </c>
      <c r="AI234" s="21">
        <f t="shared" si="846"/>
        <v>0.02</v>
      </c>
      <c r="AJ234" s="156" t="e">
        <f>(AJ219)/($O$2*100)</f>
        <v>#DIV/0!</v>
      </c>
    </row>
    <row r="235" spans="2:36" x14ac:dyDescent="0.2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</v>
      </c>
      <c r="H235" s="156">
        <f t="shared" ref="H235:T235" si="851">(H234)/($O$2*100)</f>
        <v>0</v>
      </c>
      <c r="I235" s="156">
        <f t="shared" si="851"/>
        <v>0</v>
      </c>
      <c r="J235" s="156">
        <f t="shared" si="851"/>
        <v>0</v>
      </c>
      <c r="K235" s="156">
        <f t="shared" si="851"/>
        <v>0</v>
      </c>
      <c r="L235" s="156">
        <f t="shared" si="851"/>
        <v>0</v>
      </c>
      <c r="M235" s="156">
        <f t="shared" si="851"/>
        <v>0</v>
      </c>
      <c r="N235" s="156">
        <f t="shared" si="851"/>
        <v>0</v>
      </c>
      <c r="O235" s="156">
        <f t="shared" si="851"/>
        <v>0</v>
      </c>
      <c r="P235" s="156">
        <f t="shared" si="851"/>
        <v>0</v>
      </c>
      <c r="Q235" s="156">
        <f t="shared" si="851"/>
        <v>0</v>
      </c>
      <c r="R235" s="156">
        <f t="shared" si="851"/>
        <v>0</v>
      </c>
      <c r="S235" s="156">
        <f t="shared" si="851"/>
        <v>9.3189803110057284E-2</v>
      </c>
      <c r="T235" s="156">
        <f t="shared" si="851"/>
        <v>0.55447932850484083</v>
      </c>
      <c r="U235" s="156">
        <f t="shared" ref="U235" si="852">(U234)/($O$2*100)</f>
        <v>0.18637960622011457</v>
      </c>
      <c r="V235" s="101" t="e">
        <f t="shared" si="719"/>
        <v>#DIV/0!</v>
      </c>
      <c r="W235" s="109"/>
      <c r="X235" s="156">
        <f t="shared" ref="X235:AG235" si="853">(X234)/($O$2*100)</f>
        <v>5.0020073261769256E-5</v>
      </c>
      <c r="Y235" s="156">
        <f t="shared" si="853"/>
        <v>2.23926293651593E-3</v>
      </c>
      <c r="Z235" s="156">
        <f t="shared" si="853"/>
        <v>1.9033734960385411E-3</v>
      </c>
      <c r="AA235" s="156">
        <f t="shared" si="853"/>
        <v>1.6178674716327598E-3</v>
      </c>
      <c r="AB235" s="156">
        <f t="shared" si="853"/>
        <v>1.3751873508878456E-3</v>
      </c>
      <c r="AC235" s="156">
        <f t="shared" si="853"/>
        <v>1.1689092482546689E-3</v>
      </c>
      <c r="AD235" s="156">
        <f t="shared" si="853"/>
        <v>9.9357286101646848E-4</v>
      </c>
      <c r="AE235" s="156">
        <f t="shared" si="853"/>
        <v>8.4453693186399852E-4</v>
      </c>
      <c r="AF235" s="156">
        <f t="shared" si="853"/>
        <v>7.178563920843987E-4</v>
      </c>
      <c r="AG235" s="156">
        <f t="shared" si="853"/>
        <v>6.1017793327173902E-4</v>
      </c>
      <c r="AH235" s="115" t="e">
        <f t="shared" si="845"/>
        <v>#DIV/0!</v>
      </c>
      <c r="AI235" s="21">
        <f t="shared" si="846"/>
        <v>0.02</v>
      </c>
      <c r="AJ235" s="156" t="e">
        <f>(#REF!)/($O$2*100)</f>
        <v>#REF!</v>
      </c>
    </row>
    <row r="236" spans="2:36" x14ac:dyDescent="0.2">
      <c r="B236" s="10" t="s">
        <v>434</v>
      </c>
      <c r="C236" s="110"/>
      <c r="D236" s="110"/>
      <c r="E236" s="110"/>
      <c r="F236" s="110"/>
      <c r="G236" s="128">
        <f t="shared" ref="G236" si="854">G235-1</f>
        <v>-1</v>
      </c>
      <c r="H236" s="128">
        <f t="shared" ref="H236:T236" si="855">H235-1</f>
        <v>-1</v>
      </c>
      <c r="I236" s="128">
        <f t="shared" si="855"/>
        <v>-1</v>
      </c>
      <c r="J236" s="128">
        <f t="shared" si="855"/>
        <v>-1</v>
      </c>
      <c r="K236" s="128">
        <f t="shared" si="855"/>
        <v>-1</v>
      </c>
      <c r="L236" s="128">
        <f t="shared" si="855"/>
        <v>-1</v>
      </c>
      <c r="M236" s="128">
        <f t="shared" si="855"/>
        <v>-1</v>
      </c>
      <c r="N236" s="128">
        <f t="shared" si="855"/>
        <v>-1</v>
      </c>
      <c r="O236" s="128">
        <f t="shared" si="855"/>
        <v>-1</v>
      </c>
      <c r="P236" s="128">
        <f t="shared" si="855"/>
        <v>-1</v>
      </c>
      <c r="Q236" s="128">
        <f t="shared" si="855"/>
        <v>-1</v>
      </c>
      <c r="R236" s="128">
        <f t="shared" si="855"/>
        <v>-1</v>
      </c>
      <c r="S236" s="128">
        <f t="shared" si="855"/>
        <v>-0.90681019688994269</v>
      </c>
      <c r="T236" s="128">
        <f t="shared" si="855"/>
        <v>-0.44552067149515917</v>
      </c>
      <c r="U236" s="128">
        <f t="shared" ref="U236" si="856">U235-1</f>
        <v>-0.81362039377988538</v>
      </c>
      <c r="V236" s="101">
        <f t="shared" si="719"/>
        <v>-2.0414873097030606E-2</v>
      </c>
      <c r="W236" s="109"/>
      <c r="X236" s="128">
        <f t="shared" ref="X236:AG236" si="857">X235-1</f>
        <v>-0.99994997992673829</v>
      </c>
      <c r="Y236" s="128">
        <f t="shared" si="857"/>
        <v>-0.99776073706348412</v>
      </c>
      <c r="Z236" s="128">
        <f t="shared" si="857"/>
        <v>-0.99809662650396147</v>
      </c>
      <c r="AA236" s="128">
        <f t="shared" si="857"/>
        <v>-0.99838213252836727</v>
      </c>
      <c r="AB236" s="128">
        <f t="shared" si="857"/>
        <v>-0.99862481264911218</v>
      </c>
      <c r="AC236" s="128">
        <f t="shared" si="857"/>
        <v>-0.99883109075174537</v>
      </c>
      <c r="AD236" s="128">
        <f t="shared" si="857"/>
        <v>-0.99900642713898358</v>
      </c>
      <c r="AE236" s="128">
        <f t="shared" si="857"/>
        <v>-0.99915546306813596</v>
      </c>
      <c r="AF236" s="128">
        <f t="shared" si="857"/>
        <v>-0.99928214360791556</v>
      </c>
      <c r="AG236" s="128">
        <f t="shared" si="857"/>
        <v>-0.99938982206672822</v>
      </c>
      <c r="AH236" s="115">
        <f t="shared" si="845"/>
        <v>-3.0517742703572992E-5</v>
      </c>
      <c r="AI236" s="21">
        <f t="shared" si="846"/>
        <v>0.02</v>
      </c>
      <c r="AJ236" s="156" t="e">
        <f>(AJ220)/($O$2*100)</f>
        <v>#DIV/0!</v>
      </c>
    </row>
    <row r="237" spans="2:36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 x14ac:dyDescent="0.2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 x14ac:dyDescent="0.2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 x14ac:dyDescent="0.2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0.85169347667433226</v>
      </c>
      <c r="T241" s="109">
        <f>(U205-X192)/U205</f>
        <v>0.81461772287535084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 x14ac:dyDescent="0.2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427.29808649202528</v>
      </c>
      <c r="Q242" s="10"/>
      <c r="R242" s="10"/>
      <c r="S242" s="109">
        <f>(U205-Y183)/U205</f>
        <v>198.64729464630261</v>
      </c>
      <c r="T242" s="109">
        <f>(U205-X183)/U205</f>
        <v>16.501748599710009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 x14ac:dyDescent="0.2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-55.086369153847414</v>
      </c>
      <c r="Q243" s="10"/>
      <c r="R243" s="10"/>
      <c r="S243" s="109">
        <f>(U205-Y176)/U205</f>
        <v>-25.003680244056532</v>
      </c>
      <c r="T243" s="109">
        <f>(U205-X176)/U205</f>
        <v>-1.0395043328671789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 x14ac:dyDescent="0.2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-39.074252427107851</v>
      </c>
      <c r="Q244" s="10"/>
      <c r="R244" s="10"/>
      <c r="S244" s="109">
        <f>(U205-Y189)/U205</f>
        <v>-17.579880670750004</v>
      </c>
      <c r="T244" s="109">
        <f>(U205-X189)/U205</f>
        <v>-0.45724554280392199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 x14ac:dyDescent="0.2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 x14ac:dyDescent="0.2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0.29236016661978759</v>
      </c>
      <c r="T246" s="15">
        <f>U205/X175</f>
        <v>3.7275921244022912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 x14ac:dyDescent="0.2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3.4204386033904997</v>
      </c>
      <c r="T247" s="128">
        <f>1/T246</f>
        <v>0.26826969438356862</v>
      </c>
      <c r="U247" s="128"/>
      <c r="V247" s="10"/>
      <c r="W247" s="10"/>
      <c r="X247" s="110">
        <f>U205-X248</f>
        <v>370.60623477733054</v>
      </c>
      <c r="Y247" s="160">
        <f>X247-Y248</f>
        <v>336.80340477126066</v>
      </c>
      <c r="Z247" s="160">
        <f t="shared" ref="Z247:AB247" si="858">Y247-Z248</f>
        <v>297.93015026428026</v>
      </c>
      <c r="AA247" s="160">
        <f t="shared" si="858"/>
        <v>253.22590758125284</v>
      </c>
      <c r="AB247" s="160">
        <f t="shared" si="858"/>
        <v>201.81602849577129</v>
      </c>
      <c r="AC247" s="160">
        <f>AB247-AC248</f>
        <v>142.69466754746753</v>
      </c>
      <c r="AD247" s="160">
        <f t="shared" ref="AD247:AG247" si="859">AC247-AD248</f>
        <v>74.705102456918198</v>
      </c>
      <c r="AE247" s="160">
        <f t="shared" si="859"/>
        <v>-3.4828973972135344</v>
      </c>
      <c r="AF247" s="160">
        <f t="shared" si="859"/>
        <v>-93.399097229465013</v>
      </c>
      <c r="AG247" s="160">
        <f t="shared" si="859"/>
        <v>-196.80272703655419</v>
      </c>
      <c r="AH247" s="160">
        <f t="shared" ref="AH247" si="860">AG247-AH248</f>
        <v>-315.71690131470677</v>
      </c>
      <c r="AI247" s="160">
        <f t="shared" ref="AI247" si="861">AH247-AI248</f>
        <v>-452.46820173458218</v>
      </c>
      <c r="AJ247" s="160">
        <f t="shared" ref="AJ247" si="862">AI247-AJ248</f>
        <v>-609.73219721743885</v>
      </c>
      <c r="AK247" s="160">
        <f t="shared" ref="AK247" si="863">AJ247-AK248</f>
        <v>-790.58579202272404</v>
      </c>
      <c r="AL247" s="160">
        <f t="shared" ref="AL247" si="864">AK247-AL248</f>
        <v>-998.56742604880196</v>
      </c>
      <c r="AM247" s="160">
        <f t="shared" ref="AM247" si="865">AL247-AM248</f>
        <v>-1237.7463051787915</v>
      </c>
      <c r="AN247" s="160">
        <f t="shared" ref="AN247" si="866">AM247-AN248</f>
        <v>-1512.8020161782797</v>
      </c>
      <c r="AO247" s="160">
        <f t="shared" ref="AO247" si="867">AN247-AO248</f>
        <v>-1829.116083827691</v>
      </c>
      <c r="AP247" s="160">
        <f t="shared" ref="AP247" si="868">AO247-AP248</f>
        <v>-2192.8772616245142</v>
      </c>
      <c r="AQ247" s="160">
        <f t="shared" ref="AQ247" si="869">AP247-AQ248</f>
        <v>-2611.2026160908604</v>
      </c>
      <c r="AR247" s="160">
        <f t="shared" ref="AR247" si="870">AQ247-AR248</f>
        <v>-3092.2767737271588</v>
      </c>
      <c r="AS247" s="160">
        <f t="shared" ref="AS247" si="871">AR247-AS248</f>
        <v>-3645.5120550089018</v>
      </c>
      <c r="AT247" s="160">
        <f t="shared" ref="AT247" si="872">AS247-AT248</f>
        <v>-4281.732628482906</v>
      </c>
      <c r="AU247" s="160">
        <f t="shared" ref="AU247" si="873">AT247-AU248</f>
        <v>-5013.3862879780108</v>
      </c>
      <c r="AV247" s="160">
        <f t="shared" ref="AV247" si="874">AU247-AV248</f>
        <v>-5854.7879963973819</v>
      </c>
      <c r="AW247" s="160">
        <f t="shared" ref="AW247" si="875">AV247-AW248</f>
        <v>-6822.3999610796582</v>
      </c>
      <c r="AX247" s="160">
        <f t="shared" ref="AX247" si="876">AW247-AX248</f>
        <v>-7935.1537204642755</v>
      </c>
    </row>
    <row r="248" spans="2:50" x14ac:dyDescent="0.2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57.805331680099194</v>
      </c>
      <c r="T248" s="156" t="s">
        <v>409</v>
      </c>
      <c r="U248" s="156"/>
      <c r="V248" s="10"/>
      <c r="W248" s="10"/>
      <c r="X248" s="161">
        <f>V174*(1+$N$248)</f>
        <v>29.393765222669479</v>
      </c>
      <c r="Y248" s="161">
        <f>X248*(1+$N$248)</f>
        <v>33.802830006069897</v>
      </c>
      <c r="Z248" s="161">
        <f t="shared" ref="Z248:AG248" si="877">Y248*(1+$N$248)</f>
        <v>38.873254506980381</v>
      </c>
      <c r="AA248" s="161">
        <f t="shared" si="877"/>
        <v>44.704242683027431</v>
      </c>
      <c r="AB248" s="161">
        <f t="shared" si="877"/>
        <v>51.409879085481542</v>
      </c>
      <c r="AC248" s="161">
        <f t="shared" si="877"/>
        <v>59.121360948303767</v>
      </c>
      <c r="AD248" s="161">
        <f t="shared" si="877"/>
        <v>67.989565090549334</v>
      </c>
      <c r="AE248" s="161">
        <f t="shared" si="877"/>
        <v>78.187999854131732</v>
      </c>
      <c r="AF248" s="161">
        <f t="shared" si="877"/>
        <v>89.916199832251479</v>
      </c>
      <c r="AG248" s="161">
        <f t="shared" si="877"/>
        <v>103.40362980708919</v>
      </c>
      <c r="AH248" s="161">
        <f t="shared" ref="AH248" si="878">AG248*(1+$N$248)</f>
        <v>118.91417427815256</v>
      </c>
      <c r="AI248" s="161">
        <f t="shared" ref="AI248" si="879">AH248*(1+$N$248)</f>
        <v>136.75130041987543</v>
      </c>
      <c r="AJ248" s="161">
        <f t="shared" ref="AJ248" si="880">AI248*(1+$N$248)</f>
        <v>157.26399548285673</v>
      </c>
      <c r="AK248" s="161">
        <f t="shared" ref="AK248" si="881">AJ248*(1+$N$248)</f>
        <v>180.85359480528521</v>
      </c>
      <c r="AL248" s="161">
        <f t="shared" ref="AL248" si="882">AK248*(1+$N$248)</f>
        <v>207.98163402607798</v>
      </c>
      <c r="AM248" s="161">
        <f t="shared" ref="AM248" si="883">AL248*(1+$N$248)</f>
        <v>239.17887912998967</v>
      </c>
      <c r="AN248" s="161">
        <f t="shared" ref="AN248" si="884">AM248*(1+$N$248)</f>
        <v>275.0557109994881</v>
      </c>
      <c r="AO248" s="161">
        <f t="shared" ref="AO248" si="885">AN248*(1+$N$248)</f>
        <v>316.3140676494113</v>
      </c>
      <c r="AP248" s="161">
        <f t="shared" ref="AP248" si="886">AO248*(1+$N$248)</f>
        <v>363.76117779682295</v>
      </c>
      <c r="AQ248" s="161">
        <f t="shared" ref="AQ248" si="887">AP248*(1+$N$248)</f>
        <v>418.32535446634637</v>
      </c>
      <c r="AR248" s="161">
        <f t="shared" ref="AR248" si="888">AQ248*(1+$N$248)</f>
        <v>481.07415763629831</v>
      </c>
      <c r="AS248" s="161">
        <f t="shared" ref="AS248" si="889">AR248*(1+$N$248)</f>
        <v>553.23528128174303</v>
      </c>
      <c r="AT248" s="161">
        <f t="shared" ref="AT248" si="890">AS248*(1+$N$248)</f>
        <v>636.22057347400448</v>
      </c>
      <c r="AU248" s="161">
        <f t="shared" ref="AU248" si="891">AT248*(1+$N$248)</f>
        <v>731.6536594951051</v>
      </c>
      <c r="AV248" s="161">
        <f t="shared" ref="AV248" si="892">AU248*(1+$N$248)</f>
        <v>841.40170841937083</v>
      </c>
      <c r="AW248" s="161">
        <f t="shared" ref="AW248" si="893">AV248*(1+$N$248)</f>
        <v>967.61196468227638</v>
      </c>
      <c r="AX248" s="161">
        <f t="shared" ref="AX248" si="894">AW248*(1+$N$248)</f>
        <v>1112.7537593846178</v>
      </c>
    </row>
    <row r="249" spans="2:50" x14ac:dyDescent="0.2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37.679541108986612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8.0298043187325927</v>
      </c>
      <c r="T249" s="156" t="s">
        <v>409</v>
      </c>
      <c r="U249" s="156"/>
      <c r="V249" s="10"/>
      <c r="W249" s="10"/>
      <c r="X249" s="161">
        <f>T76*(1+$N$249)</f>
        <v>36.319444444444443</v>
      </c>
      <c r="Y249" s="161">
        <f>X249*(1+$N$249)</f>
        <v>41.767361111111107</v>
      </c>
      <c r="Z249" s="161">
        <f t="shared" ref="Z249:AG249" si="895">Y249*(1+$N$249)</f>
        <v>48.032465277777767</v>
      </c>
      <c r="AA249" s="161">
        <f t="shared" si="895"/>
        <v>55.237335069444427</v>
      </c>
      <c r="AB249" s="161">
        <f t="shared" si="895"/>
        <v>63.522935329861085</v>
      </c>
      <c r="AC249" s="161">
        <f t="shared" si="895"/>
        <v>73.051375629340242</v>
      </c>
      <c r="AD249" s="161">
        <f t="shared" si="895"/>
        <v>84.009081973741274</v>
      </c>
      <c r="AE249" s="161">
        <f t="shared" si="895"/>
        <v>96.610444269802457</v>
      </c>
      <c r="AF249" s="161">
        <f t="shared" si="895"/>
        <v>111.10201091027281</v>
      </c>
      <c r="AG249" s="161">
        <f t="shared" si="895"/>
        <v>127.76731254681373</v>
      </c>
      <c r="AH249" s="161">
        <f t="shared" ref="AH249" si="896">AG249*(1+$N$249)</f>
        <v>146.93240942883577</v>
      </c>
      <c r="AI249" s="161">
        <f t="shared" ref="AI249" si="897">AH249*(1+$N$249)</f>
        <v>168.97227084316111</v>
      </c>
      <c r="AJ249" s="161">
        <f t="shared" ref="AJ249" si="898">AI249*(1+$N$249)</f>
        <v>194.31811146963526</v>
      </c>
      <c r="AK249" s="161">
        <f t="shared" ref="AK249" si="899">AJ249*(1+$N$249)</f>
        <v>223.46582819008052</v>
      </c>
      <c r="AL249" s="161">
        <f t="shared" ref="AL249" si="900">AK249*(1+$N$249)</f>
        <v>256.98570241859255</v>
      </c>
      <c r="AM249" s="161">
        <f t="shared" ref="AM249" si="901">AL249*(1+$N$249)</f>
        <v>295.53355778138143</v>
      </c>
      <c r="AN249" s="161">
        <f t="shared" ref="AN249" si="902">AM249*(1+$N$249)</f>
        <v>339.86359144858864</v>
      </c>
      <c r="AO249" s="161">
        <f t="shared" ref="AO249" si="903">AN249*(1+$N$249)</f>
        <v>390.84313016587691</v>
      </c>
      <c r="AP249" s="161">
        <f t="shared" ref="AP249" si="904">AO249*(1+$N$249)</f>
        <v>449.4695996907584</v>
      </c>
      <c r="AQ249" s="161">
        <f t="shared" ref="AQ249" si="905">AP249*(1+$N$249)</f>
        <v>516.89003964437211</v>
      </c>
      <c r="AR249" s="161">
        <f t="shared" ref="AR249" si="906">AQ249*(1+$N$249)</f>
        <v>594.42354559102785</v>
      </c>
      <c r="AS249" s="161">
        <f t="shared" ref="AS249" si="907">AR249*(1+$N$249)</f>
        <v>683.58707742968193</v>
      </c>
      <c r="AT249" s="161">
        <f t="shared" ref="AT249" si="908">AS249*(1+$N$249)</f>
        <v>786.12513904413413</v>
      </c>
      <c r="AU249" s="161">
        <f t="shared" ref="AU249" si="909">AT249*(1+$N$249)</f>
        <v>904.04390990075422</v>
      </c>
      <c r="AV249" s="161">
        <f t="shared" ref="AV249" si="910">AU249*(1+$N$249)</f>
        <v>1039.6504963858672</v>
      </c>
      <c r="AW249" s="161">
        <f t="shared" ref="AW249" si="911">AV249*(1+$N$249)</f>
        <v>1195.5980708437471</v>
      </c>
      <c r="AX249" s="161">
        <f t="shared" ref="AX249" si="912">AW249*(1+$N$249)</f>
        <v>1374.9377814703091</v>
      </c>
    </row>
    <row r="250" spans="2:50" x14ac:dyDescent="0.2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363.68055555555554</v>
      </c>
      <c r="Y250" s="160">
        <f>X250-Y249</f>
        <v>321.91319444444446</v>
      </c>
      <c r="Z250" s="160">
        <f t="shared" ref="Z250:AE250" si="913">Y250-Z249</f>
        <v>273.8807291666667</v>
      </c>
      <c r="AA250" s="160">
        <f t="shared" si="913"/>
        <v>218.64339409722226</v>
      </c>
      <c r="AB250" s="160">
        <f t="shared" si="913"/>
        <v>155.12045876736119</v>
      </c>
      <c r="AC250" s="160">
        <f t="shared" si="913"/>
        <v>82.069083138020943</v>
      </c>
      <c r="AD250" s="160">
        <f t="shared" si="913"/>
        <v>-1.9399988357203313</v>
      </c>
      <c r="AE250" s="160">
        <f t="shared" si="913"/>
        <v>-98.550443105522788</v>
      </c>
      <c r="AF250" s="160">
        <f>AE250-AF249</f>
        <v>-209.6524540157956</v>
      </c>
      <c r="AG250" s="160">
        <f t="shared" ref="AG250" si="914">AF250-AG249</f>
        <v>-337.41976656260931</v>
      </c>
      <c r="AH250" s="160">
        <f t="shared" ref="AH250" si="915">AG250-AH249</f>
        <v>-484.35217599144505</v>
      </c>
      <c r="AI250" s="160">
        <f t="shared" ref="AI250" si="916">AH250-AI249</f>
        <v>-653.32444683460619</v>
      </c>
      <c r="AJ250" s="160">
        <f t="shared" ref="AJ250" si="917">AI250-AJ249</f>
        <v>-847.64255830424145</v>
      </c>
      <c r="AK250" s="160">
        <f t="shared" ref="AK250" si="918">AJ250-AK249</f>
        <v>-1071.1083864943221</v>
      </c>
      <c r="AL250" s="160">
        <f t="shared" ref="AL250" si="919">AK250-AL249</f>
        <v>-1328.0940889129147</v>
      </c>
      <c r="AM250" s="160">
        <f t="shared" ref="AM250" si="920">AL250-AM249</f>
        <v>-1623.6276466942961</v>
      </c>
      <c r="AN250" s="160">
        <f t="shared" ref="AN250" si="921">AM250-AN249</f>
        <v>-1963.4912381428849</v>
      </c>
      <c r="AO250" s="160">
        <f t="shared" ref="AO250" si="922">AN250-AO249</f>
        <v>-2354.3343683087619</v>
      </c>
      <c r="AP250" s="160">
        <f t="shared" ref="AP250" si="923">AO250-AP249</f>
        <v>-2803.8039679995204</v>
      </c>
      <c r="AQ250" s="160">
        <f t="shared" ref="AQ250" si="924">AP250-AQ249</f>
        <v>-3320.6940076438923</v>
      </c>
      <c r="AR250" s="160">
        <f t="shared" ref="AR250" si="925">AQ250-AR249</f>
        <v>-3915.1175532349203</v>
      </c>
      <c r="AS250" s="160">
        <f t="shared" ref="AS250" si="926">AR250-AS249</f>
        <v>-4598.7046306646025</v>
      </c>
      <c r="AT250" s="160">
        <f t="shared" ref="AT250" si="927">AS250-AT249</f>
        <v>-5384.8297697087364</v>
      </c>
      <c r="AU250" s="160">
        <f t="shared" ref="AU250" si="928">AT250-AU249</f>
        <v>-6288.8736796094909</v>
      </c>
      <c r="AV250" s="160">
        <f t="shared" ref="AV250" si="929">AU250-AV249</f>
        <v>-7328.5241759953578</v>
      </c>
      <c r="AW250" s="160">
        <f t="shared" ref="AW250" si="930">AV250-AW249</f>
        <v>-8524.1222468391043</v>
      </c>
      <c r="AX250" s="160">
        <f t="shared" ref="AX250" si="931">AW250-AX249</f>
        <v>-9899.0600283094136</v>
      </c>
    </row>
    <row r="251" spans="2:50" x14ac:dyDescent="0.2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 x14ac:dyDescent="0.2">
      <c r="B252" s="10" t="s">
        <v>254</v>
      </c>
      <c r="C252" s="15"/>
      <c r="D252" s="15"/>
      <c r="E252" s="15"/>
      <c r="F252" s="15"/>
      <c r="G252" s="15"/>
      <c r="H252" s="15" t="e">
        <f t="shared" ref="H252:I252" si="932">H10/H7</f>
        <v>#DIV/0!</v>
      </c>
      <c r="I252" s="15" t="e">
        <f t="shared" si="932"/>
        <v>#DIV/0!</v>
      </c>
      <c r="J252" s="15" t="e">
        <f t="shared" ref="J252:T252" si="933">J10/J7</f>
        <v>#DIV/0!</v>
      </c>
      <c r="K252" s="15">
        <f t="shared" si="933"/>
        <v>11.208333333333334</v>
      </c>
      <c r="L252" s="15">
        <f t="shared" si="933"/>
        <v>10.879069767441861</v>
      </c>
      <c r="M252" s="15">
        <f t="shared" si="933"/>
        <v>9.6897810218978098</v>
      </c>
      <c r="N252" s="15">
        <f t="shared" si="933"/>
        <v>9.4583333333333339</v>
      </c>
      <c r="O252" s="15">
        <f t="shared" si="933"/>
        <v>7</v>
      </c>
      <c r="P252" s="15">
        <f t="shared" si="933"/>
        <v>8.9563106796116507</v>
      </c>
      <c r="Q252" s="15">
        <f t="shared" si="933"/>
        <v>8.9892933618843678</v>
      </c>
      <c r="R252" s="15">
        <f t="shared" si="933"/>
        <v>9.2043010752688179</v>
      </c>
      <c r="S252" s="15">
        <f t="shared" si="933"/>
        <v>11.232634032634033</v>
      </c>
      <c r="T252" s="15">
        <f t="shared" si="933"/>
        <v>5.7434104357181281</v>
      </c>
      <c r="U252" s="15">
        <f t="shared" ref="U252" si="934">U10/U7</f>
        <v>8.0295517909647707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x14ac:dyDescent="0.2">
      <c r="B253" s="10" t="s">
        <v>255</v>
      </c>
      <c r="C253" s="96"/>
      <c r="D253" s="96"/>
      <c r="E253" s="96"/>
      <c r="F253" s="96"/>
      <c r="G253" s="96"/>
      <c r="H253" s="96" t="e">
        <f t="shared" ref="H253:I253" si="936">H10/H12</f>
        <v>#DIV/0!</v>
      </c>
      <c r="I253" s="96" t="e">
        <f t="shared" si="936"/>
        <v>#DIV/0!</v>
      </c>
      <c r="J253" s="96" t="e">
        <f t="shared" ref="J253:T253" si="937">J10/J12</f>
        <v>#DIV/0!</v>
      </c>
      <c r="K253" s="96">
        <f t="shared" si="937"/>
        <v>94.15</v>
      </c>
      <c r="L253" s="96">
        <f t="shared" si="937"/>
        <v>111.38095238095238</v>
      </c>
      <c r="M253" s="96">
        <f t="shared" si="937"/>
        <v>379.28571428571428</v>
      </c>
      <c r="N253" s="96">
        <f t="shared" si="937"/>
        <v>47.432835820895519</v>
      </c>
      <c r="O253" s="96">
        <f t="shared" si="937"/>
        <v>253.90909090909091</v>
      </c>
      <c r="P253" s="96">
        <f t="shared" si="937"/>
        <v>43.2421875</v>
      </c>
      <c r="Q253" s="96">
        <f t="shared" si="937"/>
        <v>60.655974570148828</v>
      </c>
      <c r="R253" s="96">
        <f t="shared" si="937"/>
        <v>49.665529010238906</v>
      </c>
      <c r="S253" s="96">
        <f t="shared" si="937"/>
        <v>97.153225806451616</v>
      </c>
      <c r="T253" s="96">
        <f t="shared" si="937"/>
        <v>212.12582781456953</v>
      </c>
      <c r="U253" s="96">
        <f t="shared" ref="U253" si="938">U10/U12</f>
        <v>17.973701866926053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 x14ac:dyDescent="0.2">
      <c r="B254" s="10" t="s">
        <v>256</v>
      </c>
      <c r="C254" s="15"/>
      <c r="D254" s="15"/>
      <c r="E254" s="15"/>
      <c r="F254" s="15"/>
      <c r="G254" s="15"/>
      <c r="H254" s="15" t="e">
        <f t="shared" ref="H254:I254" si="939">H10/(H12+H13)</f>
        <v>#DIV/0!</v>
      </c>
      <c r="I254" s="15" t="e">
        <f t="shared" si="939"/>
        <v>#DIV/0!</v>
      </c>
      <c r="J254" s="15" t="e">
        <f t="shared" ref="J254:T254" si="940">J10/(J12+J13)</f>
        <v>#DIV/0!</v>
      </c>
      <c r="K254" s="15">
        <f t="shared" si="940"/>
        <v>12.148387096774194</v>
      </c>
      <c r="L254" s="15">
        <f t="shared" si="940"/>
        <v>6.0439276485788112</v>
      </c>
      <c r="M254" s="15">
        <f t="shared" si="940"/>
        <v>6.0894495412844041</v>
      </c>
      <c r="N254" s="15">
        <f t="shared" si="940"/>
        <v>8.4297082228116711</v>
      </c>
      <c r="O254" s="15">
        <f t="shared" si="940"/>
        <v>7.1799485861182522</v>
      </c>
      <c r="P254" s="15">
        <f t="shared" si="940"/>
        <v>6.1227876106194694</v>
      </c>
      <c r="Q254" s="15">
        <f t="shared" si="940"/>
        <v>10.71711214929412</v>
      </c>
      <c r="R254" s="15">
        <f t="shared" si="940"/>
        <v>7.7486687965921197</v>
      </c>
      <c r="S254" s="15">
        <f t="shared" si="940"/>
        <v>12.884491978609626</v>
      </c>
      <c r="T254" s="15">
        <f t="shared" si="940"/>
        <v>9.3384839650145768</v>
      </c>
      <c r="U254" s="15">
        <f t="shared" ref="U254" si="941">U10/(U12+U13)</f>
        <v>9.7425858791111519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 x14ac:dyDescent="0.2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 x14ac:dyDescent="0.2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 x14ac:dyDescent="0.2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200</v>
      </c>
      <c r="P259" s="148">
        <f>O259</f>
        <v>200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 x14ac:dyDescent="0.2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 x14ac:dyDescent="0.2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200</v>
      </c>
      <c r="P261" s="148">
        <f>O261</f>
        <v>200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 x14ac:dyDescent="0.2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0</v>
      </c>
      <c r="L262" s="10"/>
      <c r="M262" s="142" t="s">
        <v>287</v>
      </c>
      <c r="N262" s="142"/>
      <c r="O262" s="11">
        <v>450</v>
      </c>
      <c r="P262" s="11">
        <v>1700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 x14ac:dyDescent="0.2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0</v>
      </c>
      <c r="L263" s="10"/>
      <c r="M263" s="142" t="s">
        <v>288</v>
      </c>
      <c r="N263" s="142"/>
      <c r="O263" s="143">
        <f>O262*O260</f>
        <v>450</v>
      </c>
      <c r="P263" s="143">
        <f>P262*P260</f>
        <v>1700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 x14ac:dyDescent="0.2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 x14ac:dyDescent="0.2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 x14ac:dyDescent="0.2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2.25</v>
      </c>
      <c r="P266" s="145">
        <f>P263/P261</f>
        <v>8.5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 x14ac:dyDescent="0.2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 x14ac:dyDescent="0.2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 x14ac:dyDescent="0.2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 x14ac:dyDescent="0.2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 x14ac:dyDescent="0.2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 x14ac:dyDescent="0.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 x14ac:dyDescent="0.2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 x14ac:dyDescent="0.2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 x14ac:dyDescent="0.2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 x14ac:dyDescent="0.2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 x14ac:dyDescent="0.2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 x14ac:dyDescent="0.2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 x14ac:dyDescent="0.2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 x14ac:dyDescent="0.2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 x14ac:dyDescent="0.2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 x14ac:dyDescent="0.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 x14ac:dyDescent="0.2">
      <c r="B3" s="322" t="s">
        <v>373</v>
      </c>
      <c r="C3" s="323"/>
      <c r="F3" s="322" t="s">
        <v>374</v>
      </c>
      <c r="G3" s="323"/>
    </row>
    <row r="4" spans="2:7" x14ac:dyDescent="0.2">
      <c r="B4" s="163" t="s">
        <v>375</v>
      </c>
      <c r="C4" s="163"/>
      <c r="F4" s="163" t="s">
        <v>376</v>
      </c>
      <c r="G4" s="163"/>
    </row>
    <row r="5" spans="2:7" x14ac:dyDescent="0.2">
      <c r="B5" s="163" t="s">
        <v>377</v>
      </c>
      <c r="C5" s="163"/>
      <c r="F5" s="163" t="s">
        <v>241</v>
      </c>
      <c r="G5" s="163"/>
    </row>
    <row r="6" spans="2:7" x14ac:dyDescent="0.2">
      <c r="B6" s="163" t="s">
        <v>378</v>
      </c>
      <c r="C6" s="163"/>
      <c r="F6" s="163" t="s">
        <v>379</v>
      </c>
      <c r="G6" s="163"/>
    </row>
    <row r="7" spans="2:7" x14ac:dyDescent="0.2">
      <c r="B7" s="163" t="s">
        <v>380</v>
      </c>
      <c r="C7" s="163"/>
      <c r="F7" s="163" t="s">
        <v>381</v>
      </c>
      <c r="G7" s="163"/>
    </row>
    <row r="8" spans="2:7" x14ac:dyDescent="0.2">
      <c r="B8" s="163" t="s">
        <v>382</v>
      </c>
      <c r="C8" s="163"/>
      <c r="F8" s="163" t="s">
        <v>383</v>
      </c>
      <c r="G8" s="163"/>
    </row>
    <row r="9" spans="2:7" x14ac:dyDescent="0.2">
      <c r="B9" s="163" t="s">
        <v>384</v>
      </c>
      <c r="C9" s="163"/>
      <c r="F9" s="163" t="s">
        <v>385</v>
      </c>
      <c r="G9" s="163"/>
    </row>
    <row r="10" spans="2:7" x14ac:dyDescent="0.2">
      <c r="B10" s="163" t="s">
        <v>383</v>
      </c>
      <c r="C10" s="163"/>
      <c r="F10" s="163"/>
      <c r="G10" s="163"/>
    </row>
    <row r="11" spans="2:7" x14ac:dyDescent="0.2">
      <c r="B11" s="163" t="s">
        <v>386</v>
      </c>
      <c r="C11" s="163"/>
      <c r="F11" s="163"/>
      <c r="G11" s="163"/>
    </row>
    <row r="12" spans="2:7" x14ac:dyDescent="0.2">
      <c r="B12" s="163" t="s">
        <v>387</v>
      </c>
      <c r="C12" s="163"/>
      <c r="F12" s="163"/>
      <c r="G12" s="163"/>
    </row>
    <row r="13" spans="2:7" x14ac:dyDescent="0.2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2019-12-19T19:10:02Z</dcterms:modified>
</cp:coreProperties>
</file>
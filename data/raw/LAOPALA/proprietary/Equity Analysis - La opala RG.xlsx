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P193" i="18" l="1"/>
  <c r="O193" i="18"/>
  <c r="N193" i="18"/>
  <c r="M193" i="18"/>
  <c r="L193" i="18"/>
  <c r="K193" i="18"/>
  <c r="J193" i="18"/>
  <c r="I193" i="18"/>
  <c r="H193" i="18"/>
  <c r="G193" i="18"/>
  <c r="P192" i="18"/>
  <c r="O192" i="18"/>
  <c r="N192" i="18"/>
  <c r="M192" i="18"/>
  <c r="L192" i="18"/>
  <c r="K192" i="18"/>
  <c r="J192" i="18"/>
  <c r="I192" i="18"/>
  <c r="H192" i="18"/>
  <c r="G192" i="18"/>
  <c r="Q191" i="18"/>
  <c r="Q192" i="18" s="1"/>
  <c r="Q193" i="18" s="1"/>
  <c r="P191" i="18"/>
  <c r="O191" i="18"/>
  <c r="N191" i="18"/>
  <c r="M191" i="18"/>
  <c r="L191" i="18"/>
  <c r="K191" i="18"/>
  <c r="J191" i="18"/>
  <c r="I191" i="18"/>
  <c r="H191" i="18"/>
  <c r="G191" i="18"/>
  <c r="Q86" i="18"/>
  <c r="P86" i="18"/>
  <c r="R86" i="18" s="1"/>
  <c r="O86" i="18"/>
  <c r="N86" i="18"/>
  <c r="M86" i="18"/>
  <c r="L86" i="18"/>
  <c r="K86" i="18"/>
  <c r="J86" i="18"/>
  <c r="I86" i="18"/>
  <c r="H86" i="18"/>
  <c r="G86" i="18"/>
  <c r="S145" i="18" s="1"/>
  <c r="P203" i="18" s="1"/>
  <c r="C1" i="18" l="1"/>
  <c r="AE55" i="18" l="1"/>
  <c r="AE54" i="18"/>
  <c r="AE52" i="18"/>
  <c r="G55" i="18"/>
  <c r="G180" i="18" s="1"/>
  <c r="H55" i="18"/>
  <c r="H180" i="18" s="1"/>
  <c r="I55" i="18"/>
  <c r="I180" i="18" s="1"/>
  <c r="J55" i="18"/>
  <c r="J180" i="18" s="1"/>
  <c r="K55" i="18"/>
  <c r="K180" i="18" s="1"/>
  <c r="L55" i="18"/>
  <c r="L180" i="18" s="1"/>
  <c r="M55" i="18"/>
  <c r="M180" i="18" s="1"/>
  <c r="N55" i="18"/>
  <c r="N180" i="18" s="1"/>
  <c r="O55" i="18"/>
  <c r="O180" i="18" s="1"/>
  <c r="P55" i="18"/>
  <c r="Q55" i="18"/>
  <c r="Q180" i="18" s="1"/>
  <c r="G54" i="18"/>
  <c r="G179" i="18" s="1"/>
  <c r="H54" i="18"/>
  <c r="H179" i="18" s="1"/>
  <c r="I54" i="18"/>
  <c r="I179" i="18" s="1"/>
  <c r="J54" i="18"/>
  <c r="J179" i="18" s="1"/>
  <c r="K54" i="18"/>
  <c r="K179" i="18" s="1"/>
  <c r="L54" i="18"/>
  <c r="L179" i="18" s="1"/>
  <c r="M54" i="18"/>
  <c r="M179" i="18" s="1"/>
  <c r="N54" i="18"/>
  <c r="N179" i="18" s="1"/>
  <c r="O54" i="18"/>
  <c r="O179" i="18" s="1"/>
  <c r="P54" i="18"/>
  <c r="P179" i="18" s="1"/>
  <c r="Q54" i="18"/>
  <c r="Q179" i="18" s="1"/>
  <c r="R179" i="18" l="1"/>
  <c r="R55" i="18"/>
  <c r="P180" i="18"/>
  <c r="R180" i="18" s="1"/>
  <c r="R54" i="18"/>
  <c r="G122" i="18" l="1"/>
  <c r="H122" i="18"/>
  <c r="I122" i="18"/>
  <c r="J122" i="18"/>
  <c r="K122" i="18"/>
  <c r="L122" i="18"/>
  <c r="M122" i="18"/>
  <c r="N122" i="18"/>
  <c r="O122" i="18"/>
  <c r="P122" i="18"/>
  <c r="Q122" i="18"/>
  <c r="Q121" i="18"/>
  <c r="R122" i="18" l="1"/>
  <c r="H220" i="18"/>
  <c r="H217" i="18"/>
  <c r="H218" i="18"/>
  <c r="H219" i="18"/>
  <c r="Q209" i="18" l="1"/>
  <c r="Q208" i="18"/>
  <c r="Q207" i="18"/>
  <c r="Q187" i="18"/>
  <c r="Q50" i="18"/>
  <c r="Q177" i="18" s="1"/>
  <c r="Q51" i="18"/>
  <c r="Q52" i="18"/>
  <c r="Q94" i="18" s="1"/>
  <c r="Q56" i="18"/>
  <c r="P204" i="18" s="1"/>
  <c r="Q57" i="18"/>
  <c r="Q58" i="18"/>
  <c r="Q59" i="18"/>
  <c r="Q181" i="18" s="1"/>
  <c r="Q60" i="18"/>
  <c r="Q62" i="18"/>
  <c r="Q63" i="18"/>
  <c r="Q64" i="18"/>
  <c r="Q184" i="18" s="1"/>
  <c r="Q66" i="18"/>
  <c r="Q67" i="18"/>
  <c r="Q69" i="18"/>
  <c r="Q70" i="18"/>
  <c r="Q183" i="18" s="1"/>
  <c r="Q72" i="18"/>
  <c r="Q114" i="18" s="1"/>
  <c r="Q115" i="18" s="1"/>
  <c r="Q74" i="18"/>
  <c r="Q76" i="18" s="1"/>
  <c r="Q77" i="18"/>
  <c r="Q78" i="18"/>
  <c r="Q79" i="18"/>
  <c r="Q80" i="18"/>
  <c r="Q82" i="18"/>
  <c r="Q139" i="18" s="1"/>
  <c r="Q83" i="18"/>
  <c r="Q84" i="18"/>
  <c r="Q89" i="18"/>
  <c r="Q90" i="18"/>
  <c r="Q91" i="18"/>
  <c r="Q92" i="18"/>
  <c r="Q93" i="18"/>
  <c r="Q96" i="18"/>
  <c r="Q102" i="18" s="1"/>
  <c r="Q97" i="18"/>
  <c r="Q103" i="18" s="1"/>
  <c r="Q98" i="18"/>
  <c r="Q104" i="18" s="1"/>
  <c r="Q99" i="18"/>
  <c r="Q105" i="18" s="1"/>
  <c r="Q100" i="18"/>
  <c r="Q106" i="18" s="1"/>
  <c r="Q109" i="18"/>
  <c r="Q110" i="18"/>
  <c r="Q111" i="18"/>
  <c r="Q112" i="18"/>
  <c r="Q120" i="18"/>
  <c r="Q124" i="18"/>
  <c r="Q125" i="18"/>
  <c r="Q126" i="18"/>
  <c r="Q129" i="18"/>
  <c r="Q130" i="18"/>
  <c r="Q131" i="18"/>
  <c r="Q132" i="18"/>
  <c r="Q134" i="18"/>
  <c r="Q135" i="18"/>
  <c r="Q137" i="18"/>
  <c r="Q138" i="18" s="1"/>
  <c r="Q141" i="18"/>
  <c r="Q142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8" i="18" l="1"/>
  <c r="Q188" i="18" s="1"/>
  <c r="Q189" i="18" s="1"/>
  <c r="Q68" i="18"/>
  <c r="Q182" i="18" s="1"/>
  <c r="Q116" i="18"/>
  <c r="Q117" i="18" s="1"/>
  <c r="Q118" i="18"/>
  <c r="Q186" i="18"/>
  <c r="H52" i="18"/>
  <c r="H94" i="18" s="1"/>
  <c r="I52" i="18"/>
  <c r="I94" i="18" s="1"/>
  <c r="J52" i="18"/>
  <c r="J94" i="18" s="1"/>
  <c r="K52" i="18"/>
  <c r="K94" i="18" s="1"/>
  <c r="L52" i="18"/>
  <c r="L94" i="18" s="1"/>
  <c r="M52" i="18"/>
  <c r="M94" i="18" s="1"/>
  <c r="N52" i="18"/>
  <c r="N94" i="18" s="1"/>
  <c r="O52" i="18"/>
  <c r="O94" i="18" s="1"/>
  <c r="P52" i="18"/>
  <c r="P94" i="18" s="1"/>
  <c r="G52" i="18"/>
  <c r="G94" i="18" s="1"/>
  <c r="P43" i="18"/>
  <c r="O43" i="18"/>
  <c r="N43" i="18"/>
  <c r="M43" i="18"/>
  <c r="L43" i="18"/>
  <c r="K43" i="18"/>
  <c r="J43" i="18"/>
  <c r="I43" i="18"/>
  <c r="H43" i="18"/>
  <c r="G43" i="18"/>
  <c r="H204" i="18" l="1"/>
  <c r="R94" i="18"/>
  <c r="R52" i="18"/>
  <c r="S44" i="18"/>
  <c r="T44" i="18" s="1"/>
  <c r="K200" i="18" l="1"/>
  <c r="K199" i="18"/>
  <c r="K198" i="18"/>
  <c r="K197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T55" i="18" s="1"/>
  <c r="U38" i="18" l="1"/>
  <c r="K204" i="18"/>
  <c r="T204" i="18" s="1"/>
  <c r="T205" i="18" s="1"/>
  <c r="K203" i="18"/>
  <c r="V38" i="18" l="1"/>
  <c r="U218" i="18"/>
  <c r="U219" i="18" s="1"/>
  <c r="D216" i="18"/>
  <c r="G230" i="18" s="1"/>
  <c r="K230" i="18" s="1"/>
  <c r="H216" i="18"/>
  <c r="L26" i="18"/>
  <c r="L109" i="18"/>
  <c r="J109" i="18"/>
  <c r="H109" i="18"/>
  <c r="G109" i="18"/>
  <c r="I109" i="18"/>
  <c r="K109" i="18"/>
  <c r="M109" i="18"/>
  <c r="N109" i="18"/>
  <c r="O109" i="18"/>
  <c r="P109" i="18"/>
  <c r="H142" i="18"/>
  <c r="I142" i="18"/>
  <c r="J142" i="18"/>
  <c r="K142" i="18"/>
  <c r="L142" i="18"/>
  <c r="M142" i="18"/>
  <c r="N142" i="18"/>
  <c r="O142" i="18"/>
  <c r="P142" i="18"/>
  <c r="H141" i="18"/>
  <c r="I141" i="18"/>
  <c r="J141" i="18"/>
  <c r="K141" i="18"/>
  <c r="L141" i="18"/>
  <c r="M141" i="18"/>
  <c r="N141" i="18"/>
  <c r="O141" i="18"/>
  <c r="P141" i="18"/>
  <c r="G234" i="18"/>
  <c r="G235" i="18" s="1"/>
  <c r="AE57" i="18"/>
  <c r="H57" i="18"/>
  <c r="I57" i="18"/>
  <c r="J57" i="18"/>
  <c r="K57" i="18"/>
  <c r="L57" i="18"/>
  <c r="M57" i="18"/>
  <c r="N57" i="18"/>
  <c r="O57" i="18"/>
  <c r="P57" i="18"/>
  <c r="G57" i="18"/>
  <c r="H225" i="18"/>
  <c r="D224" i="18"/>
  <c r="G231" i="18" s="1"/>
  <c r="K231" i="18" s="1"/>
  <c r="H223" i="18"/>
  <c r="I223" i="18" s="1"/>
  <c r="J223" i="18" s="1"/>
  <c r="J224" i="18" s="1"/>
  <c r="H221" i="18"/>
  <c r="H215" i="18"/>
  <c r="H214" i="18"/>
  <c r="I214" i="18" s="1"/>
  <c r="J214" i="18" s="1"/>
  <c r="W38" i="18" l="1"/>
  <c r="G236" i="18"/>
  <c r="G233" i="18"/>
  <c r="D226" i="18"/>
  <c r="K234" i="18"/>
  <c r="R57" i="18"/>
  <c r="K233" i="18"/>
  <c r="I215" i="18"/>
  <c r="J215" i="18" s="1"/>
  <c r="I225" i="18"/>
  <c r="J225" i="18" s="1"/>
  <c r="J226" i="18" s="1"/>
  <c r="H93" i="18"/>
  <c r="I93" i="18"/>
  <c r="J93" i="18"/>
  <c r="K93" i="18"/>
  <c r="L93" i="18"/>
  <c r="M93" i="18"/>
  <c r="N93" i="18"/>
  <c r="O93" i="18"/>
  <c r="P93" i="18"/>
  <c r="G93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42" i="18"/>
  <c r="G141" i="18"/>
  <c r="AE14" i="18"/>
  <c r="S14" i="18"/>
  <c r="U215" i="18"/>
  <c r="U214" i="18"/>
  <c r="O215" i="18"/>
  <c r="O218" i="18" s="1"/>
  <c r="O214" i="18"/>
  <c r="H100" i="18"/>
  <c r="H106" i="18" s="1"/>
  <c r="I100" i="18"/>
  <c r="I106" i="18" s="1"/>
  <c r="J100" i="18"/>
  <c r="J106" i="18" s="1"/>
  <c r="K100" i="18"/>
  <c r="K106" i="18" s="1"/>
  <c r="L100" i="18"/>
  <c r="L106" i="18" s="1"/>
  <c r="M100" i="18"/>
  <c r="M106" i="18" s="1"/>
  <c r="N100" i="18"/>
  <c r="N106" i="18" s="1"/>
  <c r="O100" i="18"/>
  <c r="O106" i="18" s="1"/>
  <c r="P100" i="18"/>
  <c r="P106" i="18" s="1"/>
  <c r="G100" i="18"/>
  <c r="G106" i="18" s="1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8" i="18"/>
  <c r="H104" i="18" s="1"/>
  <c r="I98" i="18"/>
  <c r="I104" i="18" s="1"/>
  <c r="J98" i="18"/>
  <c r="J104" i="18" s="1"/>
  <c r="K98" i="18"/>
  <c r="K104" i="18" s="1"/>
  <c r="L98" i="18"/>
  <c r="L104" i="18" s="1"/>
  <c r="M98" i="18"/>
  <c r="M104" i="18" s="1"/>
  <c r="N98" i="18"/>
  <c r="N104" i="18" s="1"/>
  <c r="O98" i="18"/>
  <c r="O104" i="18" s="1"/>
  <c r="P98" i="18"/>
  <c r="P104" i="18" s="1"/>
  <c r="G98" i="18"/>
  <c r="G104" i="18" s="1"/>
  <c r="H137" i="18"/>
  <c r="H138" i="18" s="1"/>
  <c r="I137" i="18"/>
  <c r="I138" i="18" s="1"/>
  <c r="J137" i="18"/>
  <c r="J138" i="18" s="1"/>
  <c r="K137" i="18"/>
  <c r="K138" i="18" s="1"/>
  <c r="L137" i="18"/>
  <c r="L138" i="18" s="1"/>
  <c r="M137" i="18"/>
  <c r="M138" i="18" s="1"/>
  <c r="N137" i="18"/>
  <c r="N138" i="18" s="1"/>
  <c r="O137" i="18"/>
  <c r="O138" i="18" s="1"/>
  <c r="P137" i="18"/>
  <c r="P138" i="18" s="1"/>
  <c r="G137" i="18"/>
  <c r="G138" i="18" s="1"/>
  <c r="X38" i="18" l="1"/>
  <c r="R106" i="18"/>
  <c r="R103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04" i="18"/>
  <c r="I216" i="18"/>
  <c r="J216" i="18" s="1"/>
  <c r="R141" i="18"/>
  <c r="R142" i="18"/>
  <c r="R93" i="18"/>
  <c r="R100" i="18"/>
  <c r="R97" i="18"/>
  <c r="R138" i="18"/>
  <c r="R137" i="18"/>
  <c r="R98" i="18"/>
  <c r="P92" i="18"/>
  <c r="P91" i="18"/>
  <c r="H92" i="18"/>
  <c r="I92" i="18"/>
  <c r="J92" i="18"/>
  <c r="K92" i="18"/>
  <c r="L92" i="18"/>
  <c r="M92" i="18"/>
  <c r="N92" i="18"/>
  <c r="O92" i="18"/>
  <c r="G92" i="18"/>
  <c r="G91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H131" i="18"/>
  <c r="I131" i="18"/>
  <c r="J131" i="18"/>
  <c r="K131" i="18"/>
  <c r="L131" i="18"/>
  <c r="M131" i="18"/>
  <c r="N131" i="18"/>
  <c r="O131" i="18"/>
  <c r="P131" i="18"/>
  <c r="G131" i="18"/>
  <c r="H132" i="18"/>
  <c r="I132" i="18"/>
  <c r="J132" i="18"/>
  <c r="K132" i="18"/>
  <c r="L132" i="18"/>
  <c r="M132" i="18"/>
  <c r="N132" i="18"/>
  <c r="O132" i="18"/>
  <c r="P132" i="18"/>
  <c r="G132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B126" i="18"/>
  <c r="B125" i="18"/>
  <c r="AE32" i="18"/>
  <c r="S32" i="18"/>
  <c r="G112" i="18"/>
  <c r="H112" i="18"/>
  <c r="I112" i="18"/>
  <c r="J112" i="18"/>
  <c r="K112" i="18"/>
  <c r="L112" i="18"/>
  <c r="M112" i="18"/>
  <c r="N112" i="18"/>
  <c r="O112" i="18"/>
  <c r="P112" i="18"/>
  <c r="T219" i="18"/>
  <c r="N218" i="18"/>
  <c r="T216" i="18"/>
  <c r="U216" i="18" s="1"/>
  <c r="U221" i="18" s="1"/>
  <c r="N216" i="18"/>
  <c r="O216" i="18" s="1"/>
  <c r="O221" i="18" s="1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I217" i="18" l="1"/>
  <c r="J217" i="18" s="1"/>
  <c r="I218" i="18" s="1"/>
  <c r="J218" i="18" s="1"/>
  <c r="I219" i="18" s="1"/>
  <c r="J219" i="18" s="1"/>
  <c r="I220" i="18" s="1"/>
  <c r="J220" i="18" s="1"/>
  <c r="I221" i="18" s="1"/>
  <c r="J221" i="18" s="1"/>
  <c r="J222" i="18" s="1"/>
  <c r="Y38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32" i="18"/>
  <c r="R92" i="18"/>
  <c r="R129" i="18"/>
  <c r="R135" i="18"/>
  <c r="R134" i="18"/>
  <c r="R130" i="18"/>
  <c r="R131" i="18"/>
  <c r="R124" i="18"/>
  <c r="R125" i="18"/>
  <c r="R126" i="18"/>
  <c r="R112" i="18"/>
  <c r="N221" i="18"/>
  <c r="T221" i="18"/>
  <c r="R121" i="18"/>
  <c r="R120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T54" i="18" s="1"/>
  <c r="S40" i="18"/>
  <c r="T40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6" i="18"/>
  <c r="AE58" i="18"/>
  <c r="AE59" i="18"/>
  <c r="AE60" i="18"/>
  <c r="AE62" i="18"/>
  <c r="AE63" i="18"/>
  <c r="AE64" i="18"/>
  <c r="AE66" i="18"/>
  <c r="AE67" i="18"/>
  <c r="AE68" i="18"/>
  <c r="AE69" i="18"/>
  <c r="AE71" i="18"/>
  <c r="AE72" i="18"/>
  <c r="AE74" i="18"/>
  <c r="AE76" i="18"/>
  <c r="AE77" i="18"/>
  <c r="AE78" i="18"/>
  <c r="AE79" i="18"/>
  <c r="AE80" i="18"/>
  <c r="AE82" i="18"/>
  <c r="AE83" i="18"/>
  <c r="AE84" i="18"/>
  <c r="AE7" i="18"/>
  <c r="AE6" i="18"/>
  <c r="T52" i="18" l="1"/>
  <c r="T86" i="18"/>
  <c r="Z38" i="18"/>
  <c r="AF32" i="18"/>
  <c r="T94" i="18"/>
  <c r="T31" i="18"/>
  <c r="R109" i="18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H99" i="18"/>
  <c r="H105" i="18" s="1"/>
  <c r="I99" i="18"/>
  <c r="I105" i="18" s="1"/>
  <c r="J99" i="18"/>
  <c r="J105" i="18" s="1"/>
  <c r="K99" i="18"/>
  <c r="K105" i="18" s="1"/>
  <c r="L99" i="18"/>
  <c r="L105" i="18" s="1"/>
  <c r="M99" i="18"/>
  <c r="M105" i="18" s="1"/>
  <c r="N99" i="18"/>
  <c r="N105" i="18" s="1"/>
  <c r="O99" i="18"/>
  <c r="O105" i="18" s="1"/>
  <c r="P99" i="18"/>
  <c r="P105" i="18" s="1"/>
  <c r="G99" i="18"/>
  <c r="G105" i="18" s="1"/>
  <c r="G96" i="18"/>
  <c r="G102" i="18" s="1"/>
  <c r="L30" i="18"/>
  <c r="K30" i="18"/>
  <c r="J30" i="18"/>
  <c r="I30" i="18"/>
  <c r="H30" i="18"/>
  <c r="G30" i="18"/>
  <c r="AA38" i="18" l="1"/>
  <c r="U31" i="18"/>
  <c r="T122" i="18"/>
  <c r="R102" i="18"/>
  <c r="R105" i="18"/>
  <c r="U29" i="18"/>
  <c r="R99" i="18"/>
  <c r="R96" i="18"/>
  <c r="H111" i="18"/>
  <c r="I111" i="18"/>
  <c r="J111" i="18"/>
  <c r="K111" i="18"/>
  <c r="L111" i="18"/>
  <c r="M111" i="18"/>
  <c r="N111" i="18"/>
  <c r="O111" i="18"/>
  <c r="P111" i="18"/>
  <c r="G111" i="18"/>
  <c r="H110" i="18"/>
  <c r="I110" i="18"/>
  <c r="J110" i="18"/>
  <c r="K110" i="18"/>
  <c r="L110" i="18"/>
  <c r="M110" i="18"/>
  <c r="N110" i="18"/>
  <c r="O110" i="18"/>
  <c r="P110" i="18"/>
  <c r="G110" i="18"/>
  <c r="AB38" i="18" l="1"/>
  <c r="V31" i="18"/>
  <c r="V29" i="18"/>
  <c r="R110" i="18"/>
  <c r="R111" i="18"/>
  <c r="AF71" i="18"/>
  <c r="AC38" i="18" l="1"/>
  <c r="W31" i="18"/>
  <c r="W29" i="18"/>
  <c r="G187" i="18"/>
  <c r="H187" i="18"/>
  <c r="I187" i="18"/>
  <c r="J187" i="18"/>
  <c r="K187" i="18"/>
  <c r="L187" i="18"/>
  <c r="M187" i="18"/>
  <c r="N187" i="18"/>
  <c r="O187" i="18"/>
  <c r="P187" i="18"/>
  <c r="C9" i="15"/>
  <c r="G72" i="18"/>
  <c r="G114" i="18" s="1"/>
  <c r="G115" i="18" s="1"/>
  <c r="G118" i="18" s="1"/>
  <c r="H72" i="18"/>
  <c r="H114" i="18" s="1"/>
  <c r="H115" i="18" s="1"/>
  <c r="H118" i="18" s="1"/>
  <c r="I72" i="18"/>
  <c r="I114" i="18" s="1"/>
  <c r="I115" i="18" s="1"/>
  <c r="I118" i="18" s="1"/>
  <c r="J72" i="18"/>
  <c r="J114" i="18" s="1"/>
  <c r="J115" i="18" s="1"/>
  <c r="J118" i="18" s="1"/>
  <c r="K72" i="18"/>
  <c r="K114" i="18" s="1"/>
  <c r="K115" i="18" s="1"/>
  <c r="K118" i="18" s="1"/>
  <c r="L72" i="18"/>
  <c r="L114" i="18" s="1"/>
  <c r="L115" i="18" s="1"/>
  <c r="L118" i="18" s="1"/>
  <c r="M72" i="18"/>
  <c r="M114" i="18" s="1"/>
  <c r="M115" i="18" s="1"/>
  <c r="M118" i="18" s="1"/>
  <c r="N72" i="18"/>
  <c r="N114" i="18" s="1"/>
  <c r="N115" i="18" s="1"/>
  <c r="N118" i="18" s="1"/>
  <c r="O72" i="18"/>
  <c r="O114" i="18" s="1"/>
  <c r="O115" i="18" s="1"/>
  <c r="O118" i="18" s="1"/>
  <c r="P72" i="18"/>
  <c r="P114" i="18" s="1"/>
  <c r="AD38" i="18" l="1"/>
  <c r="AF38" i="18"/>
  <c r="X31" i="18"/>
  <c r="T72" i="18"/>
  <c r="T114" i="18" s="1"/>
  <c r="T115" i="18" s="1"/>
  <c r="T118" i="18" s="1"/>
  <c r="X29" i="18"/>
  <c r="R187" i="18"/>
  <c r="N116" i="18"/>
  <c r="N117" i="18" s="1"/>
  <c r="J116" i="18"/>
  <c r="J117" i="18" s="1"/>
  <c r="L116" i="18"/>
  <c r="L117" i="18" s="1"/>
  <c r="H116" i="18"/>
  <c r="H117" i="18" s="1"/>
  <c r="M116" i="18"/>
  <c r="M117" i="18" s="1"/>
  <c r="I116" i="18"/>
  <c r="I117" i="18" s="1"/>
  <c r="O116" i="18"/>
  <c r="O117" i="18" s="1"/>
  <c r="K116" i="18"/>
  <c r="K117" i="18" s="1"/>
  <c r="G116" i="18"/>
  <c r="G117" i="18" s="1"/>
  <c r="P115" i="18"/>
  <c r="P118" i="18" s="1"/>
  <c r="R118" i="18" s="1"/>
  <c r="R114" i="18"/>
  <c r="U44" i="18"/>
  <c r="Y31" i="18" l="1"/>
  <c r="V44" i="18"/>
  <c r="Y29" i="18"/>
  <c r="P116" i="18"/>
  <c r="R115" i="18"/>
  <c r="U72" i="18"/>
  <c r="G82" i="18"/>
  <c r="G139" i="18" s="1"/>
  <c r="H82" i="18"/>
  <c r="H139" i="18" s="1"/>
  <c r="I82" i="18"/>
  <c r="I139" i="18" s="1"/>
  <c r="J82" i="18"/>
  <c r="J139" i="18" s="1"/>
  <c r="K82" i="18"/>
  <c r="K139" i="18" s="1"/>
  <c r="L82" i="18"/>
  <c r="L139" i="18" s="1"/>
  <c r="M82" i="18"/>
  <c r="M139" i="18" s="1"/>
  <c r="N82" i="18"/>
  <c r="N139" i="18" s="1"/>
  <c r="O82" i="18"/>
  <c r="O139" i="18" s="1"/>
  <c r="G83" i="18"/>
  <c r="H83" i="18"/>
  <c r="I83" i="18"/>
  <c r="J83" i="18"/>
  <c r="K83" i="18"/>
  <c r="L83" i="18"/>
  <c r="M83" i="18"/>
  <c r="N83" i="18"/>
  <c r="O83" i="18"/>
  <c r="G84" i="18"/>
  <c r="H84" i="18"/>
  <c r="I84" i="18"/>
  <c r="J84" i="18"/>
  <c r="K84" i="18"/>
  <c r="L84" i="18"/>
  <c r="M84" i="18"/>
  <c r="N84" i="18"/>
  <c r="O84" i="18"/>
  <c r="P84" i="18"/>
  <c r="P83" i="18"/>
  <c r="P82" i="18"/>
  <c r="P139" i="18" s="1"/>
  <c r="H91" i="18"/>
  <c r="I91" i="18"/>
  <c r="J91" i="18"/>
  <c r="K91" i="18"/>
  <c r="L91" i="18"/>
  <c r="M91" i="18"/>
  <c r="N91" i="18"/>
  <c r="O91" i="18"/>
  <c r="G90" i="18"/>
  <c r="H90" i="18"/>
  <c r="I90" i="18"/>
  <c r="J90" i="18"/>
  <c r="K90" i="18"/>
  <c r="L90" i="18"/>
  <c r="M90" i="18"/>
  <c r="N90" i="18"/>
  <c r="O90" i="18"/>
  <c r="G89" i="18"/>
  <c r="H89" i="18"/>
  <c r="I89" i="18"/>
  <c r="J89" i="18"/>
  <c r="K89" i="18"/>
  <c r="L89" i="18"/>
  <c r="M89" i="18"/>
  <c r="N89" i="18"/>
  <c r="O89" i="18"/>
  <c r="P90" i="18"/>
  <c r="G41" i="18"/>
  <c r="G28" i="18"/>
  <c r="G11" i="18"/>
  <c r="G8" i="18"/>
  <c r="G26" i="18"/>
  <c r="Z31" i="18" l="1"/>
  <c r="W44" i="18"/>
  <c r="V72" i="18"/>
  <c r="R139" i="18"/>
  <c r="Z29" i="18"/>
  <c r="R84" i="18"/>
  <c r="R82" i="18"/>
  <c r="R83" i="18"/>
  <c r="R90" i="18"/>
  <c r="R91" i="18"/>
  <c r="P89" i="18"/>
  <c r="R89" i="18" s="1"/>
  <c r="H209" i="18"/>
  <c r="I209" i="18"/>
  <c r="J209" i="18"/>
  <c r="K209" i="18"/>
  <c r="L209" i="18"/>
  <c r="M209" i="18"/>
  <c r="N209" i="18"/>
  <c r="O209" i="18"/>
  <c r="P209" i="18"/>
  <c r="G209" i="18"/>
  <c r="H208" i="18"/>
  <c r="I208" i="18"/>
  <c r="J208" i="18"/>
  <c r="K208" i="18"/>
  <c r="L208" i="18"/>
  <c r="M208" i="18"/>
  <c r="N208" i="18"/>
  <c r="O208" i="18"/>
  <c r="P208" i="18"/>
  <c r="G208" i="18"/>
  <c r="H207" i="18"/>
  <c r="I207" i="18"/>
  <c r="J207" i="18"/>
  <c r="K207" i="18"/>
  <c r="L207" i="18"/>
  <c r="M207" i="18"/>
  <c r="N207" i="18"/>
  <c r="O207" i="18"/>
  <c r="P207" i="18"/>
  <c r="G207" i="18"/>
  <c r="H51" i="18"/>
  <c r="I51" i="18"/>
  <c r="J51" i="18"/>
  <c r="K51" i="18"/>
  <c r="L51" i="18"/>
  <c r="M51" i="18"/>
  <c r="N51" i="18"/>
  <c r="O51" i="18"/>
  <c r="P51" i="18"/>
  <c r="G51" i="18"/>
  <c r="G56" i="18"/>
  <c r="H50" i="18"/>
  <c r="H177" i="18" s="1"/>
  <c r="I50" i="18"/>
  <c r="I177" i="18" s="1"/>
  <c r="J50" i="18"/>
  <c r="J177" i="18" s="1"/>
  <c r="K50" i="18"/>
  <c r="K177" i="18" s="1"/>
  <c r="L50" i="18"/>
  <c r="L177" i="18" s="1"/>
  <c r="M50" i="18"/>
  <c r="M177" i="18" s="1"/>
  <c r="N50" i="18"/>
  <c r="N177" i="18" s="1"/>
  <c r="O50" i="18"/>
  <c r="O177" i="18" s="1"/>
  <c r="P50" i="18"/>
  <c r="P177" i="18" s="1"/>
  <c r="G50" i="18"/>
  <c r="G177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7" i="18"/>
  <c r="T103" i="18" s="1"/>
  <c r="AA31" i="18" l="1"/>
  <c r="G186" i="18"/>
  <c r="X44" i="18"/>
  <c r="W72" i="18"/>
  <c r="R177" i="18"/>
  <c r="AA29" i="18"/>
  <c r="U36" i="18"/>
  <c r="R209" i="18"/>
  <c r="R51" i="18"/>
  <c r="R50" i="18"/>
  <c r="R208" i="18"/>
  <c r="R207" i="18"/>
  <c r="U97" i="18" l="1"/>
  <c r="U103" i="18" s="1"/>
  <c r="AB31" i="18"/>
  <c r="Y44" i="18"/>
  <c r="X72" i="18"/>
  <c r="AB29" i="18"/>
  <c r="V36" i="18"/>
  <c r="I79" i="18"/>
  <c r="J79" i="18"/>
  <c r="K79" i="18"/>
  <c r="L79" i="18"/>
  <c r="M79" i="18"/>
  <c r="N79" i="18"/>
  <c r="O79" i="18"/>
  <c r="P79" i="18"/>
  <c r="I80" i="18"/>
  <c r="J80" i="18"/>
  <c r="K80" i="18"/>
  <c r="L80" i="18"/>
  <c r="M80" i="18"/>
  <c r="N80" i="18"/>
  <c r="O80" i="18"/>
  <c r="P80" i="18"/>
  <c r="I74" i="18"/>
  <c r="I76" i="18" s="1"/>
  <c r="J74" i="18"/>
  <c r="J76" i="18" s="1"/>
  <c r="K74" i="18"/>
  <c r="K76" i="18" s="1"/>
  <c r="L74" i="18"/>
  <c r="L76" i="18" s="1"/>
  <c r="M74" i="18"/>
  <c r="M76" i="18" s="1"/>
  <c r="N74" i="18"/>
  <c r="N76" i="18" s="1"/>
  <c r="O74" i="18"/>
  <c r="O76" i="18" s="1"/>
  <c r="P74" i="18"/>
  <c r="P76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G77" i="18"/>
  <c r="G78" i="18"/>
  <c r="G79" i="18"/>
  <c r="G80" i="18"/>
  <c r="H80" i="18"/>
  <c r="H79" i="18"/>
  <c r="U22" i="18"/>
  <c r="V22" i="18" s="1"/>
  <c r="W22" i="18" s="1"/>
  <c r="X22" i="18" s="1"/>
  <c r="Y22" i="18" s="1"/>
  <c r="Z22" i="18" s="1"/>
  <c r="AA22" i="18" s="1"/>
  <c r="AB22" i="18" s="1"/>
  <c r="AC22" i="18" s="1"/>
  <c r="G74" i="18"/>
  <c r="G76" i="18" s="1"/>
  <c r="H74" i="18"/>
  <c r="H76" i="18" s="1"/>
  <c r="H78" i="18"/>
  <c r="H77" i="18"/>
  <c r="V97" i="18" l="1"/>
  <c r="V103" i="18" s="1"/>
  <c r="AC31" i="18"/>
  <c r="AD31" i="18" s="1"/>
  <c r="Z44" i="18"/>
  <c r="Y72" i="18"/>
  <c r="U23" i="18"/>
  <c r="T100" i="18"/>
  <c r="T106" i="18" s="1"/>
  <c r="AC29" i="18"/>
  <c r="AD22" i="18"/>
  <c r="AF22" i="18"/>
  <c r="W36" i="18"/>
  <c r="R79" i="18"/>
  <c r="R80" i="18"/>
  <c r="R78" i="18"/>
  <c r="R76" i="18"/>
  <c r="R77" i="18"/>
  <c r="R74" i="18"/>
  <c r="T57" i="18"/>
  <c r="U21" i="18"/>
  <c r="R72" i="18"/>
  <c r="R176" i="18"/>
  <c r="AF31" i="18" l="1"/>
  <c r="W97" i="18"/>
  <c r="W103" i="18" s="1"/>
  <c r="Z72" i="18"/>
  <c r="AA44" i="18"/>
  <c r="V23" i="18"/>
  <c r="U100" i="18"/>
  <c r="U106" i="18" s="1"/>
  <c r="AF29" i="18"/>
  <c r="AD29" i="18"/>
  <c r="U20" i="18"/>
  <c r="T74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3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O70" i="18"/>
  <c r="O183" i="18" s="1"/>
  <c r="O69" i="18"/>
  <c r="O67" i="18"/>
  <c r="O66" i="18"/>
  <c r="O64" i="18"/>
  <c r="O184" i="18" s="1"/>
  <c r="O63" i="18"/>
  <c r="O62" i="18"/>
  <c r="O60" i="18"/>
  <c r="O59" i="18"/>
  <c r="O181" i="18" s="1"/>
  <c r="O58" i="18"/>
  <c r="O56" i="18"/>
  <c r="X97" i="18" l="1"/>
  <c r="X103" i="18" s="1"/>
  <c r="AA72" i="18"/>
  <c r="AB44" i="18"/>
  <c r="U74" i="18"/>
  <c r="T131" i="18"/>
  <c r="T141" i="18"/>
  <c r="T132" i="18"/>
  <c r="T142" i="18"/>
  <c r="W23" i="18"/>
  <c r="V100" i="18"/>
  <c r="V106" i="18" s="1"/>
  <c r="T125" i="18"/>
  <c r="T126" i="18"/>
  <c r="T124" i="18"/>
  <c r="T112" i="18"/>
  <c r="P117" i="18"/>
  <c r="R117" i="18" s="1"/>
  <c r="R116" i="18"/>
  <c r="T96" i="18"/>
  <c r="T102" i="18" s="1"/>
  <c r="T121" i="18"/>
  <c r="T120" i="18"/>
  <c r="U18" i="18"/>
  <c r="O178" i="18"/>
  <c r="O188" i="18" s="1"/>
  <c r="O189" i="18" s="1"/>
  <c r="O186" i="18"/>
  <c r="V20" i="18"/>
  <c r="U27" i="18"/>
  <c r="Y36" i="18"/>
  <c r="U25" i="18"/>
  <c r="T89" i="18"/>
  <c r="W21" i="18"/>
  <c r="AD33" i="18"/>
  <c r="AD34" i="18"/>
  <c r="AD9" i="18"/>
  <c r="O68" i="18"/>
  <c r="O182" i="18" s="1"/>
  <c r="G64" i="18"/>
  <c r="G184" i="18" s="1"/>
  <c r="H64" i="18"/>
  <c r="H184" i="18" s="1"/>
  <c r="I64" i="18"/>
  <c r="I184" i="18" s="1"/>
  <c r="J64" i="18"/>
  <c r="J184" i="18" s="1"/>
  <c r="K64" i="18"/>
  <c r="K184" i="18" s="1"/>
  <c r="L64" i="18"/>
  <c r="L184" i="18" s="1"/>
  <c r="M64" i="18"/>
  <c r="M184" i="18" s="1"/>
  <c r="N64" i="18"/>
  <c r="N184" i="18" s="1"/>
  <c r="P64" i="18"/>
  <c r="Y97" i="18" l="1"/>
  <c r="Y103" i="18" s="1"/>
  <c r="U93" i="18"/>
  <c r="U122" i="18"/>
  <c r="AC44" i="18"/>
  <c r="AB72" i="18"/>
  <c r="U132" i="18"/>
  <c r="U142" i="18"/>
  <c r="U131" i="18"/>
  <c r="U141" i="18"/>
  <c r="X23" i="18"/>
  <c r="W100" i="18"/>
  <c r="W106" i="18" s="1"/>
  <c r="U124" i="18"/>
  <c r="U126" i="18"/>
  <c r="U125" i="18"/>
  <c r="U112" i="18"/>
  <c r="U96" i="18"/>
  <c r="U102" i="18" s="1"/>
  <c r="U121" i="18"/>
  <c r="U120" i="18"/>
  <c r="V18" i="18"/>
  <c r="W20" i="18"/>
  <c r="V74" i="18"/>
  <c r="V27" i="18"/>
  <c r="V25" i="18"/>
  <c r="V122" i="18" s="1"/>
  <c r="U89" i="18"/>
  <c r="Z36" i="18"/>
  <c r="X21" i="18"/>
  <c r="P184" i="18"/>
  <c r="R184" i="18" s="1"/>
  <c r="R64" i="18"/>
  <c r="G63" i="18"/>
  <c r="H63" i="18"/>
  <c r="I63" i="18"/>
  <c r="J63" i="18"/>
  <c r="K63" i="18"/>
  <c r="L63" i="18"/>
  <c r="M63" i="18"/>
  <c r="N63" i="18"/>
  <c r="P63" i="18"/>
  <c r="G62" i="18"/>
  <c r="H62" i="18"/>
  <c r="I62" i="18"/>
  <c r="J62" i="18"/>
  <c r="K62" i="18"/>
  <c r="L62" i="18"/>
  <c r="M62" i="18"/>
  <c r="N62" i="18"/>
  <c r="P62" i="18"/>
  <c r="Z97" i="18" l="1"/>
  <c r="Z103" i="18" s="1"/>
  <c r="AF44" i="18"/>
  <c r="AC72" i="18"/>
  <c r="AD44" i="18"/>
  <c r="V131" i="18"/>
  <c r="V141" i="18"/>
  <c r="V132" i="18"/>
  <c r="V142" i="18"/>
  <c r="V93" i="18"/>
  <c r="Y23" i="18"/>
  <c r="X100" i="18"/>
  <c r="X106" i="18" s="1"/>
  <c r="V126" i="18"/>
  <c r="V125" i="18"/>
  <c r="V124" i="18"/>
  <c r="V112" i="18"/>
  <c r="V96" i="18"/>
  <c r="V102" i="18" s="1"/>
  <c r="V121" i="18"/>
  <c r="V120" i="18"/>
  <c r="W18" i="18"/>
  <c r="X20" i="18"/>
  <c r="W74" i="18"/>
  <c r="W27" i="18"/>
  <c r="W25" i="18"/>
  <c r="V89" i="18"/>
  <c r="AA36" i="18"/>
  <c r="Y21" i="18"/>
  <c r="R62" i="18"/>
  <c r="R63" i="18"/>
  <c r="C46" i="15"/>
  <c r="AA97" i="18" l="1"/>
  <c r="AA103" i="18" s="1"/>
  <c r="W93" i="18"/>
  <c r="W122" i="18"/>
  <c r="T163" i="18"/>
  <c r="Q196" i="18" s="1"/>
  <c r="AF72" i="18"/>
  <c r="U163" i="18" s="1"/>
  <c r="AD72" i="18"/>
  <c r="W132" i="18"/>
  <c r="W142" i="18"/>
  <c r="W131" i="18"/>
  <c r="W141" i="18"/>
  <c r="Z23" i="18"/>
  <c r="Y100" i="18"/>
  <c r="Y106" i="18" s="1"/>
  <c r="W112" i="18"/>
  <c r="W126" i="18"/>
  <c r="W125" i="18"/>
  <c r="W124" i="18"/>
  <c r="W96" i="18"/>
  <c r="W102" i="18" s="1"/>
  <c r="W121" i="18"/>
  <c r="W120" i="18"/>
  <c r="X18" i="18"/>
  <c r="Y20" i="18"/>
  <c r="X74" i="18"/>
  <c r="X27" i="18"/>
  <c r="X25" i="18"/>
  <c r="X122" i="18" s="1"/>
  <c r="W89" i="18"/>
  <c r="AB36" i="18"/>
  <c r="Z21" i="18"/>
  <c r="H56" i="18"/>
  <c r="R145" i="18" s="1"/>
  <c r="T203" i="18" s="1"/>
  <c r="T202" i="18" s="1"/>
  <c r="I56" i="18"/>
  <c r="J56" i="18"/>
  <c r="K56" i="18"/>
  <c r="L56" i="18"/>
  <c r="L186" i="18" s="1"/>
  <c r="M56" i="18"/>
  <c r="N56" i="18"/>
  <c r="N186" i="18" s="1"/>
  <c r="P56" i="18"/>
  <c r="G70" i="18"/>
  <c r="H70" i="18"/>
  <c r="H183" i="18" s="1"/>
  <c r="I70" i="18"/>
  <c r="I183" i="18" s="1"/>
  <c r="J70" i="18"/>
  <c r="J183" i="18" s="1"/>
  <c r="K70" i="18"/>
  <c r="K183" i="18" s="1"/>
  <c r="L70" i="18"/>
  <c r="L183" i="18" s="1"/>
  <c r="M70" i="18"/>
  <c r="M183" i="18" s="1"/>
  <c r="N70" i="18"/>
  <c r="P70" i="18"/>
  <c r="G69" i="18"/>
  <c r="H69" i="18"/>
  <c r="I69" i="18"/>
  <c r="J69" i="18"/>
  <c r="K69" i="18"/>
  <c r="L69" i="18"/>
  <c r="M69" i="18"/>
  <c r="N69" i="18"/>
  <c r="P69" i="18"/>
  <c r="G67" i="18"/>
  <c r="H67" i="18"/>
  <c r="I67" i="18"/>
  <c r="J67" i="18"/>
  <c r="K67" i="18"/>
  <c r="L67" i="18"/>
  <c r="M67" i="18"/>
  <c r="N67" i="18"/>
  <c r="P67" i="18"/>
  <c r="G66" i="18"/>
  <c r="H66" i="18"/>
  <c r="I66" i="18"/>
  <c r="J66" i="18"/>
  <c r="K66" i="18"/>
  <c r="L66" i="18"/>
  <c r="M66" i="18"/>
  <c r="N66" i="18"/>
  <c r="P66" i="18"/>
  <c r="G60" i="18"/>
  <c r="H60" i="18"/>
  <c r="I60" i="18"/>
  <c r="J60" i="18"/>
  <c r="K60" i="18"/>
  <c r="L60" i="18"/>
  <c r="M60" i="18"/>
  <c r="N60" i="18"/>
  <c r="P60" i="18"/>
  <c r="G59" i="18"/>
  <c r="H59" i="18"/>
  <c r="H181" i="18" s="1"/>
  <c r="I59" i="18"/>
  <c r="I181" i="18" s="1"/>
  <c r="J59" i="18"/>
  <c r="J181" i="18" s="1"/>
  <c r="K59" i="18"/>
  <c r="K181" i="18" s="1"/>
  <c r="L59" i="18"/>
  <c r="L181" i="18" s="1"/>
  <c r="M59" i="18"/>
  <c r="M181" i="18" s="1"/>
  <c r="N59" i="18"/>
  <c r="P59" i="18"/>
  <c r="G58" i="18"/>
  <c r="H58" i="18"/>
  <c r="I58" i="18"/>
  <c r="J58" i="18"/>
  <c r="K58" i="18"/>
  <c r="L58" i="18"/>
  <c r="M58" i="18"/>
  <c r="N58" i="18"/>
  <c r="P58" i="18"/>
  <c r="T129" i="18"/>
  <c r="T137" i="18"/>
  <c r="T138" i="18" s="1"/>
  <c r="T98" i="18"/>
  <c r="T104" i="18" s="1"/>
  <c r="T187" i="18" l="1"/>
  <c r="T180" i="18"/>
  <c r="T179" i="18"/>
  <c r="AB97" i="18"/>
  <c r="AB103" i="18" s="1"/>
  <c r="T109" i="18"/>
  <c r="S163" i="18"/>
  <c r="P196" i="18" s="1"/>
  <c r="X131" i="18"/>
  <c r="X141" i="18"/>
  <c r="X93" i="18"/>
  <c r="X132" i="18"/>
  <c r="X142" i="18"/>
  <c r="AA23" i="18"/>
  <c r="Z100" i="18"/>
  <c r="Z106" i="18" s="1"/>
  <c r="T91" i="18"/>
  <c r="T92" i="18"/>
  <c r="T135" i="18"/>
  <c r="T134" i="18"/>
  <c r="T99" i="18"/>
  <c r="T105" i="18" s="1"/>
  <c r="T130" i="18"/>
  <c r="H186" i="18"/>
  <c r="H178" i="18"/>
  <c r="H188" i="18" s="1"/>
  <c r="H189" i="18" s="1"/>
  <c r="X112" i="18"/>
  <c r="X125" i="18"/>
  <c r="X124" i="18"/>
  <c r="X126" i="18"/>
  <c r="T111" i="18"/>
  <c r="T116" i="18"/>
  <c r="T117" i="18" s="1"/>
  <c r="X96" i="18"/>
  <c r="X102" i="18" s="1"/>
  <c r="X121" i="18"/>
  <c r="X120" i="18"/>
  <c r="T110" i="18"/>
  <c r="Y18" i="18"/>
  <c r="P178" i="18"/>
  <c r="P188" i="18" s="1"/>
  <c r="P186" i="18"/>
  <c r="R186" i="18" s="1"/>
  <c r="K178" i="18"/>
  <c r="K188" i="18" s="1"/>
  <c r="K189" i="18" s="1"/>
  <c r="K186" i="18"/>
  <c r="J178" i="18"/>
  <c r="J188" i="18" s="1"/>
  <c r="J189" i="18" s="1"/>
  <c r="J186" i="18"/>
  <c r="M178" i="18"/>
  <c r="M188" i="18" s="1"/>
  <c r="M189" i="18" s="1"/>
  <c r="M186" i="18"/>
  <c r="I178" i="18"/>
  <c r="I188" i="18" s="1"/>
  <c r="I189" i="18" s="1"/>
  <c r="I186" i="18"/>
  <c r="Z20" i="18"/>
  <c r="Y74" i="18"/>
  <c r="H68" i="18"/>
  <c r="H182" i="18" s="1"/>
  <c r="Y27" i="18"/>
  <c r="U12" i="18"/>
  <c r="U15" i="18"/>
  <c r="U129" i="18" s="1"/>
  <c r="U13" i="18"/>
  <c r="U10" i="18"/>
  <c r="U16" i="18"/>
  <c r="U137" i="18" s="1"/>
  <c r="U138" i="18" s="1"/>
  <c r="U6" i="18"/>
  <c r="U7" i="18"/>
  <c r="Y25" i="18"/>
  <c r="X89" i="18"/>
  <c r="U40" i="18"/>
  <c r="T90" i="18"/>
  <c r="AC36" i="18"/>
  <c r="L68" i="18"/>
  <c r="L182" i="18" s="1"/>
  <c r="K68" i="18"/>
  <c r="K182" i="18" s="1"/>
  <c r="J68" i="18"/>
  <c r="J182" i="18" s="1"/>
  <c r="AA21" i="18"/>
  <c r="U176" i="18"/>
  <c r="U187" i="18" s="1"/>
  <c r="I68" i="18"/>
  <c r="I182" i="18" s="1"/>
  <c r="R58" i="18"/>
  <c r="G181" i="18"/>
  <c r="R59" i="18"/>
  <c r="R60" i="18"/>
  <c r="R67" i="18"/>
  <c r="R69" i="18"/>
  <c r="G178" i="18"/>
  <c r="G188" i="18" s="1"/>
  <c r="G189" i="18" s="1"/>
  <c r="R56" i="18"/>
  <c r="G183" i="18"/>
  <c r="R70" i="18"/>
  <c r="G68" i="18"/>
  <c r="R66" i="18"/>
  <c r="N181" i="18"/>
  <c r="N178" i="18"/>
  <c r="N188" i="18" s="1"/>
  <c r="N189" i="18" s="1"/>
  <c r="N183" i="18"/>
  <c r="P181" i="18"/>
  <c r="L178" i="18"/>
  <c r="L188" i="18" s="1"/>
  <c r="L189" i="18" s="1"/>
  <c r="N68" i="18"/>
  <c r="M68" i="18"/>
  <c r="M182" i="18" s="1"/>
  <c r="P183" i="18"/>
  <c r="P68" i="18"/>
  <c r="T67" i="18"/>
  <c r="C6" i="12"/>
  <c r="C26" i="15"/>
  <c r="C58" i="15"/>
  <c r="C57" i="15"/>
  <c r="C54" i="15"/>
  <c r="C53" i="15"/>
  <c r="C50" i="15"/>
  <c r="C49" i="15"/>
  <c r="C45" i="15"/>
  <c r="Y93" i="18" l="1"/>
  <c r="Y122" i="18"/>
  <c r="P189" i="18"/>
  <c r="R188" i="18"/>
  <c r="U98" i="18"/>
  <c r="U104" i="18" s="1"/>
  <c r="U52" i="18"/>
  <c r="U94" i="18" s="1"/>
  <c r="U204" i="18"/>
  <c r="V204" i="18" s="1"/>
  <c r="W204" i="18" s="1"/>
  <c r="X204" i="18" s="1"/>
  <c r="Y204" i="18" s="1"/>
  <c r="Z204" i="18" s="1"/>
  <c r="AA204" i="18" s="1"/>
  <c r="AB204" i="18" s="1"/>
  <c r="AC204" i="18" s="1"/>
  <c r="AD204" i="18" s="1"/>
  <c r="AE204" i="18" s="1"/>
  <c r="AF204" i="18" s="1"/>
  <c r="AG204" i="18" s="1"/>
  <c r="AH204" i="18" s="1"/>
  <c r="AI204" i="18" s="1"/>
  <c r="AJ204" i="18" s="1"/>
  <c r="AK204" i="18" s="1"/>
  <c r="AL204" i="18" s="1"/>
  <c r="AM204" i="18" s="1"/>
  <c r="AN204" i="18" s="1"/>
  <c r="AO204" i="18" s="1"/>
  <c r="AP204" i="18" s="1"/>
  <c r="AQ204" i="18" s="1"/>
  <c r="AR204" i="18" s="1"/>
  <c r="AS204" i="18" s="1"/>
  <c r="AT204" i="18" s="1"/>
  <c r="U109" i="18"/>
  <c r="Y131" i="18"/>
  <c r="Y141" i="18"/>
  <c r="Y132" i="18"/>
  <c r="Y142" i="18"/>
  <c r="AF36" i="18"/>
  <c r="AC97" i="18"/>
  <c r="AB23" i="18"/>
  <c r="AA100" i="18"/>
  <c r="AA106" i="18" s="1"/>
  <c r="U135" i="18"/>
  <c r="U134" i="18"/>
  <c r="U99" i="18"/>
  <c r="U105" i="18" s="1"/>
  <c r="U130" i="18"/>
  <c r="U92" i="18"/>
  <c r="Y124" i="18"/>
  <c r="Y125" i="18"/>
  <c r="Y126" i="18"/>
  <c r="Y112" i="18"/>
  <c r="Y96" i="18"/>
  <c r="Y102" i="18" s="1"/>
  <c r="Y121" i="18"/>
  <c r="Y120" i="18"/>
  <c r="U110" i="18"/>
  <c r="U111" i="18"/>
  <c r="Z18" i="18"/>
  <c r="AA20" i="18"/>
  <c r="Z74" i="18"/>
  <c r="T66" i="18"/>
  <c r="T68" i="18" s="1"/>
  <c r="T83" i="18"/>
  <c r="T62" i="18"/>
  <c r="T64" i="18"/>
  <c r="T184" i="18" s="1"/>
  <c r="T70" i="18"/>
  <c r="T183" i="18" s="1"/>
  <c r="T80" i="18"/>
  <c r="T82" i="18"/>
  <c r="T139" i="18" s="1"/>
  <c r="T51" i="18"/>
  <c r="T50" i="18"/>
  <c r="T177" i="18" s="1"/>
  <c r="T63" i="18"/>
  <c r="T59" i="18"/>
  <c r="T60" i="18"/>
  <c r="T69" i="18"/>
  <c r="T58" i="18"/>
  <c r="T84" i="18"/>
  <c r="T56" i="18"/>
  <c r="T186" i="18" s="1"/>
  <c r="Z27" i="18"/>
  <c r="V15" i="18"/>
  <c r="V129" i="18" s="1"/>
  <c r="V13" i="18"/>
  <c r="V12" i="18"/>
  <c r="V16" i="18"/>
  <c r="V137" i="18" s="1"/>
  <c r="V138" i="18" s="1"/>
  <c r="V10" i="18"/>
  <c r="V7" i="18"/>
  <c r="V6" i="18"/>
  <c r="AD36" i="18"/>
  <c r="Z25" i="18"/>
  <c r="Y89" i="18"/>
  <c r="V40" i="18"/>
  <c r="U91" i="18"/>
  <c r="U90" i="18"/>
  <c r="U42" i="18"/>
  <c r="U86" i="18" s="1"/>
  <c r="T77" i="18"/>
  <c r="T78" i="18"/>
  <c r="T79" i="18"/>
  <c r="T76" i="18"/>
  <c r="AB21" i="18"/>
  <c r="V176" i="18"/>
  <c r="V187" i="18" s="1"/>
  <c r="R181" i="18"/>
  <c r="R178" i="18"/>
  <c r="R183" i="18"/>
  <c r="G182" i="18"/>
  <c r="R68" i="18"/>
  <c r="N182" i="18"/>
  <c r="P182" i="18"/>
  <c r="C16" i="15"/>
  <c r="C21" i="15"/>
  <c r="C10" i="15"/>
  <c r="U55" i="18" l="1"/>
  <c r="U180" i="18" s="1"/>
  <c r="U54" i="18"/>
  <c r="U179" i="18" s="1"/>
  <c r="Z93" i="18"/>
  <c r="Z122" i="18"/>
  <c r="V98" i="18"/>
  <c r="V104" i="18" s="1"/>
  <c r="V52" i="18"/>
  <c r="V94" i="18" s="1"/>
  <c r="U205" i="18"/>
  <c r="V205" i="18" s="1"/>
  <c r="W205" i="18" s="1"/>
  <c r="X205" i="18" s="1"/>
  <c r="Y205" i="18" s="1"/>
  <c r="Z205" i="18" s="1"/>
  <c r="AA205" i="18" s="1"/>
  <c r="AB205" i="18" s="1"/>
  <c r="AC205" i="18" s="1"/>
  <c r="AD205" i="18" s="1"/>
  <c r="AE205" i="18" s="1"/>
  <c r="AF205" i="18" s="1"/>
  <c r="AG205" i="18" s="1"/>
  <c r="AH205" i="18" s="1"/>
  <c r="AI205" i="18" s="1"/>
  <c r="AJ205" i="18" s="1"/>
  <c r="AK205" i="18" s="1"/>
  <c r="AL205" i="18" s="1"/>
  <c r="AM205" i="18" s="1"/>
  <c r="AN205" i="18" s="1"/>
  <c r="AO205" i="18" s="1"/>
  <c r="AP205" i="18" s="1"/>
  <c r="AQ205" i="18" s="1"/>
  <c r="AR205" i="18" s="1"/>
  <c r="AS205" i="18" s="1"/>
  <c r="AT205" i="18" s="1"/>
  <c r="AD97" i="18"/>
  <c r="AC103" i="18"/>
  <c r="AD103" i="18" s="1"/>
  <c r="U203" i="18"/>
  <c r="V203" i="18" s="1"/>
  <c r="W203" i="18" s="1"/>
  <c r="X203" i="18" s="1"/>
  <c r="Y203" i="18" s="1"/>
  <c r="Z203" i="18" s="1"/>
  <c r="AA203" i="18" s="1"/>
  <c r="AB203" i="18" s="1"/>
  <c r="AC203" i="18" s="1"/>
  <c r="AD203" i="18" s="1"/>
  <c r="V109" i="18"/>
  <c r="U114" i="18"/>
  <c r="U115" i="18" s="1"/>
  <c r="U57" i="18"/>
  <c r="Z131" i="18"/>
  <c r="Z141" i="18"/>
  <c r="Z132" i="18"/>
  <c r="Z142" i="18"/>
  <c r="AC23" i="18"/>
  <c r="AB100" i="18"/>
  <c r="AB106" i="18" s="1"/>
  <c r="V99" i="18"/>
  <c r="V105" i="18" s="1"/>
  <c r="V130" i="18"/>
  <c r="V135" i="18"/>
  <c r="V134" i="18"/>
  <c r="V92" i="18"/>
  <c r="Z126" i="18"/>
  <c r="Z125" i="18"/>
  <c r="Z124" i="18"/>
  <c r="Z112" i="18"/>
  <c r="U66" i="18"/>
  <c r="Z96" i="18"/>
  <c r="Z102" i="18" s="1"/>
  <c r="Z121" i="18"/>
  <c r="Z120" i="18"/>
  <c r="V110" i="18"/>
  <c r="V111" i="18"/>
  <c r="U62" i="18"/>
  <c r="AA18" i="18"/>
  <c r="AB20" i="18"/>
  <c r="AA74" i="18"/>
  <c r="U64" i="18"/>
  <c r="U184" i="18" s="1"/>
  <c r="U70" i="18"/>
  <c r="U183" i="18" s="1"/>
  <c r="U80" i="18"/>
  <c r="U82" i="18"/>
  <c r="U139" i="18" s="1"/>
  <c r="U50" i="18"/>
  <c r="U177" i="18" s="1"/>
  <c r="U51" i="18"/>
  <c r="U59" i="18"/>
  <c r="U58" i="18"/>
  <c r="U69" i="18"/>
  <c r="U84" i="18"/>
  <c r="U63" i="18"/>
  <c r="U60" i="18"/>
  <c r="U56" i="18"/>
  <c r="U186" i="18" s="1"/>
  <c r="U67" i="18"/>
  <c r="U83" i="18"/>
  <c r="AA27" i="18"/>
  <c r="W13" i="18"/>
  <c r="W12" i="18"/>
  <c r="W15" i="18"/>
  <c r="W129" i="18" s="1"/>
  <c r="W10" i="18"/>
  <c r="W16" i="18"/>
  <c r="W137" i="18" s="1"/>
  <c r="W138" i="18" s="1"/>
  <c r="W6" i="18"/>
  <c r="W7" i="18"/>
  <c r="W40" i="18"/>
  <c r="V91" i="18"/>
  <c r="V90" i="18"/>
  <c r="AA25" i="18"/>
  <c r="Z89" i="18"/>
  <c r="V42" i="18"/>
  <c r="V86" i="18" s="1"/>
  <c r="U79" i="18"/>
  <c r="U78" i="18"/>
  <c r="U77" i="18"/>
  <c r="U76" i="18"/>
  <c r="AC21" i="18"/>
  <c r="AF21" i="18" s="1"/>
  <c r="T182" i="18"/>
  <c r="W176" i="18"/>
  <c r="W187" i="18" s="1"/>
  <c r="T178" i="18"/>
  <c r="T188" i="18" s="1"/>
  <c r="T189" i="18" s="1"/>
  <c r="T181" i="18"/>
  <c r="R182" i="18"/>
  <c r="D31" i="8"/>
  <c r="D29" i="8"/>
  <c r="D28" i="8"/>
  <c r="D13" i="8"/>
  <c r="D30" i="8" s="1"/>
  <c r="E14" i="8"/>
  <c r="F14" i="8" s="1"/>
  <c r="G14" i="8" s="1"/>
  <c r="H14" i="8" s="1"/>
  <c r="I14" i="8" s="1"/>
  <c r="V55" i="18" l="1"/>
  <c r="V180" i="18" s="1"/>
  <c r="V54" i="18"/>
  <c r="V179" i="18" s="1"/>
  <c r="AA93" i="18"/>
  <c r="AA122" i="18"/>
  <c r="U116" i="18"/>
  <c r="U117" i="18" s="1"/>
  <c r="U118" i="18"/>
  <c r="W98" i="18"/>
  <c r="W104" i="18" s="1"/>
  <c r="W52" i="18"/>
  <c r="W94" i="18" s="1"/>
  <c r="U202" i="18"/>
  <c r="V202" i="18" s="1"/>
  <c r="W202" i="18" s="1"/>
  <c r="X202" i="18" s="1"/>
  <c r="Y202" i="18" s="1"/>
  <c r="Z202" i="18" s="1"/>
  <c r="AA202" i="18" s="1"/>
  <c r="AB202" i="18" s="1"/>
  <c r="AC202" i="18" s="1"/>
  <c r="AD202" i="18" s="1"/>
  <c r="AE203" i="18"/>
  <c r="AF203" i="18" s="1"/>
  <c r="AG203" i="18" s="1"/>
  <c r="AH203" i="18" s="1"/>
  <c r="AI203" i="18" s="1"/>
  <c r="AJ203" i="18" s="1"/>
  <c r="AK203" i="18" s="1"/>
  <c r="AL203" i="18" s="1"/>
  <c r="AM203" i="18" s="1"/>
  <c r="AN203" i="18" s="1"/>
  <c r="AO203" i="18" s="1"/>
  <c r="AP203" i="18" s="1"/>
  <c r="AQ203" i="18" s="1"/>
  <c r="AR203" i="18" s="1"/>
  <c r="AS203" i="18" s="1"/>
  <c r="AT203" i="18" s="1"/>
  <c r="W109" i="18"/>
  <c r="V114" i="18"/>
  <c r="V115" i="18" s="1"/>
  <c r="V57" i="18"/>
  <c r="AA131" i="18"/>
  <c r="AA141" i="18"/>
  <c r="AA132" i="18"/>
  <c r="AA142" i="18"/>
  <c r="AF23" i="18"/>
  <c r="AC100" i="18"/>
  <c r="AD23" i="18"/>
  <c r="W92" i="18"/>
  <c r="W134" i="18"/>
  <c r="W135" i="18"/>
  <c r="W99" i="18"/>
  <c r="W105" i="18" s="1"/>
  <c r="W130" i="18"/>
  <c r="AA126" i="18"/>
  <c r="AA125" i="18"/>
  <c r="AA124" i="18"/>
  <c r="AA112" i="18"/>
  <c r="V66" i="18"/>
  <c r="U68" i="18"/>
  <c r="U182" i="18" s="1"/>
  <c r="AA96" i="18"/>
  <c r="AA102" i="18" s="1"/>
  <c r="AA121" i="18"/>
  <c r="AA120" i="18"/>
  <c r="W111" i="18"/>
  <c r="W110" i="18"/>
  <c r="AB18" i="18"/>
  <c r="AC20" i="18"/>
  <c r="AB74" i="18"/>
  <c r="V84" i="18"/>
  <c r="V83" i="18"/>
  <c r="V62" i="18"/>
  <c r="V70" i="18"/>
  <c r="V183" i="18" s="1"/>
  <c r="V69" i="18"/>
  <c r="V64" i="18"/>
  <c r="V184" i="18" s="1"/>
  <c r="V67" i="18"/>
  <c r="V58" i="18"/>
  <c r="V80" i="18"/>
  <c r="V82" i="18"/>
  <c r="V139" i="18" s="1"/>
  <c r="V51" i="18"/>
  <c r="V50" i="18"/>
  <c r="V177" i="18" s="1"/>
  <c r="V63" i="18"/>
  <c r="V59" i="18"/>
  <c r="V60" i="18"/>
  <c r="V56" i="18"/>
  <c r="V186" i="18" s="1"/>
  <c r="AB27" i="18"/>
  <c r="X12" i="18"/>
  <c r="X15" i="18"/>
  <c r="X129" i="18" s="1"/>
  <c r="X13" i="18"/>
  <c r="X16" i="18"/>
  <c r="X137" i="18" s="1"/>
  <c r="X138" i="18" s="1"/>
  <c r="X10" i="18"/>
  <c r="X7" i="18"/>
  <c r="X6" i="18"/>
  <c r="AB25" i="18"/>
  <c r="AB122" i="18" s="1"/>
  <c r="AA89" i="18"/>
  <c r="X40" i="18"/>
  <c r="W90" i="18"/>
  <c r="W91" i="18"/>
  <c r="W42" i="18"/>
  <c r="W86" i="18" s="1"/>
  <c r="V79" i="18"/>
  <c r="V77" i="18"/>
  <c r="V78" i="18"/>
  <c r="V76" i="18"/>
  <c r="AD21" i="18"/>
  <c r="X176" i="18"/>
  <c r="X187" i="18" s="1"/>
  <c r="U178" i="18"/>
  <c r="U188" i="18" s="1"/>
  <c r="U189" i="18" s="1"/>
  <c r="U18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55" i="18" l="1"/>
  <c r="W180" i="18" s="1"/>
  <c r="W54" i="18"/>
  <c r="W179" i="18" s="1"/>
  <c r="V116" i="18"/>
  <c r="V117" i="18" s="1"/>
  <c r="V118" i="18"/>
  <c r="X98" i="18"/>
  <c r="X104" i="18" s="1"/>
  <c r="X52" i="18"/>
  <c r="X94" i="18" s="1"/>
  <c r="AE202" i="18"/>
  <c r="AF202" i="18" s="1"/>
  <c r="AG202" i="18" s="1"/>
  <c r="AH202" i="18" s="1"/>
  <c r="AI202" i="18" s="1"/>
  <c r="AJ202" i="18" s="1"/>
  <c r="AK202" i="18" s="1"/>
  <c r="AL202" i="18" s="1"/>
  <c r="AM202" i="18" s="1"/>
  <c r="AN202" i="18" s="1"/>
  <c r="AO202" i="18" s="1"/>
  <c r="AP202" i="18" s="1"/>
  <c r="AQ202" i="18" s="1"/>
  <c r="AR202" i="18" s="1"/>
  <c r="AS202" i="18" s="1"/>
  <c r="AT202" i="18" s="1"/>
  <c r="AD100" i="18"/>
  <c r="AC106" i="18"/>
  <c r="AD106" i="18" s="1"/>
  <c r="X109" i="18"/>
  <c r="W114" i="18"/>
  <c r="W115" i="18" s="1"/>
  <c r="W57" i="18"/>
  <c r="AB131" i="18"/>
  <c r="AB141" i="18"/>
  <c r="AB132" i="18"/>
  <c r="AB142" i="18"/>
  <c r="AF20" i="18"/>
  <c r="AB93" i="18"/>
  <c r="X135" i="18"/>
  <c r="X134" i="18"/>
  <c r="X99" i="18"/>
  <c r="X105" i="18" s="1"/>
  <c r="X130" i="18"/>
  <c r="X92" i="18"/>
  <c r="AB125" i="18"/>
  <c r="AB124" i="18"/>
  <c r="AB126" i="18"/>
  <c r="AB112" i="18"/>
  <c r="V68" i="18"/>
  <c r="V182" i="18" s="1"/>
  <c r="AB96" i="18"/>
  <c r="AB102" i="18" s="1"/>
  <c r="AB121" i="18"/>
  <c r="AB120" i="18"/>
  <c r="W69" i="18"/>
  <c r="X111" i="18"/>
  <c r="X110" i="18"/>
  <c r="AC18" i="18"/>
  <c r="W84" i="18"/>
  <c r="W60" i="18"/>
  <c r="W67" i="18"/>
  <c r="AD20" i="18"/>
  <c r="AC74" i="18"/>
  <c r="W58" i="18"/>
  <c r="W66" i="18"/>
  <c r="W63" i="18"/>
  <c r="W83" i="18"/>
  <c r="W59" i="18"/>
  <c r="W64" i="18"/>
  <c r="W184" i="18" s="1"/>
  <c r="W80" i="18"/>
  <c r="W82" i="18"/>
  <c r="W139" i="18" s="1"/>
  <c r="W50" i="18"/>
  <c r="W177" i="18" s="1"/>
  <c r="W51" i="18"/>
  <c r="W62" i="18"/>
  <c r="W70" i="18"/>
  <c r="W183" i="18" s="1"/>
  <c r="W56" i="18"/>
  <c r="W186" i="18" s="1"/>
  <c r="AC27" i="18"/>
  <c r="AC142" i="18" s="1"/>
  <c r="AD142" i="18" s="1"/>
  <c r="Y15" i="18"/>
  <c r="Y129" i="18" s="1"/>
  <c r="Y13" i="18"/>
  <c r="Y12" i="18"/>
  <c r="Y10" i="18"/>
  <c r="Y16" i="18"/>
  <c r="Y137" i="18" s="1"/>
  <c r="Y138" i="18" s="1"/>
  <c r="Y6" i="18"/>
  <c r="Y7" i="18"/>
  <c r="Y40" i="18"/>
  <c r="X91" i="18"/>
  <c r="X90" i="18"/>
  <c r="AC25" i="18"/>
  <c r="AB89" i="18"/>
  <c r="X42" i="18"/>
  <c r="X86" i="18" s="1"/>
  <c r="W79" i="18"/>
  <c r="W77" i="18"/>
  <c r="W78" i="18"/>
  <c r="W76" i="18"/>
  <c r="Y176" i="18"/>
  <c r="Y187" i="18" s="1"/>
  <c r="V178" i="18"/>
  <c r="V188" i="18" s="1"/>
  <c r="V189" i="18" s="1"/>
  <c r="V181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55" i="18" l="1"/>
  <c r="X180" i="18" s="1"/>
  <c r="X54" i="18"/>
  <c r="X179" i="18" s="1"/>
  <c r="AC93" i="18"/>
  <c r="AD93" i="18" s="1"/>
  <c r="AC122" i="18"/>
  <c r="AD122" i="18" s="1"/>
  <c r="W116" i="18"/>
  <c r="W117" i="18" s="1"/>
  <c r="W118" i="18"/>
  <c r="Y98" i="18"/>
  <c r="Y104" i="18" s="1"/>
  <c r="Y52" i="18"/>
  <c r="Y94" i="18" s="1"/>
  <c r="Y109" i="18"/>
  <c r="X114" i="18"/>
  <c r="X115" i="18" s="1"/>
  <c r="X57" i="18"/>
  <c r="AC131" i="18"/>
  <c r="AD131" i="18" s="1"/>
  <c r="AC141" i="18"/>
  <c r="AD141" i="18" s="1"/>
  <c r="Y99" i="18"/>
  <c r="Y105" i="18" s="1"/>
  <c r="Y130" i="18"/>
  <c r="Y135" i="18"/>
  <c r="Y134" i="18"/>
  <c r="AF27" i="18"/>
  <c r="AC132" i="18"/>
  <c r="AD132" i="18" s="1"/>
  <c r="Y92" i="18"/>
  <c r="AC124" i="18"/>
  <c r="AD124" i="18" s="1"/>
  <c r="AC126" i="18"/>
  <c r="AD126" i="18" s="1"/>
  <c r="AC125" i="18"/>
  <c r="AD12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12" i="18"/>
  <c r="AD112" i="18" s="1"/>
  <c r="W68" i="18"/>
  <c r="W182" i="18" s="1"/>
  <c r="X67" i="18"/>
  <c r="AC96" i="18"/>
  <c r="AC121" i="18"/>
  <c r="AD121" i="18" s="1"/>
  <c r="AC120" i="18"/>
  <c r="AD120" i="18" s="1"/>
  <c r="Y111" i="18"/>
  <c r="Y110" i="18"/>
  <c r="AF25" i="18"/>
  <c r="AF18" i="18"/>
  <c r="AD18" i="18"/>
  <c r="T165" i="18"/>
  <c r="AF74" i="18"/>
  <c r="AD7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70" i="18"/>
  <c r="X183" i="18" s="1"/>
  <c r="X69" i="18"/>
  <c r="X64" i="18"/>
  <c r="X184" i="18" s="1"/>
  <c r="X66" i="18"/>
  <c r="X63" i="18"/>
  <c r="X83" i="18"/>
  <c r="X62" i="18"/>
  <c r="X84" i="18"/>
  <c r="X80" i="18"/>
  <c r="X82" i="18"/>
  <c r="X139" i="18" s="1"/>
  <c r="X51" i="18"/>
  <c r="X50" i="18"/>
  <c r="X177" i="18" s="1"/>
  <c r="X58" i="18"/>
  <c r="X59" i="18"/>
  <c r="X60" i="18"/>
  <c r="X56" i="18"/>
  <c r="X186" i="18" s="1"/>
  <c r="AD27" i="18"/>
  <c r="Z12" i="18"/>
  <c r="Z15" i="18"/>
  <c r="Z129" i="18" s="1"/>
  <c r="Z13" i="18"/>
  <c r="Z10" i="18"/>
  <c r="Z16" i="18"/>
  <c r="Z137" i="18" s="1"/>
  <c r="Z138" i="18" s="1"/>
  <c r="Z7" i="18"/>
  <c r="Z6" i="18"/>
  <c r="AD25" i="18"/>
  <c r="AC89" i="18"/>
  <c r="AD89" i="18" s="1"/>
  <c r="Z40" i="18"/>
  <c r="Y91" i="18"/>
  <c r="Y90" i="18"/>
  <c r="O31" i="9"/>
  <c r="O32" i="9" s="1"/>
  <c r="Y42" i="18"/>
  <c r="Y86" i="18" s="1"/>
  <c r="X79" i="18"/>
  <c r="X77" i="18"/>
  <c r="X78" i="18"/>
  <c r="X76" i="18"/>
  <c r="Z176" i="18"/>
  <c r="Z187" i="18" s="1"/>
  <c r="W178" i="18"/>
  <c r="W188" i="18" s="1"/>
  <c r="W189" i="18" s="1"/>
  <c r="W181" i="18"/>
  <c r="P31" i="11"/>
  <c r="N32" i="11"/>
  <c r="T19" i="9"/>
  <c r="D22" i="9"/>
  <c r="Y55" i="18" l="1"/>
  <c r="Y180" i="18" s="1"/>
  <c r="Y54" i="18"/>
  <c r="Y179" i="18" s="1"/>
  <c r="X116" i="18"/>
  <c r="X117" i="18" s="1"/>
  <c r="X118" i="18"/>
  <c r="Z98" i="18"/>
  <c r="Z104" i="18" s="1"/>
  <c r="Z52" i="18"/>
  <c r="Z94" i="18" s="1"/>
  <c r="AD96" i="18"/>
  <c r="AC102" i="18"/>
  <c r="AD102" i="18" s="1"/>
  <c r="Z109" i="18"/>
  <c r="Y114" i="18"/>
  <c r="Y115" i="18" s="1"/>
  <c r="Y57" i="18"/>
  <c r="Z135" i="18"/>
  <c r="Z134" i="18"/>
  <c r="Z99" i="18"/>
  <c r="Z105" i="18" s="1"/>
  <c r="Z130" i="18"/>
  <c r="Z92" i="18"/>
  <c r="X68" i="18"/>
  <c r="X182" i="18" s="1"/>
  <c r="Y60" i="18"/>
  <c r="Z110" i="18"/>
  <c r="Z111" i="18"/>
  <c r="U165" i="18"/>
  <c r="S165" i="18" s="1"/>
  <c r="Y62" i="18"/>
  <c r="Y69" i="18"/>
  <c r="Y56" i="18"/>
  <c r="Y186" i="18" s="1"/>
  <c r="Y64" i="18"/>
  <c r="Y184" i="18" s="1"/>
  <c r="Y59" i="18"/>
  <c r="Y58" i="18"/>
  <c r="Y80" i="18"/>
  <c r="Y82" i="18"/>
  <c r="Y139" i="18" s="1"/>
  <c r="Y51" i="18"/>
  <c r="Y50" i="18"/>
  <c r="Y177" i="18" s="1"/>
  <c r="Y84" i="18"/>
  <c r="Y63" i="18"/>
  <c r="Y70" i="18"/>
  <c r="Y183" i="18" s="1"/>
  <c r="Y67" i="18"/>
  <c r="Y66" i="18"/>
  <c r="Y83" i="18"/>
  <c r="AA13" i="18"/>
  <c r="AA12" i="18"/>
  <c r="AA15" i="18"/>
  <c r="AA129" i="18" s="1"/>
  <c r="AA10" i="18"/>
  <c r="AA16" i="18"/>
  <c r="AA137" i="18" s="1"/>
  <c r="AA138" i="18" s="1"/>
  <c r="AA6" i="18"/>
  <c r="AA7" i="18"/>
  <c r="AA40" i="18"/>
  <c r="Z91" i="18"/>
  <c r="Z90" i="18"/>
  <c r="Z42" i="18"/>
  <c r="Z86" i="18" s="1"/>
  <c r="Y79" i="18"/>
  <c r="Y77" i="18"/>
  <c r="Y78" i="18"/>
  <c r="Y76" i="18"/>
  <c r="AA176" i="18"/>
  <c r="AA187" i="18" s="1"/>
  <c r="X178" i="18"/>
  <c r="X188" i="18" s="1"/>
  <c r="X189" i="18" s="1"/>
  <c r="X181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86" i="18" l="1"/>
  <c r="Z55" i="18"/>
  <c r="Z180" i="18" s="1"/>
  <c r="Z54" i="18"/>
  <c r="Z179" i="18" s="1"/>
  <c r="Y116" i="18"/>
  <c r="Y117" i="18" s="1"/>
  <c r="Y118" i="18"/>
  <c r="AA98" i="18"/>
  <c r="AA104" i="18" s="1"/>
  <c r="AA52" i="18"/>
  <c r="AA94" i="18" s="1"/>
  <c r="AA109" i="18"/>
  <c r="Z114" i="18"/>
  <c r="Z115" i="18" s="1"/>
  <c r="Z57" i="18"/>
  <c r="AA99" i="18"/>
  <c r="AA105" i="18" s="1"/>
  <c r="AA130" i="18"/>
  <c r="AA134" i="18"/>
  <c r="AA135" i="18"/>
  <c r="AA92" i="18"/>
  <c r="AA110" i="18"/>
  <c r="AA111" i="18"/>
  <c r="Y68" i="18"/>
  <c r="Y182" i="18" s="1"/>
  <c r="Z80" i="18"/>
  <c r="Z82" i="18"/>
  <c r="Z139" i="18" s="1"/>
  <c r="Z50" i="18"/>
  <c r="Z177" i="18" s="1"/>
  <c r="Z51" i="18"/>
  <c r="Z64" i="18"/>
  <c r="Z184" i="18" s="1"/>
  <c r="Z70" i="18"/>
  <c r="Z183" i="18" s="1"/>
  <c r="Z69" i="18"/>
  <c r="Z67" i="18"/>
  <c r="Z58" i="18"/>
  <c r="Z56" i="18"/>
  <c r="Z186" i="18" s="1"/>
  <c r="Z63" i="18"/>
  <c r="Z59" i="18"/>
  <c r="Z60" i="18"/>
  <c r="Z66" i="18"/>
  <c r="Z83" i="18"/>
  <c r="Z62" i="18"/>
  <c r="Z84" i="18"/>
  <c r="AB12" i="18"/>
  <c r="AB15" i="18"/>
  <c r="AB129" i="18" s="1"/>
  <c r="AB13" i="18"/>
  <c r="AB10" i="18"/>
  <c r="AB16" i="18"/>
  <c r="AB137" i="18" s="1"/>
  <c r="AB138" i="18" s="1"/>
  <c r="AB7" i="18"/>
  <c r="AB6" i="18"/>
  <c r="AB40" i="18"/>
  <c r="AA90" i="18"/>
  <c r="AA91" i="18"/>
  <c r="AA42" i="18"/>
  <c r="Z79" i="18"/>
  <c r="Z77" i="18"/>
  <c r="Z78" i="18"/>
  <c r="Z76" i="18"/>
  <c r="AB176" i="18"/>
  <c r="AB187" i="18" s="1"/>
  <c r="Y178" i="18"/>
  <c r="Y188" i="18" s="1"/>
  <c r="Y189" i="18" s="1"/>
  <c r="Y181" i="18"/>
  <c r="N34" i="11"/>
  <c r="O33" i="11"/>
  <c r="D25" i="8"/>
  <c r="D23" i="8"/>
  <c r="AA55" i="18" l="1"/>
  <c r="AA180" i="18" s="1"/>
  <c r="AA54" i="18"/>
  <c r="AA179" i="18" s="1"/>
  <c r="Z116" i="18"/>
  <c r="Z117" i="18" s="1"/>
  <c r="Z118" i="18"/>
  <c r="AB98" i="18"/>
  <c r="AB104" i="18" s="1"/>
  <c r="AB52" i="18"/>
  <c r="AB94" i="18" s="1"/>
  <c r="AB109" i="18"/>
  <c r="AA114" i="18"/>
  <c r="AA115" i="18" s="1"/>
  <c r="AA57" i="18"/>
  <c r="AB92" i="18"/>
  <c r="AB134" i="18"/>
  <c r="AB135" i="18"/>
  <c r="AB99" i="18"/>
  <c r="AB105" i="18" s="1"/>
  <c r="AB130" i="18"/>
  <c r="AB110" i="18"/>
  <c r="AB111" i="18"/>
  <c r="Z68" i="18"/>
  <c r="Z182" i="18" s="1"/>
  <c r="AA80" i="18"/>
  <c r="AA82" i="18"/>
  <c r="AA139" i="18" s="1"/>
  <c r="AA51" i="18"/>
  <c r="AA50" i="18"/>
  <c r="AA177" i="18" s="1"/>
  <c r="AA58" i="18"/>
  <c r="AA69" i="18"/>
  <c r="AA59" i="18"/>
  <c r="AA64" i="18"/>
  <c r="AA184" i="18" s="1"/>
  <c r="AA67" i="18"/>
  <c r="AA66" i="18"/>
  <c r="AA84" i="18"/>
  <c r="AA70" i="18"/>
  <c r="AA183" i="18" s="1"/>
  <c r="AA56" i="18"/>
  <c r="AA186" i="18" s="1"/>
  <c r="AA63" i="18"/>
  <c r="AA83" i="18"/>
  <c r="AA62" i="18"/>
  <c r="AA60" i="18"/>
  <c r="AC15" i="18"/>
  <c r="AC13" i="18"/>
  <c r="AF13" i="18" s="1"/>
  <c r="AC12" i="18"/>
  <c r="AC130" i="18" s="1"/>
  <c r="AD130" i="18" s="1"/>
  <c r="AC10" i="18"/>
  <c r="AC16" i="18"/>
  <c r="AC6" i="18"/>
  <c r="AF6" i="18" s="1"/>
  <c r="AC7" i="18"/>
  <c r="AF7" i="18" s="1"/>
  <c r="AC40" i="18"/>
  <c r="AB91" i="18"/>
  <c r="AB90" i="18"/>
  <c r="AB42" i="18"/>
  <c r="AB86" i="18" s="1"/>
  <c r="AA79" i="18"/>
  <c r="AA77" i="18"/>
  <c r="AA78" i="18"/>
  <c r="AA76" i="18"/>
  <c r="AC176" i="18"/>
  <c r="AC187" i="18" s="1"/>
  <c r="Z178" i="18"/>
  <c r="Z188" i="18" s="1"/>
  <c r="Z189" i="18" s="1"/>
  <c r="Z181" i="18"/>
  <c r="N35" i="11"/>
  <c r="O34" i="11"/>
  <c r="D35" i="8"/>
  <c r="E5" i="8"/>
  <c r="E18" i="8" s="1"/>
  <c r="D18" i="8"/>
  <c r="D19" i="8"/>
  <c r="D21" i="8"/>
  <c r="D20" i="8"/>
  <c r="AB55" i="18" l="1"/>
  <c r="AB180" i="18" s="1"/>
  <c r="AB54" i="18"/>
  <c r="AB179" i="18" s="1"/>
  <c r="AA116" i="18"/>
  <c r="AA117" i="18" s="1"/>
  <c r="AA118" i="18"/>
  <c r="AC98" i="18"/>
  <c r="AC104" i="18" s="1"/>
  <c r="AD104" i="18" s="1"/>
  <c r="AC52" i="18"/>
  <c r="AC109" i="18"/>
  <c r="AD187" i="18"/>
  <c r="AF187" i="18" s="1"/>
  <c r="AB114" i="18"/>
  <c r="AB115" i="18" s="1"/>
  <c r="AB57" i="18"/>
  <c r="AF16" i="18"/>
  <c r="AC137" i="18"/>
  <c r="AC135" i="18"/>
  <c r="AD135" i="18" s="1"/>
  <c r="AC134" i="18"/>
  <c r="AD134" i="18" s="1"/>
  <c r="AF15" i="18"/>
  <c r="AC129" i="18"/>
  <c r="AD129" i="18" s="1"/>
  <c r="AC92" i="18"/>
  <c r="AD92" i="18" s="1"/>
  <c r="AF10" i="18"/>
  <c r="AD109" i="18"/>
  <c r="AF12" i="18"/>
  <c r="AC99" i="18"/>
  <c r="AF40" i="18"/>
  <c r="AC110" i="18"/>
  <c r="AD110" i="18" s="1"/>
  <c r="AC111" i="18"/>
  <c r="AD111" i="18" s="1"/>
  <c r="AA68" i="18"/>
  <c r="AA182" i="18" s="1"/>
  <c r="AB80" i="18"/>
  <c r="AB82" i="18"/>
  <c r="AB139" i="18" s="1"/>
  <c r="AB50" i="18"/>
  <c r="AB177" i="18" s="1"/>
  <c r="AB51" i="18"/>
  <c r="AB62" i="18"/>
  <c r="AB70" i="18"/>
  <c r="AB183" i="18" s="1"/>
  <c r="AB56" i="18"/>
  <c r="AB186" i="18" s="1"/>
  <c r="AB64" i="18"/>
  <c r="AB184" i="18" s="1"/>
  <c r="AB67" i="18"/>
  <c r="AB83" i="18"/>
  <c r="AB58" i="18"/>
  <c r="AB59" i="18"/>
  <c r="AB60" i="18"/>
  <c r="AB63" i="18"/>
  <c r="AB84" i="18"/>
  <c r="AB66" i="18"/>
  <c r="AB69" i="18"/>
  <c r="AD15" i="18"/>
  <c r="AD13" i="18"/>
  <c r="T159" i="18"/>
  <c r="AD12" i="18"/>
  <c r="AD10" i="18"/>
  <c r="AD16" i="18"/>
  <c r="AD7" i="18"/>
  <c r="AD6" i="18"/>
  <c r="AC91" i="18"/>
  <c r="AD91" i="18" s="1"/>
  <c r="AC90" i="18"/>
  <c r="AD90" i="18" s="1"/>
  <c r="AD40" i="18"/>
  <c r="AC42" i="18"/>
  <c r="AC86" i="18" s="1"/>
  <c r="AB79" i="18"/>
  <c r="AB77" i="18"/>
  <c r="AB78" i="18"/>
  <c r="AB76" i="18"/>
  <c r="AD176" i="18"/>
  <c r="AF176" i="18" s="1"/>
  <c r="AA178" i="18"/>
  <c r="AA188" i="18" s="1"/>
  <c r="AA189" i="18" s="1"/>
  <c r="AA181" i="18"/>
  <c r="N36" i="11"/>
  <c r="O35" i="11"/>
  <c r="F5" i="8"/>
  <c r="G5" i="8" s="1"/>
  <c r="H5" i="8" s="1"/>
  <c r="I5" i="8" s="1"/>
  <c r="AD52" i="18" l="1"/>
  <c r="AF52" i="18"/>
  <c r="AC55" i="18"/>
  <c r="AC180" i="18" s="1"/>
  <c r="AD180" i="18" s="1"/>
  <c r="AF180" i="18" s="1"/>
  <c r="AC54" i="18"/>
  <c r="AC179" i="18" s="1"/>
  <c r="AD179" i="18" s="1"/>
  <c r="AF179" i="18" s="1"/>
  <c r="AB116" i="18"/>
  <c r="AB117" i="18" s="1"/>
  <c r="AB118" i="18"/>
  <c r="AD98" i="18"/>
  <c r="AC94" i="18"/>
  <c r="AD94" i="18" s="1"/>
  <c r="AD99" i="18"/>
  <c r="AC105" i="18"/>
  <c r="AD105" i="18" s="1"/>
  <c r="AC114" i="18"/>
  <c r="AC115" i="18" s="1"/>
  <c r="AC57" i="18"/>
  <c r="AD137" i="18"/>
  <c r="AC138" i="18"/>
  <c r="AD138" i="18" s="1"/>
  <c r="AF42" i="18"/>
  <c r="U159" i="18"/>
  <c r="U160" i="18" s="1"/>
  <c r="AB68" i="18"/>
  <c r="AB182" i="18" s="1"/>
  <c r="AC80" i="18"/>
  <c r="AC82" i="18"/>
  <c r="AC50" i="18"/>
  <c r="AC177" i="18" s="1"/>
  <c r="AD177" i="18" s="1"/>
  <c r="AF177" i="18" s="1"/>
  <c r="AC51" i="18"/>
  <c r="AC62" i="18"/>
  <c r="AC67" i="18"/>
  <c r="AC56" i="18"/>
  <c r="AC64" i="18"/>
  <c r="AC60" i="18"/>
  <c r="AC83" i="18"/>
  <c r="AC59" i="18"/>
  <c r="AF59" i="18" s="1"/>
  <c r="AC58" i="18"/>
  <c r="AC69" i="18"/>
  <c r="AC84" i="18"/>
  <c r="AC63" i="18"/>
  <c r="AC70" i="18"/>
  <c r="AC66" i="18"/>
  <c r="T160" i="18"/>
  <c r="Q199" i="18" s="1"/>
  <c r="AC79" i="18"/>
  <c r="AC77" i="18"/>
  <c r="AD42" i="18"/>
  <c r="AC78" i="18"/>
  <c r="AC76" i="18"/>
  <c r="AB178" i="18"/>
  <c r="AB188" i="18" s="1"/>
  <c r="AB189" i="18" s="1"/>
  <c r="AB181" i="18"/>
  <c r="N37" i="11"/>
  <c r="O36" i="11"/>
  <c r="F18" i="8"/>
  <c r="G18" i="8"/>
  <c r="AD54" i="18" l="1"/>
  <c r="AF54" i="18"/>
  <c r="AD55" i="18"/>
  <c r="AF55" i="18"/>
  <c r="AC116" i="18"/>
  <c r="AC117" i="18" s="1"/>
  <c r="AC118" i="18"/>
  <c r="AF56" i="18"/>
  <c r="AC186" i="18"/>
  <c r="AF57" i="18"/>
  <c r="AD57" i="18"/>
  <c r="AF82" i="18"/>
  <c r="AC139" i="18"/>
  <c r="AD139" i="18" s="1"/>
  <c r="AD114" i="18"/>
  <c r="S159" i="18"/>
  <c r="S160" i="18"/>
  <c r="AD83" i="18"/>
  <c r="AF83" i="18"/>
  <c r="AD51" i="18"/>
  <c r="AF51" i="18"/>
  <c r="T156" i="18"/>
  <c r="AF69" i="18"/>
  <c r="AC183" i="18"/>
  <c r="AD183" i="18" s="1"/>
  <c r="AF183" i="18" s="1"/>
  <c r="AF70" i="18"/>
  <c r="AD50" i="18"/>
  <c r="AF50" i="18"/>
  <c r="AD67" i="18"/>
  <c r="AF67" i="18"/>
  <c r="T150" i="18"/>
  <c r="AF66" i="18"/>
  <c r="T149" i="18"/>
  <c r="AF60" i="18"/>
  <c r="AC184" i="18"/>
  <c r="AD184" i="18" s="1"/>
  <c r="AF184" i="18" s="1"/>
  <c r="AF64" i="18"/>
  <c r="AD63" i="18"/>
  <c r="AF63" i="18"/>
  <c r="T147" i="18"/>
  <c r="Q198" i="18" s="1"/>
  <c r="AF58" i="18"/>
  <c r="T152" i="18"/>
  <c r="AF62" i="18"/>
  <c r="AD84" i="18"/>
  <c r="AF84" i="18"/>
  <c r="T173" i="18"/>
  <c r="Q200" i="18" s="1"/>
  <c r="AF80" i="18"/>
  <c r="T170" i="18"/>
  <c r="AF79" i="18"/>
  <c r="T169" i="18"/>
  <c r="AF78" i="18"/>
  <c r="T167" i="18"/>
  <c r="AF76" i="18"/>
  <c r="T168" i="18"/>
  <c r="AF77" i="18"/>
  <c r="AD69" i="18"/>
  <c r="T153" i="18"/>
  <c r="AD58" i="18"/>
  <c r="AD60" i="18"/>
  <c r="U149" i="18" s="1"/>
  <c r="AD62" i="18"/>
  <c r="T154" i="18"/>
  <c r="Q197" i="18" s="1"/>
  <c r="AD80" i="18"/>
  <c r="AD66" i="18"/>
  <c r="T157" i="18"/>
  <c r="AC68" i="18"/>
  <c r="AD64" i="18"/>
  <c r="AD70" i="18"/>
  <c r="AD82" i="18"/>
  <c r="AD78" i="18"/>
  <c r="AD77" i="18"/>
  <c r="AD76" i="18"/>
  <c r="AD79" i="18"/>
  <c r="T146" i="18"/>
  <c r="Q201" i="18" s="1"/>
  <c r="Q202" i="18" s="1"/>
  <c r="AD56" i="18"/>
  <c r="AC178" i="18"/>
  <c r="AC188" i="18" s="1"/>
  <c r="AD188" i="18" s="1"/>
  <c r="AD59" i="18"/>
  <c r="U148" i="18" s="1"/>
  <c r="AC181" i="18"/>
  <c r="T148" i="18"/>
  <c r="N38" i="11"/>
  <c r="O37" i="11"/>
  <c r="H18" i="8"/>
  <c r="T171" i="18" l="1"/>
  <c r="M199" i="18"/>
  <c r="P199" i="18"/>
  <c r="AD186" i="18"/>
  <c r="AF186" i="18" s="1"/>
  <c r="U146" i="18"/>
  <c r="S146" i="18" s="1"/>
  <c r="AD115" i="18"/>
  <c r="U157" i="18"/>
  <c r="S157" i="18" s="1"/>
  <c r="U147" i="18"/>
  <c r="S147" i="18" s="1"/>
  <c r="U156" i="18"/>
  <c r="S156" i="18" s="1"/>
  <c r="U152" i="18"/>
  <c r="S152" i="18" s="1"/>
  <c r="U154" i="18"/>
  <c r="S154" i="18" s="1"/>
  <c r="P197" i="18" s="1"/>
  <c r="U173" i="18"/>
  <c r="S173" i="18" s="1"/>
  <c r="P200" i="18" s="1"/>
  <c r="U169" i="18"/>
  <c r="S169" i="18" s="1"/>
  <c r="AD68" i="18"/>
  <c r="AF68" i="18"/>
  <c r="U150" i="18"/>
  <c r="S150" i="18" s="1"/>
  <c r="S149" i="18"/>
  <c r="U153" i="18"/>
  <c r="S153" i="18" s="1"/>
  <c r="U167" i="18"/>
  <c r="S167" i="18" s="1"/>
  <c r="AC182" i="18"/>
  <c r="AD182" i="18" s="1"/>
  <c r="AF182" i="18" s="1"/>
  <c r="U170" i="18"/>
  <c r="S170" i="18" s="1"/>
  <c r="U168" i="18"/>
  <c r="AD181" i="18"/>
  <c r="AF181" i="18" s="1"/>
  <c r="AD178" i="18"/>
  <c r="AF178" i="18" s="1"/>
  <c r="AF188" i="18" s="1"/>
  <c r="S148" i="18"/>
  <c r="N39" i="11"/>
  <c r="O38" i="11"/>
  <c r="I18" i="8"/>
  <c r="S168" i="18" l="1"/>
  <c r="S171" i="18" s="1"/>
  <c r="U171" i="18"/>
  <c r="M198" i="18"/>
  <c r="P198" i="18"/>
  <c r="P201" i="18"/>
  <c r="P202" i="18" s="1"/>
  <c r="M200" i="18"/>
  <c r="M197" i="18"/>
  <c r="AD117" i="18"/>
  <c r="AD116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45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17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19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<sst xmlns="http://schemas.openxmlformats.org/spreadsheetml/2006/main" count="670" uniqueCount="474">
  <si>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</si>
  <si>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</si>
  <si>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</si>
  <si>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</si>
  <si>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</si>
  <si>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</si>
  <si>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</si>
  <si>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</si>
  <si>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</si>
  <si>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</si>
  <si>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</si>
  <si>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</si>
  <si>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</si>
  <si>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</si>
  <si>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</si>
  <si>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</si>
  <si>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</si>
  <si>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</si>
  <si>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</si>
  <si>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</si>
  <si>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</si>
  <si>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</si>
  <si>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</si>
  <si>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</si>
  <si>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</si>
  <si>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</si>
  <si>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</si>
  <si>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</si>
  <si>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</si>
  <si>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</si>
  <si>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</si>
  <si>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</si>
  <si>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</si>
  <si>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</si>
  <si>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</si>
  <si>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</si>
  <si>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</si>
  <si>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</si>
  <si>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</si>
  <si>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</si>
  <si>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</si>
  <si>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</si>
  <si>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</si>
  <si>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</si>
  <si>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</si>
  <si>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</si>
  <si>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</si>
  <si>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</si>
  <si>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</si>
  <si>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</si>
  <si>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</si>
  <si>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</si>
  <si>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</si>
  <si>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</si>
  <si>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</si>
  <si>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</si>
  <si>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</si>
  <si>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</si>
  <si>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</si>
  <si>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</si>
  <si>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</si>
  <si>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</si>
  <si>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</si>
  <si>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</si>
  <si>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</si>
  <si>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</si>
  <si>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</si>
  <si>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</si>
  <si>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</si>
  <si>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</si>
  <si>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</si>
  <si>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</si>
  <si>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</si>
  <si>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</si>
  <si>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</si>
  <si>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</si>
  <si>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</si>
  <si>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</si>
  <si>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</si>
  <si>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</si>
  <si>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</si>
  <si>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</si>
  <si>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</si>
  <si>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</si>
  <si>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</si>
  <si>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</si>
  <si>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</si>
  <si>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</si>
  <si>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</si>
  <si>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</si>
  <si>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</si>
  <si>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</si>
  <si>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</si>
  <si>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</si>
  <si>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</si>
  <si>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</si>
  <si>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</si>
  <si>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</si>
  <si>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</si>
  <si>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</si>
  <si>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</si>
  <si>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</si>
  <si>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</si>
  <si>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</si>
  <si>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</si>
  <si>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</si>
  <si>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</si>
  <si>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</si>
  <si>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</si>
  <si>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</si>
  <si>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</si>
  <si>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</si>
  <si>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</si>
  <si>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</si>
  <si>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</si>
  <si>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</si>
  <si>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</si>
  <si>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</si>
  <si>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</si>
  <si>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</si>
  <si>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</si>
  <si>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</si>
  <si>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</si>
  <si>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</si>
  <si>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</si>
  <si>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</si>
  <si>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</si>
  <si>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</si>
  <si>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</si>
  <si>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</si>
  <si>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</si>
  <si>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</si>
  <si>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</si>
  <si>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</si>
  <si>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</si>
  <si>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</si>
  <si>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</si>
  <si>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</si>
  <si>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</si>
  <si>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</si>
  <si>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</si>
  <si>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</si>
  <si>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</si>
  <si>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</si>
  <si>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</si>
  <si>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</si>
  <si>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</si>
  <si>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</si>
  <si>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</si>
  <si>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</si>
  <si>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</si>
  <si>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</si>
  <si>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</si>
  <si>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</si>
  <si>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</si>
  <si>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</si>
  <si>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</si>
  <si>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</si>
  <si>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</si>
  <si>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</si>
  <si>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</si>
  <si>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</si>
  <si>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</si>
  <si>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</si>
  <si>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</si>
  <si>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</si>
  <si>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</si>
  <si>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</si>
  <si>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</si>
  <si>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</si>
  <si>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</si>
  <si>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</si>
  <si>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</si>
  <si>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</si>
  <si>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</si>
  <si>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</si>
  <si>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</si>
  <si>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</si>
  <si>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</si>
  <si>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</si>
  <si>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</si>
  <si>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</si>
  <si>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</si>
  <si>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</si>
  <si>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</si>
  <si>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</si>
  <si>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</si>
  <si>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</si>
  <si>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</si>
  <si>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</si>
  <si>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</si>
  <si>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</si>
  <si>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</si>
  <si>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</si>
  <si>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</si>
  <si>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</si>
  <si>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</si>
  <si>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</si>
  <si>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</si>
  <si>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</si>
  <si>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</si>
  <si>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</si>
  <si>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</si>
  <si>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</si>
  <si>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</si>
  <si>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</si>
  <si>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</si>
  <si>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</si>
  <si>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</si>
  <si>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</si>
  <si>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</si>
  <si>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</si>
  <si>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</si>
  <si>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</si>
  <si>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</si>
  <si>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</si>
  <si>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</si>
  <si>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</si>
  <si>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</si>
  <si>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</si>
  <si>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</si>
  <si>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</si>
  <si>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</si>
  <si>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</si>
  <si>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</si>
  <si>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</si>
  <si>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</si>
  <si>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</si>
  <si>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</si>
  <si>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</si>
  <si>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</si>
  <si>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</si>
  <si>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</si>
  <si>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</si>
  <si>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</si>
  <si>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</si>
  <si>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</si>
  <si>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</si>
  <si>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</si>
  <si>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</si>
  <si>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</si>
  <si>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</si>
  <si>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</si>
  <si>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</si>
  <si>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</si>
  <si>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</si>
  <si>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</si>
  <si>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</si>
  <si>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</si>
  <si>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</si>
  <si>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</si>
  <si>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</si>
  <si>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</si>
  <si>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</si>
  <si>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</si>
  <si>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</si>
  <si>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</si>
  <si>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</si>
  <si>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</si>
  <si>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</si>
  <si>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</si>
  <si>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</si>
  <si>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</si>
  <si>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</si>
  <si>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</si>
  <si>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</si>
  <si>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</si>
  <si>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</si>
  <si>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</si>
  <si>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</si>
  <si>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</si>
  <si>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</si>
  <si>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</si>
  <si>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</si>
  <si>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</si>
  <si>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</si>
  <si>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</si>
  <si>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</si>
  <si>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</si>
  <si>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</si>
  <si>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</si>
  <si>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</si>
  <si>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</si>
  <si>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</si>
  <si>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</si>
  <si>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</si>
  <si>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</si>
  <si>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</si>
  <si>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</si>
  <si>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</si>
  <si>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</si>
  <si>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</si>
  <si>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</si>
  <si>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</si>
  <si>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</si>
  <si>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</si>
  <si>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</si>
  <si>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</si>
  <si>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</si>
  <si>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</si>
  <si>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</si>
  <si>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</si>
  <si>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</si>
  <si>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</si>
  <si>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</si>
  <si>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</si>
  <si>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</si>
  <si>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</si>
  <si>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</si>
  <si>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</si>
  <si>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</si>
  <si>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</si>
  <si>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</si>
  <si>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</si>
  <si>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</si>
  <si>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</si>
  <si>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</si>
  <si>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</si>
  <si>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</si>
  <si>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</si>
  <si>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</si>
  <si>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</si>
  <si>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</si>
  <si>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</si>
  <si>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</si>
  <si>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</si>
  <si>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</si>
  <si>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</si>
  <si>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</si>
  <si>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</si>
  <si>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</si>
  <si>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</si>
  <si>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</si>
  <si>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</si>
  <si>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</si>
  <si>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</si>
  <si>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</si>
  <si>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</si>
  <si>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</si>
  <si>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</si>
  <si>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</si>
  <si>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</si>
  <si>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</si>
  <si>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</si>
  <si>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</si>
  <si>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</si>
  <si>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</si>
  <si>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</si>
  <si>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</si>
  <si>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</si>
  <si>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</si>
  <si>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</si>
  <si>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</si>
  <si>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</si>
  <si>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</si>
  <si>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</si>
  <si>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</si>
  <si>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</si>
  <si>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</si>
  <si>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</si>
  <si>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</si>
  <si>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</si>
  <si>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</si>
  <si>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</si>
  <si>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</si>
  <si>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</si>
  <si>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</si>
  <si>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</si>
  <si>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</si>
  <si>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</si>
  <si>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</si>
  <si>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</si>
  <si>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</si>
  <si>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</si>
  <si>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</si>
  <si>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</si>
  <si>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</si>
  <si>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</si>
  <si>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</si>
  <si>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</si>
  <si>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</si>
  <si>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</si>
  <si>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</si>
  <si>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</si>
  <si>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</si>
  <si>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</si>
  <si>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</si>
  <si>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</si>
  <si>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</si>
  <si>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</si>
  <si>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</si>
  <si>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</si>
  <si>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</si>
  <si>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</si>
  <si>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</si>
  <si>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</si>
  <si>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</si>
  <si>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</si>
  <si>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</si>
  <si>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</si>
  <si>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</si>
  <si>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</si>
  <si>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</si>
  <si>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</si>
  <si>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</si>
  <si>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</si>
  <si>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</si>
  <si>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</si>
  <si>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</si>
  <si>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</si>
  <si>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</si>
  <si>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</si>
  <si>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</si>
  <si>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</si>
  <si>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</si>
  <si>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</si>
  <si>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</si>
  <si>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</si>
  <si>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</si>
  <si>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</si>
  <si>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</si>
  <si>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</si>
  <si>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</si>
  <si>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</si>
  <si>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</si>
  <si>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</si>
  <si>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</si>
  <si>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</si>
  <si>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</si>
  <si>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</si>
  <si>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</si>
  <si>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</si>
  <si>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</si>
  <si>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</si>
  <si>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</si>
  <si>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</si>
  <si>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</si>
  <si>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</si>
  <si>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</si>
  <si>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</si>
  <si>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</si>
  <si>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</si>
  <si>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</si>
  <si>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</si>
  <si>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</si>
  <si>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</si>
  <si>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</si>
  <si>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</si>
  <si>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</si>
  <si>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</si>
  <si>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</si>
  <si>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</si>
  <si>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</si>
  <si>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</si>
  <si>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</si>
  <si>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</si>
  <si>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</si>
  <si>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</si>
  <si>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</si>
  <si>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</si>
  <si>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</si>
  <si>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</si>
  <si>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</si>
  <si>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</si>
  <si>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</si>
  <si>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</si>
  <si>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1x1</t>
  </si>
  <si>
    <t>10x2</t>
  </si>
  <si>
    <t>Rationalized EPS with current shareholding</t>
  </si>
  <si>
    <t>last EPS</t>
  </si>
  <si>
    <t>Not applicable</t>
  </si>
  <si>
    <t>P/EPSavg (current FY and last 10 years)</t>
  </si>
  <si>
    <t>PEG (avg)</t>
  </si>
  <si>
    <t>Discount/Prem to PEG (avg)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</si>
</sst>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175" fontId="4" fillId="10" borderId="1" xfId="0" applyNumberFormat="1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90720"/>
        <c:axId val="166879232"/>
      </c:lineChart>
      <c:catAx>
        <c:axId val="166590720"/>
        <c:scaling>
          <c:orientation val="minMax"/>
        </c:scaling>
        <c:delete val="0"/>
        <c:axPos val="b"/>
        <c:majorTickMark val="out"/>
        <c:minorTickMark val="none"/>
        <c:tickLblPos val="nextTo"/>
        <c:crossAx val="166879232"/>
        <c:crosses val="autoZero"/>
        <c:auto val="1"/>
        <c:lblAlgn val="ctr"/>
        <c:lblOffset val="100"/>
        <c:noMultiLvlLbl val="0"/>
      </c:catAx>
      <c:valAx>
        <c:axId val="166879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59072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1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38"/>
  <sheetViews>
    <sheetView tabSelected="1" zoomScale="80" zoomScaleNormal="80" workbookViewId="0">
      <pane xSplit="2" ySplit="3" topLeftCell="C171" activePane="bottomRight" state="frozen"/>
      <selection pane="topRight" activeCell="C1" sqref="C1"/>
      <selection pane="bottomLeft" activeCell="A5" sqref="A5"/>
      <selection pane="bottomRight" activeCell="Q182" sqref="Q182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9" style="104" bestFit="1" customWidth="1"/>
    <col min="7" max="7" width="13.5703125" style="104" bestFit="1" customWidth="1"/>
    <col min="8" max="8" width="11.28515625" style="104" bestFit="1" customWidth="1"/>
    <col min="9" max="16" width="12.2851562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f>P2</f>
        <v>0.22</v>
      </c>
      <c r="F1" s="104" t="s">
        <v>252</v>
      </c>
      <c r="H1" s="126">
        <v>2004</v>
      </c>
      <c r="J1" s="104" t="s">
        <v>326</v>
      </c>
      <c r="L1" s="163">
        <v>0.05</v>
      </c>
      <c r="N1" s="104" t="s">
        <v>397</v>
      </c>
      <c r="P1" s="163">
        <v>0.05</v>
      </c>
    </row>
    <row r="2" spans="2:32" x14ac:dyDescent="0.2">
      <c r="B2" s="152" t="s">
        <v>314</v>
      </c>
      <c r="C2" s="120"/>
      <c r="F2" s="104" t="s">
        <v>253</v>
      </c>
      <c r="H2" s="126">
        <v>2013</v>
      </c>
      <c r="J2" s="104" t="s">
        <v>327</v>
      </c>
      <c r="L2" s="163">
        <v>0.15</v>
      </c>
      <c r="N2" s="104" t="s">
        <v>465</v>
      </c>
      <c r="P2" s="163">
        <v>0.22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1" t="s">
        <v>290</v>
      </c>
      <c r="AF2" s="202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3" t="s">
        <v>291</v>
      </c>
      <c r="AF3" s="204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36"/>
      <c r="AE5" s="20"/>
      <c r="AF5" s="153"/>
    </row>
    <row r="6" spans="2:32" x14ac:dyDescent="0.2">
      <c r="B6" s="20" t="s">
        <v>16</v>
      </c>
      <c r="C6" s="140"/>
      <c r="D6" s="140"/>
      <c r="E6" s="146"/>
      <c r="F6" s="146"/>
      <c r="G6" s="146">
        <v>23</v>
      </c>
      <c r="H6" s="146">
        <v>25</v>
      </c>
      <c r="I6" s="146">
        <v>28</v>
      </c>
      <c r="J6" s="146">
        <v>25</v>
      </c>
      <c r="K6" s="146">
        <v>25</v>
      </c>
      <c r="L6" s="146">
        <v>25</v>
      </c>
      <c r="M6" s="146">
        <v>27</v>
      </c>
      <c r="N6" s="146">
        <v>35</v>
      </c>
      <c r="O6" s="146">
        <v>45</v>
      </c>
      <c r="P6" s="146">
        <v>63</v>
      </c>
      <c r="Q6" s="146">
        <v>87</v>
      </c>
      <c r="R6" s="118">
        <f>((Q6/G6)^(1/($H$2-$H$1) ))-1</f>
        <v>0.15930856989640052</v>
      </c>
      <c r="S6" s="31">
        <f>$L$2</f>
        <v>0.15</v>
      </c>
      <c r="T6" s="153">
        <f>Q6*(1+$S6)</f>
        <v>100.05</v>
      </c>
      <c r="U6" s="153">
        <f>T6*(1+$S6)</f>
        <v>115.05749999999999</v>
      </c>
      <c r="V6" s="153">
        <f t="shared" ref="V6:AC6" si="0">U6*(1+$S6)</f>
        <v>132.31612499999997</v>
      </c>
      <c r="W6" s="153">
        <f t="shared" si="0"/>
        <v>152.16354374999995</v>
      </c>
      <c r="X6" s="153">
        <f t="shared" si="0"/>
        <v>174.98807531249992</v>
      </c>
      <c r="Y6" s="153">
        <f t="shared" si="0"/>
        <v>201.2362866093749</v>
      </c>
      <c r="Z6" s="153">
        <f t="shared" si="0"/>
        <v>231.42172960078111</v>
      </c>
      <c r="AA6" s="153">
        <f t="shared" si="0"/>
        <v>266.13498904089823</v>
      </c>
      <c r="AB6" s="153">
        <f t="shared" si="0"/>
        <v>306.05523739703295</v>
      </c>
      <c r="AC6" s="153">
        <f t="shared" si="0"/>
        <v>351.96352300658788</v>
      </c>
      <c r="AD6" s="137">
        <f>((AC6/G6)^(1/($AC$3-$H$1) ))-1</f>
        <v>0.14614216786151291</v>
      </c>
      <c r="AE6" s="31">
        <f>$L$1</f>
        <v>0.05</v>
      </c>
      <c r="AF6" s="145">
        <f t="shared" ref="AF6:AF44" si="1">(AC6*(1+AE6))/($C$1-AE6)</f>
        <v>2173.8923479818668</v>
      </c>
    </row>
    <row r="7" spans="2:32" x14ac:dyDescent="0.2">
      <c r="B7" s="20" t="s">
        <v>240</v>
      </c>
      <c r="C7" s="140"/>
      <c r="D7" s="140"/>
      <c r="E7" s="146"/>
      <c r="F7" s="146"/>
      <c r="G7" s="146">
        <v>28</v>
      </c>
      <c r="H7" s="146">
        <v>30</v>
      </c>
      <c r="I7" s="146">
        <v>33</v>
      </c>
      <c r="J7" s="146">
        <v>36</v>
      </c>
      <c r="K7" s="146">
        <v>35</v>
      </c>
      <c r="L7" s="146">
        <v>36</v>
      </c>
      <c r="M7" s="146">
        <v>38</v>
      </c>
      <c r="N7" s="146">
        <v>46</v>
      </c>
      <c r="O7" s="146">
        <v>55</v>
      </c>
      <c r="P7" s="146">
        <v>74</v>
      </c>
      <c r="Q7" s="146">
        <v>98</v>
      </c>
      <c r="R7" s="118">
        <f>((Q7/G7)^(1/($H$2-$H$1) ))-1</f>
        <v>0.14934921867223361</v>
      </c>
      <c r="S7" s="31">
        <f>$L$2</f>
        <v>0.15</v>
      </c>
      <c r="T7" s="153">
        <f t="shared" ref="T7:T44" si="2">Q7*(1+$S7)</f>
        <v>112.69999999999999</v>
      </c>
      <c r="U7" s="153">
        <f t="shared" ref="U7:AC7" si="3">T7*(1+$S7)</f>
        <v>129.60499999999999</v>
      </c>
      <c r="V7" s="153">
        <f t="shared" si="3"/>
        <v>149.04574999999997</v>
      </c>
      <c r="W7" s="153">
        <f t="shared" si="3"/>
        <v>171.40261249999995</v>
      </c>
      <c r="X7" s="153">
        <f t="shared" si="3"/>
        <v>197.11300437499992</v>
      </c>
      <c r="Y7" s="153">
        <f t="shared" si="3"/>
        <v>226.67995503124988</v>
      </c>
      <c r="Z7" s="153">
        <f t="shared" si="3"/>
        <v>260.68194828593732</v>
      </c>
      <c r="AA7" s="153">
        <f t="shared" si="3"/>
        <v>299.78424052882792</v>
      </c>
      <c r="AB7" s="153">
        <f t="shared" si="3"/>
        <v>344.75187660815209</v>
      </c>
      <c r="AC7" s="153">
        <f t="shared" si="3"/>
        <v>396.46465809937484</v>
      </c>
      <c r="AD7" s="137">
        <f>((AC7/G7)^(1/($AC$3-$H$1) ))-1</f>
        <v>0.14170084475807498</v>
      </c>
      <c r="AE7" s="31">
        <f>$L$1</f>
        <v>0.05</v>
      </c>
      <c r="AF7" s="145">
        <f t="shared" si="1"/>
        <v>2448.7523000255505</v>
      </c>
    </row>
    <row r="8" spans="2:32" x14ac:dyDescent="0.2">
      <c r="B8" s="20"/>
      <c r="C8" s="140"/>
      <c r="D8" s="140"/>
      <c r="E8" s="146"/>
      <c r="F8" s="146"/>
      <c r="G8" s="147">
        <f>(G7-F7)/G7</f>
        <v>1</v>
      </c>
      <c r="H8" s="150">
        <f>(H7-G7)/H7</f>
        <v>6.6666666666666666E-2</v>
      </c>
      <c r="I8" s="150">
        <f t="shared" ref="I8:Q8" si="4">(I7-H7)/I7</f>
        <v>9.0909090909090912E-2</v>
      </c>
      <c r="J8" s="150">
        <f t="shared" si="4"/>
        <v>8.3333333333333329E-2</v>
      </c>
      <c r="K8" s="150">
        <f t="shared" si="4"/>
        <v>-2.8571428571428571E-2</v>
      </c>
      <c r="L8" s="150">
        <f t="shared" si="4"/>
        <v>2.7777777777777776E-2</v>
      </c>
      <c r="M8" s="150">
        <f t="shared" si="4"/>
        <v>5.2631578947368418E-2</v>
      </c>
      <c r="N8" s="150">
        <f t="shared" si="4"/>
        <v>0.17391304347826086</v>
      </c>
      <c r="O8" s="150">
        <f t="shared" si="4"/>
        <v>0.16363636363636364</v>
      </c>
      <c r="P8" s="150">
        <f t="shared" si="4"/>
        <v>0.25675675675675674</v>
      </c>
      <c r="Q8" s="150">
        <f t="shared" si="4"/>
        <v>0.24489795918367346</v>
      </c>
      <c r="R8" s="128"/>
      <c r="S8" s="20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9</v>
      </c>
      <c r="H9" s="146">
        <v>9</v>
      </c>
      <c r="I9" s="146">
        <v>9.4</v>
      </c>
      <c r="J9" s="146">
        <v>11</v>
      </c>
      <c r="K9" s="146">
        <v>16</v>
      </c>
      <c r="L9" s="146">
        <v>16</v>
      </c>
      <c r="M9" s="146">
        <v>16</v>
      </c>
      <c r="N9" s="146">
        <v>17</v>
      </c>
      <c r="O9" s="146">
        <v>21</v>
      </c>
      <c r="P9" s="146">
        <v>28</v>
      </c>
      <c r="Q9" s="146">
        <v>26</v>
      </c>
      <c r="R9" s="118">
        <f>((Q9/G9)^(1/($H$2-$H$1) ))-1</f>
        <v>0.12510308469480647</v>
      </c>
      <c r="S9" s="31">
        <f t="shared" ref="S9:S40" si="5">$L$2</f>
        <v>0.15</v>
      </c>
      <c r="T9" s="153">
        <f t="shared" si="2"/>
        <v>29.9</v>
      </c>
      <c r="U9" s="153">
        <f t="shared" ref="U9" si="6">T9*(1+$S9)</f>
        <v>34.384999999999998</v>
      </c>
      <c r="V9" s="153">
        <f t="shared" ref="V9" si="7">U9*(1+$S9)</f>
        <v>39.542749999999998</v>
      </c>
      <c r="W9" s="153">
        <f t="shared" ref="W9" si="8">V9*(1+$S9)</f>
        <v>45.474162499999991</v>
      </c>
      <c r="X9" s="153">
        <f t="shared" ref="X9" si="9">W9*(1+$S9)</f>
        <v>52.295286874999988</v>
      </c>
      <c r="Y9" s="153">
        <f t="shared" ref="Y9" si="10">X9*(1+$S9)</f>
        <v>60.139579906249985</v>
      </c>
      <c r="Z9" s="153">
        <f t="shared" ref="Z9" si="11">Y9*(1+$S9)</f>
        <v>69.160516892187474</v>
      </c>
      <c r="AA9" s="153">
        <f t="shared" ref="AA9" si="12">Z9*(1+$S9)</f>
        <v>79.534594426015587</v>
      </c>
      <c r="AB9" s="153">
        <f t="shared" ref="AB9" si="13">AA9*(1+$S9)</f>
        <v>91.464783589917914</v>
      </c>
      <c r="AC9" s="153">
        <f t="shared" ref="AC9" si="14">AB9*(1+$S9)</f>
        <v>105.1845011284056</v>
      </c>
      <c r="AD9" s="137">
        <f>((AC9/G9)^(1/($AC$3-$H$1) ))-1</f>
        <v>0.13079912067278454</v>
      </c>
      <c r="AE9" s="31">
        <f t="shared" ref="AE9:AE83" si="15">$L$1</f>
        <v>0.05</v>
      </c>
      <c r="AF9" s="145">
        <f t="shared" si="1"/>
        <v>649.66897755779939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7</v>
      </c>
      <c r="H10" s="146">
        <v>3.2</v>
      </c>
      <c r="I10" s="146">
        <v>4</v>
      </c>
      <c r="J10" s="146">
        <v>20</v>
      </c>
      <c r="K10" s="146">
        <v>33</v>
      </c>
      <c r="L10" s="146">
        <v>44</v>
      </c>
      <c r="M10" s="146">
        <v>39</v>
      </c>
      <c r="N10" s="146">
        <v>29</v>
      </c>
      <c r="O10" s="146">
        <v>20</v>
      </c>
      <c r="P10" s="146">
        <v>24</v>
      </c>
      <c r="Q10" s="146">
        <v>14</v>
      </c>
      <c r="R10" s="118">
        <f>((Q10/G10)^(1/($H$2-$H$1) ))-1</f>
        <v>8.0059738892306109E-2</v>
      </c>
      <c r="S10" s="31">
        <f t="shared" si="5"/>
        <v>0.15</v>
      </c>
      <c r="T10" s="153">
        <f t="shared" si="2"/>
        <v>16.099999999999998</v>
      </c>
      <c r="U10" s="153">
        <f t="shared" ref="U10:AC10" si="16">T10*(1+$S10)</f>
        <v>18.514999999999997</v>
      </c>
      <c r="V10" s="153">
        <f t="shared" si="16"/>
        <v>21.292249999999996</v>
      </c>
      <c r="W10" s="153">
        <f t="shared" si="16"/>
        <v>24.486087499999993</v>
      </c>
      <c r="X10" s="153">
        <f t="shared" si="16"/>
        <v>28.15900062499999</v>
      </c>
      <c r="Y10" s="153">
        <f t="shared" si="16"/>
        <v>32.382850718749985</v>
      </c>
      <c r="Z10" s="153">
        <f t="shared" si="16"/>
        <v>37.240278326562482</v>
      </c>
      <c r="AA10" s="153">
        <f t="shared" si="16"/>
        <v>42.826320075546853</v>
      </c>
      <c r="AB10" s="153">
        <f t="shared" si="16"/>
        <v>49.250268086878876</v>
      </c>
      <c r="AC10" s="153">
        <f t="shared" si="16"/>
        <v>56.637808299910702</v>
      </c>
      <c r="AD10" s="137">
        <f t="shared" ref="AD10:AD42" si="17">((AC10/G10)^(1/($AC$3-$H$1) ))-1</f>
        <v>0.11019794717732068</v>
      </c>
      <c r="AE10" s="31">
        <f t="shared" si="15"/>
        <v>0.05</v>
      </c>
      <c r="AF10" s="145">
        <f t="shared" si="1"/>
        <v>349.82175714650731</v>
      </c>
    </row>
    <row r="11" spans="2:32" x14ac:dyDescent="0.2">
      <c r="B11" s="20"/>
      <c r="C11" s="140"/>
      <c r="D11" s="140"/>
      <c r="E11" s="146"/>
      <c r="F11" s="146"/>
      <c r="G11" s="147">
        <f>(G10-F10)/G10</f>
        <v>1</v>
      </c>
      <c r="H11" s="147">
        <f t="shared" ref="H11:Q11" si="18">(H10-G10)/H10</f>
        <v>-1.1874999999999998</v>
      </c>
      <c r="I11" s="147">
        <f t="shared" si="18"/>
        <v>0.19999999999999996</v>
      </c>
      <c r="J11" s="147">
        <f t="shared" si="18"/>
        <v>0.8</v>
      </c>
      <c r="K11" s="147">
        <f t="shared" si="18"/>
        <v>0.39393939393939392</v>
      </c>
      <c r="L11" s="147">
        <f t="shared" si="18"/>
        <v>0.25</v>
      </c>
      <c r="M11" s="147">
        <f t="shared" si="18"/>
        <v>-0.12820512820512819</v>
      </c>
      <c r="N11" s="147">
        <f t="shared" si="18"/>
        <v>-0.34482758620689657</v>
      </c>
      <c r="O11" s="147">
        <f t="shared" si="18"/>
        <v>-0.45</v>
      </c>
      <c r="P11" s="147">
        <f t="shared" si="18"/>
        <v>0.16666666666666666</v>
      </c>
      <c r="Q11" s="147">
        <f t="shared" si="18"/>
        <v>-0.7142857142857143</v>
      </c>
      <c r="R11" s="128"/>
      <c r="S11" s="20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19"/>
      <c r="AE11" s="31">
        <f t="shared" si="15"/>
        <v>0.05</v>
      </c>
      <c r="AF11" s="153"/>
    </row>
    <row r="12" spans="2:32" x14ac:dyDescent="0.2">
      <c r="B12" s="20" t="s">
        <v>2</v>
      </c>
      <c r="C12" s="140"/>
      <c r="D12" s="140"/>
      <c r="E12" s="146"/>
      <c r="F12" s="146"/>
      <c r="G12" s="146">
        <v>0.7</v>
      </c>
      <c r="H12" s="146">
        <v>0.8</v>
      </c>
      <c r="I12" s="146">
        <v>0.3</v>
      </c>
      <c r="J12" s="146">
        <v>1</v>
      </c>
      <c r="K12" s="146">
        <v>1</v>
      </c>
      <c r="L12" s="146">
        <v>0.4</v>
      </c>
      <c r="M12" s="146">
        <v>1.2</v>
      </c>
      <c r="N12" s="146">
        <v>0.5</v>
      </c>
      <c r="O12" s="146">
        <v>0.4</v>
      </c>
      <c r="P12" s="146">
        <v>0.8</v>
      </c>
      <c r="Q12" s="146">
        <v>9</v>
      </c>
      <c r="R12" s="118">
        <f>((Q12/G12)^(1/($H$2-$H$1) ))-1</f>
        <v>0.32812292858395531</v>
      </c>
      <c r="S12" s="31">
        <f t="shared" si="5"/>
        <v>0.15</v>
      </c>
      <c r="T12" s="153">
        <f t="shared" si="2"/>
        <v>10.35</v>
      </c>
      <c r="U12" s="153">
        <f t="shared" ref="U12:AC12" si="19">T12*(1+$S12)</f>
        <v>11.902499999999998</v>
      </c>
      <c r="V12" s="153">
        <f t="shared" si="19"/>
        <v>13.687874999999996</v>
      </c>
      <c r="W12" s="153">
        <f t="shared" si="19"/>
        <v>15.741056249999994</v>
      </c>
      <c r="X12" s="153">
        <f t="shared" si="19"/>
        <v>18.102214687499991</v>
      </c>
      <c r="Y12" s="153">
        <f t="shared" si="19"/>
        <v>20.817546890624989</v>
      </c>
      <c r="Z12" s="153">
        <f t="shared" si="19"/>
        <v>23.940178924218735</v>
      </c>
      <c r="AA12" s="153">
        <f t="shared" si="19"/>
        <v>27.531205762851542</v>
      </c>
      <c r="AB12" s="153">
        <f t="shared" si="19"/>
        <v>31.660886627279272</v>
      </c>
      <c r="AC12" s="153">
        <f t="shared" si="19"/>
        <v>36.410019621371163</v>
      </c>
      <c r="AD12" s="137">
        <f t="shared" si="17"/>
        <v>0.21844559904987948</v>
      </c>
      <c r="AE12" s="31">
        <f t="shared" si="15"/>
        <v>0.05</v>
      </c>
      <c r="AF12" s="145">
        <f t="shared" si="1"/>
        <v>224.88541530846899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8</v>
      </c>
      <c r="H13" s="146">
        <v>5.48</v>
      </c>
      <c r="I13" s="146">
        <v>7.21</v>
      </c>
      <c r="J13" s="146">
        <v>0.72</v>
      </c>
      <c r="K13" s="146">
        <v>0.08</v>
      </c>
      <c r="L13" s="146">
        <v>0.08</v>
      </c>
      <c r="M13" s="146">
        <v>0.08</v>
      </c>
      <c r="N13" s="146">
        <v>0.08</v>
      </c>
      <c r="O13" s="146">
        <v>0.08</v>
      </c>
      <c r="P13" s="146">
        <v>7.5</v>
      </c>
      <c r="Q13" s="146">
        <v>0.09</v>
      </c>
      <c r="R13" s="118">
        <f>((Q13/G13)^(1/($H$2-$H$1) ))-1</f>
        <v>-0.39261873550377147</v>
      </c>
      <c r="S13" s="31">
        <f t="shared" si="5"/>
        <v>0.15</v>
      </c>
      <c r="T13" s="153">
        <f t="shared" si="2"/>
        <v>0.10349999999999999</v>
      </c>
      <c r="U13" s="153">
        <f t="shared" ref="U13:AC13" si="20">T13*(1+$S13)</f>
        <v>0.11902499999999998</v>
      </c>
      <c r="V13" s="153">
        <f t="shared" si="20"/>
        <v>0.13687874999999997</v>
      </c>
      <c r="W13" s="153">
        <f t="shared" si="20"/>
        <v>0.15741056249999996</v>
      </c>
      <c r="X13" s="153">
        <f t="shared" si="20"/>
        <v>0.18102214687499993</v>
      </c>
      <c r="Y13" s="153">
        <f t="shared" si="20"/>
        <v>0.20817546890624991</v>
      </c>
      <c r="Z13" s="153">
        <f t="shared" si="20"/>
        <v>0.23940178924218738</v>
      </c>
      <c r="AA13" s="153">
        <f t="shared" si="20"/>
        <v>0.27531205762851546</v>
      </c>
      <c r="AB13" s="153">
        <f t="shared" si="20"/>
        <v>0.31660886627279278</v>
      </c>
      <c r="AC13" s="153">
        <f t="shared" si="20"/>
        <v>0.36410019621371165</v>
      </c>
      <c r="AD13" s="137">
        <f t="shared" si="17"/>
        <v>-0.14314655670170762</v>
      </c>
      <c r="AE13" s="31">
        <f t="shared" si="15"/>
        <v>0.05</v>
      </c>
      <c r="AF13" s="145">
        <f t="shared" si="1"/>
        <v>2.2488541530846899</v>
      </c>
    </row>
    <row r="14" spans="2:32" x14ac:dyDescent="0.2">
      <c r="B14" s="20" t="s">
        <v>372</v>
      </c>
      <c r="C14" s="140"/>
      <c r="D14" s="140"/>
      <c r="E14" s="146"/>
      <c r="F14" s="146"/>
      <c r="G14" s="146">
        <v>8</v>
      </c>
      <c r="H14" s="146">
        <v>8</v>
      </c>
      <c r="I14" s="146">
        <v>8</v>
      </c>
      <c r="J14" s="146">
        <v>9</v>
      </c>
      <c r="K14" s="146">
        <v>12</v>
      </c>
      <c r="L14" s="146">
        <v>25</v>
      </c>
      <c r="M14" s="146">
        <v>23</v>
      </c>
      <c r="N14" s="146">
        <v>23</v>
      </c>
      <c r="O14" s="146">
        <v>26</v>
      </c>
      <c r="P14" s="146">
        <v>31</v>
      </c>
      <c r="Q14" s="146">
        <v>28</v>
      </c>
      <c r="R14" s="118">
        <f>((Q14/G14)^(1/($H$2-$H$1) ))-1</f>
        <v>0.14934921867223361</v>
      </c>
      <c r="S14" s="31">
        <f t="shared" si="5"/>
        <v>0.15</v>
      </c>
      <c r="T14" s="153">
        <f t="shared" si="2"/>
        <v>32.199999999999996</v>
      </c>
      <c r="U14" s="153">
        <f t="shared" ref="U14" si="21">T14*(1+$S14)</f>
        <v>37.029999999999994</v>
      </c>
      <c r="V14" s="153">
        <f t="shared" ref="V14" si="22">U14*(1+$S14)</f>
        <v>42.584499999999991</v>
      </c>
      <c r="W14" s="153">
        <f t="shared" ref="W14" si="23">V14*(1+$S14)</f>
        <v>48.972174999999986</v>
      </c>
      <c r="X14" s="153">
        <f t="shared" ref="X14" si="24">W14*(1+$S14)</f>
        <v>56.31800124999998</v>
      </c>
      <c r="Y14" s="153">
        <f t="shared" ref="Y14" si="25">X14*(1+$S14)</f>
        <v>64.76570143749997</v>
      </c>
      <c r="Z14" s="153">
        <f t="shared" ref="Z14" si="26">Y14*(1+$S14)</f>
        <v>74.480556653124964</v>
      </c>
      <c r="AA14" s="153">
        <f t="shared" ref="AA14" si="27">Z14*(1+$S14)</f>
        <v>85.652640151093706</v>
      </c>
      <c r="AB14" s="153">
        <f t="shared" ref="AB14" si="28">AA14*(1+$S14)</f>
        <v>98.500536173757752</v>
      </c>
      <c r="AC14" s="153">
        <f t="shared" ref="AC14" si="29">AB14*(1+$S14)</f>
        <v>113.2756165998214</v>
      </c>
      <c r="AD14" s="137">
        <f t="shared" ref="AD14" si="30">((AC14/G14)^(1/($AC$3-$H$1) ))-1</f>
        <v>0.14170084475807498</v>
      </c>
      <c r="AE14" s="31">
        <f t="shared" si="15"/>
        <v>0.05</v>
      </c>
      <c r="AF14" s="145">
        <f t="shared" ref="AF14" si="31">(AC14*(1+AE14))/($C$1-AE14)</f>
        <v>699.64351429301462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15</v>
      </c>
      <c r="H15" s="146">
        <v>14</v>
      </c>
      <c r="I15" s="146">
        <v>15</v>
      </c>
      <c r="J15" s="146">
        <v>21</v>
      </c>
      <c r="K15" s="146">
        <v>23</v>
      </c>
      <c r="L15" s="146">
        <v>38</v>
      </c>
      <c r="M15" s="146">
        <v>37</v>
      </c>
      <c r="N15" s="146">
        <v>40</v>
      </c>
      <c r="O15" s="146">
        <v>43</v>
      </c>
      <c r="P15" s="146">
        <v>50</v>
      </c>
      <c r="Q15" s="146">
        <v>59</v>
      </c>
      <c r="R15" s="118">
        <f>((Q15/G15)^(1/($H$2-$H$1) ))-1</f>
        <v>0.16435262887621938</v>
      </c>
      <c r="S15" s="31">
        <f t="shared" si="5"/>
        <v>0.15</v>
      </c>
      <c r="T15" s="153">
        <f t="shared" si="2"/>
        <v>67.849999999999994</v>
      </c>
      <c r="U15" s="153">
        <f t="shared" ref="U15:AC15" si="32">T15*(1+$S15)</f>
        <v>78.027499999999989</v>
      </c>
      <c r="V15" s="153">
        <f t="shared" si="32"/>
        <v>89.73162499999998</v>
      </c>
      <c r="W15" s="153">
        <f t="shared" si="32"/>
        <v>103.19136874999997</v>
      </c>
      <c r="X15" s="153">
        <f t="shared" si="32"/>
        <v>118.67007406249995</v>
      </c>
      <c r="Y15" s="153">
        <f t="shared" si="32"/>
        <v>136.47058517187494</v>
      </c>
      <c r="Z15" s="153">
        <f t="shared" si="32"/>
        <v>156.94117294765618</v>
      </c>
      <c r="AA15" s="153">
        <f t="shared" si="32"/>
        <v>180.4823488898046</v>
      </c>
      <c r="AB15" s="153">
        <f t="shared" si="32"/>
        <v>207.55470122327526</v>
      </c>
      <c r="AC15" s="153">
        <f t="shared" si="32"/>
        <v>238.68790640676653</v>
      </c>
      <c r="AD15" s="137">
        <f t="shared" si="17"/>
        <v>0.14838353672793803</v>
      </c>
      <c r="AE15" s="31">
        <f t="shared" si="15"/>
        <v>0.05</v>
      </c>
      <c r="AF15" s="145">
        <f t="shared" si="1"/>
        <v>1474.2488336888523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6</v>
      </c>
      <c r="H16" s="146">
        <v>6</v>
      </c>
      <c r="I16" s="146">
        <v>6</v>
      </c>
      <c r="J16" s="146">
        <v>10</v>
      </c>
      <c r="K16" s="146">
        <v>11</v>
      </c>
      <c r="L16" s="146">
        <v>27</v>
      </c>
      <c r="M16" s="146">
        <v>24</v>
      </c>
      <c r="N16" s="146">
        <v>24</v>
      </c>
      <c r="O16" s="146">
        <v>27</v>
      </c>
      <c r="P16" s="146">
        <v>26</v>
      </c>
      <c r="Q16" s="146">
        <v>36</v>
      </c>
      <c r="R16" s="118">
        <f>((Q16/G16)^(1/($H$2-$H$1) ))-1</f>
        <v>0.22028493587281051</v>
      </c>
      <c r="S16" s="31">
        <f t="shared" si="5"/>
        <v>0.15</v>
      </c>
      <c r="T16" s="153">
        <f t="shared" si="2"/>
        <v>41.4</v>
      </c>
      <c r="U16" s="153">
        <f t="shared" ref="U16:AC16" si="33">T16*(1+$S16)</f>
        <v>47.609999999999992</v>
      </c>
      <c r="V16" s="153">
        <f t="shared" si="33"/>
        <v>54.751499999999986</v>
      </c>
      <c r="W16" s="153">
        <f t="shared" si="33"/>
        <v>62.964224999999978</v>
      </c>
      <c r="X16" s="153">
        <f t="shared" si="33"/>
        <v>72.408858749999965</v>
      </c>
      <c r="Y16" s="153">
        <f t="shared" si="33"/>
        <v>83.270187562499956</v>
      </c>
      <c r="Z16" s="153">
        <f t="shared" si="33"/>
        <v>95.760715696874939</v>
      </c>
      <c r="AA16" s="153">
        <f t="shared" si="33"/>
        <v>110.12482305140617</v>
      </c>
      <c r="AB16" s="153">
        <f t="shared" si="33"/>
        <v>126.64354650911709</v>
      </c>
      <c r="AC16" s="153">
        <f t="shared" si="33"/>
        <v>145.64007848548465</v>
      </c>
      <c r="AD16" s="137">
        <f t="shared" si="17"/>
        <v>0.17288783721164602</v>
      </c>
      <c r="AE16" s="31">
        <f t="shared" si="15"/>
        <v>0.05</v>
      </c>
      <c r="AF16" s="145">
        <f t="shared" si="1"/>
        <v>899.54166123387597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3">
        <f t="shared" si="2"/>
        <v>0</v>
      </c>
      <c r="U17" s="153"/>
      <c r="V17" s="153"/>
      <c r="W17" s="153"/>
      <c r="X17" s="153"/>
      <c r="Y17" s="153"/>
      <c r="Z17" s="153"/>
      <c r="AA17" s="153"/>
      <c r="AB17" s="153"/>
      <c r="AC17" s="153"/>
      <c r="AD17" s="138"/>
      <c r="AE17" s="136"/>
      <c r="AF17" s="153"/>
    </row>
    <row r="18" spans="2:32" x14ac:dyDescent="0.2">
      <c r="B18" s="20" t="s">
        <v>277</v>
      </c>
      <c r="C18" s="140"/>
      <c r="D18" s="140"/>
      <c r="E18" s="146"/>
      <c r="F18" s="146"/>
      <c r="G18" s="146">
        <v>19</v>
      </c>
      <c r="H18" s="146">
        <v>20</v>
      </c>
      <c r="I18" s="146">
        <v>24</v>
      </c>
      <c r="J18" s="146">
        <v>25</v>
      </c>
      <c r="K18" s="146">
        <v>58</v>
      </c>
      <c r="L18" s="146">
        <v>54</v>
      </c>
      <c r="M18" s="146">
        <v>52</v>
      </c>
      <c r="N18" s="146">
        <v>49</v>
      </c>
      <c r="O18" s="146">
        <v>49</v>
      </c>
      <c r="P18" s="146">
        <v>64</v>
      </c>
      <c r="Q18" s="146">
        <v>73</v>
      </c>
      <c r="R18" s="118">
        <f>((Q18/G18)^(1/($H$2-$H$1) ))-1</f>
        <v>0.16132062700743299</v>
      </c>
      <c r="S18" s="31">
        <f t="shared" si="5"/>
        <v>0.15</v>
      </c>
      <c r="T18" s="153">
        <f t="shared" si="2"/>
        <v>83.949999999999989</v>
      </c>
      <c r="U18" s="153">
        <f t="shared" ref="U18:U34" si="34">T18*(1+$S18)</f>
        <v>96.542499999999976</v>
      </c>
      <c r="V18" s="153">
        <f t="shared" ref="V18:V34" si="35">U18*(1+$S18)</f>
        <v>111.02387499999996</v>
      </c>
      <c r="W18" s="153">
        <f t="shared" ref="W18:W34" si="36">V18*(1+$S18)</f>
        <v>127.67745624999995</v>
      </c>
      <c r="X18" s="153">
        <f t="shared" ref="X18:X36" si="37">W18*(1+$S18)</f>
        <v>146.82907468749994</v>
      </c>
      <c r="Y18" s="153">
        <f t="shared" ref="Y18:Y36" si="38">X18*(1+$S18)</f>
        <v>168.85343589062492</v>
      </c>
      <c r="Z18" s="153">
        <f t="shared" ref="Z18:Z36" si="39">Y18*(1+$S18)</f>
        <v>194.18145127421866</v>
      </c>
      <c r="AA18" s="153">
        <f t="shared" ref="AA18:AA36" si="40">Z18*(1+$S18)</f>
        <v>223.30866896535144</v>
      </c>
      <c r="AB18" s="153">
        <f t="shared" ref="AB18:AB36" si="41">AA18*(1+$S18)</f>
        <v>256.80496931015415</v>
      </c>
      <c r="AC18" s="153">
        <f t="shared" ref="AC18:AC36" si="42">AB18*(1+$S18)</f>
        <v>295.32571470667727</v>
      </c>
      <c r="AD18" s="137">
        <f t="shared" si="17"/>
        <v>0.14703688368495671</v>
      </c>
      <c r="AE18" s="31">
        <f t="shared" si="15"/>
        <v>0.05</v>
      </c>
      <c r="AF18" s="145">
        <f t="shared" si="1"/>
        <v>1824.07059083536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3">
        <f t="shared" si="2"/>
        <v>0</v>
      </c>
      <c r="U19" s="153"/>
      <c r="V19" s="153"/>
      <c r="W19" s="153"/>
      <c r="X19" s="153"/>
      <c r="Y19" s="153"/>
      <c r="Z19" s="153"/>
      <c r="AA19" s="153"/>
      <c r="AB19" s="153"/>
      <c r="AC19" s="153"/>
      <c r="AD19" s="138"/>
      <c r="AE19" s="136"/>
      <c r="AF19" s="153"/>
    </row>
    <row r="20" spans="2:32" x14ac:dyDescent="0.2">
      <c r="B20" s="20" t="s">
        <v>283</v>
      </c>
      <c r="C20" s="140"/>
      <c r="D20" s="140"/>
      <c r="E20" s="146"/>
      <c r="F20" s="146"/>
      <c r="G20" s="146">
        <v>7</v>
      </c>
      <c r="H20" s="146">
        <v>4</v>
      </c>
      <c r="I20" s="146">
        <v>4</v>
      </c>
      <c r="J20" s="146">
        <v>2.9</v>
      </c>
      <c r="K20" s="146">
        <v>5</v>
      </c>
      <c r="L20" s="146">
        <v>-4</v>
      </c>
      <c r="M20" s="146">
        <v>14</v>
      </c>
      <c r="N20" s="146">
        <v>16</v>
      </c>
      <c r="O20" s="146">
        <v>14</v>
      </c>
      <c r="P20" s="146">
        <v>32</v>
      </c>
      <c r="Q20" s="146">
        <v>39</v>
      </c>
      <c r="R20" s="118">
        <f>((Q20/G20)^(1/($H$2-$H$1) ))-1</f>
        <v>0.21027809810004494</v>
      </c>
      <c r="S20" s="31">
        <f t="shared" si="5"/>
        <v>0.15</v>
      </c>
      <c r="T20" s="153">
        <f t="shared" si="2"/>
        <v>44.849999999999994</v>
      </c>
      <c r="U20" s="153">
        <f t="shared" ref="U20:U22" si="43">T20*(1+$S20)</f>
        <v>51.577499999999986</v>
      </c>
      <c r="V20" s="153">
        <f t="shared" ref="V20:V22" si="44">U20*(1+$S20)</f>
        <v>59.314124999999983</v>
      </c>
      <c r="W20" s="153">
        <f t="shared" ref="W20:W22" si="45">V20*(1+$S20)</f>
        <v>68.21124374999998</v>
      </c>
      <c r="X20" s="153">
        <f t="shared" ref="X20:X22" si="46">W20*(1+$S20)</f>
        <v>78.442930312499968</v>
      </c>
      <c r="Y20" s="153">
        <f t="shared" ref="Y20:Y22" si="47">X20*(1+$S20)</f>
        <v>90.209369859374959</v>
      </c>
      <c r="Z20" s="153">
        <f t="shared" ref="Z20:Z22" si="48">Y20*(1+$S20)</f>
        <v>103.7407753382812</v>
      </c>
      <c r="AA20" s="153">
        <f t="shared" ref="AA20:AA22" si="49">Z20*(1+$S20)</f>
        <v>119.30189163902337</v>
      </c>
      <c r="AB20" s="153">
        <f t="shared" ref="AB20:AB22" si="50">AA20*(1+$S20)</f>
        <v>137.19717538487686</v>
      </c>
      <c r="AC20" s="153">
        <f t="shared" ref="AC20:AC22" si="51">AB20*(1+$S20)</f>
        <v>157.77675169260837</v>
      </c>
      <c r="AD20" s="137">
        <f t="shared" ref="AD20:AD22" si="52">((AC20/G20)^(1/($AC$3-$H$1) ))-1</f>
        <v>0.1685498621793502</v>
      </c>
      <c r="AE20" s="31">
        <f t="shared" si="15"/>
        <v>0.05</v>
      </c>
      <c r="AF20" s="145">
        <f t="shared" si="1"/>
        <v>974.50346633669892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v>-8</v>
      </c>
      <c r="H21" s="146">
        <v>-0.03</v>
      </c>
      <c r="I21" s="146">
        <v>-5</v>
      </c>
      <c r="J21" s="146">
        <v>-16</v>
      </c>
      <c r="K21" s="146">
        <v>-15</v>
      </c>
      <c r="L21" s="146">
        <v>-2</v>
      </c>
      <c r="M21" s="146">
        <v>-4</v>
      </c>
      <c r="N21" s="146">
        <v>-2</v>
      </c>
      <c r="O21" s="146">
        <v>-5</v>
      </c>
      <c r="P21" s="146">
        <v>-30</v>
      </c>
      <c r="Q21" s="146">
        <v>-8</v>
      </c>
      <c r="R21" s="118">
        <f>((Q21/G21)^(1/($H$2-$H$1) ))-1</f>
        <v>0</v>
      </c>
      <c r="S21" s="31">
        <f t="shared" si="5"/>
        <v>0.15</v>
      </c>
      <c r="T21" s="153">
        <f t="shared" si="2"/>
        <v>-9.1999999999999993</v>
      </c>
      <c r="U21" s="153">
        <f t="shared" si="43"/>
        <v>-10.579999999999998</v>
      </c>
      <c r="V21" s="153">
        <f t="shared" si="44"/>
        <v>-12.166999999999996</v>
      </c>
      <c r="W21" s="153">
        <f t="shared" si="45"/>
        <v>-13.992049999999995</v>
      </c>
      <c r="X21" s="153">
        <f t="shared" si="46"/>
        <v>-16.090857499999995</v>
      </c>
      <c r="Y21" s="153">
        <f t="shared" si="47"/>
        <v>-18.504486124999993</v>
      </c>
      <c r="Z21" s="153">
        <f t="shared" si="48"/>
        <v>-21.28015904374999</v>
      </c>
      <c r="AA21" s="153">
        <f t="shared" si="49"/>
        <v>-24.472182900312486</v>
      </c>
      <c r="AB21" s="153">
        <f t="shared" si="50"/>
        <v>-28.143010335359357</v>
      </c>
      <c r="AC21" s="153">
        <f t="shared" si="51"/>
        <v>-32.36446188566326</v>
      </c>
      <c r="AD21" s="137">
        <f t="shared" si="52"/>
        <v>7.2380529476360866E-2</v>
      </c>
      <c r="AE21" s="31">
        <f t="shared" si="15"/>
        <v>0.05</v>
      </c>
      <c r="AF21" s="145">
        <f t="shared" si="1"/>
        <v>-199.89814694086135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v>1</v>
      </c>
      <c r="H22" s="146">
        <v>-4</v>
      </c>
      <c r="I22" s="146">
        <v>-0.25</v>
      </c>
      <c r="J22" s="146">
        <v>14</v>
      </c>
      <c r="K22" s="146">
        <v>10</v>
      </c>
      <c r="L22" s="146">
        <v>4</v>
      </c>
      <c r="M22" s="146">
        <v>-10</v>
      </c>
      <c r="N22" s="146">
        <v>-14</v>
      </c>
      <c r="O22" s="146">
        <v>-10</v>
      </c>
      <c r="P22" s="146">
        <v>-2</v>
      </c>
      <c r="Q22" s="146">
        <v>-23</v>
      </c>
      <c r="R22" s="118">
        <f>((Q22/G22)^(1/($H$2-$H$1) ))-1</f>
        <v>-2.4167822033014117</v>
      </c>
      <c r="S22" s="31">
        <f t="shared" si="5"/>
        <v>0.15</v>
      </c>
      <c r="T22" s="153">
        <f t="shared" si="2"/>
        <v>-26.45</v>
      </c>
      <c r="U22" s="153">
        <f t="shared" si="43"/>
        <v>-30.417499999999997</v>
      </c>
      <c r="V22" s="153">
        <f t="shared" si="44"/>
        <v>-34.980124999999994</v>
      </c>
      <c r="W22" s="153">
        <f t="shared" si="45"/>
        <v>-40.227143749999989</v>
      </c>
      <c r="X22" s="153">
        <f t="shared" si="46"/>
        <v>-46.261215312499985</v>
      </c>
      <c r="Y22" s="153">
        <f t="shared" si="47"/>
        <v>-53.200397609374981</v>
      </c>
      <c r="Z22" s="153">
        <f t="shared" si="48"/>
        <v>-61.180457250781224</v>
      </c>
      <c r="AA22" s="153">
        <f t="shared" si="49"/>
        <v>-70.357525838398402</v>
      </c>
      <c r="AB22" s="153">
        <f t="shared" si="50"/>
        <v>-80.911154714158158</v>
      </c>
      <c r="AC22" s="153">
        <f t="shared" si="51"/>
        <v>-93.047827921281879</v>
      </c>
      <c r="AD22" s="137" t="e">
        <f t="shared" si="52"/>
        <v>#NUM!</v>
      </c>
      <c r="AE22" s="31">
        <f t="shared" si="15"/>
        <v>0.05</v>
      </c>
      <c r="AF22" s="145">
        <f t="shared" si="1"/>
        <v>-574.70717245497644</v>
      </c>
    </row>
    <row r="23" spans="2:32" x14ac:dyDescent="0.2">
      <c r="B23" s="20" t="s">
        <v>294</v>
      </c>
      <c r="C23" s="140"/>
      <c r="D23" s="140"/>
      <c r="E23" s="146"/>
      <c r="F23" s="146"/>
      <c r="G23" s="146">
        <v>0.73</v>
      </c>
      <c r="H23" s="146">
        <v>0.8</v>
      </c>
      <c r="I23" s="146">
        <v>0.2</v>
      </c>
      <c r="J23" s="146">
        <v>1</v>
      </c>
      <c r="K23" s="146">
        <v>1</v>
      </c>
      <c r="L23" s="146">
        <v>0.39</v>
      </c>
      <c r="M23" s="146">
        <v>1</v>
      </c>
      <c r="N23" s="146">
        <v>0.5</v>
      </c>
      <c r="O23" s="146">
        <v>0.4</v>
      </c>
      <c r="P23" s="146">
        <v>0.8</v>
      </c>
      <c r="Q23" s="146">
        <v>9</v>
      </c>
      <c r="R23" s="118">
        <f>((Q23/G23)^(1/($H$2-$H$1) ))-1</f>
        <v>0.32194471942121705</v>
      </c>
      <c r="S23" s="31">
        <f t="shared" si="5"/>
        <v>0.15</v>
      </c>
      <c r="T23" s="153">
        <f t="shared" si="2"/>
        <v>10.35</v>
      </c>
      <c r="U23" s="153">
        <f t="shared" ref="U23" si="53">T23*(1+$S23)</f>
        <v>11.902499999999998</v>
      </c>
      <c r="V23" s="153">
        <f t="shared" ref="V23" si="54">U23*(1+$S23)</f>
        <v>13.687874999999996</v>
      </c>
      <c r="W23" s="153">
        <f t="shared" ref="W23" si="55">V23*(1+$S23)</f>
        <v>15.741056249999994</v>
      </c>
      <c r="X23" s="153">
        <f t="shared" ref="X23" si="56">W23*(1+$S23)</f>
        <v>18.102214687499991</v>
      </c>
      <c r="Y23" s="153">
        <f t="shared" ref="Y23" si="57">X23*(1+$S23)</f>
        <v>20.817546890624989</v>
      </c>
      <c r="Z23" s="153">
        <f t="shared" ref="Z23" si="58">Y23*(1+$S23)</f>
        <v>23.940178924218735</v>
      </c>
      <c r="AA23" s="153">
        <f t="shared" ref="AA23" si="59">Z23*(1+$S23)</f>
        <v>27.531205762851542</v>
      </c>
      <c r="AB23" s="153">
        <f t="shared" ref="AB23" si="60">AA23*(1+$S23)</f>
        <v>31.660886627279272</v>
      </c>
      <c r="AC23" s="153">
        <f t="shared" ref="AC23" si="61">AB23*(1+$S23)</f>
        <v>36.410019621371163</v>
      </c>
      <c r="AD23" s="137">
        <f t="shared" ref="AD23" si="62">((AC23/G23)^(1/($AC$3-$H$1) ))-1</f>
        <v>0.21589172458374972</v>
      </c>
      <c r="AE23" s="31">
        <f t="shared" si="15"/>
        <v>0.05</v>
      </c>
      <c r="AF23" s="145">
        <f t="shared" si="1"/>
        <v>224.88541530846899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3">
        <f t="shared" si="2"/>
        <v>0</v>
      </c>
      <c r="U24" s="153"/>
      <c r="V24" s="153"/>
      <c r="W24" s="153"/>
      <c r="X24" s="153"/>
      <c r="Y24" s="153"/>
      <c r="Z24" s="153"/>
      <c r="AA24" s="153"/>
      <c r="AB24" s="153"/>
      <c r="AC24" s="153"/>
      <c r="AD24" s="119"/>
      <c r="AE24" s="136"/>
      <c r="AF24" s="153"/>
    </row>
    <row r="25" spans="2:32" x14ac:dyDescent="0.2">
      <c r="B25" s="20" t="s">
        <v>89</v>
      </c>
      <c r="C25" s="140"/>
      <c r="D25" s="140"/>
      <c r="E25" s="146"/>
      <c r="F25" s="146"/>
      <c r="G25" s="146">
        <v>34</v>
      </c>
      <c r="H25" s="146">
        <v>40</v>
      </c>
      <c r="I25" s="146">
        <v>46</v>
      </c>
      <c r="J25" s="146">
        <v>51</v>
      </c>
      <c r="K25" s="146">
        <v>51</v>
      </c>
      <c r="L25" s="146">
        <v>71</v>
      </c>
      <c r="M25" s="146">
        <v>74</v>
      </c>
      <c r="N25" s="146">
        <v>95</v>
      </c>
      <c r="O25" s="146">
        <v>119</v>
      </c>
      <c r="P25" s="146">
        <v>159</v>
      </c>
      <c r="Q25" s="146">
        <v>176</v>
      </c>
      <c r="R25" s="118">
        <f>((Q25/G25)^(1/($H$2-$H$1) ))-1</f>
        <v>0.20043067183429608</v>
      </c>
      <c r="S25" s="31">
        <f t="shared" si="5"/>
        <v>0.15</v>
      </c>
      <c r="T25" s="153">
        <f t="shared" si="2"/>
        <v>202.39999999999998</v>
      </c>
      <c r="U25" s="153">
        <f t="shared" si="34"/>
        <v>232.75999999999996</v>
      </c>
      <c r="V25" s="153">
        <f t="shared" si="35"/>
        <v>267.67399999999992</v>
      </c>
      <c r="W25" s="153">
        <f t="shared" si="36"/>
        <v>307.82509999999991</v>
      </c>
      <c r="X25" s="153">
        <f t="shared" si="37"/>
        <v>353.99886499999985</v>
      </c>
      <c r="Y25" s="153">
        <f t="shared" si="38"/>
        <v>407.09869474999982</v>
      </c>
      <c r="Z25" s="153">
        <f t="shared" si="39"/>
        <v>468.16349896249977</v>
      </c>
      <c r="AA25" s="153">
        <f t="shared" si="40"/>
        <v>538.38802380687468</v>
      </c>
      <c r="AB25" s="153">
        <f t="shared" si="41"/>
        <v>619.1462273779058</v>
      </c>
      <c r="AC25" s="153">
        <f t="shared" si="42"/>
        <v>712.01816148459159</v>
      </c>
      <c r="AD25" s="137">
        <f t="shared" si="17"/>
        <v>0.16426169125733314</v>
      </c>
      <c r="AE25" s="31">
        <f t="shared" si="15"/>
        <v>0.05</v>
      </c>
      <c r="AF25" s="145">
        <f t="shared" si="1"/>
        <v>4397.7592326989488</v>
      </c>
    </row>
    <row r="26" spans="2:32" s="123" customFormat="1" x14ac:dyDescent="0.2">
      <c r="B26" s="23"/>
      <c r="C26" s="148"/>
      <c r="D26" s="148"/>
      <c r="E26" s="149"/>
      <c r="F26" s="149"/>
      <c r="G26" s="147">
        <f>(G25-F25)/G25</f>
        <v>1</v>
      </c>
      <c r="H26" s="147">
        <f>(H25-G25)/H25</f>
        <v>0.15</v>
      </c>
      <c r="I26" s="147">
        <f t="shared" ref="I26" si="63">(I25-H25)/I25</f>
        <v>0.13043478260869565</v>
      </c>
      <c r="J26" s="147">
        <f t="shared" ref="J26" si="64">(J25-I25)/J25</f>
        <v>9.8039215686274508E-2</v>
      </c>
      <c r="K26" s="147">
        <f t="shared" ref="K26" si="65">(K25-J25)/K25</f>
        <v>0</v>
      </c>
      <c r="L26" s="147">
        <f t="shared" ref="L26" si="66">(L25-K25)/L25</f>
        <v>0.28169014084507044</v>
      </c>
      <c r="M26" s="147">
        <f t="shared" ref="M26" si="67">(M25-L25)/M25</f>
        <v>4.0540540540540543E-2</v>
      </c>
      <c r="N26" s="147">
        <f t="shared" ref="N26" si="68">(N25-M25)/N25</f>
        <v>0.22105263157894736</v>
      </c>
      <c r="O26" s="147">
        <f t="shared" ref="O26" si="69">(O25-N25)/O25</f>
        <v>0.20168067226890757</v>
      </c>
      <c r="P26" s="147">
        <f t="shared" ref="P26:Q26" si="70">(P25-O25)/P25</f>
        <v>0.25157232704402516</v>
      </c>
      <c r="Q26" s="147">
        <f t="shared" si="70"/>
        <v>9.6590909090909088E-2</v>
      </c>
      <c r="R26" s="128"/>
      <c r="S26" s="20"/>
      <c r="T26" s="153"/>
      <c r="U26" s="154"/>
      <c r="V26" s="154"/>
      <c r="W26" s="154"/>
      <c r="X26" s="154"/>
      <c r="Y26" s="154"/>
      <c r="Z26" s="154"/>
      <c r="AA26" s="154"/>
      <c r="AB26" s="154"/>
      <c r="AC26" s="154"/>
      <c r="AD26" s="119"/>
      <c r="AE26" s="136"/>
      <c r="AF26" s="153"/>
    </row>
    <row r="27" spans="2:32" x14ac:dyDescent="0.2">
      <c r="B27" s="20" t="s">
        <v>261</v>
      </c>
      <c r="C27" s="140"/>
      <c r="D27" s="140"/>
      <c r="E27" s="146"/>
      <c r="F27" s="146"/>
      <c r="G27" s="146">
        <v>30</v>
      </c>
      <c r="H27" s="146">
        <v>35</v>
      </c>
      <c r="I27" s="146">
        <v>38</v>
      </c>
      <c r="J27" s="146">
        <v>42</v>
      </c>
      <c r="K27" s="146">
        <v>43</v>
      </c>
      <c r="L27" s="146">
        <v>60</v>
      </c>
      <c r="M27" s="146">
        <v>61</v>
      </c>
      <c r="N27" s="146">
        <v>74</v>
      </c>
      <c r="O27" s="146">
        <v>91</v>
      </c>
      <c r="P27" s="146">
        <v>117</v>
      </c>
      <c r="Q27" s="146">
        <v>124</v>
      </c>
      <c r="R27" s="118">
        <f>((Q27/G27)^(1/($H$2-$H$1) ))-1</f>
        <v>0.17078682225477237</v>
      </c>
      <c r="S27" s="31">
        <f t="shared" si="5"/>
        <v>0.15</v>
      </c>
      <c r="T27" s="153">
        <f t="shared" si="2"/>
        <v>142.6</v>
      </c>
      <c r="U27" s="153">
        <f t="shared" si="34"/>
        <v>163.98999999999998</v>
      </c>
      <c r="V27" s="153">
        <f t="shared" si="35"/>
        <v>188.58849999999995</v>
      </c>
      <c r="W27" s="153">
        <f t="shared" si="36"/>
        <v>216.87677499999992</v>
      </c>
      <c r="X27" s="153">
        <f t="shared" si="37"/>
        <v>249.40829124999991</v>
      </c>
      <c r="Y27" s="153">
        <f t="shared" si="38"/>
        <v>286.8195349374999</v>
      </c>
      <c r="Z27" s="153">
        <f t="shared" si="39"/>
        <v>329.84246517812488</v>
      </c>
      <c r="AA27" s="153">
        <f t="shared" si="40"/>
        <v>379.31883495484357</v>
      </c>
      <c r="AB27" s="153">
        <f t="shared" si="41"/>
        <v>436.21666019807009</v>
      </c>
      <c r="AC27" s="153">
        <f t="shared" si="42"/>
        <v>501.64915922778056</v>
      </c>
      <c r="AD27" s="137">
        <f t="shared" si="17"/>
        <v>0.15123488625590054</v>
      </c>
      <c r="AE27" s="31">
        <f t="shared" si="15"/>
        <v>0.05</v>
      </c>
      <c r="AF27" s="145">
        <f t="shared" si="1"/>
        <v>3098.4212775833507</v>
      </c>
    </row>
    <row r="28" spans="2:32" s="123" customFormat="1" x14ac:dyDescent="0.2">
      <c r="B28" s="23"/>
      <c r="C28" s="148"/>
      <c r="D28" s="148"/>
      <c r="E28" s="149"/>
      <c r="F28" s="149"/>
      <c r="G28" s="147">
        <f t="shared" ref="G28:M28" si="71">(G27-F27)/G27</f>
        <v>1</v>
      </c>
      <c r="H28" s="147">
        <f t="shared" si="71"/>
        <v>0.14285714285714285</v>
      </c>
      <c r="I28" s="147">
        <f t="shared" si="71"/>
        <v>7.8947368421052627E-2</v>
      </c>
      <c r="J28" s="147">
        <f t="shared" si="71"/>
        <v>9.5238095238095233E-2</v>
      </c>
      <c r="K28" s="147">
        <f t="shared" si="71"/>
        <v>2.3255813953488372E-2</v>
      </c>
      <c r="L28" s="147">
        <f t="shared" si="71"/>
        <v>0.28333333333333333</v>
      </c>
      <c r="M28" s="147">
        <f t="shared" si="71"/>
        <v>1.6393442622950821E-2</v>
      </c>
      <c r="N28" s="147">
        <f t="shared" ref="N28" si="72">(N27-M27)/N27</f>
        <v>0.17567567567567569</v>
      </c>
      <c r="O28" s="147">
        <f t="shared" ref="O28" si="73">(O27-N27)/O27</f>
        <v>0.18681318681318682</v>
      </c>
      <c r="P28" s="147">
        <f t="shared" ref="P28:Q28" si="74">(P27-O27)/P27</f>
        <v>0.22222222222222221</v>
      </c>
      <c r="Q28" s="147">
        <f t="shared" si="74"/>
        <v>5.6451612903225805E-2</v>
      </c>
      <c r="R28" s="128"/>
      <c r="S28" s="20"/>
      <c r="T28" s="153"/>
      <c r="U28" s="154"/>
      <c r="V28" s="154"/>
      <c r="W28" s="154"/>
      <c r="X28" s="154"/>
      <c r="Y28" s="154"/>
      <c r="Z28" s="154"/>
      <c r="AA28" s="154"/>
      <c r="AB28" s="154"/>
      <c r="AC28" s="154"/>
      <c r="AD28" s="119"/>
      <c r="AE28" s="136"/>
      <c r="AF28" s="153"/>
    </row>
    <row r="29" spans="2:32" s="123" customFormat="1" x14ac:dyDescent="0.2">
      <c r="B29" s="20" t="s">
        <v>323</v>
      </c>
      <c r="C29" s="148"/>
      <c r="D29" s="148"/>
      <c r="E29" s="149"/>
      <c r="F29" s="146"/>
      <c r="G29" s="146">
        <v>0.16</v>
      </c>
      <c r="H29" s="146">
        <v>0.18</v>
      </c>
      <c r="I29" s="146">
        <v>7.0000000000000007E-2</v>
      </c>
      <c r="J29" s="146">
        <v>0.19</v>
      </c>
      <c r="K29" s="146">
        <v>2</v>
      </c>
      <c r="L29" s="146">
        <v>4</v>
      </c>
      <c r="M29" s="146">
        <v>4</v>
      </c>
      <c r="N29" s="146">
        <v>3</v>
      </c>
      <c r="O29" s="146">
        <v>4</v>
      </c>
      <c r="P29" s="146">
        <v>4</v>
      </c>
      <c r="Q29" s="146">
        <v>3</v>
      </c>
      <c r="R29" s="118">
        <f>((Q29/G29)^(1/($H$2-$H$1) ))-1</f>
        <v>0.38498345637578901</v>
      </c>
      <c r="S29" s="31">
        <f t="shared" si="5"/>
        <v>0.15</v>
      </c>
      <c r="T29" s="153">
        <f t="shared" si="2"/>
        <v>3.4499999999999997</v>
      </c>
      <c r="U29" s="153">
        <f t="shared" ref="U29" si="75">T29*(1+$S29)</f>
        <v>3.9674999999999994</v>
      </c>
      <c r="V29" s="153">
        <f t="shared" ref="V29" si="76">U29*(1+$S29)</f>
        <v>4.5626249999999988</v>
      </c>
      <c r="W29" s="153">
        <f t="shared" ref="W29" si="77">V29*(1+$S29)</f>
        <v>5.2470187499999978</v>
      </c>
      <c r="X29" s="153">
        <f t="shared" ref="X29" si="78">W29*(1+$S29)</f>
        <v>6.0340715624999968</v>
      </c>
      <c r="Y29" s="153">
        <f t="shared" ref="Y29" si="79">X29*(1+$S29)</f>
        <v>6.9391822968749954</v>
      </c>
      <c r="Z29" s="153">
        <f t="shared" ref="Z29" si="80">Y29*(1+$S29)</f>
        <v>7.9800596414062444</v>
      </c>
      <c r="AA29" s="153">
        <f t="shared" ref="AA29" si="81">Z29*(1+$S29)</f>
        <v>9.17706858761718</v>
      </c>
      <c r="AB29" s="153">
        <f t="shared" ref="AB29" si="82">AA29*(1+$S29)</f>
        <v>10.553628875759756</v>
      </c>
      <c r="AC29" s="153">
        <f t="shared" ref="AC29" si="83">AB29*(1+$S29)</f>
        <v>12.136673207123719</v>
      </c>
      <c r="AD29" s="137">
        <f t="shared" ref="AD29" si="84">((AC29/G29)^(1/($AC$3-$H$1) ))-1</f>
        <v>0.24164940221255149</v>
      </c>
      <c r="AE29" s="31">
        <f t="shared" si="15"/>
        <v>0.05</v>
      </c>
      <c r="AF29" s="145">
        <f t="shared" ref="AF29" si="85">(AC29*(1+AE29))/($C$1-AE29)</f>
        <v>74.961805102822979</v>
      </c>
    </row>
    <row r="30" spans="2:32" s="123" customFormat="1" x14ac:dyDescent="0.2">
      <c r="B30" s="23"/>
      <c r="C30" s="148"/>
      <c r="D30" s="148"/>
      <c r="E30" s="149"/>
      <c r="F30" s="149"/>
      <c r="G30" s="147">
        <f t="shared" ref="G30:L30" si="86">(G29-F29)/G29</f>
        <v>1</v>
      </c>
      <c r="H30" s="147">
        <f t="shared" si="86"/>
        <v>0.11111111111111106</v>
      </c>
      <c r="I30" s="147">
        <f t="shared" si="86"/>
        <v>-1.5714285714285712</v>
      </c>
      <c r="J30" s="147">
        <f t="shared" si="86"/>
        <v>0.63157894736842102</v>
      </c>
      <c r="K30" s="147">
        <f t="shared" si="86"/>
        <v>0.90500000000000003</v>
      </c>
      <c r="L30" s="147">
        <f t="shared" si="86"/>
        <v>0.5</v>
      </c>
      <c r="M30" s="147">
        <f t="shared" ref="M30" si="87">(M29-L29)/M29</f>
        <v>0</v>
      </c>
      <c r="N30" s="147">
        <f t="shared" ref="N30" si="88">(N29-M29)/N29</f>
        <v>-0.33333333333333331</v>
      </c>
      <c r="O30" s="147">
        <f t="shared" ref="O30" si="89">(O29-N29)/O29</f>
        <v>0.25</v>
      </c>
      <c r="P30" s="147">
        <f t="shared" ref="P30:Q30" si="90">(P29-O29)/P29</f>
        <v>0</v>
      </c>
      <c r="Q30" s="147">
        <f t="shared" si="90"/>
        <v>-0.33333333333333331</v>
      </c>
      <c r="R30" s="128"/>
      <c r="S30" s="20"/>
      <c r="T30" s="153"/>
      <c r="U30" s="154"/>
      <c r="V30" s="154"/>
      <c r="W30" s="154"/>
      <c r="X30" s="154"/>
      <c r="Y30" s="154"/>
      <c r="Z30" s="154"/>
      <c r="AA30" s="154"/>
      <c r="AB30" s="154"/>
      <c r="AC30" s="154"/>
      <c r="AD30" s="161"/>
      <c r="AE30" s="136"/>
      <c r="AF30" s="153"/>
    </row>
    <row r="31" spans="2:32" x14ac:dyDescent="0.2">
      <c r="B31" s="20" t="s">
        <v>331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0.15</v>
      </c>
      <c r="T31" s="153">
        <f t="shared" si="2"/>
        <v>0</v>
      </c>
      <c r="U31" s="153">
        <f>T31*(1+$S31)</f>
        <v>0</v>
      </c>
      <c r="V31" s="153">
        <f t="shared" ref="V31:AC32" si="91">U31*(1+$S31)</f>
        <v>0</v>
      </c>
      <c r="W31" s="153">
        <f t="shared" si="91"/>
        <v>0</v>
      </c>
      <c r="X31" s="153">
        <f t="shared" si="91"/>
        <v>0</v>
      </c>
      <c r="Y31" s="153">
        <f t="shared" si="91"/>
        <v>0</v>
      </c>
      <c r="Z31" s="153">
        <f t="shared" si="91"/>
        <v>0</v>
      </c>
      <c r="AA31" s="153">
        <f t="shared" si="91"/>
        <v>0</v>
      </c>
      <c r="AB31" s="153">
        <f t="shared" si="91"/>
        <v>0</v>
      </c>
      <c r="AC31" s="153">
        <f t="shared" si="91"/>
        <v>0</v>
      </c>
      <c r="AD31" s="137" t="e">
        <f t="shared" ref="AD31" si="92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330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0.15</v>
      </c>
      <c r="T32" s="153">
        <f t="shared" si="2"/>
        <v>0</v>
      </c>
      <c r="U32" s="153">
        <f>T32*(1+$S32)</f>
        <v>0</v>
      </c>
      <c r="V32" s="153">
        <f t="shared" si="91"/>
        <v>0</v>
      </c>
      <c r="W32" s="153">
        <f t="shared" si="91"/>
        <v>0</v>
      </c>
      <c r="X32" s="153">
        <f t="shared" si="91"/>
        <v>0</v>
      </c>
      <c r="Y32" s="153">
        <f t="shared" si="91"/>
        <v>0</v>
      </c>
      <c r="Z32" s="153">
        <f t="shared" si="91"/>
        <v>0</v>
      </c>
      <c r="AA32" s="153">
        <f t="shared" si="91"/>
        <v>0</v>
      </c>
      <c r="AB32" s="153">
        <f t="shared" si="91"/>
        <v>0</v>
      </c>
      <c r="AC32" s="153">
        <f t="shared" si="91"/>
        <v>0</v>
      </c>
      <c r="AD32" s="137" t="e">
        <f t="shared" ref="AD32" si="93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 x14ac:dyDescent="0.2">
      <c r="B33" s="20" t="s">
        <v>315</v>
      </c>
      <c r="C33" s="140"/>
      <c r="D33" s="140"/>
      <c r="E33" s="146"/>
      <c r="F33" s="146"/>
      <c r="G33" s="146">
        <v>11</v>
      </c>
      <c r="H33" s="146">
        <v>13</v>
      </c>
      <c r="I33" s="146">
        <v>15</v>
      </c>
      <c r="J33" s="146">
        <v>11</v>
      </c>
      <c r="K33" s="146">
        <v>15</v>
      </c>
      <c r="L33" s="146">
        <v>20</v>
      </c>
      <c r="M33" s="146">
        <v>19</v>
      </c>
      <c r="N33" s="146">
        <v>28</v>
      </c>
      <c r="O33" s="146">
        <v>31</v>
      </c>
      <c r="P33" s="146">
        <v>42</v>
      </c>
      <c r="Q33" s="146">
        <v>41</v>
      </c>
      <c r="R33" s="118">
        <f>((Q33/G33)^(1/($H$2-$H$1) ))-1</f>
        <v>0.15741180586010706</v>
      </c>
      <c r="S33" s="31">
        <f t="shared" si="5"/>
        <v>0.15</v>
      </c>
      <c r="T33" s="153">
        <f t="shared" si="2"/>
        <v>47.15</v>
      </c>
      <c r="U33" s="153">
        <f t="shared" si="34"/>
        <v>54.222499999999997</v>
      </c>
      <c r="V33" s="153">
        <f t="shared" si="35"/>
        <v>62.35587499999999</v>
      </c>
      <c r="W33" s="153">
        <f t="shared" si="36"/>
        <v>71.709256249999981</v>
      </c>
      <c r="X33" s="153">
        <f t="shared" si="37"/>
        <v>82.465644687499974</v>
      </c>
      <c r="Y33" s="153">
        <f t="shared" si="38"/>
        <v>94.835491390624966</v>
      </c>
      <c r="Z33" s="153">
        <f t="shared" si="39"/>
        <v>109.0608150992187</v>
      </c>
      <c r="AA33" s="153">
        <f t="shared" si="40"/>
        <v>125.4199373641015</v>
      </c>
      <c r="AB33" s="153">
        <f t="shared" si="41"/>
        <v>144.23292796871672</v>
      </c>
      <c r="AC33" s="153">
        <f t="shared" si="42"/>
        <v>165.8678671640242</v>
      </c>
      <c r="AD33" s="137">
        <f t="shared" si="17"/>
        <v>0.14529793784493217</v>
      </c>
      <c r="AE33" s="31">
        <f t="shared" si="15"/>
        <v>0.05</v>
      </c>
      <c r="AF33" s="145">
        <f t="shared" si="1"/>
        <v>1024.4780030719144</v>
      </c>
    </row>
    <row r="34" spans="2:32" x14ac:dyDescent="0.2">
      <c r="B34" s="20" t="s">
        <v>307</v>
      </c>
      <c r="C34" s="140"/>
      <c r="D34" s="140"/>
      <c r="E34" s="146"/>
      <c r="F34" s="146"/>
      <c r="G34" s="146">
        <v>6</v>
      </c>
      <c r="H34" s="146">
        <v>6</v>
      </c>
      <c r="I34" s="146">
        <v>6</v>
      </c>
      <c r="J34" s="146">
        <v>6</v>
      </c>
      <c r="K34" s="146">
        <v>8</v>
      </c>
      <c r="L34" s="146">
        <v>10</v>
      </c>
      <c r="M34" s="146">
        <v>11</v>
      </c>
      <c r="N34" s="146">
        <v>12</v>
      </c>
      <c r="O34" s="146">
        <v>16</v>
      </c>
      <c r="P34" s="146">
        <v>19</v>
      </c>
      <c r="Q34" s="146">
        <v>21</v>
      </c>
      <c r="R34" s="118">
        <f>((Q34/G34)^(1/($H$2-$H$1) ))-1</f>
        <v>0.14934921867223361</v>
      </c>
      <c r="S34" s="31">
        <f t="shared" si="5"/>
        <v>0.15</v>
      </c>
      <c r="T34" s="153">
        <f t="shared" si="2"/>
        <v>24.15</v>
      </c>
      <c r="U34" s="153">
        <f t="shared" si="34"/>
        <v>27.772499999999997</v>
      </c>
      <c r="V34" s="153">
        <f t="shared" si="35"/>
        <v>31.938374999999994</v>
      </c>
      <c r="W34" s="153">
        <f t="shared" si="36"/>
        <v>36.729131249999988</v>
      </c>
      <c r="X34" s="153">
        <f t="shared" si="37"/>
        <v>42.238500937499985</v>
      </c>
      <c r="Y34" s="153">
        <f t="shared" si="38"/>
        <v>48.574276078124981</v>
      </c>
      <c r="Z34" s="153">
        <f t="shared" si="39"/>
        <v>55.860417489843726</v>
      </c>
      <c r="AA34" s="153">
        <f t="shared" si="40"/>
        <v>64.239480113320283</v>
      </c>
      <c r="AB34" s="153">
        <f t="shared" si="41"/>
        <v>73.875402130318321</v>
      </c>
      <c r="AC34" s="153">
        <f t="shared" si="42"/>
        <v>84.95671244986606</v>
      </c>
      <c r="AD34" s="137">
        <f t="shared" si="17"/>
        <v>0.14170084475807498</v>
      </c>
      <c r="AE34" s="31">
        <f t="shared" si="15"/>
        <v>0.05</v>
      </c>
      <c r="AF34" s="145">
        <f t="shared" si="1"/>
        <v>524.73263571976111</v>
      </c>
    </row>
    <row r="35" spans="2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3">
        <f t="shared" si="2"/>
        <v>0</v>
      </c>
      <c r="U35" s="153"/>
      <c r="V35" s="153"/>
      <c r="W35" s="153"/>
      <c r="X35" s="153"/>
      <c r="Y35" s="153"/>
      <c r="Z35" s="153"/>
      <c r="AA35" s="153"/>
      <c r="AB35" s="153"/>
      <c r="AC35" s="153"/>
      <c r="AD35" s="138"/>
      <c r="AE35" s="136"/>
      <c r="AF35" s="153"/>
    </row>
    <row r="36" spans="2:32" x14ac:dyDescent="0.2">
      <c r="B36" s="20" t="s">
        <v>278</v>
      </c>
      <c r="C36" s="140"/>
      <c r="D36" s="140"/>
      <c r="E36" s="146"/>
      <c r="F36" s="146"/>
      <c r="G36" s="146">
        <v>2.7</v>
      </c>
      <c r="H36" s="146">
        <v>5</v>
      </c>
      <c r="I36" s="146">
        <v>7</v>
      </c>
      <c r="J36" s="146">
        <v>8</v>
      </c>
      <c r="K36" s="146">
        <v>7</v>
      </c>
      <c r="L36" s="146">
        <v>11.84</v>
      </c>
      <c r="M36" s="146">
        <v>13</v>
      </c>
      <c r="N36" s="146">
        <v>21</v>
      </c>
      <c r="O36" s="146">
        <v>27</v>
      </c>
      <c r="P36" s="146">
        <v>41</v>
      </c>
      <c r="Q36" s="146">
        <v>50</v>
      </c>
      <c r="R36" s="118">
        <f>((Q36/G36)^(1/($H$2-$H$1) ))-1</f>
        <v>0.38307311012050427</v>
      </c>
      <c r="S36" s="31">
        <f t="shared" si="5"/>
        <v>0.15</v>
      </c>
      <c r="T36" s="153">
        <f t="shared" si="2"/>
        <v>57.499999999999993</v>
      </c>
      <c r="U36" s="153">
        <f t="shared" ref="U36" si="94">T36*(1+$S36)</f>
        <v>66.124999999999986</v>
      </c>
      <c r="V36" s="153">
        <f t="shared" ref="V36" si="95">U36*(1+$S36)</f>
        <v>76.043749999999974</v>
      </c>
      <c r="W36" s="153">
        <f t="shared" ref="W36" si="96">V36*(1+$S36)</f>
        <v>87.450312499999967</v>
      </c>
      <c r="X36" s="153">
        <f t="shared" si="37"/>
        <v>100.56785937499995</v>
      </c>
      <c r="Y36" s="153">
        <f t="shared" si="38"/>
        <v>115.65303828124993</v>
      </c>
      <c r="Z36" s="153">
        <f t="shared" si="39"/>
        <v>133.00099402343741</v>
      </c>
      <c r="AA36" s="153">
        <f t="shared" si="40"/>
        <v>152.95114312695301</v>
      </c>
      <c r="AB36" s="153">
        <f t="shared" si="41"/>
        <v>175.89381459599596</v>
      </c>
      <c r="AC36" s="153">
        <f t="shared" si="42"/>
        <v>202.27788678539534</v>
      </c>
      <c r="AD36" s="137">
        <f t="shared" si="17"/>
        <v>0.24087842094908352</v>
      </c>
      <c r="AE36" s="31">
        <f t="shared" si="15"/>
        <v>0.05</v>
      </c>
      <c r="AF36" s="145">
        <f t="shared" si="1"/>
        <v>1249.3634183803831</v>
      </c>
    </row>
    <row r="37" spans="2:32" s="123" customFormat="1" x14ac:dyDescent="0.2">
      <c r="B37" s="23"/>
      <c r="C37" s="148"/>
      <c r="D37" s="148"/>
      <c r="E37" s="149"/>
      <c r="F37" s="149"/>
      <c r="G37" s="147">
        <f t="shared" ref="G37" si="97">(G36-F36)/G36</f>
        <v>1</v>
      </c>
      <c r="H37" s="147">
        <f t="shared" ref="H37" si="98">(H36-G36)/H36</f>
        <v>0.45999999999999996</v>
      </c>
      <c r="I37" s="147">
        <f t="shared" ref="I37" si="99">(I36-H36)/I36</f>
        <v>0.2857142857142857</v>
      </c>
      <c r="J37" s="147">
        <f t="shared" ref="J37" si="100">(J36-I36)/J36</f>
        <v>0.125</v>
      </c>
      <c r="K37" s="147">
        <f t="shared" ref="K37" si="101">(K36-J36)/K36</f>
        <v>-0.14285714285714285</v>
      </c>
      <c r="L37" s="147">
        <f t="shared" ref="L37" si="102">(L36-K36)/L36</f>
        <v>0.40878378378378377</v>
      </c>
      <c r="M37" s="147">
        <f t="shared" ref="M37" si="103">(M36-L36)/M36</f>
        <v>8.9230769230769238E-2</v>
      </c>
      <c r="N37" s="147">
        <f t="shared" ref="N37" si="104">(N36-M36)/N36</f>
        <v>0.38095238095238093</v>
      </c>
      <c r="O37" s="147">
        <f t="shared" ref="O37" si="105">(O36-N36)/O36</f>
        <v>0.22222222222222221</v>
      </c>
      <c r="P37" s="147">
        <f t="shared" ref="P37:Q37" si="106">(P36-O36)/P36</f>
        <v>0.34146341463414637</v>
      </c>
      <c r="Q37" s="147">
        <f t="shared" si="106"/>
        <v>0.18</v>
      </c>
      <c r="R37" s="128"/>
      <c r="S37" s="20"/>
      <c r="T37" s="153"/>
      <c r="U37" s="154"/>
      <c r="V37" s="154"/>
      <c r="W37" s="154"/>
      <c r="X37" s="154"/>
      <c r="Y37" s="154"/>
      <c r="Z37" s="154"/>
      <c r="AA37" s="154"/>
      <c r="AB37" s="154"/>
      <c r="AC37" s="154"/>
      <c r="AD37" s="138"/>
      <c r="AE37" s="136"/>
      <c r="AF37" s="155"/>
    </row>
    <row r="38" spans="2:32" s="123" customFormat="1" x14ac:dyDescent="0.2">
      <c r="B38" s="20" t="s">
        <v>399</v>
      </c>
      <c r="C38" s="148"/>
      <c r="D38" s="148"/>
      <c r="E38" s="149"/>
      <c r="F38" s="149"/>
      <c r="G38" s="146">
        <v>2.61</v>
      </c>
      <c r="H38" s="146">
        <v>4</v>
      </c>
      <c r="I38" s="146">
        <v>6</v>
      </c>
      <c r="J38" s="146">
        <v>7</v>
      </c>
      <c r="K38" s="146">
        <v>1.6</v>
      </c>
      <c r="L38" s="146">
        <v>1.69</v>
      </c>
      <c r="M38" s="146">
        <v>5</v>
      </c>
      <c r="N38" s="146">
        <v>13</v>
      </c>
      <c r="O38" s="146">
        <v>18</v>
      </c>
      <c r="P38" s="146">
        <v>32</v>
      </c>
      <c r="Q38" s="146">
        <v>40</v>
      </c>
      <c r="R38" s="118">
        <f>((Q38/G38)^(1/($H$2-$H$1) ))-1</f>
        <v>0.35429500289301097</v>
      </c>
      <c r="S38" s="31">
        <f t="shared" si="5"/>
        <v>0.15</v>
      </c>
      <c r="T38" s="153">
        <f t="shared" si="2"/>
        <v>46</v>
      </c>
      <c r="U38" s="153">
        <f t="shared" ref="U38" si="107">T38*(1+$S38)</f>
        <v>52.9</v>
      </c>
      <c r="V38" s="153">
        <f t="shared" ref="V38" si="108">U38*(1+$S38)</f>
        <v>60.834999999999994</v>
      </c>
      <c r="W38" s="153">
        <f t="shared" ref="W38" si="109">V38*(1+$S38)</f>
        <v>69.960249999999988</v>
      </c>
      <c r="X38" s="153">
        <f t="shared" ref="X38" si="110">W38*(1+$S38)</f>
        <v>80.454287499999978</v>
      </c>
      <c r="Y38" s="153">
        <f t="shared" ref="Y38" si="111">X38*(1+$S38)</f>
        <v>92.52243062499997</v>
      </c>
      <c r="Z38" s="153">
        <f t="shared" ref="Z38" si="112">Y38*(1+$S38)</f>
        <v>106.40079521874996</v>
      </c>
      <c r="AA38" s="153">
        <f t="shared" ref="AA38" si="113">Z38*(1+$S38)</f>
        <v>122.36091450156245</v>
      </c>
      <c r="AB38" s="153">
        <f t="shared" ref="AB38" si="114">AA38*(1+$S38)</f>
        <v>140.7150516767968</v>
      </c>
      <c r="AC38" s="153">
        <f t="shared" ref="AC38" si="115">AB38*(1+$S38)</f>
        <v>161.82230942831632</v>
      </c>
      <c r="AD38" s="137">
        <f t="shared" ref="AD38" si="116">((AC38/G38)^(1/($AC$3-$H$1) ))-1</f>
        <v>0.22919247922716068</v>
      </c>
      <c r="AE38" s="31">
        <f t="shared" si="15"/>
        <v>0.05</v>
      </c>
      <c r="AF38" s="145">
        <f t="shared" ref="AF38" si="117">(AC38*(1+AE38))/($C$1-AE38)</f>
        <v>999.49073470430687</v>
      </c>
    </row>
    <row r="39" spans="2:32" s="123" customFormat="1" x14ac:dyDescent="0.2">
      <c r="B39" s="23"/>
      <c r="C39" s="148"/>
      <c r="D39" s="148"/>
      <c r="E39" s="149"/>
      <c r="F39" s="149"/>
      <c r="G39" s="147">
        <f t="shared" ref="G39" si="118">(G38-F38)/G38</f>
        <v>1</v>
      </c>
      <c r="H39" s="147">
        <f t="shared" ref="H39" si="119">(H38-G38)/H38</f>
        <v>0.34750000000000003</v>
      </c>
      <c r="I39" s="147">
        <f t="shared" ref="I39" si="120">(I38-H38)/I38</f>
        <v>0.33333333333333331</v>
      </c>
      <c r="J39" s="147">
        <f t="shared" ref="J39" si="121">(J38-I38)/J38</f>
        <v>0.14285714285714285</v>
      </c>
      <c r="K39" s="147">
        <f t="shared" ref="K39" si="122">(K38-J38)/K38</f>
        <v>-3.375</v>
      </c>
      <c r="L39" s="147">
        <f t="shared" ref="L39" si="123">(L38-K38)/L38</f>
        <v>5.3254437869822403E-2</v>
      </c>
      <c r="M39" s="147">
        <f t="shared" ref="M39" si="124">(M38-L38)/M38</f>
        <v>0.66200000000000003</v>
      </c>
      <c r="N39" s="147">
        <f t="shared" ref="N39" si="125">(N38-M38)/N38</f>
        <v>0.61538461538461542</v>
      </c>
      <c r="O39" s="147">
        <f t="shared" ref="O39" si="126">(O38-N38)/O38</f>
        <v>0.27777777777777779</v>
      </c>
      <c r="P39" s="147">
        <f t="shared" ref="P39:Q39" si="127">(P38-O38)/P38</f>
        <v>0.4375</v>
      </c>
      <c r="Q39" s="147">
        <f t="shared" si="127"/>
        <v>0.2</v>
      </c>
      <c r="R39" s="128"/>
      <c r="S39" s="20"/>
      <c r="T39" s="153"/>
      <c r="U39" s="154"/>
      <c r="V39" s="154"/>
      <c r="W39" s="154"/>
      <c r="X39" s="154"/>
      <c r="Y39" s="154"/>
      <c r="Z39" s="154"/>
      <c r="AA39" s="154"/>
      <c r="AB39" s="154"/>
      <c r="AC39" s="154"/>
      <c r="AD39" s="138"/>
      <c r="AE39" s="136"/>
      <c r="AF39" s="155"/>
    </row>
    <row r="40" spans="2:32" x14ac:dyDescent="0.2">
      <c r="B40" s="20" t="s">
        <v>400</v>
      </c>
      <c r="C40" s="140"/>
      <c r="D40" s="140"/>
      <c r="E40" s="146"/>
      <c r="F40" s="146"/>
      <c r="G40" s="146">
        <v>1.89</v>
      </c>
      <c r="H40" s="146">
        <v>2.8</v>
      </c>
      <c r="I40" s="146">
        <v>4.3</v>
      </c>
      <c r="J40" s="146">
        <v>4.5</v>
      </c>
      <c r="K40" s="146">
        <v>1</v>
      </c>
      <c r="L40" s="146">
        <v>0.81</v>
      </c>
      <c r="M40" s="146">
        <v>3</v>
      </c>
      <c r="N40" s="146">
        <v>9</v>
      </c>
      <c r="O40" s="146">
        <v>12</v>
      </c>
      <c r="P40" s="146">
        <v>23</v>
      </c>
      <c r="Q40" s="146">
        <v>30</v>
      </c>
      <c r="R40" s="118">
        <f>((Q40/G40)^(1/($H$2-$H$1) ))-1</f>
        <v>0.35958575494602196</v>
      </c>
      <c r="S40" s="31">
        <f t="shared" si="5"/>
        <v>0.15</v>
      </c>
      <c r="T40" s="153">
        <f t="shared" si="2"/>
        <v>34.5</v>
      </c>
      <c r="U40" s="153">
        <f t="shared" ref="U40:AC40" si="128">T40*(1+$S40)</f>
        <v>39.674999999999997</v>
      </c>
      <c r="V40" s="153">
        <f t="shared" si="128"/>
        <v>45.626249999999992</v>
      </c>
      <c r="W40" s="153">
        <f t="shared" si="128"/>
        <v>52.470187499999987</v>
      </c>
      <c r="X40" s="153">
        <f t="shared" si="128"/>
        <v>60.34071562499998</v>
      </c>
      <c r="Y40" s="153">
        <f t="shared" si="128"/>
        <v>69.391822968749977</v>
      </c>
      <c r="Z40" s="153">
        <f t="shared" si="128"/>
        <v>79.800596414062468</v>
      </c>
      <c r="AA40" s="153">
        <f t="shared" si="128"/>
        <v>91.770685876171825</v>
      </c>
      <c r="AB40" s="153">
        <f t="shared" si="128"/>
        <v>105.53628875759759</v>
      </c>
      <c r="AC40" s="153">
        <f t="shared" si="128"/>
        <v>121.36673207123722</v>
      </c>
      <c r="AD40" s="137">
        <f t="shared" si="17"/>
        <v>0.2313510716897611</v>
      </c>
      <c r="AE40" s="31">
        <f t="shared" si="15"/>
        <v>0.05</v>
      </c>
      <c r="AF40" s="145">
        <f t="shared" si="1"/>
        <v>749.61805102822996</v>
      </c>
    </row>
    <row r="41" spans="2:32" s="123" customFormat="1" x14ac:dyDescent="0.2">
      <c r="B41" s="23"/>
      <c r="C41" s="148"/>
      <c r="D41" s="148"/>
      <c r="E41" s="149"/>
      <c r="F41" s="149"/>
      <c r="G41" s="147">
        <f>(G40-F40)/G40</f>
        <v>1</v>
      </c>
      <c r="H41" s="147">
        <f t="shared" ref="H41:Q41" si="129">(H40-G40)/H40</f>
        <v>0.32500000000000001</v>
      </c>
      <c r="I41" s="147">
        <f t="shared" si="129"/>
        <v>0.34883720930232559</v>
      </c>
      <c r="J41" s="147">
        <f t="shared" si="129"/>
        <v>4.4444444444444481E-2</v>
      </c>
      <c r="K41" s="147">
        <f t="shared" si="129"/>
        <v>-3.5</v>
      </c>
      <c r="L41" s="147">
        <f t="shared" si="129"/>
        <v>-0.23456790123456783</v>
      </c>
      <c r="M41" s="147">
        <f t="shared" si="129"/>
        <v>0.73</v>
      </c>
      <c r="N41" s="147">
        <f t="shared" si="129"/>
        <v>0.66666666666666663</v>
      </c>
      <c r="O41" s="147">
        <f t="shared" si="129"/>
        <v>0.25</v>
      </c>
      <c r="P41" s="147">
        <f t="shared" si="129"/>
        <v>0.47826086956521741</v>
      </c>
      <c r="Q41" s="147">
        <f t="shared" si="129"/>
        <v>0.23333333333333334</v>
      </c>
      <c r="R41" s="128"/>
      <c r="S41" s="20"/>
      <c r="T41" s="153"/>
      <c r="U41" s="154"/>
      <c r="V41" s="154"/>
      <c r="W41" s="154"/>
      <c r="X41" s="154"/>
      <c r="Y41" s="154"/>
      <c r="Z41" s="154"/>
      <c r="AA41" s="154"/>
      <c r="AB41" s="154"/>
      <c r="AC41" s="154"/>
      <c r="AD41" s="138"/>
      <c r="AE41" s="136"/>
      <c r="AF41" s="155"/>
    </row>
    <row r="42" spans="2:32" x14ac:dyDescent="0.2">
      <c r="B42" s="20" t="s">
        <v>239</v>
      </c>
      <c r="C42" s="141"/>
      <c r="D42" s="141"/>
      <c r="E42" s="144"/>
      <c r="F42" s="144"/>
      <c r="G42" s="144">
        <v>0.52900000000000003</v>
      </c>
      <c r="H42" s="144">
        <v>0.52900000000000003</v>
      </c>
      <c r="I42" s="144">
        <v>0.52900000000000003</v>
      </c>
      <c r="J42" s="144">
        <v>0.52900000000000003</v>
      </c>
      <c r="K42" s="144">
        <v>0.52900000000000003</v>
      </c>
      <c r="L42" s="144">
        <v>0.52900000000000003</v>
      </c>
      <c r="M42" s="144">
        <v>1.05</v>
      </c>
      <c r="N42" s="144">
        <v>1.05</v>
      </c>
      <c r="O42" s="144">
        <v>1.06</v>
      </c>
      <c r="P42" s="144">
        <v>1.06</v>
      </c>
      <c r="Q42" s="144">
        <v>1.06</v>
      </c>
      <c r="R42" s="118">
        <f>((Q42/G42)^(1/($H$2-$H$1) ))-1</f>
        <v>8.0286404171631354E-2</v>
      </c>
      <c r="S42" s="31">
        <v>0.01</v>
      </c>
      <c r="T42" s="195">
        <v>5</v>
      </c>
      <c r="U42" s="153">
        <f t="shared" ref="U42:AC42" si="130">T42*(1+$S42)</f>
        <v>5.05</v>
      </c>
      <c r="V42" s="153">
        <f t="shared" si="130"/>
        <v>5.1005000000000003</v>
      </c>
      <c r="W42" s="153">
        <f t="shared" si="130"/>
        <v>5.1515050000000002</v>
      </c>
      <c r="X42" s="153">
        <f t="shared" si="130"/>
        <v>5.2030200500000001</v>
      </c>
      <c r="Y42" s="153">
        <f t="shared" si="130"/>
        <v>5.2550502505000001</v>
      </c>
      <c r="Z42" s="153">
        <f t="shared" si="130"/>
        <v>5.3076007530050004</v>
      </c>
      <c r="AA42" s="153">
        <f t="shared" si="130"/>
        <v>5.3606767605350507</v>
      </c>
      <c r="AB42" s="153">
        <f t="shared" si="130"/>
        <v>5.4142835281404009</v>
      </c>
      <c r="AC42" s="153">
        <f t="shared" si="130"/>
        <v>5.4684263634218047</v>
      </c>
      <c r="AD42" s="137">
        <f t="shared" si="17"/>
        <v>0.12388101447701239</v>
      </c>
      <c r="AE42" s="31">
        <f t="shared" si="15"/>
        <v>0.05</v>
      </c>
      <c r="AF42" s="145">
        <f t="shared" si="1"/>
        <v>33.775574597605271</v>
      </c>
    </row>
    <row r="43" spans="2:32" x14ac:dyDescent="0.2">
      <c r="B43" s="20"/>
      <c r="C43" s="141"/>
      <c r="D43" s="141"/>
      <c r="E43" s="142"/>
      <c r="F43" s="146"/>
      <c r="G43" s="147">
        <f>(G42-F42)/G42</f>
        <v>1</v>
      </c>
      <c r="H43" s="147">
        <f t="shared" ref="H43" si="131">(H42-G42)/H42</f>
        <v>0</v>
      </c>
      <c r="I43" s="147">
        <f t="shared" ref="I43" si="132">(I42-H42)/I42</f>
        <v>0</v>
      </c>
      <c r="J43" s="147">
        <f t="shared" ref="J43" si="133">(J42-I42)/J42</f>
        <v>0</v>
      </c>
      <c r="K43" s="147">
        <f t="shared" ref="K43" si="134">(K42-J42)/K42</f>
        <v>0</v>
      </c>
      <c r="L43" s="147">
        <f t="shared" ref="L43" si="135">(L42-K42)/L42</f>
        <v>0</v>
      </c>
      <c r="M43" s="147">
        <f t="shared" ref="M43" si="136">(M42-L42)/M42</f>
        <v>0.49619047619047618</v>
      </c>
      <c r="N43" s="147">
        <f t="shared" ref="N43" si="137">(N42-M42)/N42</f>
        <v>0</v>
      </c>
      <c r="O43" s="147">
        <f t="shared" ref="O43" si="138">(O42-N42)/O42</f>
        <v>9.4339622641509517E-3</v>
      </c>
      <c r="P43" s="147">
        <f t="shared" ref="P43:Q43" si="139">(P42-O42)/P42</f>
        <v>0</v>
      </c>
      <c r="Q43" s="147">
        <f t="shared" si="139"/>
        <v>0</v>
      </c>
      <c r="R43" s="128"/>
      <c r="S43" s="20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37"/>
      <c r="AE43" s="31"/>
      <c r="AF43" s="145"/>
    </row>
    <row r="44" spans="2:32" x14ac:dyDescent="0.2">
      <c r="B44" s="20" t="s">
        <v>282</v>
      </c>
      <c r="C44" s="144"/>
      <c r="D44" s="144"/>
      <c r="E44" s="144"/>
      <c r="F44" s="146"/>
      <c r="G44" s="144">
        <v>1.25</v>
      </c>
      <c r="H44" s="144">
        <v>1.75</v>
      </c>
      <c r="I44" s="144">
        <v>2.25</v>
      </c>
      <c r="J44" s="144">
        <v>1.5</v>
      </c>
      <c r="K44" s="144">
        <v>0.75</v>
      </c>
      <c r="L44" s="144">
        <v>0</v>
      </c>
      <c r="M44" s="144">
        <v>0.75</v>
      </c>
      <c r="N44" s="144">
        <v>1.5</v>
      </c>
      <c r="O44" s="144">
        <v>2</v>
      </c>
      <c r="P44" s="144">
        <v>3.5</v>
      </c>
      <c r="Q44" s="144">
        <v>5</v>
      </c>
      <c r="R44" s="118">
        <f>((Q44/G44)^(1/($H$2-$H$1) ))-1</f>
        <v>0.16652903957611653</v>
      </c>
      <c r="S44" s="31">
        <f>P1</f>
        <v>0.05</v>
      </c>
      <c r="T44" s="153">
        <f t="shared" si="2"/>
        <v>5.25</v>
      </c>
      <c r="U44" s="153">
        <f t="shared" ref="U44" si="140">T44*(1+$S44)</f>
        <v>5.5125000000000002</v>
      </c>
      <c r="V44" s="153">
        <f t="shared" ref="V44" si="141">U44*(1+$S44)</f>
        <v>5.7881250000000009</v>
      </c>
      <c r="W44" s="153">
        <f t="shared" ref="W44" si="142">V44*(1+$S44)</f>
        <v>6.0775312500000007</v>
      </c>
      <c r="X44" s="153">
        <f t="shared" ref="X44" si="143">W44*(1+$S44)</f>
        <v>6.3814078125000009</v>
      </c>
      <c r="Y44" s="153">
        <f t="shared" ref="Y44" si="144">X44*(1+$S44)</f>
        <v>6.7004782031250016</v>
      </c>
      <c r="Z44" s="153">
        <f t="shared" ref="Z44" si="145">Y44*(1+$S44)</f>
        <v>7.0355021132812521</v>
      </c>
      <c r="AA44" s="153">
        <f t="shared" ref="AA44" si="146">Z44*(1+$S44)</f>
        <v>7.3872772189453153</v>
      </c>
      <c r="AB44" s="153">
        <f t="shared" ref="AB44" si="147">AA44*(1+$S44)</f>
        <v>7.7566410798925816</v>
      </c>
      <c r="AC44" s="153">
        <f t="shared" ref="AC44" si="148">AB44*(1+$S44)</f>
        <v>8.1444731338872103</v>
      </c>
      <c r="AD44" s="137">
        <f t="shared" ref="AD44" si="149">((AC44/G44)^(1/($AC$3-$H$1) ))-1</f>
        <v>9.8240990287143948E-2</v>
      </c>
      <c r="AE44" s="31">
        <f t="shared" si="15"/>
        <v>0.05</v>
      </c>
      <c r="AF44" s="145">
        <f t="shared" si="1"/>
        <v>50.304098768126899</v>
      </c>
    </row>
    <row r="45" spans="2:32" x14ac:dyDescent="0.2">
      <c r="B45" s="20" t="s">
        <v>425</v>
      </c>
      <c r="C45" s="20"/>
      <c r="D45" s="20"/>
      <c r="E45" s="127"/>
      <c r="F45" s="127"/>
      <c r="G45" s="146">
        <v>0</v>
      </c>
      <c r="H45" s="146">
        <v>0</v>
      </c>
      <c r="I45" s="146">
        <v>0</v>
      </c>
      <c r="J45" s="146">
        <v>0</v>
      </c>
      <c r="K45" s="146">
        <v>0</v>
      </c>
      <c r="L45" s="146">
        <v>0</v>
      </c>
      <c r="M45" s="146">
        <v>0</v>
      </c>
      <c r="N45" s="146">
        <v>0</v>
      </c>
      <c r="O45" s="146">
        <v>0</v>
      </c>
      <c r="P45" s="146">
        <v>0</v>
      </c>
      <c r="Q45" s="146">
        <v>0</v>
      </c>
      <c r="R45" s="146" t="s">
        <v>467</v>
      </c>
      <c r="S45" s="128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38"/>
      <c r="AE45" s="136"/>
      <c r="AF45" s="153"/>
    </row>
    <row r="46" spans="2:32" x14ac:dyDescent="0.2">
      <c r="B46" s="20" t="s">
        <v>423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 t="s">
        <v>466</v>
      </c>
      <c r="N46" s="146">
        <v>0</v>
      </c>
      <c r="O46" s="146">
        <v>0</v>
      </c>
      <c r="P46" s="146">
        <v>0</v>
      </c>
      <c r="Q46" s="146">
        <v>0</v>
      </c>
      <c r="R46" s="146">
        <v>0</v>
      </c>
      <c r="S46" s="128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38"/>
      <c r="AE46" s="136"/>
      <c r="AF46" s="153"/>
    </row>
    <row r="47" spans="2:32" x14ac:dyDescent="0.2">
      <c r="B47" s="20" t="s">
        <v>424</v>
      </c>
      <c r="C47" s="20"/>
      <c r="D47" s="20"/>
      <c r="E47" s="127"/>
      <c r="F47" s="127"/>
      <c r="G47" s="146"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46">
        <v>0</v>
      </c>
      <c r="S47" s="128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38"/>
      <c r="AE47" s="136"/>
      <c r="AF47" s="153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38"/>
      <c r="AE48" s="136"/>
      <c r="AF48" s="153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38"/>
      <c r="AE49" s="136"/>
      <c r="AF49" s="153"/>
    </row>
    <row r="50" spans="2:32" x14ac:dyDescent="0.2">
      <c r="B50" s="20" t="s">
        <v>302</v>
      </c>
      <c r="C50" s="133"/>
      <c r="D50" s="133"/>
      <c r="E50" s="133"/>
      <c r="F50" s="133"/>
      <c r="G50" s="133">
        <f t="shared" ref="G50:P50" si="150">G25/G42</f>
        <v>64.272211720226835</v>
      </c>
      <c r="H50" s="133">
        <f t="shared" si="150"/>
        <v>75.614366729678636</v>
      </c>
      <c r="I50" s="133">
        <f t="shared" si="150"/>
        <v>86.956521739130437</v>
      </c>
      <c r="J50" s="133">
        <f t="shared" si="150"/>
        <v>96.408317580340267</v>
      </c>
      <c r="K50" s="133">
        <f t="shared" si="150"/>
        <v>96.408317580340267</v>
      </c>
      <c r="L50" s="133">
        <f t="shared" si="150"/>
        <v>134.21550094517957</v>
      </c>
      <c r="M50" s="133">
        <f t="shared" si="150"/>
        <v>70.476190476190467</v>
      </c>
      <c r="N50" s="133">
        <f t="shared" si="150"/>
        <v>90.476190476190467</v>
      </c>
      <c r="O50" s="133">
        <f t="shared" si="150"/>
        <v>112.26415094339622</v>
      </c>
      <c r="P50" s="133">
        <f t="shared" si="150"/>
        <v>150</v>
      </c>
      <c r="Q50" s="133">
        <f t="shared" ref="Q50" si="151">Q25/Q42</f>
        <v>166.03773584905659</v>
      </c>
      <c r="R50" s="118">
        <f>((P50/G50)^(1/($H$2-$H$1) ))-1</f>
        <v>9.8743821648577201E-2</v>
      </c>
      <c r="S50" s="128"/>
      <c r="T50" s="157">
        <f t="shared" ref="T50:AC50" si="152">T25/T42</f>
        <v>40.479999999999997</v>
      </c>
      <c r="U50" s="157">
        <f t="shared" si="152"/>
        <v>46.091089108910886</v>
      </c>
      <c r="V50" s="157">
        <f t="shared" si="152"/>
        <v>52.479952945789613</v>
      </c>
      <c r="W50" s="157">
        <f t="shared" si="152"/>
        <v>59.754401868968365</v>
      </c>
      <c r="X50" s="157">
        <f t="shared" si="152"/>
        <v>68.037190246845171</v>
      </c>
      <c r="Y50" s="157">
        <f t="shared" si="152"/>
        <v>77.468087904823705</v>
      </c>
      <c r="Z50" s="157">
        <f t="shared" si="152"/>
        <v>88.206238703512128</v>
      </c>
      <c r="AA50" s="157">
        <f t="shared" si="152"/>
        <v>100.4328460485534</v>
      </c>
      <c r="AB50" s="157">
        <f t="shared" si="152"/>
        <v>114.35423064934297</v>
      </c>
      <c r="AC50" s="157">
        <f t="shared" si="152"/>
        <v>130.20531212548951</v>
      </c>
      <c r="AD50" s="137">
        <f t="shared" ref="AD50" si="153">((AC50/G50)^(1/($AC$3-$H$1) ))-1</f>
        <v>3.5929672501062271E-2</v>
      </c>
      <c r="AE50" s="31">
        <f t="shared" si="15"/>
        <v>0.05</v>
      </c>
      <c r="AF50" s="145">
        <f t="shared" ref="AF50:AF51" si="154">(AC50*(1+AE50))/($C$1-AE50)</f>
        <v>804.20928077508245</v>
      </c>
    </row>
    <row r="51" spans="2:32" x14ac:dyDescent="0.2">
      <c r="B51" s="20" t="s">
        <v>303</v>
      </c>
      <c r="C51" s="133"/>
      <c r="D51" s="133"/>
      <c r="E51" s="133"/>
      <c r="F51" s="133"/>
      <c r="G51" s="133">
        <f t="shared" ref="G51:P51" si="155">G27/G42</f>
        <v>56.710775047258977</v>
      </c>
      <c r="H51" s="133">
        <f t="shared" si="155"/>
        <v>66.162570888468807</v>
      </c>
      <c r="I51" s="133">
        <f t="shared" si="155"/>
        <v>71.833648393194707</v>
      </c>
      <c r="J51" s="133">
        <f t="shared" si="155"/>
        <v>79.395085066162565</v>
      </c>
      <c r="K51" s="133">
        <f t="shared" si="155"/>
        <v>81.285444234404537</v>
      </c>
      <c r="L51" s="133">
        <f t="shared" si="155"/>
        <v>113.42155009451795</v>
      </c>
      <c r="M51" s="133">
        <f t="shared" si="155"/>
        <v>58.095238095238095</v>
      </c>
      <c r="N51" s="133">
        <f t="shared" si="155"/>
        <v>70.476190476190467</v>
      </c>
      <c r="O51" s="133">
        <f t="shared" si="155"/>
        <v>85.849056603773576</v>
      </c>
      <c r="P51" s="133">
        <f t="shared" si="155"/>
        <v>110.37735849056604</v>
      </c>
      <c r="Q51" s="133">
        <f t="shared" ref="Q51" si="156">Q27/Q42</f>
        <v>116.98113207547169</v>
      </c>
      <c r="R51" s="118">
        <f>((P51/G51)^(1/($H$2-$H$1) ))-1</f>
        <v>7.6799722270924464E-2</v>
      </c>
      <c r="S51" s="128"/>
      <c r="T51" s="157">
        <f t="shared" ref="T51:AC51" si="157">T27/T42</f>
        <v>28.52</v>
      </c>
      <c r="U51" s="157">
        <f t="shared" si="157"/>
        <v>32.473267326732667</v>
      </c>
      <c r="V51" s="157">
        <f t="shared" si="157"/>
        <v>36.974512302715411</v>
      </c>
      <c r="W51" s="157">
        <f t="shared" si="157"/>
        <v>42.099692225864075</v>
      </c>
      <c r="X51" s="157">
        <f t="shared" si="157"/>
        <v>47.935293128459094</v>
      </c>
      <c r="Y51" s="157">
        <f t="shared" si="157"/>
        <v>54.579789205671247</v>
      </c>
      <c r="Z51" s="157">
        <f t="shared" si="157"/>
        <v>62.145304541110825</v>
      </c>
      <c r="AA51" s="157">
        <f t="shared" si="157"/>
        <v>70.759505170571714</v>
      </c>
      <c r="AB51" s="157">
        <f t="shared" si="157"/>
        <v>80.567753412037106</v>
      </c>
      <c r="AC51" s="157">
        <f t="shared" si="157"/>
        <v>91.735560815685815</v>
      </c>
      <c r="AD51" s="137">
        <f t="shared" ref="AD51" si="158">((AC51/G51)^(1/($AC$3-$H$1) ))-1</f>
        <v>2.4338761333749348E-2</v>
      </c>
      <c r="AE51" s="31">
        <f t="shared" si="15"/>
        <v>0.05</v>
      </c>
      <c r="AF51" s="145">
        <f t="shared" si="154"/>
        <v>566.60199327335363</v>
      </c>
    </row>
    <row r="52" spans="2:32" x14ac:dyDescent="0.2">
      <c r="B52" s="20" t="s">
        <v>426</v>
      </c>
      <c r="C52" s="133"/>
      <c r="D52" s="133"/>
      <c r="E52" s="133"/>
      <c r="F52" s="133"/>
      <c r="G52" s="133">
        <f>G38-G40</f>
        <v>0.72</v>
      </c>
      <c r="H52" s="133">
        <f t="shared" ref="H52:P52" si="159">H38-H40</f>
        <v>1.2000000000000002</v>
      </c>
      <c r="I52" s="133">
        <f t="shared" si="159"/>
        <v>1.7000000000000002</v>
      </c>
      <c r="J52" s="133">
        <f t="shared" si="159"/>
        <v>2.5</v>
      </c>
      <c r="K52" s="133">
        <f t="shared" si="159"/>
        <v>0.60000000000000009</v>
      </c>
      <c r="L52" s="133">
        <f t="shared" si="159"/>
        <v>0.87999999999999989</v>
      </c>
      <c r="M52" s="133">
        <f t="shared" si="159"/>
        <v>2</v>
      </c>
      <c r="N52" s="133">
        <f t="shared" si="159"/>
        <v>4</v>
      </c>
      <c r="O52" s="133">
        <f t="shared" si="159"/>
        <v>6</v>
      </c>
      <c r="P52" s="133">
        <f t="shared" si="159"/>
        <v>9</v>
      </c>
      <c r="Q52" s="133">
        <f t="shared" ref="Q52" si="160">Q38-Q40</f>
        <v>10</v>
      </c>
      <c r="R52" s="118">
        <f>((P52/G52)^(1/($H$2-$H$1) ))-1</f>
        <v>0.32397227377004589</v>
      </c>
      <c r="S52" s="128"/>
      <c r="T52" s="133">
        <f t="shared" ref="T52:AC52" si="161">T38-T40</f>
        <v>11.5</v>
      </c>
      <c r="U52" s="133">
        <f t="shared" si="161"/>
        <v>13.225000000000001</v>
      </c>
      <c r="V52" s="133">
        <f t="shared" si="161"/>
        <v>15.208750000000002</v>
      </c>
      <c r="W52" s="133">
        <f t="shared" si="161"/>
        <v>17.490062500000001</v>
      </c>
      <c r="X52" s="133">
        <f t="shared" si="161"/>
        <v>20.113571874999998</v>
      </c>
      <c r="Y52" s="133">
        <f t="shared" si="161"/>
        <v>23.130607656249992</v>
      </c>
      <c r="Z52" s="133">
        <f t="shared" si="161"/>
        <v>26.600198804687494</v>
      </c>
      <c r="AA52" s="133">
        <f t="shared" si="161"/>
        <v>30.590228625390623</v>
      </c>
      <c r="AB52" s="133">
        <f t="shared" si="161"/>
        <v>35.178762919199215</v>
      </c>
      <c r="AC52" s="133">
        <f t="shared" si="161"/>
        <v>40.455577357079093</v>
      </c>
      <c r="AD52" s="137">
        <f t="shared" ref="AD52" si="162">((AC52/G52)^(1/($AC$3-$H$1) ))-1</f>
        <v>0.22315725425314548</v>
      </c>
      <c r="AE52" s="31">
        <f t="shared" si="15"/>
        <v>0.05</v>
      </c>
      <c r="AF52" s="145">
        <f t="shared" ref="AF52" si="163">(AC52*(1+AE52))/($C$1-AE52)</f>
        <v>249.8726836760768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19"/>
      <c r="AE53" s="136"/>
      <c r="AF53" s="145"/>
    </row>
    <row r="54" spans="2:32" x14ac:dyDescent="0.2">
      <c r="B54" s="20" t="s">
        <v>461</v>
      </c>
      <c r="C54" s="133"/>
      <c r="D54" s="133"/>
      <c r="E54" s="133"/>
      <c r="F54" s="133"/>
      <c r="G54" s="25">
        <f t="shared" ref="G54:P54" si="164">G36/G42</f>
        <v>5.103969754253308</v>
      </c>
      <c r="H54" s="25">
        <f t="shared" si="164"/>
        <v>9.4517958412098295</v>
      </c>
      <c r="I54" s="25">
        <f t="shared" si="164"/>
        <v>13.232514177693762</v>
      </c>
      <c r="J54" s="25">
        <f t="shared" si="164"/>
        <v>15.122873345935727</v>
      </c>
      <c r="K54" s="25">
        <f t="shared" si="164"/>
        <v>13.232514177693762</v>
      </c>
      <c r="L54" s="25">
        <f t="shared" si="164"/>
        <v>22.381852551984874</v>
      </c>
      <c r="M54" s="25">
        <f t="shared" si="164"/>
        <v>12.38095238095238</v>
      </c>
      <c r="N54" s="25">
        <f t="shared" si="164"/>
        <v>20</v>
      </c>
      <c r="O54" s="25">
        <f t="shared" si="164"/>
        <v>25.471698113207545</v>
      </c>
      <c r="P54" s="25">
        <f t="shared" si="164"/>
        <v>38.679245283018865</v>
      </c>
      <c r="Q54" s="25">
        <f>Q36/Q42</f>
        <v>47.169811320754718</v>
      </c>
      <c r="R54" s="118">
        <f t="shared" ref="R54:R60" si="165">((P54/G54)^(1/($H$2-$H$1) ))-1</f>
        <v>0.25236230947994165</v>
      </c>
      <c r="S54" s="128"/>
      <c r="T54" s="112">
        <f>T36/T42</f>
        <v>11.499999999999998</v>
      </c>
      <c r="U54" s="112">
        <f t="shared" ref="U54:AC54" si="166">U36/U42</f>
        <v>13.094059405940591</v>
      </c>
      <c r="V54" s="112">
        <f t="shared" si="166"/>
        <v>14.909077541417503</v>
      </c>
      <c r="W54" s="112">
        <f t="shared" si="166"/>
        <v>16.97568234913874</v>
      </c>
      <c r="X54" s="112">
        <f t="shared" si="166"/>
        <v>19.328747229217377</v>
      </c>
      <c r="Y54" s="112">
        <f t="shared" si="166"/>
        <v>22.007979518415823</v>
      </c>
      <c r="Z54" s="112">
        <f t="shared" si="166"/>
        <v>25.058590540770485</v>
      </c>
      <c r="AA54" s="112">
        <f t="shared" si="166"/>
        <v>28.532058536520847</v>
      </c>
      <c r="AB54" s="112">
        <f t="shared" si="166"/>
        <v>32.486997343563338</v>
      </c>
      <c r="AC54" s="112">
        <f t="shared" si="166"/>
        <v>36.990145490195886</v>
      </c>
      <c r="AD54" s="137">
        <f t="shared" ref="AD54:AD55" si="167">((AC54/G54)^(1/($AC$3-$H$1) ))-1</f>
        <v>0.10410123933494386</v>
      </c>
      <c r="AE54" s="31">
        <f t="shared" si="15"/>
        <v>0.05</v>
      </c>
      <c r="AF54" s="145">
        <f t="shared" ref="AF54:AF55" si="168">(AC54*(1+AE54))/($C$1-AE54)</f>
        <v>228.46854567473932</v>
      </c>
    </row>
    <row r="55" spans="2:32" x14ac:dyDescent="0.2">
      <c r="B55" s="20" t="s">
        <v>462</v>
      </c>
      <c r="C55" s="133"/>
      <c r="D55" s="133"/>
      <c r="E55" s="133"/>
      <c r="F55" s="133"/>
      <c r="G55" s="25">
        <f t="shared" ref="G55:P55" si="169">G38/G42</f>
        <v>4.9338374291115308</v>
      </c>
      <c r="H55" s="25">
        <f t="shared" si="169"/>
        <v>7.5614366729678633</v>
      </c>
      <c r="I55" s="25">
        <f t="shared" si="169"/>
        <v>11.342155009451796</v>
      </c>
      <c r="J55" s="25">
        <f t="shared" si="169"/>
        <v>13.232514177693762</v>
      </c>
      <c r="K55" s="25">
        <f t="shared" si="169"/>
        <v>3.0245746691871456</v>
      </c>
      <c r="L55" s="25">
        <f t="shared" si="169"/>
        <v>3.1947069943289224</v>
      </c>
      <c r="M55" s="25">
        <f t="shared" si="169"/>
        <v>4.7619047619047619</v>
      </c>
      <c r="N55" s="25">
        <f t="shared" si="169"/>
        <v>12.38095238095238</v>
      </c>
      <c r="O55" s="25">
        <f t="shared" si="169"/>
        <v>16.981132075471699</v>
      </c>
      <c r="P55" s="25">
        <f t="shared" si="169"/>
        <v>30.188679245283016</v>
      </c>
      <c r="Q55" s="25">
        <f>Q38/Q42</f>
        <v>37.735849056603769</v>
      </c>
      <c r="R55" s="118">
        <f t="shared" si="165"/>
        <v>0.2229440443924835</v>
      </c>
      <c r="S55" s="128"/>
      <c r="T55" s="112">
        <f>T38/T42</f>
        <v>9.1999999999999993</v>
      </c>
      <c r="U55" s="112">
        <f t="shared" ref="U55:AC55" si="170">U38/U42</f>
        <v>10.475247524752476</v>
      </c>
      <c r="V55" s="112">
        <f t="shared" si="170"/>
        <v>11.927262033134005</v>
      </c>
      <c r="W55" s="112">
        <f t="shared" si="170"/>
        <v>13.580545879310995</v>
      </c>
      <c r="X55" s="112">
        <f t="shared" si="170"/>
        <v>15.462997783373904</v>
      </c>
      <c r="Y55" s="112">
        <f t="shared" si="170"/>
        <v>17.60638361473266</v>
      </c>
      <c r="Z55" s="112">
        <f t="shared" si="170"/>
        <v>20.046872432616397</v>
      </c>
      <c r="AA55" s="112">
        <f t="shared" si="170"/>
        <v>22.825646829216684</v>
      </c>
      <c r="AB55" s="112">
        <f t="shared" si="170"/>
        <v>25.989597874850681</v>
      </c>
      <c r="AC55" s="112">
        <f t="shared" si="170"/>
        <v>29.592116392156715</v>
      </c>
      <c r="AD55" s="137">
        <f t="shared" si="167"/>
        <v>9.3703393325096807E-2</v>
      </c>
      <c r="AE55" s="31">
        <f t="shared" si="15"/>
        <v>0.05</v>
      </c>
      <c r="AF55" s="145">
        <f t="shared" si="168"/>
        <v>182.77483653979149</v>
      </c>
    </row>
    <row r="56" spans="2:32" x14ac:dyDescent="0.2">
      <c r="B56" s="20" t="s">
        <v>257</v>
      </c>
      <c r="C56" s="25"/>
      <c r="D56" s="25"/>
      <c r="E56" s="25"/>
      <c r="F56" s="133"/>
      <c r="G56" s="133">
        <f t="shared" ref="G56:P56" si="171">G40/G42</f>
        <v>3.5727788279773152</v>
      </c>
      <c r="H56" s="133">
        <f t="shared" si="171"/>
        <v>5.2930056710775037</v>
      </c>
      <c r="I56" s="133">
        <f t="shared" si="171"/>
        <v>8.1285444234404522</v>
      </c>
      <c r="J56" s="133">
        <f t="shared" si="171"/>
        <v>8.5066162570888473</v>
      </c>
      <c r="K56" s="133">
        <f t="shared" si="171"/>
        <v>1.8903591682419658</v>
      </c>
      <c r="L56" s="133">
        <f t="shared" si="171"/>
        <v>1.5311909262759924</v>
      </c>
      <c r="M56" s="133">
        <f t="shared" si="171"/>
        <v>2.8571428571428572</v>
      </c>
      <c r="N56" s="133">
        <f t="shared" si="171"/>
        <v>8.5714285714285712</v>
      </c>
      <c r="O56" s="133">
        <f t="shared" si="171"/>
        <v>11.320754716981131</v>
      </c>
      <c r="P56" s="133">
        <f t="shared" si="171"/>
        <v>21.69811320754717</v>
      </c>
      <c r="Q56" s="133">
        <f t="shared" ref="Q56" si="172">Q40/Q42</f>
        <v>28.30188679245283</v>
      </c>
      <c r="R56" s="118">
        <f t="shared" si="165"/>
        <v>0.22192965350324267</v>
      </c>
      <c r="S56" s="128"/>
      <c r="T56" s="157">
        <f t="shared" ref="T56:AC56" si="173">T40/T42</f>
        <v>6.9</v>
      </c>
      <c r="U56" s="157">
        <f t="shared" si="173"/>
        <v>7.8564356435643559</v>
      </c>
      <c r="V56" s="157">
        <f t="shared" si="173"/>
        <v>8.9454465248505031</v>
      </c>
      <c r="W56" s="157">
        <f t="shared" si="173"/>
        <v>10.185409409483245</v>
      </c>
      <c r="X56" s="157">
        <f t="shared" si="173"/>
        <v>11.597248337530427</v>
      </c>
      <c r="Y56" s="157">
        <f t="shared" si="173"/>
        <v>13.204787711049496</v>
      </c>
      <c r="Z56" s="157">
        <f t="shared" si="173"/>
        <v>15.035154324462296</v>
      </c>
      <c r="AA56" s="157">
        <f t="shared" si="173"/>
        <v>17.11923512191251</v>
      </c>
      <c r="AB56" s="157">
        <f t="shared" si="173"/>
        <v>19.492198406138009</v>
      </c>
      <c r="AC56" s="157">
        <f t="shared" si="173"/>
        <v>22.194087294117534</v>
      </c>
      <c r="AD56" s="137">
        <f t="shared" ref="AD56:AD70" si="174">((AC56/G56)^(1/($AC$3-$H$1) ))-1</f>
        <v>9.5624052571756435E-2</v>
      </c>
      <c r="AE56" s="31">
        <f t="shared" si="15"/>
        <v>0.05</v>
      </c>
      <c r="AF56" s="145">
        <f t="shared" ref="AF56:AF84" si="175">(AC56*(1+AE56))/($C$1-AE56)</f>
        <v>137.08112740484361</v>
      </c>
    </row>
    <row r="57" spans="2:32" x14ac:dyDescent="0.2">
      <c r="B57" s="20" t="s">
        <v>387</v>
      </c>
      <c r="C57" s="133"/>
      <c r="D57" s="133"/>
      <c r="E57" s="133"/>
      <c r="F57" s="133"/>
      <c r="G57" s="133">
        <f>G20/G42</f>
        <v>13.232514177693762</v>
      </c>
      <c r="H57" s="133">
        <f t="shared" ref="H57:P57" si="176">H20/H42</f>
        <v>7.5614366729678633</v>
      </c>
      <c r="I57" s="133">
        <f t="shared" si="176"/>
        <v>7.5614366729678633</v>
      </c>
      <c r="J57" s="133">
        <f t="shared" si="176"/>
        <v>5.4820415879017013</v>
      </c>
      <c r="K57" s="133">
        <f t="shared" si="176"/>
        <v>9.4517958412098295</v>
      </c>
      <c r="L57" s="133">
        <f t="shared" si="176"/>
        <v>-7.5614366729678633</v>
      </c>
      <c r="M57" s="133">
        <f t="shared" si="176"/>
        <v>13.333333333333332</v>
      </c>
      <c r="N57" s="133">
        <f t="shared" si="176"/>
        <v>15.238095238095237</v>
      </c>
      <c r="O57" s="133">
        <f t="shared" si="176"/>
        <v>13.20754716981132</v>
      </c>
      <c r="P57" s="133">
        <f t="shared" si="176"/>
        <v>30.188679245283016</v>
      </c>
      <c r="Q57" s="133">
        <f t="shared" ref="Q57" si="177">Q20/Q42</f>
        <v>36.79245283018868</v>
      </c>
      <c r="R57" s="118">
        <f t="shared" si="165"/>
        <v>9.5973854837801964E-2</v>
      </c>
      <c r="S57" s="128"/>
      <c r="T57" s="133">
        <f t="shared" ref="T57:AC57" si="178">T20/T42</f>
        <v>8.9699999999999989</v>
      </c>
      <c r="U57" s="133">
        <f t="shared" si="178"/>
        <v>10.21336633663366</v>
      </c>
      <c r="V57" s="133">
        <f t="shared" si="178"/>
        <v>11.629080482305652</v>
      </c>
      <c r="W57" s="133">
        <f t="shared" si="178"/>
        <v>13.241032232328218</v>
      </c>
      <c r="X57" s="133">
        <f t="shared" si="178"/>
        <v>15.076422838789554</v>
      </c>
      <c r="Y57" s="133">
        <f t="shared" si="178"/>
        <v>17.166224024364343</v>
      </c>
      <c r="Z57" s="133">
        <f t="shared" si="178"/>
        <v>19.545700621800982</v>
      </c>
      <c r="AA57" s="133">
        <f t="shared" si="178"/>
        <v>22.255005658486265</v>
      </c>
      <c r="AB57" s="133">
        <f t="shared" si="178"/>
        <v>25.339857927979409</v>
      </c>
      <c r="AC57" s="133">
        <f t="shared" si="178"/>
        <v>28.852313482352791</v>
      </c>
      <c r="AD57" s="137">
        <f t="shared" ref="AD57" si="179">((AC57/G57)^(1/($AC$3-$H$1) ))-1</f>
        <v>3.9745175091443263E-2</v>
      </c>
      <c r="AE57" s="31">
        <f t="shared" si="15"/>
        <v>0.05</v>
      </c>
      <c r="AF57" s="145">
        <f t="shared" si="175"/>
        <v>178.20546562629667</v>
      </c>
    </row>
    <row r="58" spans="2:32" x14ac:dyDescent="0.2">
      <c r="B58" s="20" t="s">
        <v>245</v>
      </c>
      <c r="C58" s="25"/>
      <c r="D58" s="25"/>
      <c r="E58" s="25"/>
      <c r="F58" s="133"/>
      <c r="G58" s="133">
        <f t="shared" ref="G58:P58" si="180">G7/G42</f>
        <v>52.930056710775048</v>
      </c>
      <c r="H58" s="133">
        <f t="shared" si="180"/>
        <v>56.710775047258977</v>
      </c>
      <c r="I58" s="133">
        <f t="shared" si="180"/>
        <v>62.381852551984871</v>
      </c>
      <c r="J58" s="133">
        <f t="shared" si="180"/>
        <v>68.052930056710778</v>
      </c>
      <c r="K58" s="133">
        <f t="shared" si="180"/>
        <v>66.162570888468807</v>
      </c>
      <c r="L58" s="133">
        <f t="shared" si="180"/>
        <v>68.052930056710778</v>
      </c>
      <c r="M58" s="133">
        <f t="shared" si="180"/>
        <v>36.19047619047619</v>
      </c>
      <c r="N58" s="133">
        <f t="shared" si="180"/>
        <v>43.80952380952381</v>
      </c>
      <c r="O58" s="133">
        <f t="shared" si="180"/>
        <v>51.886792452830186</v>
      </c>
      <c r="P58" s="133">
        <f t="shared" si="180"/>
        <v>69.811320754716974</v>
      </c>
      <c r="Q58" s="133">
        <f t="shared" ref="Q58" si="181">Q7/Q42</f>
        <v>92.452830188679243</v>
      </c>
      <c r="R58" s="118">
        <f t="shared" si="165"/>
        <v>3.1236238608320033E-2</v>
      </c>
      <c r="S58" s="128"/>
      <c r="T58" s="157">
        <f t="shared" ref="T58:AC58" si="182">T7/T42</f>
        <v>22.54</v>
      </c>
      <c r="U58" s="157">
        <f t="shared" si="182"/>
        <v>25.664356435643562</v>
      </c>
      <c r="V58" s="157">
        <f t="shared" si="182"/>
        <v>29.22179198117831</v>
      </c>
      <c r="W58" s="157">
        <f t="shared" si="182"/>
        <v>33.272337404311934</v>
      </c>
      <c r="X58" s="157">
        <f t="shared" si="182"/>
        <v>37.884344569266055</v>
      </c>
      <c r="Y58" s="157">
        <f t="shared" si="182"/>
        <v>43.135639856095011</v>
      </c>
      <c r="Z58" s="157">
        <f t="shared" si="182"/>
        <v>49.114837459910149</v>
      </c>
      <c r="AA58" s="157">
        <f t="shared" si="182"/>
        <v>55.922834731580863</v>
      </c>
      <c r="AB58" s="157">
        <f t="shared" si="182"/>
        <v>63.674514793384148</v>
      </c>
      <c r="AC58" s="157">
        <f t="shared" si="182"/>
        <v>72.500685160783931</v>
      </c>
      <c r="AD58" s="137">
        <f t="shared" si="174"/>
        <v>1.5855619991369752E-2</v>
      </c>
      <c r="AE58" s="31">
        <f t="shared" si="15"/>
        <v>0.05</v>
      </c>
      <c r="AF58" s="145">
        <f t="shared" si="175"/>
        <v>447.79834952248899</v>
      </c>
    </row>
    <row r="59" spans="2:32" x14ac:dyDescent="0.2">
      <c r="B59" s="20" t="s">
        <v>246</v>
      </c>
      <c r="C59" s="127"/>
      <c r="D59" s="127"/>
      <c r="E59" s="127"/>
      <c r="F59" s="143"/>
      <c r="G59" s="143">
        <f t="shared" ref="G59:P59" si="183">G6/G42</f>
        <v>43.478260869565219</v>
      </c>
      <c r="H59" s="143">
        <f t="shared" si="183"/>
        <v>47.258979206049148</v>
      </c>
      <c r="I59" s="143">
        <f t="shared" si="183"/>
        <v>52.930056710775048</v>
      </c>
      <c r="J59" s="143">
        <f t="shared" si="183"/>
        <v>47.258979206049148</v>
      </c>
      <c r="K59" s="143">
        <f t="shared" si="183"/>
        <v>47.258979206049148</v>
      </c>
      <c r="L59" s="143">
        <f t="shared" si="183"/>
        <v>47.258979206049148</v>
      </c>
      <c r="M59" s="143">
        <f t="shared" si="183"/>
        <v>25.714285714285712</v>
      </c>
      <c r="N59" s="143">
        <f t="shared" si="183"/>
        <v>33.333333333333329</v>
      </c>
      <c r="O59" s="143">
        <f t="shared" si="183"/>
        <v>42.452830188679243</v>
      </c>
      <c r="P59" s="143">
        <f t="shared" si="183"/>
        <v>59.433962264150942</v>
      </c>
      <c r="Q59" s="143">
        <f t="shared" ref="Q59" si="184">Q6/Q42</f>
        <v>82.075471698113205</v>
      </c>
      <c r="R59" s="118">
        <f t="shared" si="165"/>
        <v>3.5344127394057789E-2</v>
      </c>
      <c r="S59" s="128"/>
      <c r="T59" s="156">
        <f t="shared" ref="T59:AC59" si="185">T6/T42</f>
        <v>20.009999999999998</v>
      </c>
      <c r="U59" s="156">
        <f t="shared" si="185"/>
        <v>22.783663366336633</v>
      </c>
      <c r="V59" s="156">
        <f t="shared" si="185"/>
        <v>25.941794922066457</v>
      </c>
      <c r="W59" s="156">
        <f t="shared" si="185"/>
        <v>29.537687287501409</v>
      </c>
      <c r="X59" s="156">
        <f t="shared" si="185"/>
        <v>33.632020178838232</v>
      </c>
      <c r="Y59" s="156">
        <f t="shared" si="185"/>
        <v>38.293884362043535</v>
      </c>
      <c r="Z59" s="156">
        <f t="shared" si="185"/>
        <v>43.60194754094065</v>
      </c>
      <c r="AA59" s="156">
        <f t="shared" si="185"/>
        <v>49.645781853546275</v>
      </c>
      <c r="AB59" s="156">
        <f t="shared" si="185"/>
        <v>56.527375377800212</v>
      </c>
      <c r="AC59" s="156">
        <f t="shared" si="185"/>
        <v>64.362853152940829</v>
      </c>
      <c r="AD59" s="137">
        <f t="shared" si="174"/>
        <v>1.9807393396408024E-2</v>
      </c>
      <c r="AE59" s="31">
        <f t="shared" si="15"/>
        <v>0.05</v>
      </c>
      <c r="AF59" s="145">
        <f t="shared" si="175"/>
        <v>397.5352694740464</v>
      </c>
    </row>
    <row r="60" spans="2:32" x14ac:dyDescent="0.2">
      <c r="B60" s="20" t="s">
        <v>247</v>
      </c>
      <c r="C60" s="127"/>
      <c r="D60" s="127"/>
      <c r="E60" s="127"/>
      <c r="F60" s="143"/>
      <c r="G60" s="143">
        <f t="shared" ref="G60:P60" si="186">G10/G42</f>
        <v>13.232514177693762</v>
      </c>
      <c r="H60" s="143">
        <f t="shared" si="186"/>
        <v>6.0491493383742911</v>
      </c>
      <c r="I60" s="143">
        <f t="shared" si="186"/>
        <v>7.5614366729678633</v>
      </c>
      <c r="J60" s="143">
        <f t="shared" si="186"/>
        <v>37.807183364839318</v>
      </c>
      <c r="K60" s="143">
        <f t="shared" si="186"/>
        <v>62.381852551984871</v>
      </c>
      <c r="L60" s="143">
        <f t="shared" si="186"/>
        <v>83.175803402646494</v>
      </c>
      <c r="M60" s="143">
        <f t="shared" si="186"/>
        <v>37.142857142857139</v>
      </c>
      <c r="N60" s="143">
        <f t="shared" si="186"/>
        <v>27.619047619047617</v>
      </c>
      <c r="O60" s="143">
        <f t="shared" si="186"/>
        <v>18.867924528301884</v>
      </c>
      <c r="P60" s="143">
        <f t="shared" si="186"/>
        <v>22.641509433962263</v>
      </c>
      <c r="Q60" s="143">
        <f t="shared" ref="Q60" si="187">Q10/Q42</f>
        <v>13.20754716981132</v>
      </c>
      <c r="R60" s="118">
        <f t="shared" si="165"/>
        <v>6.1495389159992087E-2</v>
      </c>
      <c r="S60" s="128"/>
      <c r="T60" s="156">
        <f t="shared" ref="T60:AC60" si="188">T10/T42</f>
        <v>3.2199999999999998</v>
      </c>
      <c r="U60" s="156">
        <f t="shared" si="188"/>
        <v>3.666336633663366</v>
      </c>
      <c r="V60" s="156">
        <f t="shared" si="188"/>
        <v>4.174541711596901</v>
      </c>
      <c r="W60" s="156">
        <f t="shared" si="188"/>
        <v>4.7531910577588476</v>
      </c>
      <c r="X60" s="156">
        <f t="shared" si="188"/>
        <v>5.4120492241808655</v>
      </c>
      <c r="Y60" s="156">
        <f t="shared" si="188"/>
        <v>6.1622342651564308</v>
      </c>
      <c r="Z60" s="156">
        <f t="shared" si="188"/>
        <v>7.0164053514157372</v>
      </c>
      <c r="AA60" s="156">
        <f t="shared" si="188"/>
        <v>7.9889763902258393</v>
      </c>
      <c r="AB60" s="156">
        <f t="shared" si="188"/>
        <v>9.0963592561977364</v>
      </c>
      <c r="AC60" s="156">
        <f t="shared" si="188"/>
        <v>10.357240737254848</v>
      </c>
      <c r="AD60" s="137">
        <f t="shared" si="174"/>
        <v>-1.2174836235719244E-2</v>
      </c>
      <c r="AE60" s="31">
        <f t="shared" si="15"/>
        <v>0.05</v>
      </c>
      <c r="AF60" s="145">
        <f t="shared" si="175"/>
        <v>63.971192788927013</v>
      </c>
    </row>
    <row r="61" spans="2:32" x14ac:dyDescent="0.2">
      <c r="B61" s="20"/>
      <c r="C61" s="127"/>
      <c r="D61" s="127"/>
      <c r="E61" s="127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28"/>
      <c r="S61" s="128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38"/>
      <c r="AE61" s="136"/>
      <c r="AF61" s="145"/>
    </row>
    <row r="62" spans="2:32" x14ac:dyDescent="0.2">
      <c r="B62" s="20" t="s">
        <v>270</v>
      </c>
      <c r="C62" s="127"/>
      <c r="D62" s="127"/>
      <c r="E62" s="127"/>
      <c r="F62" s="143"/>
      <c r="G62" s="143">
        <f t="shared" ref="G62:P62" si="189">(G7-G10)/G42</f>
        <v>39.697542533081283</v>
      </c>
      <c r="H62" s="143">
        <f t="shared" si="189"/>
        <v>50.661625708884685</v>
      </c>
      <c r="I62" s="143">
        <f t="shared" si="189"/>
        <v>54.820415879017013</v>
      </c>
      <c r="J62" s="143">
        <f t="shared" si="189"/>
        <v>30.245746691871453</v>
      </c>
      <c r="K62" s="143">
        <f t="shared" si="189"/>
        <v>3.7807183364839316</v>
      </c>
      <c r="L62" s="143">
        <f t="shared" si="189"/>
        <v>-15.122873345935727</v>
      </c>
      <c r="M62" s="143">
        <f t="shared" si="189"/>
        <v>-0.95238095238095233</v>
      </c>
      <c r="N62" s="143">
        <f t="shared" si="189"/>
        <v>16.19047619047619</v>
      </c>
      <c r="O62" s="143">
        <f t="shared" si="189"/>
        <v>33.018867924528301</v>
      </c>
      <c r="P62" s="143">
        <f t="shared" si="189"/>
        <v>47.169811320754718</v>
      </c>
      <c r="Q62" s="143">
        <f t="shared" ref="Q62" si="190">(Q7-Q10)/Q42</f>
        <v>79.245283018867923</v>
      </c>
      <c r="R62" s="118">
        <f>((P62/G62)^(1/($H$2-$H$1) ))-1</f>
        <v>1.934754100319358E-2</v>
      </c>
      <c r="S62" s="128"/>
      <c r="T62" s="156">
        <f t="shared" ref="T62:AC62" si="191">(T7-T10)/T42</f>
        <v>19.32</v>
      </c>
      <c r="U62" s="156">
        <f t="shared" si="191"/>
        <v>21.998019801980195</v>
      </c>
      <c r="V62" s="156">
        <f t="shared" si="191"/>
        <v>25.047250269581408</v>
      </c>
      <c r="W62" s="156">
        <f t="shared" si="191"/>
        <v>28.519146346553082</v>
      </c>
      <c r="X62" s="156">
        <f t="shared" si="191"/>
        <v>32.472295345085186</v>
      </c>
      <c r="Y62" s="156">
        <f t="shared" si="191"/>
        <v>36.973405590938583</v>
      </c>
      <c r="Z62" s="156">
        <f t="shared" si="191"/>
        <v>42.098432108494414</v>
      </c>
      <c r="AA62" s="156">
        <f t="shared" si="191"/>
        <v>47.933858341355027</v>
      </c>
      <c r="AB62" s="156">
        <f t="shared" si="191"/>
        <v>54.578155537186419</v>
      </c>
      <c r="AC62" s="156">
        <f t="shared" si="191"/>
        <v>62.143444423529075</v>
      </c>
      <c r="AD62" s="137">
        <f t="shared" si="174"/>
        <v>2.2660742933024336E-2</v>
      </c>
      <c r="AE62" s="31">
        <f t="shared" si="15"/>
        <v>0.05</v>
      </c>
      <c r="AF62" s="145">
        <f t="shared" si="175"/>
        <v>383.82715673356199</v>
      </c>
    </row>
    <row r="63" spans="2:32" x14ac:dyDescent="0.2">
      <c r="B63" s="20" t="s">
        <v>271</v>
      </c>
      <c r="C63" s="127"/>
      <c r="D63" s="127"/>
      <c r="E63" s="127"/>
      <c r="F63" s="143"/>
      <c r="G63" s="143">
        <f t="shared" ref="G63:P63" si="192">(G7-G10-G9)/G42</f>
        <v>22.684310018903592</v>
      </c>
      <c r="H63" s="143">
        <f t="shared" si="192"/>
        <v>33.648393194706991</v>
      </c>
      <c r="I63" s="143">
        <f t="shared" si="192"/>
        <v>37.051039697542535</v>
      </c>
      <c r="J63" s="143">
        <f t="shared" si="192"/>
        <v>9.4517958412098295</v>
      </c>
      <c r="K63" s="143">
        <f t="shared" si="192"/>
        <v>-26.465028355387524</v>
      </c>
      <c r="L63" s="143">
        <f t="shared" si="192"/>
        <v>-45.368620037807183</v>
      </c>
      <c r="M63" s="143">
        <f t="shared" si="192"/>
        <v>-16.19047619047619</v>
      </c>
      <c r="N63" s="143">
        <f t="shared" si="192"/>
        <v>0</v>
      </c>
      <c r="O63" s="143">
        <f t="shared" si="192"/>
        <v>13.20754716981132</v>
      </c>
      <c r="P63" s="143">
        <f t="shared" si="192"/>
        <v>20.754716981132074</v>
      </c>
      <c r="Q63" s="143">
        <f t="shared" ref="Q63" si="193">(Q7-Q10-Q9)/Q42</f>
        <v>54.716981132075468</v>
      </c>
      <c r="R63" s="118">
        <f>((P63/G63)^(1/($H$2-$H$1) ))-1</f>
        <v>-9.829147448529918E-3</v>
      </c>
      <c r="S63" s="128"/>
      <c r="T63" s="156">
        <f t="shared" ref="T63:AC63" si="194">(T7-T10-T9)/T42</f>
        <v>13.339999999999998</v>
      </c>
      <c r="U63" s="156">
        <f t="shared" si="194"/>
        <v>15.189108910891086</v>
      </c>
      <c r="V63" s="156">
        <f t="shared" si="194"/>
        <v>17.294529948044303</v>
      </c>
      <c r="W63" s="156">
        <f t="shared" si="194"/>
        <v>19.691791525000937</v>
      </c>
      <c r="X63" s="156">
        <f t="shared" si="194"/>
        <v>22.421346785892151</v>
      </c>
      <c r="Y63" s="156">
        <f t="shared" si="194"/>
        <v>25.529256241362351</v>
      </c>
      <c r="Z63" s="156">
        <f t="shared" si="194"/>
        <v>29.067965027293759</v>
      </c>
      <c r="AA63" s="156">
        <f t="shared" si="194"/>
        <v>33.097187902364183</v>
      </c>
      <c r="AB63" s="156">
        <f t="shared" si="194"/>
        <v>37.684916918533474</v>
      </c>
      <c r="AC63" s="156">
        <f t="shared" si="194"/>
        <v>42.908568768627212</v>
      </c>
      <c r="AD63" s="137">
        <f t="shared" si="174"/>
        <v>3.2383185955721316E-2</v>
      </c>
      <c r="AE63" s="31">
        <f t="shared" si="15"/>
        <v>0.05</v>
      </c>
      <c r="AF63" s="145">
        <f t="shared" si="175"/>
        <v>265.02351298269753</v>
      </c>
    </row>
    <row r="64" spans="2:32" x14ac:dyDescent="0.2">
      <c r="B64" s="20" t="s">
        <v>276</v>
      </c>
      <c r="C64" s="127"/>
      <c r="D64" s="127"/>
      <c r="E64" s="127"/>
      <c r="F64" s="143"/>
      <c r="G64" s="143">
        <f t="shared" ref="G64:P64" si="195">(G7+G15-G10-G9)/G42</f>
        <v>51.039697542533077</v>
      </c>
      <c r="H64" s="143">
        <f t="shared" si="195"/>
        <v>60.113421550094507</v>
      </c>
      <c r="I64" s="143">
        <f t="shared" si="195"/>
        <v>65.406427221172024</v>
      </c>
      <c r="J64" s="143">
        <f t="shared" si="195"/>
        <v>49.149338374291112</v>
      </c>
      <c r="K64" s="143">
        <f t="shared" si="195"/>
        <v>17.013232514177695</v>
      </c>
      <c r="L64" s="143">
        <f t="shared" si="195"/>
        <v>26.465028355387524</v>
      </c>
      <c r="M64" s="143">
        <f t="shared" si="195"/>
        <v>19.047619047619047</v>
      </c>
      <c r="N64" s="143">
        <f t="shared" si="195"/>
        <v>38.095238095238095</v>
      </c>
      <c r="O64" s="143">
        <f t="shared" si="195"/>
        <v>53.773584905660371</v>
      </c>
      <c r="P64" s="143">
        <f t="shared" si="195"/>
        <v>67.924528301886795</v>
      </c>
      <c r="Q64" s="143">
        <f t="shared" ref="Q64" si="196">(Q7+Q15-Q10-Q9)/Q42</f>
        <v>110.37735849056604</v>
      </c>
      <c r="R64" s="118">
        <f>((P64/G64)^(1/($H$2-$H$1) ))-1</f>
        <v>3.2264397201668737E-2</v>
      </c>
      <c r="S64" s="128"/>
      <c r="T64" s="156">
        <f t="shared" ref="T64:AC64" si="197">(T7+T15-T10-T9)/T42</f>
        <v>26.909999999999997</v>
      </c>
      <c r="U64" s="156">
        <f t="shared" si="197"/>
        <v>30.640099009900993</v>
      </c>
      <c r="V64" s="156">
        <f t="shared" si="197"/>
        <v>34.88724144691696</v>
      </c>
      <c r="W64" s="156">
        <f t="shared" si="197"/>
        <v>39.723096696984655</v>
      </c>
      <c r="X64" s="156">
        <f t="shared" si="197"/>
        <v>45.229268516368656</v>
      </c>
      <c r="Y64" s="156">
        <f t="shared" si="197"/>
        <v>51.498672073093026</v>
      </c>
      <c r="Z64" s="156">
        <f t="shared" si="197"/>
        <v>58.637101865402947</v>
      </c>
      <c r="AA64" s="156">
        <f t="shared" si="197"/>
        <v>66.765016975458792</v>
      </c>
      <c r="AB64" s="156">
        <f t="shared" si="197"/>
        <v>76.019573783938228</v>
      </c>
      <c r="AC64" s="156">
        <f t="shared" si="197"/>
        <v>86.556940447058366</v>
      </c>
      <c r="AD64" s="137">
        <f t="shared" si="174"/>
        <v>2.6761770637982352E-2</v>
      </c>
      <c r="AE64" s="31">
        <f t="shared" si="15"/>
        <v>0.05</v>
      </c>
      <c r="AF64" s="145">
        <f t="shared" si="175"/>
        <v>534.61639687888999</v>
      </c>
    </row>
    <row r="65" spans="2:32" x14ac:dyDescent="0.2">
      <c r="B65" s="20"/>
      <c r="C65" s="127"/>
      <c r="D65" s="127"/>
      <c r="E65" s="127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28"/>
      <c r="S65" s="128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38"/>
      <c r="AE65" s="136"/>
      <c r="AF65" s="153"/>
    </row>
    <row r="66" spans="2:32" x14ac:dyDescent="0.2">
      <c r="B66" s="20" t="s">
        <v>248</v>
      </c>
      <c r="C66" s="127"/>
      <c r="D66" s="127"/>
      <c r="E66" s="127"/>
      <c r="F66" s="143"/>
      <c r="G66" s="143">
        <f t="shared" ref="G66:P66" si="198">G12/G42</f>
        <v>1.3232514177693759</v>
      </c>
      <c r="H66" s="143">
        <f t="shared" si="198"/>
        <v>1.5122873345935728</v>
      </c>
      <c r="I66" s="143">
        <f t="shared" si="198"/>
        <v>0.56710775047258977</v>
      </c>
      <c r="J66" s="143">
        <f t="shared" si="198"/>
        <v>1.8903591682419658</v>
      </c>
      <c r="K66" s="143">
        <f t="shared" si="198"/>
        <v>1.8903591682419658</v>
      </c>
      <c r="L66" s="143">
        <f t="shared" si="198"/>
        <v>0.75614366729678639</v>
      </c>
      <c r="M66" s="143">
        <f t="shared" si="198"/>
        <v>1.1428571428571428</v>
      </c>
      <c r="N66" s="143">
        <f t="shared" si="198"/>
        <v>0.47619047619047616</v>
      </c>
      <c r="O66" s="143">
        <f t="shared" si="198"/>
        <v>0.37735849056603776</v>
      </c>
      <c r="P66" s="143">
        <f t="shared" si="198"/>
        <v>0.75471698113207553</v>
      </c>
      <c r="Q66" s="143">
        <f t="shared" ref="Q66" si="199">Q12/Q42</f>
        <v>8.4905660377358494</v>
      </c>
      <c r="R66" s="118">
        <f>((P66/G66)^(1/($H$2-$H$1) ))-1</f>
        <v>-6.0483007576006997E-2</v>
      </c>
      <c r="S66" s="128"/>
      <c r="T66" s="156">
        <f t="shared" ref="T66:AC66" si="200">T12/T42</f>
        <v>2.0699999999999998</v>
      </c>
      <c r="U66" s="156">
        <f t="shared" si="200"/>
        <v>2.3569306930693066</v>
      </c>
      <c r="V66" s="156">
        <f t="shared" si="200"/>
        <v>2.6836339574551507</v>
      </c>
      <c r="W66" s="156">
        <f t="shared" si="200"/>
        <v>3.0556228228449731</v>
      </c>
      <c r="X66" s="156">
        <f t="shared" si="200"/>
        <v>3.4791745012591275</v>
      </c>
      <c r="Y66" s="156">
        <f t="shared" si="200"/>
        <v>3.9614363133148482</v>
      </c>
      <c r="Z66" s="156">
        <f t="shared" si="200"/>
        <v>4.5105462973386876</v>
      </c>
      <c r="AA66" s="156">
        <f t="shared" si="200"/>
        <v>5.1357705365737525</v>
      </c>
      <c r="AB66" s="156">
        <f t="shared" si="200"/>
        <v>5.8476595218414014</v>
      </c>
      <c r="AC66" s="156">
        <f t="shared" si="200"/>
        <v>6.6582261882352594</v>
      </c>
      <c r="AD66" s="137">
        <f t="shared" si="174"/>
        <v>8.4141099773690664E-2</v>
      </c>
      <c r="AE66" s="31">
        <f t="shared" si="15"/>
        <v>0.05</v>
      </c>
      <c r="AF66" s="145">
        <f t="shared" si="175"/>
        <v>41.12433822145308</v>
      </c>
    </row>
    <row r="67" spans="2:32" x14ac:dyDescent="0.2">
      <c r="B67" s="20" t="s">
        <v>255</v>
      </c>
      <c r="C67" s="127"/>
      <c r="D67" s="127"/>
      <c r="E67" s="127"/>
      <c r="F67" s="143"/>
      <c r="G67" s="143">
        <f t="shared" ref="G67:P67" si="201">G13/G42</f>
        <v>15.122873345935727</v>
      </c>
      <c r="H67" s="143">
        <f t="shared" si="201"/>
        <v>10.359168241965973</v>
      </c>
      <c r="I67" s="143">
        <f t="shared" si="201"/>
        <v>13.629489603024574</v>
      </c>
      <c r="J67" s="143">
        <f t="shared" si="201"/>
        <v>1.3610586011342154</v>
      </c>
      <c r="K67" s="143">
        <f t="shared" si="201"/>
        <v>0.15122873345935728</v>
      </c>
      <c r="L67" s="143">
        <f t="shared" si="201"/>
        <v>0.15122873345935728</v>
      </c>
      <c r="M67" s="143">
        <f t="shared" si="201"/>
        <v>7.6190476190476183E-2</v>
      </c>
      <c r="N67" s="143">
        <f t="shared" si="201"/>
        <v>7.6190476190476183E-2</v>
      </c>
      <c r="O67" s="143">
        <f t="shared" si="201"/>
        <v>7.5471698113207544E-2</v>
      </c>
      <c r="P67" s="143">
        <f t="shared" si="201"/>
        <v>7.0754716981132075</v>
      </c>
      <c r="Q67" s="143">
        <f t="shared" ref="Q67" si="202">Q13/Q42</f>
        <v>8.4905660377358486E-2</v>
      </c>
      <c r="R67" s="118">
        <f>((P67/G67)^(1/($H$2-$H$1) ))-1</f>
        <v>-8.0933816010337334E-2</v>
      </c>
      <c r="S67" s="128"/>
      <c r="T67" s="156">
        <f t="shared" ref="T67:AC67" si="203">T13/T42</f>
        <v>2.07E-2</v>
      </c>
      <c r="U67" s="156">
        <f t="shared" si="203"/>
        <v>2.3569306930693066E-2</v>
      </c>
      <c r="V67" s="156">
        <f t="shared" si="203"/>
        <v>2.6836339574551508E-2</v>
      </c>
      <c r="W67" s="156">
        <f t="shared" si="203"/>
        <v>3.0556228228449736E-2</v>
      </c>
      <c r="X67" s="156">
        <f t="shared" si="203"/>
        <v>3.4791745012591281E-2</v>
      </c>
      <c r="Y67" s="156">
        <f t="shared" si="203"/>
        <v>3.9614363133148485E-2</v>
      </c>
      <c r="Z67" s="156">
        <f t="shared" si="203"/>
        <v>4.5105462973386884E-2</v>
      </c>
      <c r="AA67" s="156">
        <f t="shared" si="203"/>
        <v>5.1357705365737534E-2</v>
      </c>
      <c r="AB67" s="156">
        <f t="shared" si="203"/>
        <v>5.8476595218414022E-2</v>
      </c>
      <c r="AC67" s="156">
        <f t="shared" si="203"/>
        <v>6.6582261882352597E-2</v>
      </c>
      <c r="AD67" s="137">
        <f t="shared" si="174"/>
        <v>-0.23759416498638763</v>
      </c>
      <c r="AE67" s="31">
        <f t="shared" si="15"/>
        <v>0.05</v>
      </c>
      <c r="AF67" s="145">
        <f t="shared" si="175"/>
        <v>0.41124338221453083</v>
      </c>
    </row>
    <row r="68" spans="2:32" x14ac:dyDescent="0.2">
      <c r="B68" s="20" t="s">
        <v>256</v>
      </c>
      <c r="C68" s="127"/>
      <c r="D68" s="127"/>
      <c r="E68" s="127"/>
      <c r="F68" s="143"/>
      <c r="G68" s="143">
        <f t="shared" ref="G68:P68" si="204">(G66+G67)</f>
        <v>16.446124763705104</v>
      </c>
      <c r="H68" s="143">
        <f t="shared" si="204"/>
        <v>11.871455576559546</v>
      </c>
      <c r="I68" s="143">
        <f t="shared" si="204"/>
        <v>14.196597353497163</v>
      </c>
      <c r="J68" s="143">
        <f t="shared" si="204"/>
        <v>3.2514177693761814</v>
      </c>
      <c r="K68" s="143">
        <f t="shared" si="204"/>
        <v>2.0415879017013232</v>
      </c>
      <c r="L68" s="143">
        <f t="shared" si="204"/>
        <v>0.90737240075614367</v>
      </c>
      <c r="M68" s="143">
        <f t="shared" si="204"/>
        <v>1.2190476190476189</v>
      </c>
      <c r="N68" s="143">
        <f t="shared" si="204"/>
        <v>0.55238095238095231</v>
      </c>
      <c r="O68" s="143">
        <f t="shared" ref="O68" si="205">(O66+O67)</f>
        <v>0.45283018867924529</v>
      </c>
      <c r="P68" s="143">
        <f t="shared" si="204"/>
        <v>7.8301886792452828</v>
      </c>
      <c r="Q68" s="143">
        <f t="shared" ref="Q68" si="206">(Q66+Q67)</f>
        <v>8.5754716981132084</v>
      </c>
      <c r="R68" s="118">
        <f>((P68/G68)^(1/($H$2-$H$1) ))-1</f>
        <v>-7.914797045880051E-2</v>
      </c>
      <c r="S68" s="128"/>
      <c r="T68" s="156">
        <f t="shared" ref="T68:AC68" si="207">(T66+T67)</f>
        <v>2.0907</v>
      </c>
      <c r="U68" s="156">
        <f t="shared" si="207"/>
        <v>2.3804999999999996</v>
      </c>
      <c r="V68" s="156">
        <f t="shared" si="207"/>
        <v>2.7104702970297021</v>
      </c>
      <c r="W68" s="156">
        <f t="shared" si="207"/>
        <v>3.0861790510734228</v>
      </c>
      <c r="X68" s="156">
        <f t="shared" si="207"/>
        <v>3.5139662462717189</v>
      </c>
      <c r="Y68" s="156">
        <f t="shared" si="207"/>
        <v>4.0010506764479965</v>
      </c>
      <c r="Z68" s="156">
        <f t="shared" si="207"/>
        <v>4.5556517603120747</v>
      </c>
      <c r="AA68" s="156">
        <f t="shared" si="207"/>
        <v>5.1871282419394902</v>
      </c>
      <c r="AB68" s="156">
        <f t="shared" si="207"/>
        <v>5.9061361170598152</v>
      </c>
      <c r="AC68" s="156">
        <f t="shared" si="207"/>
        <v>6.724808450117612</v>
      </c>
      <c r="AD68" s="137">
        <f t="shared" si="174"/>
        <v>-4.372937127175025E-2</v>
      </c>
      <c r="AE68" s="31">
        <f t="shared" si="15"/>
        <v>0.05</v>
      </c>
      <c r="AF68" s="145">
        <f t="shared" si="175"/>
        <v>41.535581603667609</v>
      </c>
    </row>
    <row r="69" spans="2:32" x14ac:dyDescent="0.2">
      <c r="B69" s="20" t="s">
        <v>249</v>
      </c>
      <c r="C69" s="127"/>
      <c r="D69" s="127"/>
      <c r="E69" s="127"/>
      <c r="F69" s="143"/>
      <c r="G69" s="143">
        <f t="shared" ref="G69:P69" si="208">G15/G42</f>
        <v>28.355387523629489</v>
      </c>
      <c r="H69" s="143">
        <f t="shared" si="208"/>
        <v>26.465028355387524</v>
      </c>
      <c r="I69" s="143">
        <f t="shared" si="208"/>
        <v>28.355387523629489</v>
      </c>
      <c r="J69" s="143">
        <f t="shared" si="208"/>
        <v>39.697542533081283</v>
      </c>
      <c r="K69" s="143">
        <f t="shared" si="208"/>
        <v>43.478260869565219</v>
      </c>
      <c r="L69" s="143">
        <f t="shared" si="208"/>
        <v>71.833648393194707</v>
      </c>
      <c r="M69" s="143">
        <f t="shared" si="208"/>
        <v>35.238095238095234</v>
      </c>
      <c r="N69" s="143">
        <f t="shared" si="208"/>
        <v>38.095238095238095</v>
      </c>
      <c r="O69" s="143">
        <f t="shared" si="208"/>
        <v>40.566037735849058</v>
      </c>
      <c r="P69" s="143">
        <f t="shared" si="208"/>
        <v>47.169811320754718</v>
      </c>
      <c r="Q69" s="143">
        <f t="shared" ref="Q69" si="209">Q15/Q42</f>
        <v>55.660377358490564</v>
      </c>
      <c r="R69" s="118">
        <f>((P69/G69)^(1/($H$2-$H$1) ))-1</f>
        <v>5.81779997435945E-2</v>
      </c>
      <c r="S69" s="128"/>
      <c r="T69" s="156">
        <f t="shared" ref="T69:AC69" si="210">T15/T42</f>
        <v>13.569999999999999</v>
      </c>
      <c r="U69" s="156">
        <f t="shared" si="210"/>
        <v>15.4509900990099</v>
      </c>
      <c r="V69" s="156">
        <f t="shared" si="210"/>
        <v>17.592711498872653</v>
      </c>
      <c r="W69" s="156">
        <f t="shared" si="210"/>
        <v>20.031305171983714</v>
      </c>
      <c r="X69" s="156">
        <f t="shared" si="210"/>
        <v>22.807921730476505</v>
      </c>
      <c r="Y69" s="156">
        <f t="shared" si="210"/>
        <v>25.969415831730675</v>
      </c>
      <c r="Z69" s="156">
        <f t="shared" si="210"/>
        <v>29.569136838109181</v>
      </c>
      <c r="AA69" s="156">
        <f t="shared" si="210"/>
        <v>33.667829073094609</v>
      </c>
      <c r="AB69" s="156">
        <f t="shared" si="210"/>
        <v>38.334656865404746</v>
      </c>
      <c r="AC69" s="156">
        <f t="shared" si="210"/>
        <v>43.648371678431147</v>
      </c>
      <c r="AD69" s="137">
        <f t="shared" si="174"/>
        <v>2.1801704927213894E-2</v>
      </c>
      <c r="AE69" s="31">
        <f t="shared" si="15"/>
        <v>0.05</v>
      </c>
      <c r="AF69" s="145">
        <f t="shared" si="175"/>
        <v>269.5928838961924</v>
      </c>
    </row>
    <row r="70" spans="2:32" x14ac:dyDescent="0.2">
      <c r="B70" s="20" t="s">
        <v>250</v>
      </c>
      <c r="C70" s="127"/>
      <c r="D70" s="127"/>
      <c r="E70" s="127"/>
      <c r="F70" s="143"/>
      <c r="G70" s="143">
        <f t="shared" ref="G70:P70" si="211">G16/G42</f>
        <v>11.342155009451796</v>
      </c>
      <c r="H70" s="143">
        <f t="shared" si="211"/>
        <v>11.342155009451796</v>
      </c>
      <c r="I70" s="143">
        <f t="shared" si="211"/>
        <v>11.342155009451796</v>
      </c>
      <c r="J70" s="143">
        <f t="shared" si="211"/>
        <v>18.903591682419659</v>
      </c>
      <c r="K70" s="143">
        <f t="shared" si="211"/>
        <v>20.793950850661624</v>
      </c>
      <c r="L70" s="143">
        <f t="shared" si="211"/>
        <v>51.039697542533077</v>
      </c>
      <c r="M70" s="143">
        <f t="shared" si="211"/>
        <v>22.857142857142858</v>
      </c>
      <c r="N70" s="143">
        <f t="shared" si="211"/>
        <v>22.857142857142858</v>
      </c>
      <c r="O70" s="143">
        <f t="shared" si="211"/>
        <v>25.471698113207545</v>
      </c>
      <c r="P70" s="143">
        <f t="shared" si="211"/>
        <v>24.528301886792452</v>
      </c>
      <c r="Q70" s="143">
        <f t="shared" ref="Q70" si="212">Q16/Q42</f>
        <v>33.962264150943398</v>
      </c>
      <c r="R70" s="118">
        <f>((P70/G70)^(1/($H$2-$H$1) ))-1</f>
        <v>8.947959445202236E-2</v>
      </c>
      <c r="S70" s="128"/>
      <c r="T70" s="156">
        <f t="shared" ref="T70:AC70" si="213">T16/T42</f>
        <v>8.2799999999999994</v>
      </c>
      <c r="U70" s="156">
        <f t="shared" si="213"/>
        <v>9.4277227722772263</v>
      </c>
      <c r="V70" s="156">
        <f t="shared" si="213"/>
        <v>10.734535829820603</v>
      </c>
      <c r="W70" s="156">
        <f t="shared" si="213"/>
        <v>12.222491291379892</v>
      </c>
      <c r="X70" s="156">
        <f t="shared" si="213"/>
        <v>13.91669800503651</v>
      </c>
      <c r="Y70" s="156">
        <f t="shared" si="213"/>
        <v>15.845745253259393</v>
      </c>
      <c r="Z70" s="156">
        <f t="shared" si="213"/>
        <v>18.04218518935475</v>
      </c>
      <c r="AA70" s="156">
        <f t="shared" si="213"/>
        <v>20.54308214629501</v>
      </c>
      <c r="AB70" s="156">
        <f t="shared" si="213"/>
        <v>23.390638087365605</v>
      </c>
      <c r="AC70" s="156">
        <f t="shared" si="213"/>
        <v>26.632904752941037</v>
      </c>
      <c r="AD70" s="137">
        <f t="shared" si="174"/>
        <v>4.360499207955626E-2</v>
      </c>
      <c r="AE70" s="136"/>
      <c r="AF70" s="145">
        <f t="shared" si="175"/>
        <v>121.0586579679138</v>
      </c>
    </row>
    <row r="71" spans="2:32" x14ac:dyDescent="0.2">
      <c r="B71" s="20"/>
      <c r="C71" s="127"/>
      <c r="D71" s="127"/>
      <c r="E71" s="127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28"/>
      <c r="S71" s="128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38"/>
      <c r="AE71" s="31">
        <f t="shared" si="15"/>
        <v>0.05</v>
      </c>
      <c r="AF71" s="145">
        <f t="shared" si="175"/>
        <v>0</v>
      </c>
    </row>
    <row r="72" spans="2:32" x14ac:dyDescent="0.2">
      <c r="B72" s="20" t="s">
        <v>282</v>
      </c>
      <c r="C72" s="158"/>
      <c r="D72" s="158"/>
      <c r="E72" s="158"/>
      <c r="F72" s="158"/>
      <c r="G72" s="158">
        <f t="shared" ref="G72:P72" si="214">G44</f>
        <v>1.25</v>
      </c>
      <c r="H72" s="158">
        <f t="shared" si="214"/>
        <v>1.75</v>
      </c>
      <c r="I72" s="158">
        <f t="shared" si="214"/>
        <v>2.25</v>
      </c>
      <c r="J72" s="158">
        <f t="shared" si="214"/>
        <v>1.5</v>
      </c>
      <c r="K72" s="158">
        <f t="shared" si="214"/>
        <v>0.75</v>
      </c>
      <c r="L72" s="158">
        <f t="shared" si="214"/>
        <v>0</v>
      </c>
      <c r="M72" s="158">
        <f t="shared" si="214"/>
        <v>0.75</v>
      </c>
      <c r="N72" s="158">
        <f t="shared" si="214"/>
        <v>1.5</v>
      </c>
      <c r="O72" s="158">
        <f t="shared" si="214"/>
        <v>2</v>
      </c>
      <c r="P72" s="158">
        <f t="shared" si="214"/>
        <v>3.5</v>
      </c>
      <c r="Q72" s="158">
        <f t="shared" ref="Q72" si="215">Q44</f>
        <v>5</v>
      </c>
      <c r="R72" s="118">
        <f>((P72/G72)^(1/($H$2-$H$1) ))-1</f>
        <v>0.12120293435923335</v>
      </c>
      <c r="S72" s="128"/>
      <c r="T72" s="158">
        <f t="shared" ref="T72:AC72" si="216">T44</f>
        <v>5.25</v>
      </c>
      <c r="U72" s="158">
        <f t="shared" si="216"/>
        <v>5.5125000000000002</v>
      </c>
      <c r="V72" s="158">
        <f t="shared" si="216"/>
        <v>5.7881250000000009</v>
      </c>
      <c r="W72" s="158">
        <f t="shared" si="216"/>
        <v>6.0775312500000007</v>
      </c>
      <c r="X72" s="158">
        <f t="shared" si="216"/>
        <v>6.3814078125000009</v>
      </c>
      <c r="Y72" s="158">
        <f t="shared" si="216"/>
        <v>6.7004782031250016</v>
      </c>
      <c r="Z72" s="158">
        <f t="shared" si="216"/>
        <v>7.0355021132812521</v>
      </c>
      <c r="AA72" s="158">
        <f t="shared" si="216"/>
        <v>7.3872772189453153</v>
      </c>
      <c r="AB72" s="158">
        <f t="shared" si="216"/>
        <v>7.7566410798925816</v>
      </c>
      <c r="AC72" s="158">
        <f t="shared" si="216"/>
        <v>8.1444731338872103</v>
      </c>
      <c r="AD72" s="137">
        <f t="shared" ref="AD72" si="217">((AC72/G72)^(1/($AC$3-$H$1) ))-1</f>
        <v>9.8240990287143948E-2</v>
      </c>
      <c r="AE72" s="31">
        <f t="shared" si="15"/>
        <v>0.05</v>
      </c>
      <c r="AF72" s="145">
        <f t="shared" si="175"/>
        <v>50.304098768126899</v>
      </c>
    </row>
    <row r="73" spans="2:32" x14ac:dyDescent="0.2">
      <c r="B73" s="20"/>
      <c r="C73" s="127"/>
      <c r="D73" s="127"/>
      <c r="E73" s="127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28"/>
      <c r="S73" s="128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38"/>
      <c r="AE73" s="136"/>
      <c r="AF73" s="153"/>
    </row>
    <row r="74" spans="2:32" x14ac:dyDescent="0.2">
      <c r="B74" s="20" t="s">
        <v>316</v>
      </c>
      <c r="C74" s="127"/>
      <c r="D74" s="127"/>
      <c r="E74" s="127"/>
      <c r="F74" s="143"/>
      <c r="G74" s="143">
        <f t="shared" ref="G74:P74" si="218">G20+G21</f>
        <v>-1</v>
      </c>
      <c r="H74" s="143">
        <f t="shared" si="218"/>
        <v>3.97</v>
      </c>
      <c r="I74" s="143">
        <f t="shared" si="218"/>
        <v>-1</v>
      </c>
      <c r="J74" s="143">
        <f t="shared" si="218"/>
        <v>-13.1</v>
      </c>
      <c r="K74" s="143">
        <f t="shared" si="218"/>
        <v>-10</v>
      </c>
      <c r="L74" s="143">
        <f t="shared" si="218"/>
        <v>-6</v>
      </c>
      <c r="M74" s="143">
        <f t="shared" si="218"/>
        <v>10</v>
      </c>
      <c r="N74" s="143">
        <f t="shared" si="218"/>
        <v>14</v>
      </c>
      <c r="O74" s="143">
        <f t="shared" si="218"/>
        <v>9</v>
      </c>
      <c r="P74" s="143">
        <f t="shared" si="218"/>
        <v>2</v>
      </c>
      <c r="Q74" s="143">
        <f t="shared" ref="Q74" si="219">Q20+Q21</f>
        <v>31</v>
      </c>
      <c r="R74" s="118">
        <f>((P74/G74)^(1/($H$2-$H$1) ))-1</f>
        <v>-2.0800597388923059</v>
      </c>
      <c r="S74" s="128"/>
      <c r="T74" s="143">
        <f t="shared" ref="T74:AC74" si="220">T20+T21</f>
        <v>35.649999999999991</v>
      </c>
      <c r="U74" s="143">
        <f t="shared" si="220"/>
        <v>40.997499999999988</v>
      </c>
      <c r="V74" s="143">
        <f t="shared" si="220"/>
        <v>47.147124999999988</v>
      </c>
      <c r="W74" s="143">
        <f t="shared" si="220"/>
        <v>54.219193749999988</v>
      </c>
      <c r="X74" s="143">
        <f t="shared" si="220"/>
        <v>62.352072812499969</v>
      </c>
      <c r="Y74" s="143">
        <f t="shared" si="220"/>
        <v>71.70488373437496</v>
      </c>
      <c r="Z74" s="143">
        <f t="shared" si="220"/>
        <v>82.460616294531206</v>
      </c>
      <c r="AA74" s="143">
        <f t="shared" si="220"/>
        <v>94.829708738710877</v>
      </c>
      <c r="AB74" s="143">
        <f t="shared" si="220"/>
        <v>109.05416504951751</v>
      </c>
      <c r="AC74" s="143">
        <f t="shared" si="220"/>
        <v>125.41228980694511</v>
      </c>
      <c r="AD74" s="137" t="e">
        <f t="shared" ref="AD74:AD79" si="221">((AC74/G74)^(1/($AC$3-$H$1) ))-1</f>
        <v>#NUM!</v>
      </c>
      <c r="AE74" s="31">
        <f t="shared" si="15"/>
        <v>0.05</v>
      </c>
      <c r="AF74" s="145">
        <f t="shared" si="175"/>
        <v>774.60531939583757</v>
      </c>
    </row>
    <row r="75" spans="2:32" x14ac:dyDescent="0.2">
      <c r="B75" s="20"/>
      <c r="C75" s="127"/>
      <c r="D75" s="127"/>
      <c r="E75" s="127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28"/>
      <c r="S75" s="128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38"/>
      <c r="AE75" s="136"/>
      <c r="AF75" s="145"/>
    </row>
    <row r="76" spans="2:32" x14ac:dyDescent="0.2">
      <c r="B76" s="20" t="s">
        <v>317</v>
      </c>
      <c r="C76" s="127"/>
      <c r="D76" s="127"/>
      <c r="E76" s="127"/>
      <c r="F76" s="143"/>
      <c r="G76" s="143">
        <f t="shared" ref="G76:P76" si="222">G74/G42</f>
        <v>-1.8903591682419658</v>
      </c>
      <c r="H76" s="143">
        <f t="shared" si="222"/>
        <v>7.5047258979206051</v>
      </c>
      <c r="I76" s="143">
        <f t="shared" si="222"/>
        <v>-1.8903591682419658</v>
      </c>
      <c r="J76" s="143">
        <f t="shared" si="222"/>
        <v>-24.763705103969752</v>
      </c>
      <c r="K76" s="143">
        <f t="shared" si="222"/>
        <v>-18.903591682419659</v>
      </c>
      <c r="L76" s="143">
        <f t="shared" si="222"/>
        <v>-11.342155009451796</v>
      </c>
      <c r="M76" s="143">
        <f t="shared" si="222"/>
        <v>9.5238095238095237</v>
      </c>
      <c r="N76" s="143">
        <f t="shared" si="222"/>
        <v>13.333333333333332</v>
      </c>
      <c r="O76" s="143">
        <f t="shared" si="222"/>
        <v>8.4905660377358494</v>
      </c>
      <c r="P76" s="143">
        <f t="shared" si="222"/>
        <v>1.8867924528301885</v>
      </c>
      <c r="Q76" s="143">
        <f t="shared" ref="Q76" si="223">Q74/Q42</f>
        <v>29.245283018867923</v>
      </c>
      <c r="R76" s="118">
        <f>((P76/G76)^(1/($H$2-$H$1) ))-1</f>
        <v>-1.9997901803832301</v>
      </c>
      <c r="S76" s="128"/>
      <c r="T76" s="145">
        <f t="shared" ref="T76:AC76" si="224">T74/T42</f>
        <v>7.1299999999999981</v>
      </c>
      <c r="U76" s="145">
        <f t="shared" si="224"/>
        <v>8.1183168316831669</v>
      </c>
      <c r="V76" s="145">
        <f t="shared" si="224"/>
        <v>9.2436280756788527</v>
      </c>
      <c r="W76" s="145">
        <f t="shared" si="224"/>
        <v>10.524923056466021</v>
      </c>
      <c r="X76" s="145">
        <f t="shared" si="224"/>
        <v>11.983823282114772</v>
      </c>
      <c r="Y76" s="145">
        <f t="shared" si="224"/>
        <v>13.64494730141781</v>
      </c>
      <c r="Z76" s="145">
        <f t="shared" si="224"/>
        <v>15.536326135277703</v>
      </c>
      <c r="AA76" s="145">
        <f t="shared" si="224"/>
        <v>17.689876292642928</v>
      </c>
      <c r="AB76" s="145">
        <f t="shared" si="224"/>
        <v>20.141938353009273</v>
      </c>
      <c r="AC76" s="145">
        <f t="shared" si="224"/>
        <v>22.933890203921447</v>
      </c>
      <c r="AD76" s="137" t="e">
        <f t="shared" si="221"/>
        <v>#NUM!</v>
      </c>
      <c r="AE76" s="31">
        <f t="shared" si="15"/>
        <v>0.05</v>
      </c>
      <c r="AF76" s="145">
        <f t="shared" si="175"/>
        <v>141.65049831833838</v>
      </c>
    </row>
    <row r="77" spans="2:32" x14ac:dyDescent="0.2">
      <c r="B77" s="20" t="s">
        <v>286</v>
      </c>
      <c r="C77" s="127"/>
      <c r="D77" s="127"/>
      <c r="E77" s="127"/>
      <c r="F77" s="143"/>
      <c r="G77" s="143">
        <f t="shared" ref="G77:P77" si="225">G20/G42</f>
        <v>13.232514177693762</v>
      </c>
      <c r="H77" s="143">
        <f t="shared" si="225"/>
        <v>7.5614366729678633</v>
      </c>
      <c r="I77" s="143">
        <f t="shared" si="225"/>
        <v>7.5614366729678633</v>
      </c>
      <c r="J77" s="143">
        <f t="shared" si="225"/>
        <v>5.4820415879017013</v>
      </c>
      <c r="K77" s="143">
        <f t="shared" si="225"/>
        <v>9.4517958412098295</v>
      </c>
      <c r="L77" s="143">
        <f t="shared" si="225"/>
        <v>-7.5614366729678633</v>
      </c>
      <c r="M77" s="143">
        <f t="shared" si="225"/>
        <v>13.333333333333332</v>
      </c>
      <c r="N77" s="143">
        <f t="shared" si="225"/>
        <v>15.238095238095237</v>
      </c>
      <c r="O77" s="143">
        <f t="shared" si="225"/>
        <v>13.20754716981132</v>
      </c>
      <c r="P77" s="143">
        <f t="shared" si="225"/>
        <v>30.188679245283016</v>
      </c>
      <c r="Q77" s="143">
        <f t="shared" ref="Q77" si="226">Q20/Q42</f>
        <v>36.79245283018868</v>
      </c>
      <c r="R77" s="118">
        <f>((P77/G77)^(1/($H$2-$H$1) ))-1</f>
        <v>9.5973854837801964E-2</v>
      </c>
      <c r="S77" s="128"/>
      <c r="T77" s="145">
        <f t="shared" ref="T77:AC77" si="227">T20/T42</f>
        <v>8.9699999999999989</v>
      </c>
      <c r="U77" s="145">
        <f t="shared" si="227"/>
        <v>10.21336633663366</v>
      </c>
      <c r="V77" s="145">
        <f t="shared" si="227"/>
        <v>11.629080482305652</v>
      </c>
      <c r="W77" s="145">
        <f t="shared" si="227"/>
        <v>13.241032232328218</v>
      </c>
      <c r="X77" s="145">
        <f t="shared" si="227"/>
        <v>15.076422838789554</v>
      </c>
      <c r="Y77" s="145">
        <f t="shared" si="227"/>
        <v>17.166224024364343</v>
      </c>
      <c r="Z77" s="145">
        <f t="shared" si="227"/>
        <v>19.545700621800982</v>
      </c>
      <c r="AA77" s="145">
        <f t="shared" si="227"/>
        <v>22.255005658486265</v>
      </c>
      <c r="AB77" s="145">
        <f t="shared" si="227"/>
        <v>25.339857927979409</v>
      </c>
      <c r="AC77" s="145">
        <f t="shared" si="227"/>
        <v>28.852313482352791</v>
      </c>
      <c r="AD77" s="137">
        <f t="shared" si="221"/>
        <v>3.9745175091443263E-2</v>
      </c>
      <c r="AE77" s="31">
        <f t="shared" si="15"/>
        <v>0.05</v>
      </c>
      <c r="AF77" s="145">
        <f t="shared" si="175"/>
        <v>178.20546562629667</v>
      </c>
    </row>
    <row r="78" spans="2:32" x14ac:dyDescent="0.2">
      <c r="B78" s="20" t="s">
        <v>287</v>
      </c>
      <c r="C78" s="127"/>
      <c r="D78" s="127"/>
      <c r="E78" s="127"/>
      <c r="F78" s="143"/>
      <c r="G78" s="143">
        <f t="shared" ref="G78:P78" si="228">G21/G42</f>
        <v>-15.122873345935727</v>
      </c>
      <c r="H78" s="143">
        <f t="shared" si="228"/>
        <v>-5.6710775047258973E-2</v>
      </c>
      <c r="I78" s="143">
        <f t="shared" si="228"/>
        <v>-9.4517958412098295</v>
      </c>
      <c r="J78" s="143">
        <f t="shared" si="228"/>
        <v>-30.245746691871453</v>
      </c>
      <c r="K78" s="143">
        <f t="shared" si="228"/>
        <v>-28.355387523629489</v>
      </c>
      <c r="L78" s="143">
        <f t="shared" si="228"/>
        <v>-3.7807183364839316</v>
      </c>
      <c r="M78" s="143">
        <f t="shared" si="228"/>
        <v>-3.8095238095238093</v>
      </c>
      <c r="N78" s="143">
        <f t="shared" si="228"/>
        <v>-1.9047619047619047</v>
      </c>
      <c r="O78" s="143">
        <f t="shared" si="228"/>
        <v>-4.7169811320754711</v>
      </c>
      <c r="P78" s="143">
        <f t="shared" si="228"/>
        <v>-28.30188679245283</v>
      </c>
      <c r="Q78" s="143">
        <f t="shared" ref="Q78" si="229">Q21/Q42</f>
        <v>-7.5471698113207539</v>
      </c>
      <c r="R78" s="118">
        <f>((P78/G78)^(1/($H$2-$H$1) ))-1</f>
        <v>7.2117392916347667E-2</v>
      </c>
      <c r="S78" s="128"/>
      <c r="T78" s="145">
        <f t="shared" ref="T78:AC78" si="230">T21/T42</f>
        <v>-1.8399999999999999</v>
      </c>
      <c r="U78" s="145">
        <f t="shared" si="230"/>
        <v>-2.0950495049504947</v>
      </c>
      <c r="V78" s="145">
        <f t="shared" si="230"/>
        <v>-2.3854524066268006</v>
      </c>
      <c r="W78" s="145">
        <f t="shared" si="230"/>
        <v>-2.7161091758621985</v>
      </c>
      <c r="X78" s="145">
        <f t="shared" si="230"/>
        <v>-3.0925995566747804</v>
      </c>
      <c r="Y78" s="145">
        <f t="shared" si="230"/>
        <v>-3.5212767229465318</v>
      </c>
      <c r="Z78" s="145">
        <f t="shared" si="230"/>
        <v>-4.0093744865232788</v>
      </c>
      <c r="AA78" s="145">
        <f t="shared" si="230"/>
        <v>-4.5651293658433358</v>
      </c>
      <c r="AB78" s="145">
        <f t="shared" si="230"/>
        <v>-5.1979195749701352</v>
      </c>
      <c r="AC78" s="145">
        <f t="shared" si="230"/>
        <v>-5.9184232784313426</v>
      </c>
      <c r="AD78" s="137">
        <f t="shared" si="221"/>
        <v>-4.5823787693946239E-2</v>
      </c>
      <c r="AE78" s="31">
        <f t="shared" si="15"/>
        <v>0.05</v>
      </c>
      <c r="AF78" s="145">
        <f t="shared" si="175"/>
        <v>-36.5549673079583</v>
      </c>
    </row>
    <row r="79" spans="2:32" x14ac:dyDescent="0.2">
      <c r="B79" s="20" t="s">
        <v>288</v>
      </c>
      <c r="C79" s="127"/>
      <c r="D79" s="127"/>
      <c r="E79" s="127"/>
      <c r="F79" s="143"/>
      <c r="G79" s="143">
        <f t="shared" ref="G79:P79" si="231">G22/G42</f>
        <v>1.8903591682419658</v>
      </c>
      <c r="H79" s="143">
        <f t="shared" si="231"/>
        <v>-7.5614366729678633</v>
      </c>
      <c r="I79" s="143">
        <f t="shared" si="231"/>
        <v>-0.47258979206049145</v>
      </c>
      <c r="J79" s="143">
        <f t="shared" si="231"/>
        <v>26.465028355387524</v>
      </c>
      <c r="K79" s="143">
        <f t="shared" si="231"/>
        <v>18.903591682419659</v>
      </c>
      <c r="L79" s="143">
        <f t="shared" si="231"/>
        <v>7.5614366729678633</v>
      </c>
      <c r="M79" s="143">
        <f t="shared" si="231"/>
        <v>-9.5238095238095237</v>
      </c>
      <c r="N79" s="143">
        <f t="shared" si="231"/>
        <v>-13.333333333333332</v>
      </c>
      <c r="O79" s="143">
        <f t="shared" si="231"/>
        <v>-9.4339622641509422</v>
      </c>
      <c r="P79" s="143">
        <f t="shared" si="231"/>
        <v>-1.8867924528301885</v>
      </c>
      <c r="Q79" s="143">
        <f t="shared" ref="Q79" si="232">Q22/Q42</f>
        <v>-21.69811320754717</v>
      </c>
      <c r="R79" s="118">
        <f>((P79/G79)^(1/($H$2-$H$1) ))-1</f>
        <v>-1.9997901803832301</v>
      </c>
      <c r="S79" s="128"/>
      <c r="T79" s="145">
        <f t="shared" ref="T79:AC79" si="233">T22/T42</f>
        <v>-5.29</v>
      </c>
      <c r="U79" s="145">
        <f t="shared" si="233"/>
        <v>-6.0232673267326726</v>
      </c>
      <c r="V79" s="145">
        <f t="shared" si="233"/>
        <v>-6.8581756690520521</v>
      </c>
      <c r="W79" s="145">
        <f t="shared" si="233"/>
        <v>-7.8088138806038208</v>
      </c>
      <c r="X79" s="145">
        <f t="shared" si="233"/>
        <v>-8.8912237254399944</v>
      </c>
      <c r="Y79" s="145">
        <f t="shared" si="233"/>
        <v>-10.12367057847128</v>
      </c>
      <c r="Z79" s="145">
        <f t="shared" si="233"/>
        <v>-11.526951648754427</v>
      </c>
      <c r="AA79" s="145">
        <f t="shared" si="233"/>
        <v>-13.124746926799592</v>
      </c>
      <c r="AB79" s="145">
        <f t="shared" si="233"/>
        <v>-14.94401877803914</v>
      </c>
      <c r="AC79" s="145">
        <f t="shared" si="233"/>
        <v>-17.015466925490109</v>
      </c>
      <c r="AD79" s="137" t="e">
        <f t="shared" si="221"/>
        <v>#NUM!</v>
      </c>
      <c r="AE79" s="31">
        <f t="shared" si="15"/>
        <v>0.05</v>
      </c>
      <c r="AF79" s="145">
        <f t="shared" si="175"/>
        <v>-105.09553101038011</v>
      </c>
    </row>
    <row r="80" spans="2:32" x14ac:dyDescent="0.2">
      <c r="B80" s="20" t="s">
        <v>295</v>
      </c>
      <c r="C80" s="127"/>
      <c r="D80" s="127"/>
      <c r="E80" s="127"/>
      <c r="F80" s="143"/>
      <c r="G80" s="143">
        <f t="shared" ref="G80:P80" si="234">G23/G42</f>
        <v>1.379962192816635</v>
      </c>
      <c r="H80" s="143">
        <f t="shared" si="234"/>
        <v>1.5122873345935728</v>
      </c>
      <c r="I80" s="143">
        <f t="shared" si="234"/>
        <v>0.3780718336483932</v>
      </c>
      <c r="J80" s="143">
        <f t="shared" si="234"/>
        <v>1.8903591682419658</v>
      </c>
      <c r="K80" s="143">
        <f t="shared" si="234"/>
        <v>1.8903591682419658</v>
      </c>
      <c r="L80" s="143">
        <f t="shared" si="234"/>
        <v>0.73724007561436677</v>
      </c>
      <c r="M80" s="143">
        <f t="shared" si="234"/>
        <v>0.95238095238095233</v>
      </c>
      <c r="N80" s="143">
        <f t="shared" si="234"/>
        <v>0.47619047619047616</v>
      </c>
      <c r="O80" s="143">
        <f t="shared" si="234"/>
        <v>0.37735849056603776</v>
      </c>
      <c r="P80" s="143">
        <f t="shared" si="234"/>
        <v>0.75471698113207553</v>
      </c>
      <c r="Q80" s="143">
        <f t="shared" ref="Q80" si="235">Q23/Q42</f>
        <v>8.4905660377358494</v>
      </c>
      <c r="R80" s="118">
        <f>((P80/G80)^(1/($H$2-$H$1) ))-1</f>
        <v>-6.4853485915185249E-2</v>
      </c>
      <c r="S80" s="128"/>
      <c r="T80" s="145">
        <f t="shared" ref="T80:AC80" si="236">T23/T42</f>
        <v>2.0699999999999998</v>
      </c>
      <c r="U80" s="145">
        <f t="shared" si="236"/>
        <v>2.3569306930693066</v>
      </c>
      <c r="V80" s="145">
        <f t="shared" si="236"/>
        <v>2.6836339574551507</v>
      </c>
      <c r="W80" s="145">
        <f t="shared" si="236"/>
        <v>3.0556228228449731</v>
      </c>
      <c r="X80" s="145">
        <f t="shared" si="236"/>
        <v>3.4791745012591275</v>
      </c>
      <c r="Y80" s="145">
        <f t="shared" si="236"/>
        <v>3.9614363133148482</v>
      </c>
      <c r="Z80" s="145">
        <f t="shared" si="236"/>
        <v>4.5105462973386876</v>
      </c>
      <c r="AA80" s="145">
        <f t="shared" si="236"/>
        <v>5.1357705365737525</v>
      </c>
      <c r="AB80" s="145">
        <f t="shared" si="236"/>
        <v>5.8476595218414014</v>
      </c>
      <c r="AC80" s="145">
        <f t="shared" si="236"/>
        <v>6.6582261882352594</v>
      </c>
      <c r="AD80" s="137">
        <f t="shared" ref="AD80" si="237">((AC80/G80)^(1/($AC$3-$H$1) ))-1</f>
        <v>8.1868728914825217E-2</v>
      </c>
      <c r="AE80" s="31">
        <f t="shared" si="15"/>
        <v>0.05</v>
      </c>
      <c r="AF80" s="145">
        <f t="shared" si="175"/>
        <v>41.12433822145308</v>
      </c>
    </row>
    <row r="81" spans="2:32" x14ac:dyDescent="0.2">
      <c r="B81" s="20"/>
      <c r="C81" s="127"/>
      <c r="D81" s="127"/>
      <c r="E81" s="127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28"/>
      <c r="S81" s="128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38"/>
      <c r="AE81" s="136"/>
      <c r="AF81" s="153"/>
    </row>
    <row r="82" spans="2:32" x14ac:dyDescent="0.2">
      <c r="B82" s="20" t="s">
        <v>310</v>
      </c>
      <c r="C82" s="143"/>
      <c r="D82" s="143"/>
      <c r="E82" s="143"/>
      <c r="F82" s="143"/>
      <c r="G82" s="143">
        <f t="shared" ref="G82:P82" si="238">G36/G42</f>
        <v>5.103969754253308</v>
      </c>
      <c r="H82" s="143">
        <f t="shared" si="238"/>
        <v>9.4517958412098295</v>
      </c>
      <c r="I82" s="143">
        <f t="shared" si="238"/>
        <v>13.232514177693762</v>
      </c>
      <c r="J82" s="143">
        <f t="shared" si="238"/>
        <v>15.122873345935727</v>
      </c>
      <c r="K82" s="143">
        <f t="shared" si="238"/>
        <v>13.232514177693762</v>
      </c>
      <c r="L82" s="143">
        <f t="shared" si="238"/>
        <v>22.381852551984874</v>
      </c>
      <c r="M82" s="143">
        <f t="shared" si="238"/>
        <v>12.38095238095238</v>
      </c>
      <c r="N82" s="143">
        <f t="shared" si="238"/>
        <v>20</v>
      </c>
      <c r="O82" s="143">
        <f t="shared" si="238"/>
        <v>25.471698113207545</v>
      </c>
      <c r="P82" s="143">
        <f t="shared" si="238"/>
        <v>38.679245283018865</v>
      </c>
      <c r="Q82" s="143">
        <f t="shared" ref="Q82" si="239">Q36/Q42</f>
        <v>47.169811320754718</v>
      </c>
      <c r="R82" s="118">
        <f>((P82/G82)^(1/($H$2-$H$1) ))-1</f>
        <v>0.25236230947994165</v>
      </c>
      <c r="S82" s="128"/>
      <c r="T82" s="143">
        <f t="shared" ref="T82:AC82" si="240">T36/T42</f>
        <v>11.499999999999998</v>
      </c>
      <c r="U82" s="143">
        <f t="shared" si="240"/>
        <v>13.094059405940591</v>
      </c>
      <c r="V82" s="143">
        <f t="shared" si="240"/>
        <v>14.909077541417503</v>
      </c>
      <c r="W82" s="143">
        <f t="shared" si="240"/>
        <v>16.97568234913874</v>
      </c>
      <c r="X82" s="143">
        <f t="shared" si="240"/>
        <v>19.328747229217377</v>
      </c>
      <c r="Y82" s="143">
        <f t="shared" si="240"/>
        <v>22.007979518415823</v>
      </c>
      <c r="Z82" s="143">
        <f t="shared" si="240"/>
        <v>25.058590540770485</v>
      </c>
      <c r="AA82" s="143">
        <f t="shared" si="240"/>
        <v>28.532058536520847</v>
      </c>
      <c r="AB82" s="143">
        <f t="shared" si="240"/>
        <v>32.486997343563338</v>
      </c>
      <c r="AC82" s="143">
        <f t="shared" si="240"/>
        <v>36.990145490195886</v>
      </c>
      <c r="AD82" s="137">
        <f t="shared" ref="AD82:AD84" si="241">((AC82/G82)^(1/($AC$3-$H$1) ))-1</f>
        <v>0.10410123933494386</v>
      </c>
      <c r="AE82" s="31">
        <f t="shared" si="15"/>
        <v>0.05</v>
      </c>
      <c r="AF82" s="145">
        <f t="shared" si="175"/>
        <v>228.46854567473932</v>
      </c>
    </row>
    <row r="83" spans="2:32" x14ac:dyDescent="0.2">
      <c r="B83" s="20" t="s">
        <v>311</v>
      </c>
      <c r="C83" s="143"/>
      <c r="D83" s="143"/>
      <c r="E83" s="143"/>
      <c r="F83" s="143"/>
      <c r="G83" s="143">
        <f t="shared" ref="G83:P83" si="242">G40/G42</f>
        <v>3.5727788279773152</v>
      </c>
      <c r="H83" s="143">
        <f t="shared" si="242"/>
        <v>5.2930056710775037</v>
      </c>
      <c r="I83" s="143">
        <f t="shared" si="242"/>
        <v>8.1285444234404522</v>
      </c>
      <c r="J83" s="143">
        <f t="shared" si="242"/>
        <v>8.5066162570888473</v>
      </c>
      <c r="K83" s="143">
        <f t="shared" si="242"/>
        <v>1.8903591682419658</v>
      </c>
      <c r="L83" s="143">
        <f t="shared" si="242"/>
        <v>1.5311909262759924</v>
      </c>
      <c r="M83" s="143">
        <f t="shared" si="242"/>
        <v>2.8571428571428572</v>
      </c>
      <c r="N83" s="143">
        <f t="shared" si="242"/>
        <v>8.5714285714285712</v>
      </c>
      <c r="O83" s="143">
        <f t="shared" si="242"/>
        <v>11.320754716981131</v>
      </c>
      <c r="P83" s="143">
        <f t="shared" si="242"/>
        <v>21.69811320754717</v>
      </c>
      <c r="Q83" s="143">
        <f t="shared" ref="Q83" si="243">Q40/Q42</f>
        <v>28.30188679245283</v>
      </c>
      <c r="R83" s="118">
        <f>((P83/G83)^(1/($H$2-$H$1) ))-1</f>
        <v>0.22192965350324267</v>
      </c>
      <c r="S83" s="128"/>
      <c r="T83" s="143">
        <f t="shared" ref="T83:AC83" si="244">T40/T42</f>
        <v>6.9</v>
      </c>
      <c r="U83" s="143">
        <f t="shared" si="244"/>
        <v>7.8564356435643559</v>
      </c>
      <c r="V83" s="143">
        <f t="shared" si="244"/>
        <v>8.9454465248505031</v>
      </c>
      <c r="W83" s="143">
        <f t="shared" si="244"/>
        <v>10.185409409483245</v>
      </c>
      <c r="X83" s="143">
        <f t="shared" si="244"/>
        <v>11.597248337530427</v>
      </c>
      <c r="Y83" s="143">
        <f t="shared" si="244"/>
        <v>13.204787711049496</v>
      </c>
      <c r="Z83" s="143">
        <f t="shared" si="244"/>
        <v>15.035154324462296</v>
      </c>
      <c r="AA83" s="143">
        <f t="shared" si="244"/>
        <v>17.11923512191251</v>
      </c>
      <c r="AB83" s="143">
        <f t="shared" si="244"/>
        <v>19.492198406138009</v>
      </c>
      <c r="AC83" s="143">
        <f t="shared" si="244"/>
        <v>22.194087294117534</v>
      </c>
      <c r="AD83" s="137">
        <f t="shared" si="241"/>
        <v>9.5624052571756435E-2</v>
      </c>
      <c r="AE83" s="31">
        <f t="shared" si="15"/>
        <v>0.05</v>
      </c>
      <c r="AF83" s="145">
        <f t="shared" si="175"/>
        <v>137.08112740484361</v>
      </c>
    </row>
    <row r="84" spans="2:32" x14ac:dyDescent="0.2">
      <c r="B84" s="20" t="s">
        <v>312</v>
      </c>
      <c r="C84" s="143"/>
      <c r="D84" s="143"/>
      <c r="E84" s="143"/>
      <c r="F84" s="143"/>
      <c r="G84" s="143">
        <f t="shared" ref="G84:P84" si="245">G6/G42</f>
        <v>43.478260869565219</v>
      </c>
      <c r="H84" s="143">
        <f t="shared" si="245"/>
        <v>47.258979206049148</v>
      </c>
      <c r="I84" s="143">
        <f t="shared" si="245"/>
        <v>52.930056710775048</v>
      </c>
      <c r="J84" s="143">
        <f t="shared" si="245"/>
        <v>47.258979206049148</v>
      </c>
      <c r="K84" s="143">
        <f t="shared" si="245"/>
        <v>47.258979206049148</v>
      </c>
      <c r="L84" s="143">
        <f t="shared" si="245"/>
        <v>47.258979206049148</v>
      </c>
      <c r="M84" s="143">
        <f t="shared" si="245"/>
        <v>25.714285714285712</v>
      </c>
      <c r="N84" s="143">
        <f t="shared" si="245"/>
        <v>33.333333333333329</v>
      </c>
      <c r="O84" s="143">
        <f t="shared" si="245"/>
        <v>42.452830188679243</v>
      </c>
      <c r="P84" s="143">
        <f t="shared" si="245"/>
        <v>59.433962264150942</v>
      </c>
      <c r="Q84" s="143">
        <f t="shared" ref="Q84" si="246">Q6/Q42</f>
        <v>82.075471698113205</v>
      </c>
      <c r="R84" s="118">
        <f>((P84/G84)^(1/($H$2-$H$1) ))-1</f>
        <v>3.5344127394057789E-2</v>
      </c>
      <c r="S84" s="128"/>
      <c r="T84" s="143">
        <f t="shared" ref="T84:AC84" si="247">T6/T42</f>
        <v>20.009999999999998</v>
      </c>
      <c r="U84" s="143">
        <f t="shared" si="247"/>
        <v>22.783663366336633</v>
      </c>
      <c r="V84" s="143">
        <f t="shared" si="247"/>
        <v>25.941794922066457</v>
      </c>
      <c r="W84" s="143">
        <f t="shared" si="247"/>
        <v>29.537687287501409</v>
      </c>
      <c r="X84" s="143">
        <f t="shared" si="247"/>
        <v>33.632020178838232</v>
      </c>
      <c r="Y84" s="143">
        <f t="shared" si="247"/>
        <v>38.293884362043535</v>
      </c>
      <c r="Z84" s="143">
        <f t="shared" si="247"/>
        <v>43.60194754094065</v>
      </c>
      <c r="AA84" s="143">
        <f t="shared" si="247"/>
        <v>49.645781853546275</v>
      </c>
      <c r="AB84" s="143">
        <f t="shared" si="247"/>
        <v>56.527375377800212</v>
      </c>
      <c r="AC84" s="143">
        <f t="shared" si="247"/>
        <v>64.362853152940829</v>
      </c>
      <c r="AD84" s="137">
        <f t="shared" si="241"/>
        <v>1.9807393396408024E-2</v>
      </c>
      <c r="AE84" s="31">
        <f t="shared" ref="AE84" si="248">$L$1</f>
        <v>0.05</v>
      </c>
      <c r="AF84" s="145">
        <f t="shared" si="175"/>
        <v>397.5352694740464</v>
      </c>
    </row>
    <row r="85" spans="2:32" x14ac:dyDescent="0.2">
      <c r="B85" s="20"/>
      <c r="C85" s="127"/>
      <c r="D85" s="127"/>
      <c r="E85" s="127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28"/>
      <c r="S85" s="128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38"/>
      <c r="AE85" s="20"/>
      <c r="AF85" s="153"/>
    </row>
    <row r="86" spans="2:32" x14ac:dyDescent="0.2">
      <c r="B86" s="20" t="s">
        <v>468</v>
      </c>
      <c r="C86" s="127"/>
      <c r="D86" s="127"/>
      <c r="E86" s="127"/>
      <c r="F86" s="143"/>
      <c r="G86" s="143">
        <f>G40/$Q$42</f>
        <v>1.783018867924528</v>
      </c>
      <c r="H86" s="143">
        <f>H40/$Q$42</f>
        <v>2.641509433962264</v>
      </c>
      <c r="I86" s="143">
        <f>I40/$Q$42</f>
        <v>4.0566037735849054</v>
      </c>
      <c r="J86" s="143">
        <f>J40/$Q$42</f>
        <v>4.2452830188679247</v>
      </c>
      <c r="K86" s="143">
        <f>K40/$Q$42</f>
        <v>0.94339622641509424</v>
      </c>
      <c r="L86" s="143">
        <f>L40/$Q$42</f>
        <v>0.76415094339622647</v>
      </c>
      <c r="M86" s="143">
        <f>M40/$Q$42</f>
        <v>2.8301886792452828</v>
      </c>
      <c r="N86" s="143">
        <f>N40/$Q$42</f>
        <v>8.4905660377358494</v>
      </c>
      <c r="O86" s="143">
        <f>O40/$Q$42</f>
        <v>11.320754716981131</v>
      </c>
      <c r="P86" s="143">
        <f>P40/$Q$42</f>
        <v>21.69811320754717</v>
      </c>
      <c r="Q86" s="143">
        <f>Q40/$Q$42</f>
        <v>28.30188679245283</v>
      </c>
      <c r="R86" s="118">
        <f>((P86/G86)^(1/($H$2-$H$1) ))-1</f>
        <v>0.32003399153370538</v>
      </c>
      <c r="S86" s="128"/>
      <c r="T86" s="143">
        <f>T40/T42</f>
        <v>6.9</v>
      </c>
      <c r="U86" s="143">
        <f>U40/U42</f>
        <v>7.8564356435643559</v>
      </c>
      <c r="V86" s="143">
        <f>V40/V42</f>
        <v>8.9454465248505031</v>
      </c>
      <c r="W86" s="143">
        <f>W40/W42</f>
        <v>10.185409409483245</v>
      </c>
      <c r="X86" s="143">
        <f>X40/X42</f>
        <v>11.597248337530427</v>
      </c>
      <c r="Y86" s="143">
        <f>Y40/Y42</f>
        <v>13.204787711049496</v>
      </c>
      <c r="Z86" s="143">
        <f>Z40/Z42</f>
        <v>15.035154324462296</v>
      </c>
      <c r="AA86" s="143">
        <f>AA40/AA42</f>
        <v>17.11923512191251</v>
      </c>
      <c r="AB86" s="143">
        <f>AB40/AB42</f>
        <v>19.492198406138009</v>
      </c>
      <c r="AC86" s="143">
        <f>AC40/AC42</f>
        <v>22.194087294117534</v>
      </c>
      <c r="AD86" s="138"/>
      <c r="AE86" s="20"/>
      <c r="AF86" s="153"/>
    </row>
    <row r="87" spans="2:32" x14ac:dyDescent="0.2">
      <c r="B87" s="20"/>
      <c r="C87" s="127"/>
      <c r="D87" s="127"/>
      <c r="E87" s="127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28"/>
      <c r="S87" s="128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38"/>
      <c r="AE87" s="20"/>
      <c r="AF87" s="153"/>
    </row>
    <row r="88" spans="2:32" x14ac:dyDescent="0.2">
      <c r="B88" s="108" t="s">
        <v>309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spans="2:32" x14ac:dyDescent="0.2">
      <c r="B89" s="20" t="s">
        <v>308</v>
      </c>
      <c r="C89" s="151"/>
      <c r="D89" s="151"/>
      <c r="E89" s="151"/>
      <c r="F89" s="151"/>
      <c r="G89" s="151">
        <f t="shared" ref="G89:P89" si="249">G36/G25</f>
        <v>7.9411764705882362E-2</v>
      </c>
      <c r="H89" s="151">
        <f t="shared" si="249"/>
        <v>0.125</v>
      </c>
      <c r="I89" s="151">
        <f t="shared" si="249"/>
        <v>0.15217391304347827</v>
      </c>
      <c r="J89" s="151">
        <f t="shared" si="249"/>
        <v>0.15686274509803921</v>
      </c>
      <c r="K89" s="151">
        <f t="shared" si="249"/>
        <v>0.13725490196078433</v>
      </c>
      <c r="L89" s="151">
        <f t="shared" si="249"/>
        <v>0.1667605633802817</v>
      </c>
      <c r="M89" s="151">
        <f t="shared" si="249"/>
        <v>0.17567567567567569</v>
      </c>
      <c r="N89" s="151">
        <f t="shared" si="249"/>
        <v>0.22105263157894736</v>
      </c>
      <c r="O89" s="151">
        <f t="shared" si="249"/>
        <v>0.22689075630252101</v>
      </c>
      <c r="P89" s="151">
        <f t="shared" si="249"/>
        <v>0.25786163522012578</v>
      </c>
      <c r="Q89" s="151">
        <f t="shared" ref="Q89" si="250">Q36/Q25</f>
        <v>0.28409090909090912</v>
      </c>
      <c r="R89" s="118">
        <f t="shared" ref="R89:R142" si="251">((P89/G89)^(1/($H$2-$H$1) ))-1</f>
        <v>0.13981283426092195</v>
      </c>
      <c r="S89" s="151"/>
      <c r="T89" s="151">
        <f t="shared" ref="T89:AC89" si="252">T36/T25</f>
        <v>0.28409090909090906</v>
      </c>
      <c r="U89" s="151">
        <f t="shared" si="252"/>
        <v>0.28409090909090906</v>
      </c>
      <c r="V89" s="151">
        <f t="shared" si="252"/>
        <v>0.28409090909090906</v>
      </c>
      <c r="W89" s="151">
        <f t="shared" si="252"/>
        <v>0.28409090909090906</v>
      </c>
      <c r="X89" s="151">
        <f t="shared" si="252"/>
        <v>0.28409090909090906</v>
      </c>
      <c r="Y89" s="151">
        <f t="shared" si="252"/>
        <v>0.28409090909090906</v>
      </c>
      <c r="Z89" s="151">
        <f t="shared" si="252"/>
        <v>0.28409090909090906</v>
      </c>
      <c r="AA89" s="151">
        <f t="shared" si="252"/>
        <v>0.28409090909090906</v>
      </c>
      <c r="AB89" s="151">
        <f t="shared" si="252"/>
        <v>0.28409090909090906</v>
      </c>
      <c r="AC89" s="151">
        <f t="shared" si="252"/>
        <v>0.28409090909090912</v>
      </c>
      <c r="AD89" s="137">
        <f t="shared" ref="AD89:AD129" si="253">((AC89/G89)^(1/($AC$3-$H$1) ))-1</f>
        <v>6.580713792017745E-2</v>
      </c>
      <c r="AE89" s="145"/>
      <c r="AF89" s="145"/>
    </row>
    <row r="90" spans="2:32" x14ac:dyDescent="0.2">
      <c r="B90" s="20" t="s">
        <v>266</v>
      </c>
      <c r="C90" s="151"/>
      <c r="D90" s="151"/>
      <c r="E90" s="151"/>
      <c r="F90" s="151"/>
      <c r="G90" s="151">
        <f t="shared" ref="G90:P90" si="254">G40/G25</f>
        <v>5.5588235294117647E-2</v>
      </c>
      <c r="H90" s="151">
        <f t="shared" si="254"/>
        <v>6.9999999999999993E-2</v>
      </c>
      <c r="I90" s="151">
        <f t="shared" si="254"/>
        <v>9.3478260869565219E-2</v>
      </c>
      <c r="J90" s="151">
        <f t="shared" si="254"/>
        <v>8.8235294117647065E-2</v>
      </c>
      <c r="K90" s="151">
        <f t="shared" si="254"/>
        <v>1.9607843137254902E-2</v>
      </c>
      <c r="L90" s="151">
        <f t="shared" si="254"/>
        <v>1.1408450704225352E-2</v>
      </c>
      <c r="M90" s="151">
        <f t="shared" si="254"/>
        <v>4.0540540540540543E-2</v>
      </c>
      <c r="N90" s="151">
        <f t="shared" si="254"/>
        <v>9.4736842105263161E-2</v>
      </c>
      <c r="O90" s="151">
        <f t="shared" si="254"/>
        <v>0.10084033613445378</v>
      </c>
      <c r="P90" s="151">
        <f t="shared" si="254"/>
        <v>0.14465408805031446</v>
      </c>
      <c r="Q90" s="151">
        <f t="shared" ref="Q90" si="255">Q40/Q25</f>
        <v>0.17045454545454544</v>
      </c>
      <c r="R90" s="118">
        <f t="shared" si="251"/>
        <v>0.11211515316630849</v>
      </c>
      <c r="S90" s="151"/>
      <c r="T90" s="151">
        <f t="shared" ref="T90:AC90" si="256">T40/T25</f>
        <v>0.17045454545454547</v>
      </c>
      <c r="U90" s="151">
        <f t="shared" si="256"/>
        <v>0.17045454545454547</v>
      </c>
      <c r="V90" s="151">
        <f t="shared" si="256"/>
        <v>0.17045454545454547</v>
      </c>
      <c r="W90" s="151">
        <f t="shared" si="256"/>
        <v>0.17045454545454547</v>
      </c>
      <c r="X90" s="151">
        <f t="shared" si="256"/>
        <v>0.17045454545454547</v>
      </c>
      <c r="Y90" s="151">
        <f t="shared" si="256"/>
        <v>0.17045454545454547</v>
      </c>
      <c r="Z90" s="151">
        <f t="shared" si="256"/>
        <v>0.17045454545454547</v>
      </c>
      <c r="AA90" s="151">
        <f t="shared" si="256"/>
        <v>0.17045454545454547</v>
      </c>
      <c r="AB90" s="151">
        <f t="shared" si="256"/>
        <v>0.17045454545454547</v>
      </c>
      <c r="AC90" s="151">
        <f t="shared" si="256"/>
        <v>0.1704545454545455</v>
      </c>
      <c r="AD90" s="137">
        <f t="shared" si="253"/>
        <v>5.7623969710774769E-2</v>
      </c>
      <c r="AE90" s="145"/>
      <c r="AF90" s="145"/>
    </row>
    <row r="91" spans="2:32" x14ac:dyDescent="0.2">
      <c r="B91" s="20" t="s">
        <v>358</v>
      </c>
      <c r="C91" s="151"/>
      <c r="D91" s="151"/>
      <c r="E91" s="151"/>
      <c r="F91" s="151"/>
      <c r="G91" s="151">
        <f>G40/G7</f>
        <v>6.7499999999999991E-2</v>
      </c>
      <c r="H91" s="151">
        <f t="shared" ref="H91:O91" si="257">H40/H7</f>
        <v>9.3333333333333324E-2</v>
      </c>
      <c r="I91" s="151">
        <f t="shared" si="257"/>
        <v>0.13030303030303031</v>
      </c>
      <c r="J91" s="151">
        <f t="shared" si="257"/>
        <v>0.125</v>
      </c>
      <c r="K91" s="151">
        <f t="shared" si="257"/>
        <v>2.8571428571428571E-2</v>
      </c>
      <c r="L91" s="151">
        <f t="shared" si="257"/>
        <v>2.2500000000000003E-2</v>
      </c>
      <c r="M91" s="151">
        <f t="shared" si="257"/>
        <v>7.8947368421052627E-2</v>
      </c>
      <c r="N91" s="151">
        <f t="shared" si="257"/>
        <v>0.19565217391304349</v>
      </c>
      <c r="O91" s="151">
        <f t="shared" si="257"/>
        <v>0.21818181818181817</v>
      </c>
      <c r="P91" s="151">
        <f t="shared" ref="P91:Q91" si="258">P40/P7</f>
        <v>0.3108108108108108</v>
      </c>
      <c r="Q91" s="151">
        <f t="shared" si="258"/>
        <v>0.30612244897959184</v>
      </c>
      <c r="R91" s="118">
        <f t="shared" si="251"/>
        <v>0.18491729417138036</v>
      </c>
      <c r="S91" s="20"/>
      <c r="T91" s="151">
        <f t="shared" ref="T91" si="259">T40/T7</f>
        <v>0.30612244897959184</v>
      </c>
      <c r="U91" s="151">
        <f t="shared" ref="U91:AC91" si="260">U40/U7</f>
        <v>0.30612244897959184</v>
      </c>
      <c r="V91" s="151">
        <f t="shared" si="260"/>
        <v>0.30612244897959184</v>
      </c>
      <c r="W91" s="151">
        <f t="shared" si="260"/>
        <v>0.30612244897959184</v>
      </c>
      <c r="X91" s="151">
        <f t="shared" si="260"/>
        <v>0.30612244897959184</v>
      </c>
      <c r="Y91" s="151">
        <f t="shared" si="260"/>
        <v>0.3061224489795919</v>
      </c>
      <c r="Z91" s="151">
        <f t="shared" si="260"/>
        <v>0.3061224489795919</v>
      </c>
      <c r="AA91" s="151">
        <f t="shared" si="260"/>
        <v>0.3061224489795919</v>
      </c>
      <c r="AB91" s="151">
        <f t="shared" si="260"/>
        <v>0.30612244897959184</v>
      </c>
      <c r="AC91" s="151">
        <f t="shared" si="260"/>
        <v>0.3061224489795919</v>
      </c>
      <c r="AD91" s="137">
        <f t="shared" si="253"/>
        <v>7.8523395461516765E-2</v>
      </c>
      <c r="AE91" s="145"/>
      <c r="AF91" s="145"/>
    </row>
    <row r="92" spans="2:32" x14ac:dyDescent="0.2">
      <c r="B92" s="20" t="s">
        <v>359</v>
      </c>
      <c r="C92" s="151"/>
      <c r="D92" s="151"/>
      <c r="E92" s="151"/>
      <c r="F92" s="151"/>
      <c r="G92" s="151">
        <f>(G40)/(G7+G10)</f>
        <v>5.3999999999999999E-2</v>
      </c>
      <c r="H92" s="151">
        <f t="shared" ref="H92:O92" si="261">(H40)/(H7+H10)</f>
        <v>8.4337349397590355E-2</v>
      </c>
      <c r="I92" s="151">
        <f t="shared" si="261"/>
        <v>0.11621621621621621</v>
      </c>
      <c r="J92" s="151">
        <f t="shared" si="261"/>
        <v>8.0357142857142863E-2</v>
      </c>
      <c r="K92" s="151">
        <f t="shared" si="261"/>
        <v>1.4705882352941176E-2</v>
      </c>
      <c r="L92" s="151">
        <f t="shared" si="261"/>
        <v>1.0125E-2</v>
      </c>
      <c r="M92" s="151">
        <f t="shared" si="261"/>
        <v>3.896103896103896E-2</v>
      </c>
      <c r="N92" s="151">
        <f t="shared" si="261"/>
        <v>0.12</v>
      </c>
      <c r="O92" s="151">
        <f t="shared" si="261"/>
        <v>0.16</v>
      </c>
      <c r="P92" s="151">
        <f t="shared" ref="P92:Q92" si="262">(P40)/(P7+P10)</f>
        <v>0.23469387755102042</v>
      </c>
      <c r="Q92" s="151">
        <f t="shared" si="262"/>
        <v>0.26785714285714285</v>
      </c>
      <c r="R92" s="118">
        <f t="shared" si="251"/>
        <v>0.17733726079490131</v>
      </c>
      <c r="S92" s="20"/>
      <c r="T92" s="151">
        <f t="shared" ref="T92:AC92" si="263">(T40)/(T7+T10)</f>
        <v>0.2678571428571429</v>
      </c>
      <c r="U92" s="151">
        <f t="shared" si="263"/>
        <v>0.2678571428571429</v>
      </c>
      <c r="V92" s="151">
        <f t="shared" si="263"/>
        <v>0.26785714285714285</v>
      </c>
      <c r="W92" s="151">
        <f t="shared" si="263"/>
        <v>0.26785714285714285</v>
      </c>
      <c r="X92" s="151">
        <f t="shared" si="263"/>
        <v>0.26785714285714285</v>
      </c>
      <c r="Y92" s="151">
        <f t="shared" si="263"/>
        <v>0.2678571428571429</v>
      </c>
      <c r="Z92" s="151">
        <f t="shared" si="263"/>
        <v>0.2678571428571429</v>
      </c>
      <c r="AA92" s="151">
        <f t="shared" si="263"/>
        <v>0.2678571428571429</v>
      </c>
      <c r="AB92" s="151">
        <f t="shared" si="263"/>
        <v>0.2678571428571429</v>
      </c>
      <c r="AC92" s="151">
        <f t="shared" si="263"/>
        <v>0.2678571428571429</v>
      </c>
      <c r="AD92" s="137">
        <f t="shared" si="253"/>
        <v>8.3366678267685845E-2</v>
      </c>
      <c r="AE92" s="145"/>
      <c r="AF92" s="145"/>
    </row>
    <row r="93" spans="2:32" x14ac:dyDescent="0.2">
      <c r="B93" s="20" t="s">
        <v>375</v>
      </c>
      <c r="C93" s="151"/>
      <c r="D93" s="151"/>
      <c r="E93" s="151"/>
      <c r="F93" s="151"/>
      <c r="G93" s="151">
        <f>G20/G25</f>
        <v>0.20588235294117646</v>
      </c>
      <c r="H93" s="151">
        <f t="shared" ref="H93:P93" si="264">H20/H25</f>
        <v>0.1</v>
      </c>
      <c r="I93" s="151">
        <f t="shared" si="264"/>
        <v>8.6956521739130432E-2</v>
      </c>
      <c r="J93" s="151">
        <f t="shared" si="264"/>
        <v>5.6862745098039215E-2</v>
      </c>
      <c r="K93" s="151">
        <f t="shared" si="264"/>
        <v>9.8039215686274508E-2</v>
      </c>
      <c r="L93" s="151">
        <f t="shared" si="264"/>
        <v>-5.6338028169014086E-2</v>
      </c>
      <c r="M93" s="151">
        <f t="shared" si="264"/>
        <v>0.1891891891891892</v>
      </c>
      <c r="N93" s="151">
        <f t="shared" si="264"/>
        <v>0.16842105263157894</v>
      </c>
      <c r="O93" s="151">
        <f t="shared" si="264"/>
        <v>0.11764705882352941</v>
      </c>
      <c r="P93" s="151">
        <f t="shared" si="264"/>
        <v>0.20125786163522014</v>
      </c>
      <c r="Q93" s="151">
        <f t="shared" ref="Q93" si="265">Q20/Q25</f>
        <v>0.22159090909090909</v>
      </c>
      <c r="R93" s="118">
        <f t="shared" si="251"/>
        <v>-2.5210306135047267E-3</v>
      </c>
      <c r="S93" s="20"/>
      <c r="T93" s="151">
        <f t="shared" ref="T93:AC93" si="266">T20/T25</f>
        <v>0.22159090909090909</v>
      </c>
      <c r="U93" s="151">
        <f t="shared" si="266"/>
        <v>0.22159090909090906</v>
      </c>
      <c r="V93" s="151">
        <f t="shared" si="266"/>
        <v>0.22159090909090909</v>
      </c>
      <c r="W93" s="151">
        <f t="shared" si="266"/>
        <v>0.22159090909090909</v>
      </c>
      <c r="X93" s="151">
        <f t="shared" si="266"/>
        <v>0.22159090909090909</v>
      </c>
      <c r="Y93" s="151">
        <f t="shared" si="266"/>
        <v>0.22159090909090909</v>
      </c>
      <c r="Z93" s="151">
        <f t="shared" si="266"/>
        <v>0.22159090909090909</v>
      </c>
      <c r="AA93" s="151">
        <f t="shared" si="266"/>
        <v>0.22159090909090909</v>
      </c>
      <c r="AB93" s="151">
        <f t="shared" si="266"/>
        <v>0.22159090909090909</v>
      </c>
      <c r="AC93" s="151">
        <f t="shared" si="266"/>
        <v>0.22159090909090912</v>
      </c>
      <c r="AD93" s="137">
        <f t="shared" si="253"/>
        <v>3.6831675852755374E-3</v>
      </c>
      <c r="AE93" s="145"/>
      <c r="AF93" s="145"/>
    </row>
    <row r="94" spans="2:32" x14ac:dyDescent="0.2">
      <c r="B94" s="20" t="s">
        <v>427</v>
      </c>
      <c r="C94" s="151"/>
      <c r="D94" s="151"/>
      <c r="E94" s="151"/>
      <c r="F94" s="151"/>
      <c r="G94" s="151">
        <f>G52/G25</f>
        <v>2.1176470588235293E-2</v>
      </c>
      <c r="H94" s="151">
        <f t="shared" ref="H94:P94" si="267">H52/H25</f>
        <v>3.0000000000000006E-2</v>
      </c>
      <c r="I94" s="151">
        <f t="shared" si="267"/>
        <v>3.6956521739130437E-2</v>
      </c>
      <c r="J94" s="151">
        <f t="shared" si="267"/>
        <v>4.9019607843137254E-2</v>
      </c>
      <c r="K94" s="151">
        <f t="shared" si="267"/>
        <v>1.1764705882352943E-2</v>
      </c>
      <c r="L94" s="151">
        <f t="shared" si="267"/>
        <v>1.2394366197183097E-2</v>
      </c>
      <c r="M94" s="151">
        <f t="shared" si="267"/>
        <v>2.7027027027027029E-2</v>
      </c>
      <c r="N94" s="151">
        <f t="shared" si="267"/>
        <v>4.2105263157894736E-2</v>
      </c>
      <c r="O94" s="151">
        <f t="shared" si="267"/>
        <v>5.0420168067226892E-2</v>
      </c>
      <c r="P94" s="151">
        <f t="shared" si="267"/>
        <v>5.6603773584905662E-2</v>
      </c>
      <c r="Q94" s="151">
        <f t="shared" ref="Q94" si="268">Q52/Q25</f>
        <v>5.6818181818181816E-2</v>
      </c>
      <c r="R94" s="118">
        <f t="shared" si="251"/>
        <v>0.11543311571922055</v>
      </c>
      <c r="S94" s="20"/>
      <c r="T94" s="151">
        <f t="shared" ref="T94:AC94" si="269">T52/T25</f>
        <v>5.6818181818181823E-2</v>
      </c>
      <c r="U94" s="151">
        <f t="shared" si="269"/>
        <v>5.681818181818183E-2</v>
      </c>
      <c r="V94" s="151">
        <f t="shared" si="269"/>
        <v>5.6818181818181844E-2</v>
      </c>
      <c r="W94" s="151">
        <f t="shared" si="269"/>
        <v>5.6818181818181837E-2</v>
      </c>
      <c r="X94" s="151">
        <f t="shared" si="269"/>
        <v>5.6818181818181837E-2</v>
      </c>
      <c r="Y94" s="151">
        <f t="shared" si="269"/>
        <v>5.6818181818181823E-2</v>
      </c>
      <c r="Z94" s="151">
        <f t="shared" si="269"/>
        <v>5.681818181818183E-2</v>
      </c>
      <c r="AA94" s="151">
        <f t="shared" si="269"/>
        <v>5.6818181818181844E-2</v>
      </c>
      <c r="AB94" s="151">
        <f t="shared" si="269"/>
        <v>5.6818181818181851E-2</v>
      </c>
      <c r="AC94" s="151">
        <f t="shared" si="269"/>
        <v>5.6818181818181858E-2</v>
      </c>
      <c r="AD94" s="137">
        <f t="shared" si="253"/>
        <v>5.0586189890185818E-2</v>
      </c>
      <c r="AE94" s="145"/>
      <c r="AF94" s="145"/>
    </row>
    <row r="95" spans="2:32" x14ac:dyDescent="0.2">
      <c r="B95" s="20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20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3"/>
      <c r="AE95" s="145"/>
      <c r="AF95" s="145"/>
    </row>
    <row r="96" spans="2:32" x14ac:dyDescent="0.2">
      <c r="B96" s="20" t="s">
        <v>322</v>
      </c>
      <c r="C96" s="151"/>
      <c r="D96" s="151"/>
      <c r="E96" s="151"/>
      <c r="F96" s="151"/>
      <c r="G96" s="151">
        <f>G29/G25</f>
        <v>4.7058823529411769E-3</v>
      </c>
      <c r="H96" s="151">
        <f t="shared" ref="H96:P96" si="270">H29/H25</f>
        <v>4.4999999999999997E-3</v>
      </c>
      <c r="I96" s="151">
        <f t="shared" si="270"/>
        <v>1.5217391304347828E-3</v>
      </c>
      <c r="J96" s="151">
        <f t="shared" si="270"/>
        <v>3.7254901960784314E-3</v>
      </c>
      <c r="K96" s="151">
        <f t="shared" si="270"/>
        <v>3.9215686274509803E-2</v>
      </c>
      <c r="L96" s="151">
        <f t="shared" si="270"/>
        <v>5.6338028169014086E-2</v>
      </c>
      <c r="M96" s="151">
        <f t="shared" si="270"/>
        <v>5.4054054054054057E-2</v>
      </c>
      <c r="N96" s="151">
        <f t="shared" si="270"/>
        <v>3.1578947368421054E-2</v>
      </c>
      <c r="O96" s="151">
        <f t="shared" si="270"/>
        <v>3.3613445378151259E-2</v>
      </c>
      <c r="P96" s="151">
        <f t="shared" si="270"/>
        <v>2.5157232704402517E-2</v>
      </c>
      <c r="Q96" s="151">
        <f t="shared" ref="Q96" si="271">Q29/Q25</f>
        <v>1.7045454545454544E-2</v>
      </c>
      <c r="R96" s="118">
        <f t="shared" si="251"/>
        <v>0.20473439971553287</v>
      </c>
      <c r="S96" s="20"/>
      <c r="T96" s="151">
        <f t="shared" ref="T96:AC96" si="272">T29/T25</f>
        <v>1.7045454545454548E-2</v>
      </c>
      <c r="U96" s="151">
        <f t="shared" si="272"/>
        <v>1.7045454545454544E-2</v>
      </c>
      <c r="V96" s="151">
        <f t="shared" si="272"/>
        <v>1.7045454545454548E-2</v>
      </c>
      <c r="W96" s="151">
        <f t="shared" si="272"/>
        <v>1.7045454545454544E-2</v>
      </c>
      <c r="X96" s="151">
        <f t="shared" si="272"/>
        <v>1.7045454545454544E-2</v>
      </c>
      <c r="Y96" s="151">
        <f t="shared" si="272"/>
        <v>1.7045454545454541E-2</v>
      </c>
      <c r="Z96" s="151">
        <f t="shared" si="272"/>
        <v>1.7045454545454541E-2</v>
      </c>
      <c r="AA96" s="151">
        <f t="shared" si="272"/>
        <v>1.7045454545454541E-2</v>
      </c>
      <c r="AB96" s="151">
        <f t="shared" si="272"/>
        <v>1.7045454545454541E-2</v>
      </c>
      <c r="AC96" s="151">
        <f t="shared" si="272"/>
        <v>1.7045454545454544E-2</v>
      </c>
      <c r="AD96" s="137">
        <f t="shared" si="253"/>
        <v>6.6469344079890025E-2</v>
      </c>
      <c r="AE96" s="145"/>
      <c r="AF96" s="145"/>
    </row>
    <row r="97" spans="2:32" x14ac:dyDescent="0.2">
      <c r="B97" s="20" t="s">
        <v>368</v>
      </c>
      <c r="C97" s="151"/>
      <c r="D97" s="151"/>
      <c r="E97" s="151"/>
      <c r="F97" s="151"/>
      <c r="G97" s="151">
        <f>G29/G36</f>
        <v>5.9259259259259255E-2</v>
      </c>
      <c r="H97" s="151">
        <f t="shared" ref="H97:P97" si="273">H29/H36</f>
        <v>3.5999999999999997E-2</v>
      </c>
      <c r="I97" s="151">
        <f t="shared" si="273"/>
        <v>0.01</v>
      </c>
      <c r="J97" s="151">
        <f t="shared" si="273"/>
        <v>2.375E-2</v>
      </c>
      <c r="K97" s="151">
        <f t="shared" si="273"/>
        <v>0.2857142857142857</v>
      </c>
      <c r="L97" s="151">
        <f t="shared" si="273"/>
        <v>0.33783783783783783</v>
      </c>
      <c r="M97" s="151">
        <f t="shared" si="273"/>
        <v>0.30769230769230771</v>
      </c>
      <c r="N97" s="151">
        <f t="shared" si="273"/>
        <v>0.14285714285714285</v>
      </c>
      <c r="O97" s="151">
        <f t="shared" si="273"/>
        <v>0.14814814814814814</v>
      </c>
      <c r="P97" s="151">
        <f t="shared" si="273"/>
        <v>9.7560975609756101E-2</v>
      </c>
      <c r="Q97" s="151">
        <f t="shared" ref="Q97" si="274">Q29/Q36</f>
        <v>0.06</v>
      </c>
      <c r="R97" s="118">
        <f t="shared" ref="R97" si="275">((P97/G97)^(1/($H$2-$H$1) ))-1</f>
        <v>5.6958093033500079E-2</v>
      </c>
      <c r="S97" s="20"/>
      <c r="T97" s="151">
        <f t="shared" ref="T97:AC97" si="276">T29/T36</f>
        <v>6.0000000000000005E-2</v>
      </c>
      <c r="U97" s="151">
        <f t="shared" si="276"/>
        <v>6.0000000000000005E-2</v>
      </c>
      <c r="V97" s="151">
        <f t="shared" si="276"/>
        <v>6.0000000000000005E-2</v>
      </c>
      <c r="W97" s="151">
        <f t="shared" si="276"/>
        <v>0.06</v>
      </c>
      <c r="X97" s="151">
        <f t="shared" si="276"/>
        <v>0.06</v>
      </c>
      <c r="Y97" s="151">
        <f t="shared" si="276"/>
        <v>0.06</v>
      </c>
      <c r="Z97" s="151">
        <f t="shared" si="276"/>
        <v>0.06</v>
      </c>
      <c r="AA97" s="151">
        <f t="shared" si="276"/>
        <v>0.06</v>
      </c>
      <c r="AB97" s="151">
        <f t="shared" si="276"/>
        <v>5.9999999999999991E-2</v>
      </c>
      <c r="AC97" s="151">
        <f t="shared" si="276"/>
        <v>5.9999999999999991E-2</v>
      </c>
      <c r="AD97" s="137">
        <f t="shared" ref="AD97" si="277">((AC97/G97)^(1/($AC$3-$H$1) ))-1</f>
        <v>6.2131893862615861E-4</v>
      </c>
      <c r="AE97" s="145"/>
      <c r="AF97" s="145"/>
    </row>
    <row r="98" spans="2:32" ht="12" customHeight="1" x14ac:dyDescent="0.2">
      <c r="B98" s="20" t="s">
        <v>367</v>
      </c>
      <c r="C98" s="151"/>
      <c r="D98" s="151"/>
      <c r="E98" s="151"/>
      <c r="F98" s="151"/>
      <c r="G98" s="170">
        <f t="shared" ref="G98:P98" si="278">G29/G40</f>
        <v>8.4656084656084665E-2</v>
      </c>
      <c r="H98" s="170">
        <f t="shared" si="278"/>
        <v>6.4285714285714293E-2</v>
      </c>
      <c r="I98" s="170">
        <f t="shared" si="278"/>
        <v>1.6279069767441864E-2</v>
      </c>
      <c r="J98" s="170">
        <f t="shared" si="278"/>
        <v>4.2222222222222223E-2</v>
      </c>
      <c r="K98" s="170">
        <f t="shared" si="278"/>
        <v>2</v>
      </c>
      <c r="L98" s="170">
        <f t="shared" si="278"/>
        <v>4.9382716049382713</v>
      </c>
      <c r="M98" s="170">
        <f t="shared" si="278"/>
        <v>1.3333333333333333</v>
      </c>
      <c r="N98" s="170">
        <f t="shared" si="278"/>
        <v>0.33333333333333331</v>
      </c>
      <c r="O98" s="170">
        <f t="shared" si="278"/>
        <v>0.33333333333333331</v>
      </c>
      <c r="P98" s="170">
        <f t="shared" si="278"/>
        <v>0.17391304347826086</v>
      </c>
      <c r="Q98" s="170">
        <f t="shared" ref="Q98" si="279">Q29/Q40</f>
        <v>0.1</v>
      </c>
      <c r="R98" s="118">
        <f t="shared" ref="R98" si="280">((P98/G98)^(1/($H$2-$H$1) ))-1</f>
        <v>8.3282065068107203E-2</v>
      </c>
      <c r="S98" s="20"/>
      <c r="T98" s="170">
        <f t="shared" ref="T98:AC98" si="281">T29/T40</f>
        <v>9.9999999999999992E-2</v>
      </c>
      <c r="U98" s="170">
        <f t="shared" si="281"/>
        <v>9.9999999999999992E-2</v>
      </c>
      <c r="V98" s="170">
        <f t="shared" si="281"/>
        <v>9.9999999999999992E-2</v>
      </c>
      <c r="W98" s="170">
        <f t="shared" si="281"/>
        <v>9.9999999999999978E-2</v>
      </c>
      <c r="X98" s="170">
        <f t="shared" si="281"/>
        <v>9.9999999999999978E-2</v>
      </c>
      <c r="Y98" s="170">
        <f t="shared" si="281"/>
        <v>9.9999999999999964E-2</v>
      </c>
      <c r="Z98" s="170">
        <f t="shared" si="281"/>
        <v>9.9999999999999964E-2</v>
      </c>
      <c r="AA98" s="170">
        <f t="shared" si="281"/>
        <v>9.9999999999999978E-2</v>
      </c>
      <c r="AB98" s="170">
        <f t="shared" si="281"/>
        <v>9.9999999999999978E-2</v>
      </c>
      <c r="AC98" s="170">
        <f t="shared" si="281"/>
        <v>9.9999999999999978E-2</v>
      </c>
      <c r="AD98" s="137">
        <f t="shared" ref="AD98" si="282">((AC98/G98)^(1/($AC$3-$H$1) ))-1</f>
        <v>8.3634397691783047E-3</v>
      </c>
      <c r="AE98" s="145"/>
      <c r="AF98" s="145"/>
    </row>
    <row r="99" spans="2:32" ht="12" customHeight="1" x14ac:dyDescent="0.2">
      <c r="B99" s="20" t="s">
        <v>324</v>
      </c>
      <c r="C99" s="151"/>
      <c r="D99" s="151"/>
      <c r="E99" s="151"/>
      <c r="F99" s="151"/>
      <c r="G99" s="170">
        <f t="shared" ref="G99:P99" si="283">G29/G12</f>
        <v>0.22857142857142859</v>
      </c>
      <c r="H99" s="170">
        <f t="shared" si="283"/>
        <v>0.22499999999999998</v>
      </c>
      <c r="I99" s="170">
        <f t="shared" si="283"/>
        <v>0.23333333333333336</v>
      </c>
      <c r="J99" s="170">
        <f t="shared" si="283"/>
        <v>0.19</v>
      </c>
      <c r="K99" s="170">
        <f t="shared" si="283"/>
        <v>2</v>
      </c>
      <c r="L99" s="170">
        <f t="shared" si="283"/>
        <v>10</v>
      </c>
      <c r="M99" s="170">
        <f t="shared" si="283"/>
        <v>3.3333333333333335</v>
      </c>
      <c r="N99" s="170">
        <f t="shared" si="283"/>
        <v>6</v>
      </c>
      <c r="O99" s="170">
        <f t="shared" si="283"/>
        <v>10</v>
      </c>
      <c r="P99" s="170">
        <f t="shared" si="283"/>
        <v>5</v>
      </c>
      <c r="Q99" s="170">
        <f t="shared" ref="Q99" si="284">Q29/Q12</f>
        <v>0.33333333333333331</v>
      </c>
      <c r="R99" s="118">
        <f t="shared" si="251"/>
        <v>0.40890956639300624</v>
      </c>
      <c r="S99" s="20"/>
      <c r="T99" s="151">
        <f t="shared" ref="T99:AC99" si="285">T29/T12</f>
        <v>0.33333333333333331</v>
      </c>
      <c r="U99" s="151">
        <f t="shared" si="285"/>
        <v>0.33333333333333331</v>
      </c>
      <c r="V99" s="151">
        <f t="shared" si="285"/>
        <v>0.33333333333333331</v>
      </c>
      <c r="W99" s="151">
        <f t="shared" si="285"/>
        <v>0.33333333333333331</v>
      </c>
      <c r="X99" s="151">
        <f t="shared" si="285"/>
        <v>0.33333333333333331</v>
      </c>
      <c r="Y99" s="151">
        <f t="shared" si="285"/>
        <v>0.33333333333333331</v>
      </c>
      <c r="Z99" s="151">
        <f t="shared" si="285"/>
        <v>0.33333333333333331</v>
      </c>
      <c r="AA99" s="151">
        <f t="shared" si="285"/>
        <v>0.33333333333333331</v>
      </c>
      <c r="AB99" s="151">
        <f t="shared" si="285"/>
        <v>0.33333333333333331</v>
      </c>
      <c r="AC99" s="151">
        <f t="shared" si="285"/>
        <v>0.33333333333333326</v>
      </c>
      <c r="AD99" s="137">
        <f t="shared" si="253"/>
        <v>1.9043774445708372E-2</v>
      </c>
      <c r="AE99" s="145"/>
      <c r="AF99" s="145"/>
    </row>
    <row r="100" spans="2:32" ht="12" customHeight="1" x14ac:dyDescent="0.2">
      <c r="B100" s="20" t="s">
        <v>369</v>
      </c>
      <c r="C100" s="151"/>
      <c r="D100" s="151"/>
      <c r="E100" s="151"/>
      <c r="F100" s="151"/>
      <c r="G100" s="170">
        <f>G29/G23</f>
        <v>0.21917808219178084</v>
      </c>
      <c r="H100" s="170">
        <f t="shared" ref="H100:P100" si="286">H29/H23</f>
        <v>0.22499999999999998</v>
      </c>
      <c r="I100" s="170">
        <f t="shared" si="286"/>
        <v>0.35000000000000003</v>
      </c>
      <c r="J100" s="170">
        <f t="shared" si="286"/>
        <v>0.19</v>
      </c>
      <c r="K100" s="170">
        <f t="shared" si="286"/>
        <v>2</v>
      </c>
      <c r="L100" s="170">
        <f t="shared" si="286"/>
        <v>10.256410256410255</v>
      </c>
      <c r="M100" s="170">
        <f t="shared" si="286"/>
        <v>4</v>
      </c>
      <c r="N100" s="170">
        <f t="shared" si="286"/>
        <v>6</v>
      </c>
      <c r="O100" s="170">
        <f t="shared" si="286"/>
        <v>10</v>
      </c>
      <c r="P100" s="170">
        <f t="shared" si="286"/>
        <v>5</v>
      </c>
      <c r="Q100" s="170">
        <f t="shared" ref="Q100" si="287">Q29/Q23</f>
        <v>0.33333333333333331</v>
      </c>
      <c r="R100" s="118">
        <f t="shared" ref="R100" si="288">((P100/G100)^(1/($H$2-$H$1) ))-1</f>
        <v>0.41549421238060091</v>
      </c>
      <c r="S100" s="20"/>
      <c r="T100" s="170">
        <f t="shared" ref="T100:AC100" si="289">T29/T23</f>
        <v>0.33333333333333331</v>
      </c>
      <c r="U100" s="170">
        <f t="shared" si="289"/>
        <v>0.33333333333333331</v>
      </c>
      <c r="V100" s="170">
        <f t="shared" si="289"/>
        <v>0.33333333333333331</v>
      </c>
      <c r="W100" s="170">
        <f t="shared" si="289"/>
        <v>0.33333333333333331</v>
      </c>
      <c r="X100" s="170">
        <f t="shared" si="289"/>
        <v>0.33333333333333331</v>
      </c>
      <c r="Y100" s="170">
        <f t="shared" si="289"/>
        <v>0.33333333333333331</v>
      </c>
      <c r="Z100" s="170">
        <f t="shared" si="289"/>
        <v>0.33333333333333331</v>
      </c>
      <c r="AA100" s="170">
        <f t="shared" si="289"/>
        <v>0.33333333333333331</v>
      </c>
      <c r="AB100" s="170">
        <f t="shared" si="289"/>
        <v>0.33333333333333331</v>
      </c>
      <c r="AC100" s="170">
        <f t="shared" si="289"/>
        <v>0.33333333333333326</v>
      </c>
      <c r="AD100" s="137">
        <f t="shared" ref="AD100" si="290">((AC100/G100)^(1/($AC$3-$H$1) ))-1</f>
        <v>2.1184186969953833E-2</v>
      </c>
      <c r="AE100" s="145"/>
      <c r="AF100" s="145"/>
    </row>
    <row r="101" spans="2:32" ht="12" customHeight="1" x14ac:dyDescent="0.2">
      <c r="B101" s="20"/>
      <c r="C101" s="151"/>
      <c r="D101" s="151"/>
      <c r="E101" s="151"/>
      <c r="F101" s="151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20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45"/>
      <c r="AF101" s="145"/>
    </row>
    <row r="102" spans="2:32" ht="12" customHeight="1" x14ac:dyDescent="0.2">
      <c r="B102" s="20" t="s">
        <v>401</v>
      </c>
      <c r="C102" s="151"/>
      <c r="D102" s="151"/>
      <c r="E102" s="151"/>
      <c r="F102" s="151"/>
      <c r="G102" s="127">
        <f>1/G96</f>
        <v>212.49999999999997</v>
      </c>
      <c r="H102" s="127">
        <f t="shared" ref="H102:P102" si="291">1/H96</f>
        <v>222.22222222222223</v>
      </c>
      <c r="I102" s="127">
        <f t="shared" si="291"/>
        <v>657.14285714285711</v>
      </c>
      <c r="J102" s="127">
        <f t="shared" si="291"/>
        <v>268.42105263157896</v>
      </c>
      <c r="K102" s="127">
        <f t="shared" si="291"/>
        <v>25.5</v>
      </c>
      <c r="L102" s="127">
        <f t="shared" si="291"/>
        <v>17.75</v>
      </c>
      <c r="M102" s="127">
        <f t="shared" si="291"/>
        <v>18.5</v>
      </c>
      <c r="N102" s="127">
        <f t="shared" si="291"/>
        <v>31.666666666666664</v>
      </c>
      <c r="O102" s="127">
        <f t="shared" si="291"/>
        <v>29.75</v>
      </c>
      <c r="P102" s="127">
        <f t="shared" si="291"/>
        <v>39.75</v>
      </c>
      <c r="Q102" s="127">
        <f t="shared" ref="Q102" si="292">1/Q96</f>
        <v>58.666666666666671</v>
      </c>
      <c r="R102" s="118">
        <f t="shared" si="251"/>
        <v>-0.16994152384448868</v>
      </c>
      <c r="S102" s="20"/>
      <c r="T102" s="127">
        <f t="shared" ref="T102:AC102" si="293">1/T96</f>
        <v>58.666666666666657</v>
      </c>
      <c r="U102" s="127">
        <f t="shared" si="293"/>
        <v>58.666666666666671</v>
      </c>
      <c r="V102" s="127">
        <f t="shared" si="293"/>
        <v>58.666666666666657</v>
      </c>
      <c r="W102" s="127">
        <f t="shared" si="293"/>
        <v>58.666666666666671</v>
      </c>
      <c r="X102" s="127">
        <f t="shared" si="293"/>
        <v>58.666666666666671</v>
      </c>
      <c r="Y102" s="127">
        <f t="shared" si="293"/>
        <v>58.666666666666686</v>
      </c>
      <c r="Z102" s="127">
        <f t="shared" si="293"/>
        <v>58.666666666666686</v>
      </c>
      <c r="AA102" s="127">
        <f t="shared" si="293"/>
        <v>58.666666666666686</v>
      </c>
      <c r="AB102" s="127">
        <f t="shared" si="293"/>
        <v>58.666666666666686</v>
      </c>
      <c r="AC102" s="127">
        <f t="shared" si="293"/>
        <v>58.666666666666671</v>
      </c>
      <c r="AD102" s="137">
        <f t="shared" si="253"/>
        <v>-6.2326539856837004E-2</v>
      </c>
      <c r="AE102" s="145"/>
      <c r="AF102" s="145"/>
    </row>
    <row r="103" spans="2:32" ht="12" customHeight="1" x14ac:dyDescent="0.2">
      <c r="B103" s="20" t="s">
        <v>402</v>
      </c>
      <c r="C103" s="151"/>
      <c r="D103" s="151"/>
      <c r="E103" s="151"/>
      <c r="F103" s="151"/>
      <c r="G103" s="127">
        <f t="shared" ref="G103:P106" si="294">1/G97</f>
        <v>16.875</v>
      </c>
      <c r="H103" s="127">
        <f t="shared" si="294"/>
        <v>27.777777777777779</v>
      </c>
      <c r="I103" s="127">
        <f t="shared" si="294"/>
        <v>100</v>
      </c>
      <c r="J103" s="127">
        <f t="shared" si="294"/>
        <v>42.10526315789474</v>
      </c>
      <c r="K103" s="127">
        <f t="shared" si="294"/>
        <v>3.5</v>
      </c>
      <c r="L103" s="127">
        <f t="shared" si="294"/>
        <v>2.96</v>
      </c>
      <c r="M103" s="127">
        <f t="shared" si="294"/>
        <v>3.25</v>
      </c>
      <c r="N103" s="127">
        <f t="shared" si="294"/>
        <v>7</v>
      </c>
      <c r="O103" s="127">
        <f t="shared" si="294"/>
        <v>6.75</v>
      </c>
      <c r="P103" s="127">
        <f t="shared" si="294"/>
        <v>10.25</v>
      </c>
      <c r="Q103" s="127">
        <f t="shared" ref="Q103" si="295">1/Q97</f>
        <v>16.666666666666668</v>
      </c>
      <c r="R103" s="118">
        <f t="shared" si="251"/>
        <v>-5.3888695690884725E-2</v>
      </c>
      <c r="S103" s="20"/>
      <c r="T103" s="127">
        <f t="shared" ref="T103:AC103" si="296">1/T97</f>
        <v>16.666666666666664</v>
      </c>
      <c r="U103" s="127">
        <f t="shared" si="296"/>
        <v>16.666666666666664</v>
      </c>
      <c r="V103" s="127">
        <f t="shared" si="296"/>
        <v>16.666666666666664</v>
      </c>
      <c r="W103" s="127">
        <f t="shared" si="296"/>
        <v>16.666666666666668</v>
      </c>
      <c r="X103" s="127">
        <f t="shared" si="296"/>
        <v>16.666666666666668</v>
      </c>
      <c r="Y103" s="127">
        <f t="shared" si="296"/>
        <v>16.666666666666668</v>
      </c>
      <c r="Z103" s="127">
        <f t="shared" si="296"/>
        <v>16.666666666666668</v>
      </c>
      <c r="AA103" s="127">
        <f t="shared" si="296"/>
        <v>16.666666666666668</v>
      </c>
      <c r="AB103" s="127">
        <f t="shared" si="296"/>
        <v>16.666666666666668</v>
      </c>
      <c r="AC103" s="127">
        <f t="shared" si="296"/>
        <v>16.666666666666668</v>
      </c>
      <c r="AD103" s="137">
        <f t="shared" si="253"/>
        <v>-6.2093314110589493E-4</v>
      </c>
      <c r="AE103" s="145"/>
      <c r="AF103" s="145"/>
    </row>
    <row r="104" spans="2:32" ht="12" customHeight="1" x14ac:dyDescent="0.2">
      <c r="B104" s="20" t="s">
        <v>403</v>
      </c>
      <c r="C104" s="151"/>
      <c r="D104" s="151"/>
      <c r="E104" s="151"/>
      <c r="F104" s="151"/>
      <c r="G104" s="127">
        <f t="shared" si="294"/>
        <v>11.812499999999998</v>
      </c>
      <c r="H104" s="127">
        <f t="shared" si="294"/>
        <v>15.555555555555554</v>
      </c>
      <c r="I104" s="127">
        <f t="shared" si="294"/>
        <v>61.428571428571416</v>
      </c>
      <c r="J104" s="127">
        <f t="shared" si="294"/>
        <v>23.684210526315788</v>
      </c>
      <c r="K104" s="127">
        <f t="shared" si="294"/>
        <v>0.5</v>
      </c>
      <c r="L104" s="127">
        <f t="shared" si="294"/>
        <v>0.20250000000000001</v>
      </c>
      <c r="M104" s="127">
        <f t="shared" si="294"/>
        <v>0.75</v>
      </c>
      <c r="N104" s="127">
        <f t="shared" si="294"/>
        <v>3</v>
      </c>
      <c r="O104" s="127">
        <f t="shared" si="294"/>
        <v>3</v>
      </c>
      <c r="P104" s="127">
        <f t="shared" si="294"/>
        <v>5.75</v>
      </c>
      <c r="Q104" s="127">
        <f t="shared" ref="Q104" si="297">1/Q98</f>
        <v>10</v>
      </c>
      <c r="R104" s="118">
        <f t="shared" si="251"/>
        <v>-7.6879390653320834E-2</v>
      </c>
      <c r="S104" s="20"/>
      <c r="T104" s="127">
        <f t="shared" ref="T104:AC104" si="298">1/T98</f>
        <v>10</v>
      </c>
      <c r="U104" s="127">
        <f t="shared" si="298"/>
        <v>10</v>
      </c>
      <c r="V104" s="127">
        <f t="shared" si="298"/>
        <v>10</v>
      </c>
      <c r="W104" s="127">
        <f t="shared" si="298"/>
        <v>10.000000000000002</v>
      </c>
      <c r="X104" s="127">
        <f t="shared" si="298"/>
        <v>10.000000000000002</v>
      </c>
      <c r="Y104" s="127">
        <f t="shared" si="298"/>
        <v>10.000000000000004</v>
      </c>
      <c r="Z104" s="127">
        <f t="shared" si="298"/>
        <v>10.000000000000004</v>
      </c>
      <c r="AA104" s="127">
        <f t="shared" si="298"/>
        <v>10.000000000000002</v>
      </c>
      <c r="AB104" s="127">
        <f t="shared" si="298"/>
        <v>10.000000000000002</v>
      </c>
      <c r="AC104" s="127">
        <f t="shared" si="298"/>
        <v>10.000000000000002</v>
      </c>
      <c r="AD104" s="137">
        <f t="shared" si="253"/>
        <v>-8.2940727909500689E-3</v>
      </c>
      <c r="AE104" s="145"/>
      <c r="AF104" s="145"/>
    </row>
    <row r="105" spans="2:32" ht="12" customHeight="1" x14ac:dyDescent="0.2">
      <c r="B105" s="20" t="s">
        <v>404</v>
      </c>
      <c r="C105" s="151"/>
      <c r="D105" s="151"/>
      <c r="E105" s="151"/>
      <c r="F105" s="151"/>
      <c r="G105" s="127">
        <f t="shared" si="294"/>
        <v>4.375</v>
      </c>
      <c r="H105" s="127">
        <f t="shared" si="294"/>
        <v>4.4444444444444446</v>
      </c>
      <c r="I105" s="127">
        <f t="shared" si="294"/>
        <v>4.2857142857142847</v>
      </c>
      <c r="J105" s="127">
        <f t="shared" si="294"/>
        <v>5.2631578947368425</v>
      </c>
      <c r="K105" s="127">
        <f t="shared" si="294"/>
        <v>0.5</v>
      </c>
      <c r="L105" s="127">
        <f t="shared" si="294"/>
        <v>0.1</v>
      </c>
      <c r="M105" s="127">
        <f t="shared" si="294"/>
        <v>0.3</v>
      </c>
      <c r="N105" s="127">
        <f t="shared" si="294"/>
        <v>0.16666666666666666</v>
      </c>
      <c r="O105" s="127">
        <f t="shared" si="294"/>
        <v>0.1</v>
      </c>
      <c r="P105" s="127">
        <f t="shared" si="294"/>
        <v>0.2</v>
      </c>
      <c r="Q105" s="127">
        <f t="shared" ref="Q105" si="299">1/Q99</f>
        <v>3</v>
      </c>
      <c r="R105" s="118">
        <f t="shared" si="251"/>
        <v>-0.29023123708349052</v>
      </c>
      <c r="S105" s="20"/>
      <c r="T105" s="127">
        <f t="shared" ref="T105:AC105" si="300">1/T99</f>
        <v>3</v>
      </c>
      <c r="U105" s="127">
        <f t="shared" si="300"/>
        <v>3</v>
      </c>
      <c r="V105" s="127">
        <f t="shared" si="300"/>
        <v>3</v>
      </c>
      <c r="W105" s="127">
        <f t="shared" si="300"/>
        <v>3</v>
      </c>
      <c r="X105" s="127">
        <f t="shared" si="300"/>
        <v>3</v>
      </c>
      <c r="Y105" s="127">
        <f t="shared" si="300"/>
        <v>3</v>
      </c>
      <c r="Z105" s="127">
        <f t="shared" si="300"/>
        <v>3</v>
      </c>
      <c r="AA105" s="127">
        <f t="shared" si="300"/>
        <v>3</v>
      </c>
      <c r="AB105" s="127">
        <f t="shared" si="300"/>
        <v>3</v>
      </c>
      <c r="AC105" s="127">
        <f t="shared" si="300"/>
        <v>3.0000000000000009</v>
      </c>
      <c r="AD105" s="137">
        <f t="shared" si="253"/>
        <v>-1.8687886549394794E-2</v>
      </c>
      <c r="AE105" s="145"/>
      <c r="AF105" s="145"/>
    </row>
    <row r="106" spans="2:32" ht="12" customHeight="1" x14ac:dyDescent="0.2">
      <c r="B106" s="20" t="s">
        <v>405</v>
      </c>
      <c r="C106" s="151"/>
      <c r="D106" s="151"/>
      <c r="E106" s="151"/>
      <c r="F106" s="151"/>
      <c r="G106" s="127">
        <f t="shared" si="294"/>
        <v>4.5625</v>
      </c>
      <c r="H106" s="127">
        <f t="shared" si="294"/>
        <v>4.4444444444444446</v>
      </c>
      <c r="I106" s="127">
        <f t="shared" si="294"/>
        <v>2.8571428571428568</v>
      </c>
      <c r="J106" s="127">
        <f t="shared" si="294"/>
        <v>5.2631578947368425</v>
      </c>
      <c r="K106" s="127">
        <f t="shared" si="294"/>
        <v>0.5</v>
      </c>
      <c r="L106" s="127">
        <f t="shared" si="294"/>
        <v>9.7500000000000003E-2</v>
      </c>
      <c r="M106" s="127">
        <f t="shared" si="294"/>
        <v>0.25</v>
      </c>
      <c r="N106" s="127">
        <f t="shared" si="294"/>
        <v>0.16666666666666666</v>
      </c>
      <c r="O106" s="127">
        <f t="shared" si="294"/>
        <v>0.1</v>
      </c>
      <c r="P106" s="127">
        <f t="shared" si="294"/>
        <v>0.2</v>
      </c>
      <c r="Q106" s="127">
        <f t="shared" ref="Q106" si="301">1/Q100</f>
        <v>3</v>
      </c>
      <c r="R106" s="118">
        <f t="shared" si="251"/>
        <v>-0.29353296449147326</v>
      </c>
      <c r="S106" s="20"/>
      <c r="T106" s="127">
        <f t="shared" ref="T106:AC106" si="302">1/T100</f>
        <v>3</v>
      </c>
      <c r="U106" s="127">
        <f t="shared" si="302"/>
        <v>3</v>
      </c>
      <c r="V106" s="127">
        <f t="shared" si="302"/>
        <v>3</v>
      </c>
      <c r="W106" s="127">
        <f t="shared" si="302"/>
        <v>3</v>
      </c>
      <c r="X106" s="127">
        <f t="shared" si="302"/>
        <v>3</v>
      </c>
      <c r="Y106" s="127">
        <f t="shared" si="302"/>
        <v>3</v>
      </c>
      <c r="Z106" s="127">
        <f t="shared" si="302"/>
        <v>3</v>
      </c>
      <c r="AA106" s="127">
        <f t="shared" si="302"/>
        <v>3</v>
      </c>
      <c r="AB106" s="127">
        <f t="shared" si="302"/>
        <v>3</v>
      </c>
      <c r="AC106" s="127">
        <f t="shared" si="302"/>
        <v>3.0000000000000009</v>
      </c>
      <c r="AD106" s="137">
        <f t="shared" si="253"/>
        <v>-2.0744726798807345E-2</v>
      </c>
      <c r="AE106" s="145"/>
      <c r="AF106" s="145"/>
    </row>
    <row r="107" spans="2:32" ht="12" customHeight="1" x14ac:dyDescent="0.2">
      <c r="B107" s="20"/>
      <c r="C107" s="151"/>
      <c r="D107" s="151"/>
      <c r="E107" s="151"/>
      <c r="F107" s="151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20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45"/>
      <c r="AF107" s="145"/>
    </row>
    <row r="108" spans="2:32" ht="12" customHeight="1" x14ac:dyDescent="0.2">
      <c r="B108" s="20"/>
      <c r="C108" s="151"/>
      <c r="D108" s="151"/>
      <c r="E108" s="151"/>
      <c r="F108" s="151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20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45"/>
      <c r="AF108" s="145"/>
    </row>
    <row r="109" spans="2:32" x14ac:dyDescent="0.2">
      <c r="B109" s="20" t="s">
        <v>325</v>
      </c>
      <c r="C109" s="151"/>
      <c r="D109" s="151"/>
      <c r="E109" s="151"/>
      <c r="F109" s="162"/>
      <c r="G109" s="162">
        <f t="shared" ref="G109:O109" si="303">G10-(G12+G13)</f>
        <v>-1.6999999999999993</v>
      </c>
      <c r="H109" s="162">
        <f t="shared" si="303"/>
        <v>-3.08</v>
      </c>
      <c r="I109" s="162">
        <f t="shared" si="303"/>
        <v>-3.51</v>
      </c>
      <c r="J109" s="162">
        <f t="shared" si="303"/>
        <v>18.28</v>
      </c>
      <c r="K109" s="162">
        <f t="shared" si="303"/>
        <v>31.92</v>
      </c>
      <c r="L109" s="162">
        <f t="shared" si="303"/>
        <v>43.52</v>
      </c>
      <c r="M109" s="162">
        <f t="shared" si="303"/>
        <v>37.72</v>
      </c>
      <c r="N109" s="162">
        <f t="shared" si="303"/>
        <v>28.42</v>
      </c>
      <c r="O109" s="162">
        <f t="shared" si="303"/>
        <v>19.52</v>
      </c>
      <c r="P109" s="162">
        <f>P10-(P12+P13)</f>
        <v>15.7</v>
      </c>
      <c r="Q109" s="162">
        <f>Q10-(Q12+Q13)</f>
        <v>4.91</v>
      </c>
      <c r="R109" s="118">
        <f t="shared" si="251"/>
        <v>-2.2801837301497203</v>
      </c>
      <c r="S109" s="20"/>
      <c r="T109" s="162">
        <f>T10-(T12+T13)</f>
        <v>5.6464999999999979</v>
      </c>
      <c r="U109" s="162">
        <f t="shared" ref="U109:AC109" si="304">U10-(U12+U13)</f>
        <v>6.4934749999999983</v>
      </c>
      <c r="V109" s="162">
        <f t="shared" si="304"/>
        <v>7.4674962499999999</v>
      </c>
      <c r="W109" s="162">
        <f t="shared" si="304"/>
        <v>8.5876206874999994</v>
      </c>
      <c r="X109" s="162">
        <f t="shared" si="304"/>
        <v>9.8757637906249975</v>
      </c>
      <c r="Y109" s="162">
        <f t="shared" si="304"/>
        <v>11.357128359218745</v>
      </c>
      <c r="Z109" s="162">
        <f t="shared" si="304"/>
        <v>13.06069761310156</v>
      </c>
      <c r="AA109" s="162">
        <f t="shared" si="304"/>
        <v>15.019802255066796</v>
      </c>
      <c r="AB109" s="162">
        <f t="shared" si="304"/>
        <v>17.27277259332681</v>
      </c>
      <c r="AC109" s="162">
        <f t="shared" si="304"/>
        <v>19.863688482325827</v>
      </c>
      <c r="AD109" s="137" t="e">
        <f t="shared" si="253"/>
        <v>#NUM!</v>
      </c>
      <c r="AE109" s="145"/>
      <c r="AF109" s="145"/>
    </row>
    <row r="110" spans="2:32" ht="12" customHeight="1" x14ac:dyDescent="0.2">
      <c r="B110" s="20" t="s">
        <v>320</v>
      </c>
      <c r="C110" s="20"/>
      <c r="D110" s="20"/>
      <c r="E110" s="20"/>
      <c r="F110" s="20"/>
      <c r="G110" s="151">
        <f t="shared" ref="G110:P110" si="305">G40/G18</f>
        <v>9.9473684210526311E-2</v>
      </c>
      <c r="H110" s="151">
        <f t="shared" si="305"/>
        <v>0.13999999999999999</v>
      </c>
      <c r="I110" s="151">
        <f t="shared" si="305"/>
        <v>0.17916666666666667</v>
      </c>
      <c r="J110" s="151">
        <f t="shared" si="305"/>
        <v>0.18</v>
      </c>
      <c r="K110" s="151">
        <f t="shared" si="305"/>
        <v>1.7241379310344827E-2</v>
      </c>
      <c r="L110" s="151">
        <f t="shared" si="305"/>
        <v>1.5000000000000001E-2</v>
      </c>
      <c r="M110" s="151">
        <f t="shared" si="305"/>
        <v>5.7692307692307696E-2</v>
      </c>
      <c r="N110" s="151">
        <f t="shared" si="305"/>
        <v>0.18367346938775511</v>
      </c>
      <c r="O110" s="151">
        <f t="shared" si="305"/>
        <v>0.24489795918367346</v>
      </c>
      <c r="P110" s="151">
        <f t="shared" si="305"/>
        <v>0.359375</v>
      </c>
      <c r="Q110" s="151">
        <f t="shared" ref="Q110" si="306">Q40/Q18</f>
        <v>0.41095890410958902</v>
      </c>
      <c r="R110" s="118">
        <f t="shared" si="251"/>
        <v>0.15340594167489541</v>
      </c>
      <c r="S110" s="20"/>
      <c r="T110" s="151">
        <f t="shared" ref="T110:AC110" si="307">T40/T18</f>
        <v>0.41095890410958907</v>
      </c>
      <c r="U110" s="151">
        <f t="shared" si="307"/>
        <v>0.41095890410958913</v>
      </c>
      <c r="V110" s="151">
        <f t="shared" si="307"/>
        <v>0.41095890410958913</v>
      </c>
      <c r="W110" s="151">
        <f t="shared" si="307"/>
        <v>0.41095890410958913</v>
      </c>
      <c r="X110" s="151">
        <f t="shared" si="307"/>
        <v>0.41095890410958907</v>
      </c>
      <c r="Y110" s="151">
        <f t="shared" si="307"/>
        <v>0.41095890410958907</v>
      </c>
      <c r="Z110" s="151">
        <f t="shared" si="307"/>
        <v>0.41095890410958907</v>
      </c>
      <c r="AA110" s="151">
        <f t="shared" si="307"/>
        <v>0.41095890410958902</v>
      </c>
      <c r="AB110" s="151">
        <f t="shared" si="307"/>
        <v>0.41095890410958902</v>
      </c>
      <c r="AC110" s="151">
        <f t="shared" si="307"/>
        <v>0.41095890410958902</v>
      </c>
      <c r="AD110" s="137">
        <f t="shared" si="253"/>
        <v>7.3506082676206175E-2</v>
      </c>
      <c r="AE110" s="20"/>
      <c r="AF110" s="20"/>
    </row>
    <row r="111" spans="2:32" x14ac:dyDescent="0.2">
      <c r="B111" s="20" t="s">
        <v>321</v>
      </c>
      <c r="C111" s="20"/>
      <c r="D111" s="20"/>
      <c r="E111" s="20"/>
      <c r="F111" s="20"/>
      <c r="G111" s="151">
        <f t="shared" ref="G111:P111" si="308">G40/G25</f>
        <v>5.5588235294117647E-2</v>
      </c>
      <c r="H111" s="151">
        <f t="shared" si="308"/>
        <v>6.9999999999999993E-2</v>
      </c>
      <c r="I111" s="151">
        <f t="shared" si="308"/>
        <v>9.3478260869565219E-2</v>
      </c>
      <c r="J111" s="151">
        <f t="shared" si="308"/>
        <v>8.8235294117647065E-2</v>
      </c>
      <c r="K111" s="151">
        <f t="shared" si="308"/>
        <v>1.9607843137254902E-2</v>
      </c>
      <c r="L111" s="151">
        <f t="shared" si="308"/>
        <v>1.1408450704225352E-2</v>
      </c>
      <c r="M111" s="151">
        <f t="shared" si="308"/>
        <v>4.0540540540540543E-2</v>
      </c>
      <c r="N111" s="151">
        <f t="shared" si="308"/>
        <v>9.4736842105263161E-2</v>
      </c>
      <c r="O111" s="151">
        <f t="shared" si="308"/>
        <v>0.10084033613445378</v>
      </c>
      <c r="P111" s="151">
        <f t="shared" si="308"/>
        <v>0.14465408805031446</v>
      </c>
      <c r="Q111" s="151">
        <f t="shared" ref="Q111" si="309">Q40/Q25</f>
        <v>0.17045454545454544</v>
      </c>
      <c r="R111" s="118">
        <f t="shared" si="251"/>
        <v>0.11211515316630849</v>
      </c>
      <c r="S111" s="20"/>
      <c r="T111" s="151">
        <f t="shared" ref="T111:AC111" si="310">T40/T25</f>
        <v>0.17045454545454547</v>
      </c>
      <c r="U111" s="151">
        <f t="shared" si="310"/>
        <v>0.17045454545454547</v>
      </c>
      <c r="V111" s="151">
        <f t="shared" si="310"/>
        <v>0.17045454545454547</v>
      </c>
      <c r="W111" s="151">
        <f t="shared" si="310"/>
        <v>0.17045454545454547</v>
      </c>
      <c r="X111" s="151">
        <f t="shared" si="310"/>
        <v>0.17045454545454547</v>
      </c>
      <c r="Y111" s="151">
        <f t="shared" si="310"/>
        <v>0.17045454545454547</v>
      </c>
      <c r="Z111" s="151">
        <f t="shared" si="310"/>
        <v>0.17045454545454547</v>
      </c>
      <c r="AA111" s="151">
        <f t="shared" si="310"/>
        <v>0.17045454545454547</v>
      </c>
      <c r="AB111" s="151">
        <f t="shared" si="310"/>
        <v>0.17045454545454547</v>
      </c>
      <c r="AC111" s="151">
        <f t="shared" si="310"/>
        <v>0.1704545454545455</v>
      </c>
      <c r="AD111" s="137">
        <f t="shared" si="253"/>
        <v>5.7623969710774769E-2</v>
      </c>
      <c r="AE111" s="20"/>
      <c r="AF111" s="20"/>
    </row>
    <row r="112" spans="2:32" x14ac:dyDescent="0.2">
      <c r="B112" s="20" t="s">
        <v>347</v>
      </c>
      <c r="C112" s="20"/>
      <c r="D112" s="20"/>
      <c r="E112" s="151"/>
      <c r="F112" s="151"/>
      <c r="G112" s="151">
        <f t="shared" ref="G112:O112" si="311">G25/G18</f>
        <v>1.7894736842105263</v>
      </c>
      <c r="H112" s="151">
        <f t="shared" si="311"/>
        <v>2</v>
      </c>
      <c r="I112" s="151">
        <f t="shared" si="311"/>
        <v>1.9166666666666667</v>
      </c>
      <c r="J112" s="151">
        <f t="shared" si="311"/>
        <v>2.04</v>
      </c>
      <c r="K112" s="151">
        <f t="shared" si="311"/>
        <v>0.87931034482758619</v>
      </c>
      <c r="L112" s="151">
        <f t="shared" si="311"/>
        <v>1.3148148148148149</v>
      </c>
      <c r="M112" s="151">
        <f t="shared" si="311"/>
        <v>1.4230769230769231</v>
      </c>
      <c r="N112" s="151">
        <f t="shared" si="311"/>
        <v>1.9387755102040816</v>
      </c>
      <c r="O112" s="151">
        <f t="shared" si="311"/>
        <v>2.4285714285714284</v>
      </c>
      <c r="P112" s="151">
        <f>P25/P18</f>
        <v>2.484375</v>
      </c>
      <c r="Q112" s="151">
        <f>Q25/Q18</f>
        <v>2.4109589041095889</v>
      </c>
      <c r="R112" s="118">
        <f t="shared" si="251"/>
        <v>3.7128159247743264E-2</v>
      </c>
      <c r="S112" s="20"/>
      <c r="T112" s="151">
        <f>T25/T18</f>
        <v>2.4109589041095889</v>
      </c>
      <c r="U112" s="151">
        <f t="shared" ref="U112:AC112" si="312">U25/U18</f>
        <v>2.4109589041095894</v>
      </c>
      <c r="V112" s="151">
        <f t="shared" si="312"/>
        <v>2.4109589041095894</v>
      </c>
      <c r="W112" s="151">
        <f t="shared" si="312"/>
        <v>2.4109589041095894</v>
      </c>
      <c r="X112" s="151">
        <f t="shared" si="312"/>
        <v>2.4109589041095889</v>
      </c>
      <c r="Y112" s="151">
        <f t="shared" si="312"/>
        <v>2.4109589041095889</v>
      </c>
      <c r="Z112" s="151">
        <f t="shared" si="312"/>
        <v>2.4109589041095889</v>
      </c>
      <c r="AA112" s="151">
        <f t="shared" si="312"/>
        <v>2.4109589041095889</v>
      </c>
      <c r="AB112" s="151">
        <f t="shared" si="312"/>
        <v>2.4109589041095885</v>
      </c>
      <c r="AC112" s="151">
        <f t="shared" si="312"/>
        <v>2.4109589041095885</v>
      </c>
      <c r="AD112" s="137">
        <f t="shared" si="253"/>
        <v>1.5016786135978677E-2</v>
      </c>
      <c r="AE112" s="20"/>
      <c r="AF112" s="20"/>
    </row>
    <row r="113" spans="2:32" x14ac:dyDescent="0.2">
      <c r="B113" s="20"/>
      <c r="C113" s="20"/>
      <c r="D113" s="20"/>
      <c r="E113" s="20"/>
      <c r="F113" s="20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28"/>
      <c r="S113" s="20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28"/>
      <c r="AE113" s="20"/>
      <c r="AF113" s="20"/>
    </row>
    <row r="114" spans="2:32" x14ac:dyDescent="0.2">
      <c r="B114" s="20" t="s">
        <v>333</v>
      </c>
      <c r="C114" s="20"/>
      <c r="D114" s="20"/>
      <c r="E114" s="164"/>
      <c r="F114" s="164"/>
      <c r="G114" s="164">
        <f>G72*G42</f>
        <v>0.66125</v>
      </c>
      <c r="H114" s="164">
        <f t="shared" ref="H114:P114" si="313">H72*H42</f>
        <v>0.92575000000000007</v>
      </c>
      <c r="I114" s="164">
        <f t="shared" si="313"/>
        <v>1.19025</v>
      </c>
      <c r="J114" s="164">
        <f t="shared" si="313"/>
        <v>0.79350000000000009</v>
      </c>
      <c r="K114" s="164">
        <f t="shared" si="313"/>
        <v>0.39675000000000005</v>
      </c>
      <c r="L114" s="164">
        <f t="shared" si="313"/>
        <v>0</v>
      </c>
      <c r="M114" s="164">
        <f t="shared" si="313"/>
        <v>0.78750000000000009</v>
      </c>
      <c r="N114" s="164">
        <f t="shared" si="313"/>
        <v>1.5750000000000002</v>
      </c>
      <c r="O114" s="164">
        <f t="shared" si="313"/>
        <v>2.12</v>
      </c>
      <c r="P114" s="164">
        <f t="shared" si="313"/>
        <v>3.71</v>
      </c>
      <c r="Q114" s="164">
        <f t="shared" ref="Q114" si="314">Q72*Q42</f>
        <v>5.3000000000000007</v>
      </c>
      <c r="R114" s="118">
        <f t="shared" si="251"/>
        <v>0.21122028630561784</v>
      </c>
      <c r="S114" s="20"/>
      <c r="T114" s="164">
        <f t="shared" ref="T114:AC114" si="315">T72*T42</f>
        <v>26.25</v>
      </c>
      <c r="U114" s="164">
        <f t="shared" si="315"/>
        <v>27.838125000000002</v>
      </c>
      <c r="V114" s="164">
        <f t="shared" si="315"/>
        <v>29.522331562500007</v>
      </c>
      <c r="W114" s="164">
        <f t="shared" si="315"/>
        <v>31.308432622031255</v>
      </c>
      <c r="X114" s="164">
        <f t="shared" si="315"/>
        <v>33.202592795664145</v>
      </c>
      <c r="Y114" s="164">
        <f t="shared" si="315"/>
        <v>35.211349659801833</v>
      </c>
      <c r="Z114" s="164">
        <f t="shared" si="315"/>
        <v>37.341636314219848</v>
      </c>
      <c r="AA114" s="164">
        <f t="shared" si="315"/>
        <v>39.600805311230154</v>
      </c>
      <c r="AB114" s="164">
        <f t="shared" si="315"/>
        <v>41.996654032559576</v>
      </c>
      <c r="AC114" s="164">
        <f t="shared" si="315"/>
        <v>44.537451601529426</v>
      </c>
      <c r="AD114" s="137">
        <f t="shared" si="253"/>
        <v>0.23429219830415415</v>
      </c>
      <c r="AE114" s="20"/>
      <c r="AF114" s="20"/>
    </row>
    <row r="115" spans="2:32" x14ac:dyDescent="0.2">
      <c r="B115" s="20" t="s">
        <v>334</v>
      </c>
      <c r="C115" s="20"/>
      <c r="D115" s="20"/>
      <c r="E115" s="164"/>
      <c r="F115" s="164"/>
      <c r="G115" s="164">
        <f t="shared" ref="G115:P115" si="316">(G114*0.17)+G114</f>
        <v>0.77366250000000003</v>
      </c>
      <c r="H115" s="164">
        <f t="shared" si="316"/>
        <v>1.0831275</v>
      </c>
      <c r="I115" s="164">
        <f t="shared" si="316"/>
        <v>1.3925925000000001</v>
      </c>
      <c r="J115" s="164">
        <f t="shared" si="316"/>
        <v>0.92839500000000008</v>
      </c>
      <c r="K115" s="164">
        <f t="shared" si="316"/>
        <v>0.46419750000000004</v>
      </c>
      <c r="L115" s="164">
        <f t="shared" si="316"/>
        <v>0</v>
      </c>
      <c r="M115" s="164">
        <f t="shared" si="316"/>
        <v>0.92137500000000006</v>
      </c>
      <c r="N115" s="164">
        <f t="shared" si="316"/>
        <v>1.8427500000000001</v>
      </c>
      <c r="O115" s="164">
        <f t="shared" si="316"/>
        <v>2.4804000000000004</v>
      </c>
      <c r="P115" s="164">
        <f t="shared" si="316"/>
        <v>4.3407</v>
      </c>
      <c r="Q115" s="164">
        <f t="shared" ref="Q115" si="317">(Q114*0.17)+Q114</f>
        <v>6.2010000000000005</v>
      </c>
      <c r="R115" s="118">
        <f t="shared" si="251"/>
        <v>0.21122028630561784</v>
      </c>
      <c r="S115" s="20"/>
      <c r="T115" s="164">
        <f t="shared" ref="T115:AC115" si="318">(T114*0.17)+T114</f>
        <v>30.712499999999999</v>
      </c>
      <c r="U115" s="164">
        <f t="shared" si="318"/>
        <v>32.570606250000004</v>
      </c>
      <c r="V115" s="164">
        <f t="shared" si="318"/>
        <v>34.541127928125007</v>
      </c>
      <c r="W115" s="164">
        <f t="shared" si="318"/>
        <v>36.630866167776567</v>
      </c>
      <c r="X115" s="164">
        <f t="shared" si="318"/>
        <v>38.847033570927053</v>
      </c>
      <c r="Y115" s="164">
        <f t="shared" si="318"/>
        <v>41.197279101968142</v>
      </c>
      <c r="Z115" s="164">
        <f t="shared" si="318"/>
        <v>43.689714487637225</v>
      </c>
      <c r="AA115" s="164">
        <f t="shared" si="318"/>
        <v>46.33294221413928</v>
      </c>
      <c r="AB115" s="164">
        <f t="shared" si="318"/>
        <v>49.136085218094706</v>
      </c>
      <c r="AC115" s="164">
        <f t="shared" si="318"/>
        <v>52.108818373789433</v>
      </c>
      <c r="AD115" s="137">
        <f t="shared" si="253"/>
        <v>0.23429219830415415</v>
      </c>
      <c r="AE115" s="20"/>
      <c r="AF115" s="20"/>
    </row>
    <row r="116" spans="2:32" x14ac:dyDescent="0.2">
      <c r="B116" s="20" t="s">
        <v>335</v>
      </c>
      <c r="C116" s="20"/>
      <c r="D116" s="20"/>
      <c r="E116" s="20"/>
      <c r="F116" s="151"/>
      <c r="G116" s="151">
        <f t="shared" ref="G116:P116" si="319">G115/G40</f>
        <v>0.40934523809523815</v>
      </c>
      <c r="H116" s="151">
        <f t="shared" si="319"/>
        <v>0.38683125000000002</v>
      </c>
      <c r="I116" s="151">
        <f t="shared" si="319"/>
        <v>0.3238587209302326</v>
      </c>
      <c r="J116" s="151">
        <f t="shared" si="319"/>
        <v>0.20631000000000002</v>
      </c>
      <c r="K116" s="151">
        <f t="shared" si="319"/>
        <v>0.46419750000000004</v>
      </c>
      <c r="L116" s="151">
        <f t="shared" si="319"/>
        <v>0</v>
      </c>
      <c r="M116" s="151">
        <f t="shared" si="319"/>
        <v>0.30712500000000004</v>
      </c>
      <c r="N116" s="151">
        <f t="shared" si="319"/>
        <v>0.20475000000000002</v>
      </c>
      <c r="O116" s="151">
        <f t="shared" si="319"/>
        <v>0.20670000000000002</v>
      </c>
      <c r="P116" s="151">
        <f t="shared" si="319"/>
        <v>0.18872608695652174</v>
      </c>
      <c r="Q116" s="151">
        <f t="shared" ref="Q116" si="320">Q115/Q40</f>
        <v>0.20670000000000002</v>
      </c>
      <c r="R116" s="118">
        <f t="shared" si="251"/>
        <v>-8.2432502440077715E-2</v>
      </c>
      <c r="S116" s="20"/>
      <c r="T116" s="151">
        <f t="shared" ref="T116:AC116" si="321">T115/T40</f>
        <v>0.89021739130434774</v>
      </c>
      <c r="U116" s="151">
        <f t="shared" si="321"/>
        <v>0.82093525519848787</v>
      </c>
      <c r="V116" s="151">
        <f t="shared" si="321"/>
        <v>0.75704507664173615</v>
      </c>
      <c r="W116" s="151">
        <f t="shared" si="321"/>
        <v>0.69812722067700972</v>
      </c>
      <c r="X116" s="151">
        <f t="shared" si="321"/>
        <v>0.64379471089388607</v>
      </c>
      <c r="Y116" s="151">
        <f t="shared" si="321"/>
        <v>0.59369068774170974</v>
      </c>
      <c r="Z116" s="151">
        <f t="shared" si="321"/>
        <v>0.54748606465224636</v>
      </c>
      <c r="AA116" s="151">
        <f t="shared" si="321"/>
        <v>0.50487736657713689</v>
      </c>
      <c r="AB116" s="151">
        <f t="shared" si="321"/>
        <v>0.46558473674352496</v>
      </c>
      <c r="AC116" s="151">
        <f t="shared" si="321"/>
        <v>0.42935009853609407</v>
      </c>
      <c r="AD116" s="137">
        <f t="shared" si="253"/>
        <v>2.3885362038602587E-3</v>
      </c>
      <c r="AE116" s="20"/>
      <c r="AF116" s="20"/>
    </row>
    <row r="117" spans="2:32" x14ac:dyDescent="0.2">
      <c r="B117" s="20" t="s">
        <v>328</v>
      </c>
      <c r="C117" s="20"/>
      <c r="D117" s="20"/>
      <c r="E117" s="20"/>
      <c r="F117" s="151"/>
      <c r="G117" s="151">
        <f>1-G116</f>
        <v>0.59065476190476185</v>
      </c>
      <c r="H117" s="151">
        <f t="shared" ref="H117:P117" si="322">1-H116</f>
        <v>0.61316875000000004</v>
      </c>
      <c r="I117" s="151">
        <f t="shared" si="322"/>
        <v>0.6761412790697674</v>
      </c>
      <c r="J117" s="151">
        <f t="shared" si="322"/>
        <v>0.79369000000000001</v>
      </c>
      <c r="K117" s="151">
        <f t="shared" si="322"/>
        <v>0.53580249999999996</v>
      </c>
      <c r="L117" s="151">
        <f t="shared" si="322"/>
        <v>1</v>
      </c>
      <c r="M117" s="151">
        <f t="shared" si="322"/>
        <v>0.69287499999999991</v>
      </c>
      <c r="N117" s="151">
        <f t="shared" si="322"/>
        <v>0.79525000000000001</v>
      </c>
      <c r="O117" s="151">
        <f t="shared" si="322"/>
        <v>0.79330000000000001</v>
      </c>
      <c r="P117" s="151">
        <f t="shared" si="322"/>
        <v>0.81127391304347829</v>
      </c>
      <c r="Q117" s="151">
        <f t="shared" ref="Q117" si="323">1-Q116</f>
        <v>0.79330000000000001</v>
      </c>
      <c r="R117" s="118">
        <f t="shared" si="251"/>
        <v>3.5892924841963048E-2</v>
      </c>
      <c r="S117" s="20"/>
      <c r="T117" s="151">
        <f t="shared" ref="T117:AC117" si="324">1-T116</f>
        <v>0.10978260869565226</v>
      </c>
      <c r="U117" s="151">
        <f t="shared" si="324"/>
        <v>0.17906474480151213</v>
      </c>
      <c r="V117" s="151">
        <f t="shared" si="324"/>
        <v>0.24295492335826385</v>
      </c>
      <c r="W117" s="151">
        <f t="shared" si="324"/>
        <v>0.30187277932299028</v>
      </c>
      <c r="X117" s="151">
        <f t="shared" si="324"/>
        <v>0.35620528910611393</v>
      </c>
      <c r="Y117" s="151">
        <f t="shared" si="324"/>
        <v>0.40630931225829026</v>
      </c>
      <c r="Z117" s="151">
        <f t="shared" si="324"/>
        <v>0.45251393534775364</v>
      </c>
      <c r="AA117" s="151">
        <f t="shared" si="324"/>
        <v>0.49512263342286311</v>
      </c>
      <c r="AB117" s="151">
        <f t="shared" si="324"/>
        <v>0.53441526325647504</v>
      </c>
      <c r="AC117" s="151">
        <f t="shared" si="324"/>
        <v>0.57064990146390593</v>
      </c>
      <c r="AD117" s="137">
        <f t="shared" si="253"/>
        <v>-1.7213067582494412E-3</v>
      </c>
      <c r="AE117" s="20"/>
      <c r="AF117" s="20"/>
    </row>
    <row r="118" spans="2:32" x14ac:dyDescent="0.2">
      <c r="B118" s="20" t="s">
        <v>451</v>
      </c>
      <c r="C118" s="20"/>
      <c r="D118" s="20"/>
      <c r="E118" s="20"/>
      <c r="F118" s="151"/>
      <c r="G118" s="151">
        <f t="shared" ref="G118:P118" si="325">G115/G20</f>
        <v>0.11052321428571429</v>
      </c>
      <c r="H118" s="151">
        <f t="shared" si="325"/>
        <v>0.27078187500000001</v>
      </c>
      <c r="I118" s="151">
        <f t="shared" si="325"/>
        <v>0.34814812500000003</v>
      </c>
      <c r="J118" s="151">
        <f t="shared" si="325"/>
        <v>0.32013620689655176</v>
      </c>
      <c r="K118" s="151">
        <f t="shared" si="325"/>
        <v>9.2839500000000005E-2</v>
      </c>
      <c r="L118" s="151">
        <f t="shared" si="325"/>
        <v>0</v>
      </c>
      <c r="M118" s="151">
        <f t="shared" si="325"/>
        <v>6.581250000000001E-2</v>
      </c>
      <c r="N118" s="151">
        <f t="shared" si="325"/>
        <v>0.11517187500000001</v>
      </c>
      <c r="O118" s="151">
        <f t="shared" si="325"/>
        <v>0.17717142857142859</v>
      </c>
      <c r="P118" s="151">
        <f t="shared" si="325"/>
        <v>0.135646875</v>
      </c>
      <c r="Q118" s="151">
        <f>Q115/Q20</f>
        <v>0.159</v>
      </c>
      <c r="R118" s="118">
        <f t="shared" si="251"/>
        <v>2.3019782278624668E-2</v>
      </c>
      <c r="S118" s="20"/>
      <c r="T118" s="151">
        <f>T115/T20</f>
        <v>0.68478260869565222</v>
      </c>
      <c r="U118" s="151">
        <f t="shared" ref="U118:AC118" si="326">U115/U20</f>
        <v>0.63148865784499075</v>
      </c>
      <c r="V118" s="151">
        <f t="shared" si="326"/>
        <v>0.5823423666474894</v>
      </c>
      <c r="W118" s="151">
        <f t="shared" si="326"/>
        <v>0.53702093898231518</v>
      </c>
      <c r="X118" s="151">
        <f t="shared" si="326"/>
        <v>0.49522670068760466</v>
      </c>
      <c r="Y118" s="151">
        <f t="shared" si="326"/>
        <v>0.45668514441669983</v>
      </c>
      <c r="Z118" s="151">
        <f t="shared" si="326"/>
        <v>0.42114312665557418</v>
      </c>
      <c r="AA118" s="151">
        <f t="shared" si="326"/>
        <v>0.38836720505933608</v>
      </c>
      <c r="AB118" s="151">
        <f t="shared" si="326"/>
        <v>0.35814210518732692</v>
      </c>
      <c r="AC118" s="151">
        <f t="shared" si="326"/>
        <v>0.33026930656622627</v>
      </c>
      <c r="AD118" s="137" t="s">
        <v>452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28"/>
      <c r="S119" s="20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28"/>
      <c r="AE119" s="20"/>
      <c r="AF119" s="20"/>
    </row>
    <row r="120" spans="2:32" x14ac:dyDescent="0.2">
      <c r="B120" s="20" t="s">
        <v>332</v>
      </c>
      <c r="C120" s="151"/>
      <c r="D120" s="151"/>
      <c r="E120" s="151"/>
      <c r="F120" s="151"/>
      <c r="G120" s="151">
        <f>G31/G25</f>
        <v>0</v>
      </c>
      <c r="H120" s="151">
        <f t="shared" ref="H120:P120" si="327">H31/H25</f>
        <v>0</v>
      </c>
      <c r="I120" s="151">
        <f t="shared" si="327"/>
        <v>0</v>
      </c>
      <c r="J120" s="151">
        <f t="shared" si="327"/>
        <v>0</v>
      </c>
      <c r="K120" s="151">
        <f t="shared" si="327"/>
        <v>0</v>
      </c>
      <c r="L120" s="151">
        <f t="shared" si="327"/>
        <v>0</v>
      </c>
      <c r="M120" s="151">
        <f t="shared" si="327"/>
        <v>0</v>
      </c>
      <c r="N120" s="151">
        <f t="shared" si="327"/>
        <v>0</v>
      </c>
      <c r="O120" s="151">
        <f t="shared" si="327"/>
        <v>0</v>
      </c>
      <c r="P120" s="151">
        <f t="shared" si="327"/>
        <v>0</v>
      </c>
      <c r="Q120" s="151">
        <f t="shared" ref="Q120" si="328">Q31/Q25</f>
        <v>0</v>
      </c>
      <c r="R120" s="118" t="e">
        <f t="shared" si="251"/>
        <v>#DIV/0!</v>
      </c>
      <c r="S120" s="20"/>
      <c r="T120" s="151">
        <f t="shared" ref="T120:AC120" si="329">T31/T25</f>
        <v>0</v>
      </c>
      <c r="U120" s="151">
        <f t="shared" si="329"/>
        <v>0</v>
      </c>
      <c r="V120" s="151">
        <f t="shared" si="329"/>
        <v>0</v>
      </c>
      <c r="W120" s="151">
        <f t="shared" si="329"/>
        <v>0</v>
      </c>
      <c r="X120" s="151">
        <f t="shared" si="329"/>
        <v>0</v>
      </c>
      <c r="Y120" s="151">
        <f t="shared" si="329"/>
        <v>0</v>
      </c>
      <c r="Z120" s="151">
        <f t="shared" si="329"/>
        <v>0</v>
      </c>
      <c r="AA120" s="151">
        <f t="shared" si="329"/>
        <v>0</v>
      </c>
      <c r="AB120" s="151">
        <f t="shared" si="329"/>
        <v>0</v>
      </c>
      <c r="AC120" s="151">
        <f t="shared" si="329"/>
        <v>0</v>
      </c>
      <c r="AD120" s="137" t="e">
        <f t="shared" si="253"/>
        <v>#DIV/0!</v>
      </c>
      <c r="AE120" s="20"/>
      <c r="AF120" s="20"/>
    </row>
    <row r="121" spans="2:32" x14ac:dyDescent="0.2">
      <c r="B121" s="20" t="s">
        <v>329</v>
      </c>
      <c r="C121" s="151"/>
      <c r="D121" s="151"/>
      <c r="E121" s="151"/>
      <c r="F121" s="151"/>
      <c r="G121" s="151">
        <f>G32/G25</f>
        <v>0</v>
      </c>
      <c r="H121" s="151">
        <f t="shared" ref="H121:P121" si="330">H32/H25</f>
        <v>0</v>
      </c>
      <c r="I121" s="151">
        <f t="shared" si="330"/>
        <v>0</v>
      </c>
      <c r="J121" s="151">
        <f t="shared" si="330"/>
        <v>0</v>
      </c>
      <c r="K121" s="151">
        <f t="shared" si="330"/>
        <v>0</v>
      </c>
      <c r="L121" s="151">
        <f t="shared" si="330"/>
        <v>0</v>
      </c>
      <c r="M121" s="151">
        <f t="shared" si="330"/>
        <v>0</v>
      </c>
      <c r="N121" s="151">
        <f t="shared" si="330"/>
        <v>0</v>
      </c>
      <c r="O121" s="151">
        <f t="shared" si="330"/>
        <v>0</v>
      </c>
      <c r="P121" s="151">
        <f t="shared" si="330"/>
        <v>0</v>
      </c>
      <c r="Q121" s="151">
        <f>Q32/Q25</f>
        <v>0</v>
      </c>
      <c r="R121" s="118" t="e">
        <f t="shared" si="251"/>
        <v>#DIV/0!</v>
      </c>
      <c r="S121" s="20"/>
      <c r="T121" s="151">
        <f t="shared" ref="T121:AC121" si="331">T32/T25</f>
        <v>0</v>
      </c>
      <c r="U121" s="151">
        <f t="shared" si="331"/>
        <v>0</v>
      </c>
      <c r="V121" s="151">
        <f t="shared" si="331"/>
        <v>0</v>
      </c>
      <c r="W121" s="151">
        <f t="shared" si="331"/>
        <v>0</v>
      </c>
      <c r="X121" s="151">
        <f t="shared" si="331"/>
        <v>0</v>
      </c>
      <c r="Y121" s="151">
        <f t="shared" si="331"/>
        <v>0</v>
      </c>
      <c r="Z121" s="151">
        <f t="shared" si="331"/>
        <v>0</v>
      </c>
      <c r="AA121" s="151">
        <f t="shared" si="331"/>
        <v>0</v>
      </c>
      <c r="AB121" s="151">
        <f t="shared" si="331"/>
        <v>0</v>
      </c>
      <c r="AC121" s="151">
        <f t="shared" si="331"/>
        <v>0</v>
      </c>
      <c r="AD121" s="137" t="e">
        <f t="shared" si="253"/>
        <v>#DIV/0!</v>
      </c>
      <c r="AE121" s="20"/>
      <c r="AF121" s="20"/>
    </row>
    <row r="122" spans="2:32" x14ac:dyDescent="0.2">
      <c r="B122" s="20" t="s">
        <v>459</v>
      </c>
      <c r="C122" s="151"/>
      <c r="D122" s="151"/>
      <c r="E122" s="151"/>
      <c r="F122" s="151"/>
      <c r="G122" s="151">
        <f t="shared" ref="G122:P122" si="332">(G31+G32)/G25</f>
        <v>0</v>
      </c>
      <c r="H122" s="151">
        <f t="shared" si="332"/>
        <v>0</v>
      </c>
      <c r="I122" s="151">
        <f t="shared" si="332"/>
        <v>0</v>
      </c>
      <c r="J122" s="151">
        <f t="shared" si="332"/>
        <v>0</v>
      </c>
      <c r="K122" s="151">
        <f t="shared" si="332"/>
        <v>0</v>
      </c>
      <c r="L122" s="151">
        <f t="shared" si="332"/>
        <v>0</v>
      </c>
      <c r="M122" s="151">
        <f t="shared" si="332"/>
        <v>0</v>
      </c>
      <c r="N122" s="151">
        <f t="shared" si="332"/>
        <v>0</v>
      </c>
      <c r="O122" s="151">
        <f t="shared" si="332"/>
        <v>0</v>
      </c>
      <c r="P122" s="151">
        <f t="shared" si="332"/>
        <v>0</v>
      </c>
      <c r="Q122" s="151">
        <f>(Q31+Q32)/Q25</f>
        <v>0</v>
      </c>
      <c r="R122" s="118" t="e">
        <f t="shared" si="251"/>
        <v>#DIV/0!</v>
      </c>
      <c r="S122" s="20"/>
      <c r="T122" s="151">
        <f>(T31+T32)/T25</f>
        <v>0</v>
      </c>
      <c r="U122" s="151">
        <f t="shared" ref="U122:AC122" si="333">(U31+U32)/U25</f>
        <v>0</v>
      </c>
      <c r="V122" s="151">
        <f t="shared" si="333"/>
        <v>0</v>
      </c>
      <c r="W122" s="151">
        <f t="shared" si="333"/>
        <v>0</v>
      </c>
      <c r="X122" s="151">
        <f t="shared" si="333"/>
        <v>0</v>
      </c>
      <c r="Y122" s="151">
        <f t="shared" si="333"/>
        <v>0</v>
      </c>
      <c r="Z122" s="151">
        <f t="shared" si="333"/>
        <v>0</v>
      </c>
      <c r="AA122" s="151">
        <f t="shared" si="333"/>
        <v>0</v>
      </c>
      <c r="AB122" s="151">
        <f t="shared" si="333"/>
        <v>0</v>
      </c>
      <c r="AC122" s="151">
        <f t="shared" si="333"/>
        <v>0</v>
      </c>
      <c r="AD122" s="137" t="e">
        <f t="shared" si="253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28"/>
      <c r="S123" s="20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28"/>
      <c r="AE123" s="20"/>
      <c r="AF123" s="20"/>
    </row>
    <row r="124" spans="2:32" x14ac:dyDescent="0.2">
      <c r="B124" s="20" t="s">
        <v>353</v>
      </c>
      <c r="C124" s="20"/>
      <c r="D124" s="20"/>
      <c r="E124" s="20"/>
      <c r="F124" s="20"/>
      <c r="G124" s="151">
        <f>G27/G25</f>
        <v>0.88235294117647056</v>
      </c>
      <c r="H124" s="151">
        <f t="shared" ref="H124:P124" si="334">H27/H25</f>
        <v>0.875</v>
      </c>
      <c r="I124" s="151">
        <f t="shared" si="334"/>
        <v>0.82608695652173914</v>
      </c>
      <c r="J124" s="151">
        <f t="shared" si="334"/>
        <v>0.82352941176470584</v>
      </c>
      <c r="K124" s="151">
        <f t="shared" si="334"/>
        <v>0.84313725490196079</v>
      </c>
      <c r="L124" s="151">
        <f t="shared" si="334"/>
        <v>0.84507042253521125</v>
      </c>
      <c r="M124" s="151">
        <f t="shared" si="334"/>
        <v>0.82432432432432434</v>
      </c>
      <c r="N124" s="151">
        <f t="shared" si="334"/>
        <v>0.77894736842105261</v>
      </c>
      <c r="O124" s="151">
        <f t="shared" si="334"/>
        <v>0.76470588235294112</v>
      </c>
      <c r="P124" s="151">
        <f t="shared" si="334"/>
        <v>0.73584905660377353</v>
      </c>
      <c r="Q124" s="151">
        <f t="shared" ref="Q124" si="335">Q27/Q25</f>
        <v>0.70454545454545459</v>
      </c>
      <c r="R124" s="118">
        <f t="shared" si="251"/>
        <v>-1.9971988870642776E-2</v>
      </c>
      <c r="S124" s="20"/>
      <c r="T124" s="151">
        <f t="shared" ref="T124:AC124" si="336">T27/T25</f>
        <v>0.70454545454545459</v>
      </c>
      <c r="U124" s="151">
        <f t="shared" si="336"/>
        <v>0.70454545454545459</v>
      </c>
      <c r="V124" s="151">
        <f t="shared" si="336"/>
        <v>0.70454545454545459</v>
      </c>
      <c r="W124" s="151">
        <f t="shared" si="336"/>
        <v>0.70454545454545447</v>
      </c>
      <c r="X124" s="151">
        <f t="shared" si="336"/>
        <v>0.70454545454545459</v>
      </c>
      <c r="Y124" s="151">
        <f t="shared" si="336"/>
        <v>0.70454545454545459</v>
      </c>
      <c r="Z124" s="151">
        <f t="shared" si="336"/>
        <v>0.70454545454545459</v>
      </c>
      <c r="AA124" s="151">
        <f t="shared" si="336"/>
        <v>0.70454545454545459</v>
      </c>
      <c r="AB124" s="151">
        <f t="shared" si="336"/>
        <v>0.7045454545454547</v>
      </c>
      <c r="AC124" s="151">
        <f t="shared" si="336"/>
        <v>0.7045454545454547</v>
      </c>
      <c r="AD124" s="137">
        <f t="shared" si="253"/>
        <v>-1.1188897736010173E-2</v>
      </c>
      <c r="AE124" s="20"/>
      <c r="AF124" s="20"/>
    </row>
    <row r="125" spans="2:32" x14ac:dyDescent="0.2">
      <c r="B125" s="20" t="str">
        <f>B33</f>
        <v>Top Expenses ( Raw material )</v>
      </c>
      <c r="C125" s="20"/>
      <c r="D125" s="20"/>
      <c r="E125" s="20"/>
      <c r="F125" s="20"/>
      <c r="G125" s="151">
        <f>G33/G25</f>
        <v>0.3235294117647059</v>
      </c>
      <c r="H125" s="151">
        <f t="shared" ref="H125:P125" si="337">H33/H25</f>
        <v>0.32500000000000001</v>
      </c>
      <c r="I125" s="151">
        <f t="shared" si="337"/>
        <v>0.32608695652173914</v>
      </c>
      <c r="J125" s="151">
        <f t="shared" si="337"/>
        <v>0.21568627450980393</v>
      </c>
      <c r="K125" s="151">
        <f t="shared" si="337"/>
        <v>0.29411764705882354</v>
      </c>
      <c r="L125" s="151">
        <f t="shared" si="337"/>
        <v>0.28169014084507044</v>
      </c>
      <c r="M125" s="151">
        <f t="shared" si="337"/>
        <v>0.25675675675675674</v>
      </c>
      <c r="N125" s="151">
        <f t="shared" si="337"/>
        <v>0.29473684210526313</v>
      </c>
      <c r="O125" s="151">
        <f t="shared" si="337"/>
        <v>0.26050420168067229</v>
      </c>
      <c r="P125" s="151">
        <f t="shared" si="337"/>
        <v>0.26415094339622641</v>
      </c>
      <c r="Q125" s="151">
        <f t="shared" ref="Q125" si="338">Q33/Q25</f>
        <v>0.23295454545454544</v>
      </c>
      <c r="R125" s="118">
        <f t="shared" si="251"/>
        <v>-2.2278022348036108E-2</v>
      </c>
      <c r="S125" s="20"/>
      <c r="T125" s="151">
        <f t="shared" ref="T125:AC125" si="339">T33/T25</f>
        <v>0.23295454545454547</v>
      </c>
      <c r="U125" s="151">
        <f t="shared" si="339"/>
        <v>0.23295454545454547</v>
      </c>
      <c r="V125" s="151">
        <f t="shared" si="339"/>
        <v>0.2329545454545455</v>
      </c>
      <c r="W125" s="151">
        <f t="shared" si="339"/>
        <v>0.23295454545454547</v>
      </c>
      <c r="X125" s="151">
        <f t="shared" si="339"/>
        <v>0.23295454545454547</v>
      </c>
      <c r="Y125" s="151">
        <f t="shared" si="339"/>
        <v>0.23295454545454547</v>
      </c>
      <c r="Z125" s="151">
        <f t="shared" si="339"/>
        <v>0.23295454545454547</v>
      </c>
      <c r="AA125" s="151">
        <f t="shared" si="339"/>
        <v>0.23295454545454547</v>
      </c>
      <c r="AB125" s="151">
        <f t="shared" si="339"/>
        <v>0.2329545454545455</v>
      </c>
      <c r="AC125" s="151">
        <f t="shared" si="339"/>
        <v>0.2329545454545455</v>
      </c>
      <c r="AD125" s="137">
        <f t="shared" si="253"/>
        <v>-1.6288222445867029E-2</v>
      </c>
      <c r="AE125" s="20"/>
      <c r="AF125" s="20"/>
    </row>
    <row r="126" spans="2:32" x14ac:dyDescent="0.2">
      <c r="B126" s="20" t="str">
        <f>B34</f>
        <v>2nd highest Expenses Comp. ( Empl )</v>
      </c>
      <c r="C126" s="20"/>
      <c r="D126" s="20"/>
      <c r="E126" s="20"/>
      <c r="F126" s="20"/>
      <c r="G126" s="151">
        <f>G34/G25</f>
        <v>0.17647058823529413</v>
      </c>
      <c r="H126" s="151">
        <f t="shared" ref="H126:P126" si="340">H34/H25</f>
        <v>0.15</v>
      </c>
      <c r="I126" s="151">
        <f t="shared" si="340"/>
        <v>0.13043478260869565</v>
      </c>
      <c r="J126" s="151">
        <f t="shared" si="340"/>
        <v>0.11764705882352941</v>
      </c>
      <c r="K126" s="151">
        <f t="shared" si="340"/>
        <v>0.15686274509803921</v>
      </c>
      <c r="L126" s="151">
        <f t="shared" si="340"/>
        <v>0.14084507042253522</v>
      </c>
      <c r="M126" s="151">
        <f t="shared" si="340"/>
        <v>0.14864864864864866</v>
      </c>
      <c r="N126" s="151">
        <f t="shared" si="340"/>
        <v>0.12631578947368421</v>
      </c>
      <c r="O126" s="151">
        <f t="shared" si="340"/>
        <v>0.13445378151260504</v>
      </c>
      <c r="P126" s="151">
        <f t="shared" si="340"/>
        <v>0.11949685534591195</v>
      </c>
      <c r="Q126" s="151">
        <f t="shared" ref="Q126" si="341">Q34/Q25</f>
        <v>0.11931818181818182</v>
      </c>
      <c r="R126" s="118">
        <f t="shared" si="251"/>
        <v>-4.2393407967472818E-2</v>
      </c>
      <c r="S126" s="20"/>
      <c r="T126" s="151">
        <f t="shared" ref="T126:AC126" si="342">T34/T25</f>
        <v>0.11931818181818182</v>
      </c>
      <c r="U126" s="151">
        <f t="shared" si="342"/>
        <v>0.11931818181818182</v>
      </c>
      <c r="V126" s="151">
        <f t="shared" si="342"/>
        <v>0.11931818181818182</v>
      </c>
      <c r="W126" s="151">
        <f t="shared" si="342"/>
        <v>0.11931818181818181</v>
      </c>
      <c r="X126" s="151">
        <f t="shared" si="342"/>
        <v>0.11931818181818182</v>
      </c>
      <c r="Y126" s="151">
        <f t="shared" si="342"/>
        <v>0.11931818181818182</v>
      </c>
      <c r="Z126" s="151">
        <f t="shared" si="342"/>
        <v>0.11931818181818182</v>
      </c>
      <c r="AA126" s="151">
        <f t="shared" si="342"/>
        <v>0.11931818181818184</v>
      </c>
      <c r="AB126" s="151">
        <f t="shared" si="342"/>
        <v>0.11931818181818184</v>
      </c>
      <c r="AC126" s="151">
        <f t="shared" si="342"/>
        <v>0.11931818181818185</v>
      </c>
      <c r="AD126" s="137">
        <f t="shared" si="253"/>
        <v>-1.9377813998924687E-2</v>
      </c>
      <c r="AE126" s="20"/>
      <c r="AF126" s="20"/>
    </row>
    <row r="127" spans="2:32" x14ac:dyDescent="0.2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28"/>
      <c r="S127" s="128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38"/>
      <c r="AE127" s="20"/>
      <c r="AF127" s="20"/>
    </row>
    <row r="128" spans="2:32" x14ac:dyDescent="0.2">
      <c r="B128" s="108" t="s">
        <v>361</v>
      </c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118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37"/>
      <c r="AE128" s="20"/>
      <c r="AF128" s="20"/>
    </row>
    <row r="129" spans="2:32" x14ac:dyDescent="0.2">
      <c r="B129" s="20" t="s">
        <v>364</v>
      </c>
      <c r="C129" s="20"/>
      <c r="D129" s="20"/>
      <c r="E129" s="20"/>
      <c r="F129" s="20"/>
      <c r="G129" s="25">
        <f>G15/G9</f>
        <v>1.6666666666666667</v>
      </c>
      <c r="H129" s="25">
        <f t="shared" ref="H129:AC129" si="343">H15/H9</f>
        <v>1.5555555555555556</v>
      </c>
      <c r="I129" s="25">
        <f t="shared" si="343"/>
        <v>1.5957446808510638</v>
      </c>
      <c r="J129" s="25">
        <f t="shared" si="343"/>
        <v>1.9090909090909092</v>
      </c>
      <c r="K129" s="25">
        <f t="shared" si="343"/>
        <v>1.4375</v>
      </c>
      <c r="L129" s="25">
        <f t="shared" si="343"/>
        <v>2.375</v>
      </c>
      <c r="M129" s="25">
        <f t="shared" si="343"/>
        <v>2.3125</v>
      </c>
      <c r="N129" s="25">
        <f t="shared" si="343"/>
        <v>2.3529411764705883</v>
      </c>
      <c r="O129" s="25">
        <f t="shared" si="343"/>
        <v>2.0476190476190474</v>
      </c>
      <c r="P129" s="25">
        <f t="shared" si="343"/>
        <v>1.7857142857142858</v>
      </c>
      <c r="Q129" s="25">
        <f t="shared" ref="Q129" si="344">Q15/Q9</f>
        <v>2.2692307692307692</v>
      </c>
      <c r="R129" s="118">
        <f t="shared" si="251"/>
        <v>7.6953326522022358E-3</v>
      </c>
      <c r="S129" s="20"/>
      <c r="T129" s="20">
        <f t="shared" si="343"/>
        <v>2.2692307692307692</v>
      </c>
      <c r="U129" s="20">
        <f t="shared" si="343"/>
        <v>2.2692307692307692</v>
      </c>
      <c r="V129" s="20">
        <f t="shared" si="343"/>
        <v>2.2692307692307687</v>
      </c>
      <c r="W129" s="20">
        <f t="shared" si="343"/>
        <v>2.2692307692307687</v>
      </c>
      <c r="X129" s="20">
        <f t="shared" si="343"/>
        <v>2.2692307692307687</v>
      </c>
      <c r="Y129" s="20">
        <f t="shared" si="343"/>
        <v>2.2692307692307687</v>
      </c>
      <c r="Z129" s="20">
        <f t="shared" si="343"/>
        <v>2.2692307692307692</v>
      </c>
      <c r="AA129" s="20">
        <f t="shared" si="343"/>
        <v>2.2692307692307692</v>
      </c>
      <c r="AB129" s="20">
        <f t="shared" si="343"/>
        <v>2.2692307692307692</v>
      </c>
      <c r="AC129" s="20">
        <f t="shared" si="343"/>
        <v>2.2692307692307692</v>
      </c>
      <c r="AD129" s="137">
        <f t="shared" si="253"/>
        <v>1.5550433081953141E-2</v>
      </c>
      <c r="AE129" s="20"/>
      <c r="AF129" s="20"/>
    </row>
    <row r="130" spans="2:32" x14ac:dyDescent="0.2">
      <c r="B130" s="20" t="s">
        <v>354</v>
      </c>
      <c r="C130" s="20"/>
      <c r="D130" s="20"/>
      <c r="E130" s="20"/>
      <c r="F130" s="20"/>
      <c r="G130" s="25">
        <f>G12/G9</f>
        <v>7.7777777777777779E-2</v>
      </c>
      <c r="H130" s="25">
        <f t="shared" ref="H130:P130" si="345">H12/H9</f>
        <v>8.8888888888888892E-2</v>
      </c>
      <c r="I130" s="25">
        <f t="shared" si="345"/>
        <v>3.1914893617021274E-2</v>
      </c>
      <c r="J130" s="25">
        <f t="shared" si="345"/>
        <v>9.0909090909090912E-2</v>
      </c>
      <c r="K130" s="25">
        <f t="shared" si="345"/>
        <v>6.25E-2</v>
      </c>
      <c r="L130" s="25">
        <f t="shared" si="345"/>
        <v>2.5000000000000001E-2</v>
      </c>
      <c r="M130" s="25">
        <f t="shared" si="345"/>
        <v>7.4999999999999997E-2</v>
      </c>
      <c r="N130" s="25">
        <f t="shared" si="345"/>
        <v>2.9411764705882353E-2</v>
      </c>
      <c r="O130" s="25">
        <f t="shared" si="345"/>
        <v>1.9047619047619049E-2</v>
      </c>
      <c r="P130" s="25">
        <f t="shared" si="345"/>
        <v>2.8571428571428574E-2</v>
      </c>
      <c r="Q130" s="25">
        <f t="shared" ref="Q130" si="346">Q12/Q9</f>
        <v>0.34615384615384615</v>
      </c>
      <c r="R130" s="118">
        <f t="shared" si="251"/>
        <v>-0.10530469501114459</v>
      </c>
      <c r="S130" s="128"/>
      <c r="T130" s="20">
        <f t="shared" ref="T130:AC130" si="347">T12/T9</f>
        <v>0.34615384615384615</v>
      </c>
      <c r="U130" s="20">
        <f t="shared" si="347"/>
        <v>0.34615384615384615</v>
      </c>
      <c r="V130" s="20">
        <f t="shared" si="347"/>
        <v>0.34615384615384609</v>
      </c>
      <c r="W130" s="20">
        <f t="shared" si="347"/>
        <v>0.34615384615384609</v>
      </c>
      <c r="X130" s="20">
        <f t="shared" si="347"/>
        <v>0.34615384615384609</v>
      </c>
      <c r="Y130" s="20">
        <f t="shared" si="347"/>
        <v>0.34615384615384603</v>
      </c>
      <c r="Z130" s="20">
        <f t="shared" si="347"/>
        <v>0.34615384615384609</v>
      </c>
      <c r="AA130" s="20">
        <f t="shared" si="347"/>
        <v>0.34615384615384603</v>
      </c>
      <c r="AB130" s="20">
        <f t="shared" si="347"/>
        <v>0.34615384615384609</v>
      </c>
      <c r="AC130" s="20">
        <f t="shared" si="347"/>
        <v>0.34615384615384609</v>
      </c>
      <c r="AD130" s="118">
        <f t="shared" ref="AD130" si="348">((AC130/T130)^(1/($H$2-$H$1) ))-1</f>
        <v>0</v>
      </c>
      <c r="AE130" s="20"/>
      <c r="AF130" s="20"/>
    </row>
    <row r="131" spans="2:32" x14ac:dyDescent="0.2">
      <c r="B131" s="20" t="s">
        <v>356</v>
      </c>
      <c r="C131" s="20"/>
      <c r="D131" s="20"/>
      <c r="E131" s="20"/>
      <c r="F131" s="20"/>
      <c r="G131" s="25">
        <f>G25/360</f>
        <v>9.4444444444444442E-2</v>
      </c>
      <c r="H131" s="25">
        <f t="shared" ref="H131:P131" si="349">H25/360</f>
        <v>0.1111111111111111</v>
      </c>
      <c r="I131" s="25">
        <f t="shared" si="349"/>
        <v>0.12777777777777777</v>
      </c>
      <c r="J131" s="25">
        <f t="shared" si="349"/>
        <v>0.14166666666666666</v>
      </c>
      <c r="K131" s="25">
        <f t="shared" si="349"/>
        <v>0.14166666666666666</v>
      </c>
      <c r="L131" s="25">
        <f t="shared" si="349"/>
        <v>0.19722222222222222</v>
      </c>
      <c r="M131" s="25">
        <f t="shared" si="349"/>
        <v>0.20555555555555555</v>
      </c>
      <c r="N131" s="25">
        <f t="shared" si="349"/>
        <v>0.2638888888888889</v>
      </c>
      <c r="O131" s="25">
        <f t="shared" si="349"/>
        <v>0.33055555555555555</v>
      </c>
      <c r="P131" s="25">
        <f t="shared" si="349"/>
        <v>0.44166666666666665</v>
      </c>
      <c r="Q131" s="25">
        <f t="shared" ref="Q131" si="350">Q25/360</f>
        <v>0.48888888888888887</v>
      </c>
      <c r="R131" s="118">
        <f t="shared" si="251"/>
        <v>0.18695801219453778</v>
      </c>
      <c r="S131" s="128"/>
      <c r="T131" s="25">
        <f t="shared" ref="T131:AC131" si="351">T25/360</f>
        <v>0.56222222222222218</v>
      </c>
      <c r="U131" s="25">
        <f t="shared" si="351"/>
        <v>0.64655555555555544</v>
      </c>
      <c r="V131" s="25">
        <f t="shared" si="351"/>
        <v>0.74353888888888864</v>
      </c>
      <c r="W131" s="25">
        <f t="shared" si="351"/>
        <v>0.855069722222222</v>
      </c>
      <c r="X131" s="25">
        <f t="shared" si="351"/>
        <v>0.9833301805555551</v>
      </c>
      <c r="Y131" s="25">
        <f t="shared" si="351"/>
        <v>1.1308297076388885</v>
      </c>
      <c r="Z131" s="25">
        <f t="shared" si="351"/>
        <v>1.3004541637847216</v>
      </c>
      <c r="AA131" s="25">
        <f t="shared" si="351"/>
        <v>1.4955222883524297</v>
      </c>
      <c r="AB131" s="25">
        <f t="shared" si="351"/>
        <v>1.7198506316052939</v>
      </c>
      <c r="AC131" s="25">
        <f t="shared" si="351"/>
        <v>1.9778282263460878</v>
      </c>
      <c r="AD131" s="118">
        <f t="shared" ref="AD131:AD142" si="352">((AC131/T131)^(1/($H$2-$H$1) ))-1</f>
        <v>0.14999999999999991</v>
      </c>
      <c r="AE131" s="20"/>
      <c r="AF131" s="20"/>
    </row>
    <row r="132" spans="2:32" x14ac:dyDescent="0.2">
      <c r="B132" s="20" t="s">
        <v>355</v>
      </c>
      <c r="C132" s="20"/>
      <c r="D132" s="20"/>
      <c r="E132" s="20"/>
      <c r="F132" s="20"/>
      <c r="G132" s="25">
        <f>G27/360</f>
        <v>8.3333333333333329E-2</v>
      </c>
      <c r="H132" s="25">
        <f t="shared" ref="H132:P132" si="353">H27/360</f>
        <v>9.7222222222222224E-2</v>
      </c>
      <c r="I132" s="25">
        <f t="shared" si="353"/>
        <v>0.10555555555555556</v>
      </c>
      <c r="J132" s="25">
        <f t="shared" si="353"/>
        <v>0.11666666666666667</v>
      </c>
      <c r="K132" s="25">
        <f t="shared" si="353"/>
        <v>0.11944444444444445</v>
      </c>
      <c r="L132" s="25">
        <f t="shared" si="353"/>
        <v>0.16666666666666666</v>
      </c>
      <c r="M132" s="25">
        <f t="shared" si="353"/>
        <v>0.16944444444444445</v>
      </c>
      <c r="N132" s="25">
        <f t="shared" si="353"/>
        <v>0.20555555555555555</v>
      </c>
      <c r="O132" s="25">
        <f t="shared" si="353"/>
        <v>0.25277777777777777</v>
      </c>
      <c r="P132" s="25">
        <f t="shared" si="353"/>
        <v>0.32500000000000001</v>
      </c>
      <c r="Q132" s="25">
        <f t="shared" ref="Q132" si="354">Q27/360</f>
        <v>0.34444444444444444</v>
      </c>
      <c r="R132" s="118">
        <f t="shared" si="251"/>
        <v>0.16325209998506818</v>
      </c>
      <c r="S132" s="128"/>
      <c r="T132" s="25">
        <f t="shared" ref="T132:AC132" si="355">T27/360</f>
        <v>0.39611111111111108</v>
      </c>
      <c r="U132" s="25">
        <f t="shared" si="355"/>
        <v>0.4555277777777777</v>
      </c>
      <c r="V132" s="25">
        <f t="shared" si="355"/>
        <v>0.52385694444444431</v>
      </c>
      <c r="W132" s="25">
        <f t="shared" si="355"/>
        <v>0.60243548611111086</v>
      </c>
      <c r="X132" s="25">
        <f t="shared" si="355"/>
        <v>0.69280080902777752</v>
      </c>
      <c r="Y132" s="25">
        <f t="shared" si="355"/>
        <v>0.79672093038194414</v>
      </c>
      <c r="Z132" s="25">
        <f t="shared" si="355"/>
        <v>0.91622906993923581</v>
      </c>
      <c r="AA132" s="25">
        <f t="shared" si="355"/>
        <v>1.0536634304301211</v>
      </c>
      <c r="AB132" s="25">
        <f t="shared" si="355"/>
        <v>1.2117129449946391</v>
      </c>
      <c r="AC132" s="25">
        <f t="shared" si="355"/>
        <v>1.3934698867438349</v>
      </c>
      <c r="AD132" s="118">
        <f t="shared" si="352"/>
        <v>0.14999999999999991</v>
      </c>
      <c r="AE132" s="20"/>
      <c r="AF132" s="20"/>
    </row>
    <row r="133" spans="2:32" x14ac:dyDescent="0.2">
      <c r="B133" s="20"/>
      <c r="C133" s="20"/>
      <c r="D133" s="20"/>
      <c r="E133" s="20"/>
      <c r="F133" s="20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128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128"/>
      <c r="AE133" s="20"/>
      <c r="AF133" s="20"/>
    </row>
    <row r="134" spans="2:32" x14ac:dyDescent="0.2">
      <c r="B134" s="20" t="s">
        <v>365</v>
      </c>
      <c r="C134" s="20"/>
      <c r="D134" s="20"/>
      <c r="E134" s="20"/>
      <c r="F134" s="20"/>
      <c r="G134" s="25">
        <f>G10/G7</f>
        <v>0.25</v>
      </c>
      <c r="H134" s="25">
        <f t="shared" ref="H134:P134" si="356">H10/H7</f>
        <v>0.10666666666666667</v>
      </c>
      <c r="I134" s="25">
        <f t="shared" si="356"/>
        <v>0.12121212121212122</v>
      </c>
      <c r="J134" s="25">
        <f t="shared" si="356"/>
        <v>0.55555555555555558</v>
      </c>
      <c r="K134" s="25">
        <f t="shared" si="356"/>
        <v>0.94285714285714284</v>
      </c>
      <c r="L134" s="25">
        <f t="shared" si="356"/>
        <v>1.2222222222222223</v>
      </c>
      <c r="M134" s="25">
        <f t="shared" si="356"/>
        <v>1.0263157894736843</v>
      </c>
      <c r="N134" s="25">
        <f t="shared" si="356"/>
        <v>0.63043478260869568</v>
      </c>
      <c r="O134" s="25">
        <f t="shared" si="356"/>
        <v>0.36363636363636365</v>
      </c>
      <c r="P134" s="25">
        <f t="shared" si="356"/>
        <v>0.32432432432432434</v>
      </c>
      <c r="Q134" s="25">
        <f t="shared" ref="Q134" si="357">Q10/Q7</f>
        <v>0.14285714285714285</v>
      </c>
      <c r="R134" s="118">
        <f t="shared" si="251"/>
        <v>2.9342598154335153E-2</v>
      </c>
      <c r="S134" s="128"/>
      <c r="T134" s="25">
        <f t="shared" ref="T134:AC134" si="358">T10/T7</f>
        <v>0.14285714285714285</v>
      </c>
      <c r="U134" s="25">
        <f t="shared" si="358"/>
        <v>0.14285714285714285</v>
      </c>
      <c r="V134" s="25">
        <f t="shared" si="358"/>
        <v>0.14285714285714285</v>
      </c>
      <c r="W134" s="25">
        <f t="shared" si="358"/>
        <v>0.14285714285714285</v>
      </c>
      <c r="X134" s="25">
        <f t="shared" si="358"/>
        <v>0.14285714285714288</v>
      </c>
      <c r="Y134" s="25">
        <f t="shared" si="358"/>
        <v>0.14285714285714288</v>
      </c>
      <c r="Z134" s="25">
        <f t="shared" si="358"/>
        <v>0.14285714285714288</v>
      </c>
      <c r="AA134" s="25">
        <f t="shared" si="358"/>
        <v>0.14285714285714288</v>
      </c>
      <c r="AB134" s="25">
        <f t="shared" si="358"/>
        <v>0.14285714285714288</v>
      </c>
      <c r="AC134" s="25">
        <f t="shared" si="358"/>
        <v>0.14285714285714288</v>
      </c>
      <c r="AD134" s="118">
        <f t="shared" si="352"/>
        <v>0</v>
      </c>
      <c r="AE134" s="20"/>
      <c r="AF134" s="20"/>
    </row>
    <row r="135" spans="2:32" x14ac:dyDescent="0.2">
      <c r="B135" s="20" t="s">
        <v>357</v>
      </c>
      <c r="C135" s="20"/>
      <c r="D135" s="20"/>
      <c r="E135" s="20"/>
      <c r="F135" s="20"/>
      <c r="G135" s="25">
        <f>G10/(G10+G7)</f>
        <v>0.2</v>
      </c>
      <c r="H135" s="25">
        <f t="shared" ref="H135:P135" si="359">H10/(H10+H7)</f>
        <v>9.638554216867469E-2</v>
      </c>
      <c r="I135" s="25">
        <f t="shared" si="359"/>
        <v>0.10810810810810811</v>
      </c>
      <c r="J135" s="25">
        <f t="shared" si="359"/>
        <v>0.35714285714285715</v>
      </c>
      <c r="K135" s="25">
        <f t="shared" si="359"/>
        <v>0.48529411764705882</v>
      </c>
      <c r="L135" s="25">
        <f t="shared" si="359"/>
        <v>0.55000000000000004</v>
      </c>
      <c r="M135" s="25">
        <f t="shared" si="359"/>
        <v>0.50649350649350644</v>
      </c>
      <c r="N135" s="25">
        <f t="shared" si="359"/>
        <v>0.38666666666666666</v>
      </c>
      <c r="O135" s="25">
        <f t="shared" si="359"/>
        <v>0.26666666666666666</v>
      </c>
      <c r="P135" s="25">
        <f t="shared" si="359"/>
        <v>0.24489795918367346</v>
      </c>
      <c r="Q135" s="25">
        <f t="shared" ref="Q135" si="360">Q10/(Q10+Q7)</f>
        <v>0.125</v>
      </c>
      <c r="R135" s="118">
        <f t="shared" si="251"/>
        <v>2.2757791528402738E-2</v>
      </c>
      <c r="S135" s="128"/>
      <c r="T135" s="25">
        <f t="shared" ref="T135:AC135" si="361">T10/(T10+T7)</f>
        <v>0.125</v>
      </c>
      <c r="U135" s="25">
        <f t="shared" si="361"/>
        <v>0.125</v>
      </c>
      <c r="V135" s="25">
        <f t="shared" si="361"/>
        <v>0.125</v>
      </c>
      <c r="W135" s="25">
        <f t="shared" si="361"/>
        <v>0.125</v>
      </c>
      <c r="X135" s="25">
        <f t="shared" si="361"/>
        <v>0.125</v>
      </c>
      <c r="Y135" s="25">
        <f t="shared" si="361"/>
        <v>0.125</v>
      </c>
      <c r="Z135" s="25">
        <f t="shared" si="361"/>
        <v>0.12500000000000003</v>
      </c>
      <c r="AA135" s="25">
        <f t="shared" si="361"/>
        <v>0.12500000000000003</v>
      </c>
      <c r="AB135" s="25">
        <f t="shared" si="361"/>
        <v>0.12500000000000003</v>
      </c>
      <c r="AC135" s="25">
        <f t="shared" si="361"/>
        <v>0.12500000000000003</v>
      </c>
      <c r="AD135" s="118">
        <f t="shared" si="352"/>
        <v>0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128"/>
      <c r="S136" s="128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136"/>
      <c r="AE136" s="20"/>
      <c r="AF136" s="20"/>
    </row>
    <row r="137" spans="2:32" x14ac:dyDescent="0.2">
      <c r="B137" s="20" t="s">
        <v>362</v>
      </c>
      <c r="C137" s="20"/>
      <c r="D137" s="20"/>
      <c r="E137" s="20"/>
      <c r="F137" s="20"/>
      <c r="G137" s="25">
        <f>G16</f>
        <v>6</v>
      </c>
      <c r="H137" s="25">
        <f t="shared" ref="H137:P137" si="362">H16</f>
        <v>6</v>
      </c>
      <c r="I137" s="25">
        <f t="shared" si="362"/>
        <v>6</v>
      </c>
      <c r="J137" s="25">
        <f t="shared" si="362"/>
        <v>10</v>
      </c>
      <c r="K137" s="25">
        <f t="shared" si="362"/>
        <v>11</v>
      </c>
      <c r="L137" s="25">
        <f t="shared" si="362"/>
        <v>27</v>
      </c>
      <c r="M137" s="25">
        <f t="shared" si="362"/>
        <v>24</v>
      </c>
      <c r="N137" s="25">
        <f t="shared" si="362"/>
        <v>24</v>
      </c>
      <c r="O137" s="25">
        <f t="shared" si="362"/>
        <v>27</v>
      </c>
      <c r="P137" s="25">
        <f t="shared" si="362"/>
        <v>26</v>
      </c>
      <c r="Q137" s="25">
        <f t="shared" ref="Q137" si="363">Q16</f>
        <v>36</v>
      </c>
      <c r="R137" s="118">
        <f t="shared" si="251"/>
        <v>0.17694999350894247</v>
      </c>
      <c r="S137" s="128"/>
      <c r="T137" s="25">
        <f t="shared" ref="T137:AC137" si="364">T16</f>
        <v>41.4</v>
      </c>
      <c r="U137" s="25">
        <f t="shared" si="364"/>
        <v>47.609999999999992</v>
      </c>
      <c r="V137" s="25">
        <f t="shared" si="364"/>
        <v>54.751499999999986</v>
      </c>
      <c r="W137" s="25">
        <f t="shared" si="364"/>
        <v>62.964224999999978</v>
      </c>
      <c r="X137" s="25">
        <f t="shared" si="364"/>
        <v>72.408858749999965</v>
      </c>
      <c r="Y137" s="25">
        <f t="shared" si="364"/>
        <v>83.270187562499956</v>
      </c>
      <c r="Z137" s="25">
        <f t="shared" si="364"/>
        <v>95.760715696874939</v>
      </c>
      <c r="AA137" s="25">
        <f t="shared" si="364"/>
        <v>110.12482305140617</v>
      </c>
      <c r="AB137" s="25">
        <f t="shared" si="364"/>
        <v>126.64354650911709</v>
      </c>
      <c r="AC137" s="25">
        <f t="shared" si="364"/>
        <v>145.64007848548465</v>
      </c>
      <c r="AD137" s="118">
        <f t="shared" si="352"/>
        <v>0.14999999999999991</v>
      </c>
      <c r="AE137" s="20"/>
      <c r="AF137" s="20"/>
    </row>
    <row r="138" spans="2:32" x14ac:dyDescent="0.2">
      <c r="B138" s="20" t="s">
        <v>363</v>
      </c>
      <c r="C138" s="20"/>
      <c r="D138" s="20"/>
      <c r="E138" s="20"/>
      <c r="F138" s="20"/>
      <c r="G138" s="119">
        <f t="shared" ref="G138:P138" si="365">G137*365/G25</f>
        <v>64.411764705882348</v>
      </c>
      <c r="H138" s="119">
        <f t="shared" si="365"/>
        <v>54.75</v>
      </c>
      <c r="I138" s="119">
        <f t="shared" si="365"/>
        <v>47.608695652173914</v>
      </c>
      <c r="J138" s="119">
        <f t="shared" si="365"/>
        <v>71.568627450980387</v>
      </c>
      <c r="K138" s="119">
        <f t="shared" si="365"/>
        <v>78.725490196078425</v>
      </c>
      <c r="L138" s="119">
        <f t="shared" si="365"/>
        <v>138.80281690140845</v>
      </c>
      <c r="M138" s="119">
        <f t="shared" si="365"/>
        <v>118.37837837837837</v>
      </c>
      <c r="N138" s="119">
        <f t="shared" si="365"/>
        <v>92.21052631578948</v>
      </c>
      <c r="O138" s="119">
        <f t="shared" si="365"/>
        <v>82.815126050420162</v>
      </c>
      <c r="P138" s="119">
        <f t="shared" si="365"/>
        <v>59.685534591194966</v>
      </c>
      <c r="Q138" s="119">
        <f t="shared" ref="Q138" si="366">Q137*365/Q25</f>
        <v>74.659090909090907</v>
      </c>
      <c r="R138" s="118">
        <f t="shared" si="251"/>
        <v>-8.4316535065058762E-3</v>
      </c>
      <c r="S138" s="128"/>
      <c r="T138" s="119">
        <f t="shared" ref="T138:AC138" si="367">T137*365/T25</f>
        <v>74.659090909090921</v>
      </c>
      <c r="U138" s="119">
        <f t="shared" si="367"/>
        <v>74.659090909090907</v>
      </c>
      <c r="V138" s="119">
        <f t="shared" si="367"/>
        <v>74.659090909090907</v>
      </c>
      <c r="W138" s="119">
        <f t="shared" si="367"/>
        <v>74.659090909090907</v>
      </c>
      <c r="X138" s="119">
        <f t="shared" si="367"/>
        <v>74.659090909090907</v>
      </c>
      <c r="Y138" s="119">
        <f t="shared" si="367"/>
        <v>74.659090909090907</v>
      </c>
      <c r="Z138" s="119">
        <f t="shared" si="367"/>
        <v>74.659090909090892</v>
      </c>
      <c r="AA138" s="119">
        <f t="shared" si="367"/>
        <v>74.659090909090907</v>
      </c>
      <c r="AB138" s="119">
        <f t="shared" si="367"/>
        <v>74.659090909090907</v>
      </c>
      <c r="AC138" s="119">
        <f t="shared" si="367"/>
        <v>74.659090909090921</v>
      </c>
      <c r="AD138" s="118">
        <f t="shared" si="352"/>
        <v>0</v>
      </c>
      <c r="AE138" s="20"/>
      <c r="AF138" s="20"/>
    </row>
    <row r="139" spans="2:32" x14ac:dyDescent="0.2">
      <c r="B139" s="20" t="s">
        <v>366</v>
      </c>
      <c r="C139" s="20"/>
      <c r="D139" s="20"/>
      <c r="E139" s="20"/>
      <c r="F139" s="20"/>
      <c r="G139" s="133">
        <f>G82/G29</f>
        <v>31.899810964083173</v>
      </c>
      <c r="H139" s="133">
        <f t="shared" ref="H139:P139" si="368">H82/H29</f>
        <v>52.509976895610166</v>
      </c>
      <c r="I139" s="133">
        <f t="shared" si="368"/>
        <v>189.03591682419659</v>
      </c>
      <c r="J139" s="133">
        <f t="shared" si="368"/>
        <v>79.594070241766985</v>
      </c>
      <c r="K139" s="133">
        <f t="shared" si="368"/>
        <v>6.616257088846881</v>
      </c>
      <c r="L139" s="133">
        <f t="shared" si="368"/>
        <v>5.5954631379962185</v>
      </c>
      <c r="M139" s="133">
        <f t="shared" si="368"/>
        <v>3.0952380952380949</v>
      </c>
      <c r="N139" s="133">
        <f t="shared" si="368"/>
        <v>6.666666666666667</v>
      </c>
      <c r="O139" s="133">
        <f t="shared" si="368"/>
        <v>6.3679245283018862</v>
      </c>
      <c r="P139" s="133">
        <f t="shared" si="368"/>
        <v>9.6698113207547163</v>
      </c>
      <c r="Q139" s="133">
        <f t="shared" ref="Q139" si="369">Q82/Q29</f>
        <v>15.723270440251573</v>
      </c>
      <c r="R139" s="118">
        <f t="shared" si="251"/>
        <v>-0.1242032662304976</v>
      </c>
      <c r="S139" s="128"/>
      <c r="T139" s="133">
        <f t="shared" ref="T139:AC139" si="370">T82/T29</f>
        <v>3.333333333333333</v>
      </c>
      <c r="U139" s="133">
        <f t="shared" si="370"/>
        <v>3.3003300330033003</v>
      </c>
      <c r="V139" s="133">
        <f t="shared" si="370"/>
        <v>3.2676534980230691</v>
      </c>
      <c r="W139" s="133">
        <f t="shared" si="370"/>
        <v>3.2353004930921481</v>
      </c>
      <c r="X139" s="133">
        <f t="shared" si="370"/>
        <v>3.2032678149427216</v>
      </c>
      <c r="Y139" s="133">
        <f t="shared" si="370"/>
        <v>3.1715522920224966</v>
      </c>
      <c r="Z139" s="133">
        <f t="shared" si="370"/>
        <v>3.140150784180689</v>
      </c>
      <c r="AA139" s="133">
        <f t="shared" si="370"/>
        <v>3.1090601823571178</v>
      </c>
      <c r="AB139" s="133">
        <f t="shared" si="370"/>
        <v>3.0782774082743742</v>
      </c>
      <c r="AC139" s="133">
        <f t="shared" si="370"/>
        <v>3.0477994141330442</v>
      </c>
      <c r="AD139" s="118">
        <f t="shared" si="352"/>
        <v>-9.9009900990099098E-3</v>
      </c>
      <c r="AE139" s="20"/>
      <c r="AF139" s="20"/>
    </row>
    <row r="140" spans="2:32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28"/>
      <c r="S140" s="128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136"/>
      <c r="AE140" s="20"/>
      <c r="AF140" s="20"/>
    </row>
    <row r="141" spans="2:32" x14ac:dyDescent="0.2">
      <c r="B141" s="20" t="s">
        <v>373</v>
      </c>
      <c r="C141" s="20"/>
      <c r="D141" s="20"/>
      <c r="E141" s="20"/>
      <c r="F141" s="20"/>
      <c r="G141" s="179">
        <f>G25/G14</f>
        <v>4.25</v>
      </c>
      <c r="H141" s="179">
        <f t="shared" ref="H141:P141" si="371">H25/H14</f>
        <v>5</v>
      </c>
      <c r="I141" s="179">
        <f t="shared" si="371"/>
        <v>5.75</v>
      </c>
      <c r="J141" s="179">
        <f t="shared" si="371"/>
        <v>5.666666666666667</v>
      </c>
      <c r="K141" s="179">
        <f t="shared" si="371"/>
        <v>4.25</v>
      </c>
      <c r="L141" s="179">
        <f t="shared" si="371"/>
        <v>2.84</v>
      </c>
      <c r="M141" s="179">
        <f t="shared" si="371"/>
        <v>3.2173913043478262</v>
      </c>
      <c r="N141" s="179">
        <f t="shared" si="371"/>
        <v>4.1304347826086953</v>
      </c>
      <c r="O141" s="179">
        <f t="shared" si="371"/>
        <v>4.5769230769230766</v>
      </c>
      <c r="P141" s="179">
        <f t="shared" si="371"/>
        <v>5.129032258064516</v>
      </c>
      <c r="Q141" s="179">
        <f t="shared" ref="Q141" si="372">Q25/Q14</f>
        <v>6.2857142857142856</v>
      </c>
      <c r="R141" s="118">
        <f t="shared" si="251"/>
        <v>2.11083635903071E-2</v>
      </c>
      <c r="S141" s="128"/>
      <c r="T141" s="20">
        <f t="shared" ref="T141" si="373">T25/T14</f>
        <v>6.2857142857142856</v>
      </c>
      <c r="U141" s="20">
        <f t="shared" ref="U141:AC141" si="374">U25/U14</f>
        <v>6.2857142857142856</v>
      </c>
      <c r="V141" s="20">
        <f t="shared" si="374"/>
        <v>6.2857142857142847</v>
      </c>
      <c r="W141" s="20">
        <f t="shared" si="374"/>
        <v>6.2857142857142856</v>
      </c>
      <c r="X141" s="20">
        <f t="shared" si="374"/>
        <v>6.2857142857142856</v>
      </c>
      <c r="Y141" s="20">
        <f t="shared" si="374"/>
        <v>6.2857142857142856</v>
      </c>
      <c r="Z141" s="20">
        <f t="shared" si="374"/>
        <v>6.2857142857142856</v>
      </c>
      <c r="AA141" s="20">
        <f t="shared" si="374"/>
        <v>6.2857142857142856</v>
      </c>
      <c r="AB141" s="20">
        <f t="shared" si="374"/>
        <v>6.2857142857142847</v>
      </c>
      <c r="AC141" s="20">
        <f t="shared" si="374"/>
        <v>6.2857142857142847</v>
      </c>
      <c r="AD141" s="118">
        <f t="shared" si="352"/>
        <v>0</v>
      </c>
      <c r="AE141" s="20"/>
      <c r="AF141" s="20"/>
    </row>
    <row r="142" spans="2:32" x14ac:dyDescent="0.2">
      <c r="B142" s="20" t="s">
        <v>374</v>
      </c>
      <c r="C142" s="20"/>
      <c r="D142" s="20"/>
      <c r="E142" s="20"/>
      <c r="F142" s="20"/>
      <c r="G142" s="179">
        <f>G27/G14</f>
        <v>3.75</v>
      </c>
      <c r="H142" s="179">
        <f t="shared" ref="H142:P142" si="375">H27/H14</f>
        <v>4.375</v>
      </c>
      <c r="I142" s="179">
        <f t="shared" si="375"/>
        <v>4.75</v>
      </c>
      <c r="J142" s="179">
        <f t="shared" si="375"/>
        <v>4.666666666666667</v>
      </c>
      <c r="K142" s="179">
        <f t="shared" si="375"/>
        <v>3.5833333333333335</v>
      </c>
      <c r="L142" s="179">
        <f t="shared" si="375"/>
        <v>2.4</v>
      </c>
      <c r="M142" s="179">
        <f t="shared" si="375"/>
        <v>2.652173913043478</v>
      </c>
      <c r="N142" s="179">
        <f t="shared" si="375"/>
        <v>3.2173913043478262</v>
      </c>
      <c r="O142" s="179">
        <f t="shared" si="375"/>
        <v>3.5</v>
      </c>
      <c r="P142" s="179">
        <f t="shared" si="375"/>
        <v>3.774193548387097</v>
      </c>
      <c r="Q142" s="179">
        <f t="shared" ref="Q142" si="376">Q27/Q14</f>
        <v>4.4285714285714288</v>
      </c>
      <c r="R142" s="118">
        <f t="shared" si="251"/>
        <v>7.1479871696134012E-4</v>
      </c>
      <c r="S142" s="128"/>
      <c r="T142" s="20">
        <f t="shared" ref="T142:AC142" si="377">T27/T14</f>
        <v>4.4285714285714288</v>
      </c>
      <c r="U142" s="20">
        <f t="shared" si="377"/>
        <v>4.4285714285714288</v>
      </c>
      <c r="V142" s="20">
        <f t="shared" si="377"/>
        <v>4.4285714285714279</v>
      </c>
      <c r="W142" s="20">
        <f t="shared" si="377"/>
        <v>4.4285714285714279</v>
      </c>
      <c r="X142" s="20">
        <f t="shared" si="377"/>
        <v>4.4285714285714288</v>
      </c>
      <c r="Y142" s="20">
        <f t="shared" si="377"/>
        <v>4.4285714285714288</v>
      </c>
      <c r="Z142" s="20">
        <f t="shared" si="377"/>
        <v>4.4285714285714288</v>
      </c>
      <c r="AA142" s="20">
        <f t="shared" si="377"/>
        <v>4.4285714285714288</v>
      </c>
      <c r="AB142" s="20">
        <f t="shared" si="377"/>
        <v>4.4285714285714288</v>
      </c>
      <c r="AC142" s="20">
        <f t="shared" si="377"/>
        <v>4.4285714285714288</v>
      </c>
      <c r="AD142" s="118">
        <f t="shared" si="352"/>
        <v>0</v>
      </c>
      <c r="AE142" s="20"/>
      <c r="AF142" s="20"/>
    </row>
    <row r="143" spans="2:32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28"/>
      <c r="S143" s="128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36"/>
      <c r="AE143" s="20"/>
      <c r="AF143" s="20"/>
    </row>
    <row r="144" spans="2:32" x14ac:dyDescent="0.2">
      <c r="B144" s="108" t="s">
        <v>244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3"/>
      <c r="S144" s="23"/>
      <c r="T144" s="122" t="s">
        <v>66</v>
      </c>
      <c r="U144" s="20"/>
      <c r="V144" s="20"/>
      <c r="W144" s="20"/>
      <c r="X144" s="20"/>
      <c r="Y144" s="20"/>
      <c r="Z144" s="20"/>
      <c r="AA144" s="20"/>
      <c r="AB144" s="20"/>
      <c r="AC144" s="20"/>
      <c r="AD144" s="136"/>
      <c r="AE144" s="20"/>
      <c r="AF144" s="20"/>
    </row>
    <row r="145" spans="2:32" x14ac:dyDescent="0.2">
      <c r="B145" s="23" t="s">
        <v>280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5"/>
      <c r="Q145" s="25"/>
      <c r="R145" s="159">
        <f>AVERAGE(G56:Q56)</f>
        <v>9.2428928563322401</v>
      </c>
      <c r="S145" s="159">
        <f>AVERAGE(G86:Q86)</f>
        <v>7.9159519725557459</v>
      </c>
      <c r="T145" s="193" t="s">
        <v>428</v>
      </c>
      <c r="U145" s="194" t="s">
        <v>429</v>
      </c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 x14ac:dyDescent="0.2">
      <c r="B146" s="20" t="s">
        <v>25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39">
        <f>T146+U146</f>
        <v>26.601720317102313</v>
      </c>
      <c r="T146" s="133">
        <f>PV($C$1, ($AC$3-$T$3), 0, -AC56)</f>
        <v>3.7067970933667151</v>
      </c>
      <c r="U146" s="133">
        <f>PV($C$1, ($AC$3-$T$3), 0, -AF56)</f>
        <v>22.894923223735599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 x14ac:dyDescent="0.2">
      <c r="B147" s="20" t="s">
        <v>272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>
        <f t="shared" ref="S147:S165" si="378">T147+U147</f>
        <v>86.898953035867535</v>
      </c>
      <c r="T147" s="133">
        <f>PV($C$1, ($AC$3-$T$3), 0, -AC58)</f>
        <v>12.108870504997935</v>
      </c>
      <c r="U147" s="133">
        <f>PV($C$1, ($AC$3-$T$3), 0, -AF58)</f>
        <v>74.790082530869597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 x14ac:dyDescent="0.2">
      <c r="B148" s="20" t="s">
        <v>273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si="378"/>
        <v>77.144988919596685</v>
      </c>
      <c r="T148" s="133">
        <f>PV($C$1, ($AC$3-$T$3), 0, -AC59)</f>
        <v>10.749711570763472</v>
      </c>
      <c r="U148" s="133">
        <f>PV($C$1, ($AC$3-$T$3), 0, -AF59)</f>
        <v>66.395277348833218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 x14ac:dyDescent="0.2">
      <c r="B149" s="20" t="s">
        <v>274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78"/>
        <v>12.414136147981077</v>
      </c>
      <c r="T149" s="133">
        <f>PV($C$1, ($AC$3-$T$3), 0, -AC60)</f>
        <v>1.7298386435711337</v>
      </c>
      <c r="U149" s="133">
        <f>PV($C$1, ($AC$3-$T$3), 0, -AF60)</f>
        <v>10.684297504409944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 x14ac:dyDescent="0.2">
      <c r="B150" s="20" t="s">
        <v>275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>
        <f t="shared" si="378"/>
        <v>7.9805160951306933</v>
      </c>
      <c r="T150" s="133">
        <f>PV($C$1, ($AC$3-$T$3), 0, -AC66)</f>
        <v>1.1120391280100144</v>
      </c>
      <c r="U150" s="133">
        <f>PV($C$1, ($AC$3-$T$3), 0, -AF66)</f>
        <v>6.8684769671206789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 x14ac:dyDescent="0.2">
      <c r="B152" s="20" t="s">
        <v>270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>
        <f t="shared" si="378"/>
        <v>74.484816887886453</v>
      </c>
      <c r="T152" s="133">
        <f>PV($C$1, ($AC$3-$T$3), 0, -AC62)</f>
        <v>10.3790318614268</v>
      </c>
      <c r="U152" s="133">
        <f>PV($C$1, ($AC$3-$T$3), 0, -$AF$62)</f>
        <v>64.105785026459657</v>
      </c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 x14ac:dyDescent="0.2">
      <c r="B153" s="20" t="s">
        <v>271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78"/>
        <v>51.429992613064449</v>
      </c>
      <c r="T153" s="133">
        <f>PV($C$1, ($AC$3-$T$3), 0, -AC63)</f>
        <v>7.1664743805089799</v>
      </c>
      <c r="U153" s="133">
        <f>PV($C$1, ($AC$3-$T$3), 0, -$AF$63)</f>
        <v>44.263518232555469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 x14ac:dyDescent="0.2">
      <c r="B154" s="20" t="s">
        <v>276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>
        <f t="shared" si="378"/>
        <v>103.74670923669899</v>
      </c>
      <c r="T154" s="133">
        <f>PV($C$1, ($AC$3-$T$3), 0, -AC64)</f>
        <v>14.456508664130187</v>
      </c>
      <c r="U154" s="133">
        <f>PV($C$1, ($AC$3-$T$3), 0, -$AF$64)</f>
        <v>89.290200572568807</v>
      </c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/>
      <c r="T155" s="133"/>
      <c r="U155" s="20"/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 x14ac:dyDescent="0.2">
      <c r="B156" s="20" t="s">
        <v>249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>
        <f t="shared" si="378"/>
        <v>52.316716623634541</v>
      </c>
      <c r="T156" s="133">
        <f>PV($C$1, ($AC$3-$T$3), 0, -AC69)</f>
        <v>7.290034283621206</v>
      </c>
      <c r="U156" s="133">
        <f>PV($C$1, ($AC$3-$T$3), 0, -AF69)</f>
        <v>45.026682340013338</v>
      </c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 x14ac:dyDescent="0.2">
      <c r="B157" s="20" t="s">
        <v>250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>
        <f t="shared" si="378"/>
        <v>24.667049748585775</v>
      </c>
      <c r="T157" s="133">
        <f>PV($C$1, ($AC$3-$T$3), 0, -AC70)</f>
        <v>4.4481565120400575</v>
      </c>
      <c r="U157" s="133">
        <f>PV($C$1, ($AC$3-$T$3), 0, -AF70)</f>
        <v>20.218893236545718</v>
      </c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 x14ac:dyDescent="0.2">
      <c r="B159" s="20" t="s">
        <v>292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>
        <f t="shared" ref="S159" si="379">T159+U159</f>
        <v>43.640864608324719</v>
      </c>
      <c r="T159" s="133">
        <f>PV($C$1, ($AC$3-$T$3), 0, -AC12)</f>
        <v>6.0811040847665581</v>
      </c>
      <c r="U159" s="133">
        <f>PV($C$1, ($AC$3-$T$3), 0, -AF12)</f>
        <v>37.559760523558161</v>
      </c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 x14ac:dyDescent="0.2">
      <c r="B160" s="20" t="s">
        <v>293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>
        <f>T160+U160</f>
        <v>41.170626988985582</v>
      </c>
      <c r="T160" s="139">
        <f>T159/P42</f>
        <v>5.7368906460061861</v>
      </c>
      <c r="U160" s="139">
        <f>U159/P42</f>
        <v>35.433736342979394</v>
      </c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/>
      <c r="T161" s="139"/>
      <c r="U161" s="139"/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 x14ac:dyDescent="0.2">
      <c r="B162" s="108" t="s">
        <v>296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 x14ac:dyDescent="0.2">
      <c r="B163" s="20" t="s">
        <v>282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>
        <f t="shared" ref="S163" si="380">T163+U163</f>
        <v>47.383424682515461</v>
      </c>
      <c r="T163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38.981768663637524</v>
      </c>
      <c r="U163" s="133">
        <f>PV($C$1, ($AC$3-$T$3), 0, -AF72)</f>
        <v>8.4016560188779383</v>
      </c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 x14ac:dyDescent="0.2">
      <c r="B164" s="23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/>
      <c r="T164" s="133"/>
      <c r="U164" s="133"/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>
        <f t="shared" si="378"/>
        <v>729.6314556682629</v>
      </c>
      <c r="T165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600.25894719822929</v>
      </c>
      <c r="U165" s="133">
        <f>PV($C$1, ($AC$3-$T$3), 0, -AF74)</f>
        <v>129.37250847003364</v>
      </c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 x14ac:dyDescent="0.2">
      <c r="B167" s="20" t="s">
        <v>460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>
        <f t="shared" ref="S167:S170" si="381">T167+U167</f>
        <v>133.42621938712631</v>
      </c>
      <c r="T167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109.76813205593287</v>
      </c>
      <c r="U167" s="133">
        <f>PV($C$1, ($AC$3-$T$3), 0, -AF76)</f>
        <v>23.658087331193446</v>
      </c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 x14ac:dyDescent="0.2">
      <c r="B168" s="20" t="s">
        <v>286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>
        <f t="shared" si="381"/>
        <v>167.85879213219118</v>
      </c>
      <c r="T168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138.09539194133492</v>
      </c>
      <c r="U168" s="133">
        <f>PV($C$1, ($AC$3-$T$3), 0, -AF77)</f>
        <v>29.763400190856274</v>
      </c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 x14ac:dyDescent="0.2">
      <c r="B169" s="20" t="s">
        <v>287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 t="shared" si="381"/>
        <v>-34.43257274506486</v>
      </c>
      <c r="T169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-28.327259885402036</v>
      </c>
      <c r="U169" s="133">
        <f>PV($C$1, ($AC$3-$T$3), 0, -AF78)</f>
        <v>-6.1053128596628268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0" t="s">
        <v>288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39">
        <f t="shared" si="381"/>
        <v>-98.993646642061492</v>
      </c>
      <c r="T170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-81.440872170530866</v>
      </c>
      <c r="U170" s="133">
        <f>PV($C$1, ($AC$3-$T$3), 0, -AF79)</f>
        <v>-17.552774471530626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20" t="s">
        <v>458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10">
        <f>S168+S169+S170</f>
        <v>34.432572745064817</v>
      </c>
      <c r="T171" s="110">
        <f t="shared" ref="T171:U171" si="382">T168+T169+T170</f>
        <v>28.327259885402015</v>
      </c>
      <c r="U171" s="110">
        <f t="shared" si="382"/>
        <v>6.1053128596628206</v>
      </c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39"/>
      <c r="T172" s="133"/>
      <c r="U172" s="133"/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 x14ac:dyDescent="0.2">
      <c r="B173" s="20" t="s">
        <v>297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9">
        <f>T173+U173</f>
        <v>38.736644338197962</v>
      </c>
      <c r="T173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31.868167371077284</v>
      </c>
      <c r="U173" s="133">
        <f>PV($C$1, ($AC$3-$T$3), 0, -AF80)</f>
        <v>6.8684769671206789</v>
      </c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 x14ac:dyDescent="0.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182">
        <v>41729</v>
      </c>
      <c r="P174" s="20">
        <v>700</v>
      </c>
      <c r="Q174" s="20"/>
      <c r="R174" s="20"/>
      <c r="S174" s="20"/>
      <c r="T174" s="121"/>
      <c r="U174" s="20"/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 x14ac:dyDescent="0.2">
      <c r="B175" s="108" t="s">
        <v>251</v>
      </c>
      <c r="C175" s="20"/>
      <c r="D175" s="20"/>
      <c r="E175" s="20"/>
      <c r="F175" s="20"/>
      <c r="G175" s="196">
        <v>20</v>
      </c>
      <c r="H175" s="196">
        <v>40</v>
      </c>
      <c r="I175" s="196">
        <v>60</v>
      </c>
      <c r="J175" s="20"/>
      <c r="K175" s="20"/>
      <c r="L175" s="20"/>
      <c r="M175" s="20"/>
      <c r="N175" s="20"/>
      <c r="O175" s="23" t="s">
        <v>389</v>
      </c>
      <c r="P175" s="20">
        <v>350</v>
      </c>
      <c r="Q175" s="20"/>
      <c r="R175" s="20">
        <v>50</v>
      </c>
      <c r="S175" s="23" t="s">
        <v>390</v>
      </c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136"/>
      <c r="AE175" s="20"/>
      <c r="AF175" s="20"/>
    </row>
    <row r="176" spans="2:32" x14ac:dyDescent="0.2">
      <c r="B176" s="20" t="s">
        <v>204</v>
      </c>
      <c r="C176" s="22">
        <v>0</v>
      </c>
      <c r="D176" s="22">
        <v>0</v>
      </c>
      <c r="E176" s="22">
        <v>0</v>
      </c>
      <c r="F176" s="22">
        <v>0</v>
      </c>
      <c r="G176" s="22">
        <v>20</v>
      </c>
      <c r="H176" s="22">
        <v>40</v>
      </c>
      <c r="I176" s="22">
        <v>60</v>
      </c>
      <c r="J176" s="22">
        <v>32</v>
      </c>
      <c r="K176" s="22">
        <v>27</v>
      </c>
      <c r="L176" s="22">
        <v>15</v>
      </c>
      <c r="M176" s="22">
        <v>38</v>
      </c>
      <c r="N176" s="22">
        <v>59</v>
      </c>
      <c r="O176" s="22">
        <v>105</v>
      </c>
      <c r="P176" s="22">
        <v>300</v>
      </c>
      <c r="Q176" s="22">
        <v>80</v>
      </c>
      <c r="R176" s="118">
        <f t="shared" ref="R176:R183" si="383">((P176/G176)^(1/($H$2-$H$1) ))-1</f>
        <v>0.35106675160177092</v>
      </c>
      <c r="S176" s="31">
        <v>0</v>
      </c>
      <c r="T176" s="197">
        <v>50</v>
      </c>
      <c r="U176" s="119">
        <f t="shared" ref="U176:AC176" si="384">T176*(1+$S176)</f>
        <v>50</v>
      </c>
      <c r="V176" s="119">
        <f t="shared" si="384"/>
        <v>50</v>
      </c>
      <c r="W176" s="119">
        <f t="shared" si="384"/>
        <v>50</v>
      </c>
      <c r="X176" s="119">
        <f t="shared" si="384"/>
        <v>50</v>
      </c>
      <c r="Y176" s="119">
        <f t="shared" si="384"/>
        <v>50</v>
      </c>
      <c r="Z176" s="119">
        <f t="shared" si="384"/>
        <v>50</v>
      </c>
      <c r="AA176" s="119">
        <f t="shared" si="384"/>
        <v>50</v>
      </c>
      <c r="AB176" s="119">
        <f t="shared" si="384"/>
        <v>50</v>
      </c>
      <c r="AC176" s="119">
        <f t="shared" si="384"/>
        <v>50</v>
      </c>
      <c r="AD176" s="137">
        <f t="shared" ref="AD176:AD183" si="385">((AC176/G176)^(1/($AC$3-$H$1) ))-1</f>
        <v>4.6880234976865554E-2</v>
      </c>
      <c r="AE176" s="31">
        <v>0.08</v>
      </c>
      <c r="AF176" s="127">
        <f t="shared" ref="AF176:AF187" si="386">(AC176*(1+AD176))/($C$1-AE176)</f>
        <v>373.88579820602337</v>
      </c>
    </row>
    <row r="177" spans="2:32" x14ac:dyDescent="0.2">
      <c r="B177" s="20" t="s">
        <v>360</v>
      </c>
      <c r="C177" s="25"/>
      <c r="D177" s="25"/>
      <c r="E177" s="25"/>
      <c r="F177" s="25"/>
      <c r="G177" s="25">
        <f t="shared" ref="G177:P177" si="387">G176/G50</f>
        <v>0.31117647058823533</v>
      </c>
      <c r="H177" s="25">
        <f t="shared" si="387"/>
        <v>0.52900000000000003</v>
      </c>
      <c r="I177" s="25">
        <f t="shared" si="387"/>
        <v>0.69</v>
      </c>
      <c r="J177" s="25">
        <f t="shared" si="387"/>
        <v>0.33192156862745098</v>
      </c>
      <c r="K177" s="25">
        <f t="shared" si="387"/>
        <v>0.28005882352941175</v>
      </c>
      <c r="L177" s="25">
        <f t="shared" si="387"/>
        <v>0.1117605633802817</v>
      </c>
      <c r="M177" s="25">
        <f t="shared" si="387"/>
        <v>0.53918918918918923</v>
      </c>
      <c r="N177" s="25">
        <f t="shared" si="387"/>
        <v>0.65210526315789485</v>
      </c>
      <c r="O177" s="25">
        <f t="shared" si="387"/>
        <v>0.93529411764705894</v>
      </c>
      <c r="P177" s="25">
        <f t="shared" si="387"/>
        <v>2</v>
      </c>
      <c r="Q177" s="25">
        <f t="shared" ref="Q177" si="388">Q176/Q50</f>
        <v>0.48181818181818187</v>
      </c>
      <c r="R177" s="118">
        <f t="shared" ref="R177" si="389">((P177/G177)^(1/($H$2-$H$1) ))-1</f>
        <v>0.22964673382609169</v>
      </c>
      <c r="S177" s="128"/>
      <c r="T177" s="25">
        <f t="shared" ref="T177:AC177" si="390">T176/T50</f>
        <v>1.2351778656126484</v>
      </c>
      <c r="U177" s="25">
        <f t="shared" si="390"/>
        <v>1.0848083863206739</v>
      </c>
      <c r="V177" s="25">
        <f t="shared" si="390"/>
        <v>0.95274475668163539</v>
      </c>
      <c r="W177" s="25">
        <f t="shared" si="390"/>
        <v>0.83675843847691467</v>
      </c>
      <c r="X177" s="25">
        <f t="shared" si="390"/>
        <v>0.73489219379276849</v>
      </c>
      <c r="Y177" s="25">
        <f t="shared" si="390"/>
        <v>0.64542705715712712</v>
      </c>
      <c r="Z177" s="25">
        <f t="shared" si="390"/>
        <v>0.56685332845973779</v>
      </c>
      <c r="AA177" s="25">
        <f t="shared" si="390"/>
        <v>0.49784509716898723</v>
      </c>
      <c r="AB177" s="25">
        <f t="shared" si="390"/>
        <v>0.4372378679484149</v>
      </c>
      <c r="AC177" s="25">
        <f t="shared" si="390"/>
        <v>0.38400891011121657</v>
      </c>
      <c r="AD177" s="137">
        <f t="shared" ref="AD177" si="391">((AC177/G177)^(1/($AC$3-$H$1) ))-1</f>
        <v>1.0570758581869066E-2</v>
      </c>
      <c r="AE177" s="31">
        <v>0.08</v>
      </c>
      <c r="AF177" s="127">
        <f t="shared" ref="AF177" si="392">(AC177*(1+AD177))/($C$1-AE177)</f>
        <v>2.771915539952063</v>
      </c>
    </row>
    <row r="178" spans="2:32" x14ac:dyDescent="0.2">
      <c r="B178" s="20" t="s">
        <v>388</v>
      </c>
      <c r="C178" s="25"/>
      <c r="D178" s="25"/>
      <c r="E178" s="25"/>
      <c r="F178" s="25"/>
      <c r="G178" s="25">
        <f t="shared" ref="G178:P178" si="393">G176/G56</f>
        <v>5.597883597883599</v>
      </c>
      <c r="H178" s="25">
        <f t="shared" si="393"/>
        <v>7.5571428571428587</v>
      </c>
      <c r="I178" s="25">
        <f t="shared" si="393"/>
        <v>7.381395348837211</v>
      </c>
      <c r="J178" s="25">
        <f t="shared" si="393"/>
        <v>3.7617777777777777</v>
      </c>
      <c r="K178" s="25">
        <f t="shared" si="393"/>
        <v>14.283000000000001</v>
      </c>
      <c r="L178" s="25">
        <f t="shared" si="393"/>
        <v>9.7962962962962958</v>
      </c>
      <c r="M178" s="25">
        <f t="shared" si="393"/>
        <v>13.299999999999999</v>
      </c>
      <c r="N178" s="25">
        <f t="shared" si="393"/>
        <v>6.8833333333333337</v>
      </c>
      <c r="O178" s="25">
        <f t="shared" si="393"/>
        <v>9.2750000000000004</v>
      </c>
      <c r="P178" s="25">
        <f t="shared" si="393"/>
        <v>13.826086956521738</v>
      </c>
      <c r="Q178" s="25">
        <f t="shared" ref="Q178" si="394">Q176/Q56</f>
        <v>2.8266666666666667</v>
      </c>
      <c r="R178" s="118">
        <f t="shared" si="383"/>
        <v>0.10568292350406194</v>
      </c>
      <c r="S178" s="128"/>
      <c r="T178" s="119">
        <f t="shared" ref="T178:AC178" si="395">T176/T56</f>
        <v>7.2463768115942022</v>
      </c>
      <c r="U178" s="119">
        <f t="shared" si="395"/>
        <v>6.3642091997479522</v>
      </c>
      <c r="V178" s="119">
        <f t="shared" si="395"/>
        <v>5.589435905865594</v>
      </c>
      <c r="W178" s="119">
        <f t="shared" si="395"/>
        <v>4.9089828390645653</v>
      </c>
      <c r="X178" s="119">
        <f t="shared" si="395"/>
        <v>4.311367536917575</v>
      </c>
      <c r="Y178" s="119">
        <f t="shared" si="395"/>
        <v>3.786505401988479</v>
      </c>
      <c r="Z178" s="119">
        <f t="shared" si="395"/>
        <v>3.3255395269637948</v>
      </c>
      <c r="AA178" s="119">
        <f t="shared" si="395"/>
        <v>2.9206912367247253</v>
      </c>
      <c r="AB178" s="119">
        <f t="shared" si="395"/>
        <v>2.565128825297367</v>
      </c>
      <c r="AC178" s="119">
        <f t="shared" si="395"/>
        <v>2.2528522726524702</v>
      </c>
      <c r="AD178" s="137">
        <f t="shared" si="385"/>
        <v>-4.4489546829931781E-2</v>
      </c>
      <c r="AE178" s="31">
        <v>0.08</v>
      </c>
      <c r="AF178" s="127">
        <f t="shared" si="386"/>
        <v>15.375884971195569</v>
      </c>
    </row>
    <row r="179" spans="2:32" x14ac:dyDescent="0.2">
      <c r="B179" s="20" t="s">
        <v>463</v>
      </c>
      <c r="C179" s="25"/>
      <c r="D179" s="25"/>
      <c r="E179" s="25"/>
      <c r="F179" s="25"/>
      <c r="G179" s="25">
        <f t="shared" ref="G179:P179" si="396">G176/G54</f>
        <v>3.9185185185185185</v>
      </c>
      <c r="H179" s="25">
        <f t="shared" si="396"/>
        <v>4.2320000000000002</v>
      </c>
      <c r="I179" s="25">
        <f t="shared" si="396"/>
        <v>4.5342857142857138</v>
      </c>
      <c r="J179" s="25">
        <f t="shared" si="396"/>
        <v>2.1160000000000001</v>
      </c>
      <c r="K179" s="25">
        <f t="shared" si="396"/>
        <v>2.0404285714285715</v>
      </c>
      <c r="L179" s="25">
        <f t="shared" si="396"/>
        <v>0.67018581081081086</v>
      </c>
      <c r="M179" s="25">
        <f t="shared" si="396"/>
        <v>3.0692307692307694</v>
      </c>
      <c r="N179" s="25">
        <f t="shared" si="396"/>
        <v>2.95</v>
      </c>
      <c r="O179" s="25">
        <f t="shared" si="396"/>
        <v>4.1222222222222227</v>
      </c>
      <c r="P179" s="25">
        <f t="shared" si="396"/>
        <v>7.7560975609756104</v>
      </c>
      <c r="Q179" s="25">
        <f>Q176/Q54</f>
        <v>1.696</v>
      </c>
      <c r="R179" s="118">
        <f t="shared" si="383"/>
        <v>7.8814606104536278E-2</v>
      </c>
      <c r="S179" s="128"/>
      <c r="T179" s="25">
        <f t="shared" ref="T179:AC179" si="397">T176/T54</f>
        <v>4.3478260869565224</v>
      </c>
      <c r="U179" s="25">
        <f t="shared" si="397"/>
        <v>3.8185255198487722</v>
      </c>
      <c r="V179" s="25">
        <f t="shared" si="397"/>
        <v>3.3536615435193569</v>
      </c>
      <c r="W179" s="25">
        <f t="shared" si="397"/>
        <v>2.9453897034387397</v>
      </c>
      <c r="X179" s="25">
        <f t="shared" si="397"/>
        <v>2.5868205221505454</v>
      </c>
      <c r="Y179" s="25">
        <f t="shared" si="397"/>
        <v>2.2719032411930877</v>
      </c>
      <c r="Z179" s="25">
        <f t="shared" si="397"/>
        <v>1.9953237161782778</v>
      </c>
      <c r="AA179" s="25">
        <f t="shared" si="397"/>
        <v>1.7524147420348353</v>
      </c>
      <c r="AB179" s="25">
        <f t="shared" si="397"/>
        <v>1.5390772951784206</v>
      </c>
      <c r="AC179" s="25">
        <f t="shared" si="397"/>
        <v>1.3517113635914824</v>
      </c>
      <c r="AD179" s="137">
        <f t="shared" ref="AD179:AD180" si="398">((AC179/G179)^(1/($AC$3-$H$1) ))-1</f>
        <v>-5.1825867338529119E-2</v>
      </c>
      <c r="AE179" s="31">
        <v>0.08</v>
      </c>
      <c r="AF179" s="127">
        <f t="shared" ref="AF179:AF180" si="399">(AC179*(1+AD179))/($C$1-AE179)</f>
        <v>9.1546982127286274</v>
      </c>
    </row>
    <row r="180" spans="2:32" x14ac:dyDescent="0.2">
      <c r="B180" s="20" t="s">
        <v>464</v>
      </c>
      <c r="C180" s="25"/>
      <c r="D180" s="25"/>
      <c r="E180" s="25"/>
      <c r="F180" s="25"/>
      <c r="G180" s="25">
        <f t="shared" ref="G180:P180" si="400">G176/G55</f>
        <v>4.0536398467432955</v>
      </c>
      <c r="H180" s="25">
        <f t="shared" si="400"/>
        <v>5.29</v>
      </c>
      <c r="I180" s="25">
        <f t="shared" si="400"/>
        <v>5.29</v>
      </c>
      <c r="J180" s="25">
        <f t="shared" si="400"/>
        <v>2.4182857142857141</v>
      </c>
      <c r="K180" s="25">
        <f t="shared" si="400"/>
        <v>8.9268750000000008</v>
      </c>
      <c r="L180" s="25">
        <f t="shared" si="400"/>
        <v>4.6952662721893494</v>
      </c>
      <c r="M180" s="25">
        <f t="shared" si="400"/>
        <v>7.98</v>
      </c>
      <c r="N180" s="25">
        <f t="shared" si="400"/>
        <v>4.7653846153846162</v>
      </c>
      <c r="O180" s="25">
        <f t="shared" si="400"/>
        <v>6.1833333333333327</v>
      </c>
      <c r="P180" s="25">
        <f t="shared" si="400"/>
        <v>9.9375000000000018</v>
      </c>
      <c r="Q180" s="25">
        <f>Q176/Q55</f>
        <v>2.12</v>
      </c>
      <c r="R180" s="118">
        <f t="shared" si="383"/>
        <v>0.10476579676458897</v>
      </c>
      <c r="S180" s="128"/>
      <c r="T180" s="25">
        <f t="shared" ref="T180:AC180" si="401">T176/T55</f>
        <v>5.4347826086956523</v>
      </c>
      <c r="U180" s="25">
        <f t="shared" si="401"/>
        <v>4.7731568998109637</v>
      </c>
      <c r="V180" s="25">
        <f t="shared" si="401"/>
        <v>4.1920769293991951</v>
      </c>
      <c r="W180" s="25">
        <f t="shared" si="401"/>
        <v>3.681737129298424</v>
      </c>
      <c r="X180" s="25">
        <f t="shared" si="401"/>
        <v>3.233525652688181</v>
      </c>
      <c r="Y180" s="25">
        <f t="shared" si="401"/>
        <v>2.8398790514913594</v>
      </c>
      <c r="Z180" s="25">
        <f t="shared" si="401"/>
        <v>2.4941546452228458</v>
      </c>
      <c r="AA180" s="25">
        <f t="shared" si="401"/>
        <v>2.1905184275435436</v>
      </c>
      <c r="AB180" s="25">
        <f t="shared" si="401"/>
        <v>1.923846618973025</v>
      </c>
      <c r="AC180" s="25">
        <f t="shared" si="401"/>
        <v>1.6896392044893525</v>
      </c>
      <c r="AD180" s="137">
        <f t="shared" si="398"/>
        <v>-4.2811569054274079E-2</v>
      </c>
      <c r="AE180" s="31">
        <v>0.08</v>
      </c>
      <c r="AF180" s="127">
        <f t="shared" si="399"/>
        <v>11.552164992925341</v>
      </c>
    </row>
    <row r="181" spans="2:32" x14ac:dyDescent="0.2">
      <c r="B181" s="20" t="s">
        <v>258</v>
      </c>
      <c r="C181" s="25"/>
      <c r="D181" s="25"/>
      <c r="E181" s="25"/>
      <c r="F181" s="25"/>
      <c r="G181" s="25">
        <f t="shared" ref="G181:P181" si="402">G176/G59</f>
        <v>0.45999999999999996</v>
      </c>
      <c r="H181" s="25">
        <f t="shared" si="402"/>
        <v>0.84640000000000004</v>
      </c>
      <c r="I181" s="25">
        <f t="shared" si="402"/>
        <v>1.1335714285714285</v>
      </c>
      <c r="J181" s="25">
        <f t="shared" si="402"/>
        <v>0.67712000000000006</v>
      </c>
      <c r="K181" s="25">
        <f t="shared" si="402"/>
        <v>0.57132000000000005</v>
      </c>
      <c r="L181" s="25">
        <f t="shared" si="402"/>
        <v>0.31740000000000002</v>
      </c>
      <c r="M181" s="25">
        <f t="shared" si="402"/>
        <v>1.4777777777777779</v>
      </c>
      <c r="N181" s="25">
        <f t="shared" si="402"/>
        <v>1.7700000000000002</v>
      </c>
      <c r="O181" s="25">
        <f t="shared" si="402"/>
        <v>2.4733333333333336</v>
      </c>
      <c r="P181" s="25">
        <f t="shared" si="402"/>
        <v>5.0476190476190474</v>
      </c>
      <c r="Q181" s="25">
        <f t="shared" ref="Q181" si="403">Q176/Q59</f>
        <v>0.97471264367816091</v>
      </c>
      <c r="R181" s="118">
        <f t="shared" si="383"/>
        <v>0.30494462261777744</v>
      </c>
      <c r="S181" s="128"/>
      <c r="T181" s="119">
        <f t="shared" ref="T181:AC181" si="404">T176/T59</f>
        <v>2.4987506246876565</v>
      </c>
      <c r="U181" s="119">
        <f t="shared" si="404"/>
        <v>2.1945548964648109</v>
      </c>
      <c r="V181" s="119">
        <f t="shared" si="404"/>
        <v>1.9273916916777911</v>
      </c>
      <c r="W181" s="119">
        <f t="shared" si="404"/>
        <v>1.6927527031257124</v>
      </c>
      <c r="X181" s="119">
        <f t="shared" si="404"/>
        <v>1.4866784610060606</v>
      </c>
      <c r="Y181" s="119">
        <f t="shared" si="404"/>
        <v>1.3056915179270618</v>
      </c>
      <c r="Z181" s="119">
        <f t="shared" si="404"/>
        <v>1.1467377679185502</v>
      </c>
      <c r="AA181" s="119">
        <f t="shared" si="404"/>
        <v>1.0071349092154225</v>
      </c>
      <c r="AB181" s="119">
        <f t="shared" si="404"/>
        <v>0.88452718113702333</v>
      </c>
      <c r="AC181" s="119">
        <f t="shared" si="404"/>
        <v>0.77684561125947271</v>
      </c>
      <c r="AD181" s="137">
        <f t="shared" si="385"/>
        <v>2.6547014422295012E-2</v>
      </c>
      <c r="AE181" s="31">
        <v>0.08</v>
      </c>
      <c r="AF181" s="127">
        <f t="shared" si="386"/>
        <v>5.696203877896246</v>
      </c>
    </row>
    <row r="182" spans="2:32" x14ac:dyDescent="0.2">
      <c r="B182" s="20" t="s">
        <v>259</v>
      </c>
      <c r="C182" s="25"/>
      <c r="D182" s="25"/>
      <c r="E182" s="25"/>
      <c r="F182" s="25"/>
      <c r="G182" s="25">
        <f t="shared" ref="G182:P182" si="405">G176/G68</f>
        <v>1.2160919540229884</v>
      </c>
      <c r="H182" s="25">
        <f t="shared" si="405"/>
        <v>3.3694267515923566</v>
      </c>
      <c r="I182" s="25">
        <f t="shared" si="405"/>
        <v>4.2263648468708395</v>
      </c>
      <c r="J182" s="25">
        <f t="shared" si="405"/>
        <v>9.8418604651162784</v>
      </c>
      <c r="K182" s="25">
        <f t="shared" si="405"/>
        <v>13.225</v>
      </c>
      <c r="L182" s="25">
        <f t="shared" si="405"/>
        <v>16.53125</v>
      </c>
      <c r="M182" s="25">
        <f t="shared" si="405"/>
        <v>31.171875000000004</v>
      </c>
      <c r="N182" s="25">
        <f t="shared" si="405"/>
        <v>106.81034482758622</v>
      </c>
      <c r="O182" s="25">
        <f t="shared" si="405"/>
        <v>231.875</v>
      </c>
      <c r="P182" s="25">
        <f t="shared" si="405"/>
        <v>38.313253012048193</v>
      </c>
      <c r="Q182" s="25">
        <f t="shared" ref="Q182" si="406">Q176/Q68</f>
        <v>9.3289328932893287</v>
      </c>
      <c r="R182" s="118">
        <f t="shared" si="383"/>
        <v>0.4671920224522057</v>
      </c>
      <c r="S182" s="128"/>
      <c r="T182" s="119">
        <f t="shared" ref="T182:AC182" si="407">T176/T68</f>
        <v>23.915435021763045</v>
      </c>
      <c r="U182" s="119">
        <f t="shared" si="407"/>
        <v>21.003990758244068</v>
      </c>
      <c r="V182" s="119">
        <f t="shared" si="407"/>
        <v>18.446983187675229</v>
      </c>
      <c r="W182" s="119">
        <f t="shared" si="407"/>
        <v>16.201263495262594</v>
      </c>
      <c r="X182" s="119">
        <f t="shared" si="407"/>
        <v>14.22893576540454</v>
      </c>
      <c r="Y182" s="119">
        <f t="shared" si="407"/>
        <v>12.496717498311815</v>
      </c>
      <c r="Z182" s="119">
        <f t="shared" si="407"/>
        <v>10.975377976778203</v>
      </c>
      <c r="AA182" s="119">
        <f t="shared" si="407"/>
        <v>9.6392450056921621</v>
      </c>
      <c r="AB182" s="119">
        <f t="shared" si="407"/>
        <v>8.4657717006513789</v>
      </c>
      <c r="AC182" s="119">
        <f t="shared" si="407"/>
        <v>7.4351560153546883</v>
      </c>
      <c r="AD182" s="137">
        <f t="shared" si="385"/>
        <v>9.4753099725668699E-2</v>
      </c>
      <c r="AE182" s="31">
        <v>0.08</v>
      </c>
      <c r="AF182" s="127">
        <f t="shared" si="386"/>
        <v>58.140429248239258</v>
      </c>
    </row>
    <row r="183" spans="2:32" x14ac:dyDescent="0.2">
      <c r="B183" s="20" t="s">
        <v>260</v>
      </c>
      <c r="C183" s="25"/>
      <c r="D183" s="25"/>
      <c r="E183" s="25"/>
      <c r="F183" s="25"/>
      <c r="G183" s="25">
        <f t="shared" ref="G183:P183" si="408">G176/G70</f>
        <v>1.7633333333333334</v>
      </c>
      <c r="H183" s="25">
        <f t="shared" si="408"/>
        <v>3.5266666666666668</v>
      </c>
      <c r="I183" s="25">
        <f t="shared" si="408"/>
        <v>5.29</v>
      </c>
      <c r="J183" s="25">
        <f t="shared" si="408"/>
        <v>1.6928000000000001</v>
      </c>
      <c r="K183" s="25">
        <f t="shared" si="408"/>
        <v>1.2984545454545455</v>
      </c>
      <c r="L183" s="25">
        <f t="shared" si="408"/>
        <v>0.29388888888888892</v>
      </c>
      <c r="M183" s="25">
        <f t="shared" si="408"/>
        <v>1.6624999999999999</v>
      </c>
      <c r="N183" s="25">
        <f t="shared" si="408"/>
        <v>2.5812499999999998</v>
      </c>
      <c r="O183" s="25">
        <f t="shared" si="408"/>
        <v>4.1222222222222227</v>
      </c>
      <c r="P183" s="25">
        <f t="shared" si="408"/>
        <v>12.230769230769232</v>
      </c>
      <c r="Q183" s="25">
        <f t="shared" ref="Q183" si="409">Q176/Q70</f>
        <v>2.3555555555555556</v>
      </c>
      <c r="R183" s="118">
        <f t="shared" si="383"/>
        <v>0.24010285138136944</v>
      </c>
      <c r="S183" s="128"/>
      <c r="T183" s="119">
        <f t="shared" ref="T183:AC183" si="410">T176/T70</f>
        <v>6.0386473429951693</v>
      </c>
      <c r="U183" s="119">
        <f t="shared" si="410"/>
        <v>5.3035076664566274</v>
      </c>
      <c r="V183" s="119">
        <f t="shared" si="410"/>
        <v>4.657863254887995</v>
      </c>
      <c r="W183" s="119">
        <f t="shared" si="410"/>
        <v>4.0908190325538047</v>
      </c>
      <c r="X183" s="119">
        <f t="shared" si="410"/>
        <v>3.5928062807646466</v>
      </c>
      <c r="Y183" s="119">
        <f t="shared" si="410"/>
        <v>3.1554211683237332</v>
      </c>
      <c r="Z183" s="119">
        <f t="shared" si="410"/>
        <v>2.7712829391364964</v>
      </c>
      <c r="AA183" s="119">
        <f t="shared" si="410"/>
        <v>2.4339093639372713</v>
      </c>
      <c r="AB183" s="119">
        <f t="shared" si="410"/>
        <v>2.1376073544144729</v>
      </c>
      <c r="AC183" s="119">
        <f t="shared" si="410"/>
        <v>1.8773768938770587</v>
      </c>
      <c r="AD183" s="137">
        <f t="shared" si="385"/>
        <v>3.1383932830590933E-3</v>
      </c>
      <c r="AE183" s="31">
        <v>0.08</v>
      </c>
      <c r="AF183" s="127">
        <f t="shared" si="386"/>
        <v>13.451920292218377</v>
      </c>
    </row>
    <row r="184" spans="2:32" x14ac:dyDescent="0.2">
      <c r="B184" s="20" t="s">
        <v>281</v>
      </c>
      <c r="C184" s="25"/>
      <c r="D184" s="25"/>
      <c r="E184" s="25"/>
      <c r="F184" s="25"/>
      <c r="G184" s="181">
        <f t="shared" ref="G184:P184" si="411">G176/G64</f>
        <v>0.3918518518518519</v>
      </c>
      <c r="H184" s="181">
        <f t="shared" si="411"/>
        <v>0.66540880503144662</v>
      </c>
      <c r="I184" s="181">
        <f t="shared" si="411"/>
        <v>0.9173410404624277</v>
      </c>
      <c r="J184" s="181">
        <f t="shared" si="411"/>
        <v>0.65107692307692311</v>
      </c>
      <c r="K184" s="181">
        <f t="shared" si="411"/>
        <v>1.587</v>
      </c>
      <c r="L184" s="181">
        <f t="shared" si="411"/>
        <v>0.56678571428571423</v>
      </c>
      <c r="M184" s="181">
        <f t="shared" si="411"/>
        <v>1.9950000000000001</v>
      </c>
      <c r="N184" s="181">
        <f t="shared" si="411"/>
        <v>1.5487500000000001</v>
      </c>
      <c r="O184" s="181">
        <f t="shared" si="411"/>
        <v>1.9526315789473687</v>
      </c>
      <c r="P184" s="181">
        <f t="shared" si="411"/>
        <v>4.4166666666666661</v>
      </c>
      <c r="Q184" s="181">
        <f t="shared" ref="Q184" si="412">Q176/Q64</f>
        <v>0.72478632478632476</v>
      </c>
      <c r="R184" s="118">
        <f t="shared" ref="R184:R188" si="413">((P184/G184)^(1/($H$2-$H$1) ))-1</f>
        <v>0.30883788616979579</v>
      </c>
      <c r="S184" s="128"/>
      <c r="T184" s="134">
        <f t="shared" ref="T184:AC184" si="414">T176/T64</f>
        <v>1.8580453363062062</v>
      </c>
      <c r="U184" s="134">
        <f t="shared" si="414"/>
        <v>1.6318485127558851</v>
      </c>
      <c r="V184" s="134">
        <f t="shared" si="414"/>
        <v>1.4331886938116909</v>
      </c>
      <c r="W184" s="134">
        <f t="shared" si="414"/>
        <v>1.2587135484780938</v>
      </c>
      <c r="X184" s="134">
        <f t="shared" si="414"/>
        <v>1.1054788556198913</v>
      </c>
      <c r="Y184" s="134">
        <f t="shared" si="414"/>
        <v>0.9708988210226871</v>
      </c>
      <c r="Z184" s="134">
        <f t="shared" si="414"/>
        <v>0.85270244281122953</v>
      </c>
      <c r="AA184" s="134">
        <f t="shared" si="414"/>
        <v>0.7488951889037756</v>
      </c>
      <c r="AB184" s="134">
        <f t="shared" si="414"/>
        <v>0.65772533981983772</v>
      </c>
      <c r="AC184" s="134">
        <f t="shared" si="414"/>
        <v>0.57765442888524887</v>
      </c>
      <c r="AD184" s="137">
        <f t="shared" ref="AD184" si="415">((AC184/G184)^(1/($AC$3-$H$1) ))-1</f>
        <v>1.9594091749620235E-2</v>
      </c>
      <c r="AE184" s="31">
        <v>0.08</v>
      </c>
      <c r="AF184" s="127">
        <f t="shared" si="386"/>
        <v>4.2069503054600057</v>
      </c>
    </row>
    <row r="185" spans="2:32" x14ac:dyDescent="0.2">
      <c r="B185" s="20"/>
      <c r="C185" s="25"/>
      <c r="D185" s="25"/>
      <c r="E185" s="25"/>
      <c r="F185" s="25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28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7"/>
      <c r="AE185" s="31"/>
      <c r="AF185" s="127"/>
    </row>
    <row r="186" spans="2:32" x14ac:dyDescent="0.2">
      <c r="B186" s="20" t="s">
        <v>370</v>
      </c>
      <c r="C186" s="160"/>
      <c r="D186" s="160"/>
      <c r="E186" s="160"/>
      <c r="F186" s="160"/>
      <c r="G186" s="160">
        <f t="shared" ref="G186:P186" si="416">G56/G176</f>
        <v>0.17863894139886577</v>
      </c>
      <c r="H186" s="160">
        <f t="shared" si="416"/>
        <v>0.1323251417769376</v>
      </c>
      <c r="I186" s="160">
        <f t="shared" si="416"/>
        <v>0.1354757403906742</v>
      </c>
      <c r="J186" s="160">
        <f t="shared" si="416"/>
        <v>0.26583175803402648</v>
      </c>
      <c r="K186" s="160">
        <f t="shared" si="416"/>
        <v>7.0013302527480212E-2</v>
      </c>
      <c r="L186" s="160">
        <f t="shared" si="416"/>
        <v>0.10207939508506617</v>
      </c>
      <c r="M186" s="160">
        <f t="shared" si="416"/>
        <v>7.5187969924812026E-2</v>
      </c>
      <c r="N186" s="160">
        <f t="shared" si="416"/>
        <v>0.14527845036319612</v>
      </c>
      <c r="O186" s="160">
        <f t="shared" si="416"/>
        <v>0.10781671159029649</v>
      </c>
      <c r="P186" s="160">
        <f t="shared" si="416"/>
        <v>7.2327044025157231E-2</v>
      </c>
      <c r="Q186" s="160">
        <f t="shared" ref="Q186" si="417">Q56/Q176</f>
        <v>0.35377358490566035</v>
      </c>
      <c r="R186" s="118">
        <f t="shared" si="413"/>
        <v>-9.558158243878645E-2</v>
      </c>
      <c r="S186" s="128"/>
      <c r="T186" s="160">
        <f t="shared" ref="T186:AC186" si="418">T56/T176</f>
        <v>0.13800000000000001</v>
      </c>
      <c r="U186" s="160">
        <f t="shared" si="418"/>
        <v>0.15712871287128713</v>
      </c>
      <c r="V186" s="160">
        <f t="shared" si="418"/>
        <v>0.17890893049701007</v>
      </c>
      <c r="W186" s="160">
        <f t="shared" si="418"/>
        <v>0.20370818818966491</v>
      </c>
      <c r="X186" s="160">
        <f t="shared" si="418"/>
        <v>0.23194496675060855</v>
      </c>
      <c r="Y186" s="160">
        <f t="shared" si="418"/>
        <v>0.26409575422098991</v>
      </c>
      <c r="Z186" s="160">
        <f t="shared" si="418"/>
        <v>0.30070308648924593</v>
      </c>
      <c r="AA186" s="160">
        <f t="shared" si="418"/>
        <v>0.3423847024382502</v>
      </c>
      <c r="AB186" s="160">
        <f t="shared" si="418"/>
        <v>0.38984396812276018</v>
      </c>
      <c r="AC186" s="160">
        <f t="shared" si="418"/>
        <v>0.44388174588235069</v>
      </c>
      <c r="AD186" s="137">
        <f t="shared" ref="AD186:AD188" si="419">((AC186/G186)^(1/($AC$3-$H$1) ))-1</f>
        <v>4.656102576620702E-2</v>
      </c>
      <c r="AE186" s="31">
        <v>0.08</v>
      </c>
      <c r="AF186" s="127">
        <f t="shared" si="386"/>
        <v>3.3182095377823413</v>
      </c>
    </row>
    <row r="187" spans="2:32" x14ac:dyDescent="0.2">
      <c r="B187" s="20" t="s">
        <v>319</v>
      </c>
      <c r="C187" s="151"/>
      <c r="D187" s="151"/>
      <c r="E187" s="151"/>
      <c r="F187" s="151"/>
      <c r="G187" s="151">
        <f t="shared" ref="G187:P187" si="420">G44/G176</f>
        <v>6.25E-2</v>
      </c>
      <c r="H187" s="151">
        <f t="shared" si="420"/>
        <v>4.3749999999999997E-2</v>
      </c>
      <c r="I187" s="151">
        <f t="shared" si="420"/>
        <v>3.7499999999999999E-2</v>
      </c>
      <c r="J187" s="151">
        <f t="shared" si="420"/>
        <v>4.6875E-2</v>
      </c>
      <c r="K187" s="151">
        <f t="shared" si="420"/>
        <v>2.7777777777777776E-2</v>
      </c>
      <c r="L187" s="151">
        <f t="shared" si="420"/>
        <v>0</v>
      </c>
      <c r="M187" s="151">
        <f t="shared" si="420"/>
        <v>1.9736842105263157E-2</v>
      </c>
      <c r="N187" s="151">
        <f t="shared" si="420"/>
        <v>2.5423728813559324E-2</v>
      </c>
      <c r="O187" s="151">
        <f t="shared" si="420"/>
        <v>1.9047619047619049E-2</v>
      </c>
      <c r="P187" s="151">
        <f t="shared" si="420"/>
        <v>1.1666666666666667E-2</v>
      </c>
      <c r="Q187" s="151">
        <f t="shared" ref="Q187" si="421">Q44/Q176</f>
        <v>6.25E-2</v>
      </c>
      <c r="R187" s="118">
        <f t="shared" si="413"/>
        <v>-0.17013505585125244</v>
      </c>
      <c r="S187" s="128"/>
      <c r="T187" s="151">
        <f t="shared" ref="T187:AC187" si="422">T44/T176</f>
        <v>0.105</v>
      </c>
      <c r="U187" s="151">
        <f t="shared" si="422"/>
        <v>0.11025</v>
      </c>
      <c r="V187" s="151">
        <f t="shared" si="422"/>
        <v>0.11576250000000002</v>
      </c>
      <c r="W187" s="151">
        <f t="shared" si="422"/>
        <v>0.12155062500000001</v>
      </c>
      <c r="X187" s="151">
        <f t="shared" si="422"/>
        <v>0.12762815625000001</v>
      </c>
      <c r="Y187" s="151">
        <f t="shared" si="422"/>
        <v>0.13400956406250003</v>
      </c>
      <c r="Z187" s="151">
        <f t="shared" si="422"/>
        <v>0.14071004226562503</v>
      </c>
      <c r="AA187" s="151">
        <f t="shared" si="422"/>
        <v>0.1477455443789063</v>
      </c>
      <c r="AB187" s="151">
        <f t="shared" si="422"/>
        <v>0.15513282159785163</v>
      </c>
      <c r="AC187" s="151">
        <f t="shared" si="422"/>
        <v>0.16288946267774421</v>
      </c>
      <c r="AD187" s="137">
        <f t="shared" si="419"/>
        <v>4.9060774665798723E-2</v>
      </c>
      <c r="AE187" s="31">
        <v>0.08</v>
      </c>
      <c r="AF187" s="127">
        <f t="shared" si="386"/>
        <v>1.2205781850115003</v>
      </c>
    </row>
    <row r="188" spans="2:32" x14ac:dyDescent="0.2">
      <c r="B188" s="20" t="s">
        <v>445</v>
      </c>
      <c r="C188" s="180"/>
      <c r="D188" s="180"/>
      <c r="E188" s="180"/>
      <c r="F188" s="180"/>
      <c r="G188" s="180">
        <f t="shared" ref="G188:O188" si="423">(G178)/($L$2*100)</f>
        <v>0.37319223985890659</v>
      </c>
      <c r="H188" s="180">
        <f t="shared" si="423"/>
        <v>0.50380952380952393</v>
      </c>
      <c r="I188" s="180">
        <f t="shared" si="423"/>
        <v>0.49209302325581405</v>
      </c>
      <c r="J188" s="180">
        <f t="shared" si="423"/>
        <v>0.25078518518518517</v>
      </c>
      <c r="K188" s="180">
        <f t="shared" si="423"/>
        <v>0.95220000000000005</v>
      </c>
      <c r="L188" s="180">
        <f t="shared" si="423"/>
        <v>0.65308641975308634</v>
      </c>
      <c r="M188" s="180">
        <f t="shared" si="423"/>
        <v>0.8866666666666666</v>
      </c>
      <c r="N188" s="180">
        <f t="shared" si="423"/>
        <v>0.4588888888888889</v>
      </c>
      <c r="O188" s="180">
        <f t="shared" si="423"/>
        <v>0.6183333333333334</v>
      </c>
      <c r="P188" s="180">
        <f>(P178)/($L$2*100)</f>
        <v>0.92173913043478251</v>
      </c>
      <c r="Q188" s="180">
        <f>(Q178)/($L$2*100)</f>
        <v>0.18844444444444444</v>
      </c>
      <c r="R188" s="118">
        <f t="shared" si="413"/>
        <v>0.10568292350406194</v>
      </c>
      <c r="S188" s="128"/>
      <c r="T188" s="180">
        <f>(T178)/($L$2*100)</f>
        <v>0.48309178743961351</v>
      </c>
      <c r="U188" s="180">
        <f t="shared" ref="U188:AC188" si="424">(U178)/($L$2*100)</f>
        <v>0.42428061331653016</v>
      </c>
      <c r="V188" s="180">
        <f t="shared" si="424"/>
        <v>0.3726290603910396</v>
      </c>
      <c r="W188" s="180">
        <f t="shared" si="424"/>
        <v>0.32726552260430436</v>
      </c>
      <c r="X188" s="180">
        <f t="shared" si="424"/>
        <v>0.28742450246117168</v>
      </c>
      <c r="Y188" s="180">
        <f t="shared" si="424"/>
        <v>0.25243369346589861</v>
      </c>
      <c r="Z188" s="180">
        <f t="shared" si="424"/>
        <v>0.22170263513091965</v>
      </c>
      <c r="AA188" s="180">
        <f t="shared" si="424"/>
        <v>0.19471274911498168</v>
      </c>
      <c r="AB188" s="180">
        <f t="shared" si="424"/>
        <v>0.1710085883531578</v>
      </c>
      <c r="AC188" s="180">
        <f t="shared" si="424"/>
        <v>0.15019015151016468</v>
      </c>
      <c r="AD188" s="137">
        <f t="shared" si="419"/>
        <v>-4.4489546829931781E-2</v>
      </c>
      <c r="AE188" s="31">
        <v>0.08</v>
      </c>
      <c r="AF188" s="180">
        <f>(AF178)/($L$2*100)</f>
        <v>1.0250589980797047</v>
      </c>
    </row>
    <row r="189" spans="2:32" x14ac:dyDescent="0.2">
      <c r="B189" s="20" t="s">
        <v>446</v>
      </c>
      <c r="C189" s="151"/>
      <c r="D189" s="151"/>
      <c r="E189" s="151"/>
      <c r="F189" s="151"/>
      <c r="G189" s="151">
        <f t="shared" ref="G189:P189" si="425">G188-1</f>
        <v>-0.62680776014109341</v>
      </c>
      <c r="H189" s="151">
        <f t="shared" si="425"/>
        <v>-0.49619047619047607</v>
      </c>
      <c r="I189" s="151">
        <f t="shared" si="425"/>
        <v>-0.50790697674418595</v>
      </c>
      <c r="J189" s="151">
        <f t="shared" si="425"/>
        <v>-0.74921481481481478</v>
      </c>
      <c r="K189" s="151">
        <f t="shared" si="425"/>
        <v>-4.7799999999999954E-2</v>
      </c>
      <c r="L189" s="151">
        <f t="shared" si="425"/>
        <v>-0.34691358024691366</v>
      </c>
      <c r="M189" s="151">
        <f t="shared" si="425"/>
        <v>-0.1133333333333334</v>
      </c>
      <c r="N189" s="151">
        <f t="shared" si="425"/>
        <v>-0.5411111111111111</v>
      </c>
      <c r="O189" s="151">
        <f t="shared" si="425"/>
        <v>-0.3816666666666666</v>
      </c>
      <c r="P189" s="151">
        <f t="shared" si="425"/>
        <v>-7.8260869565217495E-2</v>
      </c>
      <c r="Q189" s="151">
        <f>Q188-1</f>
        <v>-0.81155555555555559</v>
      </c>
      <c r="R189" s="128"/>
      <c r="S189" s="128"/>
      <c r="T189" s="151">
        <f t="shared" ref="T189:AB189" si="426">T188-1</f>
        <v>-0.51690821256038655</v>
      </c>
      <c r="U189" s="151">
        <f t="shared" si="426"/>
        <v>-0.57571938668346978</v>
      </c>
      <c r="V189" s="151">
        <f t="shared" si="426"/>
        <v>-0.6273709396089604</v>
      </c>
      <c r="W189" s="151">
        <f t="shared" si="426"/>
        <v>-0.67273447739569558</v>
      </c>
      <c r="X189" s="151">
        <f t="shared" si="426"/>
        <v>-0.71257549753882832</v>
      </c>
      <c r="Y189" s="151">
        <f t="shared" si="426"/>
        <v>-0.74756630653410139</v>
      </c>
      <c r="Z189" s="151">
        <f t="shared" si="426"/>
        <v>-0.7782973648690803</v>
      </c>
      <c r="AA189" s="151">
        <f t="shared" si="426"/>
        <v>-0.80528725088501829</v>
      </c>
      <c r="AB189" s="151">
        <f t="shared" si="426"/>
        <v>-0.8289914116468422</v>
      </c>
      <c r="AC189" s="134"/>
      <c r="AD189" s="136"/>
      <c r="AE189" s="20"/>
      <c r="AF189" s="127"/>
    </row>
    <row r="190" spans="2:32" x14ac:dyDescent="0.2">
      <c r="B190" s="20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28"/>
      <c r="S190" s="128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34"/>
      <c r="AD190" s="136"/>
      <c r="AE190" s="20"/>
      <c r="AF190" s="127"/>
    </row>
    <row r="191" spans="2:32" x14ac:dyDescent="0.2">
      <c r="B191" s="20" t="s">
        <v>471</v>
      </c>
      <c r="C191" s="129"/>
      <c r="D191" s="129"/>
      <c r="E191" s="129"/>
      <c r="F191" s="129"/>
      <c r="G191" s="134">
        <f>G176/$S$145</f>
        <v>2.5265438786565548</v>
      </c>
      <c r="H191" s="134">
        <f>H176/$S$145</f>
        <v>5.0530877573131097</v>
      </c>
      <c r="I191" s="134">
        <f>I176/$S$145</f>
        <v>7.5796316359696645</v>
      </c>
      <c r="J191" s="134">
        <f>J176/$S$145</f>
        <v>4.0424702058504876</v>
      </c>
      <c r="K191" s="134">
        <f>K176/$S$145</f>
        <v>3.4108342361863491</v>
      </c>
      <c r="L191" s="134">
        <f>L176/$S$145</f>
        <v>1.8949079089924161</v>
      </c>
      <c r="M191" s="134">
        <f>M176/$S$145</f>
        <v>4.8004333694474539</v>
      </c>
      <c r="N191" s="134">
        <f>N176/$S$145</f>
        <v>7.4533044420368366</v>
      </c>
      <c r="O191" s="134">
        <f>O176/$S$145</f>
        <v>13.264355362946914</v>
      </c>
      <c r="P191" s="134">
        <f>P176/$S$145</f>
        <v>37.898158179848323</v>
      </c>
      <c r="Q191" s="134">
        <f>Q176/$S$145</f>
        <v>10.106175514626219</v>
      </c>
      <c r="R191" s="128"/>
      <c r="S191" s="128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6"/>
      <c r="AE191" s="20"/>
      <c r="AF191" s="20"/>
    </row>
    <row r="192" spans="2:32" x14ac:dyDescent="0.2">
      <c r="B192" s="20" t="s">
        <v>472</v>
      </c>
      <c r="C192" s="129"/>
      <c r="D192" s="129"/>
      <c r="E192" s="129"/>
      <c r="F192" s="129"/>
      <c r="G192" s="180">
        <f>(G191)/($L$2*100)</f>
        <v>0.16843625857710365</v>
      </c>
      <c r="H192" s="180">
        <f>(H191)/($L$2*100)</f>
        <v>0.3368725171542073</v>
      </c>
      <c r="I192" s="180">
        <f>(I191)/($L$2*100)</f>
        <v>0.50530877573131094</v>
      </c>
      <c r="J192" s="180">
        <f>(J191)/($L$2*100)</f>
        <v>0.26949801372336585</v>
      </c>
      <c r="K192" s="180">
        <f>(K191)/($L$2*100)</f>
        <v>0.22738894907908994</v>
      </c>
      <c r="L192" s="180">
        <f>(L191)/($L$2*100)</f>
        <v>0.12632719393282774</v>
      </c>
      <c r="M192" s="180">
        <f>(M191)/($L$2*100)</f>
        <v>0.32002889129649692</v>
      </c>
      <c r="N192" s="180">
        <f>(N191)/($L$2*100)</f>
        <v>0.49688696280245576</v>
      </c>
      <c r="O192" s="180">
        <f>(O191)/($L$2*100)</f>
        <v>0.88429035752979424</v>
      </c>
      <c r="P192" s="180">
        <f>(P191)/($L$2*100)</f>
        <v>2.5265438786565548</v>
      </c>
      <c r="Q192" s="180">
        <f>(Q191)/($L$2*100)</f>
        <v>0.67374503430841459</v>
      </c>
      <c r="R192" s="128"/>
      <c r="S192" s="128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6"/>
      <c r="AE192" s="20"/>
      <c r="AF192" s="20"/>
    </row>
    <row r="193" spans="2:46" x14ac:dyDescent="0.2">
      <c r="B193" s="20" t="s">
        <v>473</v>
      </c>
      <c r="C193" s="129"/>
      <c r="D193" s="129"/>
      <c r="E193" s="129"/>
      <c r="F193" s="129"/>
      <c r="G193" s="151">
        <f t="shared" ref="G193:Q193" si="427">G192-1</f>
        <v>-0.83156374142289635</v>
      </c>
      <c r="H193" s="151">
        <f t="shared" si="427"/>
        <v>-0.6631274828457927</v>
      </c>
      <c r="I193" s="151">
        <f t="shared" si="427"/>
        <v>-0.49469122426868906</v>
      </c>
      <c r="J193" s="151">
        <f t="shared" si="427"/>
        <v>-0.73050198627663421</v>
      </c>
      <c r="K193" s="151">
        <f t="shared" si="427"/>
        <v>-0.77261105092091009</v>
      </c>
      <c r="L193" s="151">
        <f t="shared" si="427"/>
        <v>-0.87367280606717224</v>
      </c>
      <c r="M193" s="151">
        <f t="shared" si="427"/>
        <v>-0.67997110870350308</v>
      </c>
      <c r="N193" s="151">
        <f t="shared" si="427"/>
        <v>-0.5031130371975443</v>
      </c>
      <c r="O193" s="151">
        <f t="shared" si="427"/>
        <v>-0.11570964247020576</v>
      </c>
      <c r="P193" s="151">
        <f t="shared" si="427"/>
        <v>1.5265438786565548</v>
      </c>
      <c r="Q193" s="151">
        <f t="shared" si="427"/>
        <v>-0.32625496569158541</v>
      </c>
      <c r="R193" s="128"/>
      <c r="S193" s="128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6"/>
      <c r="AE193" s="20"/>
      <c r="AF193" s="20"/>
    </row>
    <row r="194" spans="2:46" x14ac:dyDescent="0.2">
      <c r="B194" s="20"/>
      <c r="C194" s="129"/>
      <c r="D194" s="129"/>
      <c r="E194" s="129"/>
      <c r="F194" s="129"/>
      <c r="G194" s="134"/>
      <c r="H194" s="134"/>
      <c r="I194" s="134"/>
      <c r="J194" s="134"/>
      <c r="K194" s="219"/>
      <c r="L194" s="220"/>
      <c r="M194" s="134"/>
      <c r="N194" s="134"/>
      <c r="O194" s="134"/>
      <c r="P194" s="134"/>
      <c r="Q194" s="134"/>
      <c r="R194" s="128"/>
      <c r="S194" s="128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6"/>
      <c r="AE194" s="20"/>
      <c r="AF194" s="20"/>
    </row>
    <row r="195" spans="2:46" x14ac:dyDescent="0.2">
      <c r="B195" s="108" t="s">
        <v>300</v>
      </c>
      <c r="C195" s="20"/>
      <c r="D195" s="20"/>
      <c r="E195" s="20"/>
      <c r="F195" s="20"/>
      <c r="G195" s="20"/>
      <c r="H195" s="20"/>
      <c r="I195" s="20"/>
      <c r="J195" s="20"/>
      <c r="K195" s="208" t="s">
        <v>350</v>
      </c>
      <c r="L195" s="209"/>
      <c r="M195" s="20"/>
      <c r="N195" s="20"/>
      <c r="O195" s="20"/>
      <c r="P195" s="108" t="s">
        <v>429</v>
      </c>
      <c r="Q195" s="108" t="s">
        <v>428</v>
      </c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136"/>
      <c r="AE195" s="20"/>
      <c r="AF195" s="20"/>
    </row>
    <row r="196" spans="2:46" x14ac:dyDescent="0.2">
      <c r="B196" s="20" t="s">
        <v>298</v>
      </c>
      <c r="C196" s="20" t="s">
        <v>313</v>
      </c>
      <c r="D196" s="20"/>
      <c r="E196" s="20"/>
      <c r="F196" s="20"/>
      <c r="G196" s="20"/>
      <c r="H196" s="20"/>
      <c r="I196" s="20"/>
      <c r="J196" s="20"/>
      <c r="K196" s="20" t="s">
        <v>351</v>
      </c>
      <c r="L196" s="22">
        <v>1</v>
      </c>
      <c r="M196" s="20"/>
      <c r="N196" s="20"/>
      <c r="O196" s="20"/>
      <c r="P196" s="128">
        <f>(Q176-S163)/Q176</f>
        <v>0.40770719146855672</v>
      </c>
      <c r="Q196" s="128">
        <f>(Q176-T163)/Q176</f>
        <v>0.51272789170453092</v>
      </c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136"/>
      <c r="AE196" s="20"/>
      <c r="AF196" s="20"/>
    </row>
    <row r="197" spans="2:46" x14ac:dyDescent="0.2">
      <c r="B197" s="20" t="s">
        <v>348</v>
      </c>
      <c r="C197" s="20" t="s">
        <v>313</v>
      </c>
      <c r="D197" s="20"/>
      <c r="E197" s="20"/>
      <c r="F197" s="20"/>
      <c r="G197" s="20"/>
      <c r="H197" s="20"/>
      <c r="I197" s="20"/>
      <c r="J197" s="20"/>
      <c r="K197" s="171">
        <f>$L$196</f>
        <v>1</v>
      </c>
      <c r="L197" s="20"/>
      <c r="M197" s="128">
        <f>(P176-(K197*S154))/P176</f>
        <v>0.65417763587767008</v>
      </c>
      <c r="N197" s="20"/>
      <c r="O197" s="20"/>
      <c r="P197" s="128">
        <f>(Q176-S154)/Q176</f>
        <v>-0.29683386545873736</v>
      </c>
      <c r="Q197" s="128">
        <f>(Q176-T154)/Q176</f>
        <v>0.81929364169837271</v>
      </c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136"/>
      <c r="AE197" s="20"/>
      <c r="AF197" s="20"/>
    </row>
    <row r="198" spans="2:46" x14ac:dyDescent="0.2">
      <c r="B198" s="20" t="s">
        <v>349</v>
      </c>
      <c r="C198" s="20" t="s">
        <v>313</v>
      </c>
      <c r="D198" s="20"/>
      <c r="E198" s="20"/>
      <c r="F198" s="20"/>
      <c r="G198" s="20"/>
      <c r="H198" s="20"/>
      <c r="I198" s="20"/>
      <c r="J198" s="20"/>
      <c r="K198" s="171">
        <f>$L$196</f>
        <v>1</v>
      </c>
      <c r="L198" s="20"/>
      <c r="M198" s="128">
        <f>(P176-(K198*S147))/P176</f>
        <v>0.71033682321377489</v>
      </c>
      <c r="N198" s="20"/>
      <c r="O198" s="20"/>
      <c r="P198" s="128">
        <f>(Q176-S147)/Q176</f>
        <v>-8.6236912948344194E-2</v>
      </c>
      <c r="Q198" s="128">
        <f>(Q176-T147)/Q176</f>
        <v>0.84863911868752573</v>
      </c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136"/>
      <c r="AE198" s="20"/>
      <c r="AF198" s="20"/>
    </row>
    <row r="199" spans="2:46" x14ac:dyDescent="0.2">
      <c r="B199" s="20" t="s">
        <v>352</v>
      </c>
      <c r="C199" s="20" t="s">
        <v>313</v>
      </c>
      <c r="D199" s="20"/>
      <c r="E199" s="20"/>
      <c r="F199" s="20"/>
      <c r="G199" s="20"/>
      <c r="H199" s="20"/>
      <c r="I199" s="20"/>
      <c r="J199" s="20"/>
      <c r="K199" s="171">
        <f>$L$196</f>
        <v>1</v>
      </c>
      <c r="L199" s="20"/>
      <c r="M199" s="128">
        <f>(P176-(K199*S160))/P176</f>
        <v>0.86276457670338136</v>
      </c>
      <c r="N199" s="20"/>
      <c r="O199" s="20"/>
      <c r="P199" s="128">
        <f>(Q176-S160)/Q176</f>
        <v>0.48536716263768021</v>
      </c>
      <c r="Q199" s="128">
        <f>(Q176-T160)/Q176</f>
        <v>0.92828886692492263</v>
      </c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136"/>
      <c r="AE199" s="20"/>
      <c r="AF199" s="20"/>
    </row>
    <row r="200" spans="2:46" x14ac:dyDescent="0.2">
      <c r="B200" s="20" t="s">
        <v>398</v>
      </c>
      <c r="C200" s="20" t="s">
        <v>313</v>
      </c>
      <c r="D200" s="20"/>
      <c r="E200" s="20"/>
      <c r="F200" s="20"/>
      <c r="G200" s="20"/>
      <c r="H200" s="20"/>
      <c r="I200" s="20"/>
      <c r="J200" s="20"/>
      <c r="K200" s="171">
        <f>$L$196</f>
        <v>1</v>
      </c>
      <c r="L200" s="20"/>
      <c r="M200" s="128">
        <f>(P176-(K200*S173))/P176</f>
        <v>0.87087785220600689</v>
      </c>
      <c r="N200" s="20"/>
      <c r="O200" s="20"/>
      <c r="P200" s="128">
        <f>(Q176-S173)/Q176</f>
        <v>0.51579194577252552</v>
      </c>
      <c r="Q200" s="128">
        <f>(Q176-T173)/Q176</f>
        <v>0.60164790786153399</v>
      </c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136"/>
      <c r="AE200" s="20"/>
      <c r="AF200" s="20"/>
    </row>
    <row r="201" spans="2:46" x14ac:dyDescent="0.2">
      <c r="B201" s="20" t="s">
        <v>299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5">
        <f>Q176/S146</f>
        <v>3.0073243025778225</v>
      </c>
      <c r="Q201" s="25">
        <f>Q176/T146</f>
        <v>21.581974406734965</v>
      </c>
      <c r="R201" s="20"/>
      <c r="S201" s="20"/>
      <c r="T201" s="115" t="s">
        <v>11</v>
      </c>
      <c r="U201" s="115" t="s">
        <v>12</v>
      </c>
      <c r="V201" s="115" t="s">
        <v>13</v>
      </c>
      <c r="W201" s="115" t="s">
        <v>14</v>
      </c>
      <c r="X201" s="115" t="s">
        <v>15</v>
      </c>
      <c r="Y201" s="115" t="s">
        <v>234</v>
      </c>
      <c r="Z201" s="115" t="s">
        <v>235</v>
      </c>
      <c r="AA201" s="115" t="s">
        <v>236</v>
      </c>
      <c r="AB201" s="115" t="s">
        <v>237</v>
      </c>
      <c r="AC201" s="115" t="s">
        <v>238</v>
      </c>
      <c r="AD201" s="115" t="s">
        <v>406</v>
      </c>
      <c r="AE201" s="115" t="s">
        <v>407</v>
      </c>
      <c r="AF201" s="115" t="s">
        <v>408</v>
      </c>
      <c r="AG201" s="115" t="s">
        <v>409</v>
      </c>
      <c r="AH201" s="115" t="s">
        <v>410</v>
      </c>
      <c r="AI201" s="115" t="s">
        <v>411</v>
      </c>
      <c r="AJ201" s="115" t="s">
        <v>412</v>
      </c>
      <c r="AK201" s="115" t="s">
        <v>413</v>
      </c>
      <c r="AL201" s="115" t="s">
        <v>414</v>
      </c>
      <c r="AM201" s="115" t="s">
        <v>415</v>
      </c>
      <c r="AN201" s="115" t="s">
        <v>416</v>
      </c>
      <c r="AO201" s="115" t="s">
        <v>417</v>
      </c>
      <c r="AP201" s="115" t="s">
        <v>418</v>
      </c>
      <c r="AQ201" s="115" t="s">
        <v>419</v>
      </c>
      <c r="AR201" s="115" t="s">
        <v>420</v>
      </c>
      <c r="AS201" s="115" t="s">
        <v>421</v>
      </c>
      <c r="AT201" s="115" t="s">
        <v>422</v>
      </c>
    </row>
    <row r="202" spans="2:46" x14ac:dyDescent="0.2">
      <c r="B202" s="20" t="s">
        <v>370</v>
      </c>
      <c r="C202" s="20"/>
      <c r="D202" s="20"/>
      <c r="E202" s="20"/>
      <c r="F202" s="20"/>
      <c r="G202" s="188" t="s">
        <v>447</v>
      </c>
      <c r="H202" s="189"/>
      <c r="I202" s="188" t="s">
        <v>448</v>
      </c>
      <c r="J202" s="189"/>
      <c r="K202" s="20"/>
      <c r="L202" s="188" t="s">
        <v>449</v>
      </c>
      <c r="M202" s="189"/>
      <c r="N202" s="188" t="s">
        <v>450</v>
      </c>
      <c r="O202" s="189"/>
      <c r="P202" s="151">
        <f>1/P201</f>
        <v>0.33252150396377889</v>
      </c>
      <c r="Q202" s="151">
        <f>1/Q201</f>
        <v>4.6334963667083937E-2</v>
      </c>
      <c r="R202" s="20"/>
      <c r="S202" s="20"/>
      <c r="T202" s="129">
        <f>Q176-T203</f>
        <v>70.294962500851142</v>
      </c>
      <c r="U202" s="184">
        <f>T202-U203</f>
        <v>60.104673126744842</v>
      </c>
      <c r="V202" s="184">
        <f t="shared" ref="V202:X202" si="428">U202-V203</f>
        <v>49.40486928393323</v>
      </c>
      <c r="W202" s="184">
        <f t="shared" si="428"/>
        <v>38.170075248981036</v>
      </c>
      <c r="X202" s="184">
        <f t="shared" si="428"/>
        <v>26.373541512281232</v>
      </c>
      <c r="Y202" s="184">
        <f>X202-Y203</f>
        <v>13.987181088746437</v>
      </c>
      <c r="Z202" s="184">
        <f t="shared" ref="Z202:AC202" si="429">Y202-Z203</f>
        <v>0.98150264403490262</v>
      </c>
      <c r="AA202" s="184">
        <f t="shared" si="429"/>
        <v>-12.674459722912209</v>
      </c>
      <c r="AB202" s="184">
        <f t="shared" si="429"/>
        <v>-27.013220208206675</v>
      </c>
      <c r="AC202" s="184">
        <f t="shared" si="429"/>
        <v>-42.068918717765868</v>
      </c>
      <c r="AD202" s="184">
        <f t="shared" ref="AD202" si="430">AC202-AD203</f>
        <v>-57.877402152803022</v>
      </c>
      <c r="AE202" s="184">
        <f t="shared" ref="AE202" si="431">AD202-AE203</f>
        <v>-74.476309759592027</v>
      </c>
      <c r="AF202" s="184">
        <f t="shared" ref="AF202" si="432">AE202-AF203</f>
        <v>-91.905162746720492</v>
      </c>
      <c r="AG202" s="184">
        <f t="shared" ref="AG202" si="433">AF202-AG203</f>
        <v>-110.20545838320538</v>
      </c>
      <c r="AH202" s="184">
        <f t="shared" ref="AH202" si="434">AG202-AH203</f>
        <v>-129.42076880151453</v>
      </c>
      <c r="AI202" s="184">
        <f t="shared" ref="AI202" si="435">AH202-AI203</f>
        <v>-149.59684474073913</v>
      </c>
      <c r="AJ202" s="184">
        <f t="shared" ref="AJ202" si="436">AI202-AJ203</f>
        <v>-170.78172447692495</v>
      </c>
      <c r="AK202" s="184">
        <f t="shared" ref="AK202" si="437">AJ202-AK203</f>
        <v>-193.02584819992006</v>
      </c>
      <c r="AL202" s="184">
        <f t="shared" ref="AL202" si="438">AK202-AL203</f>
        <v>-216.38217810906494</v>
      </c>
      <c r="AM202" s="184">
        <f t="shared" ref="AM202" si="439">AL202-AM203</f>
        <v>-240.90632451366704</v>
      </c>
      <c r="AN202" s="184">
        <f t="shared" ref="AN202" si="440">AM202-AN203</f>
        <v>-266.65667823849924</v>
      </c>
      <c r="AO202" s="184">
        <f t="shared" ref="AO202" si="441">AN202-AO203</f>
        <v>-293.6945496495731</v>
      </c>
      <c r="AP202" s="184">
        <f t="shared" ref="AP202" si="442">AO202-AP203</f>
        <v>-322.08431463120064</v>
      </c>
      <c r="AQ202" s="184">
        <f t="shared" ref="AQ202" si="443">AP202-AQ203</f>
        <v>-351.89356786190956</v>
      </c>
      <c r="AR202" s="184">
        <f t="shared" ref="AR202" si="444">AQ202-AR203</f>
        <v>-383.19328375415392</v>
      </c>
      <c r="AS202" s="184">
        <f t="shared" ref="AS202" si="445">AR202-AS203</f>
        <v>-416.05798544101049</v>
      </c>
      <c r="AT202" s="184">
        <f t="shared" ref="AT202" si="446">AS202-AT203</f>
        <v>-450.5659222122099</v>
      </c>
    </row>
    <row r="203" spans="2:46" x14ac:dyDescent="0.2">
      <c r="B203" s="20" t="s">
        <v>395</v>
      </c>
      <c r="C203" s="20"/>
      <c r="D203" s="20"/>
      <c r="E203" s="20"/>
      <c r="F203" s="20"/>
      <c r="G203" s="190">
        <v>0</v>
      </c>
      <c r="H203" s="189"/>
      <c r="I203" s="190">
        <v>0.05</v>
      </c>
      <c r="J203" s="189"/>
      <c r="K203" s="183">
        <f>P1</f>
        <v>0.05</v>
      </c>
      <c r="L203" s="190">
        <v>0.12</v>
      </c>
      <c r="M203" s="189"/>
      <c r="N203" s="190">
        <v>0.2</v>
      </c>
      <c r="O203" s="218" t="s">
        <v>280</v>
      </c>
      <c r="P203" s="180">
        <f>Q176/S145</f>
        <v>10.106175514626219</v>
      </c>
      <c r="Q203" s="180" t="s">
        <v>470</v>
      </c>
      <c r="R203" s="20"/>
      <c r="S203" s="20"/>
      <c r="T203" s="185">
        <f>R145*(1+$K$203)</f>
        <v>9.7050374991488528</v>
      </c>
      <c r="U203" s="185">
        <f>T203*(1+$K$203)</f>
        <v>10.190289374106296</v>
      </c>
      <c r="V203" s="185">
        <f t="shared" ref="V203:AC203" si="447">U203*(1+$K$203)</f>
        <v>10.699803842811612</v>
      </c>
      <c r="W203" s="185">
        <f t="shared" si="447"/>
        <v>11.234794034952193</v>
      </c>
      <c r="X203" s="185">
        <f t="shared" si="447"/>
        <v>11.796533736699804</v>
      </c>
      <c r="Y203" s="185">
        <f t="shared" si="447"/>
        <v>12.386360423534795</v>
      </c>
      <c r="Z203" s="185">
        <f t="shared" si="447"/>
        <v>13.005678444711535</v>
      </c>
      <c r="AA203" s="185">
        <f t="shared" si="447"/>
        <v>13.655962366947112</v>
      </c>
      <c r="AB203" s="185">
        <f t="shared" si="447"/>
        <v>14.338760485294468</v>
      </c>
      <c r="AC203" s="185">
        <f t="shared" si="447"/>
        <v>15.055698509559193</v>
      </c>
      <c r="AD203" s="185">
        <f t="shared" ref="AD203" si="448">AC203*(1+$K$203)</f>
        <v>15.808483435037154</v>
      </c>
      <c r="AE203" s="185">
        <f t="shared" ref="AE203" si="449">AD203*(1+$K$203)</f>
        <v>16.598907606789012</v>
      </c>
      <c r="AF203" s="185">
        <f t="shared" ref="AF203" si="450">AE203*(1+$K$203)</f>
        <v>17.428852987128465</v>
      </c>
      <c r="AG203" s="185">
        <f t="shared" ref="AG203" si="451">AF203*(1+$K$203)</f>
        <v>18.30029563648489</v>
      </c>
      <c r="AH203" s="185">
        <f t="shared" ref="AH203" si="452">AG203*(1+$K$203)</f>
        <v>19.215310418309134</v>
      </c>
      <c r="AI203" s="185">
        <f t="shared" ref="AI203" si="453">AH203*(1+$K$203)</f>
        <v>20.176075939224592</v>
      </c>
      <c r="AJ203" s="185">
        <f t="shared" ref="AJ203" si="454">AI203*(1+$K$203)</f>
        <v>21.184879736185824</v>
      </c>
      <c r="AK203" s="185">
        <f t="shared" ref="AK203" si="455">AJ203*(1+$K$203)</f>
        <v>22.244123722995116</v>
      </c>
      <c r="AL203" s="185">
        <f t="shared" ref="AL203" si="456">AK203*(1+$K$203)</f>
        <v>23.356329909144872</v>
      </c>
      <c r="AM203" s="185">
        <f t="shared" ref="AM203" si="457">AL203*(1+$K$203)</f>
        <v>24.524146404602117</v>
      </c>
      <c r="AN203" s="185">
        <f t="shared" ref="AN203" si="458">AM203*(1+$K$203)</f>
        <v>25.750353724832223</v>
      </c>
      <c r="AO203" s="185">
        <f t="shared" ref="AO203" si="459">AN203*(1+$K$203)</f>
        <v>27.037871411073837</v>
      </c>
      <c r="AP203" s="185">
        <f t="shared" ref="AP203" si="460">AO203*(1+$K$203)</f>
        <v>28.389764981627529</v>
      </c>
      <c r="AQ203" s="185">
        <f t="shared" ref="AQ203" si="461">AP203*(1+$K$203)</f>
        <v>29.809253230708908</v>
      </c>
      <c r="AR203" s="185">
        <f t="shared" ref="AR203" si="462">AQ203*(1+$K$203)</f>
        <v>31.299715892244354</v>
      </c>
      <c r="AS203" s="185">
        <f t="shared" ref="AS203" si="463">AR203*(1+$K$203)</f>
        <v>32.86470168685657</v>
      </c>
      <c r="AT203" s="185">
        <f t="shared" ref="AT203" si="464">AS203*(1+$K$203)</f>
        <v>34.507936771199397</v>
      </c>
    </row>
    <row r="204" spans="2:46" x14ac:dyDescent="0.2">
      <c r="B204" s="20" t="s">
        <v>394</v>
      </c>
      <c r="C204" s="20"/>
      <c r="D204" s="20"/>
      <c r="E204" s="23" t="s">
        <v>390</v>
      </c>
      <c r="F204" s="22"/>
      <c r="G204" s="190">
        <v>0</v>
      </c>
      <c r="H204" s="191">
        <f>Q178</f>
        <v>2.8266666666666667</v>
      </c>
      <c r="I204" s="190">
        <v>0.05</v>
      </c>
      <c r="J204" s="189"/>
      <c r="K204" s="183">
        <f>P1</f>
        <v>0.05</v>
      </c>
      <c r="L204" s="190">
        <v>0.12</v>
      </c>
      <c r="M204" s="189"/>
      <c r="N204" s="190">
        <v>0.2</v>
      </c>
      <c r="O204" s="218" t="s">
        <v>469</v>
      </c>
      <c r="P204" s="180">
        <f>Q176/Q56</f>
        <v>2.8266666666666667</v>
      </c>
      <c r="Q204" s="180" t="s">
        <v>470</v>
      </c>
      <c r="R204" s="20"/>
      <c r="S204" s="20"/>
      <c r="T204" s="185">
        <f>Q56*(1+$K$204)</f>
        <v>29.716981132075475</v>
      </c>
      <c r="U204" s="185">
        <f>T204*(1+$K$204)</f>
        <v>31.202830188679251</v>
      </c>
      <c r="V204" s="185">
        <f t="shared" ref="V204:AC204" si="465">U204*(1+$K$204)</f>
        <v>32.762971698113212</v>
      </c>
      <c r="W204" s="185">
        <f t="shared" si="465"/>
        <v>34.401120283018876</v>
      </c>
      <c r="X204" s="185">
        <f t="shared" si="465"/>
        <v>36.121176297169825</v>
      </c>
      <c r="Y204" s="185">
        <f t="shared" si="465"/>
        <v>37.92723511202832</v>
      </c>
      <c r="Z204" s="185">
        <f t="shared" si="465"/>
        <v>39.823596867629739</v>
      </c>
      <c r="AA204" s="185">
        <f t="shared" si="465"/>
        <v>41.814776711011227</v>
      </c>
      <c r="AB204" s="185">
        <f t="shared" si="465"/>
        <v>43.905515546561787</v>
      </c>
      <c r="AC204" s="185">
        <f t="shared" si="465"/>
        <v>46.100791323889879</v>
      </c>
      <c r="AD204" s="185">
        <f t="shared" ref="AD204" si="466">AC204*(1+$K$204)</f>
        <v>48.405830890084374</v>
      </c>
      <c r="AE204" s="185">
        <f t="shared" ref="AE204" si="467">AD204*(1+$K$204)</f>
        <v>50.826122434588598</v>
      </c>
      <c r="AF204" s="185">
        <f t="shared" ref="AF204" si="468">AE204*(1+$K$204)</f>
        <v>53.367428556318032</v>
      </c>
      <c r="AG204" s="185">
        <f t="shared" ref="AG204" si="469">AF204*(1+$K$204)</f>
        <v>56.035799984133938</v>
      </c>
      <c r="AH204" s="185">
        <f t="shared" ref="AH204" si="470">AG204*(1+$K$204)</f>
        <v>58.837589983340635</v>
      </c>
      <c r="AI204" s="185">
        <f t="shared" ref="AI204" si="471">AH204*(1+$K$204)</f>
        <v>61.779469482507672</v>
      </c>
      <c r="AJ204" s="185">
        <f t="shared" ref="AJ204" si="472">AI204*(1+$K$204)</f>
        <v>64.868442956633061</v>
      </c>
      <c r="AK204" s="185">
        <f t="shared" ref="AK204" si="473">AJ204*(1+$K$204)</f>
        <v>68.111865104464712</v>
      </c>
      <c r="AL204" s="185">
        <f t="shared" ref="AL204" si="474">AK204*(1+$K$204)</f>
        <v>71.51745835968795</v>
      </c>
      <c r="AM204" s="185">
        <f t="shared" ref="AM204" si="475">AL204*(1+$K$204)</f>
        <v>75.093331277672348</v>
      </c>
      <c r="AN204" s="185">
        <f t="shared" ref="AN204" si="476">AM204*(1+$K$204)</f>
        <v>78.847997841555966</v>
      </c>
      <c r="AO204" s="185">
        <f t="shared" ref="AO204" si="477">AN204*(1+$K$204)</f>
        <v>82.790397733633768</v>
      </c>
      <c r="AP204" s="185">
        <f t="shared" ref="AP204" si="478">AO204*(1+$K$204)</f>
        <v>86.929917620315464</v>
      </c>
      <c r="AQ204" s="185">
        <f t="shared" ref="AQ204" si="479">AP204*(1+$K$204)</f>
        <v>91.276413501331248</v>
      </c>
      <c r="AR204" s="185">
        <f t="shared" ref="AR204" si="480">AQ204*(1+$K$204)</f>
        <v>95.840234176397814</v>
      </c>
      <c r="AS204" s="185">
        <f t="shared" ref="AS204" si="481">AR204*(1+$K$204)</f>
        <v>100.63224588521771</v>
      </c>
      <c r="AT204" s="185">
        <f t="shared" ref="AT204" si="482">AS204*(1+$K$204)</f>
        <v>105.66385817947861</v>
      </c>
    </row>
    <row r="205" spans="2:46" x14ac:dyDescent="0.2">
      <c r="B205" s="20"/>
      <c r="C205" s="20"/>
      <c r="D205" s="20"/>
      <c r="E205" s="23" t="s">
        <v>453</v>
      </c>
      <c r="F205" s="22"/>
      <c r="G205" s="190">
        <v>0</v>
      </c>
      <c r="H205" s="191"/>
      <c r="I205" s="190">
        <v>0.05</v>
      </c>
      <c r="J205" s="189"/>
      <c r="K205" s="189"/>
      <c r="L205" s="190">
        <v>0.12</v>
      </c>
      <c r="M205" s="189"/>
      <c r="N205" s="190">
        <v>0.2</v>
      </c>
      <c r="O205" s="20"/>
      <c r="P205" s="20"/>
      <c r="Q205" s="20"/>
      <c r="R205" s="20"/>
      <c r="S205" s="20"/>
      <c r="T205" s="129">
        <f>Q176-T204</f>
        <v>50.283018867924525</v>
      </c>
      <c r="U205" s="184">
        <f>T205-U204</f>
        <v>19.080188679245275</v>
      </c>
      <c r="V205" s="184">
        <f t="shared" ref="V205:AA205" si="483">U205-V204</f>
        <v>-13.682783018867937</v>
      </c>
      <c r="W205" s="184">
        <f t="shared" si="483"/>
        <v>-48.083903301886814</v>
      </c>
      <c r="X205" s="184">
        <f t="shared" si="483"/>
        <v>-84.205079599056631</v>
      </c>
      <c r="Y205" s="184">
        <f t="shared" si="483"/>
        <v>-122.13231471108494</v>
      </c>
      <c r="Z205" s="184">
        <f t="shared" si="483"/>
        <v>-161.95591157871468</v>
      </c>
      <c r="AA205" s="184">
        <f t="shared" si="483"/>
        <v>-203.77068828972591</v>
      </c>
      <c r="AB205" s="184">
        <f>AA205-AB204</f>
        <v>-247.6762038362877</v>
      </c>
      <c r="AC205" s="184">
        <f t="shared" ref="AC205" si="484">AB205-AC204</f>
        <v>-293.77699516017759</v>
      </c>
      <c r="AD205" s="184">
        <f t="shared" ref="AD205" si="485">AC205-AD204</f>
        <v>-342.18282605026195</v>
      </c>
      <c r="AE205" s="184">
        <f t="shared" ref="AE205" si="486">AD205-AE204</f>
        <v>-393.00894848485052</v>
      </c>
      <c r="AF205" s="184">
        <f t="shared" ref="AF205" si="487">AE205-AF204</f>
        <v>-446.37637704116855</v>
      </c>
      <c r="AG205" s="184">
        <f t="shared" ref="AG205" si="488">AF205-AG204</f>
        <v>-502.41217702530247</v>
      </c>
      <c r="AH205" s="184">
        <f t="shared" ref="AH205" si="489">AG205-AH204</f>
        <v>-561.24976700864306</v>
      </c>
      <c r="AI205" s="184">
        <f t="shared" ref="AI205" si="490">AH205-AI204</f>
        <v>-623.02923649115075</v>
      </c>
      <c r="AJ205" s="184">
        <f t="shared" ref="AJ205" si="491">AI205-AJ204</f>
        <v>-687.89767944778384</v>
      </c>
      <c r="AK205" s="184">
        <f t="shared" ref="AK205" si="492">AJ205-AK204</f>
        <v>-756.0095445522486</v>
      </c>
      <c r="AL205" s="184">
        <f t="shared" ref="AL205" si="493">AK205-AL204</f>
        <v>-827.52700291193651</v>
      </c>
      <c r="AM205" s="184">
        <f t="shared" ref="AM205" si="494">AL205-AM204</f>
        <v>-902.62033418960891</v>
      </c>
      <c r="AN205" s="184">
        <f t="shared" ref="AN205" si="495">AM205-AN204</f>
        <v>-981.46833203116489</v>
      </c>
      <c r="AO205" s="184">
        <f t="shared" ref="AO205" si="496">AN205-AO204</f>
        <v>-1064.2587297647988</v>
      </c>
      <c r="AP205" s="184">
        <f t="shared" ref="AP205" si="497">AO205-AP204</f>
        <v>-1151.1886473851143</v>
      </c>
      <c r="AQ205" s="184">
        <f t="shared" ref="AQ205" si="498">AP205-AQ204</f>
        <v>-1242.4650608864456</v>
      </c>
      <c r="AR205" s="184">
        <f t="shared" ref="AR205" si="499">AQ205-AR204</f>
        <v>-1338.3052950628435</v>
      </c>
      <c r="AS205" s="184">
        <f t="shared" ref="AS205" si="500">AR205-AS204</f>
        <v>-1438.9375409480613</v>
      </c>
      <c r="AT205" s="184">
        <f t="shared" ref="AT205" si="501">AS205-AT204</f>
        <v>-1544.6013991275399</v>
      </c>
    </row>
    <row r="206" spans="2:46" x14ac:dyDescent="0.2">
      <c r="B206" s="108" t="s">
        <v>301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 t="s">
        <v>304</v>
      </c>
      <c r="C207" s="25"/>
      <c r="D207" s="25"/>
      <c r="E207" s="25"/>
      <c r="F207" s="25"/>
      <c r="G207" s="25">
        <f>G10/G7</f>
        <v>0.25</v>
      </c>
      <c r="H207" s="25">
        <f>H10/H7</f>
        <v>0.10666666666666667</v>
      </c>
      <c r="I207" s="25">
        <f>I10/I7</f>
        <v>0.12121212121212122</v>
      </c>
      <c r="J207" s="25">
        <f>J10/J7</f>
        <v>0.55555555555555558</v>
      </c>
      <c r="K207" s="25">
        <f>K10/K7</f>
        <v>0.94285714285714284</v>
      </c>
      <c r="L207" s="25">
        <f>L10/L7</f>
        <v>1.2222222222222223</v>
      </c>
      <c r="M207" s="25">
        <f>M10/M7</f>
        <v>1.0263157894736843</v>
      </c>
      <c r="N207" s="25">
        <f>N10/N7</f>
        <v>0.63043478260869568</v>
      </c>
      <c r="O207" s="25">
        <f>O10/O7</f>
        <v>0.36363636363636365</v>
      </c>
      <c r="P207" s="25">
        <f>P10/P7</f>
        <v>0.32432432432432434</v>
      </c>
      <c r="Q207" s="25">
        <f>Q10/Q7</f>
        <v>0.14285714285714285</v>
      </c>
      <c r="R207" s="118">
        <f t="shared" ref="R207:R209" si="502">((P207/G207)^(1/($H$2-$H$1) ))-1</f>
        <v>2.9342598154335153E-2</v>
      </c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 t="s">
        <v>305</v>
      </c>
      <c r="C208" s="112"/>
      <c r="D208" s="112"/>
      <c r="E208" s="112"/>
      <c r="F208" s="112"/>
      <c r="G208" s="112">
        <f>G10/G12</f>
        <v>10</v>
      </c>
      <c r="H208" s="112">
        <f>H10/H12</f>
        <v>4</v>
      </c>
      <c r="I208" s="112">
        <f>I10/I12</f>
        <v>13.333333333333334</v>
      </c>
      <c r="J208" s="112">
        <f>J10/J12</f>
        <v>20</v>
      </c>
      <c r="K208" s="112">
        <f>K10/K12</f>
        <v>33</v>
      </c>
      <c r="L208" s="112">
        <f>L10/L12</f>
        <v>110</v>
      </c>
      <c r="M208" s="112">
        <f>M10/M12</f>
        <v>32.5</v>
      </c>
      <c r="N208" s="112">
        <f>N10/N12</f>
        <v>58</v>
      </c>
      <c r="O208" s="112">
        <f>O10/O12</f>
        <v>50</v>
      </c>
      <c r="P208" s="112">
        <f>P10/P12</f>
        <v>30</v>
      </c>
      <c r="Q208" s="112">
        <f>Q10/Q12</f>
        <v>1.5555555555555556</v>
      </c>
      <c r="R208" s="118">
        <f t="shared" si="502"/>
        <v>0.12983096390975302</v>
      </c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 t="s">
        <v>306</v>
      </c>
      <c r="C209" s="25"/>
      <c r="D209" s="25"/>
      <c r="E209" s="25"/>
      <c r="F209" s="25"/>
      <c r="G209" s="25">
        <f>G10/(G12+G13)</f>
        <v>0.8045977011494253</v>
      </c>
      <c r="H209" s="25">
        <f>H10/(H12+H13)</f>
        <v>0.50955414012738853</v>
      </c>
      <c r="I209" s="25">
        <f>I10/(I12+I13)</f>
        <v>0.53262316910785623</v>
      </c>
      <c r="J209" s="25">
        <f>J10/(J12+J13)</f>
        <v>11.627906976744185</v>
      </c>
      <c r="K209" s="25">
        <f>K10/(K12+K13)</f>
        <v>30.555555555555554</v>
      </c>
      <c r="L209" s="25">
        <f>L10/(L12+L13)</f>
        <v>91.666666666666657</v>
      </c>
      <c r="M209" s="25">
        <f>M10/(M12+M13)</f>
        <v>30.46875</v>
      </c>
      <c r="N209" s="25">
        <f>N10/(N12+N13)</f>
        <v>50</v>
      </c>
      <c r="O209" s="25">
        <f>O10/(O12+O13)</f>
        <v>41.666666666666664</v>
      </c>
      <c r="P209" s="25">
        <f>P10/(P12+P13)</f>
        <v>2.8915662650602405</v>
      </c>
      <c r="Q209" s="25">
        <f>Q10/(Q12+Q13)</f>
        <v>1.5401540154015403</v>
      </c>
      <c r="R209" s="118">
        <f t="shared" si="502"/>
        <v>0.15273176917345332</v>
      </c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173" t="s">
        <v>376</v>
      </c>
      <c r="D212" s="174"/>
      <c r="E212" s="174"/>
      <c r="F212" s="174"/>
      <c r="G212" s="174"/>
      <c r="H212" s="174"/>
      <c r="I212" s="174"/>
      <c r="J212" s="174"/>
      <c r="K212" s="20"/>
      <c r="L212" s="205" t="s">
        <v>336</v>
      </c>
      <c r="M212" s="206"/>
      <c r="N212" s="207"/>
      <c r="O212" s="23" t="s">
        <v>339</v>
      </c>
      <c r="P212" s="20"/>
      <c r="Q212" s="136"/>
      <c r="R212" s="205" t="s">
        <v>337</v>
      </c>
      <c r="S212" s="206"/>
      <c r="T212" s="207"/>
      <c r="U212" s="23" t="s">
        <v>339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165" t="s">
        <v>338</v>
      </c>
      <c r="D213" s="165" t="s">
        <v>0</v>
      </c>
      <c r="E213" s="165" t="s">
        <v>377</v>
      </c>
      <c r="F213" s="165" t="s">
        <v>378</v>
      </c>
      <c r="G213" s="165" t="s">
        <v>379</v>
      </c>
      <c r="H213" s="165" t="s">
        <v>380</v>
      </c>
      <c r="I213" s="165" t="s">
        <v>381</v>
      </c>
      <c r="J213" s="165" t="s">
        <v>382</v>
      </c>
      <c r="K213" s="20"/>
      <c r="L213" s="165" t="s">
        <v>338</v>
      </c>
      <c r="M213" s="165"/>
      <c r="N213" s="165" t="s">
        <v>0</v>
      </c>
      <c r="O213" s="165" t="s">
        <v>371</v>
      </c>
      <c r="P213" s="20"/>
      <c r="Q213" s="20"/>
      <c r="R213" s="165" t="s">
        <v>338</v>
      </c>
      <c r="S213" s="165"/>
      <c r="T213" s="165" t="s">
        <v>0</v>
      </c>
      <c r="U213" s="165" t="s">
        <v>371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166" t="s">
        <v>340</v>
      </c>
      <c r="D214" s="21">
        <v>20</v>
      </c>
      <c r="E214" s="175" t="s">
        <v>383</v>
      </c>
      <c r="F214" s="22">
        <v>1</v>
      </c>
      <c r="G214" s="22">
        <v>1</v>
      </c>
      <c r="H214" s="166">
        <f>F214/G214</f>
        <v>1</v>
      </c>
      <c r="I214" s="166">
        <f>H214*D215</f>
        <v>1</v>
      </c>
      <c r="J214" s="176">
        <f>I214+D215</f>
        <v>2</v>
      </c>
      <c r="K214" s="20"/>
      <c r="L214" s="166" t="s">
        <v>340</v>
      </c>
      <c r="M214" s="166"/>
      <c r="N214" s="21">
        <v>2</v>
      </c>
      <c r="O214" s="172">
        <f>N214</f>
        <v>2</v>
      </c>
      <c r="P214" s="20"/>
      <c r="Q214" s="20"/>
      <c r="R214" s="166" t="s">
        <v>340</v>
      </c>
      <c r="S214" s="166"/>
      <c r="T214" s="21">
        <v>1</v>
      </c>
      <c r="U214" s="172">
        <f>T214</f>
        <v>1</v>
      </c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166" t="s">
        <v>341</v>
      </c>
      <c r="D215" s="21">
        <v>1</v>
      </c>
      <c r="E215" s="175" t="s">
        <v>384</v>
      </c>
      <c r="F215" s="22">
        <v>0</v>
      </c>
      <c r="G215" s="22">
        <v>1</v>
      </c>
      <c r="H215" s="166">
        <f>F215/G215</f>
        <v>0</v>
      </c>
      <c r="I215" s="166">
        <f>H215*J214</f>
        <v>0</v>
      </c>
      <c r="J215" s="166">
        <f>I215+J214</f>
        <v>2</v>
      </c>
      <c r="K215" s="20"/>
      <c r="L215" s="166" t="s">
        <v>341</v>
      </c>
      <c r="M215" s="166"/>
      <c r="N215" s="21">
        <v>1</v>
      </c>
      <c r="O215" s="172">
        <f>N215</f>
        <v>1</v>
      </c>
      <c r="P215" s="20"/>
      <c r="Q215" s="20"/>
      <c r="R215" s="166" t="s">
        <v>341</v>
      </c>
      <c r="S215" s="166"/>
      <c r="T215" s="21">
        <v>1</v>
      </c>
      <c r="U215" s="172">
        <f>T215</f>
        <v>1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166" t="s">
        <v>343</v>
      </c>
      <c r="D216" s="167">
        <f>D214*D215</f>
        <v>20</v>
      </c>
      <c r="E216" s="175" t="s">
        <v>396</v>
      </c>
      <c r="F216" s="22">
        <v>0</v>
      </c>
      <c r="G216" s="22">
        <v>1</v>
      </c>
      <c r="H216" s="166">
        <f>F216/G216</f>
        <v>0</v>
      </c>
      <c r="I216" s="166">
        <f>H216*J215</f>
        <v>0</v>
      </c>
      <c r="J216" s="166">
        <f>I216+J215</f>
        <v>2</v>
      </c>
      <c r="K216" s="20"/>
      <c r="L216" s="166" t="s">
        <v>342</v>
      </c>
      <c r="M216" s="166"/>
      <c r="N216" s="167">
        <f>N214*N215</f>
        <v>2</v>
      </c>
      <c r="O216" s="172">
        <f>N216</f>
        <v>2</v>
      </c>
      <c r="P216" s="20"/>
      <c r="Q216" s="20"/>
      <c r="R216" s="166" t="s">
        <v>343</v>
      </c>
      <c r="S216" s="166"/>
      <c r="T216" s="167">
        <f>T214*T215</f>
        <v>1</v>
      </c>
      <c r="U216" s="172">
        <f>T216</f>
        <v>1</v>
      </c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166"/>
      <c r="D217" s="167"/>
      <c r="E217" s="175" t="s">
        <v>454</v>
      </c>
      <c r="F217" s="22">
        <v>0</v>
      </c>
      <c r="G217" s="22">
        <v>1</v>
      </c>
      <c r="H217" s="166">
        <f t="shared" ref="H217:H220" si="503">F217/G217</f>
        <v>0</v>
      </c>
      <c r="I217" s="166">
        <f t="shared" ref="I217:I219" si="504">H217*J216</f>
        <v>0</v>
      </c>
      <c r="J217" s="166">
        <f t="shared" ref="J217:J219" si="505">I217+J216</f>
        <v>2</v>
      </c>
      <c r="K217" s="20"/>
      <c r="L217" s="166" t="s">
        <v>344</v>
      </c>
      <c r="M217" s="166"/>
      <c r="N217" s="21">
        <v>348</v>
      </c>
      <c r="O217" s="21">
        <v>371</v>
      </c>
      <c r="P217" s="20"/>
      <c r="Q217" s="20"/>
      <c r="R217" s="166" t="s">
        <v>344</v>
      </c>
      <c r="S217" s="166"/>
      <c r="T217" s="21">
        <v>1</v>
      </c>
      <c r="U217" s="21">
        <v>1</v>
      </c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166"/>
      <c r="D218" s="167"/>
      <c r="E218" s="175" t="s">
        <v>455</v>
      </c>
      <c r="F218" s="22">
        <v>0</v>
      </c>
      <c r="G218" s="22">
        <v>1</v>
      </c>
      <c r="H218" s="166">
        <f t="shared" si="503"/>
        <v>0</v>
      </c>
      <c r="I218" s="166">
        <f t="shared" si="504"/>
        <v>0</v>
      </c>
      <c r="J218" s="166">
        <f t="shared" si="505"/>
        <v>2</v>
      </c>
      <c r="K218" s="20"/>
      <c r="L218" s="166" t="s">
        <v>345</v>
      </c>
      <c r="M218" s="166"/>
      <c r="N218" s="167">
        <f>N217*N215</f>
        <v>348</v>
      </c>
      <c r="O218" s="167">
        <f>O217*O215</f>
        <v>371</v>
      </c>
      <c r="P218" s="20"/>
      <c r="Q218" s="20"/>
      <c r="R218" s="166" t="s">
        <v>341</v>
      </c>
      <c r="S218" s="166"/>
      <c r="T218" s="21">
        <v>1</v>
      </c>
      <c r="U218" s="127">
        <f>T218</f>
        <v>1</v>
      </c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166"/>
      <c r="D219" s="167"/>
      <c r="E219" s="175" t="s">
        <v>456</v>
      </c>
      <c r="F219" s="22">
        <v>0</v>
      </c>
      <c r="G219" s="22">
        <v>1</v>
      </c>
      <c r="H219" s="166">
        <f t="shared" si="503"/>
        <v>0</v>
      </c>
      <c r="I219" s="166">
        <f t="shared" si="504"/>
        <v>0</v>
      </c>
      <c r="J219" s="166">
        <f t="shared" si="505"/>
        <v>2</v>
      </c>
      <c r="K219" s="20"/>
      <c r="L219" s="166"/>
      <c r="M219" s="166"/>
      <c r="N219" s="167"/>
      <c r="O219" s="167"/>
      <c r="P219" s="20"/>
      <c r="Q219" s="20"/>
      <c r="R219" s="166" t="s">
        <v>343</v>
      </c>
      <c r="S219" s="166"/>
      <c r="T219" s="167">
        <f>T218*T217</f>
        <v>1</v>
      </c>
      <c r="U219" s="167">
        <f>U218*U217</f>
        <v>1</v>
      </c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166"/>
      <c r="D220" s="167"/>
      <c r="E220" s="175" t="s">
        <v>385</v>
      </c>
      <c r="F220" s="22">
        <v>10</v>
      </c>
      <c r="G220" s="22">
        <v>2</v>
      </c>
      <c r="H220" s="166">
        <f t="shared" si="503"/>
        <v>5</v>
      </c>
      <c r="I220" s="166">
        <f>H220*J219</f>
        <v>10</v>
      </c>
      <c r="J220" s="166">
        <f>I220</f>
        <v>10</v>
      </c>
      <c r="K220" s="20"/>
      <c r="L220" s="166"/>
      <c r="M220" s="166"/>
      <c r="N220" s="167"/>
      <c r="O220" s="167"/>
      <c r="P220" s="20"/>
      <c r="Q220" s="20"/>
      <c r="R220" s="166"/>
      <c r="S220" s="166"/>
      <c r="T220" s="167"/>
      <c r="U220" s="167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166"/>
      <c r="D221" s="167"/>
      <c r="E221" s="175" t="s">
        <v>457</v>
      </c>
      <c r="F221" s="22">
        <v>0</v>
      </c>
      <c r="G221" s="22">
        <v>1</v>
      </c>
      <c r="H221" s="166">
        <f>F221/G221</f>
        <v>0</v>
      </c>
      <c r="I221" s="166">
        <f>H221*J220</f>
        <v>0</v>
      </c>
      <c r="J221" s="166">
        <f>I221</f>
        <v>0</v>
      </c>
      <c r="K221" s="20"/>
      <c r="L221" s="168" t="s">
        <v>346</v>
      </c>
      <c r="M221" s="168"/>
      <c r="N221" s="169">
        <f>N218/N216</f>
        <v>174</v>
      </c>
      <c r="O221" s="169">
        <f>O218/O216</f>
        <v>185.5</v>
      </c>
      <c r="P221" s="20"/>
      <c r="Q221" s="20"/>
      <c r="R221" s="168" t="s">
        <v>346</v>
      </c>
      <c r="S221" s="168"/>
      <c r="T221" s="169">
        <f>T219/T216</f>
        <v>1</v>
      </c>
      <c r="U221" s="169">
        <f>U219/U216</f>
        <v>1</v>
      </c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B222" s="20"/>
      <c r="C222" s="166" t="s">
        <v>344</v>
      </c>
      <c r="D222" s="21">
        <v>350</v>
      </c>
      <c r="E222" s="175"/>
      <c r="F222" s="166"/>
      <c r="G222" s="166"/>
      <c r="H222" s="168" t="s">
        <v>386</v>
      </c>
      <c r="I222" s="166"/>
      <c r="J222" s="166">
        <f>J221</f>
        <v>0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 x14ac:dyDescent="0.2">
      <c r="B223" s="20"/>
      <c r="C223" s="166" t="s">
        <v>341</v>
      </c>
      <c r="D223" s="21">
        <v>10</v>
      </c>
      <c r="E223" s="175" t="s">
        <v>385</v>
      </c>
      <c r="F223" s="22">
        <v>10</v>
      </c>
      <c r="G223" s="22">
        <v>2</v>
      </c>
      <c r="H223" s="166">
        <f>F223/G223</f>
        <v>5</v>
      </c>
      <c r="I223" s="176">
        <f>H223*D215</f>
        <v>5</v>
      </c>
      <c r="J223" s="176">
        <f>I223</f>
        <v>5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32" x14ac:dyDescent="0.2">
      <c r="B224" s="20"/>
      <c r="C224" s="166" t="s">
        <v>343</v>
      </c>
      <c r="D224" s="167">
        <f>D223*D222</f>
        <v>3500</v>
      </c>
      <c r="E224" s="166"/>
      <c r="F224" s="166"/>
      <c r="G224" s="166"/>
      <c r="H224" s="168" t="s">
        <v>386</v>
      </c>
      <c r="I224" s="166"/>
      <c r="J224" s="166">
        <f>J223</f>
        <v>5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 x14ac:dyDescent="0.2">
      <c r="B225" s="20"/>
      <c r="C225" s="166"/>
      <c r="D225" s="167"/>
      <c r="E225" s="175" t="s">
        <v>385</v>
      </c>
      <c r="F225" s="22">
        <v>10</v>
      </c>
      <c r="G225" s="22">
        <v>2</v>
      </c>
      <c r="H225" s="166">
        <f>F225/G225</f>
        <v>5</v>
      </c>
      <c r="I225" s="166">
        <f>H225*J224</f>
        <v>25</v>
      </c>
      <c r="J225" s="166">
        <f>I225</f>
        <v>25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 x14ac:dyDescent="0.2">
      <c r="B226" s="20"/>
      <c r="C226" s="168" t="s">
        <v>346</v>
      </c>
      <c r="D226" s="169">
        <f>D224/D216</f>
        <v>175</v>
      </c>
      <c r="E226" s="175"/>
      <c r="F226" s="166"/>
      <c r="G226" s="166"/>
      <c r="H226" s="168" t="s">
        <v>386</v>
      </c>
      <c r="I226" s="166"/>
      <c r="J226" s="166">
        <f>J225</f>
        <v>25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 x14ac:dyDescent="0.2"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 x14ac:dyDescent="0.2">
      <c r="B228" s="20"/>
      <c r="C228" s="20"/>
      <c r="D228" s="136"/>
      <c r="E228" s="177"/>
      <c r="F228" s="177"/>
      <c r="G228" s="178"/>
      <c r="H228" s="20"/>
      <c r="I228" s="136"/>
      <c r="J228" s="177"/>
      <c r="K228" s="178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2:32" ht="14.25" x14ac:dyDescent="0.2">
      <c r="B229" s="20"/>
      <c r="C229" s="20"/>
      <c r="D229" s="198" t="s">
        <v>27</v>
      </c>
      <c r="E229" s="199"/>
      <c r="F229" s="199"/>
      <c r="G229" s="200"/>
      <c r="H229" s="20"/>
      <c r="I229" s="198" t="s">
        <v>391</v>
      </c>
      <c r="J229" s="199"/>
      <c r="K229" s="20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2:32" x14ac:dyDescent="0.2">
      <c r="B230" s="20"/>
      <c r="C230" s="20"/>
      <c r="D230" s="20" t="s">
        <v>28</v>
      </c>
      <c r="E230" s="127"/>
      <c r="F230" s="127"/>
      <c r="G230" s="21">
        <f>D216</f>
        <v>20</v>
      </c>
      <c r="H230" s="20"/>
      <c r="I230" s="20" t="s">
        <v>28</v>
      </c>
      <c r="J230" s="127"/>
      <c r="K230" s="21">
        <f>G230</f>
        <v>20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spans="2:32" x14ac:dyDescent="0.2">
      <c r="B231" s="20"/>
      <c r="C231" s="20"/>
      <c r="D231" s="20" t="s">
        <v>29</v>
      </c>
      <c r="E231" s="127"/>
      <c r="F231" s="127"/>
      <c r="G231" s="21">
        <f>D224</f>
        <v>3500</v>
      </c>
      <c r="H231" s="20"/>
      <c r="I231" s="20" t="s">
        <v>29</v>
      </c>
      <c r="J231" s="20"/>
      <c r="K231" s="21">
        <f>G231</f>
        <v>3500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2:32" x14ac:dyDescent="0.2">
      <c r="B232" s="20"/>
      <c r="C232" s="20"/>
      <c r="D232" s="20" t="s">
        <v>30</v>
      </c>
      <c r="E232" s="20"/>
      <c r="F232" s="20"/>
      <c r="G232" s="22">
        <v>10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2:32" x14ac:dyDescent="0.2">
      <c r="B233" s="20"/>
      <c r="C233" s="20"/>
      <c r="D233" s="23" t="s">
        <v>31</v>
      </c>
      <c r="E233" s="3"/>
      <c r="F233" s="3"/>
      <c r="G233" s="3">
        <f>((G231/G230)^(1/G232))-1</f>
        <v>0.67611496972035123</v>
      </c>
      <c r="H233" s="20"/>
      <c r="I233" s="23" t="s">
        <v>392</v>
      </c>
      <c r="J233" s="23"/>
      <c r="K233" s="192">
        <f>(K231-K230)/K230</f>
        <v>174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2:32" x14ac:dyDescent="0.2">
      <c r="C234" s="20"/>
      <c r="D234" s="23" t="s">
        <v>32</v>
      </c>
      <c r="E234" s="164"/>
      <c r="F234" s="164"/>
      <c r="G234" s="24">
        <f>G232*12</f>
        <v>120</v>
      </c>
      <c r="H234" s="20"/>
      <c r="I234" s="23" t="s">
        <v>393</v>
      </c>
      <c r="J234" s="23"/>
      <c r="K234" s="23">
        <f>K231/K230</f>
        <v>175</v>
      </c>
    </row>
    <row r="235" spans="2:32" x14ac:dyDescent="0.2">
      <c r="C235" s="20"/>
      <c r="D235" s="20" t="s">
        <v>30</v>
      </c>
      <c r="E235" s="25"/>
      <c r="F235" s="25"/>
      <c r="G235" s="25">
        <f>G234/12</f>
        <v>10</v>
      </c>
      <c r="H235" s="20"/>
      <c r="I235" s="20"/>
      <c r="J235" s="20"/>
      <c r="K235" s="20"/>
    </row>
    <row r="236" spans="2:32" x14ac:dyDescent="0.2">
      <c r="C236" s="20"/>
      <c r="D236" s="23" t="s">
        <v>33</v>
      </c>
      <c r="E236" s="3"/>
      <c r="F236" s="3"/>
      <c r="G236" s="3">
        <f>((G231/G230)^(1/G235))-1</f>
        <v>0.67611496972035123</v>
      </c>
      <c r="H236" s="20"/>
      <c r="I236" s="20"/>
      <c r="J236" s="20"/>
      <c r="K236" s="20"/>
    </row>
    <row r="237" spans="2:32" x14ac:dyDescent="0.2">
      <c r="C237" s="20"/>
      <c r="D237" s="20"/>
      <c r="E237" s="20"/>
      <c r="F237" s="20"/>
      <c r="G237" s="20"/>
      <c r="H237" s="20"/>
      <c r="I237" s="20"/>
      <c r="J237" s="20"/>
      <c r="K237" s="20"/>
    </row>
    <row r="238" spans="2:32" x14ac:dyDescent="0.2">
      <c r="C238" s="20"/>
      <c r="D238" s="20"/>
      <c r="E238" s="20"/>
      <c r="F238" s="20"/>
      <c r="G238" s="20"/>
      <c r="H238" s="20"/>
      <c r="I238" s="20"/>
      <c r="J238" s="20"/>
      <c r="K238" s="20"/>
    </row>
  </sheetData>
  <mergeCells count="7">
    <mergeCell ref="D229:G229"/>
    <mergeCell ref="I229:K229"/>
    <mergeCell ref="AE2:AF2"/>
    <mergeCell ref="AE3:AF3"/>
    <mergeCell ref="L212:N212"/>
    <mergeCell ref="R212:T212"/>
    <mergeCell ref="K195:L19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0" t="s">
        <v>27</v>
      </c>
      <c r="K5" s="210"/>
      <c r="M5" s="210" t="s">
        <v>65</v>
      </c>
      <c r="N5" s="21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0" t="s">
        <v>36</v>
      </c>
      <c r="K14" s="210"/>
      <c r="L14" s="21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0" t="s">
        <v>27</v>
      </c>
      <c r="S5" s="21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0" t="s">
        <v>36</v>
      </c>
      <c r="S14" s="210"/>
      <c r="T14" s="21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0" t="s">
        <v>27</v>
      </c>
      <c r="C2" s="210"/>
      <c r="E2" s="210" t="s">
        <v>65</v>
      </c>
      <c r="F2" s="210"/>
      <c r="H2" s="214" t="s">
        <v>36</v>
      </c>
      <c r="I2" s="21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1" t="s">
        <v>68</v>
      </c>
      <c r="E10" s="212"/>
      <c r="F10" s="212"/>
      <c r="G10" s="212"/>
      <c r="H10" s="213"/>
      <c r="I10" s="211" t="s">
        <v>72</v>
      </c>
      <c r="J10" s="212"/>
      <c r="K10" s="212"/>
      <c r="L10" s="21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6"/>
    <col min="2" max="2" width="16.5703125" style="186" customWidth="1"/>
    <col min="3" max="3" width="39.7109375" style="186" customWidth="1"/>
    <col min="4" max="5" width="9.140625" style="186"/>
    <col min="6" max="6" width="19" style="186" bestFit="1" customWidth="1"/>
    <col min="7" max="7" width="49" style="186" customWidth="1"/>
    <col min="8" max="16384" width="9.140625" style="186"/>
  </cols>
  <sheetData>
    <row r="3" spans="2:7" x14ac:dyDescent="0.2">
      <c r="B3" s="216" t="s">
        <v>430</v>
      </c>
      <c r="C3" s="217"/>
      <c r="F3" s="216" t="s">
        <v>431</v>
      </c>
      <c r="G3" s="217"/>
    </row>
    <row r="4" spans="2:7" x14ac:dyDescent="0.2">
      <c r="B4" s="187" t="s">
        <v>432</v>
      </c>
      <c r="C4" s="187"/>
      <c r="F4" s="187" t="s">
        <v>433</v>
      </c>
      <c r="G4" s="187"/>
    </row>
    <row r="5" spans="2:7" x14ac:dyDescent="0.2">
      <c r="B5" s="187" t="s">
        <v>434</v>
      </c>
      <c r="C5" s="187"/>
      <c r="F5" s="187" t="s">
        <v>291</v>
      </c>
      <c r="G5" s="187"/>
    </row>
    <row r="6" spans="2:7" x14ac:dyDescent="0.2">
      <c r="B6" s="187" t="s">
        <v>435</v>
      </c>
      <c r="C6" s="187"/>
      <c r="F6" s="187" t="s">
        <v>436</v>
      </c>
      <c r="G6" s="187"/>
    </row>
    <row r="7" spans="2:7" x14ac:dyDescent="0.2">
      <c r="B7" s="187" t="s">
        <v>437</v>
      </c>
      <c r="C7" s="187"/>
      <c r="F7" s="187" t="s">
        <v>438</v>
      </c>
      <c r="G7" s="187"/>
    </row>
    <row r="8" spans="2:7" x14ac:dyDescent="0.2">
      <c r="B8" s="187" t="s">
        <v>439</v>
      </c>
      <c r="C8" s="187"/>
      <c r="F8" s="187" t="s">
        <v>440</v>
      </c>
      <c r="G8" s="187"/>
    </row>
    <row r="9" spans="2:7" x14ac:dyDescent="0.2">
      <c r="B9" s="187" t="s">
        <v>441</v>
      </c>
      <c r="C9" s="187"/>
      <c r="F9" s="187" t="s">
        <v>442</v>
      </c>
      <c r="G9" s="187"/>
    </row>
    <row r="10" spans="2:7" x14ac:dyDescent="0.2">
      <c r="B10" s="187" t="s">
        <v>440</v>
      </c>
      <c r="C10" s="187"/>
      <c r="F10" s="187"/>
      <c r="G10" s="187"/>
    </row>
    <row r="11" spans="2:7" x14ac:dyDescent="0.2">
      <c r="B11" s="187" t="s">
        <v>443</v>
      </c>
      <c r="C11" s="187"/>
      <c r="F11" s="187"/>
      <c r="G11" s="187"/>
    </row>
    <row r="12" spans="2:7" x14ac:dyDescent="0.2">
      <c r="B12" s="187" t="s">
        <v>444</v>
      </c>
      <c r="C12" s="187"/>
      <c r="F12" s="187"/>
      <c r="G12" s="187"/>
    </row>
    <row r="13" spans="2:7" x14ac:dyDescent="0.2">
      <c r="B13" s="187"/>
      <c r="C13" s="187"/>
      <c r="F13" s="187"/>
      <c r="G13" s="187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2014-12-16T09:08:31Z</dcterms:modified>
</cp:coreProperties>
</file>
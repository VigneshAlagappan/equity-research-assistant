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O12" i="18" l="1"/>
  <c r="N12" i="18"/>
  <c r="L12" i="18"/>
  <c r="F91" i="18" l="1"/>
  <c r="G91" i="18"/>
  <c r="H91" i="18"/>
  <c r="I91" i="18"/>
  <c r="J91" i="18"/>
  <c r="K91" i="18"/>
  <c r="L91" i="18"/>
  <c r="M91" i="18"/>
  <c r="N91" i="18"/>
  <c r="O91" i="18"/>
  <c r="P91" i="18"/>
  <c r="H122" i="18"/>
  <c r="I122" i="18"/>
  <c r="J122" i="18"/>
  <c r="K122" i="18"/>
  <c r="L122" i="18"/>
  <c r="M122" i="18"/>
  <c r="N122" i="18"/>
  <c r="O122" i="18"/>
  <c r="P122" i="18"/>
  <c r="H121" i="18"/>
  <c r="I121" i="18"/>
  <c r="J121" i="18"/>
  <c r="K121" i="18"/>
  <c r="L121" i="18"/>
  <c r="M121" i="18"/>
  <c r="N121" i="18"/>
  <c r="O121" i="18"/>
  <c r="P121" i="18"/>
  <c r="R40" i="18"/>
  <c r="G197" i="18"/>
  <c r="G198" i="18" s="1"/>
  <c r="G199" i="18" s="1"/>
  <c r="G196" i="18"/>
  <c r="K194" i="18"/>
  <c r="K197" i="18" s="1"/>
  <c r="K193" i="18"/>
  <c r="AD48" i="18"/>
  <c r="C48" i="18"/>
  <c r="D48" i="18"/>
  <c r="E48" i="18"/>
  <c r="F48" i="18"/>
  <c r="H48" i="18"/>
  <c r="I48" i="18"/>
  <c r="J48" i="18"/>
  <c r="K48" i="18"/>
  <c r="L48" i="18"/>
  <c r="M48" i="18"/>
  <c r="N48" i="18"/>
  <c r="O48" i="18"/>
  <c r="P48" i="18"/>
  <c r="G48" i="18"/>
  <c r="H188" i="18"/>
  <c r="D187" i="18"/>
  <c r="H186" i="18"/>
  <c r="I186" i="18" s="1"/>
  <c r="J186" i="18" s="1"/>
  <c r="J187" i="18" s="1"/>
  <c r="H184" i="18"/>
  <c r="D184" i="18"/>
  <c r="H183" i="18"/>
  <c r="H182" i="18"/>
  <c r="I182" i="18" s="1"/>
  <c r="J182" i="18" s="1"/>
  <c r="Q48" i="18" l="1"/>
  <c r="K196" i="18"/>
  <c r="I183" i="18"/>
  <c r="J183" i="18" s="1"/>
  <c r="I184" i="18" s="1"/>
  <c r="J184" i="18" s="1"/>
  <c r="J185" i="18" s="1"/>
  <c r="D189" i="18"/>
  <c r="I188" i="18"/>
  <c r="J188" i="18" s="1"/>
  <c r="J189" i="18" s="1"/>
  <c r="H83" i="18"/>
  <c r="I83" i="18"/>
  <c r="J83" i="18"/>
  <c r="K83" i="18"/>
  <c r="L83" i="18"/>
  <c r="M83" i="18"/>
  <c r="N83" i="18"/>
  <c r="O83" i="18"/>
  <c r="P83" i="18"/>
  <c r="G83" i="18"/>
  <c r="H39" i="18"/>
  <c r="I39" i="18"/>
  <c r="J39" i="18"/>
  <c r="K39" i="18"/>
  <c r="L39" i="18"/>
  <c r="M39" i="18"/>
  <c r="N39" i="18"/>
  <c r="O39" i="18"/>
  <c r="P39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22" i="18"/>
  <c r="G121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3" i="18"/>
  <c r="T182" i="18"/>
  <c r="O186" i="18"/>
  <c r="O183" i="18"/>
  <c r="O182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7" i="18"/>
  <c r="H118" i="18" s="1"/>
  <c r="I117" i="18"/>
  <c r="I118" i="18" s="1"/>
  <c r="J117" i="18"/>
  <c r="J118" i="18" s="1"/>
  <c r="K117" i="18"/>
  <c r="K118" i="18" s="1"/>
  <c r="L117" i="18"/>
  <c r="L118" i="18" s="1"/>
  <c r="M117" i="18"/>
  <c r="M118" i="18" s="1"/>
  <c r="N117" i="18"/>
  <c r="N118" i="18" s="1"/>
  <c r="O117" i="18"/>
  <c r="O118" i="18" s="1"/>
  <c r="P117" i="18"/>
  <c r="P118" i="18" s="1"/>
  <c r="G117" i="18"/>
  <c r="G118" i="18" s="1"/>
  <c r="Q121" i="18" l="1"/>
  <c r="Q122" i="18"/>
  <c r="Q83" i="18"/>
  <c r="Q89" i="18"/>
  <c r="AC14" i="18"/>
  <c r="AE14" i="18"/>
  <c r="Q86" i="18"/>
  <c r="Q118" i="18"/>
  <c r="Q117" i="18"/>
  <c r="Q87" i="18"/>
  <c r="P82" i="18"/>
  <c r="P81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1" i="18"/>
  <c r="I111" i="18"/>
  <c r="J111" i="18"/>
  <c r="K111" i="18"/>
  <c r="L111" i="18"/>
  <c r="M111" i="18"/>
  <c r="N111" i="18"/>
  <c r="O111" i="18"/>
  <c r="P111" i="18"/>
  <c r="G111" i="18"/>
  <c r="H112" i="18"/>
  <c r="I112" i="18"/>
  <c r="J112" i="18"/>
  <c r="K112" i="18"/>
  <c r="L112" i="18"/>
  <c r="M112" i="18"/>
  <c r="N112" i="18"/>
  <c r="O112" i="18"/>
  <c r="P112" i="18"/>
  <c r="G112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R155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B106" i="18"/>
  <c r="B105" i="18"/>
  <c r="K170" i="18"/>
  <c r="K169" i="18"/>
  <c r="K168" i="18"/>
  <c r="S4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87" i="18"/>
  <c r="N186" i="18"/>
  <c r="S184" i="18"/>
  <c r="T184" i="18" s="1"/>
  <c r="N184" i="18"/>
  <c r="O184" i="18" s="1"/>
  <c r="O189" i="18" s="1"/>
  <c r="F102" i="18"/>
  <c r="H102" i="18"/>
  <c r="I102" i="18"/>
  <c r="J102" i="18"/>
  <c r="K102" i="18"/>
  <c r="L102" i="18"/>
  <c r="M102" i="18"/>
  <c r="N102" i="18"/>
  <c r="O102" i="18"/>
  <c r="P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Q112" i="18" l="1"/>
  <c r="T187" i="18"/>
  <c r="T189" i="18" s="1"/>
  <c r="Q82" i="18"/>
  <c r="Q109" i="18"/>
  <c r="Q115" i="18"/>
  <c r="Q114" i="18"/>
  <c r="Q110" i="18"/>
  <c r="Q111" i="18"/>
  <c r="Q104" i="18"/>
  <c r="Q105" i="18"/>
  <c r="Q106" i="18"/>
  <c r="Q94" i="18"/>
  <c r="AC32" i="18"/>
  <c r="AE32" i="18"/>
  <c r="N189" i="18"/>
  <c r="S189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L30" i="18"/>
  <c r="K30" i="18"/>
  <c r="J30" i="18"/>
  <c r="I30" i="18"/>
  <c r="H30" i="18"/>
  <c r="G30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Q41" i="18"/>
  <c r="S63" i="18" l="1"/>
  <c r="S96" i="18" s="1"/>
  <c r="S97" i="18" s="1"/>
  <c r="W29" i="18"/>
  <c r="Q163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l="1"/>
  <c r="X29" i="18"/>
  <c r="P98" i="18"/>
  <c r="Q97" i="18"/>
  <c r="U63" i="18"/>
  <c r="T63" i="18"/>
  <c r="C73" i="18"/>
  <c r="D73" i="18"/>
  <c r="E73" i="18"/>
  <c r="F73" i="18"/>
  <c r="G73" i="18"/>
  <c r="G119" i="18" s="1"/>
  <c r="H73" i="18"/>
  <c r="H119" i="18" s="1"/>
  <c r="I73" i="18"/>
  <c r="I119" i="18" s="1"/>
  <c r="J73" i="18"/>
  <c r="J119" i="18" s="1"/>
  <c r="K73" i="18"/>
  <c r="K119" i="18" s="1"/>
  <c r="L73" i="18"/>
  <c r="L119" i="18" s="1"/>
  <c r="M73" i="18"/>
  <c r="M119" i="18" s="1"/>
  <c r="N73" i="18"/>
  <c r="N119" i="18" s="1"/>
  <c r="O73" i="18"/>
  <c r="O119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19" i="18" s="1"/>
  <c r="E81" i="18"/>
  <c r="F81" i="18"/>
  <c r="H81" i="18"/>
  <c r="I81" i="18"/>
  <c r="J81" i="18"/>
  <c r="K81" i="18"/>
  <c r="L81" i="18"/>
  <c r="M81" i="18"/>
  <c r="N81" i="18"/>
  <c r="O81" i="18"/>
  <c r="E79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G39" i="18"/>
  <c r="G28" i="18"/>
  <c r="G11" i="18"/>
  <c r="G8" i="18"/>
  <c r="G26" i="18"/>
  <c r="V41" i="18" l="1"/>
  <c r="Q119" i="18"/>
  <c r="Y29" i="18"/>
  <c r="Q75" i="18"/>
  <c r="Q73" i="18"/>
  <c r="Q74" i="18"/>
  <c r="Q80" i="18"/>
  <c r="Q81" i="18"/>
  <c r="P79" i="18"/>
  <c r="Q79" i="18" s="1"/>
  <c r="C175" i="18"/>
  <c r="D175" i="18"/>
  <c r="E175" i="18"/>
  <c r="F175" i="18"/>
  <c r="C176" i="18"/>
  <c r="D176" i="18"/>
  <c r="E176" i="18"/>
  <c r="F176" i="18"/>
  <c r="C177" i="18"/>
  <c r="D177" i="18"/>
  <c r="E177" i="18"/>
  <c r="F177" i="18"/>
  <c r="H177" i="18"/>
  <c r="I177" i="18"/>
  <c r="J177" i="18"/>
  <c r="K177" i="18"/>
  <c r="L177" i="18"/>
  <c r="M177" i="18"/>
  <c r="N177" i="18"/>
  <c r="O177" i="18"/>
  <c r="P177" i="18"/>
  <c r="G177" i="18"/>
  <c r="H176" i="18"/>
  <c r="I176" i="18"/>
  <c r="J176" i="18"/>
  <c r="K176" i="18"/>
  <c r="L176" i="18"/>
  <c r="M176" i="18"/>
  <c r="N176" i="18"/>
  <c r="O176" i="18"/>
  <c r="P176" i="18"/>
  <c r="G176" i="18"/>
  <c r="H175" i="18"/>
  <c r="I175" i="18"/>
  <c r="J175" i="18"/>
  <c r="K175" i="18"/>
  <c r="L175" i="18"/>
  <c r="M175" i="18"/>
  <c r="N175" i="18"/>
  <c r="O175" i="18"/>
  <c r="P175" i="18"/>
  <c r="G175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2" i="18" s="1"/>
  <c r="H44" i="18"/>
  <c r="H156" i="18" s="1"/>
  <c r="I44" i="18"/>
  <c r="I156" i="18" s="1"/>
  <c r="J44" i="18"/>
  <c r="J156" i="18" s="1"/>
  <c r="K44" i="18"/>
  <c r="K156" i="18" s="1"/>
  <c r="L44" i="18"/>
  <c r="L156" i="18" s="1"/>
  <c r="M44" i="18"/>
  <c r="M156" i="18" s="1"/>
  <c r="N44" i="18"/>
  <c r="N156" i="18" s="1"/>
  <c r="O44" i="18"/>
  <c r="O156" i="18" s="1"/>
  <c r="P44" i="18"/>
  <c r="P156" i="18" s="1"/>
  <c r="C44" i="18"/>
  <c r="C156" i="18" s="1"/>
  <c r="D44" i="18"/>
  <c r="D156" i="18" s="1"/>
  <c r="E44" i="18"/>
  <c r="E156" i="18" s="1"/>
  <c r="F44" i="18"/>
  <c r="F156" i="18" s="1"/>
  <c r="G44" i="18"/>
  <c r="G156" i="18" s="1"/>
  <c r="M28" i="18"/>
  <c r="L28" i="18"/>
  <c r="K28" i="18"/>
  <c r="J28" i="18"/>
  <c r="I28" i="18"/>
  <c r="H28" i="18"/>
  <c r="M26" i="18"/>
  <c r="L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6" i="18" s="1"/>
  <c r="Q36" i="18"/>
  <c r="W41" i="18" l="1"/>
  <c r="V63" i="18"/>
  <c r="Q156" i="18"/>
  <c r="Z29" i="18"/>
  <c r="T36" i="18"/>
  <c r="T86" i="18" s="1"/>
  <c r="Q177" i="18"/>
  <c r="Q45" i="18"/>
  <c r="Q44" i="18"/>
  <c r="Q176" i="18"/>
  <c r="Q175" i="18"/>
  <c r="Q31" i="18"/>
  <c r="Q34" i="18"/>
  <c r="X41" i="18" l="1"/>
  <c r="W63" i="18"/>
  <c r="AA29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Y41" i="18" l="1"/>
  <c r="X63" i="18"/>
  <c r="T23" i="18"/>
  <c r="S89" i="18"/>
  <c r="AB29" i="18"/>
  <c r="AE31" i="18"/>
  <c r="AC31" i="18"/>
  <c r="AC22" i="18"/>
  <c r="AE22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5" i="18"/>
  <c r="Z41" i="18" l="1"/>
  <c r="Y63" i="18"/>
  <c r="U23" i="18"/>
  <c r="T89" i="18"/>
  <c r="AE29" i="18"/>
  <c r="AC29" i="18"/>
  <c r="T20" i="18"/>
  <c r="S65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0" i="18" s="1"/>
  <c r="O60" i="18"/>
  <c r="O58" i="18"/>
  <c r="O57" i="18"/>
  <c r="O55" i="18"/>
  <c r="O161" i="18" s="1"/>
  <c r="O54" i="18"/>
  <c r="O53" i="18"/>
  <c r="O51" i="18"/>
  <c r="O50" i="18"/>
  <c r="O158" i="18" s="1"/>
  <c r="O49" i="18"/>
  <c r="O47" i="18"/>
  <c r="Z63" i="18" l="1"/>
  <c r="AA41" i="18"/>
  <c r="T65" i="18"/>
  <c r="S111" i="18"/>
  <c r="S121" i="18"/>
  <c r="S112" i="18"/>
  <c r="S122" i="18"/>
  <c r="V23" i="18"/>
  <c r="U89" i="18"/>
  <c r="S105" i="18"/>
  <c r="S106" i="18"/>
  <c r="S104" i="18"/>
  <c r="S94" i="18"/>
  <c r="P99" i="18"/>
  <c r="Q99" i="18" s="1"/>
  <c r="Q98" i="18"/>
  <c r="S85" i="18"/>
  <c r="S102" i="18"/>
  <c r="S101" i="18"/>
  <c r="T18" i="18"/>
  <c r="O157" i="18"/>
  <c r="O162" i="18"/>
  <c r="U20" i="18"/>
  <c r="T27" i="18"/>
  <c r="X36" i="18"/>
  <c r="X86" i="18" s="1"/>
  <c r="T25" i="18"/>
  <c r="T83" i="18" s="1"/>
  <c r="S79" i="18"/>
  <c r="V21" i="18"/>
  <c r="AC33" i="18"/>
  <c r="AC34" i="18"/>
  <c r="AC9" i="18"/>
  <c r="O59" i="18"/>
  <c r="O159" i="18" s="1"/>
  <c r="D55" i="18"/>
  <c r="E55" i="18"/>
  <c r="F55" i="18"/>
  <c r="G55" i="18"/>
  <c r="G161" i="18" s="1"/>
  <c r="H55" i="18"/>
  <c r="H161" i="18" s="1"/>
  <c r="I55" i="18"/>
  <c r="I161" i="18" s="1"/>
  <c r="J55" i="18"/>
  <c r="J161" i="18" s="1"/>
  <c r="K55" i="18"/>
  <c r="K161" i="18" s="1"/>
  <c r="L55" i="18"/>
  <c r="L161" i="18" s="1"/>
  <c r="M55" i="18"/>
  <c r="M161" i="18" s="1"/>
  <c r="N55" i="18"/>
  <c r="N161" i="18" s="1"/>
  <c r="P55" i="18"/>
  <c r="C55" i="18"/>
  <c r="C54" i="18"/>
  <c r="AB41" i="18" l="1"/>
  <c r="AA63" i="18"/>
  <c r="T112" i="18"/>
  <c r="T122" i="18"/>
  <c r="T111" i="18"/>
  <c r="T121" i="18"/>
  <c r="W23" i="18"/>
  <c r="V89" i="18"/>
  <c r="T104" i="18"/>
  <c r="T106" i="18"/>
  <c r="T105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1" i="18"/>
  <c r="Q161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AE41" i="18" l="1"/>
  <c r="AB63" i="18"/>
  <c r="AC41" i="18"/>
  <c r="U111" i="18"/>
  <c r="U121" i="18"/>
  <c r="U112" i="18"/>
  <c r="U122" i="18"/>
  <c r="U83" i="18"/>
  <c r="X23" i="18"/>
  <c r="W89" i="18"/>
  <c r="U106" i="18"/>
  <c r="U105" i="18"/>
  <c r="U104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AE63" i="18" l="1"/>
  <c r="T143" i="18" s="1"/>
  <c r="AC63" i="18"/>
  <c r="S143" i="18"/>
  <c r="V112" i="18"/>
  <c r="V122" i="18"/>
  <c r="V111" i="18"/>
  <c r="V121" i="18"/>
  <c r="Y23" i="18"/>
  <c r="X89" i="18"/>
  <c r="V94" i="18"/>
  <c r="V106" i="18"/>
  <c r="V105" i="18"/>
  <c r="V104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5" i="18"/>
  <c r="S163" i="18" s="1"/>
  <c r="C47" i="18"/>
  <c r="D47" i="18"/>
  <c r="E47" i="18"/>
  <c r="F47" i="18"/>
  <c r="H47" i="18"/>
  <c r="I47" i="18"/>
  <c r="J47" i="18"/>
  <c r="K47" i="18"/>
  <c r="L47" i="18"/>
  <c r="L162" i="18" s="1"/>
  <c r="M47" i="18"/>
  <c r="N47" i="18"/>
  <c r="N162" i="18" s="1"/>
  <c r="P47" i="18"/>
  <c r="D61" i="18"/>
  <c r="D160" i="18" s="1"/>
  <c r="E61" i="18"/>
  <c r="E160" i="18" s="1"/>
  <c r="F61" i="18"/>
  <c r="F160" i="18" s="1"/>
  <c r="G61" i="18"/>
  <c r="H61" i="18"/>
  <c r="H160" i="18" s="1"/>
  <c r="I61" i="18"/>
  <c r="I160" i="18" s="1"/>
  <c r="J61" i="18"/>
  <c r="J160" i="18" s="1"/>
  <c r="K61" i="18"/>
  <c r="K160" i="18" s="1"/>
  <c r="L61" i="18"/>
  <c r="L160" i="18" s="1"/>
  <c r="M61" i="18"/>
  <c r="M160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59" i="18" s="1"/>
  <c r="E57" i="18"/>
  <c r="E59" i="18" s="1"/>
  <c r="E159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8" i="18" s="1"/>
  <c r="E50" i="18"/>
  <c r="E158" i="18" s="1"/>
  <c r="F50" i="18"/>
  <c r="F158" i="18" s="1"/>
  <c r="G50" i="18"/>
  <c r="H50" i="18"/>
  <c r="H158" i="18" s="1"/>
  <c r="I50" i="18"/>
  <c r="I158" i="18" s="1"/>
  <c r="J50" i="18"/>
  <c r="J158" i="18" s="1"/>
  <c r="K50" i="18"/>
  <c r="K158" i="18" s="1"/>
  <c r="L50" i="18"/>
  <c r="L158" i="18" s="1"/>
  <c r="M50" i="18"/>
  <c r="M158" i="18" s="1"/>
  <c r="N50" i="18"/>
  <c r="P50" i="18"/>
  <c r="C61" i="18"/>
  <c r="C160" i="18" s="1"/>
  <c r="C60" i="18"/>
  <c r="C58" i="18"/>
  <c r="C57" i="18"/>
  <c r="C51" i="18"/>
  <c r="C50" i="18"/>
  <c r="C158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09" i="18" s="1"/>
  <c r="S16" i="18"/>
  <c r="S117" i="18" s="1"/>
  <c r="S118" i="18" s="1"/>
  <c r="S38" i="18"/>
  <c r="S87" i="18" s="1"/>
  <c r="S10" i="18"/>
  <c r="S12" i="18"/>
  <c r="S13" i="18"/>
  <c r="S7" i="18"/>
  <c r="S6" i="18"/>
  <c r="S91" i="18" l="1"/>
  <c r="R143" i="18"/>
  <c r="P167" i="18" s="1"/>
  <c r="W111" i="18"/>
  <c r="W121" i="18"/>
  <c r="W83" i="18"/>
  <c r="W112" i="18"/>
  <c r="W122" i="18"/>
  <c r="Z23" i="18"/>
  <c r="Y89" i="18"/>
  <c r="S81" i="18"/>
  <c r="S82" i="18"/>
  <c r="S115" i="18"/>
  <c r="S114" i="18"/>
  <c r="S88" i="18"/>
  <c r="S110" i="18"/>
  <c r="H162" i="18"/>
  <c r="H157" i="18"/>
  <c r="W94" i="18"/>
  <c r="W105" i="18"/>
  <c r="W104" i="18"/>
  <c r="W106" i="18"/>
  <c r="S93" i="18"/>
  <c r="S98" i="18"/>
  <c r="S99" i="18" s="1"/>
  <c r="W85" i="18"/>
  <c r="W102" i="18"/>
  <c r="W101" i="18"/>
  <c r="S92" i="18"/>
  <c r="X18" i="18"/>
  <c r="D157" i="18"/>
  <c r="D161" i="18" s="1"/>
  <c r="D162" i="18"/>
  <c r="E157" i="18"/>
  <c r="E161" i="18" s="1"/>
  <c r="E162" i="18"/>
  <c r="C157" i="18"/>
  <c r="C161" i="18" s="1"/>
  <c r="C162" i="18"/>
  <c r="P157" i="18"/>
  <c r="P162" i="18"/>
  <c r="Q162" i="18" s="1"/>
  <c r="K157" i="18"/>
  <c r="K162" i="18"/>
  <c r="F157" i="18"/>
  <c r="F161" i="18" s="1"/>
  <c r="F162" i="18"/>
  <c r="J157" i="18"/>
  <c r="J162" i="18"/>
  <c r="M157" i="18"/>
  <c r="M162" i="18"/>
  <c r="I157" i="18"/>
  <c r="I162" i="18"/>
  <c r="Q125" i="18"/>
  <c r="Y20" i="18"/>
  <c r="X65" i="18"/>
  <c r="H59" i="18"/>
  <c r="H159" i="18" s="1"/>
  <c r="X27" i="18"/>
  <c r="T12" i="18"/>
  <c r="T15" i="18"/>
  <c r="T109" i="18" s="1"/>
  <c r="T13" i="18"/>
  <c r="T10" i="18"/>
  <c r="T16" i="18"/>
  <c r="T117" i="18" s="1"/>
  <c r="T118" i="18" s="1"/>
  <c r="T6" i="18"/>
  <c r="T7" i="18"/>
  <c r="X25" i="18"/>
  <c r="X83" i="18" s="1"/>
  <c r="W79" i="18"/>
  <c r="T38" i="18"/>
  <c r="T87" i="18" s="1"/>
  <c r="S80" i="18"/>
  <c r="AB36" i="18"/>
  <c r="F59" i="18"/>
  <c r="F159" i="18" s="1"/>
  <c r="L59" i="18"/>
  <c r="L159" i="18" s="1"/>
  <c r="K59" i="18"/>
  <c r="K159" i="18" s="1"/>
  <c r="J59" i="18"/>
  <c r="J159" i="18" s="1"/>
  <c r="Z21" i="18"/>
  <c r="C59" i="18"/>
  <c r="C159" i="18" s="1"/>
  <c r="T155" i="18"/>
  <c r="T163" i="18" s="1"/>
  <c r="I59" i="18"/>
  <c r="I159" i="18" s="1"/>
  <c r="Q49" i="18"/>
  <c r="G158" i="18"/>
  <c r="Q50" i="18"/>
  <c r="Q51" i="18"/>
  <c r="Q58" i="18"/>
  <c r="Q60" i="18"/>
  <c r="G157" i="18"/>
  <c r="Q47" i="18"/>
  <c r="G160" i="18"/>
  <c r="Q61" i="18"/>
  <c r="G59" i="18"/>
  <c r="Q57" i="18"/>
  <c r="N158" i="18"/>
  <c r="N157" i="18"/>
  <c r="N160" i="18"/>
  <c r="P158" i="18"/>
  <c r="L157" i="18"/>
  <c r="N59" i="18"/>
  <c r="M59" i="18"/>
  <c r="M159" i="18" s="1"/>
  <c r="P160" i="18"/>
  <c r="P59" i="18"/>
  <c r="S58" i="18"/>
  <c r="C6" i="12"/>
  <c r="C26" i="15"/>
  <c r="C58" i="15"/>
  <c r="C57" i="15"/>
  <c r="C54" i="15"/>
  <c r="C53" i="15"/>
  <c r="C50" i="15"/>
  <c r="C49" i="15"/>
  <c r="C45" i="15"/>
  <c r="T91" i="18" l="1"/>
  <c r="X111" i="18"/>
  <c r="X121" i="18"/>
  <c r="X112" i="18"/>
  <c r="X122" i="18"/>
  <c r="AE36" i="18"/>
  <c r="AB86" i="18"/>
  <c r="AC86" i="18" s="1"/>
  <c r="AA23" i="18"/>
  <c r="Z89" i="18"/>
  <c r="T115" i="18"/>
  <c r="T114" i="18"/>
  <c r="T88" i="18"/>
  <c r="T110" i="18"/>
  <c r="T82" i="18"/>
  <c r="X104" i="18"/>
  <c r="X105" i="18"/>
  <c r="X106" i="18"/>
  <c r="X94" i="18"/>
  <c r="X85" i="18"/>
  <c r="X102" i="18"/>
  <c r="X101" i="18"/>
  <c r="T92" i="18"/>
  <c r="T93" i="18"/>
  <c r="Y18" i="18"/>
  <c r="Z20" i="18"/>
  <c r="Y65" i="18"/>
  <c r="S57" i="18"/>
  <c r="S74" i="18"/>
  <c r="S53" i="18"/>
  <c r="S55" i="18"/>
  <c r="S161" i="18" s="1"/>
  <c r="S61" i="18"/>
  <c r="S160" i="18" s="1"/>
  <c r="S71" i="18"/>
  <c r="S73" i="18"/>
  <c r="S119" i="18" s="1"/>
  <c r="S45" i="18"/>
  <c r="S44" i="18"/>
  <c r="S156" i="18" s="1"/>
  <c r="S54" i="18"/>
  <c r="S50" i="18"/>
  <c r="S51" i="18"/>
  <c r="S60" i="18"/>
  <c r="S49" i="18"/>
  <c r="S75" i="18"/>
  <c r="S47" i="18"/>
  <c r="S162" i="18" s="1"/>
  <c r="Y27" i="18"/>
  <c r="U15" i="18"/>
  <c r="U109" i="18" s="1"/>
  <c r="U13" i="18"/>
  <c r="U12" i="18"/>
  <c r="S59" i="18"/>
  <c r="U16" i="18"/>
  <c r="U117" i="18" s="1"/>
  <c r="U118" i="18" s="1"/>
  <c r="U10" i="18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5" i="18"/>
  <c r="U163" i="18" s="1"/>
  <c r="Q158" i="18"/>
  <c r="Q157" i="18"/>
  <c r="Q160" i="18"/>
  <c r="G159" i="18"/>
  <c r="Q59" i="18"/>
  <c r="N159" i="18"/>
  <c r="P159" i="18"/>
  <c r="C16" i="15"/>
  <c r="C21" i="15"/>
  <c r="C10" i="15"/>
  <c r="U91" i="18" l="1"/>
  <c r="T96" i="18"/>
  <c r="T97" i="18" s="1"/>
  <c r="T98" i="18" s="1"/>
  <c r="T99" i="18" s="1"/>
  <c r="T48" i="18"/>
  <c r="Y111" i="18"/>
  <c r="Y121" i="18"/>
  <c r="Y112" i="18"/>
  <c r="Y122" i="18"/>
  <c r="AB23" i="18"/>
  <c r="AA89" i="18"/>
  <c r="U88" i="18"/>
  <c r="U110" i="18"/>
  <c r="U115" i="18"/>
  <c r="U114" i="18"/>
  <c r="U82" i="18"/>
  <c r="Y106" i="18"/>
  <c r="Y105" i="18"/>
  <c r="Y104" i="18"/>
  <c r="Y94" i="18"/>
  <c r="T57" i="18"/>
  <c r="Y85" i="18"/>
  <c r="Y102" i="18"/>
  <c r="Y101" i="18"/>
  <c r="U92" i="18"/>
  <c r="U93" i="18"/>
  <c r="T53" i="18"/>
  <c r="Z18" i="18"/>
  <c r="AA20" i="18"/>
  <c r="Z65" i="18"/>
  <c r="T55" i="18"/>
  <c r="T161" i="18" s="1"/>
  <c r="T61" i="18"/>
  <c r="T160" i="18" s="1"/>
  <c r="T71" i="18"/>
  <c r="T73" i="18"/>
  <c r="T119" i="18" s="1"/>
  <c r="T44" i="18"/>
  <c r="T156" i="18" s="1"/>
  <c r="T45" i="18"/>
  <c r="T50" i="18"/>
  <c r="T49" i="18"/>
  <c r="T60" i="18"/>
  <c r="T75" i="18"/>
  <c r="T54" i="18"/>
  <c r="T51" i="18"/>
  <c r="T47" i="18"/>
  <c r="T162" i="18" s="1"/>
  <c r="T58" i="18"/>
  <c r="T74" i="18"/>
  <c r="Z27" i="18"/>
  <c r="V13" i="18"/>
  <c r="V12" i="18"/>
  <c r="V15" i="18"/>
  <c r="V109" i="18" s="1"/>
  <c r="V10" i="18"/>
  <c r="V16" i="18"/>
  <c r="V117" i="18" s="1"/>
  <c r="V118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59" i="18"/>
  <c r="V155" i="18"/>
  <c r="V163" i="18" s="1"/>
  <c r="S157" i="18"/>
  <c r="S158" i="18"/>
  <c r="Q159" i="18"/>
  <c r="D31" i="8"/>
  <c r="D29" i="8"/>
  <c r="D28" i="8"/>
  <c r="D13" i="8"/>
  <c r="D30" i="8" s="1"/>
  <c r="E14" i="8"/>
  <c r="F14" i="8" s="1"/>
  <c r="G14" i="8" s="1"/>
  <c r="H14" i="8" s="1"/>
  <c r="I14" i="8" s="1"/>
  <c r="V91" i="18" l="1"/>
  <c r="U96" i="18"/>
  <c r="U97" i="18" s="1"/>
  <c r="U98" i="18" s="1"/>
  <c r="U99" i="18" s="1"/>
  <c r="U48" i="18"/>
  <c r="Z111" i="18"/>
  <c r="Z121" i="18"/>
  <c r="Z112" i="18"/>
  <c r="Z122" i="18"/>
  <c r="AE23" i="18"/>
  <c r="AB89" i="18"/>
  <c r="AC89" i="18" s="1"/>
  <c r="AC23" i="18"/>
  <c r="V82" i="18"/>
  <c r="V114" i="18"/>
  <c r="V115" i="18"/>
  <c r="V88" i="18"/>
  <c r="V110" i="18"/>
  <c r="Z106" i="18"/>
  <c r="Z105" i="18"/>
  <c r="Z104" i="18"/>
  <c r="Z94" i="18"/>
  <c r="U57" i="18"/>
  <c r="T59" i="18"/>
  <c r="T159" i="18" s="1"/>
  <c r="Z85" i="18"/>
  <c r="Z102" i="18"/>
  <c r="Z101" i="18"/>
  <c r="V93" i="18"/>
  <c r="V92" i="18"/>
  <c r="AA18" i="18"/>
  <c r="AB20" i="18"/>
  <c r="AA65" i="18"/>
  <c r="U75" i="18"/>
  <c r="U74" i="18"/>
  <c r="U53" i="18"/>
  <c r="U61" i="18"/>
  <c r="U160" i="18" s="1"/>
  <c r="U60" i="18"/>
  <c r="U55" i="18"/>
  <c r="U161" i="18" s="1"/>
  <c r="U58" i="18"/>
  <c r="U49" i="18"/>
  <c r="U71" i="18"/>
  <c r="U73" i="18"/>
  <c r="U119" i="18" s="1"/>
  <c r="U45" i="18"/>
  <c r="U44" i="18"/>
  <c r="U156" i="18" s="1"/>
  <c r="U54" i="18"/>
  <c r="U50" i="18"/>
  <c r="U51" i="18"/>
  <c r="U47" i="18"/>
  <c r="U162" i="18" s="1"/>
  <c r="AA27" i="18"/>
  <c r="W12" i="18"/>
  <c r="W15" i="18"/>
  <c r="W109" i="18" s="1"/>
  <c r="W13" i="18"/>
  <c r="W16" i="18"/>
  <c r="W117" i="18" s="1"/>
  <c r="W118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5" i="18"/>
  <c r="W163" i="18" s="1"/>
  <c r="T157" i="18"/>
  <c r="T15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91" i="18" l="1"/>
  <c r="V96" i="18"/>
  <c r="V97" i="18" s="1"/>
  <c r="V98" i="18" s="1"/>
  <c r="V99" i="18" s="1"/>
  <c r="V48" i="18"/>
  <c r="AA111" i="18"/>
  <c r="AA121" i="18"/>
  <c r="AA112" i="18"/>
  <c r="AA122" i="18"/>
  <c r="AE20" i="18"/>
  <c r="AA83" i="18"/>
  <c r="W115" i="18"/>
  <c r="W114" i="18"/>
  <c r="W88" i="18"/>
  <c r="W110" i="18"/>
  <c r="W82" i="18"/>
  <c r="AA105" i="18"/>
  <c r="AA104" i="18"/>
  <c r="AA106" i="18"/>
  <c r="AA94" i="18"/>
  <c r="U59" i="18"/>
  <c r="U159" i="18" s="1"/>
  <c r="AA85" i="18"/>
  <c r="AA102" i="18"/>
  <c r="AA101" i="18"/>
  <c r="V60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1" i="18" s="1"/>
  <c r="V71" i="18"/>
  <c r="V73" i="18"/>
  <c r="V119" i="18" s="1"/>
  <c r="V44" i="18"/>
  <c r="V156" i="18" s="1"/>
  <c r="V45" i="18"/>
  <c r="V53" i="18"/>
  <c r="V61" i="18"/>
  <c r="V160" i="18" s="1"/>
  <c r="V47" i="18"/>
  <c r="V162" i="18" s="1"/>
  <c r="AB27" i="18"/>
  <c r="AB122" i="18" s="1"/>
  <c r="AC122" i="18" s="1"/>
  <c r="X15" i="18"/>
  <c r="X109" i="18" s="1"/>
  <c r="X13" i="18"/>
  <c r="X12" i="18"/>
  <c r="X10" i="18"/>
  <c r="X16" i="18"/>
  <c r="X117" i="18" s="1"/>
  <c r="X118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5" i="18"/>
  <c r="X163" i="18" s="1"/>
  <c r="U157" i="18"/>
  <c r="U15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91" i="18" l="1"/>
  <c r="W96" i="18"/>
  <c r="W97" i="18" s="1"/>
  <c r="W98" i="18" s="1"/>
  <c r="W99" i="18" s="1"/>
  <c r="W48" i="18"/>
  <c r="AB111" i="18"/>
  <c r="AC111" i="18" s="1"/>
  <c r="AB121" i="18"/>
  <c r="AC121" i="18" s="1"/>
  <c r="X88" i="18"/>
  <c r="X110" i="18"/>
  <c r="X115" i="18"/>
  <c r="X114" i="18"/>
  <c r="AE27" i="18"/>
  <c r="AB112" i="18"/>
  <c r="AC112" i="18" s="1"/>
  <c r="X82" i="18"/>
  <c r="AB104" i="18"/>
  <c r="AC104" i="18" s="1"/>
  <c r="AB106" i="18"/>
  <c r="AC106" i="18" s="1"/>
  <c r="AB105" i="18"/>
  <c r="AC10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59" i="18" s="1"/>
  <c r="W58" i="18"/>
  <c r="AB85" i="18"/>
  <c r="AC85" i="18" s="1"/>
  <c r="AB102" i="18"/>
  <c r="AC102" i="18" s="1"/>
  <c r="AB101" i="18"/>
  <c r="AC101" i="18" s="1"/>
  <c r="X93" i="18"/>
  <c r="X92" i="18"/>
  <c r="AE25" i="18"/>
  <c r="AE18" i="18"/>
  <c r="AC18" i="18"/>
  <c r="S145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0" i="18" s="1"/>
  <c r="W60" i="18"/>
  <c r="W55" i="18"/>
  <c r="W161" i="18" s="1"/>
  <c r="W57" i="18"/>
  <c r="W54" i="18"/>
  <c r="W74" i="18"/>
  <c r="W53" i="18"/>
  <c r="W75" i="18"/>
  <c r="W71" i="18"/>
  <c r="W73" i="18"/>
  <c r="W119" i="18" s="1"/>
  <c r="W45" i="18"/>
  <c r="W44" i="18"/>
  <c r="W156" i="18" s="1"/>
  <c r="W49" i="18"/>
  <c r="W50" i="18"/>
  <c r="W51" i="18"/>
  <c r="W47" i="18"/>
  <c r="W162" i="18" s="1"/>
  <c r="AC27" i="18"/>
  <c r="Y12" i="18"/>
  <c r="Y15" i="18"/>
  <c r="Y109" i="18" s="1"/>
  <c r="Y13" i="18"/>
  <c r="Y10" i="18"/>
  <c r="Y16" i="18"/>
  <c r="Y117" i="18" s="1"/>
  <c r="Y118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5" i="18"/>
  <c r="Y163" i="18" s="1"/>
  <c r="V157" i="18"/>
  <c r="V158" i="18"/>
  <c r="P31" i="11"/>
  <c r="N32" i="11"/>
  <c r="T19" i="9"/>
  <c r="D22" i="9"/>
  <c r="Y91" i="18" l="1"/>
  <c r="X96" i="18"/>
  <c r="X97" i="18" s="1"/>
  <c r="X98" i="18" s="1"/>
  <c r="X99" i="18" s="1"/>
  <c r="X48" i="18"/>
  <c r="Y115" i="18"/>
  <c r="Y114" i="18"/>
  <c r="Y88" i="18"/>
  <c r="Y110" i="18"/>
  <c r="Y82" i="18"/>
  <c r="W59" i="18"/>
  <c r="W159" i="18" s="1"/>
  <c r="X51" i="18"/>
  <c r="Y92" i="18"/>
  <c r="Y93" i="18"/>
  <c r="T145" i="18"/>
  <c r="R145" i="18" s="1"/>
  <c r="X53" i="18"/>
  <c r="X60" i="18"/>
  <c r="X47" i="18"/>
  <c r="X162" i="18" s="1"/>
  <c r="X55" i="18"/>
  <c r="X161" i="18" s="1"/>
  <c r="X50" i="18"/>
  <c r="X49" i="18"/>
  <c r="X71" i="18"/>
  <c r="X73" i="18"/>
  <c r="X119" i="18" s="1"/>
  <c r="X45" i="18"/>
  <c r="X44" i="18"/>
  <c r="X156" i="18" s="1"/>
  <c r="X75" i="18"/>
  <c r="X54" i="18"/>
  <c r="X61" i="18"/>
  <c r="X160" i="18" s="1"/>
  <c r="X58" i="18"/>
  <c r="X57" i="18"/>
  <c r="X74" i="18"/>
  <c r="Z13" i="18"/>
  <c r="Z12" i="18"/>
  <c r="Z15" i="18"/>
  <c r="Z109" i="18" s="1"/>
  <c r="Z10" i="18"/>
  <c r="Z16" i="18"/>
  <c r="Z117" i="18" s="1"/>
  <c r="Z118" i="18" s="1"/>
  <c r="Z6" i="18"/>
  <c r="Z7" i="18"/>
  <c r="Z38" i="18"/>
  <c r="Z87" i="18" s="1"/>
  <c r="Y81" i="18"/>
  <c r="Y80" i="18"/>
  <c r="Y40" i="18"/>
  <c r="X70" i="18"/>
  <c r="X68" i="18"/>
  <c r="X69" i="18"/>
  <c r="X67" i="18"/>
  <c r="Z155" i="18"/>
  <c r="Z163" i="18" s="1"/>
  <c r="W157" i="18"/>
  <c r="W15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91" i="18" l="1"/>
  <c r="Y96" i="18"/>
  <c r="Y97" i="18" s="1"/>
  <c r="Y98" i="18" s="1"/>
  <c r="Y99" i="18" s="1"/>
  <c r="Y48" i="18"/>
  <c r="Z88" i="18"/>
  <c r="Z110" i="18"/>
  <c r="Z114" i="18"/>
  <c r="Z115" i="18"/>
  <c r="Z82" i="18"/>
  <c r="Z92" i="18"/>
  <c r="Z93" i="18"/>
  <c r="X59" i="18"/>
  <c r="X159" i="18" s="1"/>
  <c r="Y71" i="18"/>
  <c r="Y73" i="18"/>
  <c r="Y119" i="18" s="1"/>
  <c r="Y44" i="18"/>
  <c r="Y156" i="18" s="1"/>
  <c r="Y45" i="18"/>
  <c r="Y55" i="18"/>
  <c r="Y161" i="18" s="1"/>
  <c r="Y61" i="18"/>
  <c r="Y160" i="18" s="1"/>
  <c r="Y60" i="18"/>
  <c r="Y58" i="18"/>
  <c r="Y49" i="18"/>
  <c r="Y47" i="18"/>
  <c r="Y162" i="18" s="1"/>
  <c r="Y54" i="18"/>
  <c r="Y50" i="18"/>
  <c r="Y51" i="18"/>
  <c r="Y57" i="18"/>
  <c r="Y74" i="18"/>
  <c r="Y53" i="18"/>
  <c r="Y75" i="18"/>
  <c r="AA12" i="18"/>
  <c r="AA15" i="18"/>
  <c r="AA109" i="18" s="1"/>
  <c r="AA13" i="18"/>
  <c r="AA10" i="18"/>
  <c r="AA16" i="18"/>
  <c r="AA117" i="18" s="1"/>
  <c r="AA118" i="18" s="1"/>
  <c r="AA7" i="18"/>
  <c r="AA6" i="18"/>
  <c r="AA38" i="18"/>
  <c r="AA87" i="18" s="1"/>
  <c r="Z80" i="18"/>
  <c r="Z81" i="18"/>
  <c r="Z40" i="18"/>
  <c r="Y70" i="18"/>
  <c r="Y68" i="18"/>
  <c r="Y69" i="18"/>
  <c r="Y67" i="18"/>
  <c r="AA155" i="18"/>
  <c r="AA163" i="18" s="1"/>
  <c r="X157" i="18"/>
  <c r="X158" i="18"/>
  <c r="N34" i="11"/>
  <c r="O33" i="11"/>
  <c r="D25" i="8"/>
  <c r="D23" i="8"/>
  <c r="AA91" i="18" l="1"/>
  <c r="Z96" i="18"/>
  <c r="Z97" i="18" s="1"/>
  <c r="Z98" i="18" s="1"/>
  <c r="Z99" i="18" s="1"/>
  <c r="Z48" i="18"/>
  <c r="AA82" i="18"/>
  <c r="AA114" i="18"/>
  <c r="AA115" i="18"/>
  <c r="AA88" i="18"/>
  <c r="AA110" i="18"/>
  <c r="AA92" i="18"/>
  <c r="AA93" i="18"/>
  <c r="Y59" i="18"/>
  <c r="Y159" i="18" s="1"/>
  <c r="Z71" i="18"/>
  <c r="Z73" i="18"/>
  <c r="Z119" i="18" s="1"/>
  <c r="Z45" i="18"/>
  <c r="Z44" i="18"/>
  <c r="Z156" i="18" s="1"/>
  <c r="Z49" i="18"/>
  <c r="Z60" i="18"/>
  <c r="Z50" i="18"/>
  <c r="Z55" i="18"/>
  <c r="Z161" i="18" s="1"/>
  <c r="Z58" i="18"/>
  <c r="Z57" i="18"/>
  <c r="Z75" i="18"/>
  <c r="Z61" i="18"/>
  <c r="Z160" i="18" s="1"/>
  <c r="Z47" i="18"/>
  <c r="Z162" i="18" s="1"/>
  <c r="Z54" i="18"/>
  <c r="Z74" i="18"/>
  <c r="Z53" i="18"/>
  <c r="Z51" i="18"/>
  <c r="AB15" i="18"/>
  <c r="AB13" i="18"/>
  <c r="AE13" i="18" s="1"/>
  <c r="AB12" i="18"/>
  <c r="AB110" i="18" s="1"/>
  <c r="AC110" i="18" s="1"/>
  <c r="AB10" i="18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5" i="18"/>
  <c r="AB163" i="18" s="1"/>
  <c r="Y157" i="18"/>
  <c r="Y158" i="18"/>
  <c r="N35" i="11"/>
  <c r="O34" i="11"/>
  <c r="D35" i="8"/>
  <c r="E5" i="8"/>
  <c r="E18" i="8" s="1"/>
  <c r="D18" i="8"/>
  <c r="D19" i="8"/>
  <c r="D21" i="8"/>
  <c r="D20" i="8"/>
  <c r="AB91" i="18" l="1"/>
  <c r="AC91" i="18" s="1"/>
  <c r="AC163" i="18"/>
  <c r="AE163" i="18" s="1"/>
  <c r="AA96" i="18"/>
  <c r="AA97" i="18" s="1"/>
  <c r="AA98" i="18" s="1"/>
  <c r="AA99" i="18" s="1"/>
  <c r="AA48" i="18"/>
  <c r="AE16" i="18"/>
  <c r="AB117" i="18"/>
  <c r="AB115" i="18"/>
  <c r="AC115" i="18" s="1"/>
  <c r="AB114" i="18"/>
  <c r="AC114" i="18" s="1"/>
  <c r="AE15" i="18"/>
  <c r="AB109" i="18"/>
  <c r="AC109" i="18" s="1"/>
  <c r="AB82" i="18"/>
  <c r="AC82" i="18" s="1"/>
  <c r="AE10" i="18"/>
  <c r="AE12" i="18"/>
  <c r="AB88" i="18"/>
  <c r="AC88" i="18" s="1"/>
  <c r="AE38" i="18"/>
  <c r="AB92" i="18"/>
  <c r="AC92" i="18" s="1"/>
  <c r="AB93" i="18"/>
  <c r="AC93" i="18" s="1"/>
  <c r="Z59" i="18"/>
  <c r="Z159" i="18" s="1"/>
  <c r="AA71" i="18"/>
  <c r="AA73" i="18"/>
  <c r="AA119" i="18" s="1"/>
  <c r="AA44" i="18"/>
  <c r="AA156" i="18" s="1"/>
  <c r="AA45" i="18"/>
  <c r="AA53" i="18"/>
  <c r="AA61" i="18"/>
  <c r="AA160" i="18" s="1"/>
  <c r="AA47" i="18"/>
  <c r="AA162" i="18" s="1"/>
  <c r="AA55" i="18"/>
  <c r="AA161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39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5" i="18"/>
  <c r="AE155" i="18" s="1"/>
  <c r="Z157" i="18"/>
  <c r="Z158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7" i="18"/>
  <c r="AB118" i="18"/>
  <c r="AC118" i="18" s="1"/>
  <c r="AE40" i="18"/>
  <c r="T139" i="18"/>
  <c r="T140" i="18" s="1"/>
  <c r="AA59" i="18"/>
  <c r="AA159" i="18" s="1"/>
  <c r="AB71" i="18"/>
  <c r="AB73" i="18"/>
  <c r="AB44" i="18"/>
  <c r="AB156" i="18" s="1"/>
  <c r="AC156" i="18" s="1"/>
  <c r="AE156" i="18" s="1"/>
  <c r="AB45" i="18"/>
  <c r="AB53" i="18"/>
  <c r="AB58" i="18"/>
  <c r="AB47" i="18"/>
  <c r="AB55" i="18"/>
  <c r="AB51" i="18"/>
  <c r="AB74" i="18"/>
  <c r="AB50" i="18"/>
  <c r="AE50" i="18" s="1"/>
  <c r="AB49" i="18"/>
  <c r="AB60" i="18"/>
  <c r="AB75" i="18"/>
  <c r="AB54" i="18"/>
  <c r="AB61" i="18"/>
  <c r="AB57" i="18"/>
  <c r="S140" i="18"/>
  <c r="AB70" i="18"/>
  <c r="AB68" i="18"/>
  <c r="AC40" i="18"/>
  <c r="AB69" i="18"/>
  <c r="AB67" i="18"/>
  <c r="AA157" i="18"/>
  <c r="AA158" i="18"/>
  <c r="N37" i="11"/>
  <c r="O36" i="11"/>
  <c r="F18" i="8"/>
  <c r="G18" i="8"/>
  <c r="AE47" i="18" l="1"/>
  <c r="AB162" i="18"/>
  <c r="AE48" i="18"/>
  <c r="AC48" i="18"/>
  <c r="AE73" i="18"/>
  <c r="AB119" i="18"/>
  <c r="AC119" i="18" s="1"/>
  <c r="AC96" i="18"/>
  <c r="R139" i="18"/>
  <c r="R140" i="18"/>
  <c r="AC74" i="18"/>
  <c r="AE74" i="18"/>
  <c r="AC45" i="18"/>
  <c r="AE45" i="18"/>
  <c r="S136" i="18"/>
  <c r="AE60" i="18"/>
  <c r="AB160" i="18"/>
  <c r="AC160" i="18" s="1"/>
  <c r="AE160" i="18" s="1"/>
  <c r="AE61" i="18"/>
  <c r="AC44" i="18"/>
  <c r="AE44" i="18"/>
  <c r="AC58" i="18"/>
  <c r="AE58" i="18"/>
  <c r="S130" i="18"/>
  <c r="AE57" i="18"/>
  <c r="S129" i="18"/>
  <c r="AE51" i="18"/>
  <c r="AB161" i="18"/>
  <c r="AC161" i="18" s="1"/>
  <c r="AE161" i="18" s="1"/>
  <c r="AE55" i="18"/>
  <c r="AC54" i="18"/>
  <c r="AE54" i="18"/>
  <c r="S127" i="18"/>
  <c r="AE49" i="18"/>
  <c r="S132" i="18"/>
  <c r="AE53" i="18"/>
  <c r="AC75" i="18"/>
  <c r="AE75" i="18"/>
  <c r="S152" i="18"/>
  <c r="AE71" i="18"/>
  <c r="S150" i="18"/>
  <c r="AE70" i="18"/>
  <c r="S149" i="18"/>
  <c r="AE69" i="18"/>
  <c r="S147" i="18"/>
  <c r="AE67" i="18"/>
  <c r="S148" i="18"/>
  <c r="AE68" i="18"/>
  <c r="AC60" i="18"/>
  <c r="S133" i="18"/>
  <c r="AC49" i="18"/>
  <c r="AC51" i="18"/>
  <c r="T129" i="18" s="1"/>
  <c r="AC53" i="18"/>
  <c r="S134" i="18"/>
  <c r="AC71" i="18"/>
  <c r="AC57" i="18"/>
  <c r="S137" i="18"/>
  <c r="AB59" i="18"/>
  <c r="AC55" i="18"/>
  <c r="AC61" i="18"/>
  <c r="AC73" i="18"/>
  <c r="AC69" i="18"/>
  <c r="AC68" i="18"/>
  <c r="AC67" i="18"/>
  <c r="AC70" i="18"/>
  <c r="S126" i="18"/>
  <c r="AC47" i="18"/>
  <c r="AB157" i="18"/>
  <c r="AC50" i="18"/>
  <c r="T128" i="18" s="1"/>
  <c r="AB158" i="18"/>
  <c r="S128" i="18"/>
  <c r="N38" i="11"/>
  <c r="O37" i="11"/>
  <c r="H18" i="8"/>
  <c r="AC162" i="18" l="1"/>
  <c r="AE162" i="18" s="1"/>
  <c r="T126" i="18"/>
  <c r="P170" i="18"/>
  <c r="M170" i="18"/>
  <c r="AC97" i="18"/>
  <c r="T137" i="18"/>
  <c r="R137" i="18" s="1"/>
  <c r="T127" i="18"/>
  <c r="R127" i="18" s="1"/>
  <c r="T136" i="18"/>
  <c r="R136" i="18" s="1"/>
  <c r="T132" i="18"/>
  <c r="R132" i="18" s="1"/>
  <c r="T134" i="18"/>
  <c r="R134" i="18" s="1"/>
  <c r="T152" i="18"/>
  <c r="R152" i="18" s="1"/>
  <c r="T149" i="18"/>
  <c r="R149" i="18" s="1"/>
  <c r="AC59" i="18"/>
  <c r="AE59" i="18"/>
  <c r="T130" i="18"/>
  <c r="R130" i="18" s="1"/>
  <c r="R129" i="18"/>
  <c r="T133" i="18"/>
  <c r="R133" i="18" s="1"/>
  <c r="T147" i="18"/>
  <c r="R147" i="18" s="1"/>
  <c r="AB159" i="18"/>
  <c r="AC159" i="18" s="1"/>
  <c r="AE159" i="18" s="1"/>
  <c r="T150" i="18"/>
  <c r="R150" i="18" s="1"/>
  <c r="T148" i="18"/>
  <c r="R148" i="18" s="1"/>
  <c r="R126" i="18"/>
  <c r="P171" i="18" s="1"/>
  <c r="P172" i="18" s="1"/>
  <c r="AC158" i="18"/>
  <c r="AE158" i="18" s="1"/>
  <c r="AC157" i="18"/>
  <c r="AE157" i="18" s="1"/>
  <c r="R128" i="18"/>
  <c r="N39" i="11"/>
  <c r="O38" i="11"/>
  <c r="I18" i="8"/>
  <c r="P169" i="18" l="1"/>
  <c r="M169" i="18"/>
  <c r="P168" i="18"/>
  <c r="M168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<sst xmlns="http://schemas.openxmlformats.org/spreadsheetml/2006/main" count="577" uniqueCount="398">
  <si>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</si>
  <si>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</si>
  <si>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</si>
  <si>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</si>
  <si>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</si>
  <si>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</si>
  <si>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</si>
  <si>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</si>
  <si>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</si>
  <si>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</si>
  <si>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</si>
  <si>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</si>
  <si>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</si>
  <si>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</si>
  <si>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</si>
  <si>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</si>
  <si>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</si>
  <si>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</si>
  <si>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</si>
  <si>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</si>
  <si>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</si>
  <si>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</si>
  <si>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</si>
  <si>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</si>
  <si>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</si>
  <si>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</si>
  <si>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</si>
  <si>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</si>
  <si>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</si>
  <si>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</si>
  <si>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</si>
  <si>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</si>
  <si>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</si>
  <si>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</si>
  <si>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</si>
  <si>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</si>
  <si>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</si>
  <si>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</si>
  <si>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</si>
  <si>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</si>
  <si>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</si>
  <si>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</si>
  <si>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</si>
  <si>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</si>
  <si>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</si>
  <si>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</si>
  <si>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</si>
  <si>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</si>
  <si>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</si>
  <si>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</si>
  <si>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</si>
  <si>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</si>
  <si>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</si>
  <si>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</si>
  <si>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</si>
  <si>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</si>
  <si>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</si>
  <si>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</si>
  <si>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</si>
  <si>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</si>
  <si>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</si>
  <si>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</si>
  <si>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</si>
  <si>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</si>
  <si>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</si>
  <si>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</si>
  <si>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</si>
  <si>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</si>
  <si>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</si>
  <si>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</si>
  <si>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</si>
  <si>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</si>
  <si>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</si>
  <si>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</si>
  <si>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</si>
  <si>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</si>
  <si>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</si>
  <si>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</si>
  <si>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</si>
  <si>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</si>
  <si>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</si>
  <si>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</si>
  <si>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</si>
  <si>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</si>
  <si>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</si>
  <si>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</si>
  <si>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</si>
  <si>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</si>
  <si>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</si>
  <si>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</si>
  <si>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</si>
  <si>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</si>
  <si>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</si>
  <si>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</si>
  <si>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</si>
  <si>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</si>
  <si>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</si>
  <si>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</si>
  <si>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</si>
  <si>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</si>
  <si>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</si>
  <si>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</si>
  <si>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</si>
  <si>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</si>
  <si>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</si>
  <si>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</si>
  <si>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</si>
  <si>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</si>
  <si>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</si>
  <si>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</si>
  <si>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</si>
  <si>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</si>
  <si>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</si>
  <si>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</si>
  <si>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</si>
  <si>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</si>
  <si>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</si>
  <si>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</si>
  <si>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</si>
  <si>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</si>
  <si>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</si>
  <si>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</si>
  <si>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</si>
  <si>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</si>
  <si>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</si>
  <si>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</si>
  <si>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</si>
  <si>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</si>
  <si>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</si>
  <si>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</si>
  <si>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</si>
  <si>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</si>
  <si>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</si>
  <si>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</si>
  <si>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</si>
  <si>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</si>
  <si>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</si>
  <si>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</si>
  <si>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</si>
  <si>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</si>
  <si>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</si>
  <si>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</si>
  <si>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</si>
  <si>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</si>
  <si>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</si>
  <si>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</si>
  <si>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</si>
  <si>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</si>
  <si>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</si>
  <si>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</si>
  <si>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</si>
  <si>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</si>
  <si>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</si>
  <si>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</si>
  <si>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</si>
  <si>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</si>
  <si>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</si>
  <si>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</si>
  <si>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</si>
  <si>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</si>
  <si>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</si>
  <si>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</si>
  <si>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</si>
  <si>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</si>
  <si>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</si>
  <si>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</si>
  <si>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</si>
  <si>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</si>
  <si>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</si>
  <si>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</si>
  <si>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</si>
  <si>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</si>
  <si>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</si>
  <si>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</si>
  <si>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</si>
  <si>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</si>
  <si>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</si>
  <si>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</si>
  <si>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</si>
  <si>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</si>
  <si>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</si>
  <si>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</si>
  <si>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</si>
  <si>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</si>
  <si>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</si>
  <si>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</si>
  <si>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</si>
  <si>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</si>
  <si>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</si>
  <si>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</si>
  <si>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</si>
  <si>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</si>
  <si>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</si>
  <si>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</si>
  <si>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</si>
  <si>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</si>
  <si>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</si>
  <si>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</si>
  <si>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</si>
  <si>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</si>
  <si>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</si>
  <si>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</si>
  <si>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</si>
  <si>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</si>
  <si>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</si>
  <si>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</si>
  <si>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</si>
  <si>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</si>
  <si>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</si>
  <si>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</si>
  <si>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</si>
  <si>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</si>
  <si>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</si>
  <si>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</si>
  <si>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</si>
  <si>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</si>
  <si>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</si>
  <si>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</si>
  <si>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</si>
  <si>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</si>
  <si>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</si>
  <si>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</si>
  <si>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</si>
  <si>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</si>
  <si>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</si>
  <si>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</si>
  <si>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</si>
  <si>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</si>
  <si>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</si>
  <si>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</si>
  <si>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</si>
  <si>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</si>
  <si>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</si>
  <si>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</si>
  <si>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</si>
  <si>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</si>
  <si>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</si>
  <si>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</si>
  <si>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</si>
  <si>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</si>
  <si>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</si>
  <si>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</si>
  <si>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</si>
  <si>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</si>
  <si>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</si>
  <si>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</si>
  <si>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</si>
  <si>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</si>
  <si>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</si>
  <si>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</si>
  <si>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</si>
  <si>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</si>
  <si>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</si>
  <si>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</si>
  <si>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</si>
  <si>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</si>
  <si>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</si>
  <si>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</si>
  <si>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</si>
  <si>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</si>
  <si>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</si>
  <si>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</si>
  <si>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</si>
  <si>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</si>
  <si>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</si>
  <si>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</si>
  <si>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</si>
  <si>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</si>
  <si>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</si>
  <si>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</si>
  <si>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</si>
  <si>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</si>
  <si>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</si>
  <si>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</si>
  <si>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</si>
  <si>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</si>
  <si>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</si>
  <si>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</si>
  <si>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</si>
  <si>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</si>
  <si>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</si>
  <si>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</si>
  <si>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</si>
  <si>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</si>
  <si>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</si>
  <si>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</si>
  <si>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</si>
  <si>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</si>
  <si>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</si>
  <si>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</si>
  <si>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</si>
  <si>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</si>
  <si>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</si>
  <si>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</si>
  <si>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</si>
  <si>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</si>
  <si>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</si>
  <si>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</si>
  <si>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</si>
  <si>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</si>
  <si>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</si>
  <si>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</si>
  <si>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</si>
  <si>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</si>
  <si>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</si>
  <si>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</si>
  <si>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</si>
  <si>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</si>
  <si>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</si>
  <si>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</si>
  <si>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</si>
  <si>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</si>
  <si>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</si>
  <si>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</si>
  <si>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</si>
  <si>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</si>
  <si>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</si>
  <si>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</si>
  <si>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</si>
  <si>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</si>
  <si>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</si>
  <si>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</si>
  <si>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</si>
  <si>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</si>
  <si>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</si>
  <si>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</si>
  <si>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</si>
  <si>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</si>
  <si>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</si>
  <si>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</si>
  <si>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</si>
  <si>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</si>
  <si>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</si>
  <si>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</si>
  <si>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</si>
  <si>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</si>
  <si>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</si>
  <si>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</si>
  <si>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</si>
  <si>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</si>
  <si>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</si>
  <si>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</si>
  <si>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</si>
  <si>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</si>
  <si>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</si>
  <si>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</si>
  <si>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</si>
  <si>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</si>
  <si>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</si>
  <si>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</si>
  <si>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</si>
  <si>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</si>
  <si>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</si>
  <si>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</si>
  <si>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</si>
  <si>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</si>
  <si>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</si>
  <si>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</si>
  <si>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</si>
  <si>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</si>
  <si>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</si>
  <si>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</si>
  <si>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</si>
  <si>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</si>
  <si>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</si>
  <si>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</si>
  <si>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</si>
  <si>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</si>
  <si>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</si>
  <si>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</si>
  <si>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</si>
  <si>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</si>
  <si>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</si>
  <si>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</si>
  <si>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</si>
  <si>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</si>
  <si>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</si>
  <si>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</si>
  <si>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</si>
  <si>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</si>
  <si>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</si>
  <si>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</si>
  <si>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</si>
  <si>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</si>
  <si>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</si>
  <si>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</si>
  <si>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</si>
  <si>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</si>
  <si>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</si>
  <si>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</si>
  <si>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</si>
  <si>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</si>
  <si>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</si>
  <si>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</si>
  <si>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</si>
  <si>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</si>
  <si>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</si>
  <si>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11+105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</si>
</sst>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2272"/>
        <c:axId val="39304192"/>
      </c:lineChart>
      <c:catAx>
        <c:axId val="39302272"/>
        <c:scaling>
          <c:orientation val="minMax"/>
        </c:scaling>
        <c:delete val="0"/>
        <c:axPos val="b"/>
        <c:majorTickMark val="out"/>
        <c:minorTickMark val="none"/>
        <c:tickLblPos val="nextTo"/>
        <c:crossAx val="39304192"/>
        <c:crosses val="autoZero"/>
        <c:auto val="1"/>
        <c:lblAlgn val="ctr"/>
        <c:lblOffset val="100"/>
        <c:noMultiLvlLbl val="0"/>
      </c:catAx>
      <c:valAx>
        <c:axId val="3930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022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201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J33" sqref="J33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85" t="s">
        <v>292</v>
      </c>
      <c r="AE2" s="186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7" t="s">
        <v>293</v>
      </c>
      <c r="AE3" s="188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70</v>
      </c>
      <c r="H6" s="147">
        <v>75</v>
      </c>
      <c r="I6" s="147">
        <v>83</v>
      </c>
      <c r="J6" s="147">
        <v>137</v>
      </c>
      <c r="K6" s="147">
        <v>154</v>
      </c>
      <c r="L6" s="147">
        <v>178</v>
      </c>
      <c r="M6" s="147">
        <v>211</v>
      </c>
      <c r="N6" s="147">
        <v>247</v>
      </c>
      <c r="O6" s="147">
        <v>291</v>
      </c>
      <c r="P6" s="147">
        <v>329</v>
      </c>
      <c r="Q6" s="118">
        <f>((P6/G6)^(1/($H$2-$H$1) ))-1</f>
        <v>0.18762010142817953</v>
      </c>
      <c r="R6" s="31">
        <f>$L$2</f>
        <v>0.12</v>
      </c>
      <c r="S6" s="154">
        <f>P6*(1+$R6)</f>
        <v>368.48</v>
      </c>
      <c r="T6" s="154">
        <f>S6*(1+$R6)</f>
        <v>412.69760000000008</v>
      </c>
      <c r="U6" s="154">
        <f t="shared" ref="U6:AB6" si="0">T6*(1+$R6)</f>
        <v>462.22131200000013</v>
      </c>
      <c r="V6" s="154">
        <f t="shared" si="0"/>
        <v>517.68786944000021</v>
      </c>
      <c r="W6" s="154">
        <f t="shared" si="0"/>
        <v>579.8104137728003</v>
      </c>
      <c r="X6" s="154">
        <f t="shared" si="0"/>
        <v>649.3876634255364</v>
      </c>
      <c r="Y6" s="154">
        <f t="shared" si="0"/>
        <v>727.31418303660087</v>
      </c>
      <c r="Z6" s="154">
        <f t="shared" si="0"/>
        <v>814.5918850009931</v>
      </c>
      <c r="AA6" s="154">
        <f t="shared" si="0"/>
        <v>912.34291120111232</v>
      </c>
      <c r="AB6" s="154">
        <f t="shared" si="0"/>
        <v>1021.8240605452459</v>
      </c>
      <c r="AC6" s="138">
        <f>((AB6/G6)^(1/($AB$3-$H$1) ))-1</f>
        <v>0.15153672716260136</v>
      </c>
      <c r="AD6" s="31">
        <f>$L$1</f>
        <v>0.08</v>
      </c>
      <c r="AE6" s="146">
        <f t="shared" ref="AE6:AE41" si="1">(AB6*(1+AD6))/($C$1-AD6)</f>
        <v>7882.6427527776113</v>
      </c>
    </row>
    <row r="7" spans="2:31" x14ac:dyDescent="0.2">
      <c r="B7" s="20" t="s">
        <v>240</v>
      </c>
      <c r="C7" s="141"/>
      <c r="D7" s="141"/>
      <c r="E7" s="147"/>
      <c r="F7" s="147"/>
      <c r="G7" s="147">
        <v>79</v>
      </c>
      <c r="H7" s="147">
        <v>84</v>
      </c>
      <c r="I7" s="147">
        <v>92</v>
      </c>
      <c r="J7" s="147">
        <v>147</v>
      </c>
      <c r="K7" s="147">
        <v>164</v>
      </c>
      <c r="L7" s="147">
        <v>188</v>
      </c>
      <c r="M7" s="147">
        <v>221</v>
      </c>
      <c r="N7" s="147">
        <v>257</v>
      </c>
      <c r="O7" s="147">
        <v>302</v>
      </c>
      <c r="P7" s="147">
        <v>339</v>
      </c>
      <c r="Q7" s="118">
        <f>((P7/G7)^(1/($H$2-$H$1) ))-1</f>
        <v>0.17567110699054989</v>
      </c>
      <c r="R7" s="31">
        <f>$L$2</f>
        <v>0.12</v>
      </c>
      <c r="S7" s="154">
        <f t="shared" ref="S7:S16" si="2">P7*(1+$R7)</f>
        <v>379.68000000000006</v>
      </c>
      <c r="T7" s="154">
        <f t="shared" ref="T7:AB7" si="3">S7*(1+$R7)</f>
        <v>425.24160000000012</v>
      </c>
      <c r="U7" s="154">
        <f t="shared" si="3"/>
        <v>476.27059200000019</v>
      </c>
      <c r="V7" s="154">
        <f t="shared" si="3"/>
        <v>533.42306304000022</v>
      </c>
      <c r="W7" s="154">
        <f t="shared" si="3"/>
        <v>597.43383060480028</v>
      </c>
      <c r="X7" s="154">
        <f t="shared" si="3"/>
        <v>669.12589027737636</v>
      </c>
      <c r="Y7" s="154">
        <f t="shared" si="3"/>
        <v>749.42099711066157</v>
      </c>
      <c r="Z7" s="154">
        <f t="shared" si="3"/>
        <v>839.35151676394105</v>
      </c>
      <c r="AA7" s="154">
        <f t="shared" si="3"/>
        <v>940.07369877561405</v>
      </c>
      <c r="AB7" s="154">
        <f t="shared" si="3"/>
        <v>1052.8825426286878</v>
      </c>
      <c r="AC7" s="138">
        <f>((AB7/G7)^(1/($AB$3-$H$1) ))-1</f>
        <v>0.14603404035013567</v>
      </c>
      <c r="AD7" s="31">
        <f>$L$1</f>
        <v>0.08</v>
      </c>
      <c r="AE7" s="146">
        <f t="shared" si="1"/>
        <v>8122.2367574213058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5.9523809523809521E-2</v>
      </c>
      <c r="I8" s="151">
        <f t="shared" ref="I8:P8" si="4">(I7-H7)/I7</f>
        <v>8.6956521739130432E-2</v>
      </c>
      <c r="J8" s="151">
        <f t="shared" si="4"/>
        <v>0.37414965986394561</v>
      </c>
      <c r="K8" s="151">
        <f t="shared" si="4"/>
        <v>0.10365853658536585</v>
      </c>
      <c r="L8" s="151">
        <f t="shared" si="4"/>
        <v>0.1276595744680851</v>
      </c>
      <c r="M8" s="151">
        <f t="shared" si="4"/>
        <v>0.14932126696832579</v>
      </c>
      <c r="N8" s="151">
        <f t="shared" si="4"/>
        <v>0.14007782101167315</v>
      </c>
      <c r="O8" s="151">
        <f t="shared" si="4"/>
        <v>0.1490066225165563</v>
      </c>
      <c r="P8" s="151">
        <f t="shared" si="4"/>
        <v>0.10914454277286136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>
        <v>5.48</v>
      </c>
      <c r="H9" s="147">
        <v>5.91</v>
      </c>
      <c r="I9" s="147">
        <v>6.65</v>
      </c>
      <c r="J9" s="147">
        <v>2831</v>
      </c>
      <c r="K9" s="147">
        <v>23</v>
      </c>
      <c r="L9" s="147">
        <v>37</v>
      </c>
      <c r="M9" s="147">
        <v>54</v>
      </c>
      <c r="N9" s="147">
        <v>46</v>
      </c>
      <c r="O9" s="147">
        <v>35</v>
      </c>
      <c r="P9" s="147">
        <v>44</v>
      </c>
      <c r="Q9" s="118">
        <f t="shared" ref="Q9:Q16" si="5">((P9/G9)^(1/($H$2-$H$1) ))-1</f>
        <v>0.26043113994603861</v>
      </c>
      <c r="R9" s="31">
        <f t="shared" ref="R9:R40" si="6">$L$2</f>
        <v>0.12</v>
      </c>
      <c r="S9" s="154">
        <f t="shared" ref="S9" si="7">P9*(1+$R9)</f>
        <v>49.28</v>
      </c>
      <c r="T9" s="154">
        <f t="shared" ref="T9" si="8">S9*(1+$R9)</f>
        <v>55.193600000000004</v>
      </c>
      <c r="U9" s="154">
        <f t="shared" ref="U9" si="9">T9*(1+$R9)</f>
        <v>61.816832000000012</v>
      </c>
      <c r="V9" s="154">
        <f t="shared" ref="V9" si="10">U9*(1+$R9)</f>
        <v>69.234851840000019</v>
      </c>
      <c r="W9" s="154">
        <f t="shared" ref="W9" si="11">V9*(1+$R9)</f>
        <v>77.543034060800025</v>
      </c>
      <c r="X9" s="154">
        <f t="shared" ref="X9" si="12">W9*(1+$R9)</f>
        <v>86.848198148096031</v>
      </c>
      <c r="Y9" s="154">
        <f t="shared" ref="Y9" si="13">X9*(1+$R9)</f>
        <v>97.269981925867569</v>
      </c>
      <c r="Z9" s="154">
        <f t="shared" ref="Z9" si="14">Y9*(1+$R9)</f>
        <v>108.94237975697169</v>
      </c>
      <c r="AA9" s="154">
        <f t="shared" ref="AA9" si="15">Z9*(1+$R9)</f>
        <v>122.0154653278083</v>
      </c>
      <c r="AB9" s="154">
        <f t="shared" ref="AB9" si="16">AA9*(1+$R9)</f>
        <v>136.65732116714531</v>
      </c>
      <c r="AC9" s="138">
        <f>((AB9/G9)^(1/($AB$3-$H$1) ))-1</f>
        <v>0.18445494237170834</v>
      </c>
      <c r="AD9" s="31">
        <f t="shared" ref="AD9:AD74" si="17">$L$1</f>
        <v>0.08</v>
      </c>
      <c r="AE9" s="146">
        <f t="shared" si="1"/>
        <v>1054.2136204322637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0" si="19">((AB10/G10)^(1/($AB$3-$H$1) ))-1</f>
        <v>#DIV/0!</v>
      </c>
      <c r="AD10" s="31">
        <f t="shared" si="17"/>
        <v>0.08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3</v>
      </c>
      <c r="H12" s="147">
        <v>4</v>
      </c>
      <c r="I12" s="147">
        <v>4</v>
      </c>
      <c r="J12" s="147">
        <v>2826</v>
      </c>
      <c r="K12" s="147">
        <v>25</v>
      </c>
      <c r="L12" s="147">
        <f>5+107</f>
        <v>112</v>
      </c>
      <c r="M12" s="147" t="s">
        <v>397</v>
      </c>
      <c r="N12" s="147">
        <f>7+35</f>
        <v>42</v>
      </c>
      <c r="O12" s="147">
        <f>6+35</f>
        <v>41</v>
      </c>
      <c r="P12" s="147">
        <v>47</v>
      </c>
      <c r="Q12" s="118">
        <f t="shared" si="5"/>
        <v>0.35761046843377886</v>
      </c>
      <c r="R12" s="31">
        <f t="shared" si="6"/>
        <v>0.12</v>
      </c>
      <c r="S12" s="154">
        <f t="shared" si="2"/>
        <v>52.640000000000008</v>
      </c>
      <c r="T12" s="154">
        <f t="shared" ref="T12:AB12" si="21">S12*(1+$R12)</f>
        <v>58.956800000000015</v>
      </c>
      <c r="U12" s="154">
        <f t="shared" si="21"/>
        <v>66.031616000000028</v>
      </c>
      <c r="V12" s="154">
        <f t="shared" si="21"/>
        <v>73.955409920000037</v>
      </c>
      <c r="W12" s="154">
        <f t="shared" si="21"/>
        <v>82.830059110400043</v>
      </c>
      <c r="X12" s="154">
        <f t="shared" si="21"/>
        <v>92.769666203648057</v>
      </c>
      <c r="Y12" s="154">
        <f t="shared" si="21"/>
        <v>103.90202614808584</v>
      </c>
      <c r="Z12" s="154">
        <f t="shared" si="21"/>
        <v>116.37026928585615</v>
      </c>
      <c r="AA12" s="154">
        <f t="shared" si="21"/>
        <v>130.33470160015889</v>
      </c>
      <c r="AB12" s="154">
        <f t="shared" si="21"/>
        <v>145.97486579217798</v>
      </c>
      <c r="AC12" s="138">
        <f t="shared" si="19"/>
        <v>0.22686768598639406</v>
      </c>
      <c r="AD12" s="31">
        <f t="shared" si="17"/>
        <v>0.08</v>
      </c>
      <c r="AE12" s="146">
        <f t="shared" si="1"/>
        <v>1126.091821825373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65</v>
      </c>
      <c r="H13" s="147">
        <v>60</v>
      </c>
      <c r="I13" s="147">
        <v>68</v>
      </c>
      <c r="J13" s="147">
        <v>68</v>
      </c>
      <c r="K13" s="147">
        <v>90</v>
      </c>
      <c r="L13" s="147">
        <v>30</v>
      </c>
      <c r="M13" s="147">
        <v>74</v>
      </c>
      <c r="N13" s="147">
        <v>191</v>
      </c>
      <c r="O13" s="147">
        <v>236</v>
      </c>
      <c r="P13" s="147">
        <v>229</v>
      </c>
      <c r="Q13" s="118">
        <f t="shared" si="5"/>
        <v>0.15018877550613441</v>
      </c>
      <c r="R13" s="31">
        <f t="shared" si="6"/>
        <v>0.12</v>
      </c>
      <c r="S13" s="154">
        <f t="shared" si="2"/>
        <v>256.48</v>
      </c>
      <c r="T13" s="154">
        <f t="shared" ref="T13:AB13" si="22">S13*(1+$R13)</f>
        <v>287.25760000000002</v>
      </c>
      <c r="U13" s="154">
        <f t="shared" si="22"/>
        <v>321.72851200000008</v>
      </c>
      <c r="V13" s="154">
        <f t="shared" si="22"/>
        <v>360.33593344000013</v>
      </c>
      <c r="W13" s="154">
        <f t="shared" si="22"/>
        <v>403.57624545280021</v>
      </c>
      <c r="X13" s="154">
        <f t="shared" si="22"/>
        <v>452.00539490713629</v>
      </c>
      <c r="Y13" s="154">
        <f t="shared" si="22"/>
        <v>506.24604229599271</v>
      </c>
      <c r="Z13" s="154">
        <f t="shared" si="22"/>
        <v>566.99556737151192</v>
      </c>
      <c r="AA13" s="154">
        <f t="shared" si="22"/>
        <v>635.0350354560934</v>
      </c>
      <c r="AB13" s="154">
        <f t="shared" si="22"/>
        <v>711.23923971082468</v>
      </c>
      <c r="AC13" s="138">
        <f t="shared" si="19"/>
        <v>0.13419988128929838</v>
      </c>
      <c r="AD13" s="31">
        <f t="shared" si="17"/>
        <v>0.08</v>
      </c>
      <c r="AE13" s="146">
        <f t="shared" si="1"/>
        <v>5486.7027063406476</v>
      </c>
    </row>
    <row r="14" spans="2:31" x14ac:dyDescent="0.2">
      <c r="B14" s="20" t="s">
        <v>374</v>
      </c>
      <c r="C14" s="141"/>
      <c r="D14" s="141"/>
      <c r="E14" s="147"/>
      <c r="F14" s="147"/>
      <c r="G14" s="147">
        <v>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0</v>
      </c>
      <c r="P14" s="147">
        <v>0</v>
      </c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0.08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17</v>
      </c>
      <c r="H15" s="147">
        <v>20</v>
      </c>
      <c r="I15" s="147">
        <v>23</v>
      </c>
      <c r="J15" s="147">
        <v>2896</v>
      </c>
      <c r="K15" s="147">
        <v>97</v>
      </c>
      <c r="L15" s="147">
        <v>33</v>
      </c>
      <c r="M15" s="147">
        <v>47</v>
      </c>
      <c r="N15" s="147">
        <v>39</v>
      </c>
      <c r="O15" s="147">
        <v>43</v>
      </c>
      <c r="P15" s="147">
        <v>95</v>
      </c>
      <c r="Q15" s="118">
        <f t="shared" si="5"/>
        <v>0.21068321241032772</v>
      </c>
      <c r="R15" s="31">
        <f t="shared" si="6"/>
        <v>0.12</v>
      </c>
      <c r="S15" s="154">
        <f t="shared" si="2"/>
        <v>106.4</v>
      </c>
      <c r="T15" s="154">
        <f t="shared" ref="T15:AB15" si="36">S15*(1+$R15)</f>
        <v>119.16800000000002</v>
      </c>
      <c r="U15" s="154">
        <f t="shared" si="36"/>
        <v>133.46816000000004</v>
      </c>
      <c r="V15" s="154">
        <f t="shared" si="36"/>
        <v>149.48433920000005</v>
      </c>
      <c r="W15" s="154">
        <f t="shared" si="36"/>
        <v>167.42245990400008</v>
      </c>
      <c r="X15" s="154">
        <f t="shared" si="36"/>
        <v>187.5131550924801</v>
      </c>
      <c r="Y15" s="154">
        <f t="shared" si="36"/>
        <v>210.01473370357775</v>
      </c>
      <c r="Z15" s="154">
        <f t="shared" si="36"/>
        <v>235.21650174800709</v>
      </c>
      <c r="AA15" s="154">
        <f t="shared" si="36"/>
        <v>263.44248195776794</v>
      </c>
      <c r="AB15" s="154">
        <f t="shared" si="36"/>
        <v>295.05557979270014</v>
      </c>
      <c r="AC15" s="138">
        <f t="shared" si="19"/>
        <v>0.16207583156386529</v>
      </c>
      <c r="AD15" s="31">
        <f t="shared" si="17"/>
        <v>0.08</v>
      </c>
      <c r="AE15" s="146">
        <f t="shared" si="1"/>
        <v>2276.1430441151151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1.33</v>
      </c>
      <c r="H16" s="147">
        <v>5.8</v>
      </c>
      <c r="I16" s="147">
        <v>6.72</v>
      </c>
      <c r="J16" s="147">
        <v>51</v>
      </c>
      <c r="K16" s="147">
        <v>45</v>
      </c>
      <c r="L16" s="147">
        <v>128</v>
      </c>
      <c r="M16" s="147">
        <v>113</v>
      </c>
      <c r="N16" s="147">
        <v>32</v>
      </c>
      <c r="O16" s="147">
        <v>31</v>
      </c>
      <c r="P16" s="147">
        <v>48</v>
      </c>
      <c r="Q16" s="118">
        <f t="shared" si="5"/>
        <v>0.48950953781761952</v>
      </c>
      <c r="R16" s="31">
        <f t="shared" si="6"/>
        <v>0.12</v>
      </c>
      <c r="S16" s="154">
        <f t="shared" si="2"/>
        <v>53.760000000000005</v>
      </c>
      <c r="T16" s="154">
        <f t="shared" ref="T16:AB16" si="37">S16*(1+$R16)</f>
        <v>60.211200000000012</v>
      </c>
      <c r="U16" s="154">
        <f t="shared" si="37"/>
        <v>67.436544000000026</v>
      </c>
      <c r="V16" s="154">
        <f t="shared" si="37"/>
        <v>75.528929280000042</v>
      </c>
      <c r="W16" s="154">
        <f t="shared" si="37"/>
        <v>84.592400793600049</v>
      </c>
      <c r="X16" s="154">
        <f t="shared" si="37"/>
        <v>94.743488888832061</v>
      </c>
      <c r="Y16" s="154">
        <f t="shared" si="37"/>
        <v>106.11270755549192</v>
      </c>
      <c r="Z16" s="154">
        <f t="shared" si="37"/>
        <v>118.84623246215097</v>
      </c>
      <c r="AA16" s="154">
        <f t="shared" si="37"/>
        <v>133.1077803576091</v>
      </c>
      <c r="AB16" s="154">
        <f t="shared" si="37"/>
        <v>149.08071400052222</v>
      </c>
      <c r="AC16" s="138">
        <f t="shared" si="19"/>
        <v>0.28195297914497286</v>
      </c>
      <c r="AD16" s="31">
        <f t="shared" si="17"/>
        <v>0.08</v>
      </c>
      <c r="AE16" s="146">
        <f t="shared" si="1"/>
        <v>1150.0512222897428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/>
      <c r="G18" s="147">
        <v>65</v>
      </c>
      <c r="H18" s="147">
        <v>60</v>
      </c>
      <c r="I18" s="147">
        <v>68</v>
      </c>
      <c r="J18" s="147">
        <v>27</v>
      </c>
      <c r="K18" s="147">
        <v>28</v>
      </c>
      <c r="L18" s="147">
        <v>29</v>
      </c>
      <c r="M18" s="147">
        <v>34</v>
      </c>
      <c r="N18" s="147">
        <v>33</v>
      </c>
      <c r="O18" s="147">
        <v>34</v>
      </c>
      <c r="P18" s="147">
        <v>65</v>
      </c>
      <c r="Q18" s="118">
        <f>((P18/G18)^(1/($H$2-$H$1) ))-1</f>
        <v>0</v>
      </c>
      <c r="R18" s="31">
        <f t="shared" si="6"/>
        <v>0.12</v>
      </c>
      <c r="S18" s="154">
        <f t="shared" ref="S18:S34" si="38">P18*(1+$R18)</f>
        <v>72.800000000000011</v>
      </c>
      <c r="T18" s="154">
        <f t="shared" ref="T18:T34" si="39">S18*(1+$R18)</f>
        <v>81.536000000000016</v>
      </c>
      <c r="U18" s="154">
        <f t="shared" ref="U18:U34" si="40">T18*(1+$R18)</f>
        <v>91.320320000000024</v>
      </c>
      <c r="V18" s="154">
        <f t="shared" ref="V18:V34" si="41">U18*(1+$R18)</f>
        <v>102.27875840000003</v>
      </c>
      <c r="W18" s="154">
        <f t="shared" ref="W18:W36" si="42">V18*(1+$R18)</f>
        <v>114.55220940800004</v>
      </c>
      <c r="X18" s="154">
        <f t="shared" ref="X18:X36" si="43">W18*(1+$R18)</f>
        <v>128.29847453696004</v>
      </c>
      <c r="Y18" s="154">
        <f t="shared" ref="Y18:Y36" si="44">X18*(1+$R18)</f>
        <v>143.69429148139525</v>
      </c>
      <c r="Z18" s="154">
        <f t="shared" ref="Z18:Z36" si="45">Y18*(1+$R18)</f>
        <v>160.93760645916271</v>
      </c>
      <c r="AA18" s="154">
        <f t="shared" ref="AA18:AA36" si="46">Z18*(1+$R18)</f>
        <v>180.25011923426226</v>
      </c>
      <c r="AB18" s="154">
        <f t="shared" ref="AB18:AB36" si="47">AA18*(1+$R18)</f>
        <v>201.88013354237376</v>
      </c>
      <c r="AC18" s="138">
        <f t="shared" si="19"/>
        <v>6.1461440986988025E-2</v>
      </c>
      <c r="AD18" s="31">
        <f t="shared" si="17"/>
        <v>0.08</v>
      </c>
      <c r="AE18" s="146">
        <f t="shared" si="1"/>
        <v>1557.361030184026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/>
      <c r="G20" s="147">
        <v>1</v>
      </c>
      <c r="H20" s="147"/>
      <c r="I20" s="147">
        <v>13</v>
      </c>
      <c r="J20" s="147">
        <v>12</v>
      </c>
      <c r="K20" s="147">
        <v>30</v>
      </c>
      <c r="L20" s="147">
        <v>36</v>
      </c>
      <c r="M20" s="147">
        <v>42</v>
      </c>
      <c r="N20" s="147">
        <v>42</v>
      </c>
      <c r="O20" s="147">
        <v>39</v>
      </c>
      <c r="P20" s="147">
        <v>41</v>
      </c>
      <c r="Q20" s="118">
        <f>((P20/G20)^(1/($H$2-$H$1) ))-1</f>
        <v>0.5107694922198307</v>
      </c>
      <c r="R20" s="31">
        <f t="shared" si="6"/>
        <v>0.12</v>
      </c>
      <c r="S20" s="154">
        <f t="shared" ref="S20:S22" si="48">P20*(1+$R20)</f>
        <v>45.92</v>
      </c>
      <c r="T20" s="154">
        <f t="shared" ref="T20:T22" si="49">S20*(1+$R20)</f>
        <v>51.430400000000006</v>
      </c>
      <c r="U20" s="154">
        <f t="shared" ref="U20:U22" si="50">T20*(1+$R20)</f>
        <v>57.602048000000011</v>
      </c>
      <c r="V20" s="154">
        <f t="shared" ref="V20:V22" si="51">U20*(1+$R20)</f>
        <v>64.514293760000015</v>
      </c>
      <c r="W20" s="154">
        <f t="shared" ref="W20:W22" si="52">V20*(1+$R20)</f>
        <v>72.256009011200021</v>
      </c>
      <c r="X20" s="154">
        <f t="shared" ref="X20:X22" si="53">W20*(1+$R20)</f>
        <v>80.926730092544034</v>
      </c>
      <c r="Y20" s="154">
        <f t="shared" ref="Y20:Y22" si="54">X20*(1+$R20)</f>
        <v>90.637937703649328</v>
      </c>
      <c r="Z20" s="154">
        <f t="shared" ref="Z20:Z22" si="55">Y20*(1+$R20)</f>
        <v>101.51449022808725</v>
      </c>
      <c r="AA20" s="154">
        <f t="shared" ref="AA20:AA22" si="56">Z20*(1+$R20)</f>
        <v>113.69622905545774</v>
      </c>
      <c r="AB20" s="154">
        <f t="shared" ref="AB20:AB22" si="57">AA20*(1+$R20)</f>
        <v>127.33977654211267</v>
      </c>
      <c r="AC20" s="138">
        <f t="shared" ref="AC20:AC22" si="58">((AB20/G20)^(1/($AB$3-$H$1) ))-1</f>
        <v>0.29058788308230121</v>
      </c>
      <c r="AD20" s="31">
        <f t="shared" si="17"/>
        <v>0.08</v>
      </c>
      <c r="AE20" s="146">
        <f t="shared" si="1"/>
        <v>982.33541903915477</v>
      </c>
    </row>
    <row r="21" spans="2:31" x14ac:dyDescent="0.2">
      <c r="B21" s="20" t="s">
        <v>285</v>
      </c>
      <c r="C21" s="141"/>
      <c r="D21" s="141"/>
      <c r="E21" s="147"/>
      <c r="F21" s="147"/>
      <c r="G21" s="147">
        <v>1</v>
      </c>
      <c r="H21" s="147"/>
      <c r="I21" s="147">
        <v>-9</v>
      </c>
      <c r="J21" s="147">
        <v>-40</v>
      </c>
      <c r="K21" s="147">
        <v>-25</v>
      </c>
      <c r="L21" s="147">
        <v>59</v>
      </c>
      <c r="M21" s="147">
        <v>-21</v>
      </c>
      <c r="N21" s="147">
        <v>-100</v>
      </c>
      <c r="O21" s="147">
        <v>27</v>
      </c>
      <c r="P21" s="147">
        <v>-24</v>
      </c>
      <c r="Q21" s="118">
        <f>((P21/G21)^(1/($H$2-$H$1) ))-1</f>
        <v>-2.4234978142529124</v>
      </c>
      <c r="R21" s="31">
        <f t="shared" si="6"/>
        <v>0.12</v>
      </c>
      <c r="S21" s="154">
        <f t="shared" si="48"/>
        <v>-26.880000000000003</v>
      </c>
      <c r="T21" s="154">
        <f t="shared" si="49"/>
        <v>-30.105600000000006</v>
      </c>
      <c r="U21" s="154">
        <f t="shared" si="50"/>
        <v>-33.718272000000013</v>
      </c>
      <c r="V21" s="154">
        <f t="shared" si="51"/>
        <v>-37.764464640000021</v>
      </c>
      <c r="W21" s="154">
        <f t="shared" si="52"/>
        <v>-42.296200396800025</v>
      </c>
      <c r="X21" s="154">
        <f t="shared" si="53"/>
        <v>-47.371744444416031</v>
      </c>
      <c r="Y21" s="154">
        <f t="shared" si="54"/>
        <v>-53.056353777745962</v>
      </c>
      <c r="Z21" s="154">
        <f t="shared" si="55"/>
        <v>-59.423116231075483</v>
      </c>
      <c r="AA21" s="154">
        <f t="shared" si="56"/>
        <v>-66.553890178804551</v>
      </c>
      <c r="AB21" s="154">
        <f t="shared" si="57"/>
        <v>-74.54035700026111</v>
      </c>
      <c r="AC21" s="138">
        <f t="shared" si="58"/>
        <v>-2.2547202853565915</v>
      </c>
      <c r="AD21" s="31">
        <f t="shared" si="17"/>
        <v>0.08</v>
      </c>
      <c r="AE21" s="146">
        <f t="shared" si="1"/>
        <v>-575.02561114487139</v>
      </c>
    </row>
    <row r="22" spans="2:31" x14ac:dyDescent="0.2">
      <c r="B22" s="20" t="s">
        <v>286</v>
      </c>
      <c r="C22" s="141"/>
      <c r="D22" s="141"/>
      <c r="E22" s="147"/>
      <c r="F22" s="147"/>
      <c r="G22" s="147">
        <v>1</v>
      </c>
      <c r="H22" s="147"/>
      <c r="I22" s="147">
        <v>-3.5</v>
      </c>
      <c r="J22" s="147">
        <v>35</v>
      </c>
      <c r="K22" s="147">
        <v>-5.2</v>
      </c>
      <c r="L22" s="147">
        <v>-11</v>
      </c>
      <c r="M22" s="147">
        <v>-14</v>
      </c>
      <c r="N22" s="147">
        <v>-20</v>
      </c>
      <c r="O22" s="147">
        <v>-15</v>
      </c>
      <c r="P22" s="147">
        <v>-15</v>
      </c>
      <c r="Q22" s="118">
        <f>((P22/G22)^(1/($H$2-$H$1) ))-1</f>
        <v>-2.3510667516017709</v>
      </c>
      <c r="R22" s="31">
        <f t="shared" si="6"/>
        <v>0.12</v>
      </c>
      <c r="S22" s="154">
        <f t="shared" si="48"/>
        <v>-16.8</v>
      </c>
      <c r="T22" s="154">
        <f t="shared" si="49"/>
        <v>-18.816000000000003</v>
      </c>
      <c r="U22" s="154">
        <f t="shared" si="50"/>
        <v>-21.073920000000005</v>
      </c>
      <c r="V22" s="154">
        <f t="shared" si="51"/>
        <v>-23.602790400000007</v>
      </c>
      <c r="W22" s="154">
        <f t="shared" si="52"/>
        <v>-26.435125248000009</v>
      </c>
      <c r="X22" s="154">
        <f t="shared" si="53"/>
        <v>-29.607340277760013</v>
      </c>
      <c r="Y22" s="154">
        <f t="shared" si="54"/>
        <v>-33.160221111091218</v>
      </c>
      <c r="Z22" s="154">
        <f t="shared" si="55"/>
        <v>-37.13944764442217</v>
      </c>
      <c r="AA22" s="154">
        <f t="shared" si="56"/>
        <v>-41.596181361752834</v>
      </c>
      <c r="AB22" s="154">
        <f t="shared" si="57"/>
        <v>-46.58772312516318</v>
      </c>
      <c r="AC22" s="138">
        <f t="shared" si="58"/>
        <v>-2.2240629768362159</v>
      </c>
      <c r="AD22" s="31">
        <f t="shared" si="17"/>
        <v>0.08</v>
      </c>
      <c r="AE22" s="146">
        <f t="shared" si="1"/>
        <v>-359.39100696554448</v>
      </c>
    </row>
    <row r="23" spans="2:31" x14ac:dyDescent="0.2">
      <c r="B23" s="20" t="s">
        <v>296</v>
      </c>
      <c r="C23" s="141"/>
      <c r="D23" s="141"/>
      <c r="E23" s="147"/>
      <c r="F23" s="147"/>
      <c r="G23" s="147">
        <v>1</v>
      </c>
      <c r="H23" s="147"/>
      <c r="I23" s="147">
        <v>4</v>
      </c>
      <c r="J23" s="147">
        <v>12</v>
      </c>
      <c r="K23" s="147">
        <v>11</v>
      </c>
      <c r="L23" s="147">
        <v>95</v>
      </c>
      <c r="M23" s="147">
        <v>102</v>
      </c>
      <c r="N23" s="147">
        <v>24</v>
      </c>
      <c r="O23" s="147">
        <v>21</v>
      </c>
      <c r="P23" s="147">
        <v>21</v>
      </c>
      <c r="Q23" s="118">
        <f>((P23/G23)^(1/($H$2-$H$1) ))-1</f>
        <v>0.40253353760291133</v>
      </c>
      <c r="R23" s="31">
        <f t="shared" si="6"/>
        <v>0.12</v>
      </c>
      <c r="S23" s="154">
        <f t="shared" ref="S23" si="59">P23*(1+$R23)</f>
        <v>23.520000000000003</v>
      </c>
      <c r="T23" s="154">
        <f t="shared" ref="T23" si="60">S23*(1+$R23)</f>
        <v>26.342400000000005</v>
      </c>
      <c r="U23" s="154">
        <f t="shared" ref="U23" si="61">T23*(1+$R23)</f>
        <v>29.503488000000008</v>
      </c>
      <c r="V23" s="154">
        <f t="shared" ref="V23" si="62">U23*(1+$R23)</f>
        <v>33.043906560000011</v>
      </c>
      <c r="W23" s="154">
        <f t="shared" ref="W23" si="63">V23*(1+$R23)</f>
        <v>37.009175347200014</v>
      </c>
      <c r="X23" s="154">
        <f t="shared" ref="X23" si="64">W23*(1+$R23)</f>
        <v>41.450276388864019</v>
      </c>
      <c r="Y23" s="154">
        <f t="shared" ref="Y23" si="65">X23*(1+$R23)</f>
        <v>46.424309555527707</v>
      </c>
      <c r="Z23" s="154">
        <f t="shared" ref="Z23" si="66">Y23*(1+$R23)</f>
        <v>51.995226702191033</v>
      </c>
      <c r="AA23" s="154">
        <f t="shared" ref="AA23" si="67">Z23*(1+$R23)</f>
        <v>58.234653906453964</v>
      </c>
      <c r="AB23" s="154">
        <f t="shared" ref="AB23" si="68">AA23*(1+$R23)</f>
        <v>65.222812375228443</v>
      </c>
      <c r="AC23" s="138">
        <f t="shared" ref="AC23" si="69">((AB23/G23)^(1/($AB$3-$H$1) ))-1</f>
        <v>0.24593306561903083</v>
      </c>
      <c r="AD23" s="31">
        <f t="shared" si="17"/>
        <v>0.08</v>
      </c>
      <c r="AE23" s="146">
        <f t="shared" si="1"/>
        <v>503.14740975176232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39</v>
      </c>
      <c r="H25" s="147">
        <v>41</v>
      </c>
      <c r="I25" s="147">
        <v>38</v>
      </c>
      <c r="J25" s="147">
        <v>76</v>
      </c>
      <c r="K25" s="147">
        <v>107</v>
      </c>
      <c r="L25" s="147">
        <v>140</v>
      </c>
      <c r="M25" s="147">
        <v>185</v>
      </c>
      <c r="N25" s="147">
        <v>206</v>
      </c>
      <c r="O25" s="147">
        <v>228</v>
      </c>
      <c r="P25" s="147">
        <v>268</v>
      </c>
      <c r="Q25" s="118">
        <f>((P25/G25)^(1/($H$2-$H$1) ))-1</f>
        <v>0.23881883160015294</v>
      </c>
      <c r="R25" s="31">
        <f t="shared" si="6"/>
        <v>0.12</v>
      </c>
      <c r="S25" s="154">
        <f t="shared" si="38"/>
        <v>300.16000000000003</v>
      </c>
      <c r="T25" s="154">
        <f t="shared" si="39"/>
        <v>336.17920000000004</v>
      </c>
      <c r="U25" s="154">
        <f t="shared" si="40"/>
        <v>376.52070400000008</v>
      </c>
      <c r="V25" s="154">
        <f t="shared" si="41"/>
        <v>421.70318848000011</v>
      </c>
      <c r="W25" s="154">
        <f t="shared" si="42"/>
        <v>472.30757109760015</v>
      </c>
      <c r="X25" s="154">
        <f t="shared" si="43"/>
        <v>528.9844796293122</v>
      </c>
      <c r="Y25" s="154">
        <f t="shared" si="44"/>
        <v>592.4626171848297</v>
      </c>
      <c r="Z25" s="154">
        <f t="shared" si="45"/>
        <v>663.55813124700933</v>
      </c>
      <c r="AA25" s="154">
        <f t="shared" si="46"/>
        <v>743.18510699665057</v>
      </c>
      <c r="AB25" s="154">
        <f t="shared" si="47"/>
        <v>832.36731983624873</v>
      </c>
      <c r="AC25" s="138">
        <f t="shared" si="19"/>
        <v>0.17479083047118249</v>
      </c>
      <c r="AD25" s="31">
        <f t="shared" si="17"/>
        <v>0.08</v>
      </c>
      <c r="AE25" s="146">
        <f t="shared" si="1"/>
        <v>6421.1193244510614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4.878048780487805E-2</v>
      </c>
      <c r="I26" s="148">
        <f t="shared" ref="I26" si="70">(I25-H25)/I25</f>
        <v>-7.8947368421052627E-2</v>
      </c>
      <c r="J26" s="148">
        <f t="shared" ref="J26" si="71">(J25-I25)/J25</f>
        <v>0.5</v>
      </c>
      <c r="K26" s="148">
        <f t="shared" ref="K26" si="72">(K25-J25)/K25</f>
        <v>0.28971962616822428</v>
      </c>
      <c r="L26" s="148">
        <f t="shared" ref="L26" si="73">(L25-K25)/L25</f>
        <v>0.23571428571428571</v>
      </c>
      <c r="M26" s="148">
        <f t="shared" ref="M26" si="74">(M25-L25)/M25</f>
        <v>0.24324324324324326</v>
      </c>
      <c r="N26" s="148">
        <f t="shared" ref="N26" si="75">(N25-M25)/N25</f>
        <v>0.10194174757281553</v>
      </c>
      <c r="O26" s="148">
        <f t="shared" ref="O26" si="76">(O25-N25)/O25</f>
        <v>9.6491228070175433E-2</v>
      </c>
      <c r="P26" s="148">
        <f t="shared" ref="P26" si="77">(P25-O25)/P25</f>
        <v>0.14925373134328357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/>
      <c r="G27" s="147">
        <v>23</v>
      </c>
      <c r="H27" s="147">
        <v>28</v>
      </c>
      <c r="I27" s="147">
        <v>20</v>
      </c>
      <c r="J27" s="147">
        <v>46</v>
      </c>
      <c r="K27" s="147">
        <v>62</v>
      </c>
      <c r="L27" s="147">
        <v>80</v>
      </c>
      <c r="M27" s="147">
        <v>101</v>
      </c>
      <c r="N27" s="147">
        <v>127</v>
      </c>
      <c r="O27" s="147">
        <v>145</v>
      </c>
      <c r="P27" s="147">
        <v>191</v>
      </c>
      <c r="Q27" s="118">
        <f>((P27/G27)^(1/($H$2-$H$1) ))-1</f>
        <v>0.26515885356383473</v>
      </c>
      <c r="R27" s="31">
        <f t="shared" si="6"/>
        <v>0.12</v>
      </c>
      <c r="S27" s="154">
        <f t="shared" si="38"/>
        <v>213.92000000000002</v>
      </c>
      <c r="T27" s="154">
        <f t="shared" si="39"/>
        <v>239.59040000000005</v>
      </c>
      <c r="U27" s="154">
        <f t="shared" si="40"/>
        <v>268.34124800000006</v>
      </c>
      <c r="V27" s="154">
        <f t="shared" si="41"/>
        <v>300.54219776000008</v>
      </c>
      <c r="W27" s="154">
        <f t="shared" si="42"/>
        <v>336.60726149120012</v>
      </c>
      <c r="X27" s="154">
        <f t="shared" si="43"/>
        <v>377.00013287014417</v>
      </c>
      <c r="Y27" s="154">
        <f t="shared" si="44"/>
        <v>422.24014881456151</v>
      </c>
      <c r="Z27" s="154">
        <f t="shared" si="45"/>
        <v>472.90896667230891</v>
      </c>
      <c r="AA27" s="154">
        <f t="shared" si="46"/>
        <v>529.65804267298597</v>
      </c>
      <c r="AB27" s="154">
        <f t="shared" si="47"/>
        <v>593.2170077937443</v>
      </c>
      <c r="AC27" s="138">
        <f t="shared" si="19"/>
        <v>0.18655732333585839</v>
      </c>
      <c r="AD27" s="31">
        <f t="shared" si="17"/>
        <v>0.08</v>
      </c>
      <c r="AE27" s="146">
        <f t="shared" si="1"/>
        <v>4576.2454886945989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0.17857142857142858</v>
      </c>
      <c r="I28" s="148">
        <f t="shared" si="78"/>
        <v>-0.4</v>
      </c>
      <c r="J28" s="148">
        <f t="shared" si="78"/>
        <v>0.56521739130434778</v>
      </c>
      <c r="K28" s="148">
        <f t="shared" si="78"/>
        <v>0.25806451612903225</v>
      </c>
      <c r="L28" s="148">
        <f t="shared" si="78"/>
        <v>0.22500000000000001</v>
      </c>
      <c r="M28" s="148">
        <f t="shared" si="78"/>
        <v>0.20792079207920791</v>
      </c>
      <c r="N28" s="148">
        <f t="shared" ref="N28" si="79">(N27-M27)/N27</f>
        <v>0.20472440944881889</v>
      </c>
      <c r="O28" s="148">
        <f t="shared" ref="O28" si="80">(O27-N27)/O27</f>
        <v>0.12413793103448276</v>
      </c>
      <c r="P28" s="148">
        <f t="shared" ref="P28" si="81">(P27-O27)/P27</f>
        <v>0.24083769633507854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/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7">
        <v>0</v>
      </c>
      <c r="M29" s="147">
        <v>0</v>
      </c>
      <c r="N29" s="147">
        <v>0</v>
      </c>
      <c r="O29" s="147">
        <v>0</v>
      </c>
      <c r="P29" s="147">
        <v>0</v>
      </c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0.08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 x14ac:dyDescent="0.2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 x14ac:dyDescent="0.2">
      <c r="B33" s="20" t="s">
        <v>317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 t="e">
        <f t="shared" si="19"/>
        <v>#DIV/0!</v>
      </c>
      <c r="AD33" s="31">
        <f t="shared" si="17"/>
        <v>0.08</v>
      </c>
      <c r="AE33" s="146">
        <f t="shared" si="1"/>
        <v>0</v>
      </c>
    </row>
    <row r="34" spans="2:31" x14ac:dyDescent="0.2">
      <c r="B34" s="20" t="s">
        <v>309</v>
      </c>
      <c r="C34" s="141"/>
      <c r="D34" s="141"/>
      <c r="E34" s="147"/>
      <c r="F34" s="147"/>
      <c r="G34" s="147">
        <v>12</v>
      </c>
      <c r="H34" s="147">
        <v>16</v>
      </c>
      <c r="I34" s="147">
        <v>12</v>
      </c>
      <c r="J34" s="147">
        <v>29</v>
      </c>
      <c r="K34" s="147">
        <v>42</v>
      </c>
      <c r="L34" s="147">
        <v>55</v>
      </c>
      <c r="M34" s="147">
        <v>69</v>
      </c>
      <c r="N34" s="147">
        <v>88</v>
      </c>
      <c r="O34" s="147">
        <v>106</v>
      </c>
      <c r="P34" s="147">
        <v>127</v>
      </c>
      <c r="Q34" s="118">
        <f>((P34/G34)^(1/($H$2-$H$1) ))-1</f>
        <v>0.29971144018621065</v>
      </c>
      <c r="R34" s="31">
        <f t="shared" si="6"/>
        <v>0.12</v>
      </c>
      <c r="S34" s="154">
        <f t="shared" si="38"/>
        <v>142.24</v>
      </c>
      <c r="T34" s="154">
        <f t="shared" si="39"/>
        <v>159.30880000000002</v>
      </c>
      <c r="U34" s="154">
        <f t="shared" si="40"/>
        <v>178.42585600000004</v>
      </c>
      <c r="V34" s="154">
        <f t="shared" si="41"/>
        <v>199.83695872000007</v>
      </c>
      <c r="W34" s="154">
        <f t="shared" si="42"/>
        <v>223.8173937664001</v>
      </c>
      <c r="X34" s="154">
        <f t="shared" si="43"/>
        <v>250.67548101836815</v>
      </c>
      <c r="Y34" s="154">
        <f t="shared" si="44"/>
        <v>280.75653874057235</v>
      </c>
      <c r="Z34" s="154">
        <f t="shared" si="45"/>
        <v>314.44732338944107</v>
      </c>
      <c r="AA34" s="154">
        <f t="shared" si="46"/>
        <v>352.18100219617401</v>
      </c>
      <c r="AB34" s="154">
        <f t="shared" si="47"/>
        <v>394.4427224597149</v>
      </c>
      <c r="AC34" s="138">
        <f t="shared" si="19"/>
        <v>0.20179867576289556</v>
      </c>
      <c r="AD34" s="31">
        <f t="shared" si="17"/>
        <v>0.08</v>
      </c>
      <c r="AE34" s="146">
        <f t="shared" si="1"/>
        <v>3042.843858974943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/>
      <c r="G36" s="147">
        <v>10</v>
      </c>
      <c r="H36" s="147">
        <v>9</v>
      </c>
      <c r="I36" s="147">
        <v>13.5</v>
      </c>
      <c r="J36" s="147">
        <v>24</v>
      </c>
      <c r="K36" s="147">
        <v>37</v>
      </c>
      <c r="L36" s="147">
        <v>56</v>
      </c>
      <c r="M36" s="147">
        <v>61</v>
      </c>
      <c r="N36" s="147">
        <v>65</v>
      </c>
      <c r="O36" s="147">
        <v>62</v>
      </c>
      <c r="P36" s="147">
        <v>60</v>
      </c>
      <c r="Q36" s="118">
        <f>((P36/G36)^(1/($H$2-$H$1) ))-1</f>
        <v>0.22028493587281051</v>
      </c>
      <c r="R36" s="31">
        <f t="shared" si="6"/>
        <v>0.12</v>
      </c>
      <c r="S36" s="154">
        <f t="shared" ref="S36" si="102">P36*(1+$R36)</f>
        <v>67.2</v>
      </c>
      <c r="T36" s="154">
        <f t="shared" ref="T36" si="103">S36*(1+$R36)</f>
        <v>75.26400000000001</v>
      </c>
      <c r="U36" s="154">
        <f t="shared" ref="U36" si="104">T36*(1+$R36)</f>
        <v>84.295680000000019</v>
      </c>
      <c r="V36" s="154">
        <f t="shared" ref="V36" si="105">U36*(1+$R36)</f>
        <v>94.411161600000028</v>
      </c>
      <c r="W36" s="154">
        <f t="shared" si="42"/>
        <v>105.74050099200004</v>
      </c>
      <c r="X36" s="154">
        <f t="shared" si="43"/>
        <v>118.42936111104005</v>
      </c>
      <c r="Y36" s="154">
        <f t="shared" si="44"/>
        <v>132.64088444436487</v>
      </c>
      <c r="Z36" s="154">
        <f t="shared" si="45"/>
        <v>148.55779057768868</v>
      </c>
      <c r="AA36" s="154">
        <f t="shared" si="46"/>
        <v>166.38472544701133</v>
      </c>
      <c r="AB36" s="154">
        <f t="shared" si="47"/>
        <v>186.35089250065272</v>
      </c>
      <c r="AC36" s="138">
        <f t="shared" si="19"/>
        <v>0.1664323379137238</v>
      </c>
      <c r="AD36" s="31">
        <f t="shared" si="17"/>
        <v>0.08</v>
      </c>
      <c r="AE36" s="146">
        <f t="shared" si="1"/>
        <v>1437.5640278621779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-0.1111111111111111</v>
      </c>
      <c r="I37" s="148">
        <f t="shared" ref="I37" si="108">(I36-H36)/I36</f>
        <v>0.33333333333333331</v>
      </c>
      <c r="J37" s="148">
        <f t="shared" ref="J37" si="109">(J36-I36)/J36</f>
        <v>0.4375</v>
      </c>
      <c r="K37" s="148">
        <f t="shared" ref="K37" si="110">(K36-J36)/K36</f>
        <v>0.35135135135135137</v>
      </c>
      <c r="L37" s="148">
        <f t="shared" ref="L37" si="111">(L36-K36)/L36</f>
        <v>0.3392857142857143</v>
      </c>
      <c r="M37" s="148">
        <f t="shared" ref="M37" si="112">(M36-L36)/M36</f>
        <v>8.1967213114754092E-2</v>
      </c>
      <c r="N37" s="148">
        <f t="shared" ref="N37" si="113">(N36-M36)/N36</f>
        <v>6.1538461538461542E-2</v>
      </c>
      <c r="O37" s="148">
        <f t="shared" ref="O37" si="114">(O36-N36)/O36</f>
        <v>-4.8387096774193547E-2</v>
      </c>
      <c r="P37" s="148">
        <f t="shared" ref="P37" si="115">(P36-O36)/P36</f>
        <v>-3.3333333333333333E-2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/>
      <c r="G38" s="147">
        <v>11</v>
      </c>
      <c r="H38" s="147">
        <v>8</v>
      </c>
      <c r="I38" s="147">
        <v>12.2</v>
      </c>
      <c r="J38" s="147">
        <v>10</v>
      </c>
      <c r="K38" s="147">
        <v>28</v>
      </c>
      <c r="L38" s="147">
        <v>39</v>
      </c>
      <c r="M38" s="147">
        <v>53</v>
      </c>
      <c r="N38" s="147">
        <v>48</v>
      </c>
      <c r="O38" s="147">
        <v>54</v>
      </c>
      <c r="P38" s="147">
        <v>58</v>
      </c>
      <c r="Q38" s="118">
        <f>((P38/G38)^(1/($H$2-$H$1) ))-1</f>
        <v>0.20289063954804742</v>
      </c>
      <c r="R38" s="31">
        <f t="shared" si="6"/>
        <v>0.12</v>
      </c>
      <c r="S38" s="154">
        <f>P38*(1+$R38)</f>
        <v>64.960000000000008</v>
      </c>
      <c r="T38" s="154">
        <f t="shared" ref="T38:AB38" si="116">S38*(1+$R38)</f>
        <v>72.755200000000016</v>
      </c>
      <c r="U38" s="154">
        <f t="shared" si="116"/>
        <v>81.485824000000022</v>
      </c>
      <c r="V38" s="154">
        <f t="shared" si="116"/>
        <v>91.264122880000031</v>
      </c>
      <c r="W38" s="154">
        <f t="shared" si="116"/>
        <v>102.21581762560004</v>
      </c>
      <c r="X38" s="154">
        <f t="shared" si="116"/>
        <v>114.48171574067206</v>
      </c>
      <c r="Y38" s="154">
        <f t="shared" si="116"/>
        <v>128.21952162955273</v>
      </c>
      <c r="Z38" s="154">
        <f t="shared" si="116"/>
        <v>143.60586422509908</v>
      </c>
      <c r="AA38" s="154">
        <f t="shared" si="116"/>
        <v>160.83856793211098</v>
      </c>
      <c r="AB38" s="154">
        <f t="shared" si="116"/>
        <v>180.13919608396432</v>
      </c>
      <c r="AC38" s="138">
        <f t="shared" si="19"/>
        <v>0.15852678957974353</v>
      </c>
      <c r="AD38" s="31">
        <f t="shared" si="17"/>
        <v>0.08</v>
      </c>
      <c r="AE38" s="146">
        <f t="shared" si="1"/>
        <v>1389.6452269334391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1</v>
      </c>
      <c r="H39" s="148">
        <f t="shared" ref="H39:P39" si="117">(H38-G38)/H38</f>
        <v>-0.375</v>
      </c>
      <c r="I39" s="148">
        <f t="shared" si="117"/>
        <v>0.34426229508196715</v>
      </c>
      <c r="J39" s="148">
        <f t="shared" si="117"/>
        <v>-0.21999999999999992</v>
      </c>
      <c r="K39" s="148">
        <f t="shared" si="117"/>
        <v>0.6428571428571429</v>
      </c>
      <c r="L39" s="148">
        <f t="shared" si="117"/>
        <v>0.28205128205128205</v>
      </c>
      <c r="M39" s="148">
        <f t="shared" si="117"/>
        <v>0.26415094339622641</v>
      </c>
      <c r="N39" s="148">
        <f t="shared" si="117"/>
        <v>-0.10416666666666667</v>
      </c>
      <c r="O39" s="148">
        <f t="shared" si="117"/>
        <v>0.1111111111111111</v>
      </c>
      <c r="P39" s="148">
        <f t="shared" si="117"/>
        <v>6.8965517241379309E-2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47"/>
      <c r="G40" s="147">
        <v>0.88</v>
      </c>
      <c r="H40" s="147">
        <v>0.88</v>
      </c>
      <c r="I40" s="147">
        <v>0.88</v>
      </c>
      <c r="J40" s="147">
        <v>1</v>
      </c>
      <c r="K40" s="147">
        <v>1</v>
      </c>
      <c r="L40" s="147">
        <v>1</v>
      </c>
      <c r="M40" s="147">
        <v>1</v>
      </c>
      <c r="N40" s="147">
        <v>1</v>
      </c>
      <c r="O40" s="147">
        <v>1</v>
      </c>
      <c r="P40" s="147">
        <v>1</v>
      </c>
      <c r="Q40" s="118">
        <f>((P40/G40)^(1/($H$2-$H$1) ))-1</f>
        <v>1.4305059894554439E-2</v>
      </c>
      <c r="R40" s="31">
        <f t="shared" si="6"/>
        <v>0.12</v>
      </c>
      <c r="S40" s="154">
        <f>P40*(1+$R40)</f>
        <v>1.1200000000000001</v>
      </c>
      <c r="T40" s="154">
        <f t="shared" ref="T40:AB40" si="118">S40*(1+$R40)</f>
        <v>1.2544000000000002</v>
      </c>
      <c r="U40" s="154">
        <f t="shared" si="118"/>
        <v>1.4049280000000004</v>
      </c>
      <c r="V40" s="154">
        <f t="shared" si="118"/>
        <v>1.5735193600000006</v>
      </c>
      <c r="W40" s="154">
        <f t="shared" si="118"/>
        <v>1.7623416832000007</v>
      </c>
      <c r="X40" s="154">
        <f t="shared" si="118"/>
        <v>1.9738226851840011</v>
      </c>
      <c r="Y40" s="154">
        <f t="shared" si="118"/>
        <v>2.2106814074060814</v>
      </c>
      <c r="Z40" s="154">
        <f t="shared" si="118"/>
        <v>2.4759631762948113</v>
      </c>
      <c r="AA40" s="154">
        <f t="shared" si="118"/>
        <v>2.7730787574501892</v>
      </c>
      <c r="AB40" s="154">
        <f t="shared" si="118"/>
        <v>3.105848208344212</v>
      </c>
      <c r="AC40" s="138">
        <f t="shared" si="19"/>
        <v>6.8627108717485008E-2</v>
      </c>
      <c r="AD40" s="31">
        <f t="shared" si="17"/>
        <v>0.08</v>
      </c>
      <c r="AE40" s="146">
        <f t="shared" si="1"/>
        <v>23.959400464369633</v>
      </c>
    </row>
    <row r="41" spans="2:31" x14ac:dyDescent="0.2">
      <c r="B41" s="20" t="s">
        <v>283</v>
      </c>
      <c r="C41" s="145"/>
      <c r="D41" s="145"/>
      <c r="E41" s="145"/>
      <c r="F41" s="147"/>
      <c r="G41" s="147">
        <v>5</v>
      </c>
      <c r="H41" s="147">
        <v>3.5</v>
      </c>
      <c r="I41" s="147">
        <v>4</v>
      </c>
      <c r="J41" s="147">
        <v>4.5</v>
      </c>
      <c r="K41" s="173">
        <v>10</v>
      </c>
      <c r="L41" s="173">
        <v>12</v>
      </c>
      <c r="M41" s="173">
        <v>17</v>
      </c>
      <c r="N41" s="173">
        <v>17</v>
      </c>
      <c r="O41" s="173">
        <v>20</v>
      </c>
      <c r="P41" s="147">
        <v>22</v>
      </c>
      <c r="Q41" s="118">
        <f>((P41/G41)^(1/($H$2-$H$1) ))-1</f>
        <v>0.17894824918325525</v>
      </c>
      <c r="R41" s="31">
        <v>0.05</v>
      </c>
      <c r="S41" s="154">
        <f t="shared" ref="S41" si="119">P41*(1+$R41)</f>
        <v>23.1</v>
      </c>
      <c r="T41" s="154">
        <f t="shared" ref="T41" si="120">S41*(1+$R41)</f>
        <v>24.255000000000003</v>
      </c>
      <c r="U41" s="154">
        <f t="shared" ref="U41" si="121">T41*(1+$R41)</f>
        <v>25.467750000000002</v>
      </c>
      <c r="V41" s="154">
        <f t="shared" ref="V41" si="122">U41*(1+$R41)</f>
        <v>26.741137500000004</v>
      </c>
      <c r="W41" s="154">
        <f t="shared" ref="W41" si="123">V41*(1+$R41)</f>
        <v>28.078194375000006</v>
      </c>
      <c r="X41" s="154">
        <f t="shared" ref="X41" si="124">W41*(1+$R41)</f>
        <v>29.482104093750007</v>
      </c>
      <c r="Y41" s="154">
        <f t="shared" ref="Y41" si="125">X41*(1+$R41)</f>
        <v>30.956209298437507</v>
      </c>
      <c r="Z41" s="154">
        <f t="shared" ref="Z41" si="126">Y41*(1+$R41)</f>
        <v>32.504019763359381</v>
      </c>
      <c r="AA41" s="154">
        <f t="shared" ref="AA41" si="127">Z41*(1+$R41)</f>
        <v>34.129220751527349</v>
      </c>
      <c r="AB41" s="154">
        <f t="shared" ref="AB41" si="128">AA41*(1+$R41)</f>
        <v>35.835681789103717</v>
      </c>
      <c r="AC41" s="138">
        <f t="shared" ref="AC41" si="129">((AB41/G41)^(1/($AB$3-$H$1) ))-1</f>
        <v>0.10922128062578329</v>
      </c>
      <c r="AD41" s="31">
        <f t="shared" si="17"/>
        <v>0.08</v>
      </c>
      <c r="AE41" s="146">
        <f t="shared" si="1"/>
        <v>276.44668808737151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 t="e">
        <f t="shared" si="130"/>
        <v>#DIV/0!</v>
      </c>
      <c r="G44" s="133">
        <f t="shared" si="130"/>
        <v>44.31818181818182</v>
      </c>
      <c r="H44" s="133">
        <f t="shared" si="130"/>
        <v>46.590909090909093</v>
      </c>
      <c r="I44" s="133">
        <f t="shared" si="130"/>
        <v>43.18181818181818</v>
      </c>
      <c r="J44" s="133">
        <f t="shared" si="130"/>
        <v>76</v>
      </c>
      <c r="K44" s="133">
        <f t="shared" si="130"/>
        <v>107</v>
      </c>
      <c r="L44" s="133">
        <f t="shared" si="130"/>
        <v>140</v>
      </c>
      <c r="M44" s="133">
        <f t="shared" si="130"/>
        <v>185</v>
      </c>
      <c r="N44" s="133">
        <f t="shared" si="130"/>
        <v>206</v>
      </c>
      <c r="O44" s="133">
        <f t="shared" si="130"/>
        <v>228</v>
      </c>
      <c r="P44" s="133">
        <f t="shared" si="130"/>
        <v>268</v>
      </c>
      <c r="Q44" s="118">
        <f>((P44/G44)^(1/($H$2-$H$1) ))-1</f>
        <v>0.22134738411828336</v>
      </c>
      <c r="R44" s="128"/>
      <c r="S44" s="158">
        <f t="shared" ref="S44:AB44" si="131">S25/S40</f>
        <v>268</v>
      </c>
      <c r="T44" s="158">
        <f t="shared" si="131"/>
        <v>268</v>
      </c>
      <c r="U44" s="158">
        <f t="shared" si="131"/>
        <v>268</v>
      </c>
      <c r="V44" s="158">
        <f t="shared" si="131"/>
        <v>267.99999999999994</v>
      </c>
      <c r="W44" s="158">
        <f t="shared" si="131"/>
        <v>268</v>
      </c>
      <c r="X44" s="158">
        <f t="shared" si="131"/>
        <v>267.99999999999994</v>
      </c>
      <c r="Y44" s="158">
        <f t="shared" si="131"/>
        <v>267.99999999999994</v>
      </c>
      <c r="Z44" s="158">
        <f t="shared" si="131"/>
        <v>267.99999999999994</v>
      </c>
      <c r="AA44" s="158">
        <f t="shared" si="131"/>
        <v>267.99999999999994</v>
      </c>
      <c r="AB44" s="158">
        <f t="shared" si="131"/>
        <v>267.99999999999994</v>
      </c>
      <c r="AC44" s="138">
        <f t="shared" ref="AC44" si="132">((AB44/G44)^(1/($AB$3-$H$1) ))-1</f>
        <v>9.9345899881867927E-2</v>
      </c>
      <c r="AD44" s="31">
        <f t="shared" si="17"/>
        <v>0.08</v>
      </c>
      <c r="AE44" s="146">
        <f t="shared" ref="AE44:AE45" si="133">(AB44*(1+AD44))/($C$1-AD44)</f>
        <v>2067.4285714285706</v>
      </c>
    </row>
    <row r="45" spans="2:31" x14ac:dyDescent="0.2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 t="e">
        <f t="shared" si="134"/>
        <v>#DIV/0!</v>
      </c>
      <c r="G45" s="133">
        <f t="shared" si="134"/>
        <v>26.136363636363637</v>
      </c>
      <c r="H45" s="133">
        <f t="shared" si="134"/>
        <v>31.818181818181817</v>
      </c>
      <c r="I45" s="133">
        <f t="shared" si="134"/>
        <v>22.727272727272727</v>
      </c>
      <c r="J45" s="133">
        <f t="shared" si="134"/>
        <v>46</v>
      </c>
      <c r="K45" s="133">
        <f t="shared" si="134"/>
        <v>62</v>
      </c>
      <c r="L45" s="133">
        <f t="shared" si="134"/>
        <v>80</v>
      </c>
      <c r="M45" s="133">
        <f t="shared" si="134"/>
        <v>101</v>
      </c>
      <c r="N45" s="133">
        <f t="shared" si="134"/>
        <v>127</v>
      </c>
      <c r="O45" s="133">
        <f t="shared" si="134"/>
        <v>145</v>
      </c>
      <c r="P45" s="133">
        <f t="shared" si="134"/>
        <v>191</v>
      </c>
      <c r="Q45" s="118">
        <f>((P45/G45)^(1/($H$2-$H$1) ))-1</f>
        <v>0.24731592455563467</v>
      </c>
      <c r="R45" s="128"/>
      <c r="S45" s="158">
        <f t="shared" ref="S45:AB45" si="135">S27/S40</f>
        <v>191</v>
      </c>
      <c r="T45" s="158">
        <f t="shared" si="135"/>
        <v>191</v>
      </c>
      <c r="U45" s="158">
        <f t="shared" si="135"/>
        <v>191</v>
      </c>
      <c r="V45" s="158">
        <f t="shared" si="135"/>
        <v>190.99999999999997</v>
      </c>
      <c r="W45" s="158">
        <f t="shared" si="135"/>
        <v>191</v>
      </c>
      <c r="X45" s="158">
        <f t="shared" si="135"/>
        <v>190.99999999999997</v>
      </c>
      <c r="Y45" s="158">
        <f t="shared" si="135"/>
        <v>190.99999999999997</v>
      </c>
      <c r="Z45" s="158">
        <f t="shared" si="135"/>
        <v>190.99999999999997</v>
      </c>
      <c r="AA45" s="158">
        <f t="shared" si="135"/>
        <v>190.99999999999994</v>
      </c>
      <c r="AB45" s="158">
        <f t="shared" si="135"/>
        <v>190.99999999999994</v>
      </c>
      <c r="AC45" s="138">
        <f t="shared" ref="AC45" si="136">((AB45/G45)^(1/($AB$3-$H$1) ))-1</f>
        <v>0.11035674994236988</v>
      </c>
      <c r="AD45" s="31">
        <f t="shared" si="17"/>
        <v>0.08</v>
      </c>
      <c r="AE45" s="146">
        <f t="shared" si="133"/>
        <v>1473.4285714285709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 t="e">
        <f t="shared" si="137"/>
        <v>#DIV/0!</v>
      </c>
      <c r="G47" s="133">
        <f t="shared" si="137"/>
        <v>12.5</v>
      </c>
      <c r="H47" s="133">
        <f t="shared" si="137"/>
        <v>9.0909090909090917</v>
      </c>
      <c r="I47" s="133">
        <f t="shared" si="137"/>
        <v>13.863636363636363</v>
      </c>
      <c r="J47" s="133">
        <f t="shared" si="137"/>
        <v>10</v>
      </c>
      <c r="K47" s="133">
        <f t="shared" si="137"/>
        <v>28</v>
      </c>
      <c r="L47" s="133">
        <f t="shared" si="137"/>
        <v>39</v>
      </c>
      <c r="M47" s="133">
        <f t="shared" si="137"/>
        <v>53</v>
      </c>
      <c r="N47" s="133">
        <f t="shared" si="137"/>
        <v>48</v>
      </c>
      <c r="O47" s="133">
        <f t="shared" si="137"/>
        <v>54</v>
      </c>
      <c r="P47" s="133">
        <f t="shared" si="137"/>
        <v>58</v>
      </c>
      <c r="Q47" s="118">
        <f>((P47/G47)^(1/($H$2-$H$1) ))-1</f>
        <v>0.18592589853894448</v>
      </c>
      <c r="R47" s="128"/>
      <c r="S47" s="158">
        <f t="shared" ref="S47:AB47" si="138">S38/S40</f>
        <v>58</v>
      </c>
      <c r="T47" s="158">
        <f t="shared" si="138"/>
        <v>58.000000000000007</v>
      </c>
      <c r="U47" s="158">
        <f t="shared" si="138"/>
        <v>58</v>
      </c>
      <c r="V47" s="158">
        <f t="shared" si="138"/>
        <v>58</v>
      </c>
      <c r="W47" s="158">
        <f t="shared" si="138"/>
        <v>58</v>
      </c>
      <c r="X47" s="158">
        <f t="shared" si="138"/>
        <v>58</v>
      </c>
      <c r="Y47" s="158">
        <f t="shared" si="138"/>
        <v>58</v>
      </c>
      <c r="Z47" s="158">
        <f t="shared" si="138"/>
        <v>58.000000000000007</v>
      </c>
      <c r="AA47" s="158">
        <f t="shared" si="138"/>
        <v>58</v>
      </c>
      <c r="AB47" s="158">
        <f t="shared" si="138"/>
        <v>58.000000000000007</v>
      </c>
      <c r="AC47" s="138">
        <f t="shared" ref="AC47:AC61" si="139">((AB47/G47)^(1/($AB$3-$H$1) ))-1</f>
        <v>8.4126333806141096E-2</v>
      </c>
      <c r="AD47" s="31">
        <f t="shared" si="17"/>
        <v>0.08</v>
      </c>
      <c r="AE47" s="146">
        <f t="shared" ref="AE47:AE75" si="140">(AB47*(1+AD47))/($C$1-AD47)</f>
        <v>447.4285714285715</v>
      </c>
    </row>
    <row r="48" spans="2:31" x14ac:dyDescent="0.2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 t="e">
        <f t="shared" si="141"/>
        <v>#DIV/0!</v>
      </c>
      <c r="G48" s="133">
        <f>G20/G40</f>
        <v>1.1363636363636365</v>
      </c>
      <c r="H48" s="133">
        <f t="shared" ref="H48:P48" si="142">H20/H40</f>
        <v>0</v>
      </c>
      <c r="I48" s="133">
        <f t="shared" si="142"/>
        <v>14.772727272727273</v>
      </c>
      <c r="J48" s="133">
        <f t="shared" si="142"/>
        <v>12</v>
      </c>
      <c r="K48" s="133">
        <f t="shared" si="142"/>
        <v>30</v>
      </c>
      <c r="L48" s="133">
        <f t="shared" si="142"/>
        <v>36</v>
      </c>
      <c r="M48" s="133">
        <f t="shared" si="142"/>
        <v>42</v>
      </c>
      <c r="N48" s="133">
        <f t="shared" si="142"/>
        <v>42</v>
      </c>
      <c r="O48" s="133">
        <f t="shared" si="142"/>
        <v>39</v>
      </c>
      <c r="P48" s="133">
        <f t="shared" si="142"/>
        <v>41</v>
      </c>
      <c r="Q48" s="118">
        <f>((P48/G48)^(1/($H$2-$H$1) ))-1</f>
        <v>0.48946263994472017</v>
      </c>
      <c r="R48" s="128"/>
      <c r="S48" s="133">
        <f t="shared" ref="S48:AB48" si="143">S20/S40</f>
        <v>41</v>
      </c>
      <c r="T48" s="133">
        <f t="shared" si="143"/>
        <v>41</v>
      </c>
      <c r="U48" s="133">
        <f t="shared" si="143"/>
        <v>40.999999999999993</v>
      </c>
      <c r="V48" s="133">
        <f t="shared" si="143"/>
        <v>40.999999999999993</v>
      </c>
      <c r="W48" s="133">
        <f t="shared" si="143"/>
        <v>40.999999999999993</v>
      </c>
      <c r="X48" s="133">
        <f t="shared" si="143"/>
        <v>40.999999999999993</v>
      </c>
      <c r="Y48" s="133">
        <f t="shared" si="143"/>
        <v>40.999999999999993</v>
      </c>
      <c r="Z48" s="133">
        <f t="shared" si="143"/>
        <v>40.999999999999993</v>
      </c>
      <c r="AA48" s="133">
        <f t="shared" si="143"/>
        <v>40.999999999999993</v>
      </c>
      <c r="AB48" s="133">
        <f t="shared" si="143"/>
        <v>40.999999999999993</v>
      </c>
      <c r="AC48" s="138">
        <f t="shared" ref="AC48" si="144">((AB48/G48)^(1/($AB$3-$H$1) ))-1</f>
        <v>0.20770647923315622</v>
      </c>
      <c r="AD48" s="31">
        <f t="shared" si="17"/>
        <v>0.08</v>
      </c>
      <c r="AE48" s="146">
        <f t="shared" si="140"/>
        <v>316.28571428571422</v>
      </c>
    </row>
    <row r="49" spans="2:31" x14ac:dyDescent="0.2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 t="e">
        <f t="shared" si="145"/>
        <v>#DIV/0!</v>
      </c>
      <c r="G49" s="133">
        <f t="shared" si="145"/>
        <v>89.772727272727266</v>
      </c>
      <c r="H49" s="133">
        <f t="shared" si="145"/>
        <v>95.454545454545453</v>
      </c>
      <c r="I49" s="133">
        <f t="shared" si="145"/>
        <v>104.54545454545455</v>
      </c>
      <c r="J49" s="133">
        <f t="shared" si="145"/>
        <v>147</v>
      </c>
      <c r="K49" s="133">
        <f t="shared" si="145"/>
        <v>164</v>
      </c>
      <c r="L49" s="133">
        <f t="shared" si="145"/>
        <v>188</v>
      </c>
      <c r="M49" s="133">
        <f t="shared" si="145"/>
        <v>221</v>
      </c>
      <c r="N49" s="133">
        <f t="shared" si="145"/>
        <v>257</v>
      </c>
      <c r="O49" s="133">
        <f t="shared" si="145"/>
        <v>302</v>
      </c>
      <c r="P49" s="133">
        <f t="shared" si="145"/>
        <v>339</v>
      </c>
      <c r="Q49" s="118">
        <f>((P49/G49)^(1/($H$2-$H$1) ))-1</f>
        <v>0.15909025151937106</v>
      </c>
      <c r="R49" s="128"/>
      <c r="S49" s="158">
        <f t="shared" ref="S49:AB49" si="146">S7/S40</f>
        <v>339</v>
      </c>
      <c r="T49" s="158">
        <f t="shared" si="146"/>
        <v>339.00000000000006</v>
      </c>
      <c r="U49" s="158">
        <f t="shared" si="146"/>
        <v>339.00000000000006</v>
      </c>
      <c r="V49" s="158">
        <f t="shared" si="146"/>
        <v>339</v>
      </c>
      <c r="W49" s="158">
        <f t="shared" si="146"/>
        <v>339</v>
      </c>
      <c r="X49" s="158">
        <f t="shared" si="146"/>
        <v>339</v>
      </c>
      <c r="Y49" s="158">
        <f t="shared" si="146"/>
        <v>339</v>
      </c>
      <c r="Z49" s="158">
        <f t="shared" si="146"/>
        <v>339</v>
      </c>
      <c r="AA49" s="158">
        <f t="shared" si="146"/>
        <v>338.99999999999994</v>
      </c>
      <c r="AB49" s="158">
        <f t="shared" si="146"/>
        <v>339</v>
      </c>
      <c r="AC49" s="138">
        <f t="shared" si="139"/>
        <v>7.2435867480051597E-2</v>
      </c>
      <c r="AD49" s="31">
        <f t="shared" si="17"/>
        <v>0.08</v>
      </c>
      <c r="AE49" s="146">
        <f t="shared" si="140"/>
        <v>2615.1428571428569</v>
      </c>
    </row>
    <row r="50" spans="2:31" x14ac:dyDescent="0.2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 t="e">
        <f t="shared" si="147"/>
        <v>#DIV/0!</v>
      </c>
      <c r="G50" s="144">
        <f t="shared" si="147"/>
        <v>79.545454545454547</v>
      </c>
      <c r="H50" s="144">
        <f t="shared" si="147"/>
        <v>85.227272727272734</v>
      </c>
      <c r="I50" s="144">
        <f t="shared" si="147"/>
        <v>94.318181818181813</v>
      </c>
      <c r="J50" s="144">
        <f t="shared" si="147"/>
        <v>137</v>
      </c>
      <c r="K50" s="144">
        <f t="shared" si="147"/>
        <v>154</v>
      </c>
      <c r="L50" s="144">
        <f t="shared" si="147"/>
        <v>178</v>
      </c>
      <c r="M50" s="144">
        <f t="shared" si="147"/>
        <v>211</v>
      </c>
      <c r="N50" s="144">
        <f t="shared" si="147"/>
        <v>247</v>
      </c>
      <c r="O50" s="144">
        <f t="shared" si="147"/>
        <v>291</v>
      </c>
      <c r="P50" s="144">
        <f t="shared" si="147"/>
        <v>329</v>
      </c>
      <c r="Q50" s="118">
        <f>((P50/G50)^(1/($H$2-$H$1) ))-1</f>
        <v>0.17087072557011851</v>
      </c>
      <c r="R50" s="128"/>
      <c r="S50" s="157">
        <f t="shared" ref="S50:AB50" si="148">S6/S40</f>
        <v>329</v>
      </c>
      <c r="T50" s="157">
        <f t="shared" si="148"/>
        <v>329</v>
      </c>
      <c r="U50" s="157">
        <f t="shared" si="148"/>
        <v>329</v>
      </c>
      <c r="V50" s="157">
        <f t="shared" si="148"/>
        <v>329</v>
      </c>
      <c r="W50" s="157">
        <f t="shared" si="148"/>
        <v>329.00000000000006</v>
      </c>
      <c r="X50" s="157">
        <f t="shared" si="148"/>
        <v>329</v>
      </c>
      <c r="Y50" s="157">
        <f t="shared" si="148"/>
        <v>329.00000000000006</v>
      </c>
      <c r="Z50" s="157">
        <f t="shared" si="148"/>
        <v>329.00000000000006</v>
      </c>
      <c r="AA50" s="157">
        <f t="shared" si="148"/>
        <v>329</v>
      </c>
      <c r="AB50" s="157">
        <f t="shared" si="148"/>
        <v>329.00000000000006</v>
      </c>
      <c r="AC50" s="138">
        <f t="shared" si="139"/>
        <v>7.7585172384986967E-2</v>
      </c>
      <c r="AD50" s="31">
        <f t="shared" si="17"/>
        <v>0.08</v>
      </c>
      <c r="AE50" s="146">
        <f t="shared" si="140"/>
        <v>2538.0000000000005</v>
      </c>
    </row>
    <row r="51" spans="2:31" x14ac:dyDescent="0.2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 t="e">
        <f t="shared" si="149"/>
        <v>#DIV/0!</v>
      </c>
      <c r="G51" s="144">
        <f t="shared" si="149"/>
        <v>0</v>
      </c>
      <c r="H51" s="144">
        <f t="shared" si="149"/>
        <v>0</v>
      </c>
      <c r="I51" s="144">
        <f t="shared" si="149"/>
        <v>0</v>
      </c>
      <c r="J51" s="144">
        <f t="shared" si="149"/>
        <v>0</v>
      </c>
      <c r="K51" s="144">
        <f t="shared" si="149"/>
        <v>0</v>
      </c>
      <c r="L51" s="144">
        <f t="shared" si="149"/>
        <v>0</v>
      </c>
      <c r="M51" s="144">
        <f t="shared" si="149"/>
        <v>0</v>
      </c>
      <c r="N51" s="144">
        <f t="shared" si="149"/>
        <v>0</v>
      </c>
      <c r="O51" s="144">
        <f t="shared" si="149"/>
        <v>0</v>
      </c>
      <c r="P51" s="144">
        <f t="shared" si="149"/>
        <v>0</v>
      </c>
      <c r="Q51" s="118" t="e">
        <f>((P51/G51)^(1/($H$2-$H$1) ))-1</f>
        <v>#DIV/0!</v>
      </c>
      <c r="R51" s="128"/>
      <c r="S51" s="157">
        <f t="shared" ref="S51:AB51" si="150">S10/S40</f>
        <v>0</v>
      </c>
      <c r="T51" s="157">
        <f t="shared" si="150"/>
        <v>0</v>
      </c>
      <c r="U51" s="157">
        <f t="shared" si="150"/>
        <v>0</v>
      </c>
      <c r="V51" s="157">
        <f t="shared" si="150"/>
        <v>0</v>
      </c>
      <c r="W51" s="157">
        <f t="shared" si="150"/>
        <v>0</v>
      </c>
      <c r="X51" s="157">
        <f t="shared" si="150"/>
        <v>0</v>
      </c>
      <c r="Y51" s="157">
        <f t="shared" si="150"/>
        <v>0</v>
      </c>
      <c r="Z51" s="157">
        <f t="shared" si="150"/>
        <v>0</v>
      </c>
      <c r="AA51" s="157">
        <f t="shared" si="150"/>
        <v>0</v>
      </c>
      <c r="AB51" s="157">
        <f t="shared" si="150"/>
        <v>0</v>
      </c>
      <c r="AC51" s="138" t="e">
        <f t="shared" si="139"/>
        <v>#DIV/0!</v>
      </c>
      <c r="AD51" s="31">
        <f t="shared" si="17"/>
        <v>0.08</v>
      </c>
      <c r="AE51" s="146">
        <f t="shared" si="140"/>
        <v>0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 t="e">
        <f t="shared" si="151"/>
        <v>#DIV/0!</v>
      </c>
      <c r="G53" s="144">
        <f t="shared" si="151"/>
        <v>89.772727272727266</v>
      </c>
      <c r="H53" s="144">
        <f t="shared" si="151"/>
        <v>95.454545454545453</v>
      </c>
      <c r="I53" s="144">
        <f t="shared" si="151"/>
        <v>104.54545454545455</v>
      </c>
      <c r="J53" s="144">
        <f t="shared" si="151"/>
        <v>147</v>
      </c>
      <c r="K53" s="144">
        <f t="shared" si="151"/>
        <v>164</v>
      </c>
      <c r="L53" s="144">
        <f t="shared" si="151"/>
        <v>188</v>
      </c>
      <c r="M53" s="144">
        <f t="shared" si="151"/>
        <v>221</v>
      </c>
      <c r="N53" s="144">
        <f t="shared" si="151"/>
        <v>257</v>
      </c>
      <c r="O53" s="144">
        <f t="shared" si="151"/>
        <v>302</v>
      </c>
      <c r="P53" s="144">
        <f t="shared" si="151"/>
        <v>339</v>
      </c>
      <c r="Q53" s="118">
        <f>((P53/G53)^(1/($H$2-$H$1) ))-1</f>
        <v>0.15909025151937106</v>
      </c>
      <c r="R53" s="128"/>
      <c r="S53" s="157">
        <f t="shared" ref="S53:AB53" si="152">(S7-S10)/S40</f>
        <v>339</v>
      </c>
      <c r="T53" s="157">
        <f t="shared" si="152"/>
        <v>339.00000000000006</v>
      </c>
      <c r="U53" s="157">
        <f t="shared" si="152"/>
        <v>339.00000000000006</v>
      </c>
      <c r="V53" s="157">
        <f t="shared" si="152"/>
        <v>339</v>
      </c>
      <c r="W53" s="157">
        <f t="shared" si="152"/>
        <v>339</v>
      </c>
      <c r="X53" s="157">
        <f t="shared" si="152"/>
        <v>339</v>
      </c>
      <c r="Y53" s="157">
        <f t="shared" si="152"/>
        <v>339</v>
      </c>
      <c r="Z53" s="157">
        <f t="shared" si="152"/>
        <v>339</v>
      </c>
      <c r="AA53" s="157">
        <f t="shared" si="152"/>
        <v>338.99999999999994</v>
      </c>
      <c r="AB53" s="157">
        <f t="shared" si="152"/>
        <v>339</v>
      </c>
      <c r="AC53" s="138">
        <f t="shared" si="139"/>
        <v>7.2435867480051597E-2</v>
      </c>
      <c r="AD53" s="31">
        <f t="shared" si="17"/>
        <v>0.08</v>
      </c>
      <c r="AE53" s="146">
        <f t="shared" si="140"/>
        <v>2615.1428571428569</v>
      </c>
    </row>
    <row r="54" spans="2:31" x14ac:dyDescent="0.2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 t="e">
        <f t="shared" si="153"/>
        <v>#DIV/0!</v>
      </c>
      <c r="G54" s="144">
        <f t="shared" si="153"/>
        <v>83.545454545454547</v>
      </c>
      <c r="H54" s="144">
        <f t="shared" si="153"/>
        <v>88.738636363636374</v>
      </c>
      <c r="I54" s="144">
        <f t="shared" si="153"/>
        <v>96.98863636363636</v>
      </c>
      <c r="J54" s="144">
        <f t="shared" si="153"/>
        <v>-2684</v>
      </c>
      <c r="K54" s="144">
        <f t="shared" si="153"/>
        <v>141</v>
      </c>
      <c r="L54" s="144">
        <f t="shared" si="153"/>
        <v>151</v>
      </c>
      <c r="M54" s="144">
        <f t="shared" si="153"/>
        <v>167</v>
      </c>
      <c r="N54" s="144">
        <f t="shared" si="153"/>
        <v>211</v>
      </c>
      <c r="O54" s="144">
        <f t="shared" si="153"/>
        <v>267</v>
      </c>
      <c r="P54" s="144">
        <f t="shared" si="153"/>
        <v>295</v>
      </c>
      <c r="Q54" s="118">
        <f>((P54/G54)^(1/($H$2-$H$1) ))-1</f>
        <v>0.15047632964467383</v>
      </c>
      <c r="R54" s="128"/>
      <c r="S54" s="157">
        <f t="shared" ref="S54:AB54" si="154">(S7-S10-S9)/S40</f>
        <v>295.00000000000006</v>
      </c>
      <c r="T54" s="157">
        <f t="shared" si="154"/>
        <v>295.00000000000006</v>
      </c>
      <c r="U54" s="157">
        <f t="shared" si="154"/>
        <v>295.00000000000006</v>
      </c>
      <c r="V54" s="157">
        <f t="shared" si="154"/>
        <v>295</v>
      </c>
      <c r="W54" s="157">
        <f t="shared" si="154"/>
        <v>295.00000000000006</v>
      </c>
      <c r="X54" s="157">
        <f t="shared" si="154"/>
        <v>295</v>
      </c>
      <c r="Y54" s="157">
        <f t="shared" si="154"/>
        <v>295</v>
      </c>
      <c r="Z54" s="157">
        <f t="shared" si="154"/>
        <v>295</v>
      </c>
      <c r="AA54" s="157">
        <f t="shared" si="154"/>
        <v>294.99999999999994</v>
      </c>
      <c r="AB54" s="157">
        <f t="shared" si="154"/>
        <v>295</v>
      </c>
      <c r="AC54" s="138">
        <f t="shared" si="139"/>
        <v>6.8653221907469142E-2</v>
      </c>
      <c r="AD54" s="31">
        <f t="shared" si="17"/>
        <v>0.08</v>
      </c>
      <c r="AE54" s="146">
        <f t="shared" si="140"/>
        <v>2275.7142857142858</v>
      </c>
    </row>
    <row r="55" spans="2:31" x14ac:dyDescent="0.2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 t="e">
        <f t="shared" si="155"/>
        <v>#DIV/0!</v>
      </c>
      <c r="G55" s="144">
        <f t="shared" si="155"/>
        <v>102.86363636363636</v>
      </c>
      <c r="H55" s="144">
        <f t="shared" si="155"/>
        <v>111.46590909090909</v>
      </c>
      <c r="I55" s="144">
        <f t="shared" si="155"/>
        <v>123.125</v>
      </c>
      <c r="J55" s="144">
        <f t="shared" si="155"/>
        <v>212</v>
      </c>
      <c r="K55" s="144">
        <f t="shared" si="155"/>
        <v>238</v>
      </c>
      <c r="L55" s="144">
        <f t="shared" si="155"/>
        <v>184</v>
      </c>
      <c r="M55" s="144">
        <f t="shared" si="155"/>
        <v>214</v>
      </c>
      <c r="N55" s="144">
        <f t="shared" si="155"/>
        <v>250</v>
      </c>
      <c r="O55" s="144">
        <f t="shared" si="155"/>
        <v>310</v>
      </c>
      <c r="P55" s="144">
        <f t="shared" si="155"/>
        <v>390</v>
      </c>
      <c r="Q55" s="118">
        <f>((P55/G55)^(1/($H$2-$H$1) ))-1</f>
        <v>0.15960856615920949</v>
      </c>
      <c r="R55" s="128"/>
      <c r="S55" s="157">
        <f t="shared" ref="S55:AB55" si="156">(S7+S15-S10-S9)/S40</f>
        <v>390</v>
      </c>
      <c r="T55" s="157">
        <f t="shared" si="156"/>
        <v>390.00000000000011</v>
      </c>
      <c r="U55" s="157">
        <f t="shared" si="156"/>
        <v>390.00000000000006</v>
      </c>
      <c r="V55" s="157">
        <f t="shared" si="156"/>
        <v>390</v>
      </c>
      <c r="W55" s="157">
        <f t="shared" si="156"/>
        <v>390.00000000000006</v>
      </c>
      <c r="X55" s="157">
        <f t="shared" si="156"/>
        <v>390.00000000000006</v>
      </c>
      <c r="Y55" s="157">
        <f t="shared" si="156"/>
        <v>390</v>
      </c>
      <c r="Z55" s="157">
        <f t="shared" si="156"/>
        <v>390</v>
      </c>
      <c r="AA55" s="157">
        <f t="shared" si="156"/>
        <v>390</v>
      </c>
      <c r="AB55" s="157">
        <f t="shared" si="156"/>
        <v>390</v>
      </c>
      <c r="AC55" s="138">
        <f t="shared" si="139"/>
        <v>7.266300316108576E-2</v>
      </c>
      <c r="AD55" s="31">
        <f t="shared" si="17"/>
        <v>0.08</v>
      </c>
      <c r="AE55" s="146">
        <f t="shared" si="140"/>
        <v>3008.5714285714284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 t="e">
        <f t="shared" si="157"/>
        <v>#DIV/0!</v>
      </c>
      <c r="G57" s="144">
        <f t="shared" si="157"/>
        <v>3.4090909090909092</v>
      </c>
      <c r="H57" s="144">
        <f t="shared" si="157"/>
        <v>4.5454545454545459</v>
      </c>
      <c r="I57" s="144">
        <f t="shared" si="157"/>
        <v>4.5454545454545459</v>
      </c>
      <c r="J57" s="144">
        <f t="shared" si="157"/>
        <v>2826</v>
      </c>
      <c r="K57" s="144">
        <f t="shared" si="157"/>
        <v>25</v>
      </c>
      <c r="L57" s="144">
        <f t="shared" si="157"/>
        <v>112</v>
      </c>
      <c r="M57" s="144" t="e">
        <f t="shared" si="157"/>
        <v>#VALUE!</v>
      </c>
      <c r="N57" s="144">
        <f t="shared" si="157"/>
        <v>42</v>
      </c>
      <c r="O57" s="144">
        <f t="shared" si="157"/>
        <v>41</v>
      </c>
      <c r="P57" s="144">
        <f t="shared" si="157"/>
        <v>47</v>
      </c>
      <c r="Q57" s="118">
        <f>((P57/G57)^(1/($H$2-$H$1) ))-1</f>
        <v>0.33846366553166352</v>
      </c>
      <c r="R57" s="128"/>
      <c r="S57" s="157">
        <f t="shared" ref="S57:AB57" si="158">S12/S40</f>
        <v>47</v>
      </c>
      <c r="T57" s="157">
        <f t="shared" si="158"/>
        <v>47.000000000000007</v>
      </c>
      <c r="U57" s="157">
        <f t="shared" si="158"/>
        <v>47.000000000000007</v>
      </c>
      <c r="V57" s="157">
        <f t="shared" si="158"/>
        <v>47.000000000000007</v>
      </c>
      <c r="W57" s="157">
        <f t="shared" si="158"/>
        <v>47.000000000000007</v>
      </c>
      <c r="X57" s="157">
        <f t="shared" si="158"/>
        <v>47.000000000000007</v>
      </c>
      <c r="Y57" s="157">
        <f t="shared" si="158"/>
        <v>47.000000000000007</v>
      </c>
      <c r="Z57" s="157">
        <f t="shared" si="158"/>
        <v>47.000000000000007</v>
      </c>
      <c r="AA57" s="157">
        <f t="shared" si="158"/>
        <v>47</v>
      </c>
      <c r="AB57" s="157">
        <f t="shared" si="158"/>
        <v>47.000000000000007</v>
      </c>
      <c r="AC57" s="138">
        <f t="shared" si="139"/>
        <v>0.1480783857886796</v>
      </c>
      <c r="AD57" s="31">
        <f t="shared" si="17"/>
        <v>0.08</v>
      </c>
      <c r="AE57" s="146">
        <f t="shared" si="140"/>
        <v>362.57142857142861</v>
      </c>
    </row>
    <row r="58" spans="2:31" x14ac:dyDescent="0.2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 t="e">
        <f t="shared" si="159"/>
        <v>#DIV/0!</v>
      </c>
      <c r="G58" s="144">
        <f t="shared" si="159"/>
        <v>73.86363636363636</v>
      </c>
      <c r="H58" s="144">
        <f t="shared" si="159"/>
        <v>68.181818181818187</v>
      </c>
      <c r="I58" s="144">
        <f t="shared" si="159"/>
        <v>77.272727272727266</v>
      </c>
      <c r="J58" s="144">
        <f t="shared" si="159"/>
        <v>68</v>
      </c>
      <c r="K58" s="144">
        <f t="shared" si="159"/>
        <v>90</v>
      </c>
      <c r="L58" s="144">
        <f t="shared" si="159"/>
        <v>30</v>
      </c>
      <c r="M58" s="144">
        <f t="shared" si="159"/>
        <v>74</v>
      </c>
      <c r="N58" s="144">
        <f t="shared" si="159"/>
        <v>191</v>
      </c>
      <c r="O58" s="144">
        <f t="shared" si="159"/>
        <v>236</v>
      </c>
      <c r="P58" s="144">
        <f t="shared" si="159"/>
        <v>229</v>
      </c>
      <c r="Q58" s="118">
        <f>((P58/G58)^(1/($H$2-$H$1) ))-1</f>
        <v>0.13396730528555789</v>
      </c>
      <c r="R58" s="128"/>
      <c r="S58" s="157">
        <f t="shared" ref="S58:AB58" si="160">S13/S40</f>
        <v>229</v>
      </c>
      <c r="T58" s="157">
        <f t="shared" si="160"/>
        <v>229</v>
      </c>
      <c r="U58" s="157">
        <f t="shared" si="160"/>
        <v>229</v>
      </c>
      <c r="V58" s="157">
        <f t="shared" si="160"/>
        <v>229</v>
      </c>
      <c r="W58" s="157">
        <f t="shared" si="160"/>
        <v>229.00000000000003</v>
      </c>
      <c r="X58" s="157">
        <f t="shared" si="160"/>
        <v>229.00000000000003</v>
      </c>
      <c r="Y58" s="157">
        <f t="shared" si="160"/>
        <v>229.00000000000003</v>
      </c>
      <c r="Z58" s="157">
        <f t="shared" si="160"/>
        <v>229.00000000000006</v>
      </c>
      <c r="AA58" s="157">
        <f t="shared" si="160"/>
        <v>229.00000000000003</v>
      </c>
      <c r="AB58" s="157">
        <f t="shared" si="160"/>
        <v>229.00000000000003</v>
      </c>
      <c r="AC58" s="138">
        <f t="shared" si="139"/>
        <v>6.1361696738641225E-2</v>
      </c>
      <c r="AD58" s="31">
        <f t="shared" si="17"/>
        <v>0.08</v>
      </c>
      <c r="AE58" s="146">
        <f t="shared" si="140"/>
        <v>1766.5714285714287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 t="e">
        <f t="shared" si="161"/>
        <v>#DIV/0!</v>
      </c>
      <c r="G59" s="144">
        <f t="shared" si="161"/>
        <v>77.272727272727266</v>
      </c>
      <c r="H59" s="144">
        <f t="shared" si="161"/>
        <v>72.727272727272734</v>
      </c>
      <c r="I59" s="144">
        <f t="shared" si="161"/>
        <v>81.818181818181813</v>
      </c>
      <c r="J59" s="144">
        <f t="shared" si="161"/>
        <v>2894</v>
      </c>
      <c r="K59" s="144">
        <f t="shared" si="161"/>
        <v>115</v>
      </c>
      <c r="L59" s="144">
        <f t="shared" si="161"/>
        <v>142</v>
      </c>
      <c r="M59" s="144" t="e">
        <f t="shared" si="161"/>
        <v>#VALUE!</v>
      </c>
      <c r="N59" s="144">
        <f t="shared" si="161"/>
        <v>233</v>
      </c>
      <c r="O59" s="144">
        <f t="shared" ref="O59" si="162">(O57+O58)</f>
        <v>277</v>
      </c>
      <c r="P59" s="144">
        <f t="shared" si="161"/>
        <v>276</v>
      </c>
      <c r="Q59" s="118">
        <f>((P59/G59)^(1/($H$2-$H$1) ))-1</f>
        <v>0.15194415861014199</v>
      </c>
      <c r="R59" s="128"/>
      <c r="S59" s="157">
        <f t="shared" ref="S59:AB59" si="163">(S57+S58)</f>
        <v>276</v>
      </c>
      <c r="T59" s="157">
        <f t="shared" si="163"/>
        <v>276</v>
      </c>
      <c r="U59" s="157">
        <f t="shared" si="163"/>
        <v>276</v>
      </c>
      <c r="V59" s="157">
        <f t="shared" si="163"/>
        <v>276</v>
      </c>
      <c r="W59" s="157">
        <f t="shared" si="163"/>
        <v>276.00000000000006</v>
      </c>
      <c r="X59" s="157">
        <f t="shared" si="163"/>
        <v>276.00000000000006</v>
      </c>
      <c r="Y59" s="157">
        <f t="shared" si="163"/>
        <v>276.00000000000006</v>
      </c>
      <c r="Z59" s="157">
        <f t="shared" si="163"/>
        <v>276.00000000000006</v>
      </c>
      <c r="AA59" s="157">
        <f t="shared" si="163"/>
        <v>276</v>
      </c>
      <c r="AB59" s="157">
        <f t="shared" si="163"/>
        <v>276.00000000000006</v>
      </c>
      <c r="AC59" s="138">
        <f t="shared" si="139"/>
        <v>6.9298843029403034E-2</v>
      </c>
      <c r="AD59" s="31">
        <f t="shared" si="17"/>
        <v>0.08</v>
      </c>
      <c r="AE59" s="146">
        <f t="shared" si="140"/>
        <v>2129.1428571428578</v>
      </c>
    </row>
    <row r="60" spans="2:31" x14ac:dyDescent="0.2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 t="e">
        <f t="shared" si="164"/>
        <v>#DIV/0!</v>
      </c>
      <c r="G60" s="144">
        <f t="shared" si="164"/>
        <v>19.318181818181817</v>
      </c>
      <c r="H60" s="144">
        <f t="shared" si="164"/>
        <v>22.727272727272727</v>
      </c>
      <c r="I60" s="144">
        <f t="shared" si="164"/>
        <v>26.136363636363637</v>
      </c>
      <c r="J60" s="144">
        <f t="shared" si="164"/>
        <v>2896</v>
      </c>
      <c r="K60" s="144">
        <f t="shared" si="164"/>
        <v>97</v>
      </c>
      <c r="L60" s="144">
        <f t="shared" si="164"/>
        <v>33</v>
      </c>
      <c r="M60" s="144">
        <f t="shared" si="164"/>
        <v>47</v>
      </c>
      <c r="N60" s="144">
        <f t="shared" si="164"/>
        <v>39</v>
      </c>
      <c r="O60" s="144">
        <f t="shared" si="164"/>
        <v>43</v>
      </c>
      <c r="P60" s="144">
        <f t="shared" si="164"/>
        <v>95</v>
      </c>
      <c r="Q60" s="118">
        <f>((P60/G60)^(1/($H$2-$H$1) ))-1</f>
        <v>0.19360857032122891</v>
      </c>
      <c r="R60" s="128"/>
      <c r="S60" s="157">
        <f t="shared" ref="S60:AB60" si="165">S15/S40</f>
        <v>95</v>
      </c>
      <c r="T60" s="157">
        <f t="shared" si="165"/>
        <v>95</v>
      </c>
      <c r="U60" s="157">
        <f t="shared" si="165"/>
        <v>95</v>
      </c>
      <c r="V60" s="157">
        <f t="shared" si="165"/>
        <v>95</v>
      </c>
      <c r="W60" s="157">
        <f t="shared" si="165"/>
        <v>95</v>
      </c>
      <c r="X60" s="157">
        <f t="shared" si="165"/>
        <v>95</v>
      </c>
      <c r="Y60" s="157">
        <f t="shared" si="165"/>
        <v>95</v>
      </c>
      <c r="Z60" s="157">
        <f t="shared" si="165"/>
        <v>95</v>
      </c>
      <c r="AA60" s="157">
        <f t="shared" si="165"/>
        <v>94.999999999999986</v>
      </c>
      <c r="AB60" s="157">
        <f t="shared" si="165"/>
        <v>95</v>
      </c>
      <c r="AC60" s="138">
        <f t="shared" si="139"/>
        <v>8.7447456726540418E-2</v>
      </c>
      <c r="AD60" s="31">
        <f t="shared" si="17"/>
        <v>0.08</v>
      </c>
      <c r="AE60" s="146">
        <f t="shared" si="140"/>
        <v>732.85714285714289</v>
      </c>
    </row>
    <row r="61" spans="2:31" x14ac:dyDescent="0.2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 t="e">
        <f t="shared" si="166"/>
        <v>#DIV/0!</v>
      </c>
      <c r="G61" s="144">
        <f t="shared" si="166"/>
        <v>1.5113636363636365</v>
      </c>
      <c r="H61" s="144">
        <f t="shared" si="166"/>
        <v>6.5909090909090908</v>
      </c>
      <c r="I61" s="144">
        <f t="shared" si="166"/>
        <v>7.6363636363636358</v>
      </c>
      <c r="J61" s="144">
        <f t="shared" si="166"/>
        <v>51</v>
      </c>
      <c r="K61" s="144">
        <f t="shared" si="166"/>
        <v>45</v>
      </c>
      <c r="L61" s="144">
        <f t="shared" si="166"/>
        <v>128</v>
      </c>
      <c r="M61" s="144">
        <f t="shared" si="166"/>
        <v>113</v>
      </c>
      <c r="N61" s="144">
        <f t="shared" si="166"/>
        <v>32</v>
      </c>
      <c r="O61" s="144">
        <f t="shared" si="166"/>
        <v>31</v>
      </c>
      <c r="P61" s="144">
        <f t="shared" si="166"/>
        <v>48</v>
      </c>
      <c r="Q61" s="118">
        <f>((P61/G61)^(1/($H$2-$H$1) ))-1</f>
        <v>0.46850252129518744</v>
      </c>
      <c r="R61" s="128"/>
      <c r="S61" s="157">
        <f t="shared" ref="S61:AB61" si="167">S16/S40</f>
        <v>48</v>
      </c>
      <c r="T61" s="157">
        <f t="shared" si="167"/>
        <v>48</v>
      </c>
      <c r="U61" s="157">
        <f t="shared" si="167"/>
        <v>48.000000000000007</v>
      </c>
      <c r="V61" s="157">
        <f t="shared" si="167"/>
        <v>48.000000000000007</v>
      </c>
      <c r="W61" s="157">
        <f t="shared" si="167"/>
        <v>48.000000000000007</v>
      </c>
      <c r="X61" s="157">
        <f t="shared" si="167"/>
        <v>48.000000000000007</v>
      </c>
      <c r="Y61" s="157">
        <f t="shared" si="167"/>
        <v>48.000000000000007</v>
      </c>
      <c r="Z61" s="157">
        <f t="shared" si="167"/>
        <v>48.000000000000007</v>
      </c>
      <c r="AA61" s="157">
        <f t="shared" si="167"/>
        <v>48.000000000000007</v>
      </c>
      <c r="AB61" s="157">
        <f t="shared" si="167"/>
        <v>48.000000000000014</v>
      </c>
      <c r="AC61" s="138">
        <f t="shared" si="139"/>
        <v>0.19962610782306589</v>
      </c>
      <c r="AD61" s="137"/>
      <c r="AE61" s="146">
        <f t="shared" si="140"/>
        <v>218.18181818181824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40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</v>
      </c>
      <c r="G63" s="159">
        <f t="shared" si="168"/>
        <v>5</v>
      </c>
      <c r="H63" s="159">
        <f t="shared" si="168"/>
        <v>3.5</v>
      </c>
      <c r="I63" s="159">
        <f t="shared" si="168"/>
        <v>4</v>
      </c>
      <c r="J63" s="159">
        <f t="shared" si="168"/>
        <v>4.5</v>
      </c>
      <c r="K63" s="159">
        <f t="shared" si="168"/>
        <v>10</v>
      </c>
      <c r="L63" s="159">
        <f t="shared" si="168"/>
        <v>12</v>
      </c>
      <c r="M63" s="159">
        <f t="shared" si="168"/>
        <v>17</v>
      </c>
      <c r="N63" s="159">
        <f t="shared" si="168"/>
        <v>17</v>
      </c>
      <c r="O63" s="159">
        <f t="shared" si="168"/>
        <v>20</v>
      </c>
      <c r="P63" s="159">
        <f t="shared" si="168"/>
        <v>22</v>
      </c>
      <c r="Q63" s="118">
        <f>((P63/G63)^(1/($H$2-$H$1) ))-1</f>
        <v>0.17894824918325525</v>
      </c>
      <c r="R63" s="128"/>
      <c r="S63" s="159">
        <f t="shared" ref="S63:AB63" si="169">S41</f>
        <v>23.1</v>
      </c>
      <c r="T63" s="159">
        <f t="shared" si="169"/>
        <v>24.255000000000003</v>
      </c>
      <c r="U63" s="159">
        <f t="shared" si="169"/>
        <v>25.467750000000002</v>
      </c>
      <c r="V63" s="159">
        <f t="shared" si="169"/>
        <v>26.741137500000004</v>
      </c>
      <c r="W63" s="159">
        <f t="shared" si="169"/>
        <v>28.078194375000006</v>
      </c>
      <c r="X63" s="159">
        <f t="shared" si="169"/>
        <v>29.482104093750007</v>
      </c>
      <c r="Y63" s="159">
        <f t="shared" si="169"/>
        <v>30.956209298437507</v>
      </c>
      <c r="Z63" s="159">
        <f t="shared" si="169"/>
        <v>32.504019763359381</v>
      </c>
      <c r="AA63" s="159">
        <f t="shared" si="169"/>
        <v>34.129220751527349</v>
      </c>
      <c r="AB63" s="159">
        <f t="shared" si="169"/>
        <v>35.835681789103717</v>
      </c>
      <c r="AC63" s="138">
        <f t="shared" ref="AC63" si="170">((AB63/G63)^(1/($AB$3-$H$1) ))-1</f>
        <v>0.10922128062578329</v>
      </c>
      <c r="AD63" s="31">
        <f t="shared" si="17"/>
        <v>0.08</v>
      </c>
      <c r="AE63" s="146">
        <f t="shared" si="140"/>
        <v>276.44668808737151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2</v>
      </c>
      <c r="H65" s="144">
        <f t="shared" si="171"/>
        <v>0</v>
      </c>
      <c r="I65" s="144">
        <f t="shared" si="171"/>
        <v>4</v>
      </c>
      <c r="J65" s="144">
        <f t="shared" si="171"/>
        <v>-28</v>
      </c>
      <c r="K65" s="144">
        <f t="shared" si="171"/>
        <v>5</v>
      </c>
      <c r="L65" s="144">
        <f t="shared" si="171"/>
        <v>95</v>
      </c>
      <c r="M65" s="144">
        <f t="shared" si="171"/>
        <v>21</v>
      </c>
      <c r="N65" s="144">
        <f t="shared" si="171"/>
        <v>-58</v>
      </c>
      <c r="O65" s="144">
        <f t="shared" si="171"/>
        <v>66</v>
      </c>
      <c r="P65" s="144">
        <f t="shared" si="171"/>
        <v>17</v>
      </c>
      <c r="Q65" s="118">
        <f>((P65/G65)^(1/($H$2-$H$1) ))-1</f>
        <v>0.26843661364952376</v>
      </c>
      <c r="R65" s="128"/>
      <c r="S65" s="144">
        <f t="shared" ref="S65:AB65" si="172">S20+S21</f>
        <v>19.04</v>
      </c>
      <c r="T65" s="144">
        <f t="shared" si="172"/>
        <v>21.3248</v>
      </c>
      <c r="U65" s="144">
        <f t="shared" si="172"/>
        <v>23.883775999999997</v>
      </c>
      <c r="V65" s="144">
        <f t="shared" si="172"/>
        <v>26.749829119999994</v>
      </c>
      <c r="W65" s="144">
        <f t="shared" si="172"/>
        <v>29.959808614399996</v>
      </c>
      <c r="X65" s="144">
        <f t="shared" si="172"/>
        <v>33.554985648128003</v>
      </c>
      <c r="Y65" s="144">
        <f t="shared" si="172"/>
        <v>37.581583925903367</v>
      </c>
      <c r="Z65" s="144">
        <f t="shared" si="172"/>
        <v>42.091373997011772</v>
      </c>
      <c r="AA65" s="144">
        <f t="shared" si="172"/>
        <v>47.142338876653184</v>
      </c>
      <c r="AB65" s="144">
        <f t="shared" si="172"/>
        <v>52.799419541851563</v>
      </c>
      <c r="AC65" s="138">
        <f t="shared" ref="AC65:AC70" si="173">((AB65/G65)^(1/($AB$3-$H$1) ))-1</f>
        <v>0.1880124939926906</v>
      </c>
      <c r="AD65" s="31">
        <f t="shared" si="17"/>
        <v>0.08</v>
      </c>
      <c r="AE65" s="146">
        <f t="shared" si="140"/>
        <v>407.30980789428344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 t="e">
        <f t="shared" si="174"/>
        <v>#DIV/0!</v>
      </c>
      <c r="G67" s="144">
        <f t="shared" si="174"/>
        <v>2.2727272727272729</v>
      </c>
      <c r="H67" s="144">
        <f t="shared" si="174"/>
        <v>0</v>
      </c>
      <c r="I67" s="144">
        <f t="shared" si="174"/>
        <v>4.5454545454545459</v>
      </c>
      <c r="J67" s="144">
        <f t="shared" si="174"/>
        <v>-28</v>
      </c>
      <c r="K67" s="144">
        <f t="shared" si="174"/>
        <v>5</v>
      </c>
      <c r="L67" s="144">
        <f t="shared" si="174"/>
        <v>95</v>
      </c>
      <c r="M67" s="144">
        <f t="shared" si="174"/>
        <v>21</v>
      </c>
      <c r="N67" s="144">
        <f t="shared" si="174"/>
        <v>-58</v>
      </c>
      <c r="O67" s="144">
        <f t="shared" si="174"/>
        <v>66</v>
      </c>
      <c r="P67" s="144">
        <f t="shared" si="174"/>
        <v>17</v>
      </c>
      <c r="Q67" s="118">
        <f>((P67/G67)^(1/($H$2-$H$1) ))-1</f>
        <v>0.25054745737085082</v>
      </c>
      <c r="R67" s="128"/>
      <c r="S67" s="146">
        <f t="shared" ref="S67:AB67" si="175">S65/S40</f>
        <v>16.999999999999996</v>
      </c>
      <c r="T67" s="146">
        <f t="shared" si="175"/>
        <v>16.999999999999996</v>
      </c>
      <c r="U67" s="146">
        <f t="shared" si="175"/>
        <v>16.999999999999993</v>
      </c>
      <c r="V67" s="146">
        <f t="shared" si="175"/>
        <v>16.999999999999989</v>
      </c>
      <c r="W67" s="146">
        <f t="shared" si="175"/>
        <v>16.999999999999989</v>
      </c>
      <c r="X67" s="146">
        <f t="shared" si="175"/>
        <v>16.999999999999993</v>
      </c>
      <c r="Y67" s="146">
        <f t="shared" si="175"/>
        <v>16.999999999999993</v>
      </c>
      <c r="Z67" s="146">
        <f t="shared" si="175"/>
        <v>16.999999999999993</v>
      </c>
      <c r="AA67" s="146">
        <f t="shared" si="175"/>
        <v>16.999999999999989</v>
      </c>
      <c r="AB67" s="146">
        <f t="shared" si="175"/>
        <v>16.999999999999986</v>
      </c>
      <c r="AC67" s="138">
        <f t="shared" si="173"/>
        <v>0.1117184697087521</v>
      </c>
      <c r="AD67" s="31">
        <f t="shared" si="17"/>
        <v>0.08</v>
      </c>
      <c r="AE67" s="146">
        <f t="shared" si="140"/>
        <v>131.14285714285703</v>
      </c>
    </row>
    <row r="68" spans="2:31" x14ac:dyDescent="0.2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 t="e">
        <f t="shared" si="176"/>
        <v>#DIV/0!</v>
      </c>
      <c r="G68" s="144">
        <f t="shared" si="176"/>
        <v>1.1363636363636365</v>
      </c>
      <c r="H68" s="144">
        <f t="shared" si="176"/>
        <v>0</v>
      </c>
      <c r="I68" s="144">
        <f t="shared" si="176"/>
        <v>14.772727272727273</v>
      </c>
      <c r="J68" s="144">
        <f t="shared" si="176"/>
        <v>12</v>
      </c>
      <c r="K68" s="144">
        <f t="shared" si="176"/>
        <v>30</v>
      </c>
      <c r="L68" s="144">
        <f t="shared" si="176"/>
        <v>36</v>
      </c>
      <c r="M68" s="144">
        <f t="shared" si="176"/>
        <v>42</v>
      </c>
      <c r="N68" s="144">
        <f t="shared" si="176"/>
        <v>42</v>
      </c>
      <c r="O68" s="144">
        <f t="shared" si="176"/>
        <v>39</v>
      </c>
      <c r="P68" s="144">
        <f t="shared" si="176"/>
        <v>41</v>
      </c>
      <c r="Q68" s="118">
        <f>((P68/G68)^(1/($H$2-$H$1) ))-1</f>
        <v>0.48946263994472017</v>
      </c>
      <c r="R68" s="128"/>
      <c r="S68" s="146">
        <f t="shared" ref="S68:AB68" si="177">S20/S40</f>
        <v>41</v>
      </c>
      <c r="T68" s="146">
        <f t="shared" si="177"/>
        <v>41</v>
      </c>
      <c r="U68" s="146">
        <f t="shared" si="177"/>
        <v>40.999999999999993</v>
      </c>
      <c r="V68" s="146">
        <f t="shared" si="177"/>
        <v>40.999999999999993</v>
      </c>
      <c r="W68" s="146">
        <f t="shared" si="177"/>
        <v>40.999999999999993</v>
      </c>
      <c r="X68" s="146">
        <f t="shared" si="177"/>
        <v>40.999999999999993</v>
      </c>
      <c r="Y68" s="146">
        <f t="shared" si="177"/>
        <v>40.999999999999993</v>
      </c>
      <c r="Z68" s="146">
        <f t="shared" si="177"/>
        <v>40.999999999999993</v>
      </c>
      <c r="AA68" s="146">
        <f t="shared" si="177"/>
        <v>40.999999999999993</v>
      </c>
      <c r="AB68" s="146">
        <f t="shared" si="177"/>
        <v>40.999999999999993</v>
      </c>
      <c r="AC68" s="138">
        <f t="shared" si="173"/>
        <v>0.20770647923315622</v>
      </c>
      <c r="AD68" s="31">
        <f t="shared" si="17"/>
        <v>0.08</v>
      </c>
      <c r="AE68" s="146">
        <f t="shared" si="140"/>
        <v>316.28571428571422</v>
      </c>
    </row>
    <row r="69" spans="2:31" x14ac:dyDescent="0.2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 t="e">
        <f t="shared" si="178"/>
        <v>#DIV/0!</v>
      </c>
      <c r="G69" s="144">
        <f t="shared" si="178"/>
        <v>1.1363636363636365</v>
      </c>
      <c r="H69" s="144">
        <f t="shared" si="178"/>
        <v>0</v>
      </c>
      <c r="I69" s="144">
        <f t="shared" si="178"/>
        <v>-10.227272727272727</v>
      </c>
      <c r="J69" s="144">
        <f t="shared" si="178"/>
        <v>-40</v>
      </c>
      <c r="K69" s="144">
        <f t="shared" si="178"/>
        <v>-25</v>
      </c>
      <c r="L69" s="144">
        <f t="shared" si="178"/>
        <v>59</v>
      </c>
      <c r="M69" s="144">
        <f t="shared" si="178"/>
        <v>-21</v>
      </c>
      <c r="N69" s="144">
        <f t="shared" si="178"/>
        <v>-100</v>
      </c>
      <c r="O69" s="144">
        <f t="shared" si="178"/>
        <v>27</v>
      </c>
      <c r="P69" s="144">
        <f t="shared" si="178"/>
        <v>-24</v>
      </c>
      <c r="Q69" s="118">
        <f>((P69/G69)^(1/($H$2-$H$1) ))-1</f>
        <v>-2.4034217816096639</v>
      </c>
      <c r="R69" s="128"/>
      <c r="S69" s="146">
        <f t="shared" ref="S69:AB69" si="179">S21/S40</f>
        <v>-24</v>
      </c>
      <c r="T69" s="146">
        <f t="shared" si="179"/>
        <v>-24</v>
      </c>
      <c r="U69" s="146">
        <f t="shared" si="179"/>
        <v>-24.000000000000004</v>
      </c>
      <c r="V69" s="146">
        <f t="shared" si="179"/>
        <v>-24.000000000000004</v>
      </c>
      <c r="W69" s="146">
        <f t="shared" si="179"/>
        <v>-24.000000000000004</v>
      </c>
      <c r="X69" s="146">
        <f t="shared" si="179"/>
        <v>-24.000000000000004</v>
      </c>
      <c r="Y69" s="146">
        <f t="shared" si="179"/>
        <v>-24.000000000000004</v>
      </c>
      <c r="Z69" s="146">
        <f t="shared" si="179"/>
        <v>-24.000000000000004</v>
      </c>
      <c r="AA69" s="146">
        <f t="shared" si="179"/>
        <v>-24.000000000000004</v>
      </c>
      <c r="AB69" s="146">
        <f t="shared" si="179"/>
        <v>-24.000000000000007</v>
      </c>
      <c r="AC69" s="138">
        <f t="shared" si="173"/>
        <v>-2.1741422944645739</v>
      </c>
      <c r="AD69" s="31">
        <f t="shared" si="17"/>
        <v>0.08</v>
      </c>
      <c r="AE69" s="146">
        <f t="shared" si="140"/>
        <v>-185.1428571428572</v>
      </c>
    </row>
    <row r="70" spans="2:31" x14ac:dyDescent="0.2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 t="e">
        <f t="shared" si="180"/>
        <v>#DIV/0!</v>
      </c>
      <c r="G70" s="144">
        <f t="shared" si="180"/>
        <v>1.1363636363636365</v>
      </c>
      <c r="H70" s="144">
        <f t="shared" si="180"/>
        <v>0</v>
      </c>
      <c r="I70" s="144">
        <f t="shared" si="180"/>
        <v>-3.9772727272727271</v>
      </c>
      <c r="J70" s="144">
        <f t="shared" si="180"/>
        <v>35</v>
      </c>
      <c r="K70" s="144">
        <f t="shared" si="180"/>
        <v>-5.2</v>
      </c>
      <c r="L70" s="144">
        <f t="shared" si="180"/>
        <v>-11</v>
      </c>
      <c r="M70" s="144">
        <f t="shared" si="180"/>
        <v>-14</v>
      </c>
      <c r="N70" s="144">
        <f t="shared" si="180"/>
        <v>-20</v>
      </c>
      <c r="O70" s="144">
        <f t="shared" si="180"/>
        <v>-15</v>
      </c>
      <c r="P70" s="144">
        <f t="shared" si="180"/>
        <v>-15</v>
      </c>
      <c r="Q70" s="118">
        <f>((P70/G70)^(1/($H$2-$H$1) ))-1</f>
        <v>-2.3320122367744331</v>
      </c>
      <c r="R70" s="128"/>
      <c r="S70" s="146">
        <f t="shared" ref="S70:AB70" si="181">S22/S40</f>
        <v>-15</v>
      </c>
      <c r="T70" s="146">
        <f t="shared" si="181"/>
        <v>-15</v>
      </c>
      <c r="U70" s="146">
        <f t="shared" si="181"/>
        <v>-14.999999999999998</v>
      </c>
      <c r="V70" s="146">
        <f t="shared" si="181"/>
        <v>-14.999999999999998</v>
      </c>
      <c r="W70" s="146">
        <f t="shared" si="181"/>
        <v>-14.999999999999998</v>
      </c>
      <c r="X70" s="146">
        <f t="shared" si="181"/>
        <v>-14.999999999999998</v>
      </c>
      <c r="Y70" s="146">
        <f t="shared" si="181"/>
        <v>-14.999999999999998</v>
      </c>
      <c r="Z70" s="146">
        <f t="shared" si="181"/>
        <v>-15</v>
      </c>
      <c r="AA70" s="146">
        <f t="shared" si="181"/>
        <v>-14.999999999999998</v>
      </c>
      <c r="AB70" s="146">
        <f t="shared" si="181"/>
        <v>-15</v>
      </c>
      <c r="AC70" s="138">
        <f t="shared" si="173"/>
        <v>-2.1454537947341406</v>
      </c>
      <c r="AD70" s="31">
        <f t="shared" si="17"/>
        <v>0.08</v>
      </c>
      <c r="AE70" s="146">
        <f t="shared" si="140"/>
        <v>-115.71428571428572</v>
      </c>
    </row>
    <row r="71" spans="2:31" x14ac:dyDescent="0.2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 t="e">
        <f t="shared" si="182"/>
        <v>#DIV/0!</v>
      </c>
      <c r="G71" s="144">
        <f t="shared" si="182"/>
        <v>1.1363636363636365</v>
      </c>
      <c r="H71" s="144">
        <f t="shared" si="182"/>
        <v>0</v>
      </c>
      <c r="I71" s="144">
        <f t="shared" si="182"/>
        <v>4.5454545454545459</v>
      </c>
      <c r="J71" s="144">
        <f t="shared" si="182"/>
        <v>12</v>
      </c>
      <c r="K71" s="144">
        <f t="shared" si="182"/>
        <v>11</v>
      </c>
      <c r="L71" s="144">
        <f t="shared" si="182"/>
        <v>95</v>
      </c>
      <c r="M71" s="144">
        <f t="shared" si="182"/>
        <v>102</v>
      </c>
      <c r="N71" s="144">
        <f t="shared" si="182"/>
        <v>24</v>
      </c>
      <c r="O71" s="144">
        <f t="shared" si="182"/>
        <v>21</v>
      </c>
      <c r="P71" s="144">
        <f t="shared" si="182"/>
        <v>21</v>
      </c>
      <c r="Q71" s="118">
        <f>((P71/G71)^(1/($H$2-$H$1) ))-1</f>
        <v>0.38275317067699177</v>
      </c>
      <c r="R71" s="128"/>
      <c r="S71" s="146">
        <f t="shared" ref="S71:AB71" si="183">S23/S40</f>
        <v>21</v>
      </c>
      <c r="T71" s="146">
        <f t="shared" si="183"/>
        <v>21</v>
      </c>
      <c r="U71" s="146">
        <f t="shared" si="183"/>
        <v>21</v>
      </c>
      <c r="V71" s="146">
        <f t="shared" si="183"/>
        <v>21</v>
      </c>
      <c r="W71" s="146">
        <f t="shared" si="183"/>
        <v>21</v>
      </c>
      <c r="X71" s="146">
        <f t="shared" si="183"/>
        <v>21</v>
      </c>
      <c r="Y71" s="146">
        <f t="shared" si="183"/>
        <v>21</v>
      </c>
      <c r="Z71" s="146">
        <f t="shared" si="183"/>
        <v>20.999999999999996</v>
      </c>
      <c r="AA71" s="146">
        <f t="shared" si="183"/>
        <v>20.999999999999996</v>
      </c>
      <c r="AB71" s="146">
        <f t="shared" si="183"/>
        <v>20.999999999999996</v>
      </c>
      <c r="AC71" s="138">
        <f t="shared" ref="AC71" si="184">((AB71/G71)^(1/($AB$3-$H$1) ))-1</f>
        <v>0.16591938895723857</v>
      </c>
      <c r="AD71" s="31">
        <f t="shared" si="17"/>
        <v>0.08</v>
      </c>
      <c r="AE71" s="146">
        <f t="shared" si="140"/>
        <v>161.99999999999994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 t="e">
        <f t="shared" si="185"/>
        <v>#DIV/0!</v>
      </c>
      <c r="G73" s="144">
        <f t="shared" si="185"/>
        <v>11.363636363636363</v>
      </c>
      <c r="H73" s="144">
        <f t="shared" si="185"/>
        <v>10.227272727272727</v>
      </c>
      <c r="I73" s="144">
        <f t="shared" si="185"/>
        <v>15.340909090909092</v>
      </c>
      <c r="J73" s="144">
        <f t="shared" si="185"/>
        <v>24</v>
      </c>
      <c r="K73" s="144">
        <f t="shared" si="185"/>
        <v>37</v>
      </c>
      <c r="L73" s="144">
        <f t="shared" si="185"/>
        <v>56</v>
      </c>
      <c r="M73" s="144">
        <f t="shared" si="185"/>
        <v>61</v>
      </c>
      <c r="N73" s="144">
        <f t="shared" si="185"/>
        <v>65</v>
      </c>
      <c r="O73" s="144">
        <f t="shared" si="185"/>
        <v>62</v>
      </c>
      <c r="P73" s="144">
        <f t="shared" si="185"/>
        <v>60</v>
      </c>
      <c r="Q73" s="118">
        <f>((P73/G73)^(1/($H$2-$H$1) ))-1</f>
        <v>0.20307487768982369</v>
      </c>
      <c r="R73" s="128"/>
      <c r="S73" s="144">
        <f t="shared" ref="S73:AB73" si="186">S36/S40</f>
        <v>60</v>
      </c>
      <c r="T73" s="144">
        <f t="shared" si="186"/>
        <v>60</v>
      </c>
      <c r="U73" s="144">
        <f t="shared" si="186"/>
        <v>59.999999999999993</v>
      </c>
      <c r="V73" s="144">
        <f t="shared" si="186"/>
        <v>59.999999999999993</v>
      </c>
      <c r="W73" s="144">
        <f t="shared" si="186"/>
        <v>59.999999999999993</v>
      </c>
      <c r="X73" s="144">
        <f t="shared" si="186"/>
        <v>59.999999999999993</v>
      </c>
      <c r="Y73" s="144">
        <f t="shared" si="186"/>
        <v>59.999999999999993</v>
      </c>
      <c r="Z73" s="144">
        <f t="shared" si="186"/>
        <v>60</v>
      </c>
      <c r="AA73" s="144">
        <f t="shared" si="186"/>
        <v>59.999999999999993</v>
      </c>
      <c r="AB73" s="144">
        <f t="shared" si="186"/>
        <v>60</v>
      </c>
      <c r="AC73" s="138">
        <f t="shared" ref="AC73:AC75" si="187">((AB73/G73)^(1/($AB$3-$H$1) ))-1</f>
        <v>9.1524188744958934E-2</v>
      </c>
      <c r="AD73" s="31">
        <f t="shared" si="17"/>
        <v>0.08</v>
      </c>
      <c r="AE73" s="146">
        <f t="shared" si="140"/>
        <v>462.85714285714289</v>
      </c>
    </row>
    <row r="74" spans="2:31" x14ac:dyDescent="0.2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 t="e">
        <f t="shared" si="188"/>
        <v>#DIV/0!</v>
      </c>
      <c r="G74" s="144">
        <f t="shared" si="188"/>
        <v>12.5</v>
      </c>
      <c r="H74" s="144">
        <f t="shared" si="188"/>
        <v>9.0909090909090917</v>
      </c>
      <c r="I74" s="144">
        <f t="shared" si="188"/>
        <v>13.863636363636363</v>
      </c>
      <c r="J74" s="144">
        <f t="shared" si="188"/>
        <v>10</v>
      </c>
      <c r="K74" s="144">
        <f t="shared" si="188"/>
        <v>28</v>
      </c>
      <c r="L74" s="144">
        <f t="shared" si="188"/>
        <v>39</v>
      </c>
      <c r="M74" s="144">
        <f t="shared" si="188"/>
        <v>53</v>
      </c>
      <c r="N74" s="144">
        <f t="shared" si="188"/>
        <v>48</v>
      </c>
      <c r="O74" s="144">
        <f t="shared" si="188"/>
        <v>54</v>
      </c>
      <c r="P74" s="144">
        <f t="shared" si="188"/>
        <v>58</v>
      </c>
      <c r="Q74" s="118">
        <f>((P74/G74)^(1/($H$2-$H$1) ))-1</f>
        <v>0.18592589853894448</v>
      </c>
      <c r="R74" s="128"/>
      <c r="S74" s="144">
        <f t="shared" ref="S74:AB74" si="189">S38/S40</f>
        <v>58</v>
      </c>
      <c r="T74" s="144">
        <f t="shared" si="189"/>
        <v>58.000000000000007</v>
      </c>
      <c r="U74" s="144">
        <f t="shared" si="189"/>
        <v>58</v>
      </c>
      <c r="V74" s="144">
        <f t="shared" si="189"/>
        <v>58</v>
      </c>
      <c r="W74" s="144">
        <f t="shared" si="189"/>
        <v>58</v>
      </c>
      <c r="X74" s="144">
        <f t="shared" si="189"/>
        <v>58</v>
      </c>
      <c r="Y74" s="144">
        <f t="shared" si="189"/>
        <v>58</v>
      </c>
      <c r="Z74" s="144">
        <f t="shared" si="189"/>
        <v>58.000000000000007</v>
      </c>
      <c r="AA74" s="144">
        <f t="shared" si="189"/>
        <v>58</v>
      </c>
      <c r="AB74" s="144">
        <f t="shared" si="189"/>
        <v>58.000000000000007</v>
      </c>
      <c r="AC74" s="138">
        <f t="shared" si="187"/>
        <v>8.4126333806141096E-2</v>
      </c>
      <c r="AD74" s="31">
        <f t="shared" si="17"/>
        <v>0.08</v>
      </c>
      <c r="AE74" s="146">
        <f t="shared" si="140"/>
        <v>447.4285714285715</v>
      </c>
    </row>
    <row r="75" spans="2:31" x14ac:dyDescent="0.2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 t="e">
        <f t="shared" si="190"/>
        <v>#DIV/0!</v>
      </c>
      <c r="G75" s="144">
        <f t="shared" si="190"/>
        <v>79.545454545454547</v>
      </c>
      <c r="H75" s="144">
        <f t="shared" si="190"/>
        <v>85.227272727272734</v>
      </c>
      <c r="I75" s="144">
        <f t="shared" si="190"/>
        <v>94.318181818181813</v>
      </c>
      <c r="J75" s="144">
        <f t="shared" si="190"/>
        <v>137</v>
      </c>
      <c r="K75" s="144">
        <f t="shared" si="190"/>
        <v>154</v>
      </c>
      <c r="L75" s="144">
        <f t="shared" si="190"/>
        <v>178</v>
      </c>
      <c r="M75" s="144">
        <f t="shared" si="190"/>
        <v>211</v>
      </c>
      <c r="N75" s="144">
        <f t="shared" si="190"/>
        <v>247</v>
      </c>
      <c r="O75" s="144">
        <f t="shared" si="190"/>
        <v>291</v>
      </c>
      <c r="P75" s="144">
        <f t="shared" si="190"/>
        <v>329</v>
      </c>
      <c r="Q75" s="118">
        <f>((P75/G75)^(1/($H$2-$H$1) ))-1</f>
        <v>0.17087072557011851</v>
      </c>
      <c r="R75" s="128"/>
      <c r="S75" s="144">
        <f t="shared" ref="S75:AB75" si="191">S6/S40</f>
        <v>329</v>
      </c>
      <c r="T75" s="144">
        <f t="shared" si="191"/>
        <v>329</v>
      </c>
      <c r="U75" s="144">
        <f t="shared" si="191"/>
        <v>329</v>
      </c>
      <c r="V75" s="144">
        <f t="shared" si="191"/>
        <v>329</v>
      </c>
      <c r="W75" s="144">
        <f t="shared" si="191"/>
        <v>329.00000000000006</v>
      </c>
      <c r="X75" s="144">
        <f t="shared" si="191"/>
        <v>329</v>
      </c>
      <c r="Y75" s="144">
        <f t="shared" si="191"/>
        <v>329.00000000000006</v>
      </c>
      <c r="Z75" s="144">
        <f t="shared" si="191"/>
        <v>329.00000000000006</v>
      </c>
      <c r="AA75" s="144">
        <f t="shared" si="191"/>
        <v>329</v>
      </c>
      <c r="AB75" s="144">
        <f t="shared" si="191"/>
        <v>329.00000000000006</v>
      </c>
      <c r="AC75" s="138">
        <f t="shared" si="187"/>
        <v>7.7585172384986967E-2</v>
      </c>
      <c r="AD75" s="31">
        <f t="shared" ref="AD75" si="192">$L$1</f>
        <v>0.08</v>
      </c>
      <c r="AE75" s="146">
        <f t="shared" si="140"/>
        <v>2538.0000000000005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310</v>
      </c>
      <c r="C79" s="152"/>
      <c r="D79" s="152"/>
      <c r="E79" s="152" t="e">
        <f t="shared" ref="E79:P79" si="193">E36/E25</f>
        <v>#DIV/0!</v>
      </c>
      <c r="F79" s="152" t="e">
        <f t="shared" si="193"/>
        <v>#DIV/0!</v>
      </c>
      <c r="G79" s="152">
        <f t="shared" si="193"/>
        <v>0.25641025641025639</v>
      </c>
      <c r="H79" s="152">
        <f t="shared" si="193"/>
        <v>0.21951219512195122</v>
      </c>
      <c r="I79" s="152">
        <f t="shared" si="193"/>
        <v>0.35526315789473684</v>
      </c>
      <c r="J79" s="152">
        <f t="shared" si="193"/>
        <v>0.31578947368421051</v>
      </c>
      <c r="K79" s="152">
        <f t="shared" si="193"/>
        <v>0.34579439252336447</v>
      </c>
      <c r="L79" s="152">
        <f t="shared" si="193"/>
        <v>0.4</v>
      </c>
      <c r="M79" s="152">
        <f t="shared" si="193"/>
        <v>0.32972972972972975</v>
      </c>
      <c r="N79" s="152">
        <f t="shared" si="193"/>
        <v>0.3155339805825243</v>
      </c>
      <c r="O79" s="152">
        <f t="shared" si="193"/>
        <v>0.27192982456140352</v>
      </c>
      <c r="P79" s="152">
        <f t="shared" si="193"/>
        <v>0.22388059701492538</v>
      </c>
      <c r="Q79" s="118">
        <f t="shared" ref="Q79:Q122" si="194">((P79/G79)^(1/($H$2-$H$1) ))-1</f>
        <v>-1.4960941224474889E-2</v>
      </c>
      <c r="R79" s="152"/>
      <c r="S79" s="152">
        <f t="shared" ref="S79:AB79" si="195">S36/S25</f>
        <v>0.22388059701492535</v>
      </c>
      <c r="T79" s="152">
        <f t="shared" si="195"/>
        <v>0.22388059701492538</v>
      </c>
      <c r="U79" s="152">
        <f t="shared" si="195"/>
        <v>0.22388059701492538</v>
      </c>
      <c r="V79" s="152">
        <f t="shared" si="195"/>
        <v>0.22388059701492538</v>
      </c>
      <c r="W79" s="152">
        <f t="shared" si="195"/>
        <v>0.22388059701492538</v>
      </c>
      <c r="X79" s="152">
        <f t="shared" si="195"/>
        <v>0.22388059701492538</v>
      </c>
      <c r="Y79" s="152">
        <f t="shared" si="195"/>
        <v>0.22388059701492541</v>
      </c>
      <c r="Z79" s="152">
        <f t="shared" si="195"/>
        <v>0.22388059701492541</v>
      </c>
      <c r="AA79" s="152">
        <f t="shared" si="195"/>
        <v>0.22388059701492538</v>
      </c>
      <c r="AB79" s="152">
        <f t="shared" si="195"/>
        <v>0.22388059701492541</v>
      </c>
      <c r="AC79" s="138">
        <f t="shared" ref="AC79:AC109" si="196">((AB79/G79)^(1/($AB$3-$H$1) ))-1</f>
        <v>-7.1148772536011595E-3</v>
      </c>
      <c r="AD79" s="146"/>
      <c r="AE79" s="146"/>
    </row>
    <row r="80" spans="2:31" x14ac:dyDescent="0.2">
      <c r="B80" s="20" t="s">
        <v>267</v>
      </c>
      <c r="C80" s="152"/>
      <c r="D80" s="152"/>
      <c r="E80" s="152" t="e">
        <f t="shared" ref="E80:P80" si="197">E38/E25</f>
        <v>#DIV/0!</v>
      </c>
      <c r="F80" s="152" t="e">
        <f t="shared" si="197"/>
        <v>#DIV/0!</v>
      </c>
      <c r="G80" s="152">
        <f t="shared" si="197"/>
        <v>0.28205128205128205</v>
      </c>
      <c r="H80" s="152">
        <f t="shared" si="197"/>
        <v>0.1951219512195122</v>
      </c>
      <c r="I80" s="152">
        <f t="shared" si="197"/>
        <v>0.32105263157894737</v>
      </c>
      <c r="J80" s="152">
        <f t="shared" si="197"/>
        <v>0.13157894736842105</v>
      </c>
      <c r="K80" s="152">
        <f t="shared" si="197"/>
        <v>0.26168224299065418</v>
      </c>
      <c r="L80" s="152">
        <f t="shared" si="197"/>
        <v>0.27857142857142858</v>
      </c>
      <c r="M80" s="152">
        <f t="shared" si="197"/>
        <v>0.2864864864864865</v>
      </c>
      <c r="N80" s="152">
        <f t="shared" si="197"/>
        <v>0.23300970873786409</v>
      </c>
      <c r="O80" s="152">
        <f t="shared" si="197"/>
        <v>0.23684210526315788</v>
      </c>
      <c r="P80" s="152">
        <f t="shared" si="197"/>
        <v>0.21641791044776118</v>
      </c>
      <c r="Q80" s="118">
        <f t="shared" si="194"/>
        <v>-2.9001974409525122E-2</v>
      </c>
      <c r="R80" s="152"/>
      <c r="S80" s="152">
        <f t="shared" ref="S80:AB80" si="198">S38/S25</f>
        <v>0.21641791044776121</v>
      </c>
      <c r="T80" s="152">
        <f t="shared" si="198"/>
        <v>0.21641791044776121</v>
      </c>
      <c r="U80" s="152">
        <f t="shared" si="198"/>
        <v>0.21641791044776121</v>
      </c>
      <c r="V80" s="152">
        <f t="shared" si="198"/>
        <v>0.21641791044776121</v>
      </c>
      <c r="W80" s="152">
        <f t="shared" si="198"/>
        <v>0.21641791044776121</v>
      </c>
      <c r="X80" s="152">
        <f t="shared" si="198"/>
        <v>0.21641791044776121</v>
      </c>
      <c r="Y80" s="152">
        <f t="shared" si="198"/>
        <v>0.21641791044776126</v>
      </c>
      <c r="Z80" s="152">
        <f t="shared" si="198"/>
        <v>0.21641791044776126</v>
      </c>
      <c r="AA80" s="152">
        <f t="shared" si="198"/>
        <v>0.21641791044776124</v>
      </c>
      <c r="AB80" s="152">
        <f t="shared" si="198"/>
        <v>0.21641791044776124</v>
      </c>
      <c r="AC80" s="138">
        <f t="shared" si="196"/>
        <v>-1.3844201426832403E-2</v>
      </c>
      <c r="AD80" s="146"/>
      <c r="AE80" s="146"/>
    </row>
    <row r="81" spans="2:31" x14ac:dyDescent="0.2">
      <c r="B81" s="20" t="s">
        <v>360</v>
      </c>
      <c r="C81" s="152"/>
      <c r="D81" s="152"/>
      <c r="E81" s="152" t="e">
        <f t="shared" ref="E81:O81" si="199">E38/E7</f>
        <v>#DIV/0!</v>
      </c>
      <c r="F81" s="152" t="e">
        <f t="shared" si="199"/>
        <v>#DIV/0!</v>
      </c>
      <c r="G81" s="152">
        <f>G38/G7</f>
        <v>0.13924050632911392</v>
      </c>
      <c r="H81" s="152">
        <f t="shared" si="199"/>
        <v>9.5238095238095233E-2</v>
      </c>
      <c r="I81" s="152">
        <f t="shared" si="199"/>
        <v>0.1326086956521739</v>
      </c>
      <c r="J81" s="152">
        <f t="shared" si="199"/>
        <v>6.8027210884353748E-2</v>
      </c>
      <c r="K81" s="152">
        <f t="shared" si="199"/>
        <v>0.17073170731707318</v>
      </c>
      <c r="L81" s="152">
        <f t="shared" si="199"/>
        <v>0.20744680851063829</v>
      </c>
      <c r="M81" s="152">
        <f t="shared" si="199"/>
        <v>0.23981900452488689</v>
      </c>
      <c r="N81" s="152">
        <f t="shared" si="199"/>
        <v>0.1867704280155642</v>
      </c>
      <c r="O81" s="152">
        <f t="shared" si="199"/>
        <v>0.17880794701986755</v>
      </c>
      <c r="P81" s="152">
        <f t="shared" ref="P81" si="200">P38/P7</f>
        <v>0.17109144542772861</v>
      </c>
      <c r="Q81" s="118">
        <f t="shared" si="194"/>
        <v>2.3152336053552824E-2</v>
      </c>
      <c r="R81" s="20"/>
      <c r="S81" s="152">
        <f t="shared" ref="S81" si="201">S38/S7</f>
        <v>0.17109144542772861</v>
      </c>
      <c r="T81" s="152">
        <f t="shared" ref="T81:AB81" si="202">T38/T7</f>
        <v>0.17109144542772861</v>
      </c>
      <c r="U81" s="152">
        <f t="shared" si="202"/>
        <v>0.17109144542772858</v>
      </c>
      <c r="V81" s="152">
        <f t="shared" si="202"/>
        <v>0.17109144542772861</v>
      </c>
      <c r="W81" s="152">
        <f t="shared" si="202"/>
        <v>0.17109144542772861</v>
      </c>
      <c r="X81" s="152">
        <f t="shared" si="202"/>
        <v>0.17109144542772861</v>
      </c>
      <c r="Y81" s="152">
        <f t="shared" si="202"/>
        <v>0.17109144542772864</v>
      </c>
      <c r="Z81" s="152">
        <f t="shared" si="202"/>
        <v>0.17109144542772864</v>
      </c>
      <c r="AA81" s="152">
        <f t="shared" si="202"/>
        <v>0.17109144542772864</v>
      </c>
      <c r="AB81" s="152">
        <f t="shared" si="202"/>
        <v>0.17109144542772864</v>
      </c>
      <c r="AC81" s="138">
        <f t="shared" si="196"/>
        <v>1.0900853543400313E-2</v>
      </c>
      <c r="AD81" s="146"/>
      <c r="AE81" s="146"/>
    </row>
    <row r="82" spans="2:31" x14ac:dyDescent="0.2">
      <c r="B82" s="20" t="s">
        <v>361</v>
      </c>
      <c r="C82" s="152"/>
      <c r="D82" s="152"/>
      <c r="E82" s="152" t="e">
        <f t="shared" ref="E82:F82" si="203">(E38)/(E7+E10)</f>
        <v>#DIV/0!</v>
      </c>
      <c r="F82" s="152" t="e">
        <f t="shared" si="203"/>
        <v>#DIV/0!</v>
      </c>
      <c r="G82" s="152">
        <f>(G38)/(G7+G10)</f>
        <v>0.13924050632911392</v>
      </c>
      <c r="H82" s="152">
        <f t="shared" ref="H82:O82" si="204">(H38)/(H7+H10)</f>
        <v>9.5238095238095233E-2</v>
      </c>
      <c r="I82" s="152">
        <f t="shared" si="204"/>
        <v>0.1326086956521739</v>
      </c>
      <c r="J82" s="152">
        <f t="shared" si="204"/>
        <v>6.8027210884353748E-2</v>
      </c>
      <c r="K82" s="152">
        <f t="shared" si="204"/>
        <v>0.17073170731707318</v>
      </c>
      <c r="L82" s="152">
        <f t="shared" si="204"/>
        <v>0.20744680851063829</v>
      </c>
      <c r="M82" s="152">
        <f t="shared" si="204"/>
        <v>0.23981900452488689</v>
      </c>
      <c r="N82" s="152">
        <f t="shared" si="204"/>
        <v>0.1867704280155642</v>
      </c>
      <c r="O82" s="152">
        <f t="shared" si="204"/>
        <v>0.17880794701986755</v>
      </c>
      <c r="P82" s="152">
        <f t="shared" ref="P82" si="205">(P38)/(P7+P10)</f>
        <v>0.17109144542772861</v>
      </c>
      <c r="Q82" s="118">
        <f t="shared" si="194"/>
        <v>2.3152336053552824E-2</v>
      </c>
      <c r="R82" s="20"/>
      <c r="S82" s="152">
        <f t="shared" ref="S82:AB82" si="206">(S38)/(S7+S10)</f>
        <v>0.17109144542772861</v>
      </c>
      <c r="T82" s="152">
        <f t="shared" si="206"/>
        <v>0.17109144542772861</v>
      </c>
      <c r="U82" s="152">
        <f t="shared" si="206"/>
        <v>0.17109144542772858</v>
      </c>
      <c r="V82" s="152">
        <f t="shared" si="206"/>
        <v>0.17109144542772861</v>
      </c>
      <c r="W82" s="152">
        <f t="shared" si="206"/>
        <v>0.17109144542772861</v>
      </c>
      <c r="X82" s="152">
        <f t="shared" si="206"/>
        <v>0.17109144542772861</v>
      </c>
      <c r="Y82" s="152">
        <f t="shared" si="206"/>
        <v>0.17109144542772864</v>
      </c>
      <c r="Z82" s="152">
        <f t="shared" si="206"/>
        <v>0.17109144542772864</v>
      </c>
      <c r="AA82" s="152">
        <f t="shared" si="206"/>
        <v>0.17109144542772864</v>
      </c>
      <c r="AB82" s="152">
        <f t="shared" si="206"/>
        <v>0.17109144542772864</v>
      </c>
      <c r="AC82" s="138">
        <f t="shared" si="196"/>
        <v>1.0900853543400313E-2</v>
      </c>
      <c r="AD82" s="146"/>
      <c r="AE82" s="146"/>
    </row>
    <row r="83" spans="2:31" x14ac:dyDescent="0.2">
      <c r="B83" s="20" t="s">
        <v>377</v>
      </c>
      <c r="C83" s="152"/>
      <c r="D83" s="152"/>
      <c r="E83" s="152"/>
      <c r="F83" s="152"/>
      <c r="G83" s="152">
        <f>G20/G25</f>
        <v>2.564102564102564E-2</v>
      </c>
      <c r="H83" s="152">
        <f t="shared" ref="H83:P83" si="207">H20/H25</f>
        <v>0</v>
      </c>
      <c r="I83" s="152">
        <f t="shared" si="207"/>
        <v>0.34210526315789475</v>
      </c>
      <c r="J83" s="152">
        <f t="shared" si="207"/>
        <v>0.15789473684210525</v>
      </c>
      <c r="K83" s="152">
        <f t="shared" si="207"/>
        <v>0.28037383177570091</v>
      </c>
      <c r="L83" s="152">
        <f t="shared" si="207"/>
        <v>0.25714285714285712</v>
      </c>
      <c r="M83" s="152">
        <f t="shared" si="207"/>
        <v>0.22702702702702704</v>
      </c>
      <c r="N83" s="152">
        <f t="shared" si="207"/>
        <v>0.20388349514563106</v>
      </c>
      <c r="O83" s="152">
        <f t="shared" si="207"/>
        <v>0.17105263157894737</v>
      </c>
      <c r="P83" s="152">
        <f t="shared" si="207"/>
        <v>0.15298507462686567</v>
      </c>
      <c r="Q83" s="118">
        <f t="shared" si="194"/>
        <v>0.21952415775630851</v>
      </c>
      <c r="R83" s="20"/>
      <c r="S83" s="152">
        <f t="shared" ref="S83:AB83" si="208">S20/S25</f>
        <v>0.15298507462686567</v>
      </c>
      <c r="T83" s="152">
        <f t="shared" si="208"/>
        <v>0.15298507462686567</v>
      </c>
      <c r="U83" s="152">
        <f t="shared" si="208"/>
        <v>0.15298507462686567</v>
      </c>
      <c r="V83" s="152">
        <f t="shared" si="208"/>
        <v>0.15298507462686567</v>
      </c>
      <c r="W83" s="152">
        <f t="shared" si="208"/>
        <v>0.15298507462686567</v>
      </c>
      <c r="X83" s="152">
        <f t="shared" si="208"/>
        <v>0.15298507462686567</v>
      </c>
      <c r="Y83" s="152">
        <f t="shared" si="208"/>
        <v>0.1529850746268657</v>
      </c>
      <c r="Z83" s="152">
        <f t="shared" si="208"/>
        <v>0.15298507462686567</v>
      </c>
      <c r="AA83" s="152">
        <f t="shared" si="208"/>
        <v>0.15298507462686567</v>
      </c>
      <c r="AB83" s="152">
        <f t="shared" si="208"/>
        <v>0.15298507462686567</v>
      </c>
      <c r="AC83" s="138">
        <f t="shared" si="196"/>
        <v>9.856822985643765E-2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324</v>
      </c>
      <c r="C85" s="152"/>
      <c r="D85" s="152"/>
      <c r="E85" s="152"/>
      <c r="F85" s="152"/>
      <c r="G85" s="152">
        <f>G29/G25</f>
        <v>0</v>
      </c>
      <c r="H85" s="152">
        <f t="shared" ref="H85:P85" si="209">H29/H25</f>
        <v>0</v>
      </c>
      <c r="I85" s="152">
        <f t="shared" si="209"/>
        <v>0</v>
      </c>
      <c r="J85" s="152">
        <f t="shared" si="209"/>
        <v>0</v>
      </c>
      <c r="K85" s="152">
        <f t="shared" si="209"/>
        <v>0</v>
      </c>
      <c r="L85" s="152">
        <f t="shared" si="209"/>
        <v>0</v>
      </c>
      <c r="M85" s="152">
        <f t="shared" si="209"/>
        <v>0</v>
      </c>
      <c r="N85" s="152">
        <f t="shared" si="209"/>
        <v>0</v>
      </c>
      <c r="O85" s="152">
        <f t="shared" si="209"/>
        <v>0</v>
      </c>
      <c r="P85" s="152">
        <f t="shared" si="209"/>
        <v>0</v>
      </c>
      <c r="Q85" s="118" t="e">
        <f t="shared" si="194"/>
        <v>#DIV/0!</v>
      </c>
      <c r="R85" s="20"/>
      <c r="S85" s="152">
        <f t="shared" ref="S85:AB85" si="210">S29/S25</f>
        <v>0</v>
      </c>
      <c r="T85" s="152">
        <f t="shared" si="210"/>
        <v>0</v>
      </c>
      <c r="U85" s="152">
        <f t="shared" si="210"/>
        <v>0</v>
      </c>
      <c r="V85" s="152">
        <f t="shared" si="210"/>
        <v>0</v>
      </c>
      <c r="W85" s="152">
        <f t="shared" si="210"/>
        <v>0</v>
      </c>
      <c r="X85" s="152">
        <f t="shared" si="210"/>
        <v>0</v>
      </c>
      <c r="Y85" s="152">
        <f t="shared" si="210"/>
        <v>0</v>
      </c>
      <c r="Z85" s="152">
        <f t="shared" si="210"/>
        <v>0</v>
      </c>
      <c r="AA85" s="152">
        <f t="shared" si="210"/>
        <v>0</v>
      </c>
      <c r="AB85" s="152">
        <f t="shared" si="210"/>
        <v>0</v>
      </c>
      <c r="AC85" s="138" t="e">
        <f t="shared" si="196"/>
        <v>#DIV/0!</v>
      </c>
      <c r="AD85" s="146"/>
      <c r="AE85" s="146"/>
    </row>
    <row r="86" spans="2:31" x14ac:dyDescent="0.2">
      <c r="B86" s="20" t="s">
        <v>370</v>
      </c>
      <c r="C86" s="152"/>
      <c r="D86" s="152"/>
      <c r="E86" s="152"/>
      <c r="F86" s="152"/>
      <c r="G86" s="152">
        <f>G29/G36</f>
        <v>0</v>
      </c>
      <c r="H86" s="152">
        <f t="shared" ref="H86:P86" si="211">H29/H36</f>
        <v>0</v>
      </c>
      <c r="I86" s="152">
        <f t="shared" si="211"/>
        <v>0</v>
      </c>
      <c r="J86" s="152">
        <f t="shared" si="211"/>
        <v>0</v>
      </c>
      <c r="K86" s="152">
        <f t="shared" si="211"/>
        <v>0</v>
      </c>
      <c r="L86" s="152">
        <f t="shared" si="211"/>
        <v>0</v>
      </c>
      <c r="M86" s="152">
        <f t="shared" si="211"/>
        <v>0</v>
      </c>
      <c r="N86" s="152">
        <f t="shared" si="211"/>
        <v>0</v>
      </c>
      <c r="O86" s="152">
        <f t="shared" si="211"/>
        <v>0</v>
      </c>
      <c r="P86" s="152">
        <f t="shared" si="211"/>
        <v>0</v>
      </c>
      <c r="Q86" s="118" t="e">
        <f t="shared" ref="Q86" si="212">((P86/G86)^(1/($H$2-$H$1) ))-1</f>
        <v>#DIV/0!</v>
      </c>
      <c r="R86" s="20"/>
      <c r="S86" s="152">
        <f t="shared" ref="S86:AB86" si="213">S29/S36</f>
        <v>0</v>
      </c>
      <c r="T86" s="152">
        <f t="shared" si="213"/>
        <v>0</v>
      </c>
      <c r="U86" s="152">
        <f t="shared" si="213"/>
        <v>0</v>
      </c>
      <c r="V86" s="152">
        <f t="shared" si="213"/>
        <v>0</v>
      </c>
      <c r="W86" s="152">
        <f t="shared" si="213"/>
        <v>0</v>
      </c>
      <c r="X86" s="152">
        <f t="shared" si="213"/>
        <v>0</v>
      </c>
      <c r="Y86" s="152">
        <f t="shared" si="213"/>
        <v>0</v>
      </c>
      <c r="Z86" s="152">
        <f t="shared" si="213"/>
        <v>0</v>
      </c>
      <c r="AA86" s="152">
        <f t="shared" si="213"/>
        <v>0</v>
      </c>
      <c r="AB86" s="152">
        <f t="shared" si="213"/>
        <v>0</v>
      </c>
      <c r="AC86" s="138" t="e">
        <f t="shared" ref="AC86" si="214">((AB86/G86)^(1/($AB$3-$H$1) ))-1</f>
        <v>#DIV/0!</v>
      </c>
      <c r="AD86" s="146"/>
      <c r="AE86" s="146"/>
    </row>
    <row r="87" spans="2:31" ht="12" customHeight="1" x14ac:dyDescent="0.2">
      <c r="B87" s="20" t="s">
        <v>369</v>
      </c>
      <c r="C87" s="152"/>
      <c r="D87" s="152"/>
      <c r="E87" s="152"/>
      <c r="F87" s="152"/>
      <c r="G87" s="171">
        <f t="shared" ref="G87:P87" si="215">G29/G38</f>
        <v>0</v>
      </c>
      <c r="H87" s="171">
        <f t="shared" si="215"/>
        <v>0</v>
      </c>
      <c r="I87" s="171">
        <f t="shared" si="215"/>
        <v>0</v>
      </c>
      <c r="J87" s="171">
        <f t="shared" si="215"/>
        <v>0</v>
      </c>
      <c r="K87" s="171">
        <f t="shared" si="215"/>
        <v>0</v>
      </c>
      <c r="L87" s="171">
        <f t="shared" si="215"/>
        <v>0</v>
      </c>
      <c r="M87" s="171">
        <f t="shared" si="215"/>
        <v>0</v>
      </c>
      <c r="N87" s="171">
        <f t="shared" si="215"/>
        <v>0</v>
      </c>
      <c r="O87" s="171">
        <f t="shared" si="215"/>
        <v>0</v>
      </c>
      <c r="P87" s="171">
        <f t="shared" si="215"/>
        <v>0</v>
      </c>
      <c r="Q87" s="118" t="e">
        <f t="shared" ref="Q87" si="216">((P87/G87)^(1/($H$2-$H$1) ))-1</f>
        <v>#DIV/0!</v>
      </c>
      <c r="R87" s="20"/>
      <c r="S87" s="171">
        <f t="shared" ref="S87:AB87" si="217">S29/S38</f>
        <v>0</v>
      </c>
      <c r="T87" s="171">
        <f t="shared" si="217"/>
        <v>0</v>
      </c>
      <c r="U87" s="171">
        <f t="shared" si="217"/>
        <v>0</v>
      </c>
      <c r="V87" s="171">
        <f t="shared" si="217"/>
        <v>0</v>
      </c>
      <c r="W87" s="171">
        <f t="shared" si="217"/>
        <v>0</v>
      </c>
      <c r="X87" s="171">
        <f t="shared" si="217"/>
        <v>0</v>
      </c>
      <c r="Y87" s="171">
        <f t="shared" si="217"/>
        <v>0</v>
      </c>
      <c r="Z87" s="171">
        <f t="shared" si="217"/>
        <v>0</v>
      </c>
      <c r="AA87" s="171">
        <f t="shared" si="217"/>
        <v>0</v>
      </c>
      <c r="AB87" s="171">
        <f t="shared" si="217"/>
        <v>0</v>
      </c>
      <c r="AC87" s="138" t="e">
        <f t="shared" ref="AC87" si="218">((AB87/G87)^(1/($AB$3-$H$1) ))-1</f>
        <v>#DIV/0!</v>
      </c>
      <c r="AD87" s="146"/>
      <c r="AE87" s="146"/>
    </row>
    <row r="88" spans="2:31" ht="12" customHeight="1" x14ac:dyDescent="0.2">
      <c r="B88" s="20" t="s">
        <v>326</v>
      </c>
      <c r="C88" s="152"/>
      <c r="D88" s="152"/>
      <c r="E88" s="152"/>
      <c r="F88" s="152"/>
      <c r="G88" s="171">
        <f t="shared" ref="G88:P88" si="219">G29/G12</f>
        <v>0</v>
      </c>
      <c r="H88" s="171">
        <f t="shared" si="219"/>
        <v>0</v>
      </c>
      <c r="I88" s="171">
        <f t="shared" si="219"/>
        <v>0</v>
      </c>
      <c r="J88" s="171">
        <f t="shared" si="219"/>
        <v>0</v>
      </c>
      <c r="K88" s="171">
        <f t="shared" si="219"/>
        <v>0</v>
      </c>
      <c r="L88" s="171">
        <f t="shared" si="219"/>
        <v>0</v>
      </c>
      <c r="M88" s="171" t="e">
        <f t="shared" si="219"/>
        <v>#VALUE!</v>
      </c>
      <c r="N88" s="171">
        <f t="shared" si="219"/>
        <v>0</v>
      </c>
      <c r="O88" s="171">
        <f t="shared" si="219"/>
        <v>0</v>
      </c>
      <c r="P88" s="171">
        <f t="shared" si="219"/>
        <v>0</v>
      </c>
      <c r="Q88" s="118" t="e">
        <f t="shared" si="194"/>
        <v>#DIV/0!</v>
      </c>
      <c r="R88" s="20"/>
      <c r="S88" s="152">
        <f t="shared" ref="S88:AB88" si="220">S29/S12</f>
        <v>0</v>
      </c>
      <c r="T88" s="152">
        <f t="shared" si="220"/>
        <v>0</v>
      </c>
      <c r="U88" s="152">
        <f t="shared" si="220"/>
        <v>0</v>
      </c>
      <c r="V88" s="152">
        <f t="shared" si="220"/>
        <v>0</v>
      </c>
      <c r="W88" s="152">
        <f t="shared" si="220"/>
        <v>0</v>
      </c>
      <c r="X88" s="152">
        <f t="shared" si="220"/>
        <v>0</v>
      </c>
      <c r="Y88" s="152">
        <f t="shared" si="220"/>
        <v>0</v>
      </c>
      <c r="Z88" s="152">
        <f t="shared" si="220"/>
        <v>0</v>
      </c>
      <c r="AA88" s="152">
        <f t="shared" si="220"/>
        <v>0</v>
      </c>
      <c r="AB88" s="152">
        <f t="shared" si="220"/>
        <v>0</v>
      </c>
      <c r="AC88" s="138" t="e">
        <f t="shared" si="196"/>
        <v>#DIV/0!</v>
      </c>
      <c r="AD88" s="146"/>
      <c r="AE88" s="146"/>
    </row>
    <row r="89" spans="2:31" ht="12" customHeight="1" x14ac:dyDescent="0.2">
      <c r="B89" s="20" t="s">
        <v>371</v>
      </c>
      <c r="C89" s="152"/>
      <c r="D89" s="152"/>
      <c r="E89" s="152"/>
      <c r="F89" s="152"/>
      <c r="G89" s="171">
        <f>G29/G23</f>
        <v>0</v>
      </c>
      <c r="H89" s="171" t="e">
        <f t="shared" ref="H89:P89" si="221">H29/H23</f>
        <v>#DIV/0!</v>
      </c>
      <c r="I89" s="171">
        <f t="shared" si="221"/>
        <v>0</v>
      </c>
      <c r="J89" s="171">
        <f t="shared" si="221"/>
        <v>0</v>
      </c>
      <c r="K89" s="171">
        <f t="shared" si="221"/>
        <v>0</v>
      </c>
      <c r="L89" s="171">
        <f t="shared" si="221"/>
        <v>0</v>
      </c>
      <c r="M89" s="171">
        <f t="shared" si="221"/>
        <v>0</v>
      </c>
      <c r="N89" s="171">
        <f t="shared" si="221"/>
        <v>0</v>
      </c>
      <c r="O89" s="171">
        <f t="shared" si="221"/>
        <v>0</v>
      </c>
      <c r="P89" s="171">
        <f t="shared" si="221"/>
        <v>0</v>
      </c>
      <c r="Q89" s="118" t="e">
        <f t="shared" ref="Q89" si="222">((P89/G89)^(1/($H$2-$H$1) ))-1</f>
        <v>#DIV/0!</v>
      </c>
      <c r="R89" s="20"/>
      <c r="S89" s="171">
        <f t="shared" ref="S89:AB89" si="223">S29/S23</f>
        <v>0</v>
      </c>
      <c r="T89" s="171">
        <f t="shared" si="223"/>
        <v>0</v>
      </c>
      <c r="U89" s="171">
        <f t="shared" si="223"/>
        <v>0</v>
      </c>
      <c r="V89" s="171">
        <f t="shared" si="223"/>
        <v>0</v>
      </c>
      <c r="W89" s="171">
        <f t="shared" si="223"/>
        <v>0</v>
      </c>
      <c r="X89" s="171">
        <f t="shared" si="223"/>
        <v>0</v>
      </c>
      <c r="Y89" s="171">
        <f t="shared" si="223"/>
        <v>0</v>
      </c>
      <c r="Z89" s="171">
        <f t="shared" si="223"/>
        <v>0</v>
      </c>
      <c r="AA89" s="171">
        <f t="shared" si="223"/>
        <v>0</v>
      </c>
      <c r="AB89" s="171">
        <f t="shared" si="223"/>
        <v>0</v>
      </c>
      <c r="AC89" s="138" t="e">
        <f t="shared" ref="AC89" si="224">((AB89/G89)^(1/($AB$3-$H$1) ))-1</f>
        <v>#DIV/0!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327</v>
      </c>
      <c r="C91" s="152"/>
      <c r="D91" s="152"/>
      <c r="E91" s="152"/>
      <c r="F91" s="163">
        <f t="shared" ref="F91:O91" si="225">F10-(F12+F13)</f>
        <v>0</v>
      </c>
      <c r="G91" s="163">
        <f t="shared" si="225"/>
        <v>-68</v>
      </c>
      <c r="H91" s="163">
        <f t="shared" si="225"/>
        <v>-64</v>
      </c>
      <c r="I91" s="163">
        <f t="shared" si="225"/>
        <v>-72</v>
      </c>
      <c r="J91" s="163">
        <f t="shared" si="225"/>
        <v>-2894</v>
      </c>
      <c r="K91" s="163">
        <f t="shared" si="225"/>
        <v>-115</v>
      </c>
      <c r="L91" s="163">
        <f t="shared" si="225"/>
        <v>-142</v>
      </c>
      <c r="M91" s="163" t="e">
        <f t="shared" si="225"/>
        <v>#VALUE!</v>
      </c>
      <c r="N91" s="163">
        <f t="shared" si="225"/>
        <v>-233</v>
      </c>
      <c r="O91" s="163">
        <f t="shared" si="225"/>
        <v>-277</v>
      </c>
      <c r="P91" s="163">
        <f>P10-(P12+P13)</f>
        <v>-276</v>
      </c>
      <c r="Q91" s="118">
        <f t="shared" si="194"/>
        <v>0.16842278879424222</v>
      </c>
      <c r="R91" s="20"/>
      <c r="S91" s="163">
        <f>S10-(S12+S13)</f>
        <v>-309.12</v>
      </c>
      <c r="T91" s="163">
        <f t="shared" ref="T91:AB91" si="226">T10-(T12+T13)</f>
        <v>-346.21440000000007</v>
      </c>
      <c r="U91" s="163">
        <f t="shared" si="226"/>
        <v>-387.76012800000012</v>
      </c>
      <c r="V91" s="163">
        <f t="shared" si="226"/>
        <v>-434.29134336000016</v>
      </c>
      <c r="W91" s="163">
        <f t="shared" si="226"/>
        <v>-486.40630456320025</v>
      </c>
      <c r="X91" s="163">
        <f t="shared" si="226"/>
        <v>-544.77506111078435</v>
      </c>
      <c r="Y91" s="163">
        <f t="shared" si="226"/>
        <v>-610.14806844407849</v>
      </c>
      <c r="Z91" s="163">
        <f t="shared" si="226"/>
        <v>-683.36583665736805</v>
      </c>
      <c r="AA91" s="163">
        <f t="shared" si="226"/>
        <v>-765.36973705625223</v>
      </c>
      <c r="AB91" s="163">
        <f t="shared" si="226"/>
        <v>-857.21410550300266</v>
      </c>
      <c r="AC91" s="138">
        <f t="shared" si="196"/>
        <v>0.14268173098146275</v>
      </c>
      <c r="AD91" s="146"/>
      <c r="AE91" s="146"/>
    </row>
    <row r="92" spans="2:31" ht="12" customHeight="1" x14ac:dyDescent="0.2">
      <c r="B92" s="20" t="s">
        <v>322</v>
      </c>
      <c r="C92" s="20"/>
      <c r="D92" s="20"/>
      <c r="E92" s="20"/>
      <c r="F92" s="20"/>
      <c r="G92" s="152">
        <f t="shared" ref="G92:P92" si="227">G38/G18</f>
        <v>0.16923076923076924</v>
      </c>
      <c r="H92" s="152">
        <f t="shared" si="227"/>
        <v>0.13333333333333333</v>
      </c>
      <c r="I92" s="152">
        <f t="shared" si="227"/>
        <v>0.17941176470588235</v>
      </c>
      <c r="J92" s="152">
        <f t="shared" si="227"/>
        <v>0.37037037037037035</v>
      </c>
      <c r="K92" s="152">
        <f t="shared" si="227"/>
        <v>1</v>
      </c>
      <c r="L92" s="152">
        <f t="shared" si="227"/>
        <v>1.3448275862068966</v>
      </c>
      <c r="M92" s="152">
        <f t="shared" si="227"/>
        <v>1.5588235294117647</v>
      </c>
      <c r="N92" s="152">
        <f t="shared" si="227"/>
        <v>1.4545454545454546</v>
      </c>
      <c r="O92" s="152">
        <f t="shared" si="227"/>
        <v>1.588235294117647</v>
      </c>
      <c r="P92" s="152">
        <f t="shared" si="227"/>
        <v>0.89230769230769236</v>
      </c>
      <c r="Q92" s="118">
        <f t="shared" si="194"/>
        <v>0.20289063954804742</v>
      </c>
      <c r="R92" s="20"/>
      <c r="S92" s="152">
        <f t="shared" ref="S92:AB92" si="228">S38/S18</f>
        <v>0.89230769230769225</v>
      </c>
      <c r="T92" s="152">
        <f t="shared" si="228"/>
        <v>0.89230769230769236</v>
      </c>
      <c r="U92" s="152">
        <f t="shared" si="228"/>
        <v>0.89230769230769236</v>
      </c>
      <c r="V92" s="152">
        <f t="shared" si="228"/>
        <v>0.89230769230769236</v>
      </c>
      <c r="W92" s="152">
        <f t="shared" si="228"/>
        <v>0.89230769230769236</v>
      </c>
      <c r="X92" s="152">
        <f t="shared" si="228"/>
        <v>0.89230769230769247</v>
      </c>
      <c r="Y92" s="152">
        <f t="shared" si="228"/>
        <v>0.89230769230769258</v>
      </c>
      <c r="Z92" s="152">
        <f t="shared" si="228"/>
        <v>0.89230769230769258</v>
      </c>
      <c r="AA92" s="152">
        <f t="shared" si="228"/>
        <v>0.89230769230769247</v>
      </c>
      <c r="AB92" s="152">
        <f t="shared" si="228"/>
        <v>0.89230769230769258</v>
      </c>
      <c r="AC92" s="138">
        <f t="shared" si="196"/>
        <v>9.1445006709335086E-2</v>
      </c>
      <c r="AD92" s="20"/>
      <c r="AE92" s="20"/>
    </row>
    <row r="93" spans="2:31" x14ac:dyDescent="0.2">
      <c r="B93" s="20" t="s">
        <v>323</v>
      </c>
      <c r="C93" s="20"/>
      <c r="D93" s="20"/>
      <c r="E93" s="20"/>
      <c r="F93" s="20"/>
      <c r="G93" s="152">
        <f t="shared" ref="G93:P93" si="229">G38/G25</f>
        <v>0.28205128205128205</v>
      </c>
      <c r="H93" s="152">
        <f t="shared" si="229"/>
        <v>0.1951219512195122</v>
      </c>
      <c r="I93" s="152">
        <f t="shared" si="229"/>
        <v>0.32105263157894737</v>
      </c>
      <c r="J93" s="152">
        <f t="shared" si="229"/>
        <v>0.13157894736842105</v>
      </c>
      <c r="K93" s="152">
        <f t="shared" si="229"/>
        <v>0.26168224299065418</v>
      </c>
      <c r="L93" s="152">
        <f t="shared" si="229"/>
        <v>0.27857142857142858</v>
      </c>
      <c r="M93" s="152">
        <f t="shared" si="229"/>
        <v>0.2864864864864865</v>
      </c>
      <c r="N93" s="152">
        <f t="shared" si="229"/>
        <v>0.23300970873786409</v>
      </c>
      <c r="O93" s="152">
        <f t="shared" si="229"/>
        <v>0.23684210526315788</v>
      </c>
      <c r="P93" s="152">
        <f t="shared" si="229"/>
        <v>0.21641791044776118</v>
      </c>
      <c r="Q93" s="118">
        <f t="shared" si="194"/>
        <v>-2.9001974409525122E-2</v>
      </c>
      <c r="R93" s="20"/>
      <c r="S93" s="152">
        <f t="shared" ref="S93:AB93" si="230">S38/S25</f>
        <v>0.21641791044776121</v>
      </c>
      <c r="T93" s="152">
        <f t="shared" si="230"/>
        <v>0.21641791044776121</v>
      </c>
      <c r="U93" s="152">
        <f t="shared" si="230"/>
        <v>0.21641791044776121</v>
      </c>
      <c r="V93" s="152">
        <f t="shared" si="230"/>
        <v>0.21641791044776121</v>
      </c>
      <c r="W93" s="152">
        <f t="shared" si="230"/>
        <v>0.21641791044776121</v>
      </c>
      <c r="X93" s="152">
        <f t="shared" si="230"/>
        <v>0.21641791044776121</v>
      </c>
      <c r="Y93" s="152">
        <f t="shared" si="230"/>
        <v>0.21641791044776126</v>
      </c>
      <c r="Z93" s="152">
        <f t="shared" si="230"/>
        <v>0.21641791044776126</v>
      </c>
      <c r="AA93" s="152">
        <f t="shared" si="230"/>
        <v>0.21641791044776124</v>
      </c>
      <c r="AB93" s="152">
        <f t="shared" si="230"/>
        <v>0.21641791044776124</v>
      </c>
      <c r="AC93" s="138">
        <f t="shared" si="196"/>
        <v>-1.3844201426832403E-2</v>
      </c>
      <c r="AD93" s="20"/>
      <c r="AE93" s="20"/>
    </row>
    <row r="94" spans="2:31" x14ac:dyDescent="0.2">
      <c r="B94" s="20" t="s">
        <v>349</v>
      </c>
      <c r="C94" s="20"/>
      <c r="D94" s="20"/>
      <c r="E94" s="152"/>
      <c r="F94" s="152"/>
      <c r="G94" s="152">
        <f t="shared" ref="G94:O94" si="231">G25/G18</f>
        <v>0.6</v>
      </c>
      <c r="H94" s="152">
        <f t="shared" si="231"/>
        <v>0.68333333333333335</v>
      </c>
      <c r="I94" s="152">
        <f t="shared" si="231"/>
        <v>0.55882352941176472</v>
      </c>
      <c r="J94" s="152">
        <f t="shared" si="231"/>
        <v>2.8148148148148149</v>
      </c>
      <c r="K94" s="152">
        <f t="shared" si="231"/>
        <v>3.8214285714285716</v>
      </c>
      <c r="L94" s="152">
        <f t="shared" si="231"/>
        <v>4.8275862068965516</v>
      </c>
      <c r="M94" s="152">
        <f t="shared" si="231"/>
        <v>5.4411764705882355</v>
      </c>
      <c r="N94" s="152">
        <f t="shared" si="231"/>
        <v>6.2424242424242422</v>
      </c>
      <c r="O94" s="152">
        <f t="shared" si="231"/>
        <v>6.7058823529411766</v>
      </c>
      <c r="P94" s="152">
        <f>P25/P18</f>
        <v>4.1230769230769226</v>
      </c>
      <c r="Q94" s="118">
        <f t="shared" si="194"/>
        <v>0.23881883160015294</v>
      </c>
      <c r="R94" s="20"/>
      <c r="S94" s="152">
        <f>S25/S18</f>
        <v>4.1230769230769226</v>
      </c>
      <c r="T94" s="152">
        <f t="shared" ref="T94:AB94" si="232">T25/T18</f>
        <v>4.1230769230769226</v>
      </c>
      <c r="U94" s="152">
        <f t="shared" si="232"/>
        <v>4.1230769230769226</v>
      </c>
      <c r="V94" s="152">
        <f t="shared" si="232"/>
        <v>4.1230769230769226</v>
      </c>
      <c r="W94" s="152">
        <f t="shared" si="232"/>
        <v>4.1230769230769226</v>
      </c>
      <c r="X94" s="152">
        <f t="shared" si="232"/>
        <v>4.1230769230769235</v>
      </c>
      <c r="Y94" s="152">
        <f t="shared" si="232"/>
        <v>4.1230769230769235</v>
      </c>
      <c r="Z94" s="152">
        <f t="shared" si="232"/>
        <v>4.1230769230769235</v>
      </c>
      <c r="AA94" s="152">
        <f t="shared" si="232"/>
        <v>4.1230769230769235</v>
      </c>
      <c r="AB94" s="152">
        <f t="shared" si="232"/>
        <v>4.1230769230769235</v>
      </c>
      <c r="AC94" s="138">
        <f t="shared" si="196"/>
        <v>0.10676731636979331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0</v>
      </c>
      <c r="G96" s="165">
        <f>G63*G40</f>
        <v>4.4000000000000004</v>
      </c>
      <c r="H96" s="165">
        <f t="shared" ref="H96:P96" si="234">H63*H40</f>
        <v>3.08</v>
      </c>
      <c r="I96" s="165">
        <f t="shared" si="234"/>
        <v>3.52</v>
      </c>
      <c r="J96" s="165">
        <f t="shared" si="234"/>
        <v>4.5</v>
      </c>
      <c r="K96" s="165">
        <f t="shared" si="234"/>
        <v>10</v>
      </c>
      <c r="L96" s="165">
        <f t="shared" si="234"/>
        <v>12</v>
      </c>
      <c r="M96" s="165">
        <f t="shared" si="234"/>
        <v>17</v>
      </c>
      <c r="N96" s="165">
        <f t="shared" si="234"/>
        <v>17</v>
      </c>
      <c r="O96" s="165">
        <f t="shared" si="234"/>
        <v>20</v>
      </c>
      <c r="P96" s="165">
        <f t="shared" si="234"/>
        <v>22</v>
      </c>
      <c r="Q96" s="118">
        <f t="shared" si="194"/>
        <v>0.19581317450040192</v>
      </c>
      <c r="R96" s="20"/>
      <c r="S96" s="165">
        <f t="shared" ref="S96:AB96" si="235">S63*S40</f>
        <v>25.872000000000003</v>
      </c>
      <c r="T96" s="165">
        <f t="shared" si="235"/>
        <v>30.425472000000006</v>
      </c>
      <c r="U96" s="165">
        <f t="shared" si="235"/>
        <v>35.780355072000013</v>
      </c>
      <c r="V96" s="165">
        <f t="shared" si="235"/>
        <v>42.077697564672022</v>
      </c>
      <c r="W96" s="165">
        <f t="shared" si="235"/>
        <v>49.483372336054302</v>
      </c>
      <c r="X96" s="165">
        <f t="shared" si="235"/>
        <v>58.192445867199865</v>
      </c>
      <c r="Y96" s="165">
        <f t="shared" si="235"/>
        <v>68.434316339827049</v>
      </c>
      <c r="Z96" s="165">
        <f t="shared" si="235"/>
        <v>80.47875601563662</v>
      </c>
      <c r="AA96" s="165">
        <f t="shared" si="235"/>
        <v>94.643017074388666</v>
      </c>
      <c r="AB96" s="165">
        <f t="shared" si="235"/>
        <v>111.30018807948109</v>
      </c>
      <c r="AC96" s="138">
        <f t="shared" si="196"/>
        <v>0.18534393004303706</v>
      </c>
      <c r="AD96" s="20"/>
      <c r="AE96" s="20"/>
    </row>
    <row r="97" spans="2:31" x14ac:dyDescent="0.2">
      <c r="B97" s="20" t="s">
        <v>336</v>
      </c>
      <c r="C97" s="20"/>
      <c r="D97" s="20"/>
      <c r="E97" s="165">
        <f>(E96*0.17)+E96</f>
        <v>0</v>
      </c>
      <c r="F97" s="165">
        <f>(F96*0.17)+F96</f>
        <v>0</v>
      </c>
      <c r="G97" s="165">
        <f t="shared" ref="G97:P97" si="236">(G96*0.17)+G96</f>
        <v>5.1480000000000006</v>
      </c>
      <c r="H97" s="165">
        <f t="shared" si="236"/>
        <v>3.6036000000000001</v>
      </c>
      <c r="I97" s="165">
        <f t="shared" si="236"/>
        <v>4.1184000000000003</v>
      </c>
      <c r="J97" s="165">
        <f t="shared" si="236"/>
        <v>5.2649999999999997</v>
      </c>
      <c r="K97" s="165">
        <f t="shared" si="236"/>
        <v>11.7</v>
      </c>
      <c r="L97" s="165">
        <f t="shared" si="236"/>
        <v>14.04</v>
      </c>
      <c r="M97" s="165">
        <f t="shared" si="236"/>
        <v>19.89</v>
      </c>
      <c r="N97" s="165">
        <f t="shared" si="236"/>
        <v>19.89</v>
      </c>
      <c r="O97" s="165">
        <f t="shared" si="236"/>
        <v>23.4</v>
      </c>
      <c r="P97" s="165">
        <f t="shared" si="236"/>
        <v>25.740000000000002</v>
      </c>
      <c r="Q97" s="118">
        <f t="shared" si="194"/>
        <v>0.19581317450040192</v>
      </c>
      <c r="R97" s="20"/>
      <c r="S97" s="165">
        <f t="shared" ref="S97:AB97" si="237">(S96*0.17)+S96</f>
        <v>30.270240000000005</v>
      </c>
      <c r="T97" s="165">
        <f t="shared" si="237"/>
        <v>35.597802240000007</v>
      </c>
      <c r="U97" s="165">
        <f t="shared" si="237"/>
        <v>41.863015434240019</v>
      </c>
      <c r="V97" s="165">
        <f t="shared" si="237"/>
        <v>49.230906150666264</v>
      </c>
      <c r="W97" s="165">
        <f t="shared" si="237"/>
        <v>57.895545633183531</v>
      </c>
      <c r="X97" s="165">
        <f t="shared" si="237"/>
        <v>68.08516166462384</v>
      </c>
      <c r="Y97" s="165">
        <f t="shared" si="237"/>
        <v>80.068150117597654</v>
      </c>
      <c r="Z97" s="165">
        <f t="shared" si="237"/>
        <v>94.160144538294844</v>
      </c>
      <c r="AA97" s="165">
        <f t="shared" si="237"/>
        <v>110.73232997703474</v>
      </c>
      <c r="AB97" s="165">
        <f t="shared" si="237"/>
        <v>130.22122005299286</v>
      </c>
      <c r="AC97" s="138">
        <f t="shared" si="196"/>
        <v>0.18534393004303706</v>
      </c>
      <c r="AD97" s="20"/>
      <c r="AE97" s="20"/>
    </row>
    <row r="98" spans="2:31" x14ac:dyDescent="0.2">
      <c r="B98" s="20" t="s">
        <v>337</v>
      </c>
      <c r="C98" s="20"/>
      <c r="D98" s="20"/>
      <c r="E98" s="20"/>
      <c r="F98" s="152" t="e">
        <f t="shared" ref="F98:P98" si="238">F97/F38</f>
        <v>#DIV/0!</v>
      </c>
      <c r="G98" s="152">
        <f t="shared" si="238"/>
        <v>0.46800000000000003</v>
      </c>
      <c r="H98" s="152">
        <f t="shared" si="238"/>
        <v>0.45045000000000002</v>
      </c>
      <c r="I98" s="152">
        <f t="shared" si="238"/>
        <v>0.33757377049180332</v>
      </c>
      <c r="J98" s="152">
        <f t="shared" si="238"/>
        <v>0.52649999999999997</v>
      </c>
      <c r="K98" s="152">
        <f t="shared" si="238"/>
        <v>0.41785714285714282</v>
      </c>
      <c r="L98" s="152">
        <f t="shared" si="238"/>
        <v>0.36</v>
      </c>
      <c r="M98" s="152">
        <f t="shared" si="238"/>
        <v>0.37528301886792453</v>
      </c>
      <c r="N98" s="152">
        <f t="shared" si="238"/>
        <v>0.41437499999999999</v>
      </c>
      <c r="O98" s="152">
        <f t="shared" si="238"/>
        <v>0.43333333333333329</v>
      </c>
      <c r="P98" s="152">
        <f t="shared" si="238"/>
        <v>0.44379310344827588</v>
      </c>
      <c r="Q98" s="118">
        <f t="shared" si="194"/>
        <v>-5.8837144582858381E-3</v>
      </c>
      <c r="R98" s="20"/>
      <c r="S98" s="152">
        <f t="shared" ref="S98:AB98" si="239">S97/S38</f>
        <v>0.46598275862068966</v>
      </c>
      <c r="T98" s="152">
        <f t="shared" si="239"/>
        <v>0.4892818965517241</v>
      </c>
      <c r="U98" s="152">
        <f t="shared" si="239"/>
        <v>0.51374599137931043</v>
      </c>
      <c r="V98" s="152">
        <f t="shared" si="239"/>
        <v>0.53943329094827597</v>
      </c>
      <c r="W98" s="152">
        <f t="shared" si="239"/>
        <v>0.56640495549568981</v>
      </c>
      <c r="X98" s="152">
        <f t="shared" si="239"/>
        <v>0.59472520327047429</v>
      </c>
      <c r="Y98" s="152">
        <f t="shared" si="239"/>
        <v>0.624461463433998</v>
      </c>
      <c r="Z98" s="152">
        <f t="shared" si="239"/>
        <v>0.65568453660569781</v>
      </c>
      <c r="AA98" s="152">
        <f t="shared" si="239"/>
        <v>0.68846876343598262</v>
      </c>
      <c r="AB98" s="152">
        <f t="shared" si="239"/>
        <v>0.72289220160778178</v>
      </c>
      <c r="AC98" s="138">
        <f t="shared" si="196"/>
        <v>2.3147622225482944E-2</v>
      </c>
      <c r="AD98" s="20"/>
      <c r="AE98" s="20"/>
    </row>
    <row r="99" spans="2:31" x14ac:dyDescent="0.2">
      <c r="B99" s="20" t="s">
        <v>330</v>
      </c>
      <c r="C99" s="20"/>
      <c r="D99" s="20"/>
      <c r="E99" s="20"/>
      <c r="F99" s="152" t="e">
        <f>1-F98</f>
        <v>#DIV/0!</v>
      </c>
      <c r="G99" s="152">
        <f>1-G98</f>
        <v>0.53200000000000003</v>
      </c>
      <c r="H99" s="152">
        <f t="shared" ref="H99:P99" si="240">1-H98</f>
        <v>0.54954999999999998</v>
      </c>
      <c r="I99" s="152">
        <f t="shared" si="240"/>
        <v>0.66242622950819663</v>
      </c>
      <c r="J99" s="152">
        <f t="shared" si="240"/>
        <v>0.47350000000000003</v>
      </c>
      <c r="K99" s="152">
        <f t="shared" si="240"/>
        <v>0.58214285714285718</v>
      </c>
      <c r="L99" s="152">
        <f t="shared" si="240"/>
        <v>0.64</v>
      </c>
      <c r="M99" s="152">
        <f t="shared" si="240"/>
        <v>0.62471698113207541</v>
      </c>
      <c r="N99" s="152">
        <f t="shared" si="240"/>
        <v>0.58562500000000006</v>
      </c>
      <c r="O99" s="152">
        <f t="shared" si="240"/>
        <v>0.56666666666666665</v>
      </c>
      <c r="P99" s="152">
        <f t="shared" si="240"/>
        <v>0.55620689655172417</v>
      </c>
      <c r="Q99" s="118">
        <f t="shared" si="194"/>
        <v>4.9563368466030155E-3</v>
      </c>
      <c r="R99" s="20"/>
      <c r="S99" s="152">
        <f t="shared" ref="S99:AB99" si="241">1-S98</f>
        <v>0.53401724137931028</v>
      </c>
      <c r="T99" s="152">
        <f t="shared" si="241"/>
        <v>0.51071810344827595</v>
      </c>
      <c r="U99" s="152">
        <f t="shared" si="241"/>
        <v>0.48625400862068957</v>
      </c>
      <c r="V99" s="152">
        <f t="shared" si="241"/>
        <v>0.46056670905172403</v>
      </c>
      <c r="W99" s="152">
        <f t="shared" si="241"/>
        <v>0.43359504450431019</v>
      </c>
      <c r="X99" s="152">
        <f t="shared" si="241"/>
        <v>0.40527479672952571</v>
      </c>
      <c r="Y99" s="152">
        <f t="shared" si="241"/>
        <v>0.375538536566002</v>
      </c>
      <c r="Z99" s="152">
        <f t="shared" si="241"/>
        <v>0.34431546339430219</v>
      </c>
      <c r="AA99" s="152">
        <f t="shared" si="241"/>
        <v>0.31153123656401738</v>
      </c>
      <c r="AB99" s="152">
        <f t="shared" si="241"/>
        <v>0.27710779839221822</v>
      </c>
      <c r="AC99" s="138">
        <f t="shared" si="196"/>
        <v>-3.3745727764925015E-2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334</v>
      </c>
      <c r="C101" s="152"/>
      <c r="D101" s="152"/>
      <c r="E101" s="152"/>
      <c r="F101" s="152" t="e">
        <f>F31/F25</f>
        <v>#DIV/0!</v>
      </c>
      <c r="G101" s="152">
        <f>G31/G25</f>
        <v>0</v>
      </c>
      <c r="H101" s="152">
        <f t="shared" ref="H101:P101" si="242">H31/H25</f>
        <v>0</v>
      </c>
      <c r="I101" s="152">
        <f t="shared" si="242"/>
        <v>0</v>
      </c>
      <c r="J101" s="152">
        <f t="shared" si="242"/>
        <v>0</v>
      </c>
      <c r="K101" s="152">
        <f t="shared" si="242"/>
        <v>0</v>
      </c>
      <c r="L101" s="152">
        <f t="shared" si="242"/>
        <v>0</v>
      </c>
      <c r="M101" s="152">
        <f t="shared" si="242"/>
        <v>0</v>
      </c>
      <c r="N101" s="152">
        <f t="shared" si="242"/>
        <v>0</v>
      </c>
      <c r="O101" s="152">
        <f t="shared" si="242"/>
        <v>0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 x14ac:dyDescent="0.2">
      <c r="B102" s="20" t="s">
        <v>331</v>
      </c>
      <c r="C102" s="152"/>
      <c r="D102" s="152"/>
      <c r="E102" s="152"/>
      <c r="F102" s="152" t="e">
        <f>F32/F25</f>
        <v>#DIV/0!</v>
      </c>
      <c r="G102" s="152">
        <f>G32/G25</f>
        <v>0</v>
      </c>
      <c r="H102" s="152">
        <f t="shared" ref="H102:P102" si="244">H32/H25</f>
        <v>0</v>
      </c>
      <c r="I102" s="152">
        <f t="shared" si="244"/>
        <v>0</v>
      </c>
      <c r="J102" s="152">
        <f t="shared" si="244"/>
        <v>0</v>
      </c>
      <c r="K102" s="152">
        <f t="shared" si="244"/>
        <v>0</v>
      </c>
      <c r="L102" s="152">
        <f t="shared" si="244"/>
        <v>0</v>
      </c>
      <c r="M102" s="152">
        <f t="shared" si="244"/>
        <v>0</v>
      </c>
      <c r="N102" s="152">
        <f t="shared" si="244"/>
        <v>0</v>
      </c>
      <c r="O102" s="152">
        <f t="shared" si="244"/>
        <v>0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 x14ac:dyDescent="0.2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 x14ac:dyDescent="0.2">
      <c r="B104" s="20" t="s">
        <v>355</v>
      </c>
      <c r="C104" s="20"/>
      <c r="D104" s="20"/>
      <c r="E104" s="20"/>
      <c r="F104" s="20"/>
      <c r="G104" s="152">
        <f>G27/G25</f>
        <v>0.58974358974358976</v>
      </c>
      <c r="H104" s="152">
        <f t="shared" ref="H104:P104" si="246">H27/H25</f>
        <v>0.68292682926829273</v>
      </c>
      <c r="I104" s="152">
        <f t="shared" si="246"/>
        <v>0.52631578947368418</v>
      </c>
      <c r="J104" s="152">
        <f t="shared" si="246"/>
        <v>0.60526315789473684</v>
      </c>
      <c r="K104" s="152">
        <f t="shared" si="246"/>
        <v>0.57943925233644855</v>
      </c>
      <c r="L104" s="152">
        <f t="shared" si="246"/>
        <v>0.5714285714285714</v>
      </c>
      <c r="M104" s="152">
        <f t="shared" si="246"/>
        <v>0.54594594594594592</v>
      </c>
      <c r="N104" s="152">
        <f t="shared" si="246"/>
        <v>0.61650485436893199</v>
      </c>
      <c r="O104" s="152">
        <f t="shared" si="246"/>
        <v>0.63596491228070173</v>
      </c>
      <c r="P104" s="152">
        <f t="shared" si="246"/>
        <v>0.71268656716417911</v>
      </c>
      <c r="Q104" s="118">
        <f t="shared" si="194"/>
        <v>2.1262206621172286E-2</v>
      </c>
      <c r="R104" s="20"/>
      <c r="S104" s="152">
        <f t="shared" ref="S104:AB104" si="247">S27/S25</f>
        <v>0.71268656716417911</v>
      </c>
      <c r="T104" s="152">
        <f t="shared" si="247"/>
        <v>0.71268656716417911</v>
      </c>
      <c r="U104" s="152">
        <f t="shared" si="247"/>
        <v>0.71268656716417911</v>
      </c>
      <c r="V104" s="152">
        <f t="shared" si="247"/>
        <v>0.71268656716417911</v>
      </c>
      <c r="W104" s="152">
        <f t="shared" si="247"/>
        <v>0.71268656716417911</v>
      </c>
      <c r="X104" s="152">
        <f t="shared" si="247"/>
        <v>0.71268656716417911</v>
      </c>
      <c r="Y104" s="152">
        <f t="shared" si="247"/>
        <v>0.71268656716417922</v>
      </c>
      <c r="Z104" s="152">
        <f t="shared" si="247"/>
        <v>0.71268656716417911</v>
      </c>
      <c r="AA104" s="152">
        <f t="shared" si="247"/>
        <v>0.712686567164179</v>
      </c>
      <c r="AB104" s="152">
        <f t="shared" si="247"/>
        <v>0.712686567164179</v>
      </c>
      <c r="AC104" s="138">
        <f t="shared" si="196"/>
        <v>1.0015819462905196E-2</v>
      </c>
      <c r="AD104" s="20"/>
      <c r="AE104" s="20"/>
    </row>
    <row r="105" spans="2:31" x14ac:dyDescent="0.2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</v>
      </c>
      <c r="H105" s="152">
        <f t="shared" ref="H105:P105" si="248">H33/H25</f>
        <v>0</v>
      </c>
      <c r="I105" s="152">
        <f t="shared" si="248"/>
        <v>0</v>
      </c>
      <c r="J105" s="152">
        <f t="shared" si="248"/>
        <v>0</v>
      </c>
      <c r="K105" s="152">
        <f t="shared" si="248"/>
        <v>0</v>
      </c>
      <c r="L105" s="152">
        <f t="shared" si="248"/>
        <v>0</v>
      </c>
      <c r="M105" s="152">
        <f t="shared" si="248"/>
        <v>0</v>
      </c>
      <c r="N105" s="152">
        <f t="shared" si="248"/>
        <v>0</v>
      </c>
      <c r="O105" s="152">
        <f t="shared" si="248"/>
        <v>0</v>
      </c>
      <c r="P105" s="152">
        <f t="shared" si="248"/>
        <v>0</v>
      </c>
      <c r="Q105" s="118" t="e">
        <f t="shared" si="194"/>
        <v>#DIV/0!</v>
      </c>
      <c r="R105" s="20"/>
      <c r="S105" s="152">
        <f t="shared" ref="S105:AB105" si="249">S33/S25</f>
        <v>0</v>
      </c>
      <c r="T105" s="152">
        <f t="shared" si="249"/>
        <v>0</v>
      </c>
      <c r="U105" s="152">
        <f t="shared" si="249"/>
        <v>0</v>
      </c>
      <c r="V105" s="152">
        <f t="shared" si="249"/>
        <v>0</v>
      </c>
      <c r="W105" s="152">
        <f t="shared" si="249"/>
        <v>0</v>
      </c>
      <c r="X105" s="152">
        <f t="shared" si="249"/>
        <v>0</v>
      </c>
      <c r="Y105" s="152">
        <f t="shared" si="249"/>
        <v>0</v>
      </c>
      <c r="Z105" s="152">
        <f t="shared" si="249"/>
        <v>0</v>
      </c>
      <c r="AA105" s="152">
        <f t="shared" si="249"/>
        <v>0</v>
      </c>
      <c r="AB105" s="152">
        <f t="shared" si="249"/>
        <v>0</v>
      </c>
      <c r="AC105" s="138" t="e">
        <f t="shared" si="196"/>
        <v>#DIV/0!</v>
      </c>
      <c r="AD105" s="20"/>
      <c r="AE105" s="20"/>
    </row>
    <row r="106" spans="2:31" x14ac:dyDescent="0.2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0.30769230769230771</v>
      </c>
      <c r="H106" s="152">
        <f t="shared" ref="H106:P106" si="250">H34/H25</f>
        <v>0.3902439024390244</v>
      </c>
      <c r="I106" s="152">
        <f t="shared" si="250"/>
        <v>0.31578947368421051</v>
      </c>
      <c r="J106" s="152">
        <f t="shared" si="250"/>
        <v>0.38157894736842107</v>
      </c>
      <c r="K106" s="152">
        <f t="shared" si="250"/>
        <v>0.3925233644859813</v>
      </c>
      <c r="L106" s="152">
        <f t="shared" si="250"/>
        <v>0.39285714285714285</v>
      </c>
      <c r="M106" s="152">
        <f t="shared" si="250"/>
        <v>0.37297297297297299</v>
      </c>
      <c r="N106" s="152">
        <f t="shared" si="250"/>
        <v>0.42718446601941745</v>
      </c>
      <c r="O106" s="152">
        <f t="shared" si="250"/>
        <v>0.46491228070175439</v>
      </c>
      <c r="P106" s="152">
        <f t="shared" si="250"/>
        <v>0.47388059701492535</v>
      </c>
      <c r="Q106" s="118">
        <f t="shared" si="194"/>
        <v>4.9153764079775897E-2</v>
      </c>
      <c r="R106" s="20"/>
      <c r="S106" s="152">
        <f t="shared" ref="S106:AB106" si="251">S34/S25</f>
        <v>0.47388059701492535</v>
      </c>
      <c r="T106" s="152">
        <f t="shared" si="251"/>
        <v>0.47388059701492535</v>
      </c>
      <c r="U106" s="152">
        <f t="shared" si="251"/>
        <v>0.47388059701492535</v>
      </c>
      <c r="V106" s="152">
        <f t="shared" si="251"/>
        <v>0.47388059701492541</v>
      </c>
      <c r="W106" s="152">
        <f t="shared" si="251"/>
        <v>0.47388059701492546</v>
      </c>
      <c r="X106" s="152">
        <f t="shared" si="251"/>
        <v>0.47388059701492546</v>
      </c>
      <c r="Y106" s="152">
        <f t="shared" si="251"/>
        <v>0.47388059701492552</v>
      </c>
      <c r="Z106" s="152">
        <f t="shared" si="251"/>
        <v>0.47388059701492552</v>
      </c>
      <c r="AA106" s="152">
        <f t="shared" si="251"/>
        <v>0.47388059701492541</v>
      </c>
      <c r="AB106" s="152">
        <f t="shared" si="251"/>
        <v>0.47388059701492541</v>
      </c>
      <c r="AC106" s="138">
        <f t="shared" si="196"/>
        <v>2.2989492760069341E-2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 x14ac:dyDescent="0.2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 x14ac:dyDescent="0.2">
      <c r="B109" s="20" t="s">
        <v>366</v>
      </c>
      <c r="C109" s="20"/>
      <c r="D109" s="20"/>
      <c r="E109" s="20"/>
      <c r="F109" s="20"/>
      <c r="G109" s="25">
        <f>G15/G9</f>
        <v>3.1021897810218975</v>
      </c>
      <c r="H109" s="25">
        <f t="shared" ref="H109:AB109" si="252">H15/H9</f>
        <v>3.3840947546531304</v>
      </c>
      <c r="I109" s="25">
        <f t="shared" si="252"/>
        <v>3.4586466165413534</v>
      </c>
      <c r="J109" s="25">
        <f t="shared" si="252"/>
        <v>1.0229600847756977</v>
      </c>
      <c r="K109" s="25">
        <f t="shared" si="252"/>
        <v>4.2173913043478262</v>
      </c>
      <c r="L109" s="25">
        <f t="shared" si="252"/>
        <v>0.89189189189189189</v>
      </c>
      <c r="M109" s="25">
        <f t="shared" si="252"/>
        <v>0.87037037037037035</v>
      </c>
      <c r="N109" s="25">
        <f t="shared" si="252"/>
        <v>0.84782608695652173</v>
      </c>
      <c r="O109" s="25">
        <f t="shared" si="252"/>
        <v>1.2285714285714286</v>
      </c>
      <c r="P109" s="25">
        <f t="shared" si="252"/>
        <v>2.1590909090909092</v>
      </c>
      <c r="Q109" s="118">
        <f t="shared" si="194"/>
        <v>-3.9468976891383956E-2</v>
      </c>
      <c r="R109" s="20"/>
      <c r="S109" s="20">
        <f t="shared" si="252"/>
        <v>2.1590909090909092</v>
      </c>
      <c r="T109" s="20">
        <f t="shared" si="252"/>
        <v>2.1590909090909092</v>
      </c>
      <c r="U109" s="20">
        <f t="shared" si="252"/>
        <v>2.1590909090909092</v>
      </c>
      <c r="V109" s="20">
        <f t="shared" si="252"/>
        <v>2.1590909090909092</v>
      </c>
      <c r="W109" s="20">
        <f t="shared" si="252"/>
        <v>2.1590909090909096</v>
      </c>
      <c r="X109" s="20">
        <f t="shared" si="252"/>
        <v>2.1590909090909096</v>
      </c>
      <c r="Y109" s="20">
        <f t="shared" si="252"/>
        <v>2.1590909090909096</v>
      </c>
      <c r="Z109" s="20">
        <f t="shared" si="252"/>
        <v>2.1590909090909092</v>
      </c>
      <c r="AA109" s="20">
        <f t="shared" si="252"/>
        <v>2.1590909090909092</v>
      </c>
      <c r="AB109" s="20">
        <f t="shared" si="252"/>
        <v>2.1590909090909092</v>
      </c>
      <c r="AC109" s="138">
        <f t="shared" si="196"/>
        <v>-1.8894016148079062E-2</v>
      </c>
      <c r="AD109" s="20"/>
      <c r="AE109" s="20"/>
    </row>
    <row r="110" spans="2:31" x14ac:dyDescent="0.2">
      <c r="B110" s="20" t="s">
        <v>356</v>
      </c>
      <c r="C110" s="20"/>
      <c r="D110" s="20"/>
      <c r="E110" s="20"/>
      <c r="F110" s="20"/>
      <c r="G110" s="25">
        <f>G12/G9</f>
        <v>0.54744525547445255</v>
      </c>
      <c r="H110" s="25">
        <f t="shared" ref="H110:P110" si="253">H12/H9</f>
        <v>0.67681895093062605</v>
      </c>
      <c r="I110" s="25">
        <f t="shared" si="253"/>
        <v>0.60150375939849621</v>
      </c>
      <c r="J110" s="25">
        <f t="shared" si="253"/>
        <v>0.99823383963263868</v>
      </c>
      <c r="K110" s="25">
        <f t="shared" si="253"/>
        <v>1.0869565217391304</v>
      </c>
      <c r="L110" s="25">
        <f t="shared" si="253"/>
        <v>3.0270270270270272</v>
      </c>
      <c r="M110" s="25" t="e">
        <f t="shared" si="253"/>
        <v>#VALUE!</v>
      </c>
      <c r="N110" s="25">
        <f t="shared" si="253"/>
        <v>0.91304347826086951</v>
      </c>
      <c r="O110" s="25">
        <f t="shared" si="253"/>
        <v>1.1714285714285715</v>
      </c>
      <c r="P110" s="25">
        <f t="shared" si="253"/>
        <v>1.0681818181818181</v>
      </c>
      <c r="Q110" s="118">
        <f t="shared" si="194"/>
        <v>7.7100069498362789E-2</v>
      </c>
      <c r="R110" s="128"/>
      <c r="S110" s="20">
        <f t="shared" ref="S110:AB110" si="254">S12/S9</f>
        <v>1.0681818181818183</v>
      </c>
      <c r="T110" s="20">
        <f t="shared" si="254"/>
        <v>1.0681818181818183</v>
      </c>
      <c r="U110" s="20">
        <f t="shared" si="254"/>
        <v>1.0681818181818183</v>
      </c>
      <c r="V110" s="20">
        <f t="shared" si="254"/>
        <v>1.0681818181818183</v>
      </c>
      <c r="W110" s="20">
        <f t="shared" si="254"/>
        <v>1.0681818181818183</v>
      </c>
      <c r="X110" s="20">
        <f t="shared" si="254"/>
        <v>1.0681818181818186</v>
      </c>
      <c r="Y110" s="20">
        <f t="shared" si="254"/>
        <v>1.0681818181818183</v>
      </c>
      <c r="Z110" s="20">
        <f t="shared" si="254"/>
        <v>1.0681818181818186</v>
      </c>
      <c r="AA110" s="20">
        <f t="shared" si="254"/>
        <v>1.0681818181818183</v>
      </c>
      <c r="AB110" s="20">
        <f t="shared" si="254"/>
        <v>1.0681818181818183</v>
      </c>
      <c r="AC110" s="118">
        <f t="shared" ref="AC110" si="255">((AB110/S110)^(1/($H$2-$H$1) ))-1</f>
        <v>0</v>
      </c>
      <c r="AD110" s="20"/>
      <c r="AE110" s="20"/>
    </row>
    <row r="111" spans="2:31" x14ac:dyDescent="0.2">
      <c r="B111" s="20" t="s">
        <v>358</v>
      </c>
      <c r="C111" s="20"/>
      <c r="D111" s="20"/>
      <c r="E111" s="20"/>
      <c r="F111" s="20"/>
      <c r="G111" s="25">
        <f>G25/360</f>
        <v>0.10833333333333334</v>
      </c>
      <c r="H111" s="25">
        <f t="shared" ref="H111:P111" si="256">H25/360</f>
        <v>0.11388888888888889</v>
      </c>
      <c r="I111" s="25">
        <f t="shared" si="256"/>
        <v>0.10555555555555556</v>
      </c>
      <c r="J111" s="25">
        <f t="shared" si="256"/>
        <v>0.21111111111111111</v>
      </c>
      <c r="K111" s="25">
        <f t="shared" si="256"/>
        <v>0.29722222222222222</v>
      </c>
      <c r="L111" s="25">
        <f t="shared" si="256"/>
        <v>0.3888888888888889</v>
      </c>
      <c r="M111" s="25">
        <f t="shared" si="256"/>
        <v>0.51388888888888884</v>
      </c>
      <c r="N111" s="25">
        <f t="shared" si="256"/>
        <v>0.57222222222222219</v>
      </c>
      <c r="O111" s="25">
        <f t="shared" si="256"/>
        <v>0.6333333333333333</v>
      </c>
      <c r="P111" s="25">
        <f t="shared" si="256"/>
        <v>0.74444444444444446</v>
      </c>
      <c r="Q111" s="118">
        <f t="shared" si="194"/>
        <v>0.23881883160015294</v>
      </c>
      <c r="R111" s="128"/>
      <c r="S111" s="25">
        <f t="shared" ref="S111:AB111" si="257">S25/360</f>
        <v>0.83377777777777784</v>
      </c>
      <c r="T111" s="25">
        <f t="shared" si="257"/>
        <v>0.93383111111111117</v>
      </c>
      <c r="U111" s="25">
        <f t="shared" si="257"/>
        <v>1.0458908444444446</v>
      </c>
      <c r="V111" s="25">
        <f t="shared" si="257"/>
        <v>1.171397745777778</v>
      </c>
      <c r="W111" s="25">
        <f t="shared" si="257"/>
        <v>1.3119654752711116</v>
      </c>
      <c r="X111" s="25">
        <f t="shared" si="257"/>
        <v>1.469401332303645</v>
      </c>
      <c r="Y111" s="25">
        <f t="shared" si="257"/>
        <v>1.6457294921800825</v>
      </c>
      <c r="Z111" s="25">
        <f t="shared" si="257"/>
        <v>1.8432170312416927</v>
      </c>
      <c r="AA111" s="25">
        <f t="shared" si="257"/>
        <v>2.0644030749906959</v>
      </c>
      <c r="AB111" s="25">
        <f t="shared" si="257"/>
        <v>2.3121314439895797</v>
      </c>
      <c r="AC111" s="118">
        <f t="shared" ref="AC111:AC122" si="258">((AB111/S111)^(1/($H$2-$H$1) ))-1</f>
        <v>0.12000000000000011</v>
      </c>
      <c r="AD111" s="20"/>
      <c r="AE111" s="20"/>
    </row>
    <row r="112" spans="2:31" x14ac:dyDescent="0.2">
      <c r="B112" s="20" t="s">
        <v>357</v>
      </c>
      <c r="C112" s="20"/>
      <c r="D112" s="20"/>
      <c r="E112" s="20"/>
      <c r="F112" s="20"/>
      <c r="G112" s="25">
        <f>G27/360</f>
        <v>6.3888888888888884E-2</v>
      </c>
      <c r="H112" s="25">
        <f t="shared" ref="H112:P112" si="259">H27/360</f>
        <v>7.7777777777777779E-2</v>
      </c>
      <c r="I112" s="25">
        <f t="shared" si="259"/>
        <v>5.5555555555555552E-2</v>
      </c>
      <c r="J112" s="25">
        <f t="shared" si="259"/>
        <v>0.12777777777777777</v>
      </c>
      <c r="K112" s="25">
        <f t="shared" si="259"/>
        <v>0.17222222222222222</v>
      </c>
      <c r="L112" s="25">
        <f t="shared" si="259"/>
        <v>0.22222222222222221</v>
      </c>
      <c r="M112" s="25">
        <f t="shared" si="259"/>
        <v>0.28055555555555556</v>
      </c>
      <c r="N112" s="25">
        <f t="shared" si="259"/>
        <v>0.3527777777777778</v>
      </c>
      <c r="O112" s="25">
        <f t="shared" si="259"/>
        <v>0.40277777777777779</v>
      </c>
      <c r="P112" s="25">
        <f t="shared" si="259"/>
        <v>0.53055555555555556</v>
      </c>
      <c r="Q112" s="118">
        <f t="shared" si="194"/>
        <v>0.26515885356383473</v>
      </c>
      <c r="R112" s="128"/>
      <c r="S112" s="25">
        <f t="shared" ref="S112:AB112" si="260">S27/360</f>
        <v>0.59422222222222232</v>
      </c>
      <c r="T112" s="25">
        <f t="shared" si="260"/>
        <v>0.66552888888888906</v>
      </c>
      <c r="U112" s="25">
        <f t="shared" si="260"/>
        <v>0.74539235555555572</v>
      </c>
      <c r="V112" s="25">
        <f t="shared" si="260"/>
        <v>0.8348394382222224</v>
      </c>
      <c r="W112" s="25">
        <f t="shared" si="260"/>
        <v>0.93502017080888922</v>
      </c>
      <c r="X112" s="25">
        <f t="shared" si="260"/>
        <v>1.0472225913059561</v>
      </c>
      <c r="Y112" s="25">
        <f t="shared" si="260"/>
        <v>1.172889302262671</v>
      </c>
      <c r="Z112" s="25">
        <f t="shared" si="260"/>
        <v>1.3136360185341913</v>
      </c>
      <c r="AA112" s="25">
        <f t="shared" si="260"/>
        <v>1.4712723407582944</v>
      </c>
      <c r="AB112" s="25">
        <f t="shared" si="260"/>
        <v>1.6478250216492898</v>
      </c>
      <c r="AC112" s="118">
        <f t="shared" si="258"/>
        <v>0.12000000000000011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 x14ac:dyDescent="0.2">
      <c r="B114" s="20" t="s">
        <v>367</v>
      </c>
      <c r="C114" s="20"/>
      <c r="D114" s="20"/>
      <c r="E114" s="20"/>
      <c r="F114" s="20"/>
      <c r="G114" s="25">
        <f>G10/G7</f>
        <v>0</v>
      </c>
      <c r="H114" s="25">
        <f t="shared" ref="H114:P114" si="261">H10/H7</f>
        <v>0</v>
      </c>
      <c r="I114" s="25">
        <f t="shared" si="261"/>
        <v>0</v>
      </c>
      <c r="J114" s="25">
        <f t="shared" si="261"/>
        <v>0</v>
      </c>
      <c r="K114" s="25">
        <f t="shared" si="261"/>
        <v>0</v>
      </c>
      <c r="L114" s="25">
        <f t="shared" si="261"/>
        <v>0</v>
      </c>
      <c r="M114" s="25">
        <f t="shared" si="261"/>
        <v>0</v>
      </c>
      <c r="N114" s="25">
        <f t="shared" si="261"/>
        <v>0</v>
      </c>
      <c r="O114" s="25">
        <f t="shared" si="261"/>
        <v>0</v>
      </c>
      <c r="P114" s="25">
        <f t="shared" si="261"/>
        <v>0</v>
      </c>
      <c r="Q114" s="118" t="e">
        <f t="shared" si="194"/>
        <v>#DIV/0!</v>
      </c>
      <c r="R114" s="128"/>
      <c r="S114" s="25">
        <f t="shared" ref="S114:AB114" si="262">S10/S7</f>
        <v>0</v>
      </c>
      <c r="T114" s="25">
        <f t="shared" si="262"/>
        <v>0</v>
      </c>
      <c r="U114" s="25">
        <f t="shared" si="262"/>
        <v>0</v>
      </c>
      <c r="V114" s="25">
        <f t="shared" si="262"/>
        <v>0</v>
      </c>
      <c r="W114" s="25">
        <f t="shared" si="262"/>
        <v>0</v>
      </c>
      <c r="X114" s="25">
        <f t="shared" si="262"/>
        <v>0</v>
      </c>
      <c r="Y114" s="25">
        <f t="shared" si="262"/>
        <v>0</v>
      </c>
      <c r="Z114" s="25">
        <f t="shared" si="262"/>
        <v>0</v>
      </c>
      <c r="AA114" s="25">
        <f t="shared" si="262"/>
        <v>0</v>
      </c>
      <c r="AB114" s="25">
        <f t="shared" si="262"/>
        <v>0</v>
      </c>
      <c r="AC114" s="118" t="e">
        <f t="shared" si="258"/>
        <v>#DIV/0!</v>
      </c>
      <c r="AD114" s="20"/>
      <c r="AE114" s="20"/>
    </row>
    <row r="115" spans="2:31" x14ac:dyDescent="0.2">
      <c r="B115" s="20" t="s">
        <v>359</v>
      </c>
      <c r="C115" s="20"/>
      <c r="D115" s="20"/>
      <c r="E115" s="20"/>
      <c r="F115" s="20"/>
      <c r="G115" s="25">
        <f>G10/(G10+G7)</f>
        <v>0</v>
      </c>
      <c r="H115" s="25">
        <f t="shared" ref="H115:P115" si="263">H10/(H10+H7)</f>
        <v>0</v>
      </c>
      <c r="I115" s="25">
        <f t="shared" si="263"/>
        <v>0</v>
      </c>
      <c r="J115" s="25">
        <f t="shared" si="263"/>
        <v>0</v>
      </c>
      <c r="K115" s="25">
        <f t="shared" si="263"/>
        <v>0</v>
      </c>
      <c r="L115" s="25">
        <f t="shared" si="263"/>
        <v>0</v>
      </c>
      <c r="M115" s="25">
        <f t="shared" si="263"/>
        <v>0</v>
      </c>
      <c r="N115" s="25">
        <f t="shared" si="263"/>
        <v>0</v>
      </c>
      <c r="O115" s="25">
        <f t="shared" si="263"/>
        <v>0</v>
      </c>
      <c r="P115" s="25">
        <f t="shared" si="263"/>
        <v>0</v>
      </c>
      <c r="Q115" s="118" t="e">
        <f t="shared" si="194"/>
        <v>#DIV/0!</v>
      </c>
      <c r="R115" s="128"/>
      <c r="S115" s="25">
        <f t="shared" ref="S115:AB115" si="264">S10/(S10+S7)</f>
        <v>0</v>
      </c>
      <c r="T115" s="25">
        <f t="shared" si="264"/>
        <v>0</v>
      </c>
      <c r="U115" s="25">
        <f t="shared" si="264"/>
        <v>0</v>
      </c>
      <c r="V115" s="25">
        <f t="shared" si="264"/>
        <v>0</v>
      </c>
      <c r="W115" s="25">
        <f t="shared" si="264"/>
        <v>0</v>
      </c>
      <c r="X115" s="25">
        <f t="shared" si="264"/>
        <v>0</v>
      </c>
      <c r="Y115" s="25">
        <f t="shared" si="264"/>
        <v>0</v>
      </c>
      <c r="Z115" s="25">
        <f t="shared" si="264"/>
        <v>0</v>
      </c>
      <c r="AA115" s="25">
        <f t="shared" si="264"/>
        <v>0</v>
      </c>
      <c r="AB115" s="25">
        <f t="shared" si="264"/>
        <v>0</v>
      </c>
      <c r="AC115" s="118" t="e">
        <f t="shared" si="258"/>
        <v>#DIV/0!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 x14ac:dyDescent="0.2">
      <c r="B117" s="20" t="s">
        <v>364</v>
      </c>
      <c r="C117" s="20"/>
      <c r="D117" s="20"/>
      <c r="E117" s="20"/>
      <c r="F117" s="20"/>
      <c r="G117" s="25">
        <f>G16</f>
        <v>1.33</v>
      </c>
      <c r="H117" s="25">
        <f t="shared" ref="H117:P117" si="265">H16</f>
        <v>5.8</v>
      </c>
      <c r="I117" s="25">
        <f t="shared" si="265"/>
        <v>6.72</v>
      </c>
      <c r="J117" s="25">
        <f t="shared" si="265"/>
        <v>51</v>
      </c>
      <c r="K117" s="25">
        <f t="shared" si="265"/>
        <v>45</v>
      </c>
      <c r="L117" s="25">
        <f t="shared" si="265"/>
        <v>128</v>
      </c>
      <c r="M117" s="25">
        <f t="shared" si="265"/>
        <v>113</v>
      </c>
      <c r="N117" s="25">
        <f t="shared" si="265"/>
        <v>32</v>
      </c>
      <c r="O117" s="25">
        <f t="shared" si="265"/>
        <v>31</v>
      </c>
      <c r="P117" s="25">
        <f t="shared" si="265"/>
        <v>48</v>
      </c>
      <c r="Q117" s="118">
        <f t="shared" si="194"/>
        <v>0.48950953781761952</v>
      </c>
      <c r="R117" s="128"/>
      <c r="S117" s="25">
        <f t="shared" ref="S117:AB117" si="266">S16</f>
        <v>53.760000000000005</v>
      </c>
      <c r="T117" s="25">
        <f t="shared" si="266"/>
        <v>60.211200000000012</v>
      </c>
      <c r="U117" s="25">
        <f t="shared" si="266"/>
        <v>67.436544000000026</v>
      </c>
      <c r="V117" s="25">
        <f t="shared" si="266"/>
        <v>75.528929280000042</v>
      </c>
      <c r="W117" s="25">
        <f t="shared" si="266"/>
        <v>84.592400793600049</v>
      </c>
      <c r="X117" s="25">
        <f t="shared" si="266"/>
        <v>94.743488888832061</v>
      </c>
      <c r="Y117" s="25">
        <f t="shared" si="266"/>
        <v>106.11270755549192</v>
      </c>
      <c r="Z117" s="25">
        <f t="shared" si="266"/>
        <v>118.84623246215097</v>
      </c>
      <c r="AA117" s="25">
        <f t="shared" si="266"/>
        <v>133.1077803576091</v>
      </c>
      <c r="AB117" s="25">
        <f t="shared" si="266"/>
        <v>149.08071400052222</v>
      </c>
      <c r="AC117" s="118">
        <f t="shared" si="258"/>
        <v>0.12000000000000011</v>
      </c>
      <c r="AD117" s="20"/>
      <c r="AE117" s="20"/>
    </row>
    <row r="118" spans="2:31" x14ac:dyDescent="0.2">
      <c r="B118" s="20" t="s">
        <v>365</v>
      </c>
      <c r="C118" s="20"/>
      <c r="D118" s="20"/>
      <c r="E118" s="20"/>
      <c r="F118" s="20"/>
      <c r="G118" s="119">
        <f t="shared" ref="G118:P118" si="267">G117*365/G25</f>
        <v>12.447435897435899</v>
      </c>
      <c r="H118" s="119">
        <f t="shared" si="267"/>
        <v>51.634146341463413</v>
      </c>
      <c r="I118" s="119">
        <f t="shared" si="267"/>
        <v>64.547368421052624</v>
      </c>
      <c r="J118" s="119">
        <f t="shared" si="267"/>
        <v>244.93421052631578</v>
      </c>
      <c r="K118" s="119">
        <f t="shared" si="267"/>
        <v>153.50467289719626</v>
      </c>
      <c r="L118" s="119">
        <f t="shared" si="267"/>
        <v>333.71428571428572</v>
      </c>
      <c r="M118" s="119">
        <f t="shared" si="267"/>
        <v>222.94594594594594</v>
      </c>
      <c r="N118" s="119">
        <f t="shared" si="267"/>
        <v>56.699029126213595</v>
      </c>
      <c r="O118" s="119">
        <f t="shared" si="267"/>
        <v>49.627192982456137</v>
      </c>
      <c r="P118" s="119">
        <f t="shared" si="267"/>
        <v>65.373134328358205</v>
      </c>
      <c r="Q118" s="118">
        <f t="shared" si="194"/>
        <v>0.20236268598989171</v>
      </c>
      <c r="R118" s="128"/>
      <c r="S118" s="119">
        <f t="shared" ref="S118:AB118" si="268">S117*365/S25</f>
        <v>65.373134328358205</v>
      </c>
      <c r="T118" s="119">
        <f t="shared" si="268"/>
        <v>65.373134328358205</v>
      </c>
      <c r="U118" s="119">
        <f t="shared" si="268"/>
        <v>65.373134328358219</v>
      </c>
      <c r="V118" s="119">
        <f t="shared" si="268"/>
        <v>65.373134328358233</v>
      </c>
      <c r="W118" s="119">
        <f t="shared" si="268"/>
        <v>65.373134328358219</v>
      </c>
      <c r="X118" s="119">
        <f t="shared" si="268"/>
        <v>65.373134328358233</v>
      </c>
      <c r="Y118" s="119">
        <f t="shared" si="268"/>
        <v>65.373134328358233</v>
      </c>
      <c r="Z118" s="119">
        <f t="shared" si="268"/>
        <v>65.373134328358233</v>
      </c>
      <c r="AA118" s="119">
        <f t="shared" si="268"/>
        <v>65.373134328358233</v>
      </c>
      <c r="AB118" s="119">
        <f t="shared" si="268"/>
        <v>65.373134328358233</v>
      </c>
      <c r="AC118" s="118">
        <f t="shared" si="258"/>
        <v>0</v>
      </c>
      <c r="AD118" s="20"/>
      <c r="AE118" s="20"/>
    </row>
    <row r="119" spans="2:31" x14ac:dyDescent="0.2">
      <c r="B119" s="20" t="s">
        <v>368</v>
      </c>
      <c r="C119" s="20"/>
      <c r="D119" s="20"/>
      <c r="E119" s="20"/>
      <c r="F119" s="20"/>
      <c r="G119" s="133" t="e">
        <f>G73/G29</f>
        <v>#DIV/0!</v>
      </c>
      <c r="H119" s="133" t="e">
        <f t="shared" ref="H119:P119" si="269">H73/H29</f>
        <v>#DIV/0!</v>
      </c>
      <c r="I119" s="133" t="e">
        <f t="shared" si="269"/>
        <v>#DIV/0!</v>
      </c>
      <c r="J119" s="133" t="e">
        <f t="shared" si="269"/>
        <v>#DIV/0!</v>
      </c>
      <c r="K119" s="133" t="e">
        <f t="shared" si="269"/>
        <v>#DIV/0!</v>
      </c>
      <c r="L119" s="133" t="e">
        <f t="shared" si="269"/>
        <v>#DIV/0!</v>
      </c>
      <c r="M119" s="133" t="e">
        <f t="shared" si="269"/>
        <v>#DIV/0!</v>
      </c>
      <c r="N119" s="133" t="e">
        <f t="shared" si="269"/>
        <v>#DIV/0!</v>
      </c>
      <c r="O119" s="133" t="e">
        <f t="shared" si="269"/>
        <v>#DIV/0!</v>
      </c>
      <c r="P119" s="133" t="e">
        <f t="shared" si="269"/>
        <v>#DIV/0!</v>
      </c>
      <c r="Q119" s="118" t="e">
        <f t="shared" si="194"/>
        <v>#DIV/0!</v>
      </c>
      <c r="R119" s="128"/>
      <c r="S119" s="133" t="e">
        <f t="shared" ref="S119:AB119" si="270">S73/S29</f>
        <v>#DIV/0!</v>
      </c>
      <c r="T119" s="133" t="e">
        <f t="shared" si="270"/>
        <v>#DIV/0!</v>
      </c>
      <c r="U119" s="133" t="e">
        <f t="shared" si="270"/>
        <v>#DIV/0!</v>
      </c>
      <c r="V119" s="133" t="e">
        <f t="shared" si="270"/>
        <v>#DIV/0!</v>
      </c>
      <c r="W119" s="133" t="e">
        <f t="shared" si="270"/>
        <v>#DIV/0!</v>
      </c>
      <c r="X119" s="133" t="e">
        <f t="shared" si="270"/>
        <v>#DIV/0!</v>
      </c>
      <c r="Y119" s="133" t="e">
        <f t="shared" si="270"/>
        <v>#DIV/0!</v>
      </c>
      <c r="Z119" s="133" t="e">
        <f t="shared" si="270"/>
        <v>#DIV/0!</v>
      </c>
      <c r="AA119" s="133" t="e">
        <f t="shared" si="270"/>
        <v>#DIV/0!</v>
      </c>
      <c r="AB119" s="133" t="e">
        <f t="shared" si="270"/>
        <v>#DIV/0!</v>
      </c>
      <c r="AC119" s="118" t="e">
        <f t="shared" si="258"/>
        <v>#DIV/0!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375</v>
      </c>
      <c r="C121" s="20"/>
      <c r="D121" s="20"/>
      <c r="E121" s="20"/>
      <c r="F121" s="20"/>
      <c r="G121" s="181" t="e">
        <f>G25/G14</f>
        <v>#DIV/0!</v>
      </c>
      <c r="H121" s="181" t="e">
        <f t="shared" ref="H121:P121" si="271">H25/H14</f>
        <v>#DIV/0!</v>
      </c>
      <c r="I121" s="181" t="e">
        <f t="shared" si="271"/>
        <v>#DIV/0!</v>
      </c>
      <c r="J121" s="181" t="e">
        <f t="shared" si="271"/>
        <v>#DIV/0!</v>
      </c>
      <c r="K121" s="181" t="e">
        <f t="shared" si="271"/>
        <v>#DIV/0!</v>
      </c>
      <c r="L121" s="181" t="e">
        <f t="shared" si="271"/>
        <v>#DIV/0!</v>
      </c>
      <c r="M121" s="181" t="e">
        <f t="shared" si="271"/>
        <v>#DIV/0!</v>
      </c>
      <c r="N121" s="181" t="e">
        <f t="shared" si="271"/>
        <v>#DIV/0!</v>
      </c>
      <c r="O121" s="181" t="e">
        <f t="shared" si="271"/>
        <v>#DIV/0!</v>
      </c>
      <c r="P121" s="181" t="e">
        <f t="shared" si="271"/>
        <v>#DIV/0!</v>
      </c>
      <c r="Q121" s="118" t="e">
        <f t="shared" si="194"/>
        <v>#DIV/0!</v>
      </c>
      <c r="R121" s="128"/>
      <c r="S121" s="20" t="e">
        <f t="shared" ref="S121" si="272">S25/S14</f>
        <v>#DIV/0!</v>
      </c>
      <c r="T121" s="20" t="e">
        <f t="shared" ref="T121:AB121" si="273">T25/T14</f>
        <v>#DIV/0!</v>
      </c>
      <c r="U121" s="20" t="e">
        <f t="shared" si="273"/>
        <v>#DIV/0!</v>
      </c>
      <c r="V121" s="20" t="e">
        <f t="shared" si="273"/>
        <v>#DIV/0!</v>
      </c>
      <c r="W121" s="20" t="e">
        <f t="shared" si="273"/>
        <v>#DIV/0!</v>
      </c>
      <c r="X121" s="20" t="e">
        <f t="shared" si="273"/>
        <v>#DIV/0!</v>
      </c>
      <c r="Y121" s="20" t="e">
        <f t="shared" si="273"/>
        <v>#DIV/0!</v>
      </c>
      <c r="Z121" s="20" t="e">
        <f t="shared" si="273"/>
        <v>#DIV/0!</v>
      </c>
      <c r="AA121" s="20" t="e">
        <f t="shared" si="273"/>
        <v>#DIV/0!</v>
      </c>
      <c r="AB121" s="20" t="e">
        <f t="shared" si="273"/>
        <v>#DIV/0!</v>
      </c>
      <c r="AC121" s="118" t="e">
        <f t="shared" si="258"/>
        <v>#DIV/0!</v>
      </c>
      <c r="AD121" s="20"/>
      <c r="AE121" s="20"/>
    </row>
    <row r="122" spans="2:31" x14ac:dyDescent="0.2">
      <c r="B122" s="20" t="s">
        <v>376</v>
      </c>
      <c r="C122" s="20"/>
      <c r="D122" s="20"/>
      <c r="E122" s="20"/>
      <c r="F122" s="20"/>
      <c r="G122" s="181" t="e">
        <f>G27/G14</f>
        <v>#DIV/0!</v>
      </c>
      <c r="H122" s="181" t="e">
        <f t="shared" ref="H122:P122" si="274">H27/H14</f>
        <v>#DIV/0!</v>
      </c>
      <c r="I122" s="181" t="e">
        <f t="shared" si="274"/>
        <v>#DIV/0!</v>
      </c>
      <c r="J122" s="181" t="e">
        <f t="shared" si="274"/>
        <v>#DIV/0!</v>
      </c>
      <c r="K122" s="181" t="e">
        <f t="shared" si="274"/>
        <v>#DIV/0!</v>
      </c>
      <c r="L122" s="181" t="e">
        <f t="shared" si="274"/>
        <v>#DIV/0!</v>
      </c>
      <c r="M122" s="181" t="e">
        <f t="shared" si="274"/>
        <v>#DIV/0!</v>
      </c>
      <c r="N122" s="181" t="e">
        <f t="shared" si="274"/>
        <v>#DIV/0!</v>
      </c>
      <c r="O122" s="181" t="e">
        <f t="shared" si="274"/>
        <v>#DIV/0!</v>
      </c>
      <c r="P122" s="181" t="e">
        <f t="shared" si="274"/>
        <v>#DIV/0!</v>
      </c>
      <c r="Q122" s="118" t="e">
        <f t="shared" si="194"/>
        <v>#DIV/0!</v>
      </c>
      <c r="R122" s="128"/>
      <c r="S122" s="20" t="e">
        <f t="shared" ref="S122:AB122" si="275">S27/S14</f>
        <v>#DIV/0!</v>
      </c>
      <c r="T122" s="20" t="e">
        <f t="shared" si="275"/>
        <v>#DIV/0!</v>
      </c>
      <c r="U122" s="20" t="e">
        <f t="shared" si="275"/>
        <v>#DIV/0!</v>
      </c>
      <c r="V122" s="20" t="e">
        <f t="shared" si="275"/>
        <v>#DIV/0!</v>
      </c>
      <c r="W122" s="20" t="e">
        <f t="shared" si="275"/>
        <v>#DIV/0!</v>
      </c>
      <c r="X122" s="20" t="e">
        <f t="shared" si="275"/>
        <v>#DIV/0!</v>
      </c>
      <c r="Y122" s="20" t="e">
        <f t="shared" si="275"/>
        <v>#DIV/0!</v>
      </c>
      <c r="Z122" s="20" t="e">
        <f t="shared" si="275"/>
        <v>#DIV/0!</v>
      </c>
      <c r="AA122" s="20" t="e">
        <f t="shared" si="275"/>
        <v>#DIV/0!</v>
      </c>
      <c r="AB122" s="20" t="e">
        <f t="shared" si="275"/>
        <v>#DIV/0!</v>
      </c>
      <c r="AC122" s="118" t="e">
        <f t="shared" si="258"/>
        <v>#DIV/0!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 x14ac:dyDescent="0.2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32.545454545454547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84.415328039756361</v>
      </c>
      <c r="S126" s="133">
        <f>PV($C$1, ($AB$3-$S$3), 0, -AB47)</f>
        <v>9.6870048570212202</v>
      </c>
      <c r="T126" s="133">
        <f>PV($C$1, ($AB$3-$S$3), 0, -AE47)</f>
        <v>74.728323182735139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493.39303802547232</v>
      </c>
      <c r="S127" s="133">
        <f>PV($C$1, ($AB$3-$S$3), 0, -AB49)</f>
        <v>56.618873216037819</v>
      </c>
      <c r="T127" s="133">
        <f>PV($C$1, ($AB$3-$S$3), 0, -AE49)</f>
        <v>436.77416480943452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478.83867112206622</v>
      </c>
      <c r="S128" s="133">
        <f>PV($C$1, ($AB$3-$S$3), 0, -AB50)</f>
        <v>54.94869996482727</v>
      </c>
      <c r="T128" s="133">
        <f>PV($C$1, ($AB$3-$S$3), 0, -AE50)</f>
        <v>423.88997115723896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0</v>
      </c>
      <c r="S129" s="133">
        <f>PV($C$1, ($AB$3-$S$3), 0, -AB51)</f>
        <v>0</v>
      </c>
      <c r="T129" s="133">
        <f>PV($C$1, ($AB$3-$S$3), 0, -AE51)</f>
        <v>0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68.405524446009451</v>
      </c>
      <c r="S130" s="133">
        <f>PV($C$1, ($AB$3-$S$3), 0, -AB57)</f>
        <v>7.8498142806896096</v>
      </c>
      <c r="T130" s="133">
        <f>PV($C$1, ($AB$3-$S$3), 0, -AE57)</f>
        <v>60.555710165319844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493.39303802547232</v>
      </c>
      <c r="S132" s="133">
        <f>PV($C$1, ($AB$3-$S$3), 0, -AB53)</f>
        <v>56.618873216037819</v>
      </c>
      <c r="T132" s="133">
        <f>PV($C$1, ($AB$3-$S$3), 0, -$AE$53)</f>
        <v>436.77416480943452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429.35382365048486</v>
      </c>
      <c r="S133" s="133">
        <f>PV($C$1, ($AB$3-$S$3), 0, -AB54)</f>
        <v>49.270110910711374</v>
      </c>
      <c r="T133" s="133">
        <f>PV($C$1, ($AB$3-$S$3), 0, -$AE$54)</f>
        <v>380.08371273977349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567.62030923284431</v>
      </c>
      <c r="S134" s="133">
        <f>PV($C$1, ($AB$3-$S$3), 0, -AB55)</f>
        <v>65.136756797211646</v>
      </c>
      <c r="T134" s="133">
        <f>PV($C$1, ($AB$3-$S$3), 0, -$AE$55)</f>
        <v>502.4835524356327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138.26648558235954</v>
      </c>
      <c r="S136" s="133">
        <f>PV($C$1, ($AB$3-$S$3), 0, -AB60)</f>
        <v>15.866645886500272</v>
      </c>
      <c r="T136" s="133">
        <f>PV($C$1, ($AB$3-$S$3), 0, -AE60)</f>
        <v>122.39983969585926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44.456975268586426</v>
      </c>
      <c r="S137" s="133">
        <f>PV($C$1, ($AB$3-$S$3), 0, -AB61)</f>
        <v>8.0168316058106672</v>
      </c>
      <c r="T137" s="133">
        <f>PV($C$1, ($AB$3-$S$3), 0, -AE61)</f>
        <v>36.44014366277576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212.45717554148467</v>
      </c>
      <c r="S139" s="133">
        <f>PV($C$1, ($AB$3-$S$3), 0, -AB12)</f>
        <v>24.380331619514635</v>
      </c>
      <c r="T139" s="133">
        <f>PV($C$1, ($AB$3-$S$3), 0, -AE12)</f>
        <v>188.07684392197004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212.45717554148467</v>
      </c>
      <c r="S140" s="140">
        <f>S139/P40</f>
        <v>24.380331619514635</v>
      </c>
      <c r="T140" s="140">
        <f>T139/P40</f>
        <v>188.07684392197004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217.69116850293261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171.51978212000506</v>
      </c>
      <c r="T143" s="133">
        <f>PV($C$1, ($AB$3-$S$3), 0, -AE63)</f>
        <v>46.171386382927551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320.74085834295818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252.713063732884</v>
      </c>
      <c r="T145" s="133">
        <f>PV($C$1, ($AB$3-$S$3), 0, -AE65)</f>
        <v>68.027794610074196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103.26997226756018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81.366843058827484</v>
      </c>
      <c r="T147" s="133">
        <f>PV($C$1, ($AB$3-$S$3), 0, -AE67)</f>
        <v>21.90312920873269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249.06287429235118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196.23768031834877</v>
      </c>
      <c r="T148" s="133">
        <f>PV($C$1, ($AB$3-$S$3), 0, -AE68)</f>
        <v>52.825193974002403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-145.79290202479098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-114.87083725952127</v>
      </c>
      <c r="T149" s="133">
        <f>PV($C$1, ($AB$3-$S$3), 0, -AE69)</f>
        <v>-30.922064765269713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-91.120563765494353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-71.794273287200781</v>
      </c>
      <c r="T150" s="133">
        <f>PV($C$1, ($AB$3-$S$3), 0, -AE70)</f>
        <v>-19.326290478293568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127.56878927169204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100.51198260208106</v>
      </c>
      <c r="T152" s="133">
        <f>PV($C$1, ($AB$3-$S$3), 0, -AE71)</f>
        <v>27.056806669610982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 t="s">
        <v>391</v>
      </c>
      <c r="P154" s="20" t="s">
        <v>393</v>
      </c>
      <c r="Q154" s="20" t="s">
        <v>393</v>
      </c>
      <c r="R154" s="20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118" t="e">
        <f t="shared" ref="Q155:Q160" si="280">((P155/G155)^(1/($H$2-$H$1) ))-1</f>
        <v>#DIV/0!</v>
      </c>
      <c r="R155" s="31">
        <f>L2-3%</f>
        <v>0.09</v>
      </c>
      <c r="S155" s="119">
        <f t="shared" ref="S155" si="281">P155*(1+$R155)</f>
        <v>0</v>
      </c>
      <c r="T155" s="119">
        <f t="shared" ref="T155:AB155" si="282">S155*(1+$R155)</f>
        <v>0</v>
      </c>
      <c r="U155" s="119">
        <f t="shared" si="282"/>
        <v>0</v>
      </c>
      <c r="V155" s="119">
        <f t="shared" si="282"/>
        <v>0</v>
      </c>
      <c r="W155" s="119">
        <f t="shared" si="282"/>
        <v>0</v>
      </c>
      <c r="X155" s="119">
        <f t="shared" si="282"/>
        <v>0</v>
      </c>
      <c r="Y155" s="119">
        <f t="shared" si="282"/>
        <v>0</v>
      </c>
      <c r="Z155" s="119">
        <f t="shared" si="282"/>
        <v>0</v>
      </c>
      <c r="AA155" s="119">
        <f t="shared" si="282"/>
        <v>0</v>
      </c>
      <c r="AB155" s="119">
        <f t="shared" si="282"/>
        <v>0</v>
      </c>
      <c r="AC155" s="138" t="e">
        <f t="shared" ref="AC155:AC160" si="283">((AB155/G155)^(1/($AB$3-$H$1) ))-1</f>
        <v>#DIV/0!</v>
      </c>
      <c r="AD155" s="31">
        <v>0.08</v>
      </c>
      <c r="AE155" s="127" t="e">
        <f t="shared" ref="AE155:AE163" si="284">(AB155*(1+AC155))/($C$1-AD155)</f>
        <v>#DIV/0!</v>
      </c>
    </row>
    <row r="156" spans="2:31" x14ac:dyDescent="0.2">
      <c r="B156" s="20" t="s">
        <v>362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 t="e">
        <f t="shared" si="285"/>
        <v>#DIV/0!</v>
      </c>
      <c r="G156" s="25">
        <f t="shared" si="285"/>
        <v>0</v>
      </c>
      <c r="H156" s="25">
        <f t="shared" si="285"/>
        <v>0</v>
      </c>
      <c r="I156" s="25">
        <f t="shared" si="285"/>
        <v>0</v>
      </c>
      <c r="J156" s="25">
        <f t="shared" si="285"/>
        <v>0</v>
      </c>
      <c r="K156" s="25">
        <f t="shared" si="285"/>
        <v>0</v>
      </c>
      <c r="L156" s="25">
        <f t="shared" si="285"/>
        <v>0</v>
      </c>
      <c r="M156" s="25">
        <f t="shared" si="285"/>
        <v>0</v>
      </c>
      <c r="N156" s="25">
        <f t="shared" si="285"/>
        <v>0</v>
      </c>
      <c r="O156" s="25">
        <f t="shared" si="285"/>
        <v>0</v>
      </c>
      <c r="P156" s="25">
        <f t="shared" si="285"/>
        <v>0</v>
      </c>
      <c r="Q156" s="118" t="e">
        <f t="shared" ref="Q156" si="286">((P156/G156)^(1/($H$2-$H$1) ))-1</f>
        <v>#DIV/0!</v>
      </c>
      <c r="R156" s="128"/>
      <c r="S156" s="25">
        <f t="shared" ref="S156:AB156" si="287">S155/S44</f>
        <v>0</v>
      </c>
      <c r="T156" s="25">
        <f t="shared" si="287"/>
        <v>0</v>
      </c>
      <c r="U156" s="25">
        <f t="shared" si="287"/>
        <v>0</v>
      </c>
      <c r="V156" s="25">
        <f t="shared" si="287"/>
        <v>0</v>
      </c>
      <c r="W156" s="25">
        <f t="shared" si="287"/>
        <v>0</v>
      </c>
      <c r="X156" s="25">
        <f t="shared" si="287"/>
        <v>0</v>
      </c>
      <c r="Y156" s="25">
        <f t="shared" si="287"/>
        <v>0</v>
      </c>
      <c r="Z156" s="25">
        <f t="shared" si="287"/>
        <v>0</v>
      </c>
      <c r="AA156" s="25">
        <f t="shared" si="287"/>
        <v>0</v>
      </c>
      <c r="AB156" s="25">
        <f t="shared" si="287"/>
        <v>0</v>
      </c>
      <c r="AC156" s="138" t="e">
        <f t="shared" ref="AC156" si="288">((AB156/G156)^(1/($AB$3-$H$1) ))-1</f>
        <v>#DIV/0!</v>
      </c>
      <c r="AD156" s="31">
        <v>0.08</v>
      </c>
      <c r="AE156" s="127" t="e">
        <f t="shared" ref="AE156" si="289">(AB156*(1+AC156))/($C$1-AD156)</f>
        <v>#DIV/0!</v>
      </c>
    </row>
    <row r="157" spans="2:31" x14ac:dyDescent="0.2">
      <c r="B157" s="20" t="s">
        <v>390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 t="e">
        <f t="shared" si="290"/>
        <v>#DIV/0!</v>
      </c>
      <c r="G157" s="25">
        <f t="shared" si="290"/>
        <v>0</v>
      </c>
      <c r="H157" s="25">
        <f t="shared" si="290"/>
        <v>0</v>
      </c>
      <c r="I157" s="25">
        <f t="shared" si="290"/>
        <v>0</v>
      </c>
      <c r="J157" s="25">
        <f t="shared" si="290"/>
        <v>0</v>
      </c>
      <c r="K157" s="25">
        <f t="shared" si="290"/>
        <v>0</v>
      </c>
      <c r="L157" s="25">
        <f t="shared" si="290"/>
        <v>0</v>
      </c>
      <c r="M157" s="25">
        <f t="shared" si="290"/>
        <v>0</v>
      </c>
      <c r="N157" s="25">
        <f t="shared" si="290"/>
        <v>0</v>
      </c>
      <c r="O157" s="25">
        <f t="shared" si="290"/>
        <v>0</v>
      </c>
      <c r="P157" s="25">
        <f t="shared" si="290"/>
        <v>0</v>
      </c>
      <c r="Q157" s="118" t="e">
        <f t="shared" si="280"/>
        <v>#DIV/0!</v>
      </c>
      <c r="R157" s="128"/>
      <c r="S157" s="119">
        <f t="shared" ref="S157:AB157" si="291">S155/S47</f>
        <v>0</v>
      </c>
      <c r="T157" s="119">
        <f t="shared" si="291"/>
        <v>0</v>
      </c>
      <c r="U157" s="119">
        <f t="shared" si="291"/>
        <v>0</v>
      </c>
      <c r="V157" s="119">
        <f t="shared" si="291"/>
        <v>0</v>
      </c>
      <c r="W157" s="119">
        <f t="shared" si="291"/>
        <v>0</v>
      </c>
      <c r="X157" s="119">
        <f t="shared" si="291"/>
        <v>0</v>
      </c>
      <c r="Y157" s="119">
        <f t="shared" si="291"/>
        <v>0</v>
      </c>
      <c r="Z157" s="119">
        <f t="shared" si="291"/>
        <v>0</v>
      </c>
      <c r="AA157" s="119">
        <f t="shared" si="291"/>
        <v>0</v>
      </c>
      <c r="AB157" s="119">
        <f t="shared" si="291"/>
        <v>0</v>
      </c>
      <c r="AC157" s="138" t="e">
        <f t="shared" si="283"/>
        <v>#DIV/0!</v>
      </c>
      <c r="AD157" s="31">
        <v>0.08</v>
      </c>
      <c r="AE157" s="127" t="e">
        <f t="shared" si="284"/>
        <v>#DIV/0!</v>
      </c>
    </row>
    <row r="158" spans="2:31" x14ac:dyDescent="0.2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 t="e">
        <f t="shared" si="292"/>
        <v>#DIV/0!</v>
      </c>
      <c r="G158" s="25">
        <f t="shared" si="292"/>
        <v>0</v>
      </c>
      <c r="H158" s="25">
        <f t="shared" si="292"/>
        <v>0</v>
      </c>
      <c r="I158" s="25">
        <f t="shared" si="292"/>
        <v>0</v>
      </c>
      <c r="J158" s="25">
        <f t="shared" si="292"/>
        <v>0</v>
      </c>
      <c r="K158" s="25">
        <f t="shared" si="292"/>
        <v>0</v>
      </c>
      <c r="L158" s="25">
        <f t="shared" si="292"/>
        <v>0</v>
      </c>
      <c r="M158" s="25">
        <f t="shared" si="292"/>
        <v>0</v>
      </c>
      <c r="N158" s="25">
        <f t="shared" si="292"/>
        <v>0</v>
      </c>
      <c r="O158" s="25">
        <f t="shared" si="292"/>
        <v>0</v>
      </c>
      <c r="P158" s="25">
        <f t="shared" si="292"/>
        <v>0</v>
      </c>
      <c r="Q158" s="118" t="e">
        <f t="shared" si="280"/>
        <v>#DIV/0!</v>
      </c>
      <c r="R158" s="128"/>
      <c r="S158" s="119">
        <f t="shared" ref="S158:AB158" si="293">S155/S50</f>
        <v>0</v>
      </c>
      <c r="T158" s="119">
        <f t="shared" si="293"/>
        <v>0</v>
      </c>
      <c r="U158" s="119">
        <f t="shared" si="293"/>
        <v>0</v>
      </c>
      <c r="V158" s="119">
        <f t="shared" si="293"/>
        <v>0</v>
      </c>
      <c r="W158" s="119">
        <f t="shared" si="293"/>
        <v>0</v>
      </c>
      <c r="X158" s="119">
        <f t="shared" si="293"/>
        <v>0</v>
      </c>
      <c r="Y158" s="119">
        <f t="shared" si="293"/>
        <v>0</v>
      </c>
      <c r="Z158" s="119">
        <f t="shared" si="293"/>
        <v>0</v>
      </c>
      <c r="AA158" s="119">
        <f t="shared" si="293"/>
        <v>0</v>
      </c>
      <c r="AB158" s="119">
        <f t="shared" si="293"/>
        <v>0</v>
      </c>
      <c r="AC158" s="138" t="e">
        <f t="shared" si="283"/>
        <v>#DIV/0!</v>
      </c>
      <c r="AD158" s="31">
        <v>0.08</v>
      </c>
      <c r="AE158" s="127" t="e">
        <f t="shared" si="284"/>
        <v>#DIV/0!</v>
      </c>
    </row>
    <row r="159" spans="2:31" x14ac:dyDescent="0.2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 t="e">
        <f t="shared" si="294"/>
        <v>#DIV/0!</v>
      </c>
      <c r="G159" s="25">
        <f t="shared" si="294"/>
        <v>0</v>
      </c>
      <c r="H159" s="25">
        <f t="shared" si="294"/>
        <v>0</v>
      </c>
      <c r="I159" s="25">
        <f t="shared" si="294"/>
        <v>0</v>
      </c>
      <c r="J159" s="25">
        <f t="shared" si="294"/>
        <v>0</v>
      </c>
      <c r="K159" s="25">
        <f t="shared" si="294"/>
        <v>0</v>
      </c>
      <c r="L159" s="25">
        <f t="shared" si="294"/>
        <v>0</v>
      </c>
      <c r="M159" s="25" t="e">
        <f t="shared" si="294"/>
        <v>#VALUE!</v>
      </c>
      <c r="N159" s="25">
        <f t="shared" si="294"/>
        <v>0</v>
      </c>
      <c r="O159" s="25">
        <f t="shared" si="294"/>
        <v>0</v>
      </c>
      <c r="P159" s="25">
        <f t="shared" si="294"/>
        <v>0</v>
      </c>
      <c r="Q159" s="118" t="e">
        <f t="shared" si="280"/>
        <v>#DIV/0!</v>
      </c>
      <c r="R159" s="128"/>
      <c r="S159" s="119">
        <f t="shared" ref="S159:AB159" si="295">S155/S59</f>
        <v>0</v>
      </c>
      <c r="T159" s="119">
        <f t="shared" si="295"/>
        <v>0</v>
      </c>
      <c r="U159" s="119">
        <f t="shared" si="295"/>
        <v>0</v>
      </c>
      <c r="V159" s="119">
        <f t="shared" si="295"/>
        <v>0</v>
      </c>
      <c r="W159" s="119">
        <f t="shared" si="295"/>
        <v>0</v>
      </c>
      <c r="X159" s="119">
        <f t="shared" si="295"/>
        <v>0</v>
      </c>
      <c r="Y159" s="119">
        <f t="shared" si="295"/>
        <v>0</v>
      </c>
      <c r="Z159" s="119">
        <f t="shared" si="295"/>
        <v>0</v>
      </c>
      <c r="AA159" s="119">
        <f t="shared" si="295"/>
        <v>0</v>
      </c>
      <c r="AB159" s="119">
        <f t="shared" si="295"/>
        <v>0</v>
      </c>
      <c r="AC159" s="138" t="e">
        <f t="shared" si="283"/>
        <v>#DIV/0!</v>
      </c>
      <c r="AD159" s="31">
        <v>0.08</v>
      </c>
      <c r="AE159" s="127" t="e">
        <f t="shared" si="284"/>
        <v>#DIV/0!</v>
      </c>
    </row>
    <row r="160" spans="2:31" x14ac:dyDescent="0.2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 t="e">
        <f t="shared" si="296"/>
        <v>#DIV/0!</v>
      </c>
      <c r="G160" s="25">
        <f t="shared" si="296"/>
        <v>0</v>
      </c>
      <c r="H160" s="25">
        <f t="shared" si="296"/>
        <v>0</v>
      </c>
      <c r="I160" s="25">
        <f t="shared" si="296"/>
        <v>0</v>
      </c>
      <c r="J160" s="25">
        <f t="shared" si="296"/>
        <v>0</v>
      </c>
      <c r="K160" s="25">
        <f t="shared" si="296"/>
        <v>0</v>
      </c>
      <c r="L160" s="25">
        <f t="shared" si="296"/>
        <v>0</v>
      </c>
      <c r="M160" s="25">
        <f t="shared" si="296"/>
        <v>0</v>
      </c>
      <c r="N160" s="25">
        <f t="shared" si="296"/>
        <v>0</v>
      </c>
      <c r="O160" s="25">
        <f t="shared" si="296"/>
        <v>0</v>
      </c>
      <c r="P160" s="25">
        <f t="shared" si="296"/>
        <v>0</v>
      </c>
      <c r="Q160" s="118" t="e">
        <f t="shared" si="280"/>
        <v>#DIV/0!</v>
      </c>
      <c r="R160" s="128"/>
      <c r="S160" s="119">
        <f t="shared" ref="S160:AB160" si="297">S155/S61</f>
        <v>0</v>
      </c>
      <c r="T160" s="119">
        <f t="shared" si="297"/>
        <v>0</v>
      </c>
      <c r="U160" s="119">
        <f t="shared" si="297"/>
        <v>0</v>
      </c>
      <c r="V160" s="119">
        <f t="shared" si="297"/>
        <v>0</v>
      </c>
      <c r="W160" s="119">
        <f t="shared" si="297"/>
        <v>0</v>
      </c>
      <c r="X160" s="119">
        <f t="shared" si="297"/>
        <v>0</v>
      </c>
      <c r="Y160" s="119">
        <f t="shared" si="297"/>
        <v>0</v>
      </c>
      <c r="Z160" s="119">
        <f t="shared" si="297"/>
        <v>0</v>
      </c>
      <c r="AA160" s="119">
        <f t="shared" si="297"/>
        <v>0</v>
      </c>
      <c r="AB160" s="119">
        <f t="shared" si="297"/>
        <v>0</v>
      </c>
      <c r="AC160" s="138" t="e">
        <f t="shared" si="283"/>
        <v>#DIV/0!</v>
      </c>
      <c r="AD160" s="31">
        <v>0.08</v>
      </c>
      <c r="AE160" s="127" t="e">
        <f t="shared" si="284"/>
        <v>#DIV/0!</v>
      </c>
    </row>
    <row r="161" spans="2:31" x14ac:dyDescent="0.2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25">
        <f t="shared" ref="G161:P161" si="298">G155/G55</f>
        <v>0</v>
      </c>
      <c r="H161" s="25">
        <f t="shared" si="298"/>
        <v>0</v>
      </c>
      <c r="I161" s="25">
        <f t="shared" si="298"/>
        <v>0</v>
      </c>
      <c r="J161" s="25">
        <f t="shared" si="298"/>
        <v>0</v>
      </c>
      <c r="K161" s="25">
        <f t="shared" si="298"/>
        <v>0</v>
      </c>
      <c r="L161" s="25">
        <f t="shared" si="298"/>
        <v>0</v>
      </c>
      <c r="M161" s="25">
        <f t="shared" si="298"/>
        <v>0</v>
      </c>
      <c r="N161" s="25">
        <f t="shared" si="298"/>
        <v>0</v>
      </c>
      <c r="O161" s="25">
        <f t="shared" si="298"/>
        <v>0</v>
      </c>
      <c r="P161" s="25">
        <f t="shared" si="298"/>
        <v>0</v>
      </c>
      <c r="Q161" s="118" t="e">
        <f t="shared" ref="Q161:Q163" si="299">((P161/G161)^(1/($H$2-$H$1) ))-1</f>
        <v>#DIV/0!</v>
      </c>
      <c r="R161" s="128"/>
      <c r="S161" s="135">
        <f t="shared" ref="S161:AB161" si="300">S155/S55</f>
        <v>0</v>
      </c>
      <c r="T161" s="135">
        <f t="shared" si="300"/>
        <v>0</v>
      </c>
      <c r="U161" s="135">
        <f t="shared" si="300"/>
        <v>0</v>
      </c>
      <c r="V161" s="135">
        <f t="shared" si="300"/>
        <v>0</v>
      </c>
      <c r="W161" s="135">
        <f t="shared" si="300"/>
        <v>0</v>
      </c>
      <c r="X161" s="135">
        <f t="shared" si="300"/>
        <v>0</v>
      </c>
      <c r="Y161" s="135">
        <f t="shared" si="300"/>
        <v>0</v>
      </c>
      <c r="Z161" s="135">
        <f t="shared" si="300"/>
        <v>0</v>
      </c>
      <c r="AA161" s="135">
        <f t="shared" si="300"/>
        <v>0</v>
      </c>
      <c r="AB161" s="135">
        <f t="shared" si="300"/>
        <v>0</v>
      </c>
      <c r="AC161" s="138" t="e">
        <f t="shared" ref="AC161" si="301">((AB161/G161)^(1/($AB$3-$H$1) ))-1</f>
        <v>#DIV/0!</v>
      </c>
      <c r="AD161" s="31">
        <v>0.08</v>
      </c>
      <c r="AE161" s="127" t="e">
        <f t="shared" si="284"/>
        <v>#DIV/0!</v>
      </c>
    </row>
    <row r="162" spans="2:31" x14ac:dyDescent="0.2">
      <c r="B162" s="20" t="s">
        <v>372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 t="e">
        <f t="shared" si="302"/>
        <v>#DIV/0!</v>
      </c>
      <c r="G162" s="161" t="e">
        <f t="shared" si="302"/>
        <v>#DIV/0!</v>
      </c>
      <c r="H162" s="161" t="e">
        <f t="shared" si="302"/>
        <v>#DIV/0!</v>
      </c>
      <c r="I162" s="161" t="e">
        <f t="shared" si="302"/>
        <v>#DIV/0!</v>
      </c>
      <c r="J162" s="161" t="e">
        <f t="shared" si="302"/>
        <v>#DIV/0!</v>
      </c>
      <c r="K162" s="161" t="e">
        <f t="shared" si="302"/>
        <v>#DIV/0!</v>
      </c>
      <c r="L162" s="161" t="e">
        <f t="shared" si="302"/>
        <v>#DIV/0!</v>
      </c>
      <c r="M162" s="161" t="e">
        <f t="shared" si="302"/>
        <v>#DIV/0!</v>
      </c>
      <c r="N162" s="161" t="e">
        <f t="shared" si="302"/>
        <v>#DIV/0!</v>
      </c>
      <c r="O162" s="161" t="e">
        <f t="shared" si="302"/>
        <v>#DIV/0!</v>
      </c>
      <c r="P162" s="161" t="e">
        <f t="shared" si="302"/>
        <v>#DIV/0!</v>
      </c>
      <c r="Q162" s="118" t="e">
        <f t="shared" si="299"/>
        <v>#DIV/0!</v>
      </c>
      <c r="R162" s="128"/>
      <c r="S162" s="161" t="e">
        <f t="shared" ref="S162:AB162" si="303">S47/S155</f>
        <v>#DIV/0!</v>
      </c>
      <c r="T162" s="161" t="e">
        <f t="shared" si="303"/>
        <v>#DIV/0!</v>
      </c>
      <c r="U162" s="161" t="e">
        <f t="shared" si="303"/>
        <v>#DIV/0!</v>
      </c>
      <c r="V162" s="161" t="e">
        <f t="shared" si="303"/>
        <v>#DIV/0!</v>
      </c>
      <c r="W162" s="161" t="e">
        <f t="shared" si="303"/>
        <v>#DIV/0!</v>
      </c>
      <c r="X162" s="161" t="e">
        <f t="shared" si="303"/>
        <v>#DIV/0!</v>
      </c>
      <c r="Y162" s="161" t="e">
        <f t="shared" si="303"/>
        <v>#DIV/0!</v>
      </c>
      <c r="Z162" s="161" t="e">
        <f t="shared" si="303"/>
        <v>#DIV/0!</v>
      </c>
      <c r="AA162" s="161" t="e">
        <f t="shared" si="303"/>
        <v>#DIV/0!</v>
      </c>
      <c r="AB162" s="161" t="e">
        <f t="shared" si="303"/>
        <v>#DIV/0!</v>
      </c>
      <c r="AC162" s="138" t="e">
        <f t="shared" ref="AC162:AC163" si="304">((AB162/G162)^(1/($AB$3-$H$1) ))-1</f>
        <v>#DIV/0!</v>
      </c>
      <c r="AD162" s="31">
        <v>0.08</v>
      </c>
      <c r="AE162" s="127" t="e">
        <f t="shared" si="284"/>
        <v>#DIV/0!</v>
      </c>
    </row>
    <row r="163" spans="2:31" x14ac:dyDescent="0.2">
      <c r="B163" s="20" t="s">
        <v>321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 t="e">
        <f t="shared" si="305"/>
        <v>#DIV/0!</v>
      </c>
      <c r="G163" s="152" t="e">
        <f t="shared" si="305"/>
        <v>#DIV/0!</v>
      </c>
      <c r="H163" s="152" t="e">
        <f t="shared" si="305"/>
        <v>#DIV/0!</v>
      </c>
      <c r="I163" s="152" t="e">
        <f t="shared" si="305"/>
        <v>#DIV/0!</v>
      </c>
      <c r="J163" s="152" t="e">
        <f t="shared" si="305"/>
        <v>#DIV/0!</v>
      </c>
      <c r="K163" s="152" t="e">
        <f t="shared" si="305"/>
        <v>#DIV/0!</v>
      </c>
      <c r="L163" s="152" t="e">
        <f t="shared" si="305"/>
        <v>#DIV/0!</v>
      </c>
      <c r="M163" s="152" t="e">
        <f t="shared" si="305"/>
        <v>#DIV/0!</v>
      </c>
      <c r="N163" s="152" t="e">
        <f t="shared" si="305"/>
        <v>#DIV/0!</v>
      </c>
      <c r="O163" s="152" t="e">
        <f t="shared" si="305"/>
        <v>#DIV/0!</v>
      </c>
      <c r="P163" s="152" t="e">
        <f t="shared" si="305"/>
        <v>#DIV/0!</v>
      </c>
      <c r="Q163" s="118" t="e">
        <f t="shared" si="299"/>
        <v>#DIV/0!</v>
      </c>
      <c r="R163" s="128"/>
      <c r="S163" s="152" t="e">
        <f t="shared" ref="S163:AB163" si="306">S41/S155</f>
        <v>#DIV/0!</v>
      </c>
      <c r="T163" s="152" t="e">
        <f t="shared" si="306"/>
        <v>#DIV/0!</v>
      </c>
      <c r="U163" s="152" t="e">
        <f t="shared" si="306"/>
        <v>#DIV/0!</v>
      </c>
      <c r="V163" s="152" t="e">
        <f t="shared" si="306"/>
        <v>#DIV/0!</v>
      </c>
      <c r="W163" s="152" t="e">
        <f t="shared" si="306"/>
        <v>#DIV/0!</v>
      </c>
      <c r="X163" s="152" t="e">
        <f t="shared" si="306"/>
        <v>#DIV/0!</v>
      </c>
      <c r="Y163" s="152" t="e">
        <f t="shared" si="306"/>
        <v>#DIV/0!</v>
      </c>
      <c r="Z163" s="152" t="e">
        <f t="shared" si="306"/>
        <v>#DIV/0!</v>
      </c>
      <c r="AA163" s="152" t="e">
        <f t="shared" si="306"/>
        <v>#DIV/0!</v>
      </c>
      <c r="AB163" s="152" t="e">
        <f t="shared" si="306"/>
        <v>#DIV/0!</v>
      </c>
      <c r="AC163" s="138" t="e">
        <f t="shared" si="304"/>
        <v>#DIV/0!</v>
      </c>
      <c r="AD163" s="31">
        <v>0.08</v>
      </c>
      <c r="AE163" s="127" t="e">
        <f t="shared" si="284"/>
        <v>#DIV/0!</v>
      </c>
    </row>
    <row r="164" spans="2:31" x14ac:dyDescent="0.2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 x14ac:dyDescent="0.2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1" x14ac:dyDescent="0.2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92" t="s">
        <v>352</v>
      </c>
      <c r="L166" s="193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 t="e">
        <f>(P155-R143)/P155</f>
        <v>#DIV/0!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 t="e">
        <f>(P155-(K168*R134))/P155</f>
        <v>#DIV/0!</v>
      </c>
      <c r="N168" s="20"/>
      <c r="O168" s="20"/>
      <c r="P168" s="128" t="e">
        <f>(P155-R134)/P155</f>
        <v>#DIV/0!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 t="e">
        <f>(P155-(K168*R127))/P155</f>
        <v>#DIV/0!</v>
      </c>
      <c r="N169" s="20"/>
      <c r="O169" s="20"/>
      <c r="P169" s="128" t="e">
        <f>(P155-R127)/P155</f>
        <v>#DIV/0!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 t="e">
        <f>(P155-(K168*R140))/P155</f>
        <v>#DIV/0!</v>
      </c>
      <c r="N170" s="20"/>
      <c r="O170" s="20"/>
      <c r="P170" s="128" t="e">
        <f>(P155-R140)/P155</f>
        <v>#DIV/0!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301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5">
        <f>P155/R126</f>
        <v>0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52" t="e">
        <f>1/P171</f>
        <v>#DIV/0!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 x14ac:dyDescent="0.2">
      <c r="B174" s="108" t="s">
        <v>303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 x14ac:dyDescent="0.2">
      <c r="B175" s="20" t="s">
        <v>306</v>
      </c>
      <c r="C175" s="25" t="e">
        <f t="shared" ref="C175:P175" si="307">C10/C7</f>
        <v>#DIV/0!</v>
      </c>
      <c r="D175" s="25" t="e">
        <f t="shared" si="307"/>
        <v>#DIV/0!</v>
      </c>
      <c r="E175" s="25" t="e">
        <f t="shared" si="307"/>
        <v>#DIV/0!</v>
      </c>
      <c r="F175" s="25" t="e">
        <f t="shared" si="307"/>
        <v>#DIV/0!</v>
      </c>
      <c r="G175" s="25">
        <f t="shared" si="307"/>
        <v>0</v>
      </c>
      <c r="H175" s="25">
        <f t="shared" si="307"/>
        <v>0</v>
      </c>
      <c r="I175" s="25">
        <f t="shared" si="307"/>
        <v>0</v>
      </c>
      <c r="J175" s="25">
        <f t="shared" si="307"/>
        <v>0</v>
      </c>
      <c r="K175" s="25">
        <f t="shared" si="307"/>
        <v>0</v>
      </c>
      <c r="L175" s="25">
        <f t="shared" si="307"/>
        <v>0</v>
      </c>
      <c r="M175" s="25">
        <f t="shared" si="307"/>
        <v>0</v>
      </c>
      <c r="N175" s="25">
        <f t="shared" si="307"/>
        <v>0</v>
      </c>
      <c r="O175" s="25">
        <f t="shared" si="307"/>
        <v>0</v>
      </c>
      <c r="P175" s="25">
        <f t="shared" si="307"/>
        <v>0</v>
      </c>
      <c r="Q175" s="118" t="e">
        <f t="shared" ref="Q175:Q177" si="308">((P175/G175)^(1/($H$2-$H$1) ))-1</f>
        <v>#DIV/0!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 x14ac:dyDescent="0.2">
      <c r="B176" s="20" t="s">
        <v>307</v>
      </c>
      <c r="C176" s="112" t="e">
        <f>C10/C12</f>
        <v>#DIV/0!</v>
      </c>
      <c r="D176" s="112" t="e">
        <f>D10/D12</f>
        <v>#DIV/0!</v>
      </c>
      <c r="E176" s="112" t="e">
        <f>E10/E12</f>
        <v>#DIV/0!</v>
      </c>
      <c r="F176" s="112" t="e">
        <f>F10/F12</f>
        <v>#DIV/0!</v>
      </c>
      <c r="G176" s="112">
        <f>G10/G12</f>
        <v>0</v>
      </c>
      <c r="H176" s="112">
        <f t="shared" ref="H176:P176" si="309">H10/H12</f>
        <v>0</v>
      </c>
      <c r="I176" s="112">
        <f t="shared" si="309"/>
        <v>0</v>
      </c>
      <c r="J176" s="112">
        <f t="shared" si="309"/>
        <v>0</v>
      </c>
      <c r="K176" s="112">
        <f t="shared" si="309"/>
        <v>0</v>
      </c>
      <c r="L176" s="112">
        <f t="shared" si="309"/>
        <v>0</v>
      </c>
      <c r="M176" s="112" t="e">
        <f t="shared" si="309"/>
        <v>#VALUE!</v>
      </c>
      <c r="N176" s="112">
        <f t="shared" si="309"/>
        <v>0</v>
      </c>
      <c r="O176" s="112">
        <f t="shared" si="309"/>
        <v>0</v>
      </c>
      <c r="P176" s="112">
        <f t="shared" si="309"/>
        <v>0</v>
      </c>
      <c r="Q176" s="118" t="e">
        <f t="shared" si="308"/>
        <v>#DIV/0!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 x14ac:dyDescent="0.2">
      <c r="B177" s="20" t="s">
        <v>308</v>
      </c>
      <c r="C177" s="25" t="e">
        <f>C10/(C12+C13)</f>
        <v>#DIV/0!</v>
      </c>
      <c r="D177" s="25" t="e">
        <f>D10/(D12+D13)</f>
        <v>#DIV/0!</v>
      </c>
      <c r="E177" s="25" t="e">
        <f>E10/(E12+E13)</f>
        <v>#DIV/0!</v>
      </c>
      <c r="F177" s="25" t="e">
        <f>F10/(F12+F13)</f>
        <v>#DIV/0!</v>
      </c>
      <c r="G177" s="25">
        <f>G10/(G12+G13)</f>
        <v>0</v>
      </c>
      <c r="H177" s="25">
        <f t="shared" ref="H177:P177" si="310">H10/(H12+H13)</f>
        <v>0</v>
      </c>
      <c r="I177" s="25">
        <f t="shared" si="310"/>
        <v>0</v>
      </c>
      <c r="J177" s="25">
        <f t="shared" si="310"/>
        <v>0</v>
      </c>
      <c r="K177" s="25">
        <f t="shared" si="310"/>
        <v>0</v>
      </c>
      <c r="L177" s="25">
        <f t="shared" si="310"/>
        <v>0</v>
      </c>
      <c r="M177" s="25" t="e">
        <f t="shared" si="310"/>
        <v>#VALUE!</v>
      </c>
      <c r="N177" s="25">
        <f t="shared" si="310"/>
        <v>0</v>
      </c>
      <c r="O177" s="25">
        <f t="shared" si="310"/>
        <v>0</v>
      </c>
      <c r="P177" s="25">
        <f t="shared" si="310"/>
        <v>0</v>
      </c>
      <c r="Q177" s="118" t="e">
        <f t="shared" si="308"/>
        <v>#DIV/0!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 x14ac:dyDescent="0.2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 x14ac:dyDescent="0.2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 x14ac:dyDescent="0.2">
      <c r="B180" s="20"/>
      <c r="C180" s="175" t="s">
        <v>378</v>
      </c>
      <c r="D180" s="176"/>
      <c r="E180" s="176"/>
      <c r="F180" s="176"/>
      <c r="G180" s="176"/>
      <c r="H180" s="176"/>
      <c r="I180" s="176"/>
      <c r="J180" s="176"/>
      <c r="K180" s="20"/>
      <c r="L180" s="189" t="s">
        <v>338</v>
      </c>
      <c r="M180" s="190"/>
      <c r="N180" s="191"/>
      <c r="O180" s="23" t="s">
        <v>341</v>
      </c>
      <c r="P180" s="20"/>
      <c r="Q180" s="189" t="s">
        <v>339</v>
      </c>
      <c r="R180" s="190"/>
      <c r="S180" s="191"/>
      <c r="T180" s="23" t="s">
        <v>341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 x14ac:dyDescent="0.2">
      <c r="B181" s="20"/>
      <c r="C181" s="166" t="s">
        <v>340</v>
      </c>
      <c r="D181" s="166" t="s">
        <v>0</v>
      </c>
      <c r="E181" s="166" t="s">
        <v>379</v>
      </c>
      <c r="F181" s="166" t="s">
        <v>380</v>
      </c>
      <c r="G181" s="166" t="s">
        <v>381</v>
      </c>
      <c r="H181" s="166" t="s">
        <v>382</v>
      </c>
      <c r="I181" s="166" t="s">
        <v>383</v>
      </c>
      <c r="J181" s="166" t="s">
        <v>384</v>
      </c>
      <c r="K181" s="20"/>
      <c r="L181" s="166" t="s">
        <v>340</v>
      </c>
      <c r="M181" s="166"/>
      <c r="N181" s="166" t="s">
        <v>0</v>
      </c>
      <c r="O181" s="166" t="s">
        <v>373</v>
      </c>
      <c r="P181" s="20"/>
      <c r="Q181" s="166" t="s">
        <v>340</v>
      </c>
      <c r="R181" s="166"/>
      <c r="S181" s="166" t="s">
        <v>0</v>
      </c>
      <c r="T181" s="166" t="s">
        <v>373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 x14ac:dyDescent="0.2">
      <c r="B182" s="20"/>
      <c r="C182" s="167" t="s">
        <v>342</v>
      </c>
      <c r="D182" s="21">
        <v>1</v>
      </c>
      <c r="E182" s="177" t="s">
        <v>385</v>
      </c>
      <c r="F182" s="22">
        <v>1</v>
      </c>
      <c r="G182" s="22">
        <v>1</v>
      </c>
      <c r="H182" s="167">
        <f>F182/G182</f>
        <v>1</v>
      </c>
      <c r="I182" s="167">
        <f>H182*D183</f>
        <v>1</v>
      </c>
      <c r="J182" s="178">
        <f>I182+D183</f>
        <v>2</v>
      </c>
      <c r="K182" s="20"/>
      <c r="L182" s="167" t="s">
        <v>342</v>
      </c>
      <c r="M182" s="167"/>
      <c r="N182" s="21">
        <v>0</v>
      </c>
      <c r="O182" s="174">
        <f>N182</f>
        <v>0</v>
      </c>
      <c r="P182" s="20"/>
      <c r="Q182" s="167" t="s">
        <v>342</v>
      </c>
      <c r="R182" s="167"/>
      <c r="S182" s="21">
        <v>0</v>
      </c>
      <c r="T182" s="174">
        <f>S182</f>
        <v>0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 x14ac:dyDescent="0.2">
      <c r="B183" s="20"/>
      <c r="C183" s="167" t="s">
        <v>343</v>
      </c>
      <c r="D183" s="21">
        <v>1</v>
      </c>
      <c r="E183" s="177" t="s">
        <v>386</v>
      </c>
      <c r="F183" s="22">
        <v>1</v>
      </c>
      <c r="G183" s="22">
        <v>1</v>
      </c>
      <c r="H183" s="167">
        <f>F183/G183</f>
        <v>1</v>
      </c>
      <c r="I183" s="167">
        <f>H183*J182</f>
        <v>2</v>
      </c>
      <c r="J183" s="167">
        <f>I183+J182</f>
        <v>4</v>
      </c>
      <c r="K183" s="20"/>
      <c r="L183" s="167" t="s">
        <v>343</v>
      </c>
      <c r="M183" s="167"/>
      <c r="N183" s="21">
        <v>0</v>
      </c>
      <c r="O183" s="174">
        <f>N183</f>
        <v>0</v>
      </c>
      <c r="P183" s="20"/>
      <c r="Q183" s="167" t="s">
        <v>343</v>
      </c>
      <c r="R183" s="167"/>
      <c r="S183" s="21">
        <v>0</v>
      </c>
      <c r="T183" s="174">
        <f>S183</f>
        <v>0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 x14ac:dyDescent="0.2">
      <c r="B184" s="20"/>
      <c r="C184" s="167" t="s">
        <v>345</v>
      </c>
      <c r="D184" s="168">
        <f>D182*D183</f>
        <v>1</v>
      </c>
      <c r="E184" s="177" t="s">
        <v>387</v>
      </c>
      <c r="F184" s="22">
        <v>10</v>
      </c>
      <c r="G184" s="22">
        <v>2</v>
      </c>
      <c r="H184" s="167">
        <f>F184/G184</f>
        <v>5</v>
      </c>
      <c r="I184" s="167">
        <f>H184*J183</f>
        <v>20</v>
      </c>
      <c r="J184" s="167">
        <f>I184</f>
        <v>20</v>
      </c>
      <c r="K184" s="20"/>
      <c r="L184" s="167" t="s">
        <v>344</v>
      </c>
      <c r="M184" s="167"/>
      <c r="N184" s="168">
        <f>N182*N183</f>
        <v>0</v>
      </c>
      <c r="O184" s="174">
        <f>N184</f>
        <v>0</v>
      </c>
      <c r="P184" s="20"/>
      <c r="Q184" s="167" t="s">
        <v>345</v>
      </c>
      <c r="R184" s="167"/>
      <c r="S184" s="168">
        <f>S182*S183</f>
        <v>0</v>
      </c>
      <c r="T184" s="174">
        <f>S184</f>
        <v>0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 x14ac:dyDescent="0.2">
      <c r="B185" s="20"/>
      <c r="C185" s="167" t="s">
        <v>346</v>
      </c>
      <c r="D185" s="21">
        <v>1</v>
      </c>
      <c r="E185" s="177"/>
      <c r="F185" s="167"/>
      <c r="G185" s="167"/>
      <c r="H185" s="169" t="s">
        <v>388</v>
      </c>
      <c r="I185" s="167"/>
      <c r="J185" s="167">
        <f>J184</f>
        <v>20</v>
      </c>
      <c r="K185" s="20"/>
      <c r="L185" s="167" t="s">
        <v>346</v>
      </c>
      <c r="M185" s="167"/>
      <c r="N185" s="21">
        <v>0</v>
      </c>
      <c r="O185" s="21">
        <v>0</v>
      </c>
      <c r="P185" s="20"/>
      <c r="Q185" s="167" t="s">
        <v>346</v>
      </c>
      <c r="R185" s="167"/>
      <c r="S185" s="21">
        <v>0</v>
      </c>
      <c r="T185" s="21">
        <v>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 x14ac:dyDescent="0.2">
      <c r="B186" s="20"/>
      <c r="C186" s="167" t="s">
        <v>343</v>
      </c>
      <c r="D186" s="21">
        <v>1</v>
      </c>
      <c r="E186" s="177" t="s">
        <v>387</v>
      </c>
      <c r="F186" s="22">
        <v>10</v>
      </c>
      <c r="G186" s="22">
        <v>2</v>
      </c>
      <c r="H186" s="167">
        <f>F186/G186</f>
        <v>5</v>
      </c>
      <c r="I186" s="178">
        <f>H186*D183</f>
        <v>5</v>
      </c>
      <c r="J186" s="178">
        <f>I186</f>
        <v>5</v>
      </c>
      <c r="K186" s="20"/>
      <c r="L186" s="167" t="s">
        <v>347</v>
      </c>
      <c r="M186" s="167"/>
      <c r="N186" s="168">
        <f>N185*N183</f>
        <v>0</v>
      </c>
      <c r="O186" s="168">
        <f>O185*O183</f>
        <v>0</v>
      </c>
      <c r="P186" s="20"/>
      <c r="Q186" s="167" t="s">
        <v>343</v>
      </c>
      <c r="R186" s="167"/>
      <c r="S186" s="21">
        <v>0</v>
      </c>
      <c r="T186" s="21">
        <v>0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 x14ac:dyDescent="0.2">
      <c r="B187" s="20"/>
      <c r="C187" s="167" t="s">
        <v>345</v>
      </c>
      <c r="D187" s="168">
        <f>D186*D185</f>
        <v>1</v>
      </c>
      <c r="E187" s="167"/>
      <c r="F187" s="167"/>
      <c r="G187" s="167"/>
      <c r="H187" s="169" t="s">
        <v>388</v>
      </c>
      <c r="I187" s="167"/>
      <c r="J187" s="167">
        <f>J186</f>
        <v>5</v>
      </c>
      <c r="K187" s="20"/>
      <c r="L187" s="167"/>
      <c r="M187" s="167"/>
      <c r="N187" s="168"/>
      <c r="O187" s="168"/>
      <c r="P187" s="20"/>
      <c r="Q187" s="167" t="s">
        <v>345</v>
      </c>
      <c r="R187" s="167"/>
      <c r="S187" s="168">
        <f>S186*S185</f>
        <v>0</v>
      </c>
      <c r="T187" s="168">
        <f>T186*T184</f>
        <v>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 x14ac:dyDescent="0.2">
      <c r="B188" s="20"/>
      <c r="C188" s="167"/>
      <c r="D188" s="168"/>
      <c r="E188" s="177" t="s">
        <v>387</v>
      </c>
      <c r="F188" s="22">
        <v>10</v>
      </c>
      <c r="G188" s="22">
        <v>2</v>
      </c>
      <c r="H188" s="167">
        <f>F188/G188</f>
        <v>5</v>
      </c>
      <c r="I188" s="167">
        <f>H188*J187</f>
        <v>25</v>
      </c>
      <c r="J188" s="167">
        <f>I188</f>
        <v>25</v>
      </c>
      <c r="K188" s="20"/>
      <c r="L188" s="167"/>
      <c r="M188" s="167"/>
      <c r="N188" s="168"/>
      <c r="O188" s="168"/>
      <c r="P188" s="20"/>
      <c r="Q188" s="167"/>
      <c r="R188" s="167"/>
      <c r="S188" s="168"/>
      <c r="T188" s="168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 x14ac:dyDescent="0.2">
      <c r="B189" s="20"/>
      <c r="C189" s="169" t="s">
        <v>348</v>
      </c>
      <c r="D189" s="170">
        <f>D187/D184</f>
        <v>1</v>
      </c>
      <c r="E189" s="177"/>
      <c r="F189" s="167"/>
      <c r="G189" s="167"/>
      <c r="H189" s="169" t="s">
        <v>388</v>
      </c>
      <c r="I189" s="167"/>
      <c r="J189" s="167">
        <f>J188</f>
        <v>25</v>
      </c>
      <c r="K189" s="20"/>
      <c r="L189" s="169" t="s">
        <v>348</v>
      </c>
      <c r="M189" s="169"/>
      <c r="N189" s="170" t="e">
        <f>N186/N184</f>
        <v>#DIV/0!</v>
      </c>
      <c r="O189" s="170" t="e">
        <f>O186/O184</f>
        <v>#DIV/0!</v>
      </c>
      <c r="P189" s="20"/>
      <c r="Q189" s="169" t="s">
        <v>348</v>
      </c>
      <c r="R189" s="169"/>
      <c r="S189" s="170" t="e">
        <f>S187/S184</f>
        <v>#DIV/0!</v>
      </c>
      <c r="T189" s="170" t="e">
        <f>T187/T184</f>
        <v>#DIV/0!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 x14ac:dyDescent="0.2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 x14ac:dyDescent="0.2">
      <c r="B191" s="20"/>
      <c r="C191" s="20"/>
      <c r="D191" s="137"/>
      <c r="E191" s="179"/>
      <c r="F191" s="179"/>
      <c r="G191" s="180"/>
      <c r="H191" s="20"/>
      <c r="I191" s="137"/>
      <c r="J191" s="179"/>
      <c r="K191" s="18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 ht="14.25" x14ac:dyDescent="0.2">
      <c r="B192" s="20"/>
      <c r="C192" s="20"/>
      <c r="D192" s="182" t="s">
        <v>27</v>
      </c>
      <c r="E192" s="183"/>
      <c r="F192" s="183"/>
      <c r="G192" s="184"/>
      <c r="H192" s="20"/>
      <c r="I192" s="182" t="s">
        <v>394</v>
      </c>
      <c r="J192" s="183"/>
      <c r="K192" s="184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 t="s">
        <v>28</v>
      </c>
      <c r="E193" s="127"/>
      <c r="F193" s="127"/>
      <c r="G193" s="21">
        <v>1</v>
      </c>
      <c r="H193" s="20"/>
      <c r="I193" s="20" t="s">
        <v>28</v>
      </c>
      <c r="J193" s="127"/>
      <c r="K193" s="21">
        <f>G193</f>
        <v>1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 t="s">
        <v>29</v>
      </c>
      <c r="E194" s="127"/>
      <c r="F194" s="127"/>
      <c r="G194" s="21">
        <v>2</v>
      </c>
      <c r="H194" s="20"/>
      <c r="I194" s="20" t="s">
        <v>29</v>
      </c>
      <c r="J194" s="20"/>
      <c r="K194" s="21">
        <f>G194</f>
        <v>2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0" t="s">
        <v>30</v>
      </c>
      <c r="E195" s="20"/>
      <c r="F195" s="20"/>
      <c r="G195" s="22">
        <v>2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20"/>
      <c r="D196" s="23" t="s">
        <v>31</v>
      </c>
      <c r="E196" s="3"/>
      <c r="F196" s="3"/>
      <c r="G196" s="3">
        <f>((G194/G193)^(1/G195))-1</f>
        <v>0.41421356237309515</v>
      </c>
      <c r="H196" s="20"/>
      <c r="I196" s="20" t="s">
        <v>395</v>
      </c>
      <c r="J196" s="20"/>
      <c r="K196" s="20">
        <f>(K194-K193)/K193</f>
        <v>1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3" t="s">
        <v>32</v>
      </c>
      <c r="E197" s="165"/>
      <c r="F197" s="165"/>
      <c r="G197" s="24">
        <f>G195*12</f>
        <v>24</v>
      </c>
      <c r="H197" s="20"/>
      <c r="I197" s="20" t="s">
        <v>396</v>
      </c>
      <c r="J197" s="20"/>
      <c r="K197" s="20">
        <f>K194/K193</f>
        <v>2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20"/>
      <c r="D198" s="20" t="s">
        <v>30</v>
      </c>
      <c r="E198" s="25"/>
      <c r="F198" s="25"/>
      <c r="G198" s="25">
        <f>G197/12</f>
        <v>2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20"/>
      <c r="D199" s="23" t="s">
        <v>33</v>
      </c>
      <c r="E199" s="3"/>
      <c r="F199" s="3"/>
      <c r="G199" s="3">
        <f>((G194/G193)^(1/G198))-1</f>
        <v>0.41421356237309515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</sheetData>
  <mergeCells count="7">
    <mergeCell ref="D192:G192"/>
    <mergeCell ref="I192:K192"/>
    <mergeCell ref="AD2:AE2"/>
    <mergeCell ref="AD3:AE3"/>
    <mergeCell ref="L180:N180"/>
    <mergeCell ref="Q180:S180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4" t="s">
        <v>27</v>
      </c>
      <c r="K5" s="194"/>
      <c r="M5" s="194" t="s">
        <v>65</v>
      </c>
      <c r="N5" s="19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4" t="s">
        <v>36</v>
      </c>
      <c r="K14" s="194"/>
      <c r="L14" s="19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4" t="s">
        <v>27</v>
      </c>
      <c r="S5" s="194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4" t="s">
        <v>36</v>
      </c>
      <c r="S14" s="194"/>
      <c r="T14" s="194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4" t="s">
        <v>27</v>
      </c>
      <c r="C2" s="194"/>
      <c r="E2" s="194" t="s">
        <v>65</v>
      </c>
      <c r="F2" s="194"/>
      <c r="H2" s="198" t="s">
        <v>36</v>
      </c>
      <c r="I2" s="19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95" t="s">
        <v>68</v>
      </c>
      <c r="E10" s="196"/>
      <c r="F10" s="196"/>
      <c r="G10" s="196"/>
      <c r="H10" s="197"/>
      <c r="I10" s="195" t="s">
        <v>72</v>
      </c>
      <c r="J10" s="196"/>
      <c r="K10" s="196"/>
      <c r="L10" s="19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2014-04-03T09:41:59Z</dcterms:modified>
</cp:coreProperties>
</file>
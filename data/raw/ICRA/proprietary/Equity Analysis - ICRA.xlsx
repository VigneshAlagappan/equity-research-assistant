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Q43" i="18" l="1"/>
  <c r="Q42" i="18"/>
  <c r="P41" i="18"/>
  <c r="O41" i="18"/>
  <c r="N41" i="18"/>
  <c r="M41" i="18"/>
  <c r="L41" i="18"/>
  <c r="K41" i="18"/>
  <c r="J41" i="18"/>
  <c r="I41" i="18"/>
  <c r="H41" i="18"/>
  <c r="G41" i="18"/>
  <c r="Q40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O12" i="18"/>
  <c r="N12" i="18"/>
  <c r="L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R43" i="18" l="1"/>
  <c r="R42" i="18"/>
  <c r="G210" i="18"/>
  <c r="G209" i="18"/>
  <c r="S42" i="18" l="1"/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K37" i="18"/>
  <c r="L37" i="18"/>
  <c r="M37" i="18"/>
  <c r="J37" i="18"/>
  <c r="I37" i="18"/>
  <c r="H37" i="18"/>
  <c r="G37" i="18"/>
  <c r="P37" i="18"/>
  <c r="O37" i="18"/>
  <c r="N37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Q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Q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Q99" i="18" l="1"/>
  <c r="Q96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C91" i="18" l="1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<sst xmlns="http://schemas.openxmlformats.org/spreadsheetml/2006/main" count="618" uniqueCount="429">
  <si>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</si>
  <si>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</si>
  <si>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</si>
  <si>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</si>
  <si>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</si>
  <si>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</si>
  <si>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</si>
  <si>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</si>
  <si>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</si>
  <si>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</si>
  <si>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</si>
  <si>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</si>
  <si>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</si>
  <si>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</si>
  <si>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</si>
  <si>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</si>
  <si>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</si>
  <si>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</si>
  <si>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</si>
  <si>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</si>
  <si>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</si>
  <si>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</si>
  <si>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</si>
  <si>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</si>
  <si>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</si>
  <si>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</si>
  <si>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</si>
  <si>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</si>
  <si>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</si>
  <si>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</si>
  <si>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</si>
  <si>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</si>
  <si>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</si>
  <si>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</si>
  <si>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</si>
  <si>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</si>
  <si>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</si>
  <si>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</si>
  <si>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</si>
  <si>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</si>
  <si>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</si>
  <si>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</si>
  <si>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</si>
  <si>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</si>
  <si>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</si>
  <si>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</si>
  <si>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</si>
  <si>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</si>
  <si>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</si>
  <si>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</si>
  <si>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</si>
  <si>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</si>
  <si>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</si>
  <si>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</si>
  <si>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</si>
  <si>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</si>
  <si>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</si>
  <si>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</si>
  <si>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</si>
  <si>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</si>
  <si>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</si>
  <si>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</si>
  <si>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</si>
  <si>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</si>
  <si>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</si>
  <si>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</si>
  <si>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</si>
  <si>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</si>
  <si>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</si>
  <si>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</si>
  <si>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</si>
  <si>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</si>
  <si>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</si>
  <si>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</si>
  <si>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</si>
  <si>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</si>
  <si>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</si>
  <si>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</si>
  <si>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</si>
  <si>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</si>
  <si>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</si>
  <si>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</si>
  <si>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</si>
  <si>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</si>
  <si>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</si>
  <si>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</si>
  <si>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</si>
  <si>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</si>
  <si>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</si>
  <si>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</si>
  <si>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</si>
  <si>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</si>
  <si>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</si>
  <si>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</si>
  <si>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</si>
  <si>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</si>
  <si>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</si>
  <si>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</si>
  <si>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</si>
  <si>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</si>
  <si>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</si>
  <si>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</si>
  <si>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</si>
  <si>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</si>
  <si>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</si>
  <si>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</si>
  <si>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</si>
  <si>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</si>
  <si>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</si>
  <si>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</si>
  <si>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</si>
  <si>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</si>
  <si>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</si>
  <si>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</si>
  <si>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</si>
  <si>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</si>
  <si>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</si>
  <si>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</si>
  <si>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</si>
  <si>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</si>
  <si>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</si>
  <si>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</si>
  <si>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</si>
  <si>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</si>
  <si>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</si>
  <si>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</si>
  <si>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</si>
  <si>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</si>
  <si>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</si>
  <si>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</si>
  <si>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</si>
  <si>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</si>
  <si>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</si>
  <si>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</si>
  <si>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</si>
  <si>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</si>
  <si>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</si>
  <si>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</si>
  <si>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</si>
  <si>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</si>
  <si>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</si>
  <si>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</si>
  <si>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</si>
  <si>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</si>
  <si>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</si>
  <si>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</si>
  <si>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</si>
  <si>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</si>
  <si>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</si>
  <si>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</si>
  <si>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</si>
  <si>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</si>
  <si>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</si>
  <si>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</si>
  <si>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</si>
  <si>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</si>
  <si>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</si>
  <si>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</si>
  <si>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</si>
  <si>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</si>
  <si>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</si>
  <si>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</si>
  <si>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</si>
  <si>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</si>
  <si>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</si>
  <si>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</si>
  <si>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</si>
  <si>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</si>
  <si>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</si>
  <si>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</si>
  <si>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</si>
  <si>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</si>
  <si>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</si>
  <si>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</si>
  <si>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</si>
  <si>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</si>
  <si>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</si>
  <si>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</si>
  <si>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</si>
  <si>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</si>
  <si>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</si>
  <si>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</si>
  <si>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</si>
  <si>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</si>
  <si>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</si>
  <si>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</si>
  <si>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</si>
  <si>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</si>
  <si>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</si>
  <si>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</si>
  <si>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</si>
  <si>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</si>
  <si>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</si>
  <si>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</si>
  <si>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</si>
  <si>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</si>
  <si>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</si>
  <si>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</si>
  <si>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</si>
  <si>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</si>
  <si>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</si>
  <si>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</si>
  <si>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</si>
  <si>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</si>
  <si>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</si>
  <si>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</si>
  <si>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</si>
  <si>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</si>
  <si>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</si>
  <si>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</si>
  <si>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</si>
  <si>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</si>
  <si>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</si>
  <si>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</si>
  <si>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</si>
  <si>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</si>
  <si>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</si>
  <si>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</si>
  <si>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</si>
  <si>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</si>
  <si>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</si>
  <si>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</si>
  <si>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</si>
  <si>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</si>
  <si>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</si>
  <si>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</si>
  <si>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</si>
  <si>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</si>
  <si>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</si>
  <si>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</si>
  <si>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</si>
  <si>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</si>
  <si>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</si>
  <si>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</si>
  <si>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</si>
  <si>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</si>
  <si>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</si>
  <si>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</si>
  <si>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</si>
  <si>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</si>
  <si>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</si>
  <si>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</si>
  <si>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</si>
  <si>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</si>
  <si>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</si>
  <si>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</si>
  <si>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</si>
  <si>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</si>
  <si>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</si>
  <si>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</si>
  <si>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</si>
  <si>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</si>
  <si>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</si>
  <si>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</si>
  <si>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</si>
  <si>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</si>
  <si>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</si>
  <si>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</si>
  <si>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</si>
  <si>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</si>
  <si>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</si>
  <si>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</si>
  <si>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</si>
  <si>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</si>
  <si>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</si>
  <si>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</si>
  <si>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</si>
  <si>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</si>
  <si>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</si>
  <si>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</si>
  <si>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</si>
  <si>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</si>
  <si>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</si>
  <si>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</si>
  <si>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</si>
  <si>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</si>
  <si>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</si>
  <si>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</si>
  <si>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</si>
  <si>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</si>
  <si>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</si>
  <si>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</si>
  <si>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</si>
  <si>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</si>
  <si>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</si>
  <si>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</si>
  <si>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</si>
  <si>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</si>
  <si>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</si>
  <si>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</si>
  <si>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</si>
  <si>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</si>
  <si>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</si>
  <si>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</si>
  <si>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</si>
  <si>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</si>
  <si>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</si>
  <si>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</si>
  <si>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</si>
  <si>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</si>
  <si>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</si>
  <si>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</si>
  <si>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</si>
  <si>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</si>
  <si>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</si>
  <si>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</si>
  <si>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</si>
  <si>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</si>
  <si>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</si>
  <si>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</si>
  <si>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</si>
  <si>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</si>
  <si>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</si>
  <si>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</si>
  <si>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</si>
  <si>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</si>
  <si>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</si>
  <si>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</si>
  <si>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</si>
  <si>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</si>
  <si>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</si>
  <si>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</si>
  <si>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</si>
  <si>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</si>
  <si>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</si>
  <si>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</si>
  <si>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</si>
  <si>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</si>
  <si>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</si>
  <si>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</si>
  <si>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</si>
  <si>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</si>
  <si>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</si>
  <si>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</si>
  <si>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</si>
  <si>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</si>
  <si>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</si>
  <si>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</si>
  <si>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</si>
  <si>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</si>
  <si>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</si>
  <si>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</si>
  <si>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</si>
  <si>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</si>
  <si>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</si>
  <si>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</si>
  <si>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</si>
  <si>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</si>
  <si>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</si>
  <si>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</si>
  <si>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</si>
  <si>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</si>
  <si>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</si>
  <si>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</si>
  <si>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</si>
  <si>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</si>
  <si>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</si>
  <si>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</si>
  <si>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</si>
  <si>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</si>
  <si>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</si>
  <si>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</si>
  <si>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</si>
  <si>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</si>
  <si>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</si>
  <si>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</si>
  <si>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</si>
  <si>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</si>
  <si>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</si>
  <si>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</si>
  <si>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</si>
  <si>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</si>
  <si>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</si>
  <si>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</si>
  <si>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</si>
  <si>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</si>
  <si>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</si>
  <si>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</si>
  <si>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</si>
  <si>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</si>
  <si>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</si>
  <si>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</si>
  <si>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</si>
  <si>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</si>
  <si>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</si>
  <si>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</si>
  <si>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</si>
  <si>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</si>
  <si>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</si>
  <si>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</si>
  <si>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</si>
  <si>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</si>
  <si>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</si>
  <si>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</si>
  <si>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</si>
  <si>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</si>
  <si>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</si>
  <si>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</si>
  <si>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</si>
  <si>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</si>
  <si>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</si>
  <si>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</si>
  <si>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</si>
  <si>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</si>
  <si>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</si>
  <si>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</si>
  <si>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</si>
  <si>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</si>
  <si>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</si>
  <si>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</si>
  <si>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</si>
  <si>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</si>
  <si>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</si>
  <si>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</si>
  <si>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</si>
  <si>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</si>
  <si>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</si>
  <si>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</si>
  <si>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</si>
  <si>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</si>
  <si>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</si>
  <si>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</si>
  <si>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</si>
  <si>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</si>
  <si>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</si>
  <si>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</si>
  <si>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</si>
  <si>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</si>
  <si>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11+105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</si>
</sst>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8" fillId="5" borderId="1" xfId="2" applyNumberFormat="1" applyFont="1" applyFill="1" applyBorder="1"/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38272"/>
        <c:axId val="95639808"/>
      </c:lineChart>
      <c:catAx>
        <c:axId val="95638272"/>
        <c:scaling>
          <c:orientation val="minMax"/>
        </c:scaling>
        <c:delete val="0"/>
        <c:axPos val="b"/>
        <c:majorTickMark val="out"/>
        <c:minorTickMark val="none"/>
        <c:tickLblPos val="nextTo"/>
        <c:crossAx val="95639808"/>
        <c:crosses val="autoZero"/>
        <c:auto val="1"/>
        <c:lblAlgn val="ctr"/>
        <c:lblOffset val="100"/>
        <c:noMultiLvlLbl val="0"/>
      </c:catAx>
      <c:valAx>
        <c:axId val="95639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382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G28" sqref="G28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70</v>
      </c>
      <c r="H6" s="147">
        <v>75</v>
      </c>
      <c r="I6" s="147">
        <v>83</v>
      </c>
      <c r="J6" s="147">
        <v>137</v>
      </c>
      <c r="K6" s="147">
        <v>154</v>
      </c>
      <c r="L6" s="147">
        <v>178</v>
      </c>
      <c r="M6" s="147">
        <v>211</v>
      </c>
      <c r="N6" s="147">
        <v>247</v>
      </c>
      <c r="O6" s="147">
        <v>291</v>
      </c>
      <c r="P6" s="147">
        <v>329</v>
      </c>
      <c r="Q6" s="118">
        <f>((P6/G6)^(1/($H$2-$H$1) ))-1</f>
        <v>0.18762010142817953</v>
      </c>
      <c r="R6" s="31">
        <f>$L$2</f>
        <v>0.12</v>
      </c>
      <c r="S6" s="154">
        <f>P6*(1+$R6)</f>
        <v>368.48</v>
      </c>
      <c r="T6" s="154">
        <f>S6*(1+$R6)</f>
        <v>412.69760000000008</v>
      </c>
      <c r="U6" s="154">
        <f t="shared" ref="U6:AB6" si="0">T6*(1+$R6)</f>
        <v>462.22131200000013</v>
      </c>
      <c r="V6" s="154">
        <f t="shared" si="0"/>
        <v>517.68786944000021</v>
      </c>
      <c r="W6" s="154">
        <f t="shared" si="0"/>
        <v>579.8104137728003</v>
      </c>
      <c r="X6" s="154">
        <f t="shared" si="0"/>
        <v>649.3876634255364</v>
      </c>
      <c r="Y6" s="154">
        <f t="shared" si="0"/>
        <v>727.31418303660087</v>
      </c>
      <c r="Z6" s="154">
        <f t="shared" si="0"/>
        <v>814.5918850009931</v>
      </c>
      <c r="AA6" s="154">
        <f t="shared" si="0"/>
        <v>912.34291120111232</v>
      </c>
      <c r="AB6" s="154">
        <f t="shared" si="0"/>
        <v>1021.8240605452459</v>
      </c>
      <c r="AC6" s="138">
        <f>((AB6/G6)^(1/($AB$3-$H$1) ))-1</f>
        <v>0.15153672716260136</v>
      </c>
      <c r="AD6" s="31">
        <f>$L$1</f>
        <v>0.05</v>
      </c>
      <c r="AE6" s="146">
        <f t="shared" ref="AE6:AE43" si="1">(AB6*(1+AD6))/($C$1-AD6)</f>
        <v>6311.2662563088716</v>
      </c>
    </row>
    <row r="7" spans="2:31" x14ac:dyDescent="0.2">
      <c r="B7" s="20" t="s">
        <v>240</v>
      </c>
      <c r="C7" s="141"/>
      <c r="D7" s="141"/>
      <c r="E7" s="147"/>
      <c r="F7" s="147"/>
      <c r="G7" s="147">
        <v>79</v>
      </c>
      <c r="H7" s="147">
        <v>84</v>
      </c>
      <c r="I7" s="147">
        <v>92</v>
      </c>
      <c r="J7" s="147">
        <v>147</v>
      </c>
      <c r="K7" s="147">
        <v>164</v>
      </c>
      <c r="L7" s="147">
        <v>188</v>
      </c>
      <c r="M7" s="147">
        <v>221</v>
      </c>
      <c r="N7" s="147">
        <v>257</v>
      </c>
      <c r="O7" s="147">
        <v>302</v>
      </c>
      <c r="P7" s="147">
        <v>339</v>
      </c>
      <c r="Q7" s="118">
        <f>((P7/G7)^(1/($H$2-$H$1) ))-1</f>
        <v>0.17567110699054989</v>
      </c>
      <c r="R7" s="31">
        <f>$L$2</f>
        <v>0.12</v>
      </c>
      <c r="S7" s="154">
        <f t="shared" ref="S7:S16" si="2">P7*(1+$R7)</f>
        <v>379.68000000000006</v>
      </c>
      <c r="T7" s="154">
        <f t="shared" ref="T7:AB7" si="3">S7*(1+$R7)</f>
        <v>425.24160000000012</v>
      </c>
      <c r="U7" s="154">
        <f t="shared" si="3"/>
        <v>476.27059200000019</v>
      </c>
      <c r="V7" s="154">
        <f t="shared" si="3"/>
        <v>533.42306304000022</v>
      </c>
      <c r="W7" s="154">
        <f t="shared" si="3"/>
        <v>597.43383060480028</v>
      </c>
      <c r="X7" s="154">
        <f t="shared" si="3"/>
        <v>669.12589027737636</v>
      </c>
      <c r="Y7" s="154">
        <f t="shared" si="3"/>
        <v>749.42099711066157</v>
      </c>
      <c r="Z7" s="154">
        <f t="shared" si="3"/>
        <v>839.35151676394105</v>
      </c>
      <c r="AA7" s="154">
        <f t="shared" si="3"/>
        <v>940.07369877561405</v>
      </c>
      <c r="AB7" s="154">
        <f t="shared" si="3"/>
        <v>1052.8825426286878</v>
      </c>
      <c r="AC7" s="138">
        <f>((AB7/G7)^(1/($AB$3-$H$1) ))-1</f>
        <v>0.14603404035013567</v>
      </c>
      <c r="AD7" s="31">
        <f>$L$1</f>
        <v>0.05</v>
      </c>
      <c r="AE7" s="146">
        <f t="shared" si="1"/>
        <v>6503.0980574124851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5.9523809523809521E-2</v>
      </c>
      <c r="I8" s="151">
        <f t="shared" ref="I8:P8" si="4">(I7-H7)/I7</f>
        <v>8.6956521739130432E-2</v>
      </c>
      <c r="J8" s="151">
        <f t="shared" si="4"/>
        <v>0.37414965986394561</v>
      </c>
      <c r="K8" s="151">
        <f t="shared" si="4"/>
        <v>0.10365853658536585</v>
      </c>
      <c r="L8" s="151">
        <f t="shared" si="4"/>
        <v>0.1276595744680851</v>
      </c>
      <c r="M8" s="151">
        <f t="shared" si="4"/>
        <v>0.14932126696832579</v>
      </c>
      <c r="N8" s="151">
        <f t="shared" si="4"/>
        <v>0.14007782101167315</v>
      </c>
      <c r="O8" s="151">
        <f t="shared" si="4"/>
        <v>0.1490066225165563</v>
      </c>
      <c r="P8" s="151">
        <f t="shared" si="4"/>
        <v>0.10914454277286136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5.48</v>
      </c>
      <c r="H9" s="147">
        <v>5.91</v>
      </c>
      <c r="I9" s="147">
        <v>6.65</v>
      </c>
      <c r="J9" s="147">
        <v>2831</v>
      </c>
      <c r="K9" s="147">
        <v>23</v>
      </c>
      <c r="L9" s="147">
        <v>37</v>
      </c>
      <c r="M9" s="147">
        <v>54</v>
      </c>
      <c r="N9" s="147">
        <v>46</v>
      </c>
      <c r="O9" s="147">
        <v>35</v>
      </c>
      <c r="P9" s="147">
        <v>44</v>
      </c>
      <c r="Q9" s="118">
        <f t="shared" ref="Q9:Q16" si="5">((P9/G9)^(1/($H$2-$H$1) ))-1</f>
        <v>0.26043113994603861</v>
      </c>
      <c r="R9" s="31">
        <f t="shared" ref="R9:R40" si="6">$L$2</f>
        <v>0.12</v>
      </c>
      <c r="S9" s="154">
        <f t="shared" ref="S9" si="7">P9*(1+$R9)</f>
        <v>49.28</v>
      </c>
      <c r="T9" s="154">
        <f t="shared" ref="T9" si="8">S9*(1+$R9)</f>
        <v>55.193600000000004</v>
      </c>
      <c r="U9" s="154">
        <f t="shared" ref="U9" si="9">T9*(1+$R9)</f>
        <v>61.816832000000012</v>
      </c>
      <c r="V9" s="154">
        <f t="shared" ref="V9" si="10">U9*(1+$R9)</f>
        <v>69.234851840000019</v>
      </c>
      <c r="W9" s="154">
        <f t="shared" ref="W9" si="11">V9*(1+$R9)</f>
        <v>77.543034060800025</v>
      </c>
      <c r="X9" s="154">
        <f t="shared" ref="X9" si="12">W9*(1+$R9)</f>
        <v>86.848198148096031</v>
      </c>
      <c r="Y9" s="154">
        <f t="shared" ref="Y9" si="13">X9*(1+$R9)</f>
        <v>97.269981925867569</v>
      </c>
      <c r="Z9" s="154">
        <f t="shared" ref="Z9" si="14">Y9*(1+$R9)</f>
        <v>108.94237975697169</v>
      </c>
      <c r="AA9" s="154">
        <f t="shared" ref="AA9" si="15">Z9*(1+$R9)</f>
        <v>122.0154653278083</v>
      </c>
      <c r="AB9" s="154">
        <f t="shared" ref="AB9" si="16">AA9*(1+$R9)</f>
        <v>136.65732116714531</v>
      </c>
      <c r="AC9" s="138">
        <f>((AB9/G9)^(1/($AB$3-$H$1) ))-1</f>
        <v>0.18445494237170834</v>
      </c>
      <c r="AD9" s="31">
        <f t="shared" ref="AD9:AD79" si="17">$L$1</f>
        <v>0.05</v>
      </c>
      <c r="AE9" s="146">
        <f t="shared" si="1"/>
        <v>844.05992485589763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2" si="19">((AB10/G10)^(1/($AB$3-$H$1) ))-1</f>
        <v>#DIV/0!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3</v>
      </c>
      <c r="H12" s="147">
        <v>4</v>
      </c>
      <c r="I12" s="147">
        <v>4</v>
      </c>
      <c r="J12" s="147">
        <v>2826</v>
      </c>
      <c r="K12" s="147">
        <v>25</v>
      </c>
      <c r="L12" s="147">
        <f>5+107</f>
        <v>112</v>
      </c>
      <c r="M12" s="147" t="s">
        <v>428</v>
      </c>
      <c r="N12" s="147">
        <f>7+35</f>
        <v>42</v>
      </c>
      <c r="O12" s="147">
        <f>6+35</f>
        <v>41</v>
      </c>
      <c r="P12" s="147">
        <v>47</v>
      </c>
      <c r="Q12" s="118">
        <f t="shared" si="5"/>
        <v>0.35761046843377886</v>
      </c>
      <c r="R12" s="31">
        <f t="shared" si="6"/>
        <v>0.12</v>
      </c>
      <c r="S12" s="154">
        <f t="shared" si="2"/>
        <v>52.640000000000008</v>
      </c>
      <c r="T12" s="154">
        <f t="shared" ref="T12:AB12" si="21">S12*(1+$R12)</f>
        <v>58.956800000000015</v>
      </c>
      <c r="U12" s="154">
        <f t="shared" si="21"/>
        <v>66.031616000000028</v>
      </c>
      <c r="V12" s="154">
        <f t="shared" si="21"/>
        <v>73.955409920000037</v>
      </c>
      <c r="W12" s="154">
        <f t="shared" si="21"/>
        <v>82.830059110400043</v>
      </c>
      <c r="X12" s="154">
        <f t="shared" si="21"/>
        <v>92.769666203648057</v>
      </c>
      <c r="Y12" s="154">
        <f t="shared" si="21"/>
        <v>103.90202614808584</v>
      </c>
      <c r="Z12" s="154">
        <f t="shared" si="21"/>
        <v>116.37026928585615</v>
      </c>
      <c r="AA12" s="154">
        <f t="shared" si="21"/>
        <v>130.33470160015889</v>
      </c>
      <c r="AB12" s="154">
        <f t="shared" si="21"/>
        <v>145.97486579217798</v>
      </c>
      <c r="AC12" s="138">
        <f t="shared" si="19"/>
        <v>0.22686768598639406</v>
      </c>
      <c r="AD12" s="31">
        <f t="shared" si="17"/>
        <v>0.05</v>
      </c>
      <c r="AE12" s="146">
        <f t="shared" si="1"/>
        <v>901.60946518698165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65</v>
      </c>
      <c r="H13" s="147">
        <v>60</v>
      </c>
      <c r="I13" s="147">
        <v>68</v>
      </c>
      <c r="J13" s="147">
        <v>68</v>
      </c>
      <c r="K13" s="147">
        <v>90</v>
      </c>
      <c r="L13" s="147">
        <v>30</v>
      </c>
      <c r="M13" s="147">
        <v>74</v>
      </c>
      <c r="N13" s="147">
        <v>191</v>
      </c>
      <c r="O13" s="147">
        <v>236</v>
      </c>
      <c r="P13" s="147">
        <v>229</v>
      </c>
      <c r="Q13" s="118">
        <f t="shared" si="5"/>
        <v>0.15018877550613441</v>
      </c>
      <c r="R13" s="31">
        <f t="shared" si="6"/>
        <v>0.12</v>
      </c>
      <c r="S13" s="154">
        <f t="shared" si="2"/>
        <v>256.48</v>
      </c>
      <c r="T13" s="154">
        <f t="shared" ref="T13:AB13" si="22">S13*(1+$R13)</f>
        <v>287.25760000000002</v>
      </c>
      <c r="U13" s="154">
        <f t="shared" si="22"/>
        <v>321.72851200000008</v>
      </c>
      <c r="V13" s="154">
        <f t="shared" si="22"/>
        <v>360.33593344000013</v>
      </c>
      <c r="W13" s="154">
        <f t="shared" si="22"/>
        <v>403.57624545280021</v>
      </c>
      <c r="X13" s="154">
        <f t="shared" si="22"/>
        <v>452.00539490713629</v>
      </c>
      <c r="Y13" s="154">
        <f t="shared" si="22"/>
        <v>506.24604229599271</v>
      </c>
      <c r="Z13" s="154">
        <f t="shared" si="22"/>
        <v>566.99556737151192</v>
      </c>
      <c r="AA13" s="154">
        <f t="shared" si="22"/>
        <v>635.0350354560934</v>
      </c>
      <c r="AB13" s="154">
        <f t="shared" si="22"/>
        <v>711.23923971082468</v>
      </c>
      <c r="AC13" s="138">
        <f t="shared" si="19"/>
        <v>0.13419988128929838</v>
      </c>
      <c r="AD13" s="31">
        <f t="shared" si="17"/>
        <v>0.05</v>
      </c>
      <c r="AE13" s="146">
        <f t="shared" si="1"/>
        <v>4392.9482452727416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0</v>
      </c>
      <c r="P14" s="147">
        <v>0</v>
      </c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17</v>
      </c>
      <c r="H15" s="147">
        <v>20</v>
      </c>
      <c r="I15" s="147">
        <v>23</v>
      </c>
      <c r="J15" s="147">
        <v>2896</v>
      </c>
      <c r="K15" s="147">
        <v>97</v>
      </c>
      <c r="L15" s="147">
        <v>33</v>
      </c>
      <c r="M15" s="147">
        <v>47</v>
      </c>
      <c r="N15" s="147">
        <v>39</v>
      </c>
      <c r="O15" s="147">
        <v>43</v>
      </c>
      <c r="P15" s="147">
        <v>95</v>
      </c>
      <c r="Q15" s="118">
        <f t="shared" si="5"/>
        <v>0.21068321241032772</v>
      </c>
      <c r="R15" s="31">
        <f t="shared" si="6"/>
        <v>0.12</v>
      </c>
      <c r="S15" s="154">
        <f t="shared" si="2"/>
        <v>106.4</v>
      </c>
      <c r="T15" s="154">
        <f t="shared" ref="T15:AB15" si="36">S15*(1+$R15)</f>
        <v>119.16800000000002</v>
      </c>
      <c r="U15" s="154">
        <f t="shared" si="36"/>
        <v>133.46816000000004</v>
      </c>
      <c r="V15" s="154">
        <f t="shared" si="36"/>
        <v>149.48433920000005</v>
      </c>
      <c r="W15" s="154">
        <f t="shared" si="36"/>
        <v>167.42245990400008</v>
      </c>
      <c r="X15" s="154">
        <f t="shared" si="36"/>
        <v>187.5131550924801</v>
      </c>
      <c r="Y15" s="154">
        <f t="shared" si="36"/>
        <v>210.01473370357775</v>
      </c>
      <c r="Z15" s="154">
        <f t="shared" si="36"/>
        <v>235.21650174800709</v>
      </c>
      <c r="AA15" s="154">
        <f t="shared" si="36"/>
        <v>263.44248195776794</v>
      </c>
      <c r="AB15" s="154">
        <f t="shared" si="36"/>
        <v>295.05557979270014</v>
      </c>
      <c r="AC15" s="138">
        <f t="shared" si="19"/>
        <v>0.16207583156386529</v>
      </c>
      <c r="AD15" s="31">
        <f t="shared" si="17"/>
        <v>0.05</v>
      </c>
      <c r="AE15" s="146">
        <f t="shared" si="1"/>
        <v>1822.4021104843248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1.33</v>
      </c>
      <c r="H16" s="147">
        <v>5.8</v>
      </c>
      <c r="I16" s="147">
        <v>6.72</v>
      </c>
      <c r="J16" s="147">
        <v>51</v>
      </c>
      <c r="K16" s="147">
        <v>45</v>
      </c>
      <c r="L16" s="147">
        <v>128</v>
      </c>
      <c r="M16" s="147">
        <v>113</v>
      </c>
      <c r="N16" s="147">
        <v>32</v>
      </c>
      <c r="O16" s="147">
        <v>31</v>
      </c>
      <c r="P16" s="147">
        <v>48</v>
      </c>
      <c r="Q16" s="118">
        <f t="shared" si="5"/>
        <v>0.48950953781761952</v>
      </c>
      <c r="R16" s="31">
        <f t="shared" si="6"/>
        <v>0.12</v>
      </c>
      <c r="S16" s="154">
        <f t="shared" si="2"/>
        <v>53.760000000000005</v>
      </c>
      <c r="T16" s="154">
        <f t="shared" ref="T16:AB16" si="37">S16*(1+$R16)</f>
        <v>60.211200000000012</v>
      </c>
      <c r="U16" s="154">
        <f t="shared" si="37"/>
        <v>67.436544000000026</v>
      </c>
      <c r="V16" s="154">
        <f t="shared" si="37"/>
        <v>75.528929280000042</v>
      </c>
      <c r="W16" s="154">
        <f t="shared" si="37"/>
        <v>84.592400793600049</v>
      </c>
      <c r="X16" s="154">
        <f t="shared" si="37"/>
        <v>94.743488888832061</v>
      </c>
      <c r="Y16" s="154">
        <f t="shared" si="37"/>
        <v>106.11270755549192</v>
      </c>
      <c r="Z16" s="154">
        <f t="shared" si="37"/>
        <v>118.84623246215097</v>
      </c>
      <c r="AA16" s="154">
        <f t="shared" si="37"/>
        <v>133.1077803576091</v>
      </c>
      <c r="AB16" s="154">
        <f t="shared" si="37"/>
        <v>149.08071400052222</v>
      </c>
      <c r="AC16" s="138">
        <f t="shared" si="19"/>
        <v>0.28195297914497286</v>
      </c>
      <c r="AD16" s="31">
        <f t="shared" si="17"/>
        <v>0.05</v>
      </c>
      <c r="AE16" s="146">
        <f t="shared" si="1"/>
        <v>920.79264529734326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65</v>
      </c>
      <c r="H18" s="147">
        <v>60</v>
      </c>
      <c r="I18" s="147">
        <v>68</v>
      </c>
      <c r="J18" s="147">
        <v>27</v>
      </c>
      <c r="K18" s="147">
        <v>28</v>
      </c>
      <c r="L18" s="147">
        <v>29</v>
      </c>
      <c r="M18" s="147">
        <v>34</v>
      </c>
      <c r="N18" s="147">
        <v>33</v>
      </c>
      <c r="O18" s="147">
        <v>34</v>
      </c>
      <c r="P18" s="147">
        <v>65</v>
      </c>
      <c r="Q18" s="118">
        <f>((P18/G18)^(1/($H$2-$H$1) ))-1</f>
        <v>0</v>
      </c>
      <c r="R18" s="31">
        <f t="shared" si="6"/>
        <v>0.12</v>
      </c>
      <c r="S18" s="154">
        <f t="shared" ref="S18:S34" si="38">P18*(1+$R18)</f>
        <v>72.800000000000011</v>
      </c>
      <c r="T18" s="154">
        <f t="shared" ref="T18:T34" si="39">S18*(1+$R18)</f>
        <v>81.536000000000016</v>
      </c>
      <c r="U18" s="154">
        <f t="shared" ref="U18:U34" si="40">T18*(1+$R18)</f>
        <v>91.320320000000024</v>
      </c>
      <c r="V18" s="154">
        <f t="shared" ref="V18:V34" si="41">U18*(1+$R18)</f>
        <v>102.27875840000003</v>
      </c>
      <c r="W18" s="154">
        <f t="shared" ref="W18:W36" si="42">V18*(1+$R18)</f>
        <v>114.55220940800004</v>
      </c>
      <c r="X18" s="154">
        <f t="shared" ref="X18:X36" si="43">W18*(1+$R18)</f>
        <v>128.29847453696004</v>
      </c>
      <c r="Y18" s="154">
        <f t="shared" ref="Y18:Y36" si="44">X18*(1+$R18)</f>
        <v>143.69429148139525</v>
      </c>
      <c r="Z18" s="154">
        <f t="shared" ref="Z18:Z36" si="45">Y18*(1+$R18)</f>
        <v>160.93760645916271</v>
      </c>
      <c r="AA18" s="154">
        <f t="shared" ref="AA18:AA36" si="46">Z18*(1+$R18)</f>
        <v>180.25011923426226</v>
      </c>
      <c r="AB18" s="154">
        <f t="shared" ref="AB18:AB36" si="47">AA18*(1+$R18)</f>
        <v>201.88013354237376</v>
      </c>
      <c r="AC18" s="138">
        <f t="shared" si="19"/>
        <v>6.1461440986988025E-2</v>
      </c>
      <c r="AD18" s="31">
        <f t="shared" si="17"/>
        <v>0.05</v>
      </c>
      <c r="AE18" s="146">
        <f t="shared" si="1"/>
        <v>1246.9067071734851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1</v>
      </c>
      <c r="H20" s="147"/>
      <c r="I20" s="147">
        <v>13</v>
      </c>
      <c r="J20" s="147">
        <v>12</v>
      </c>
      <c r="K20" s="147">
        <v>30</v>
      </c>
      <c r="L20" s="147">
        <v>36</v>
      </c>
      <c r="M20" s="147">
        <v>42</v>
      </c>
      <c r="N20" s="147">
        <v>42</v>
      </c>
      <c r="O20" s="147">
        <v>39</v>
      </c>
      <c r="P20" s="147">
        <v>41</v>
      </c>
      <c r="Q20" s="118">
        <f>((P20/G20)^(1/($H$2-$H$1) ))-1</f>
        <v>0.5107694922198307</v>
      </c>
      <c r="R20" s="31">
        <f t="shared" si="6"/>
        <v>0.12</v>
      </c>
      <c r="S20" s="154">
        <f t="shared" ref="S20:S22" si="48">P20*(1+$R20)</f>
        <v>45.92</v>
      </c>
      <c r="T20" s="154">
        <f t="shared" ref="T20:T22" si="49">S20*(1+$R20)</f>
        <v>51.430400000000006</v>
      </c>
      <c r="U20" s="154">
        <f t="shared" ref="U20:U22" si="50">T20*(1+$R20)</f>
        <v>57.602048000000011</v>
      </c>
      <c r="V20" s="154">
        <f t="shared" ref="V20:V22" si="51">U20*(1+$R20)</f>
        <v>64.514293760000015</v>
      </c>
      <c r="W20" s="154">
        <f t="shared" ref="W20:W22" si="52">V20*(1+$R20)</f>
        <v>72.256009011200021</v>
      </c>
      <c r="X20" s="154">
        <f t="shared" ref="X20:X22" si="53">W20*(1+$R20)</f>
        <v>80.926730092544034</v>
      </c>
      <c r="Y20" s="154">
        <f t="shared" ref="Y20:Y22" si="54">X20*(1+$R20)</f>
        <v>90.637937703649328</v>
      </c>
      <c r="Z20" s="154">
        <f t="shared" ref="Z20:Z22" si="55">Y20*(1+$R20)</f>
        <v>101.51449022808725</v>
      </c>
      <c r="AA20" s="154">
        <f t="shared" ref="AA20:AA22" si="56">Z20*(1+$R20)</f>
        <v>113.69622905545774</v>
      </c>
      <c r="AB20" s="154">
        <f t="shared" ref="AB20:AB22" si="57">AA20*(1+$R20)</f>
        <v>127.33977654211267</v>
      </c>
      <c r="AC20" s="138">
        <f t="shared" ref="AC20:AC22" si="58">((AB20/G20)^(1/($AB$3-$H$1) ))-1</f>
        <v>0.29058788308230121</v>
      </c>
      <c r="AD20" s="31">
        <f t="shared" si="17"/>
        <v>0.05</v>
      </c>
      <c r="AE20" s="146">
        <f t="shared" si="1"/>
        <v>786.51038452481373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1</v>
      </c>
      <c r="H21" s="147"/>
      <c r="I21" s="147">
        <v>-9</v>
      </c>
      <c r="J21" s="147">
        <v>-40</v>
      </c>
      <c r="K21" s="147">
        <v>-25</v>
      </c>
      <c r="L21" s="147">
        <v>59</v>
      </c>
      <c r="M21" s="147">
        <v>-21</v>
      </c>
      <c r="N21" s="147">
        <v>-100</v>
      </c>
      <c r="O21" s="147">
        <v>27</v>
      </c>
      <c r="P21" s="147">
        <v>-24</v>
      </c>
      <c r="Q21" s="118">
        <f>((P21/G21)^(1/($H$2-$H$1) ))-1</f>
        <v>-2.4234978142529124</v>
      </c>
      <c r="R21" s="31">
        <f t="shared" si="6"/>
        <v>0.12</v>
      </c>
      <c r="S21" s="154">
        <f t="shared" si="48"/>
        <v>-26.880000000000003</v>
      </c>
      <c r="T21" s="154">
        <f t="shared" si="49"/>
        <v>-30.105600000000006</v>
      </c>
      <c r="U21" s="154">
        <f t="shared" si="50"/>
        <v>-33.718272000000013</v>
      </c>
      <c r="V21" s="154">
        <f t="shared" si="51"/>
        <v>-37.764464640000021</v>
      </c>
      <c r="W21" s="154">
        <f t="shared" si="52"/>
        <v>-42.296200396800025</v>
      </c>
      <c r="X21" s="154">
        <f t="shared" si="53"/>
        <v>-47.371744444416031</v>
      </c>
      <c r="Y21" s="154">
        <f t="shared" si="54"/>
        <v>-53.056353777745962</v>
      </c>
      <c r="Z21" s="154">
        <f t="shared" si="55"/>
        <v>-59.423116231075483</v>
      </c>
      <c r="AA21" s="154">
        <f t="shared" si="56"/>
        <v>-66.553890178804551</v>
      </c>
      <c r="AB21" s="154">
        <f t="shared" si="57"/>
        <v>-74.54035700026111</v>
      </c>
      <c r="AC21" s="138">
        <f t="shared" si="58"/>
        <v>-2.2547202853565915</v>
      </c>
      <c r="AD21" s="31">
        <f t="shared" si="17"/>
        <v>0.05</v>
      </c>
      <c r="AE21" s="146">
        <f t="shared" si="1"/>
        <v>-460.39632264867163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1</v>
      </c>
      <c r="H22" s="147"/>
      <c r="I22" s="147">
        <v>-3.5</v>
      </c>
      <c r="J22" s="147">
        <v>35</v>
      </c>
      <c r="K22" s="147">
        <v>-5.2</v>
      </c>
      <c r="L22" s="147">
        <v>-11</v>
      </c>
      <c r="M22" s="147">
        <v>-14</v>
      </c>
      <c r="N22" s="147">
        <v>-20</v>
      </c>
      <c r="O22" s="147">
        <v>-15</v>
      </c>
      <c r="P22" s="147">
        <v>-15</v>
      </c>
      <c r="Q22" s="118">
        <f>((P22/G22)^(1/($H$2-$H$1) ))-1</f>
        <v>-2.3510667516017709</v>
      </c>
      <c r="R22" s="31">
        <f t="shared" si="6"/>
        <v>0.12</v>
      </c>
      <c r="S22" s="154">
        <f t="shared" si="48"/>
        <v>-16.8</v>
      </c>
      <c r="T22" s="154">
        <f t="shared" si="49"/>
        <v>-18.816000000000003</v>
      </c>
      <c r="U22" s="154">
        <f t="shared" si="50"/>
        <v>-21.073920000000005</v>
      </c>
      <c r="V22" s="154">
        <f t="shared" si="51"/>
        <v>-23.602790400000007</v>
      </c>
      <c r="W22" s="154">
        <f t="shared" si="52"/>
        <v>-26.435125248000009</v>
      </c>
      <c r="X22" s="154">
        <f t="shared" si="53"/>
        <v>-29.607340277760013</v>
      </c>
      <c r="Y22" s="154">
        <f t="shared" si="54"/>
        <v>-33.160221111091218</v>
      </c>
      <c r="Z22" s="154">
        <f t="shared" si="55"/>
        <v>-37.13944764442217</v>
      </c>
      <c r="AA22" s="154">
        <f t="shared" si="56"/>
        <v>-41.596181361752834</v>
      </c>
      <c r="AB22" s="154">
        <f t="shared" si="57"/>
        <v>-46.58772312516318</v>
      </c>
      <c r="AC22" s="138">
        <f t="shared" si="58"/>
        <v>-2.2240629768362159</v>
      </c>
      <c r="AD22" s="31">
        <f t="shared" si="17"/>
        <v>0.05</v>
      </c>
      <c r="AE22" s="146">
        <f t="shared" si="1"/>
        <v>-287.74770165541969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1</v>
      </c>
      <c r="H23" s="147"/>
      <c r="I23" s="147">
        <v>4</v>
      </c>
      <c r="J23" s="147">
        <v>12</v>
      </c>
      <c r="K23" s="147">
        <v>11</v>
      </c>
      <c r="L23" s="147">
        <v>95</v>
      </c>
      <c r="M23" s="147">
        <v>102</v>
      </c>
      <c r="N23" s="147">
        <v>24</v>
      </c>
      <c r="O23" s="147">
        <v>21</v>
      </c>
      <c r="P23" s="147">
        <v>21</v>
      </c>
      <c r="Q23" s="118">
        <f>((P23/G23)^(1/($H$2-$H$1) ))-1</f>
        <v>0.40253353760291133</v>
      </c>
      <c r="R23" s="31">
        <f t="shared" si="6"/>
        <v>0.12</v>
      </c>
      <c r="S23" s="154">
        <f t="shared" ref="S23" si="59">P23*(1+$R23)</f>
        <v>23.520000000000003</v>
      </c>
      <c r="T23" s="154">
        <f t="shared" ref="T23" si="60">S23*(1+$R23)</f>
        <v>26.342400000000005</v>
      </c>
      <c r="U23" s="154">
        <f t="shared" ref="U23" si="61">T23*(1+$R23)</f>
        <v>29.503488000000008</v>
      </c>
      <c r="V23" s="154">
        <f t="shared" ref="V23" si="62">U23*(1+$R23)</f>
        <v>33.043906560000011</v>
      </c>
      <c r="W23" s="154">
        <f t="shared" ref="W23" si="63">V23*(1+$R23)</f>
        <v>37.009175347200014</v>
      </c>
      <c r="X23" s="154">
        <f t="shared" ref="X23" si="64">W23*(1+$R23)</f>
        <v>41.450276388864019</v>
      </c>
      <c r="Y23" s="154">
        <f t="shared" ref="Y23" si="65">X23*(1+$R23)</f>
        <v>46.424309555527707</v>
      </c>
      <c r="Z23" s="154">
        <f t="shared" ref="Z23" si="66">Y23*(1+$R23)</f>
        <v>51.995226702191033</v>
      </c>
      <c r="AA23" s="154">
        <f t="shared" ref="AA23" si="67">Z23*(1+$R23)</f>
        <v>58.234653906453964</v>
      </c>
      <c r="AB23" s="154">
        <f t="shared" ref="AB23" si="68">AA23*(1+$R23)</f>
        <v>65.222812375228443</v>
      </c>
      <c r="AC23" s="138">
        <f t="shared" ref="AC23" si="69">((AB23/G23)^(1/($AB$3-$H$1) ))-1</f>
        <v>0.24593306561903083</v>
      </c>
      <c r="AD23" s="31">
        <f t="shared" si="17"/>
        <v>0.05</v>
      </c>
      <c r="AE23" s="146">
        <f t="shared" si="1"/>
        <v>402.84678231758755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39</v>
      </c>
      <c r="H25" s="147">
        <v>41</v>
      </c>
      <c r="I25" s="147">
        <v>38</v>
      </c>
      <c r="J25" s="147">
        <v>76</v>
      </c>
      <c r="K25" s="147">
        <v>107</v>
      </c>
      <c r="L25" s="147">
        <v>140</v>
      </c>
      <c r="M25" s="147">
        <v>185</v>
      </c>
      <c r="N25" s="147">
        <v>206</v>
      </c>
      <c r="O25" s="147">
        <v>228</v>
      </c>
      <c r="P25" s="147">
        <v>268</v>
      </c>
      <c r="Q25" s="118">
        <f>((P25/G25)^(1/($H$2-$H$1) ))-1</f>
        <v>0.23881883160015294</v>
      </c>
      <c r="R25" s="31">
        <f t="shared" si="6"/>
        <v>0.12</v>
      </c>
      <c r="S25" s="154">
        <f t="shared" si="38"/>
        <v>300.16000000000003</v>
      </c>
      <c r="T25" s="154">
        <f t="shared" si="39"/>
        <v>336.17920000000004</v>
      </c>
      <c r="U25" s="154">
        <f t="shared" si="40"/>
        <v>376.52070400000008</v>
      </c>
      <c r="V25" s="154">
        <f t="shared" si="41"/>
        <v>421.70318848000011</v>
      </c>
      <c r="W25" s="154">
        <f t="shared" si="42"/>
        <v>472.30757109760015</v>
      </c>
      <c r="X25" s="154">
        <f t="shared" si="43"/>
        <v>528.9844796293122</v>
      </c>
      <c r="Y25" s="154">
        <f t="shared" si="44"/>
        <v>592.4626171848297</v>
      </c>
      <c r="Z25" s="154">
        <f t="shared" si="45"/>
        <v>663.55813124700933</v>
      </c>
      <c r="AA25" s="154">
        <f t="shared" si="46"/>
        <v>743.18510699665057</v>
      </c>
      <c r="AB25" s="154">
        <f t="shared" si="47"/>
        <v>832.36731983624873</v>
      </c>
      <c r="AC25" s="138">
        <f t="shared" si="19"/>
        <v>0.17479083047118249</v>
      </c>
      <c r="AD25" s="31">
        <f t="shared" si="17"/>
        <v>0.05</v>
      </c>
      <c r="AE25" s="146">
        <f t="shared" si="1"/>
        <v>5141.0922695768304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4.878048780487805E-2</v>
      </c>
      <c r="I26" s="148">
        <f t="shared" ref="I26:P26" si="70">(I25-H25)/I25</f>
        <v>-7.8947368421052627E-2</v>
      </c>
      <c r="J26" s="148">
        <f t="shared" si="70"/>
        <v>0.5</v>
      </c>
      <c r="K26" s="148">
        <f t="shared" si="70"/>
        <v>0.28971962616822428</v>
      </c>
      <c r="L26" s="148">
        <f t="shared" si="70"/>
        <v>0.23571428571428571</v>
      </c>
      <c r="M26" s="148">
        <f t="shared" si="70"/>
        <v>0.24324324324324326</v>
      </c>
      <c r="N26" s="148">
        <f t="shared" si="70"/>
        <v>0.10194174757281553</v>
      </c>
      <c r="O26" s="148">
        <f t="shared" si="70"/>
        <v>9.6491228070175433E-2</v>
      </c>
      <c r="P26" s="148">
        <f t="shared" si="70"/>
        <v>0.14925373134328357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23</v>
      </c>
      <c r="H27" s="147">
        <v>28</v>
      </c>
      <c r="I27" s="147">
        <v>20</v>
      </c>
      <c r="J27" s="147">
        <v>46</v>
      </c>
      <c r="K27" s="147">
        <v>62</v>
      </c>
      <c r="L27" s="147">
        <v>80</v>
      </c>
      <c r="M27" s="147">
        <v>101</v>
      </c>
      <c r="N27" s="147">
        <v>127</v>
      </c>
      <c r="O27" s="147">
        <v>145</v>
      </c>
      <c r="P27" s="147">
        <v>191</v>
      </c>
      <c r="Q27" s="118">
        <f>((P27/G27)^(1/($H$2-$H$1) ))-1</f>
        <v>0.26515885356383473</v>
      </c>
      <c r="R27" s="31">
        <f t="shared" si="6"/>
        <v>0.12</v>
      </c>
      <c r="S27" s="154">
        <f t="shared" si="38"/>
        <v>213.92000000000002</v>
      </c>
      <c r="T27" s="154">
        <f t="shared" si="39"/>
        <v>239.59040000000005</v>
      </c>
      <c r="U27" s="154">
        <f t="shared" si="40"/>
        <v>268.34124800000006</v>
      </c>
      <c r="V27" s="154">
        <f t="shared" si="41"/>
        <v>300.54219776000008</v>
      </c>
      <c r="W27" s="154">
        <f t="shared" si="42"/>
        <v>336.60726149120012</v>
      </c>
      <c r="X27" s="154">
        <f t="shared" si="43"/>
        <v>377.00013287014417</v>
      </c>
      <c r="Y27" s="154">
        <f t="shared" si="44"/>
        <v>422.24014881456151</v>
      </c>
      <c r="Z27" s="154">
        <f t="shared" si="45"/>
        <v>472.90896667230891</v>
      </c>
      <c r="AA27" s="154">
        <f t="shared" si="46"/>
        <v>529.65804267298597</v>
      </c>
      <c r="AB27" s="154">
        <f t="shared" si="47"/>
        <v>593.2170077937443</v>
      </c>
      <c r="AC27" s="138">
        <f t="shared" si="19"/>
        <v>0.18655732333585839</v>
      </c>
      <c r="AD27" s="31">
        <f t="shared" si="17"/>
        <v>0.05</v>
      </c>
      <c r="AE27" s="146">
        <f t="shared" si="1"/>
        <v>3663.987401079009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0.17857142857142858</v>
      </c>
      <c r="I28" s="148">
        <f t="shared" si="71"/>
        <v>-0.4</v>
      </c>
      <c r="J28" s="148">
        <f t="shared" si="71"/>
        <v>0.56521739130434778</v>
      </c>
      <c r="K28" s="148">
        <f t="shared" si="71"/>
        <v>0.25806451612903225</v>
      </c>
      <c r="L28" s="148">
        <f t="shared" si="71"/>
        <v>0.22500000000000001</v>
      </c>
      <c r="M28" s="148">
        <f t="shared" si="71"/>
        <v>0.20792079207920791</v>
      </c>
      <c r="N28" s="148">
        <f t="shared" si="71"/>
        <v>0.20472440944881889</v>
      </c>
      <c r="O28" s="148">
        <f t="shared" si="71"/>
        <v>0.12413793103448276</v>
      </c>
      <c r="P28" s="148">
        <f t="shared" si="71"/>
        <v>0.24083769633507854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7">
        <v>0</v>
      </c>
      <c r="M29" s="147">
        <v>0</v>
      </c>
      <c r="N29" s="147">
        <v>0</v>
      </c>
      <c r="O29" s="147">
        <v>0</v>
      </c>
      <c r="P29" s="147">
        <v>0</v>
      </c>
      <c r="Q29" s="118" t="e">
        <f>((P29/G29)^(1/($H$2-$H$1) ))-1</f>
        <v>#DIV/0!</v>
      </c>
      <c r="R29" s="31">
        <f t="shared" si="6"/>
        <v>0.12</v>
      </c>
      <c r="S29" s="154">
        <f t="shared" ref="S29" si="72">P29*(1+$R29)</f>
        <v>0</v>
      </c>
      <c r="T29" s="154">
        <f t="shared" ref="T29" si="73">S29*(1+$R29)</f>
        <v>0</v>
      </c>
      <c r="U29" s="154">
        <f t="shared" ref="U29" si="74">T29*(1+$R29)</f>
        <v>0</v>
      </c>
      <c r="V29" s="154">
        <f t="shared" ref="V29" si="75">U29*(1+$R29)</f>
        <v>0</v>
      </c>
      <c r="W29" s="154">
        <f t="shared" ref="W29" si="76">V29*(1+$R29)</f>
        <v>0</v>
      </c>
      <c r="X29" s="154">
        <f t="shared" ref="X29" si="77">W29*(1+$R29)</f>
        <v>0</v>
      </c>
      <c r="Y29" s="154">
        <f t="shared" ref="Y29" si="78">X29*(1+$R29)</f>
        <v>0</v>
      </c>
      <c r="Z29" s="154">
        <f t="shared" ref="Z29" si="79">Y29*(1+$R29)</f>
        <v>0</v>
      </c>
      <c r="AA29" s="154">
        <f t="shared" ref="AA29" si="80">Z29*(1+$R29)</f>
        <v>0</v>
      </c>
      <c r="AB29" s="154">
        <f t="shared" ref="AB29" si="81">AA29*(1+$R29)</f>
        <v>0</v>
      </c>
      <c r="AC29" s="138" t="e">
        <f t="shared" ref="AC29" si="82">((AB29/G29)^(1/($AB$3-$H$1) ))-1</f>
        <v>#DIV/0!</v>
      </c>
      <c r="AD29" s="31">
        <f t="shared" si="17"/>
        <v>0.05</v>
      </c>
      <c r="AE29" s="146">
        <f t="shared" ref="AE29" si="8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P30" si="84">(G29-F29)/G29</f>
        <v>#DIV/0!</v>
      </c>
      <c r="H30" s="148" t="e">
        <f t="shared" si="84"/>
        <v>#DIV/0!</v>
      </c>
      <c r="I30" s="148" t="e">
        <f t="shared" si="84"/>
        <v>#DIV/0!</v>
      </c>
      <c r="J30" s="148" t="e">
        <f t="shared" si="84"/>
        <v>#DIV/0!</v>
      </c>
      <c r="K30" s="148" t="e">
        <f t="shared" si="84"/>
        <v>#DIV/0!</v>
      </c>
      <c r="L30" s="148" t="e">
        <f t="shared" si="84"/>
        <v>#DIV/0!</v>
      </c>
      <c r="M30" s="148" t="e">
        <f t="shared" si="84"/>
        <v>#DIV/0!</v>
      </c>
      <c r="N30" s="148" t="e">
        <f t="shared" si="84"/>
        <v>#DIV/0!</v>
      </c>
      <c r="O30" s="148" t="e">
        <f t="shared" si="84"/>
        <v>#DIV/0!</v>
      </c>
      <c r="P30" s="148" t="e">
        <f t="shared" si="84"/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85">T31*(1+$R31)</f>
        <v>0</v>
      </c>
      <c r="V31" s="154">
        <f t="shared" si="85"/>
        <v>0</v>
      </c>
      <c r="W31" s="154">
        <f t="shared" si="85"/>
        <v>0</v>
      </c>
      <c r="X31" s="154">
        <f t="shared" si="85"/>
        <v>0</v>
      </c>
      <c r="Y31" s="154">
        <f t="shared" si="85"/>
        <v>0</v>
      </c>
      <c r="Z31" s="154">
        <f t="shared" si="85"/>
        <v>0</v>
      </c>
      <c r="AA31" s="154">
        <f t="shared" si="85"/>
        <v>0</v>
      </c>
      <c r="AB31" s="154">
        <f t="shared" si="85"/>
        <v>0</v>
      </c>
      <c r="AC31" s="138" t="e">
        <f t="shared" ref="AC31" si="86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85"/>
        <v>0</v>
      </c>
      <c r="V32" s="154">
        <f t="shared" si="85"/>
        <v>0</v>
      </c>
      <c r="W32" s="154">
        <f t="shared" si="85"/>
        <v>0</v>
      </c>
      <c r="X32" s="154">
        <f t="shared" si="85"/>
        <v>0</v>
      </c>
      <c r="Y32" s="154">
        <f t="shared" si="85"/>
        <v>0</v>
      </c>
      <c r="Z32" s="154">
        <f t="shared" si="85"/>
        <v>0</v>
      </c>
      <c r="AA32" s="154">
        <f t="shared" si="85"/>
        <v>0</v>
      </c>
      <c r="AB32" s="154">
        <f t="shared" si="85"/>
        <v>0</v>
      </c>
      <c r="AC32" s="138" t="e">
        <f t="shared" ref="AC32" si="87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147">
        <v>0</v>
      </c>
      <c r="P33" s="147">
        <v>0</v>
      </c>
      <c r="Q33" s="118" t="e">
        <f>((P33/G33)^(1/($H$2-$H$1) ))-1</f>
        <v>#DIV/0!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 t="e">
        <f t="shared" si="19"/>
        <v>#DIV/0!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12</v>
      </c>
      <c r="H34" s="147">
        <v>16</v>
      </c>
      <c r="I34" s="147">
        <v>12</v>
      </c>
      <c r="J34" s="147">
        <v>29</v>
      </c>
      <c r="K34" s="147">
        <v>42</v>
      </c>
      <c r="L34" s="147">
        <v>55</v>
      </c>
      <c r="M34" s="147">
        <v>69</v>
      </c>
      <c r="N34" s="147">
        <v>88</v>
      </c>
      <c r="O34" s="147">
        <v>106</v>
      </c>
      <c r="P34" s="147">
        <v>127</v>
      </c>
      <c r="Q34" s="118">
        <f>((P34/G34)^(1/($H$2-$H$1) ))-1</f>
        <v>0.29971144018621065</v>
      </c>
      <c r="R34" s="31">
        <f t="shared" si="6"/>
        <v>0.12</v>
      </c>
      <c r="S34" s="154">
        <f t="shared" si="38"/>
        <v>142.24</v>
      </c>
      <c r="T34" s="154">
        <f t="shared" si="39"/>
        <v>159.30880000000002</v>
      </c>
      <c r="U34" s="154">
        <f t="shared" si="40"/>
        <v>178.42585600000004</v>
      </c>
      <c r="V34" s="154">
        <f t="shared" si="41"/>
        <v>199.83695872000007</v>
      </c>
      <c r="W34" s="154">
        <f t="shared" si="42"/>
        <v>223.8173937664001</v>
      </c>
      <c r="X34" s="154">
        <f t="shared" si="43"/>
        <v>250.67548101836815</v>
      </c>
      <c r="Y34" s="154">
        <f t="shared" si="44"/>
        <v>280.75653874057235</v>
      </c>
      <c r="Z34" s="154">
        <f t="shared" si="45"/>
        <v>314.44732338944107</v>
      </c>
      <c r="AA34" s="154">
        <f t="shared" si="46"/>
        <v>352.18100219617401</v>
      </c>
      <c r="AB34" s="154">
        <f t="shared" si="47"/>
        <v>394.4427224597149</v>
      </c>
      <c r="AC34" s="138">
        <f t="shared" si="19"/>
        <v>0.20179867576289556</v>
      </c>
      <c r="AD34" s="31">
        <f t="shared" si="17"/>
        <v>0.05</v>
      </c>
      <c r="AE34" s="146">
        <f t="shared" si="1"/>
        <v>2436.2638740158864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10</v>
      </c>
      <c r="H36" s="147">
        <v>9</v>
      </c>
      <c r="I36" s="147">
        <v>13.5</v>
      </c>
      <c r="J36" s="147">
        <v>24</v>
      </c>
      <c r="K36" s="147">
        <v>37</v>
      </c>
      <c r="L36" s="147">
        <v>56</v>
      </c>
      <c r="M36" s="147">
        <v>61</v>
      </c>
      <c r="N36" s="147">
        <v>65</v>
      </c>
      <c r="O36" s="147">
        <v>62</v>
      </c>
      <c r="P36" s="147">
        <v>60</v>
      </c>
      <c r="Q36" s="118">
        <f>((P36/G36)^(1/($H$2-$H$1) ))-1</f>
        <v>0.22028493587281051</v>
      </c>
      <c r="R36" s="31">
        <f t="shared" si="6"/>
        <v>0.12</v>
      </c>
      <c r="S36" s="154">
        <f t="shared" ref="S36" si="88">P36*(1+$R36)</f>
        <v>67.2</v>
      </c>
      <c r="T36" s="154">
        <f t="shared" ref="T36" si="89">S36*(1+$R36)</f>
        <v>75.26400000000001</v>
      </c>
      <c r="U36" s="154">
        <f t="shared" ref="U36" si="90">T36*(1+$R36)</f>
        <v>84.295680000000019</v>
      </c>
      <c r="V36" s="154">
        <f t="shared" ref="V36" si="91">U36*(1+$R36)</f>
        <v>94.411161600000028</v>
      </c>
      <c r="W36" s="154">
        <f t="shared" si="42"/>
        <v>105.74050099200004</v>
      </c>
      <c r="X36" s="154">
        <f t="shared" si="43"/>
        <v>118.42936111104005</v>
      </c>
      <c r="Y36" s="154">
        <f t="shared" si="44"/>
        <v>132.64088444436487</v>
      </c>
      <c r="Z36" s="154">
        <f t="shared" si="45"/>
        <v>148.55779057768868</v>
      </c>
      <c r="AA36" s="154">
        <f t="shared" si="46"/>
        <v>166.38472544701133</v>
      </c>
      <c r="AB36" s="154">
        <f t="shared" si="47"/>
        <v>186.35089250065272</v>
      </c>
      <c r="AC36" s="138">
        <f t="shared" si="19"/>
        <v>0.1664323379137238</v>
      </c>
      <c r="AD36" s="31">
        <f t="shared" si="17"/>
        <v>0.05</v>
      </c>
      <c r="AE36" s="146">
        <f t="shared" si="1"/>
        <v>1150.9908066216788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92">(G36-F36)/G36</f>
        <v>1</v>
      </c>
      <c r="H37" s="148">
        <f t="shared" ref="H37" si="93">(H36-G36)/H36</f>
        <v>-0.1111111111111111</v>
      </c>
      <c r="I37" s="148">
        <f t="shared" ref="I37" si="94">(I36-H36)/I36</f>
        <v>0.33333333333333331</v>
      </c>
      <c r="J37" s="148">
        <f t="shared" ref="J37" si="95">(J36-I36)/J36</f>
        <v>0.4375</v>
      </c>
      <c r="K37" s="148">
        <f t="shared" ref="K37" si="96">(K36-J36)/K36</f>
        <v>0.35135135135135137</v>
      </c>
      <c r="L37" s="148">
        <f t="shared" ref="L37" si="97">(L36-K36)/L36</f>
        <v>0.3392857142857143</v>
      </c>
      <c r="M37" s="148">
        <f t="shared" ref="M37" si="98">(M36-L36)/M36</f>
        <v>8.1967213114754092E-2</v>
      </c>
      <c r="N37" s="148">
        <f t="shared" ref="N37" si="99">(N36-M36)/N36</f>
        <v>6.1538461538461542E-2</v>
      </c>
      <c r="O37" s="148">
        <f t="shared" ref="O37" si="100">(O36-N36)/O36</f>
        <v>-4.8387096774193547E-2</v>
      </c>
      <c r="P37" s="148">
        <f t="shared" ref="P37" si="101">(P36-O36)/P36</f>
        <v>-3.3333333333333333E-2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4">
        <f t="shared" ref="S38" si="102">P38*(1+$R38)</f>
        <v>0</v>
      </c>
      <c r="T38" s="154">
        <f t="shared" ref="T38" si="103">S38*(1+$R38)</f>
        <v>0</v>
      </c>
      <c r="U38" s="154">
        <f t="shared" ref="U38" si="104">T38*(1+$R38)</f>
        <v>0</v>
      </c>
      <c r="V38" s="154">
        <f t="shared" ref="V38" si="105">U38*(1+$R38)</f>
        <v>0</v>
      </c>
      <c r="W38" s="154">
        <f t="shared" ref="W38" si="106">V38*(1+$R38)</f>
        <v>0</v>
      </c>
      <c r="X38" s="154">
        <f t="shared" ref="X38" si="107">W38*(1+$R38)</f>
        <v>0</v>
      </c>
      <c r="Y38" s="154">
        <f t="shared" ref="Y38" si="108">X38*(1+$R38)</f>
        <v>0</v>
      </c>
      <c r="Z38" s="154">
        <f t="shared" ref="Z38" si="109">Y38*(1+$R38)</f>
        <v>0</v>
      </c>
      <c r="AA38" s="154">
        <f t="shared" ref="AA38" si="110">Z38*(1+$R38)</f>
        <v>0</v>
      </c>
      <c r="AB38" s="154">
        <f t="shared" ref="AB38" si="111">AA38*(1+$R38)</f>
        <v>0</v>
      </c>
      <c r="AC38" s="138" t="e">
        <f t="shared" ref="AC38" si="112">((AB38/G38)^(1/($AB$3-$H$1) ))-1</f>
        <v>#DIV/0!</v>
      </c>
      <c r="AD38" s="31">
        <f t="shared" si="17"/>
        <v>0.05</v>
      </c>
      <c r="AE38" s="146">
        <f t="shared" ref="AE38" si="113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14">(G38-F38)/G38</f>
        <v>#DIV/0!</v>
      </c>
      <c r="H39" s="148" t="e">
        <f t="shared" ref="H39" si="115">(H38-G38)/H38</f>
        <v>#DIV/0!</v>
      </c>
      <c r="I39" s="148" t="e">
        <f t="shared" ref="I39" si="116">(I38-H38)/I38</f>
        <v>#DIV/0!</v>
      </c>
      <c r="J39" s="148" t="e">
        <f t="shared" ref="J39" si="117">(J38-I38)/J38</f>
        <v>#DIV/0!</v>
      </c>
      <c r="K39" s="148" t="e">
        <f t="shared" ref="K39" si="118">(K38-J38)/K38</f>
        <v>#DIV/0!</v>
      </c>
      <c r="L39" s="148" t="e">
        <f t="shared" ref="L39" si="119">(L38-K38)/L38</f>
        <v>#DIV/0!</v>
      </c>
      <c r="M39" s="148" t="e">
        <f t="shared" ref="M39" si="120">(M38-L38)/M38</f>
        <v>#DIV/0!</v>
      </c>
      <c r="N39" s="148" t="e">
        <f t="shared" ref="N39" si="121">(N38-M38)/N38</f>
        <v>#DIV/0!</v>
      </c>
      <c r="O39" s="148" t="e">
        <f t="shared" ref="O39" si="122">(O38-N38)/O38</f>
        <v>#DIV/0!</v>
      </c>
      <c r="P39" s="148" t="e">
        <f t="shared" ref="P39" si="123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11</v>
      </c>
      <c r="H40" s="147">
        <v>8</v>
      </c>
      <c r="I40" s="147">
        <v>12.2</v>
      </c>
      <c r="J40" s="147">
        <v>10</v>
      </c>
      <c r="K40" s="147">
        <v>28</v>
      </c>
      <c r="L40" s="147">
        <v>39</v>
      </c>
      <c r="M40" s="147">
        <v>53</v>
      </c>
      <c r="N40" s="147">
        <v>48</v>
      </c>
      <c r="O40" s="147">
        <v>54</v>
      </c>
      <c r="P40" s="147">
        <v>58</v>
      </c>
      <c r="Q40" s="118">
        <f>((P40/G40)^(1/($H$2-$H$1) ))-1</f>
        <v>0.20289063954804742</v>
      </c>
      <c r="R40" s="31">
        <f t="shared" si="6"/>
        <v>0.12</v>
      </c>
      <c r="S40" s="154">
        <f>P40*(1+$R40)</f>
        <v>64.960000000000008</v>
      </c>
      <c r="T40" s="154">
        <f t="shared" ref="T40:AB40" si="124">S40*(1+$R40)</f>
        <v>72.755200000000016</v>
      </c>
      <c r="U40" s="154">
        <f t="shared" si="124"/>
        <v>81.485824000000022</v>
      </c>
      <c r="V40" s="154">
        <f t="shared" si="124"/>
        <v>91.264122880000031</v>
      </c>
      <c r="W40" s="154">
        <f t="shared" si="124"/>
        <v>102.21581762560004</v>
      </c>
      <c r="X40" s="154">
        <f t="shared" si="124"/>
        <v>114.48171574067206</v>
      </c>
      <c r="Y40" s="154">
        <f t="shared" si="124"/>
        <v>128.21952162955273</v>
      </c>
      <c r="Z40" s="154">
        <f t="shared" si="124"/>
        <v>143.60586422509908</v>
      </c>
      <c r="AA40" s="154">
        <f t="shared" si="124"/>
        <v>160.83856793211098</v>
      </c>
      <c r="AB40" s="154">
        <f t="shared" si="124"/>
        <v>180.13919608396432</v>
      </c>
      <c r="AC40" s="138">
        <f t="shared" si="19"/>
        <v>0.15852678957974353</v>
      </c>
      <c r="AD40" s="31">
        <f t="shared" si="17"/>
        <v>0.05</v>
      </c>
      <c r="AE40" s="146">
        <f t="shared" si="1"/>
        <v>1112.6244464009562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25">(H40-G40)/H40</f>
        <v>-0.375</v>
      </c>
      <c r="I41" s="148">
        <f t="shared" si="125"/>
        <v>0.34426229508196715</v>
      </c>
      <c r="J41" s="148">
        <f t="shared" si="125"/>
        <v>-0.21999999999999992</v>
      </c>
      <c r="K41" s="148">
        <f t="shared" si="125"/>
        <v>0.6428571428571429</v>
      </c>
      <c r="L41" s="148">
        <f t="shared" si="125"/>
        <v>0.28205128205128205</v>
      </c>
      <c r="M41" s="148">
        <f t="shared" si="125"/>
        <v>0.26415094339622641</v>
      </c>
      <c r="N41" s="148">
        <f t="shared" si="125"/>
        <v>-0.10416666666666667</v>
      </c>
      <c r="O41" s="148">
        <f t="shared" si="125"/>
        <v>0.1111111111111111</v>
      </c>
      <c r="P41" s="148">
        <f t="shared" si="125"/>
        <v>6.8965517241379309E-2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7">
        <v>0.88</v>
      </c>
      <c r="H42" s="207">
        <v>0.88</v>
      </c>
      <c r="I42" s="207">
        <v>0.88</v>
      </c>
      <c r="J42" s="207">
        <v>1</v>
      </c>
      <c r="K42" s="207">
        <v>1</v>
      </c>
      <c r="L42" s="207">
        <v>1</v>
      </c>
      <c r="M42" s="207">
        <v>1</v>
      </c>
      <c r="N42" s="207">
        <v>1</v>
      </c>
      <c r="O42" s="207">
        <v>1</v>
      </c>
      <c r="P42" s="207">
        <v>1</v>
      </c>
      <c r="Q42" s="118">
        <f>((P42/G42)^(1/($H$2-$H$1) ))-1</f>
        <v>1.4305059894554439E-2</v>
      </c>
      <c r="R42" s="31">
        <f>P1</f>
        <v>0.05</v>
      </c>
      <c r="S42" s="154">
        <f t="shared" ref="S42:S43" si="126">P42*(1+$R42)</f>
        <v>1.05</v>
      </c>
      <c r="T42" s="154">
        <f t="shared" ref="T42:AB42" si="127">S42*(1+$R42)</f>
        <v>1.1025</v>
      </c>
      <c r="U42" s="154">
        <f t="shared" si="127"/>
        <v>1.1576250000000001</v>
      </c>
      <c r="V42" s="154">
        <f t="shared" si="127"/>
        <v>1.2155062500000002</v>
      </c>
      <c r="W42" s="154">
        <f t="shared" si="127"/>
        <v>1.2762815625000004</v>
      </c>
      <c r="X42" s="154">
        <f t="shared" si="127"/>
        <v>1.3400956406250004</v>
      </c>
      <c r="Y42" s="154">
        <f t="shared" si="127"/>
        <v>1.4071004226562505</v>
      </c>
      <c r="Z42" s="154">
        <f t="shared" si="127"/>
        <v>1.477455443789063</v>
      </c>
      <c r="AA42" s="154">
        <f t="shared" si="127"/>
        <v>1.5513282159785162</v>
      </c>
      <c r="AB42" s="154">
        <f t="shared" si="127"/>
        <v>1.628894626777442</v>
      </c>
      <c r="AC42" s="138">
        <f t="shared" si="19"/>
        <v>3.2937934907278699E-2</v>
      </c>
      <c r="AD42" s="31">
        <f t="shared" si="17"/>
        <v>0.05</v>
      </c>
      <c r="AE42" s="146">
        <f t="shared" si="1"/>
        <v>10.060819753625379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5</v>
      </c>
      <c r="H43" s="147">
        <v>3.5</v>
      </c>
      <c r="I43" s="147">
        <v>4</v>
      </c>
      <c r="J43" s="147">
        <v>4.5</v>
      </c>
      <c r="K43" s="206">
        <v>10</v>
      </c>
      <c r="L43" s="206">
        <v>12</v>
      </c>
      <c r="M43" s="206">
        <v>17</v>
      </c>
      <c r="N43" s="206">
        <v>17</v>
      </c>
      <c r="O43" s="206">
        <v>20</v>
      </c>
      <c r="P43" s="147">
        <v>22</v>
      </c>
      <c r="Q43" s="118">
        <f>((P43/G43)^(1/($H$2-$H$1) ))-1</f>
        <v>0.17894824918325525</v>
      </c>
      <c r="R43" s="31">
        <f>P1</f>
        <v>0.05</v>
      </c>
      <c r="S43" s="154">
        <f t="shared" si="126"/>
        <v>23.1</v>
      </c>
      <c r="T43" s="154">
        <f t="shared" ref="T43" si="128">S43*(1+$R43)</f>
        <v>24.255000000000003</v>
      </c>
      <c r="U43" s="154">
        <f t="shared" ref="U43" si="129">T43*(1+$R43)</f>
        <v>25.467750000000002</v>
      </c>
      <c r="V43" s="154">
        <f t="shared" ref="V43" si="130">U43*(1+$R43)</f>
        <v>26.741137500000004</v>
      </c>
      <c r="W43" s="154">
        <f t="shared" ref="W43" si="131">V43*(1+$R43)</f>
        <v>28.078194375000006</v>
      </c>
      <c r="X43" s="154">
        <f t="shared" ref="X43" si="132">W43*(1+$R43)</f>
        <v>29.482104093750007</v>
      </c>
      <c r="Y43" s="154">
        <f t="shared" ref="Y43" si="133">X43*(1+$R43)</f>
        <v>30.956209298437507</v>
      </c>
      <c r="Z43" s="154">
        <f t="shared" ref="Z43" si="134">Y43*(1+$R43)</f>
        <v>32.504019763359381</v>
      </c>
      <c r="AA43" s="154">
        <f t="shared" ref="AA43" si="135">Z43*(1+$R43)</f>
        <v>34.129220751527349</v>
      </c>
      <c r="AB43" s="154">
        <f t="shared" ref="AB43" si="136">AA43*(1+$R43)</f>
        <v>35.835681789103717</v>
      </c>
      <c r="AC43" s="138">
        <f t="shared" ref="AC43" si="137">((AB43/G43)^(1/($AB$3-$H$1) ))-1</f>
        <v>0.10922128062578329</v>
      </c>
      <c r="AD43" s="31">
        <f t="shared" si="17"/>
        <v>0.05</v>
      </c>
      <c r="AE43" s="146">
        <f t="shared" si="1"/>
        <v>221.33803457975827</v>
      </c>
    </row>
    <row r="44" spans="2:31" x14ac:dyDescent="0.2">
      <c r="B44" s="20" t="s">
        <v>427</v>
      </c>
      <c r="C44" s="20"/>
      <c r="D44" s="20"/>
      <c r="E44" s="127"/>
      <c r="F44" s="12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38">C25/C42</f>
        <v>0</v>
      </c>
      <c r="D49" s="133">
        <f t="shared" si="138"/>
        <v>0</v>
      </c>
      <c r="E49" s="133">
        <f t="shared" si="138"/>
        <v>0</v>
      </c>
      <c r="F49" s="133">
        <f t="shared" si="138"/>
        <v>0</v>
      </c>
      <c r="G49" s="133">
        <f t="shared" si="138"/>
        <v>44.31818181818182</v>
      </c>
      <c r="H49" s="133">
        <f t="shared" si="138"/>
        <v>46.590909090909093</v>
      </c>
      <c r="I49" s="133">
        <f t="shared" si="138"/>
        <v>43.18181818181818</v>
      </c>
      <c r="J49" s="133">
        <f t="shared" si="138"/>
        <v>76</v>
      </c>
      <c r="K49" s="133">
        <f t="shared" si="138"/>
        <v>107</v>
      </c>
      <c r="L49" s="133">
        <f t="shared" si="138"/>
        <v>140</v>
      </c>
      <c r="M49" s="133">
        <f t="shared" si="138"/>
        <v>185</v>
      </c>
      <c r="N49" s="133">
        <f t="shared" si="138"/>
        <v>206</v>
      </c>
      <c r="O49" s="133">
        <f t="shared" si="138"/>
        <v>228</v>
      </c>
      <c r="P49" s="133">
        <f t="shared" si="138"/>
        <v>268</v>
      </c>
      <c r="Q49" s="118">
        <f>((P49/G49)^(1/($H$2-$H$1) ))-1</f>
        <v>0.22134738411828336</v>
      </c>
      <c r="R49" s="128"/>
      <c r="S49" s="158">
        <f t="shared" ref="S49:AB49" si="139">S25/S42</f>
        <v>285.86666666666667</v>
      </c>
      <c r="T49" s="158">
        <f t="shared" si="139"/>
        <v>304.92444444444448</v>
      </c>
      <c r="U49" s="158">
        <f t="shared" si="139"/>
        <v>325.25274074074076</v>
      </c>
      <c r="V49" s="158">
        <f t="shared" si="139"/>
        <v>346.93625679012348</v>
      </c>
      <c r="W49" s="158">
        <f t="shared" si="139"/>
        <v>370.06534057613169</v>
      </c>
      <c r="X49" s="158">
        <f t="shared" si="139"/>
        <v>394.73636328120716</v>
      </c>
      <c r="Y49" s="158">
        <f t="shared" si="139"/>
        <v>421.05212083328763</v>
      </c>
      <c r="Z49" s="158">
        <f t="shared" si="139"/>
        <v>449.12226222217356</v>
      </c>
      <c r="AA49" s="158">
        <f t="shared" si="139"/>
        <v>479.06374637031848</v>
      </c>
      <c r="AB49" s="158">
        <f t="shared" si="139"/>
        <v>511.00132946167315</v>
      </c>
      <c r="AC49" s="138">
        <f t="shared" ref="AC49" si="140">((AB49/G49)^(1/($AB$3-$H$1) ))-1</f>
        <v>0.13732954398333441</v>
      </c>
      <c r="AD49" s="31">
        <f t="shared" si="17"/>
        <v>0.05</v>
      </c>
      <c r="AE49" s="146">
        <f t="shared" ref="AE49:AE50" si="141">(AB49*(1+AD49))/($C$1-AD49)</f>
        <v>3156.1846819691577</v>
      </c>
    </row>
    <row r="50" spans="2:31" x14ac:dyDescent="0.2">
      <c r="B50" s="20" t="s">
        <v>304</v>
      </c>
      <c r="C50" s="133">
        <f t="shared" ref="C50:P50" si="142">C27/C42</f>
        <v>0</v>
      </c>
      <c r="D50" s="133">
        <f t="shared" si="142"/>
        <v>0</v>
      </c>
      <c r="E50" s="133">
        <f t="shared" si="142"/>
        <v>0</v>
      </c>
      <c r="F50" s="133">
        <f t="shared" si="142"/>
        <v>0</v>
      </c>
      <c r="G50" s="133">
        <f t="shared" si="142"/>
        <v>26.136363636363637</v>
      </c>
      <c r="H50" s="133">
        <f t="shared" si="142"/>
        <v>31.818181818181817</v>
      </c>
      <c r="I50" s="133">
        <f t="shared" si="142"/>
        <v>22.727272727272727</v>
      </c>
      <c r="J50" s="133">
        <f t="shared" si="142"/>
        <v>46</v>
      </c>
      <c r="K50" s="133">
        <f t="shared" si="142"/>
        <v>62</v>
      </c>
      <c r="L50" s="133">
        <f t="shared" si="142"/>
        <v>80</v>
      </c>
      <c r="M50" s="133">
        <f t="shared" si="142"/>
        <v>101</v>
      </c>
      <c r="N50" s="133">
        <f t="shared" si="142"/>
        <v>127</v>
      </c>
      <c r="O50" s="133">
        <f t="shared" si="142"/>
        <v>145</v>
      </c>
      <c r="P50" s="133">
        <f t="shared" si="142"/>
        <v>191</v>
      </c>
      <c r="Q50" s="118">
        <f>((P50/G50)^(1/($H$2-$H$1) ))-1</f>
        <v>0.24731592455563467</v>
      </c>
      <c r="R50" s="128"/>
      <c r="S50" s="158">
        <f t="shared" ref="S50:AB50" si="143">S27/S42</f>
        <v>203.73333333333335</v>
      </c>
      <c r="T50" s="158">
        <f t="shared" si="143"/>
        <v>217.31555555555559</v>
      </c>
      <c r="U50" s="158">
        <f t="shared" si="143"/>
        <v>231.80325925925928</v>
      </c>
      <c r="V50" s="158">
        <f t="shared" si="143"/>
        <v>247.25680987654323</v>
      </c>
      <c r="W50" s="158">
        <f t="shared" si="143"/>
        <v>263.7405972016461</v>
      </c>
      <c r="X50" s="158">
        <f t="shared" si="143"/>
        <v>281.32330368175587</v>
      </c>
      <c r="Y50" s="158">
        <f t="shared" si="143"/>
        <v>300.07819059387293</v>
      </c>
      <c r="Z50" s="158">
        <f t="shared" si="143"/>
        <v>320.08340330013112</v>
      </c>
      <c r="AA50" s="158">
        <f t="shared" si="143"/>
        <v>341.4222968534732</v>
      </c>
      <c r="AB50" s="158">
        <f t="shared" si="143"/>
        <v>364.18378331037144</v>
      </c>
      <c r="AC50" s="138">
        <f t="shared" ref="AC50" si="144">((AB50/G50)^(1/($AB$3-$H$1) ))-1</f>
        <v>0.14872083136570002</v>
      </c>
      <c r="AD50" s="31">
        <f t="shared" si="17"/>
        <v>0.05</v>
      </c>
      <c r="AE50" s="146">
        <f t="shared" si="141"/>
        <v>2249.370426328765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45">C40/C42</f>
        <v>0</v>
      </c>
      <c r="D52" s="25">
        <f t="shared" si="145"/>
        <v>0</v>
      </c>
      <c r="E52" s="25">
        <f t="shared" si="145"/>
        <v>0</v>
      </c>
      <c r="F52" s="133">
        <f t="shared" si="145"/>
        <v>0</v>
      </c>
      <c r="G52" s="133">
        <f t="shared" si="145"/>
        <v>12.5</v>
      </c>
      <c r="H52" s="133">
        <f t="shared" si="145"/>
        <v>9.0909090909090917</v>
      </c>
      <c r="I52" s="133">
        <f t="shared" si="145"/>
        <v>13.863636363636363</v>
      </c>
      <c r="J52" s="133">
        <f t="shared" si="145"/>
        <v>10</v>
      </c>
      <c r="K52" s="133">
        <f t="shared" si="145"/>
        <v>28</v>
      </c>
      <c r="L52" s="133">
        <f t="shared" si="145"/>
        <v>39</v>
      </c>
      <c r="M52" s="133">
        <f t="shared" si="145"/>
        <v>53</v>
      </c>
      <c r="N52" s="133">
        <f t="shared" si="145"/>
        <v>48</v>
      </c>
      <c r="O52" s="133">
        <f t="shared" si="145"/>
        <v>54</v>
      </c>
      <c r="P52" s="133">
        <f t="shared" si="145"/>
        <v>58</v>
      </c>
      <c r="Q52" s="118">
        <f>((P52/G52)^(1/($H$2-$H$1) ))-1</f>
        <v>0.18592589853894448</v>
      </c>
      <c r="R52" s="128"/>
      <c r="S52" s="158">
        <f t="shared" ref="S52:AB52" si="146">S40/S42</f>
        <v>61.866666666666674</v>
      </c>
      <c r="T52" s="158">
        <f t="shared" si="146"/>
        <v>65.991111111111124</v>
      </c>
      <c r="U52" s="158">
        <f t="shared" si="146"/>
        <v>70.390518518518533</v>
      </c>
      <c r="V52" s="158">
        <f t="shared" si="146"/>
        <v>75.083219753086425</v>
      </c>
      <c r="W52" s="158">
        <f t="shared" si="146"/>
        <v>80.088767736625528</v>
      </c>
      <c r="X52" s="158">
        <f t="shared" si="146"/>
        <v>85.428018919067227</v>
      </c>
      <c r="Y52" s="158">
        <f t="shared" si="146"/>
        <v>91.123220180338393</v>
      </c>
      <c r="Z52" s="158">
        <f t="shared" si="146"/>
        <v>97.198101525694312</v>
      </c>
      <c r="AA52" s="158">
        <f t="shared" si="146"/>
        <v>103.67797496074058</v>
      </c>
      <c r="AB52" s="158">
        <f t="shared" si="146"/>
        <v>110.58983995812332</v>
      </c>
      <c r="AC52" s="138">
        <f t="shared" ref="AC52:AC66" si="147">((AB52/G52)^(1/($AB$3-$H$1) ))-1</f>
        <v>0.12158412468774182</v>
      </c>
      <c r="AD52" s="31">
        <f t="shared" si="17"/>
        <v>0.05</v>
      </c>
      <c r="AE52" s="146">
        <f t="shared" ref="AE52:AE80" si="148">(AB52*(1+AD52))/($C$1-AD52)</f>
        <v>683.05489385899716</v>
      </c>
    </row>
    <row r="53" spans="2:31" x14ac:dyDescent="0.2">
      <c r="B53" s="20" t="s">
        <v>388</v>
      </c>
      <c r="C53" s="133">
        <f t="shared" ref="C53:F53" si="149">C20/C42</f>
        <v>0</v>
      </c>
      <c r="D53" s="133">
        <f t="shared" si="149"/>
        <v>0</v>
      </c>
      <c r="E53" s="133">
        <f t="shared" si="149"/>
        <v>0</v>
      </c>
      <c r="F53" s="133">
        <f t="shared" si="149"/>
        <v>0</v>
      </c>
      <c r="G53" s="133">
        <f>G20/G42</f>
        <v>1.1363636363636365</v>
      </c>
      <c r="H53" s="133">
        <f t="shared" ref="H53:P53" si="150">H20/H42</f>
        <v>0</v>
      </c>
      <c r="I53" s="133">
        <f t="shared" si="150"/>
        <v>14.772727272727273</v>
      </c>
      <c r="J53" s="133">
        <f t="shared" si="150"/>
        <v>12</v>
      </c>
      <c r="K53" s="133">
        <f t="shared" si="150"/>
        <v>30</v>
      </c>
      <c r="L53" s="133">
        <f t="shared" si="150"/>
        <v>36</v>
      </c>
      <c r="M53" s="133">
        <f t="shared" si="150"/>
        <v>42</v>
      </c>
      <c r="N53" s="133">
        <f t="shared" si="150"/>
        <v>42</v>
      </c>
      <c r="O53" s="133">
        <f t="shared" si="150"/>
        <v>39</v>
      </c>
      <c r="P53" s="133">
        <f t="shared" si="150"/>
        <v>41</v>
      </c>
      <c r="Q53" s="118">
        <f>((P53/G53)^(1/($H$2-$H$1) ))-1</f>
        <v>0.48946263994472017</v>
      </c>
      <c r="R53" s="128"/>
      <c r="S53" s="133">
        <f t="shared" ref="S53:AB53" si="151">S20/S42</f>
        <v>43.733333333333334</v>
      </c>
      <c r="T53" s="133">
        <f t="shared" si="151"/>
        <v>46.648888888888891</v>
      </c>
      <c r="U53" s="133">
        <f t="shared" si="151"/>
        <v>49.758814814814819</v>
      </c>
      <c r="V53" s="133">
        <f t="shared" si="151"/>
        <v>53.07606913580247</v>
      </c>
      <c r="W53" s="133">
        <f t="shared" si="151"/>
        <v>56.614473744855971</v>
      </c>
      <c r="X53" s="133">
        <f t="shared" si="151"/>
        <v>60.388771994513036</v>
      </c>
      <c r="Y53" s="133">
        <f t="shared" si="151"/>
        <v>64.414690127480583</v>
      </c>
      <c r="Z53" s="133">
        <f t="shared" si="151"/>
        <v>68.709002802645955</v>
      </c>
      <c r="AA53" s="133">
        <f t="shared" si="151"/>
        <v>73.289602989489026</v>
      </c>
      <c r="AB53" s="133">
        <f t="shared" si="151"/>
        <v>78.175576522121631</v>
      </c>
      <c r="AC53" s="138">
        <f t="shared" ref="AC53" si="152">((AB53/G53)^(1/($AB$3-$H$1) ))-1</f>
        <v>0.24943410389720122</v>
      </c>
      <c r="AD53" s="31">
        <f t="shared" si="17"/>
        <v>0.05</v>
      </c>
      <c r="AE53" s="146">
        <f t="shared" si="148"/>
        <v>482.84914910722193</v>
      </c>
    </row>
    <row r="54" spans="2:31" x14ac:dyDescent="0.2">
      <c r="B54" s="20" t="s">
        <v>245</v>
      </c>
      <c r="C54" s="25">
        <f t="shared" ref="C54:P54" si="153">C7/C42</f>
        <v>0</v>
      </c>
      <c r="D54" s="25">
        <f t="shared" si="153"/>
        <v>0</v>
      </c>
      <c r="E54" s="25">
        <f t="shared" si="153"/>
        <v>0</v>
      </c>
      <c r="F54" s="133">
        <f t="shared" si="153"/>
        <v>0</v>
      </c>
      <c r="G54" s="133">
        <f t="shared" si="153"/>
        <v>89.772727272727266</v>
      </c>
      <c r="H54" s="133">
        <f t="shared" si="153"/>
        <v>95.454545454545453</v>
      </c>
      <c r="I54" s="133">
        <f t="shared" si="153"/>
        <v>104.54545454545455</v>
      </c>
      <c r="J54" s="133">
        <f t="shared" si="153"/>
        <v>147</v>
      </c>
      <c r="K54" s="133">
        <f t="shared" si="153"/>
        <v>164</v>
      </c>
      <c r="L54" s="133">
        <f t="shared" si="153"/>
        <v>188</v>
      </c>
      <c r="M54" s="133">
        <f t="shared" si="153"/>
        <v>221</v>
      </c>
      <c r="N54" s="133">
        <f t="shared" si="153"/>
        <v>257</v>
      </c>
      <c r="O54" s="133">
        <f t="shared" si="153"/>
        <v>302</v>
      </c>
      <c r="P54" s="133">
        <f t="shared" si="153"/>
        <v>339</v>
      </c>
      <c r="Q54" s="118">
        <f>((P54/G54)^(1/($H$2-$H$1) ))-1</f>
        <v>0.15909025151937106</v>
      </c>
      <c r="R54" s="128"/>
      <c r="S54" s="158">
        <f t="shared" ref="S54:AB54" si="154">S7/S42</f>
        <v>361.6</v>
      </c>
      <c r="T54" s="158">
        <f t="shared" si="154"/>
        <v>385.70666666666676</v>
      </c>
      <c r="U54" s="158">
        <f t="shared" si="154"/>
        <v>411.42044444444457</v>
      </c>
      <c r="V54" s="158">
        <f t="shared" si="154"/>
        <v>438.84847407407415</v>
      </c>
      <c r="W54" s="158">
        <f t="shared" si="154"/>
        <v>468.10503901234574</v>
      </c>
      <c r="X54" s="158">
        <f t="shared" si="154"/>
        <v>499.31204161316884</v>
      </c>
      <c r="Y54" s="158">
        <f t="shared" si="154"/>
        <v>532.59951105404684</v>
      </c>
      <c r="Z54" s="158">
        <f t="shared" si="154"/>
        <v>568.10614512431664</v>
      </c>
      <c r="AA54" s="158">
        <f t="shared" si="154"/>
        <v>605.9798881326044</v>
      </c>
      <c r="AB54" s="158">
        <f t="shared" si="154"/>
        <v>646.3785473414448</v>
      </c>
      <c r="AC54" s="138">
        <f t="shared" si="147"/>
        <v>0.10948973952922825</v>
      </c>
      <c r="AD54" s="31">
        <f t="shared" si="17"/>
        <v>0.05</v>
      </c>
      <c r="AE54" s="146">
        <f t="shared" si="148"/>
        <v>3992.3380865206891</v>
      </c>
    </row>
    <row r="55" spans="2:31" x14ac:dyDescent="0.2">
      <c r="B55" s="20" t="s">
        <v>246</v>
      </c>
      <c r="C55" s="127">
        <f t="shared" ref="C55:P55" si="155">C6/C42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79.545454545454547</v>
      </c>
      <c r="H55" s="144">
        <f t="shared" si="155"/>
        <v>85.227272727272734</v>
      </c>
      <c r="I55" s="144">
        <f t="shared" si="155"/>
        <v>94.318181818181813</v>
      </c>
      <c r="J55" s="144">
        <f t="shared" si="155"/>
        <v>137</v>
      </c>
      <c r="K55" s="144">
        <f t="shared" si="155"/>
        <v>154</v>
      </c>
      <c r="L55" s="144">
        <f t="shared" si="155"/>
        <v>178</v>
      </c>
      <c r="M55" s="144">
        <f t="shared" si="155"/>
        <v>211</v>
      </c>
      <c r="N55" s="144">
        <f t="shared" si="155"/>
        <v>247</v>
      </c>
      <c r="O55" s="144">
        <f t="shared" si="155"/>
        <v>291</v>
      </c>
      <c r="P55" s="144">
        <f t="shared" si="155"/>
        <v>329</v>
      </c>
      <c r="Q55" s="118">
        <f>((P55/G55)^(1/($H$2-$H$1) ))-1</f>
        <v>0.17087072557011851</v>
      </c>
      <c r="R55" s="128"/>
      <c r="S55" s="157">
        <f t="shared" ref="S55:AB55" si="156">S6/S42</f>
        <v>350.93333333333334</v>
      </c>
      <c r="T55" s="157">
        <f t="shared" si="156"/>
        <v>374.32888888888897</v>
      </c>
      <c r="U55" s="157">
        <f t="shared" si="156"/>
        <v>399.28414814814823</v>
      </c>
      <c r="V55" s="157">
        <f t="shared" si="156"/>
        <v>425.90309135802477</v>
      </c>
      <c r="W55" s="157">
        <f t="shared" si="156"/>
        <v>454.2966307818931</v>
      </c>
      <c r="X55" s="157">
        <f t="shared" si="156"/>
        <v>484.58307283401933</v>
      </c>
      <c r="Y55" s="157">
        <f t="shared" si="156"/>
        <v>516.88861102295402</v>
      </c>
      <c r="Z55" s="157">
        <f t="shared" si="156"/>
        <v>551.34785175781769</v>
      </c>
      <c r="AA55" s="157">
        <f t="shared" si="156"/>
        <v>588.10437520833887</v>
      </c>
      <c r="AB55" s="157">
        <f t="shared" si="156"/>
        <v>627.31133355556153</v>
      </c>
      <c r="AC55" s="138">
        <f t="shared" si="147"/>
        <v>0.11481695874202624</v>
      </c>
      <c r="AD55" s="31">
        <f t="shared" si="17"/>
        <v>0.05</v>
      </c>
      <c r="AE55" s="146">
        <f t="shared" si="148"/>
        <v>3874.5700013725868</v>
      </c>
    </row>
    <row r="56" spans="2:31" x14ac:dyDescent="0.2">
      <c r="B56" s="20" t="s">
        <v>247</v>
      </c>
      <c r="C56" s="127">
        <f t="shared" ref="C56:P56" si="157">C10/C42</f>
        <v>0</v>
      </c>
      <c r="D56" s="127">
        <f t="shared" si="157"/>
        <v>0</v>
      </c>
      <c r="E56" s="127">
        <f t="shared" si="157"/>
        <v>0</v>
      </c>
      <c r="F56" s="144">
        <f t="shared" si="157"/>
        <v>0</v>
      </c>
      <c r="G56" s="144">
        <f t="shared" si="157"/>
        <v>0</v>
      </c>
      <c r="H56" s="144">
        <f t="shared" si="157"/>
        <v>0</v>
      </c>
      <c r="I56" s="144">
        <f t="shared" si="157"/>
        <v>0</v>
      </c>
      <c r="J56" s="144">
        <f t="shared" si="157"/>
        <v>0</v>
      </c>
      <c r="K56" s="144">
        <f t="shared" si="157"/>
        <v>0</v>
      </c>
      <c r="L56" s="144">
        <f t="shared" si="157"/>
        <v>0</v>
      </c>
      <c r="M56" s="144">
        <f t="shared" si="157"/>
        <v>0</v>
      </c>
      <c r="N56" s="144">
        <f t="shared" si="157"/>
        <v>0</v>
      </c>
      <c r="O56" s="144">
        <f t="shared" si="157"/>
        <v>0</v>
      </c>
      <c r="P56" s="144">
        <f t="shared" si="157"/>
        <v>0</v>
      </c>
      <c r="Q56" s="118" t="e">
        <f>((P56/G56)^(1/($H$2-$H$1) ))-1</f>
        <v>#DIV/0!</v>
      </c>
      <c r="R56" s="128"/>
      <c r="S56" s="157">
        <f t="shared" ref="S56:AB56" si="158">S10/S42</f>
        <v>0</v>
      </c>
      <c r="T56" s="157">
        <f t="shared" si="158"/>
        <v>0</v>
      </c>
      <c r="U56" s="157">
        <f t="shared" si="158"/>
        <v>0</v>
      </c>
      <c r="V56" s="157">
        <f t="shared" si="158"/>
        <v>0</v>
      </c>
      <c r="W56" s="157">
        <f t="shared" si="158"/>
        <v>0</v>
      </c>
      <c r="X56" s="157">
        <f t="shared" si="158"/>
        <v>0</v>
      </c>
      <c r="Y56" s="157">
        <f t="shared" si="158"/>
        <v>0</v>
      </c>
      <c r="Z56" s="157">
        <f t="shared" si="158"/>
        <v>0</v>
      </c>
      <c r="AA56" s="157">
        <f t="shared" si="158"/>
        <v>0</v>
      </c>
      <c r="AB56" s="157">
        <f t="shared" si="158"/>
        <v>0</v>
      </c>
      <c r="AC56" s="138" t="e">
        <f t="shared" si="147"/>
        <v>#DIV/0!</v>
      </c>
      <c r="AD56" s="31">
        <f t="shared" si="17"/>
        <v>0.05</v>
      </c>
      <c r="AE56" s="146">
        <f t="shared" si="148"/>
        <v>0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59">(C7-C10)/C42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89.772727272727266</v>
      </c>
      <c r="H58" s="144">
        <f t="shared" si="159"/>
        <v>95.454545454545453</v>
      </c>
      <c r="I58" s="144">
        <f t="shared" si="159"/>
        <v>104.54545454545455</v>
      </c>
      <c r="J58" s="144">
        <f t="shared" si="159"/>
        <v>147</v>
      </c>
      <c r="K58" s="144">
        <f t="shared" si="159"/>
        <v>164</v>
      </c>
      <c r="L58" s="144">
        <f t="shared" si="159"/>
        <v>188</v>
      </c>
      <c r="M58" s="144">
        <f t="shared" si="159"/>
        <v>221</v>
      </c>
      <c r="N58" s="144">
        <f t="shared" si="159"/>
        <v>257</v>
      </c>
      <c r="O58" s="144">
        <f t="shared" si="159"/>
        <v>302</v>
      </c>
      <c r="P58" s="144">
        <f t="shared" si="159"/>
        <v>339</v>
      </c>
      <c r="Q58" s="118">
        <f>((P58/G58)^(1/($H$2-$H$1) ))-1</f>
        <v>0.15909025151937106</v>
      </c>
      <c r="R58" s="128"/>
      <c r="S58" s="157">
        <f t="shared" ref="S58:AB58" si="160">(S7-S10)/S42</f>
        <v>361.6</v>
      </c>
      <c r="T58" s="157">
        <f t="shared" si="160"/>
        <v>385.70666666666676</v>
      </c>
      <c r="U58" s="157">
        <f t="shared" si="160"/>
        <v>411.42044444444457</v>
      </c>
      <c r="V58" s="157">
        <f t="shared" si="160"/>
        <v>438.84847407407415</v>
      </c>
      <c r="W58" s="157">
        <f t="shared" si="160"/>
        <v>468.10503901234574</v>
      </c>
      <c r="X58" s="157">
        <f t="shared" si="160"/>
        <v>499.31204161316884</v>
      </c>
      <c r="Y58" s="157">
        <f t="shared" si="160"/>
        <v>532.59951105404684</v>
      </c>
      <c r="Z58" s="157">
        <f t="shared" si="160"/>
        <v>568.10614512431664</v>
      </c>
      <c r="AA58" s="157">
        <f t="shared" si="160"/>
        <v>605.9798881326044</v>
      </c>
      <c r="AB58" s="157">
        <f t="shared" si="160"/>
        <v>646.3785473414448</v>
      </c>
      <c r="AC58" s="138">
        <f t="shared" si="147"/>
        <v>0.10948973952922825</v>
      </c>
      <c r="AD58" s="31">
        <f t="shared" si="17"/>
        <v>0.05</v>
      </c>
      <c r="AE58" s="146">
        <f t="shared" si="148"/>
        <v>3992.3380865206891</v>
      </c>
    </row>
    <row r="59" spans="2:31" x14ac:dyDescent="0.2">
      <c r="B59" s="20" t="s">
        <v>271</v>
      </c>
      <c r="C59" s="127">
        <f t="shared" ref="C59:P59" si="161">(C7-C10-C9)/C42</f>
        <v>0</v>
      </c>
      <c r="D59" s="127">
        <f t="shared" si="161"/>
        <v>0</v>
      </c>
      <c r="E59" s="127">
        <f t="shared" si="161"/>
        <v>0</v>
      </c>
      <c r="F59" s="144">
        <f t="shared" si="161"/>
        <v>0</v>
      </c>
      <c r="G59" s="144">
        <f t="shared" si="161"/>
        <v>83.545454545454547</v>
      </c>
      <c r="H59" s="144">
        <f t="shared" si="161"/>
        <v>88.738636363636374</v>
      </c>
      <c r="I59" s="144">
        <f t="shared" si="161"/>
        <v>96.98863636363636</v>
      </c>
      <c r="J59" s="144">
        <f t="shared" si="161"/>
        <v>-2684</v>
      </c>
      <c r="K59" s="144">
        <f t="shared" si="161"/>
        <v>141</v>
      </c>
      <c r="L59" s="144">
        <f t="shared" si="161"/>
        <v>151</v>
      </c>
      <c r="M59" s="144">
        <f t="shared" si="161"/>
        <v>167</v>
      </c>
      <c r="N59" s="144">
        <f t="shared" si="161"/>
        <v>211</v>
      </c>
      <c r="O59" s="144">
        <f t="shared" si="161"/>
        <v>267</v>
      </c>
      <c r="P59" s="144">
        <f t="shared" si="161"/>
        <v>295</v>
      </c>
      <c r="Q59" s="118">
        <f>((P59/G59)^(1/($H$2-$H$1) ))-1</f>
        <v>0.15047632964467383</v>
      </c>
      <c r="R59" s="128"/>
      <c r="S59" s="157">
        <f t="shared" ref="S59:AB59" si="162">(S7-S10-S9)/S42</f>
        <v>314.66666666666674</v>
      </c>
      <c r="T59" s="157">
        <f t="shared" si="162"/>
        <v>335.64444444444456</v>
      </c>
      <c r="U59" s="157">
        <f t="shared" si="162"/>
        <v>358.02074074074085</v>
      </c>
      <c r="V59" s="157">
        <f t="shared" si="162"/>
        <v>381.88879012345689</v>
      </c>
      <c r="W59" s="157">
        <f t="shared" si="162"/>
        <v>407.34804279835402</v>
      </c>
      <c r="X59" s="157">
        <f t="shared" si="162"/>
        <v>434.50457898491095</v>
      </c>
      <c r="Y59" s="157">
        <f t="shared" si="162"/>
        <v>463.47155091723835</v>
      </c>
      <c r="Z59" s="157">
        <f t="shared" si="162"/>
        <v>494.36965431172092</v>
      </c>
      <c r="AA59" s="157">
        <f t="shared" si="162"/>
        <v>527.32763126583575</v>
      </c>
      <c r="AB59" s="157">
        <f t="shared" si="162"/>
        <v>562.48280668355812</v>
      </c>
      <c r="AC59" s="138">
        <f t="shared" si="147"/>
        <v>0.10557639927428397</v>
      </c>
      <c r="AD59" s="31">
        <f t="shared" si="17"/>
        <v>0.05</v>
      </c>
      <c r="AE59" s="146">
        <f t="shared" si="148"/>
        <v>3474.1585118690359</v>
      </c>
    </row>
    <row r="60" spans="2:31" x14ac:dyDescent="0.2">
      <c r="B60" s="20" t="s">
        <v>276</v>
      </c>
      <c r="C60" s="127">
        <f t="shared" ref="C60:P60" si="163">(C7+C15-C10-C9)/C42</f>
        <v>0</v>
      </c>
      <c r="D60" s="127">
        <f t="shared" si="163"/>
        <v>0</v>
      </c>
      <c r="E60" s="127">
        <f t="shared" si="163"/>
        <v>0</v>
      </c>
      <c r="F60" s="144">
        <f t="shared" si="163"/>
        <v>0</v>
      </c>
      <c r="G60" s="144">
        <f t="shared" si="163"/>
        <v>102.86363636363636</v>
      </c>
      <c r="H60" s="144">
        <f t="shared" si="163"/>
        <v>111.46590909090909</v>
      </c>
      <c r="I60" s="144">
        <f t="shared" si="163"/>
        <v>123.125</v>
      </c>
      <c r="J60" s="144">
        <f t="shared" si="163"/>
        <v>212</v>
      </c>
      <c r="K60" s="144">
        <f t="shared" si="163"/>
        <v>238</v>
      </c>
      <c r="L60" s="144">
        <f t="shared" si="163"/>
        <v>184</v>
      </c>
      <c r="M60" s="144">
        <f t="shared" si="163"/>
        <v>214</v>
      </c>
      <c r="N60" s="144">
        <f t="shared" si="163"/>
        <v>250</v>
      </c>
      <c r="O60" s="144">
        <f t="shared" si="163"/>
        <v>310</v>
      </c>
      <c r="P60" s="144">
        <f t="shared" si="163"/>
        <v>390</v>
      </c>
      <c r="Q60" s="118">
        <f>((P60/G60)^(1/($H$2-$H$1) ))-1</f>
        <v>0.15960856615920949</v>
      </c>
      <c r="R60" s="128"/>
      <c r="S60" s="157">
        <f t="shared" ref="S60:AB60" si="164">(S7+S15-S10-S9)/S42</f>
        <v>416.00000000000006</v>
      </c>
      <c r="T60" s="157">
        <f t="shared" si="164"/>
        <v>443.73333333333346</v>
      </c>
      <c r="U60" s="157">
        <f t="shared" si="164"/>
        <v>473.3155555555557</v>
      </c>
      <c r="V60" s="157">
        <f t="shared" si="164"/>
        <v>504.869925925926</v>
      </c>
      <c r="W60" s="157">
        <f t="shared" si="164"/>
        <v>538.52792098765451</v>
      </c>
      <c r="X60" s="157">
        <f t="shared" si="164"/>
        <v>574.42978238683145</v>
      </c>
      <c r="Y60" s="157">
        <f t="shared" si="164"/>
        <v>612.7251012126203</v>
      </c>
      <c r="Z60" s="157">
        <f t="shared" si="164"/>
        <v>653.57344129346154</v>
      </c>
      <c r="AA60" s="157">
        <f t="shared" si="164"/>
        <v>697.14500404635919</v>
      </c>
      <c r="AB60" s="157">
        <f t="shared" si="164"/>
        <v>743.62133764944986</v>
      </c>
      <c r="AC60" s="138">
        <f t="shared" si="147"/>
        <v>0.10972472300491209</v>
      </c>
      <c r="AD60" s="31">
        <f t="shared" si="17"/>
        <v>0.05</v>
      </c>
      <c r="AE60" s="146">
        <f t="shared" si="148"/>
        <v>4592.9553207760146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65">C12/C42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3.4090909090909092</v>
      </c>
      <c r="H62" s="144">
        <f t="shared" si="165"/>
        <v>4.5454545454545459</v>
      </c>
      <c r="I62" s="144">
        <f t="shared" si="165"/>
        <v>4.5454545454545459</v>
      </c>
      <c r="J62" s="144">
        <f t="shared" si="165"/>
        <v>2826</v>
      </c>
      <c r="K62" s="144">
        <f t="shared" si="165"/>
        <v>25</v>
      </c>
      <c r="L62" s="144">
        <f t="shared" si="165"/>
        <v>112</v>
      </c>
      <c r="M62" s="144" t="e">
        <f t="shared" si="165"/>
        <v>#VALUE!</v>
      </c>
      <c r="N62" s="144">
        <f t="shared" si="165"/>
        <v>42</v>
      </c>
      <c r="O62" s="144">
        <f t="shared" si="165"/>
        <v>41</v>
      </c>
      <c r="P62" s="144">
        <f t="shared" si="165"/>
        <v>47</v>
      </c>
      <c r="Q62" s="118">
        <f>((P62/G62)^(1/($H$2-$H$1) ))-1</f>
        <v>0.33846366553166352</v>
      </c>
      <c r="R62" s="128"/>
      <c r="S62" s="157">
        <f t="shared" ref="S62:AB62" si="166">S12/S42</f>
        <v>50.13333333333334</v>
      </c>
      <c r="T62" s="157">
        <f t="shared" si="166"/>
        <v>53.475555555555566</v>
      </c>
      <c r="U62" s="157">
        <f t="shared" si="166"/>
        <v>57.04059259259261</v>
      </c>
      <c r="V62" s="157">
        <f t="shared" si="166"/>
        <v>60.843298765432117</v>
      </c>
      <c r="W62" s="157">
        <f t="shared" si="166"/>
        <v>64.899518683127582</v>
      </c>
      <c r="X62" s="157">
        <f t="shared" si="166"/>
        <v>69.226153262002768</v>
      </c>
      <c r="Y62" s="157">
        <f t="shared" si="166"/>
        <v>73.841230146136297</v>
      </c>
      <c r="Z62" s="157">
        <f t="shared" si="166"/>
        <v>78.763978822545383</v>
      </c>
      <c r="AA62" s="157">
        <f t="shared" si="166"/>
        <v>84.014910744048407</v>
      </c>
      <c r="AB62" s="157">
        <f t="shared" si="166"/>
        <v>89.615904793651652</v>
      </c>
      <c r="AC62" s="138">
        <f t="shared" si="147"/>
        <v>0.18774579239024991</v>
      </c>
      <c r="AD62" s="31">
        <f t="shared" si="17"/>
        <v>0.05</v>
      </c>
      <c r="AE62" s="146">
        <f t="shared" si="148"/>
        <v>553.51000019608387</v>
      </c>
    </row>
    <row r="63" spans="2:31" x14ac:dyDescent="0.2">
      <c r="B63" s="20" t="s">
        <v>255</v>
      </c>
      <c r="C63" s="127">
        <f t="shared" ref="C63:P63" si="167">C13/C42</f>
        <v>0</v>
      </c>
      <c r="D63" s="127">
        <f t="shared" si="167"/>
        <v>0</v>
      </c>
      <c r="E63" s="127">
        <f t="shared" si="167"/>
        <v>0</v>
      </c>
      <c r="F63" s="144">
        <f t="shared" si="167"/>
        <v>0</v>
      </c>
      <c r="G63" s="144">
        <f t="shared" si="167"/>
        <v>73.86363636363636</v>
      </c>
      <c r="H63" s="144">
        <f t="shared" si="167"/>
        <v>68.181818181818187</v>
      </c>
      <c r="I63" s="144">
        <f t="shared" si="167"/>
        <v>77.272727272727266</v>
      </c>
      <c r="J63" s="144">
        <f t="shared" si="167"/>
        <v>68</v>
      </c>
      <c r="K63" s="144">
        <f t="shared" si="167"/>
        <v>90</v>
      </c>
      <c r="L63" s="144">
        <f t="shared" si="167"/>
        <v>30</v>
      </c>
      <c r="M63" s="144">
        <f t="shared" si="167"/>
        <v>74</v>
      </c>
      <c r="N63" s="144">
        <f t="shared" si="167"/>
        <v>191</v>
      </c>
      <c r="O63" s="144">
        <f t="shared" si="167"/>
        <v>236</v>
      </c>
      <c r="P63" s="144">
        <f t="shared" si="167"/>
        <v>229</v>
      </c>
      <c r="Q63" s="118">
        <f>((P63/G63)^(1/($H$2-$H$1) ))-1</f>
        <v>0.13396730528555789</v>
      </c>
      <c r="R63" s="128"/>
      <c r="S63" s="157">
        <f t="shared" ref="S63:AB63" si="168">S13/S42</f>
        <v>244.26666666666668</v>
      </c>
      <c r="T63" s="157">
        <f t="shared" si="168"/>
        <v>260.55111111111114</v>
      </c>
      <c r="U63" s="157">
        <f t="shared" si="168"/>
        <v>277.92118518518521</v>
      </c>
      <c r="V63" s="157">
        <f t="shared" si="168"/>
        <v>296.44926419753091</v>
      </c>
      <c r="W63" s="157">
        <f t="shared" si="168"/>
        <v>316.21254847736634</v>
      </c>
      <c r="X63" s="157">
        <f t="shared" si="168"/>
        <v>337.29338504252411</v>
      </c>
      <c r="Y63" s="157">
        <f t="shared" si="168"/>
        <v>359.77961071202577</v>
      </c>
      <c r="Z63" s="157">
        <f t="shared" si="168"/>
        <v>383.76491809282754</v>
      </c>
      <c r="AA63" s="157">
        <f t="shared" si="168"/>
        <v>409.34924596568271</v>
      </c>
      <c r="AB63" s="157">
        <f t="shared" si="168"/>
        <v>436.63919569672828</v>
      </c>
      <c r="AC63" s="138">
        <f t="shared" si="147"/>
        <v>9.8032943664819072E-2</v>
      </c>
      <c r="AD63" s="31">
        <f t="shared" si="17"/>
        <v>0.05</v>
      </c>
      <c r="AE63" s="146">
        <f t="shared" si="148"/>
        <v>2696.8891498915573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9">(D62+D63)</f>
        <v>0</v>
      </c>
      <c r="E64" s="127">
        <f t="shared" si="169"/>
        <v>0</v>
      </c>
      <c r="F64" s="144">
        <f t="shared" si="169"/>
        <v>0</v>
      </c>
      <c r="G64" s="144">
        <f t="shared" si="169"/>
        <v>77.272727272727266</v>
      </c>
      <c r="H64" s="144">
        <f t="shared" si="169"/>
        <v>72.727272727272734</v>
      </c>
      <c r="I64" s="144">
        <f t="shared" si="169"/>
        <v>81.818181818181813</v>
      </c>
      <c r="J64" s="144">
        <f t="shared" si="169"/>
        <v>2894</v>
      </c>
      <c r="K64" s="144">
        <f t="shared" si="169"/>
        <v>115</v>
      </c>
      <c r="L64" s="144">
        <f t="shared" si="169"/>
        <v>142</v>
      </c>
      <c r="M64" s="144" t="e">
        <f t="shared" si="169"/>
        <v>#VALUE!</v>
      </c>
      <c r="N64" s="144">
        <f t="shared" si="169"/>
        <v>233</v>
      </c>
      <c r="O64" s="144">
        <f t="shared" ref="O64" si="170">(O62+O63)</f>
        <v>277</v>
      </c>
      <c r="P64" s="144">
        <f t="shared" si="169"/>
        <v>276</v>
      </c>
      <c r="Q64" s="118">
        <f>((P64/G64)^(1/($H$2-$H$1) ))-1</f>
        <v>0.15194415861014199</v>
      </c>
      <c r="R64" s="128"/>
      <c r="S64" s="157">
        <f t="shared" ref="S64:AB64" si="171">(S62+S63)</f>
        <v>294.40000000000003</v>
      </c>
      <c r="T64" s="157">
        <f t="shared" si="171"/>
        <v>314.0266666666667</v>
      </c>
      <c r="U64" s="157">
        <f t="shared" si="171"/>
        <v>334.9617777777778</v>
      </c>
      <c r="V64" s="157">
        <f t="shared" si="171"/>
        <v>357.29256296296302</v>
      </c>
      <c r="W64" s="157">
        <f t="shared" si="171"/>
        <v>381.11206716049389</v>
      </c>
      <c r="X64" s="157">
        <f t="shared" si="171"/>
        <v>406.51953830452686</v>
      </c>
      <c r="Y64" s="157">
        <f t="shared" si="171"/>
        <v>433.62084085816207</v>
      </c>
      <c r="Z64" s="157">
        <f t="shared" si="171"/>
        <v>462.52889691537291</v>
      </c>
      <c r="AA64" s="157">
        <f t="shared" si="171"/>
        <v>493.36415670973111</v>
      </c>
      <c r="AB64" s="157">
        <f t="shared" si="171"/>
        <v>526.25510049037996</v>
      </c>
      <c r="AC64" s="138">
        <f t="shared" si="147"/>
        <v>0.10624432733611955</v>
      </c>
      <c r="AD64" s="31">
        <f t="shared" si="17"/>
        <v>0.05</v>
      </c>
      <c r="AE64" s="146">
        <f t="shared" si="148"/>
        <v>3250.3991500876414</v>
      </c>
    </row>
    <row r="65" spans="2:31" x14ac:dyDescent="0.2">
      <c r="B65" s="20" t="s">
        <v>249</v>
      </c>
      <c r="C65" s="127">
        <f t="shared" ref="C65:P65" si="172">C15/C42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19.318181818181817</v>
      </c>
      <c r="H65" s="144">
        <f t="shared" si="172"/>
        <v>22.727272727272727</v>
      </c>
      <c r="I65" s="144">
        <f t="shared" si="172"/>
        <v>26.136363636363637</v>
      </c>
      <c r="J65" s="144">
        <f t="shared" si="172"/>
        <v>2896</v>
      </c>
      <c r="K65" s="144">
        <f t="shared" si="172"/>
        <v>97</v>
      </c>
      <c r="L65" s="144">
        <f t="shared" si="172"/>
        <v>33</v>
      </c>
      <c r="M65" s="144">
        <f t="shared" si="172"/>
        <v>47</v>
      </c>
      <c r="N65" s="144">
        <f t="shared" si="172"/>
        <v>39</v>
      </c>
      <c r="O65" s="144">
        <f t="shared" si="172"/>
        <v>43</v>
      </c>
      <c r="P65" s="144">
        <f t="shared" si="172"/>
        <v>95</v>
      </c>
      <c r="Q65" s="118">
        <f>((P65/G65)^(1/($H$2-$H$1) ))-1</f>
        <v>0.19360857032122891</v>
      </c>
      <c r="R65" s="128"/>
      <c r="S65" s="157">
        <f t="shared" ref="S65:AB65" si="173">S15/S42</f>
        <v>101.33333333333333</v>
      </c>
      <c r="T65" s="157">
        <f t="shared" si="173"/>
        <v>108.0888888888889</v>
      </c>
      <c r="U65" s="157">
        <f t="shared" si="173"/>
        <v>115.29481481481484</v>
      </c>
      <c r="V65" s="157">
        <f t="shared" si="173"/>
        <v>122.98113580246915</v>
      </c>
      <c r="W65" s="157">
        <f t="shared" si="173"/>
        <v>131.17987818930044</v>
      </c>
      <c r="X65" s="157">
        <f t="shared" si="173"/>
        <v>139.92520340192047</v>
      </c>
      <c r="Y65" s="157">
        <f t="shared" si="173"/>
        <v>149.25355029538187</v>
      </c>
      <c r="Z65" s="157">
        <f t="shared" si="173"/>
        <v>159.20378698174065</v>
      </c>
      <c r="AA65" s="157">
        <f t="shared" si="173"/>
        <v>169.81737278052336</v>
      </c>
      <c r="AB65" s="157">
        <f t="shared" si="173"/>
        <v>181.13853096589162</v>
      </c>
      <c r="AC65" s="138">
        <f t="shared" si="147"/>
        <v>0.12501999616092974</v>
      </c>
      <c r="AD65" s="31">
        <f t="shared" si="17"/>
        <v>0.05</v>
      </c>
      <c r="AE65" s="146">
        <f t="shared" si="148"/>
        <v>1118.796808906978</v>
      </c>
    </row>
    <row r="66" spans="2:31" x14ac:dyDescent="0.2">
      <c r="B66" s="20" t="s">
        <v>250</v>
      </c>
      <c r="C66" s="127">
        <f t="shared" ref="C66:P66" si="174">C16/C42</f>
        <v>0</v>
      </c>
      <c r="D66" s="127">
        <f t="shared" si="174"/>
        <v>0</v>
      </c>
      <c r="E66" s="127">
        <f t="shared" si="174"/>
        <v>0</v>
      </c>
      <c r="F66" s="144">
        <f t="shared" si="174"/>
        <v>0</v>
      </c>
      <c r="G66" s="144">
        <f t="shared" si="174"/>
        <v>1.5113636363636365</v>
      </c>
      <c r="H66" s="144">
        <f t="shared" si="174"/>
        <v>6.5909090909090908</v>
      </c>
      <c r="I66" s="144">
        <f t="shared" si="174"/>
        <v>7.6363636363636358</v>
      </c>
      <c r="J66" s="144">
        <f t="shared" si="174"/>
        <v>51</v>
      </c>
      <c r="K66" s="144">
        <f t="shared" si="174"/>
        <v>45</v>
      </c>
      <c r="L66" s="144">
        <f t="shared" si="174"/>
        <v>128</v>
      </c>
      <c r="M66" s="144">
        <f t="shared" si="174"/>
        <v>113</v>
      </c>
      <c r="N66" s="144">
        <f t="shared" si="174"/>
        <v>32</v>
      </c>
      <c r="O66" s="144">
        <f t="shared" si="174"/>
        <v>31</v>
      </c>
      <c r="P66" s="144">
        <f t="shared" si="174"/>
        <v>48</v>
      </c>
      <c r="Q66" s="118">
        <f>((P66/G66)^(1/($H$2-$H$1) ))-1</f>
        <v>0.46850252129518744</v>
      </c>
      <c r="R66" s="128"/>
      <c r="S66" s="157">
        <f t="shared" ref="S66:AB66" si="175">S16/S42</f>
        <v>51.2</v>
      </c>
      <c r="T66" s="157">
        <f t="shared" si="175"/>
        <v>54.613333333333344</v>
      </c>
      <c r="U66" s="157">
        <f t="shared" si="175"/>
        <v>58.254222222222239</v>
      </c>
      <c r="V66" s="157">
        <f t="shared" si="175"/>
        <v>62.137837037037059</v>
      </c>
      <c r="W66" s="157">
        <f t="shared" si="175"/>
        <v>66.280359506172857</v>
      </c>
      <c r="X66" s="157">
        <f t="shared" si="175"/>
        <v>70.699050139917716</v>
      </c>
      <c r="Y66" s="157">
        <f t="shared" si="175"/>
        <v>75.412320149245573</v>
      </c>
      <c r="Z66" s="157">
        <f t="shared" si="175"/>
        <v>80.43980815919528</v>
      </c>
      <c r="AA66" s="157">
        <f t="shared" si="175"/>
        <v>85.802462036474978</v>
      </c>
      <c r="AB66" s="157">
        <f t="shared" si="175"/>
        <v>91.522626172239995</v>
      </c>
      <c r="AC66" s="138">
        <f t="shared" si="147"/>
        <v>0.24107454651672477</v>
      </c>
      <c r="AD66" s="137"/>
      <c r="AE66" s="146">
        <f t="shared" si="148"/>
        <v>416.01193714654545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48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76">D43</f>
        <v>0</v>
      </c>
      <c r="E68" s="159">
        <f t="shared" si="176"/>
        <v>0</v>
      </c>
      <c r="F68" s="159">
        <f t="shared" si="176"/>
        <v>0</v>
      </c>
      <c r="G68" s="159">
        <f t="shared" si="176"/>
        <v>5</v>
      </c>
      <c r="H68" s="159">
        <f t="shared" si="176"/>
        <v>3.5</v>
      </c>
      <c r="I68" s="159">
        <f t="shared" si="176"/>
        <v>4</v>
      </c>
      <c r="J68" s="159">
        <f t="shared" si="176"/>
        <v>4.5</v>
      </c>
      <c r="K68" s="159">
        <f t="shared" si="176"/>
        <v>10</v>
      </c>
      <c r="L68" s="159">
        <f t="shared" si="176"/>
        <v>12</v>
      </c>
      <c r="M68" s="159">
        <f t="shared" si="176"/>
        <v>17</v>
      </c>
      <c r="N68" s="159">
        <f t="shared" si="176"/>
        <v>17</v>
      </c>
      <c r="O68" s="159">
        <f t="shared" si="176"/>
        <v>20</v>
      </c>
      <c r="P68" s="159">
        <f t="shared" si="176"/>
        <v>22</v>
      </c>
      <c r="Q68" s="118">
        <f>((P68/G68)^(1/($H$2-$H$1) ))-1</f>
        <v>0.17894824918325525</v>
      </c>
      <c r="R68" s="128"/>
      <c r="S68" s="159">
        <f t="shared" ref="S68:AB68" si="177">S43</f>
        <v>23.1</v>
      </c>
      <c r="T68" s="159">
        <f t="shared" si="177"/>
        <v>24.255000000000003</v>
      </c>
      <c r="U68" s="159">
        <f t="shared" si="177"/>
        <v>25.467750000000002</v>
      </c>
      <c r="V68" s="159">
        <f t="shared" si="177"/>
        <v>26.741137500000004</v>
      </c>
      <c r="W68" s="159">
        <f t="shared" si="177"/>
        <v>28.078194375000006</v>
      </c>
      <c r="X68" s="159">
        <f t="shared" si="177"/>
        <v>29.482104093750007</v>
      </c>
      <c r="Y68" s="159">
        <f t="shared" si="177"/>
        <v>30.956209298437507</v>
      </c>
      <c r="Z68" s="159">
        <f t="shared" si="177"/>
        <v>32.504019763359381</v>
      </c>
      <c r="AA68" s="159">
        <f t="shared" si="177"/>
        <v>34.129220751527349</v>
      </c>
      <c r="AB68" s="159">
        <f t="shared" si="177"/>
        <v>35.835681789103717</v>
      </c>
      <c r="AC68" s="138">
        <f t="shared" ref="AC68" si="178">((AB68/G68)^(1/($AB$3-$H$1) ))-1</f>
        <v>0.10922128062578329</v>
      </c>
      <c r="AD68" s="31">
        <f t="shared" si="17"/>
        <v>0.05</v>
      </c>
      <c r="AE68" s="146">
        <f t="shared" si="148"/>
        <v>221.33803457975827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79">C20+C21</f>
        <v>0</v>
      </c>
      <c r="D70" s="127">
        <f t="shared" si="179"/>
        <v>0</v>
      </c>
      <c r="E70" s="127">
        <f t="shared" si="179"/>
        <v>0</v>
      </c>
      <c r="F70" s="144">
        <f t="shared" si="179"/>
        <v>0</v>
      </c>
      <c r="G70" s="144">
        <f t="shared" si="179"/>
        <v>2</v>
      </c>
      <c r="H70" s="144">
        <f t="shared" si="179"/>
        <v>0</v>
      </c>
      <c r="I70" s="144">
        <f t="shared" si="179"/>
        <v>4</v>
      </c>
      <c r="J70" s="144">
        <f t="shared" si="179"/>
        <v>-28</v>
      </c>
      <c r="K70" s="144">
        <f t="shared" si="179"/>
        <v>5</v>
      </c>
      <c r="L70" s="144">
        <f t="shared" si="179"/>
        <v>95</v>
      </c>
      <c r="M70" s="144">
        <f t="shared" si="179"/>
        <v>21</v>
      </c>
      <c r="N70" s="144">
        <f t="shared" si="179"/>
        <v>-58</v>
      </c>
      <c r="O70" s="144">
        <f t="shared" si="179"/>
        <v>66</v>
      </c>
      <c r="P70" s="144">
        <f t="shared" si="179"/>
        <v>17</v>
      </c>
      <c r="Q70" s="118">
        <f>((P70/G70)^(1/($H$2-$H$1) ))-1</f>
        <v>0.26843661364952376</v>
      </c>
      <c r="R70" s="128"/>
      <c r="S70" s="144">
        <f t="shared" ref="S70:AB70" si="180">S20+S21</f>
        <v>19.04</v>
      </c>
      <c r="T70" s="144">
        <f t="shared" si="180"/>
        <v>21.3248</v>
      </c>
      <c r="U70" s="144">
        <f t="shared" si="180"/>
        <v>23.883775999999997</v>
      </c>
      <c r="V70" s="144">
        <f t="shared" si="180"/>
        <v>26.749829119999994</v>
      </c>
      <c r="W70" s="144">
        <f t="shared" si="180"/>
        <v>29.959808614399996</v>
      </c>
      <c r="X70" s="144">
        <f t="shared" si="180"/>
        <v>33.554985648128003</v>
      </c>
      <c r="Y70" s="144">
        <f t="shared" si="180"/>
        <v>37.581583925903367</v>
      </c>
      <c r="Z70" s="144">
        <f t="shared" si="180"/>
        <v>42.091373997011772</v>
      </c>
      <c r="AA70" s="144">
        <f t="shared" si="180"/>
        <v>47.142338876653184</v>
      </c>
      <c r="AB70" s="144">
        <f t="shared" si="180"/>
        <v>52.799419541851563</v>
      </c>
      <c r="AC70" s="138">
        <f t="shared" ref="AC70:AC75" si="181">((AB70/G70)^(1/($AB$3-$H$1) ))-1</f>
        <v>0.1880124939926906</v>
      </c>
      <c r="AD70" s="31">
        <f t="shared" si="17"/>
        <v>0.05</v>
      </c>
      <c r="AE70" s="146">
        <f t="shared" si="148"/>
        <v>326.11406187614205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82">C70/C42</f>
        <v>0</v>
      </c>
      <c r="D72" s="127">
        <f t="shared" si="182"/>
        <v>0</v>
      </c>
      <c r="E72" s="127">
        <f t="shared" si="182"/>
        <v>0</v>
      </c>
      <c r="F72" s="144">
        <f t="shared" si="182"/>
        <v>0</v>
      </c>
      <c r="G72" s="144">
        <f t="shared" si="182"/>
        <v>2.2727272727272729</v>
      </c>
      <c r="H72" s="144">
        <f t="shared" si="182"/>
        <v>0</v>
      </c>
      <c r="I72" s="144">
        <f t="shared" si="182"/>
        <v>4.5454545454545459</v>
      </c>
      <c r="J72" s="144">
        <f t="shared" si="182"/>
        <v>-28</v>
      </c>
      <c r="K72" s="144">
        <f t="shared" si="182"/>
        <v>5</v>
      </c>
      <c r="L72" s="144">
        <f t="shared" si="182"/>
        <v>95</v>
      </c>
      <c r="M72" s="144">
        <f t="shared" si="182"/>
        <v>21</v>
      </c>
      <c r="N72" s="144">
        <f t="shared" si="182"/>
        <v>-58</v>
      </c>
      <c r="O72" s="144">
        <f t="shared" si="182"/>
        <v>66</v>
      </c>
      <c r="P72" s="144">
        <f t="shared" si="182"/>
        <v>17</v>
      </c>
      <c r="Q72" s="118">
        <f>((P72/G72)^(1/($H$2-$H$1) ))-1</f>
        <v>0.25054745737085082</v>
      </c>
      <c r="R72" s="128"/>
      <c r="S72" s="146">
        <f t="shared" ref="S72:AB72" si="183">S70/S42</f>
        <v>18.133333333333333</v>
      </c>
      <c r="T72" s="146">
        <f t="shared" si="183"/>
        <v>19.342222222222222</v>
      </c>
      <c r="U72" s="146">
        <f t="shared" si="183"/>
        <v>20.6317037037037</v>
      </c>
      <c r="V72" s="146">
        <f t="shared" si="183"/>
        <v>22.007150617283941</v>
      </c>
      <c r="W72" s="146">
        <f t="shared" si="183"/>
        <v>23.474293991769539</v>
      </c>
      <c r="X72" s="146">
        <f t="shared" si="183"/>
        <v>25.039246924554178</v>
      </c>
      <c r="Y72" s="146">
        <f t="shared" si="183"/>
        <v>26.708530052857792</v>
      </c>
      <c r="Z72" s="146">
        <f t="shared" si="183"/>
        <v>28.489098723048311</v>
      </c>
      <c r="AA72" s="146">
        <f t="shared" si="183"/>
        <v>30.38837197125153</v>
      </c>
      <c r="AB72" s="146">
        <f t="shared" si="183"/>
        <v>32.414263436001633</v>
      </c>
      <c r="AC72" s="138">
        <f t="shared" si="181"/>
        <v>0.1501296000899921</v>
      </c>
      <c r="AD72" s="31">
        <f t="shared" si="17"/>
        <v>0.05</v>
      </c>
      <c r="AE72" s="146">
        <f t="shared" si="148"/>
        <v>200.20574475177483</v>
      </c>
    </row>
    <row r="73" spans="2:31" x14ac:dyDescent="0.2">
      <c r="B73" s="20" t="s">
        <v>287</v>
      </c>
      <c r="C73" s="127">
        <f t="shared" ref="C73:P73" si="184">C20/C42</f>
        <v>0</v>
      </c>
      <c r="D73" s="127">
        <f t="shared" si="184"/>
        <v>0</v>
      </c>
      <c r="E73" s="127">
        <f t="shared" si="184"/>
        <v>0</v>
      </c>
      <c r="F73" s="144">
        <f t="shared" si="184"/>
        <v>0</v>
      </c>
      <c r="G73" s="144">
        <f t="shared" si="184"/>
        <v>1.1363636363636365</v>
      </c>
      <c r="H73" s="144">
        <f t="shared" si="184"/>
        <v>0</v>
      </c>
      <c r="I73" s="144">
        <f t="shared" si="184"/>
        <v>14.772727272727273</v>
      </c>
      <c r="J73" s="144">
        <f t="shared" si="184"/>
        <v>12</v>
      </c>
      <c r="K73" s="144">
        <f t="shared" si="184"/>
        <v>30</v>
      </c>
      <c r="L73" s="144">
        <f t="shared" si="184"/>
        <v>36</v>
      </c>
      <c r="M73" s="144">
        <f t="shared" si="184"/>
        <v>42</v>
      </c>
      <c r="N73" s="144">
        <f t="shared" si="184"/>
        <v>42</v>
      </c>
      <c r="O73" s="144">
        <f t="shared" si="184"/>
        <v>39</v>
      </c>
      <c r="P73" s="144">
        <f t="shared" si="184"/>
        <v>41</v>
      </c>
      <c r="Q73" s="118">
        <f>((P73/G73)^(1/($H$2-$H$1) ))-1</f>
        <v>0.48946263994472017</v>
      </c>
      <c r="R73" s="128"/>
      <c r="S73" s="146">
        <f t="shared" ref="S73:AB73" si="185">S20/S42</f>
        <v>43.733333333333334</v>
      </c>
      <c r="T73" s="146">
        <f t="shared" si="185"/>
        <v>46.648888888888891</v>
      </c>
      <c r="U73" s="146">
        <f t="shared" si="185"/>
        <v>49.758814814814819</v>
      </c>
      <c r="V73" s="146">
        <f t="shared" si="185"/>
        <v>53.07606913580247</v>
      </c>
      <c r="W73" s="146">
        <f t="shared" si="185"/>
        <v>56.614473744855971</v>
      </c>
      <c r="X73" s="146">
        <f t="shared" si="185"/>
        <v>60.388771994513036</v>
      </c>
      <c r="Y73" s="146">
        <f t="shared" si="185"/>
        <v>64.414690127480583</v>
      </c>
      <c r="Z73" s="146">
        <f t="shared" si="185"/>
        <v>68.709002802645955</v>
      </c>
      <c r="AA73" s="146">
        <f t="shared" si="185"/>
        <v>73.289602989489026</v>
      </c>
      <c r="AB73" s="146">
        <f t="shared" si="185"/>
        <v>78.175576522121631</v>
      </c>
      <c r="AC73" s="138">
        <f t="shared" si="181"/>
        <v>0.24943410389720122</v>
      </c>
      <c r="AD73" s="31">
        <f t="shared" si="17"/>
        <v>0.05</v>
      </c>
      <c r="AE73" s="146">
        <f t="shared" si="148"/>
        <v>482.84914910722193</v>
      </c>
    </row>
    <row r="74" spans="2:31" x14ac:dyDescent="0.2">
      <c r="B74" s="20" t="s">
        <v>288</v>
      </c>
      <c r="C74" s="127">
        <f t="shared" ref="C74:P74" si="186">C21/C42</f>
        <v>0</v>
      </c>
      <c r="D74" s="127">
        <f t="shared" si="186"/>
        <v>0</v>
      </c>
      <c r="E74" s="127">
        <f t="shared" si="186"/>
        <v>0</v>
      </c>
      <c r="F74" s="144">
        <f t="shared" si="186"/>
        <v>0</v>
      </c>
      <c r="G74" s="144">
        <f t="shared" si="186"/>
        <v>1.1363636363636365</v>
      </c>
      <c r="H74" s="144">
        <f t="shared" si="186"/>
        <v>0</v>
      </c>
      <c r="I74" s="144">
        <f t="shared" si="186"/>
        <v>-10.227272727272727</v>
      </c>
      <c r="J74" s="144">
        <f t="shared" si="186"/>
        <v>-40</v>
      </c>
      <c r="K74" s="144">
        <f t="shared" si="186"/>
        <v>-25</v>
      </c>
      <c r="L74" s="144">
        <f t="shared" si="186"/>
        <v>59</v>
      </c>
      <c r="M74" s="144">
        <f t="shared" si="186"/>
        <v>-21</v>
      </c>
      <c r="N74" s="144">
        <f t="shared" si="186"/>
        <v>-100</v>
      </c>
      <c r="O74" s="144">
        <f t="shared" si="186"/>
        <v>27</v>
      </c>
      <c r="P74" s="144">
        <f t="shared" si="186"/>
        <v>-24</v>
      </c>
      <c r="Q74" s="118">
        <f>((P74/G74)^(1/($H$2-$H$1) ))-1</f>
        <v>-2.4034217816096639</v>
      </c>
      <c r="R74" s="128"/>
      <c r="S74" s="146">
        <f t="shared" ref="S74:AB74" si="187">S21/S42</f>
        <v>-25.6</v>
      </c>
      <c r="T74" s="146">
        <f t="shared" si="187"/>
        <v>-27.306666666666672</v>
      </c>
      <c r="U74" s="146">
        <f t="shared" si="187"/>
        <v>-29.12711111111112</v>
      </c>
      <c r="V74" s="146">
        <f t="shared" si="187"/>
        <v>-31.068918518518529</v>
      </c>
      <c r="W74" s="146">
        <f t="shared" si="187"/>
        <v>-33.140179753086429</v>
      </c>
      <c r="X74" s="146">
        <f t="shared" si="187"/>
        <v>-35.349525069958858</v>
      </c>
      <c r="Y74" s="146">
        <f t="shared" si="187"/>
        <v>-37.706160074622787</v>
      </c>
      <c r="Z74" s="146">
        <f t="shared" si="187"/>
        <v>-40.21990407959764</v>
      </c>
      <c r="AA74" s="146">
        <f t="shared" si="187"/>
        <v>-42.901231018237489</v>
      </c>
      <c r="AB74" s="146">
        <f t="shared" si="187"/>
        <v>-45.761313086119998</v>
      </c>
      <c r="AC74" s="138">
        <f t="shared" si="181"/>
        <v>-2.2147102385868145</v>
      </c>
      <c r="AD74" s="31">
        <f t="shared" si="17"/>
        <v>0.05</v>
      </c>
      <c r="AE74" s="146">
        <f t="shared" si="148"/>
        <v>-282.6434043554471</v>
      </c>
    </row>
    <row r="75" spans="2:31" x14ac:dyDescent="0.2">
      <c r="B75" s="20" t="s">
        <v>289</v>
      </c>
      <c r="C75" s="127">
        <f t="shared" ref="C75:P75" si="188">C22/C42</f>
        <v>0</v>
      </c>
      <c r="D75" s="127">
        <f t="shared" si="188"/>
        <v>0</v>
      </c>
      <c r="E75" s="127">
        <f t="shared" si="188"/>
        <v>0</v>
      </c>
      <c r="F75" s="144">
        <f t="shared" si="188"/>
        <v>0</v>
      </c>
      <c r="G75" s="144">
        <f t="shared" si="188"/>
        <v>1.1363636363636365</v>
      </c>
      <c r="H75" s="144">
        <f t="shared" si="188"/>
        <v>0</v>
      </c>
      <c r="I75" s="144">
        <f t="shared" si="188"/>
        <v>-3.9772727272727271</v>
      </c>
      <c r="J75" s="144">
        <f t="shared" si="188"/>
        <v>35</v>
      </c>
      <c r="K75" s="144">
        <f t="shared" si="188"/>
        <v>-5.2</v>
      </c>
      <c r="L75" s="144">
        <f t="shared" si="188"/>
        <v>-11</v>
      </c>
      <c r="M75" s="144">
        <f t="shared" si="188"/>
        <v>-14</v>
      </c>
      <c r="N75" s="144">
        <f t="shared" si="188"/>
        <v>-20</v>
      </c>
      <c r="O75" s="144">
        <f t="shared" si="188"/>
        <v>-15</v>
      </c>
      <c r="P75" s="144">
        <f t="shared" si="188"/>
        <v>-15</v>
      </c>
      <c r="Q75" s="118">
        <f>((P75/G75)^(1/($H$2-$H$1) ))-1</f>
        <v>-2.3320122367744331</v>
      </c>
      <c r="R75" s="128"/>
      <c r="S75" s="146">
        <f t="shared" ref="S75:AB75" si="189">S22/S42</f>
        <v>-16</v>
      </c>
      <c r="T75" s="146">
        <f t="shared" si="189"/>
        <v>-17.06666666666667</v>
      </c>
      <c r="U75" s="146">
        <f t="shared" si="189"/>
        <v>-18.204444444444448</v>
      </c>
      <c r="V75" s="146">
        <f t="shared" si="189"/>
        <v>-19.418074074074077</v>
      </c>
      <c r="W75" s="146">
        <f t="shared" si="189"/>
        <v>-20.712612345679013</v>
      </c>
      <c r="X75" s="146">
        <f t="shared" si="189"/>
        <v>-22.093453168724281</v>
      </c>
      <c r="Y75" s="146">
        <f t="shared" si="189"/>
        <v>-23.566350046639236</v>
      </c>
      <c r="Z75" s="146">
        <f t="shared" si="189"/>
        <v>-25.137440049748523</v>
      </c>
      <c r="AA75" s="146">
        <f t="shared" si="189"/>
        <v>-26.813269386398424</v>
      </c>
      <c r="AB75" s="146">
        <f t="shared" si="189"/>
        <v>-28.600820678824991</v>
      </c>
      <c r="AC75" s="138">
        <f t="shared" si="181"/>
        <v>-2.1850305187466015</v>
      </c>
      <c r="AD75" s="31">
        <f t="shared" si="17"/>
        <v>0.05</v>
      </c>
      <c r="AE75" s="146">
        <f t="shared" si="148"/>
        <v>-176.65212772215438</v>
      </c>
    </row>
    <row r="76" spans="2:31" x14ac:dyDescent="0.2">
      <c r="B76" s="20" t="s">
        <v>296</v>
      </c>
      <c r="C76" s="127">
        <f t="shared" ref="C76:P76" si="190">C23/C42</f>
        <v>0</v>
      </c>
      <c r="D76" s="127">
        <f t="shared" si="190"/>
        <v>0</v>
      </c>
      <c r="E76" s="127">
        <f t="shared" si="190"/>
        <v>0</v>
      </c>
      <c r="F76" s="144">
        <f t="shared" si="190"/>
        <v>0</v>
      </c>
      <c r="G76" s="144">
        <f t="shared" si="190"/>
        <v>1.1363636363636365</v>
      </c>
      <c r="H76" s="144">
        <f t="shared" si="190"/>
        <v>0</v>
      </c>
      <c r="I76" s="144">
        <f t="shared" si="190"/>
        <v>4.5454545454545459</v>
      </c>
      <c r="J76" s="144">
        <f t="shared" si="190"/>
        <v>12</v>
      </c>
      <c r="K76" s="144">
        <f t="shared" si="190"/>
        <v>11</v>
      </c>
      <c r="L76" s="144">
        <f t="shared" si="190"/>
        <v>95</v>
      </c>
      <c r="M76" s="144">
        <f t="shared" si="190"/>
        <v>102</v>
      </c>
      <c r="N76" s="144">
        <f t="shared" si="190"/>
        <v>24</v>
      </c>
      <c r="O76" s="144">
        <f t="shared" si="190"/>
        <v>21</v>
      </c>
      <c r="P76" s="144">
        <f t="shared" si="190"/>
        <v>21</v>
      </c>
      <c r="Q76" s="118">
        <f>((P76/G76)^(1/($H$2-$H$1) ))-1</f>
        <v>0.38275317067699177</v>
      </c>
      <c r="R76" s="128"/>
      <c r="S76" s="146">
        <f t="shared" ref="S76:AB76" si="191">S23/S42</f>
        <v>22.400000000000002</v>
      </c>
      <c r="T76" s="146">
        <f t="shared" si="191"/>
        <v>23.893333333333338</v>
      </c>
      <c r="U76" s="146">
        <f t="shared" si="191"/>
        <v>25.486222222222228</v>
      </c>
      <c r="V76" s="146">
        <f t="shared" si="191"/>
        <v>27.185303703703706</v>
      </c>
      <c r="W76" s="146">
        <f t="shared" si="191"/>
        <v>28.99765728395062</v>
      </c>
      <c r="X76" s="146">
        <f t="shared" si="191"/>
        <v>30.930834436213996</v>
      </c>
      <c r="Y76" s="146">
        <f t="shared" si="191"/>
        <v>32.99289006529493</v>
      </c>
      <c r="Z76" s="146">
        <f t="shared" si="191"/>
        <v>35.192416069647926</v>
      </c>
      <c r="AA76" s="146">
        <f t="shared" si="191"/>
        <v>37.538577140957791</v>
      </c>
      <c r="AB76" s="146">
        <f t="shared" si="191"/>
        <v>40.04114895035498</v>
      </c>
      <c r="AC76" s="138">
        <f t="shared" ref="AC76" si="192">((AB76/G76)^(1/($AB$3-$H$1) ))-1</f>
        <v>0.20620322239483979</v>
      </c>
      <c r="AD76" s="31">
        <f t="shared" si="17"/>
        <v>0.05</v>
      </c>
      <c r="AE76" s="146">
        <f t="shared" si="148"/>
        <v>247.31297881101608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93">C36/C42</f>
        <v>0</v>
      </c>
      <c r="D78" s="144">
        <f t="shared" si="193"/>
        <v>0</v>
      </c>
      <c r="E78" s="144">
        <f t="shared" si="193"/>
        <v>0</v>
      </c>
      <c r="F78" s="144">
        <f t="shared" si="193"/>
        <v>0</v>
      </c>
      <c r="G78" s="144">
        <f t="shared" si="193"/>
        <v>11.363636363636363</v>
      </c>
      <c r="H78" s="144">
        <f t="shared" si="193"/>
        <v>10.227272727272727</v>
      </c>
      <c r="I78" s="144">
        <f t="shared" si="193"/>
        <v>15.340909090909092</v>
      </c>
      <c r="J78" s="144">
        <f t="shared" si="193"/>
        <v>24</v>
      </c>
      <c r="K78" s="144">
        <f t="shared" si="193"/>
        <v>37</v>
      </c>
      <c r="L78" s="144">
        <f t="shared" si="193"/>
        <v>56</v>
      </c>
      <c r="M78" s="144">
        <f t="shared" si="193"/>
        <v>61</v>
      </c>
      <c r="N78" s="144">
        <f t="shared" si="193"/>
        <v>65</v>
      </c>
      <c r="O78" s="144">
        <f t="shared" si="193"/>
        <v>62</v>
      </c>
      <c r="P78" s="144">
        <f t="shared" si="193"/>
        <v>60</v>
      </c>
      <c r="Q78" s="118">
        <f>((P78/G78)^(1/($H$2-$H$1) ))-1</f>
        <v>0.20307487768982369</v>
      </c>
      <c r="R78" s="128"/>
      <c r="S78" s="144">
        <f t="shared" ref="S78:AB78" si="194">S36/S42</f>
        <v>64</v>
      </c>
      <c r="T78" s="144">
        <f t="shared" si="194"/>
        <v>68.26666666666668</v>
      </c>
      <c r="U78" s="144">
        <f t="shared" si="194"/>
        <v>72.817777777777792</v>
      </c>
      <c r="V78" s="144">
        <f t="shared" si="194"/>
        <v>77.672296296296309</v>
      </c>
      <c r="W78" s="144">
        <f t="shared" si="194"/>
        <v>82.85044938271605</v>
      </c>
      <c r="X78" s="144">
        <f t="shared" si="194"/>
        <v>88.373812674897124</v>
      </c>
      <c r="Y78" s="144">
        <f t="shared" si="194"/>
        <v>94.265400186556946</v>
      </c>
      <c r="Z78" s="144">
        <f t="shared" si="194"/>
        <v>100.54976019899409</v>
      </c>
      <c r="AA78" s="144">
        <f t="shared" si="194"/>
        <v>107.2530775455937</v>
      </c>
      <c r="AB78" s="144">
        <f t="shared" si="194"/>
        <v>114.40328271529997</v>
      </c>
      <c r="AC78" s="138">
        <f t="shared" ref="AC78:AC80" si="195">((AB78/G78)^(1/($AB$3-$H$1) ))-1</f>
        <v>0.12923758388099893</v>
      </c>
      <c r="AD78" s="31">
        <f t="shared" si="17"/>
        <v>0.05</v>
      </c>
      <c r="AE78" s="146">
        <f t="shared" si="148"/>
        <v>706.6085108886175</v>
      </c>
    </row>
    <row r="79" spans="2:31" x14ac:dyDescent="0.2">
      <c r="B79" s="20" t="s">
        <v>312</v>
      </c>
      <c r="C79" s="144">
        <f t="shared" ref="C79:P79" si="196">C40/C42</f>
        <v>0</v>
      </c>
      <c r="D79" s="144">
        <f t="shared" si="196"/>
        <v>0</v>
      </c>
      <c r="E79" s="144">
        <f t="shared" si="196"/>
        <v>0</v>
      </c>
      <c r="F79" s="144">
        <f t="shared" si="196"/>
        <v>0</v>
      </c>
      <c r="G79" s="144">
        <f t="shared" si="196"/>
        <v>12.5</v>
      </c>
      <c r="H79" s="144">
        <f t="shared" si="196"/>
        <v>9.0909090909090917</v>
      </c>
      <c r="I79" s="144">
        <f t="shared" si="196"/>
        <v>13.863636363636363</v>
      </c>
      <c r="J79" s="144">
        <f t="shared" si="196"/>
        <v>10</v>
      </c>
      <c r="K79" s="144">
        <f t="shared" si="196"/>
        <v>28</v>
      </c>
      <c r="L79" s="144">
        <f t="shared" si="196"/>
        <v>39</v>
      </c>
      <c r="M79" s="144">
        <f t="shared" si="196"/>
        <v>53</v>
      </c>
      <c r="N79" s="144">
        <f t="shared" si="196"/>
        <v>48</v>
      </c>
      <c r="O79" s="144">
        <f t="shared" si="196"/>
        <v>54</v>
      </c>
      <c r="P79" s="144">
        <f t="shared" si="196"/>
        <v>58</v>
      </c>
      <c r="Q79" s="118">
        <f>((P79/G79)^(1/($H$2-$H$1) ))-1</f>
        <v>0.18592589853894448</v>
      </c>
      <c r="R79" s="128"/>
      <c r="S79" s="144">
        <f t="shared" ref="S79:AB79" si="197">S40/S42</f>
        <v>61.866666666666674</v>
      </c>
      <c r="T79" s="144">
        <f t="shared" si="197"/>
        <v>65.991111111111124</v>
      </c>
      <c r="U79" s="144">
        <f t="shared" si="197"/>
        <v>70.390518518518533</v>
      </c>
      <c r="V79" s="144">
        <f t="shared" si="197"/>
        <v>75.083219753086425</v>
      </c>
      <c r="W79" s="144">
        <f t="shared" si="197"/>
        <v>80.088767736625528</v>
      </c>
      <c r="X79" s="144">
        <f t="shared" si="197"/>
        <v>85.428018919067227</v>
      </c>
      <c r="Y79" s="144">
        <f t="shared" si="197"/>
        <v>91.123220180338393</v>
      </c>
      <c r="Z79" s="144">
        <f t="shared" si="197"/>
        <v>97.198101525694312</v>
      </c>
      <c r="AA79" s="144">
        <f t="shared" si="197"/>
        <v>103.67797496074058</v>
      </c>
      <c r="AB79" s="144">
        <f t="shared" si="197"/>
        <v>110.58983995812332</v>
      </c>
      <c r="AC79" s="138">
        <f t="shared" si="195"/>
        <v>0.12158412468774182</v>
      </c>
      <c r="AD79" s="31">
        <f t="shared" si="17"/>
        <v>0.05</v>
      </c>
      <c r="AE79" s="146">
        <f t="shared" si="148"/>
        <v>683.05489385899716</v>
      </c>
    </row>
    <row r="80" spans="2:31" x14ac:dyDescent="0.2">
      <c r="B80" s="20" t="s">
        <v>313</v>
      </c>
      <c r="C80" s="144">
        <f t="shared" ref="C80:P80" si="198">C6/C42</f>
        <v>0</v>
      </c>
      <c r="D80" s="144">
        <f t="shared" si="198"/>
        <v>0</v>
      </c>
      <c r="E80" s="144">
        <f t="shared" si="198"/>
        <v>0</v>
      </c>
      <c r="F80" s="144">
        <f t="shared" si="198"/>
        <v>0</v>
      </c>
      <c r="G80" s="144">
        <f t="shared" si="198"/>
        <v>79.545454545454547</v>
      </c>
      <c r="H80" s="144">
        <f t="shared" si="198"/>
        <v>85.227272727272734</v>
      </c>
      <c r="I80" s="144">
        <f t="shared" si="198"/>
        <v>94.318181818181813</v>
      </c>
      <c r="J80" s="144">
        <f t="shared" si="198"/>
        <v>137</v>
      </c>
      <c r="K80" s="144">
        <f t="shared" si="198"/>
        <v>154</v>
      </c>
      <c r="L80" s="144">
        <f t="shared" si="198"/>
        <v>178</v>
      </c>
      <c r="M80" s="144">
        <f t="shared" si="198"/>
        <v>211</v>
      </c>
      <c r="N80" s="144">
        <f t="shared" si="198"/>
        <v>247</v>
      </c>
      <c r="O80" s="144">
        <f t="shared" si="198"/>
        <v>291</v>
      </c>
      <c r="P80" s="144">
        <f t="shared" si="198"/>
        <v>329</v>
      </c>
      <c r="Q80" s="118">
        <f>((P80/G80)^(1/($H$2-$H$1) ))-1</f>
        <v>0.17087072557011851</v>
      </c>
      <c r="R80" s="128"/>
      <c r="S80" s="144">
        <f t="shared" ref="S80:AB80" si="199">S6/S42</f>
        <v>350.93333333333334</v>
      </c>
      <c r="T80" s="144">
        <f t="shared" si="199"/>
        <v>374.32888888888897</v>
      </c>
      <c r="U80" s="144">
        <f t="shared" si="199"/>
        <v>399.28414814814823</v>
      </c>
      <c r="V80" s="144">
        <f t="shared" si="199"/>
        <v>425.90309135802477</v>
      </c>
      <c r="W80" s="144">
        <f t="shared" si="199"/>
        <v>454.2966307818931</v>
      </c>
      <c r="X80" s="144">
        <f t="shared" si="199"/>
        <v>484.58307283401933</v>
      </c>
      <c r="Y80" s="144">
        <f t="shared" si="199"/>
        <v>516.88861102295402</v>
      </c>
      <c r="Z80" s="144">
        <f t="shared" si="199"/>
        <v>551.34785175781769</v>
      </c>
      <c r="AA80" s="144">
        <f t="shared" si="199"/>
        <v>588.10437520833887</v>
      </c>
      <c r="AB80" s="144">
        <f t="shared" si="199"/>
        <v>627.31133355556153</v>
      </c>
      <c r="AC80" s="138">
        <f t="shared" si="195"/>
        <v>0.11481695874202624</v>
      </c>
      <c r="AD80" s="31">
        <f t="shared" ref="AD80" si="200">$L$1</f>
        <v>0.05</v>
      </c>
      <c r="AE80" s="146">
        <f t="shared" si="148"/>
        <v>3874.5700013725868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01">E36/E25</f>
        <v>#DIV/0!</v>
      </c>
      <c r="F84" s="152" t="e">
        <f t="shared" si="201"/>
        <v>#DIV/0!</v>
      </c>
      <c r="G84" s="152">
        <f t="shared" si="201"/>
        <v>0.25641025641025639</v>
      </c>
      <c r="H84" s="152">
        <f t="shared" si="201"/>
        <v>0.21951219512195122</v>
      </c>
      <c r="I84" s="152">
        <f t="shared" si="201"/>
        <v>0.35526315789473684</v>
      </c>
      <c r="J84" s="152">
        <f t="shared" si="201"/>
        <v>0.31578947368421051</v>
      </c>
      <c r="K84" s="152">
        <f t="shared" si="201"/>
        <v>0.34579439252336447</v>
      </c>
      <c r="L84" s="152">
        <f t="shared" si="201"/>
        <v>0.4</v>
      </c>
      <c r="M84" s="152">
        <f t="shared" si="201"/>
        <v>0.32972972972972975</v>
      </c>
      <c r="N84" s="152">
        <f t="shared" si="201"/>
        <v>0.3155339805825243</v>
      </c>
      <c r="O84" s="152">
        <f t="shared" si="201"/>
        <v>0.27192982456140352</v>
      </c>
      <c r="P84" s="152">
        <f t="shared" si="201"/>
        <v>0.22388059701492538</v>
      </c>
      <c r="Q84" s="118">
        <f t="shared" ref="Q84:Q134" si="202">((P84/G84)^(1/($H$2-$H$1) ))-1</f>
        <v>-1.4960941224474889E-2</v>
      </c>
      <c r="R84" s="152"/>
      <c r="S84" s="152">
        <f t="shared" ref="S84:AB84" si="203">S36/S25</f>
        <v>0.22388059701492535</v>
      </c>
      <c r="T84" s="152">
        <f t="shared" si="203"/>
        <v>0.22388059701492538</v>
      </c>
      <c r="U84" s="152">
        <f t="shared" si="203"/>
        <v>0.22388059701492538</v>
      </c>
      <c r="V84" s="152">
        <f t="shared" si="203"/>
        <v>0.22388059701492538</v>
      </c>
      <c r="W84" s="152">
        <f t="shared" si="203"/>
        <v>0.22388059701492538</v>
      </c>
      <c r="X84" s="152">
        <f t="shared" si="203"/>
        <v>0.22388059701492538</v>
      </c>
      <c r="Y84" s="152">
        <f t="shared" si="203"/>
        <v>0.22388059701492541</v>
      </c>
      <c r="Z84" s="152">
        <f t="shared" si="203"/>
        <v>0.22388059701492541</v>
      </c>
      <c r="AA84" s="152">
        <f t="shared" si="203"/>
        <v>0.22388059701492538</v>
      </c>
      <c r="AB84" s="152">
        <f t="shared" si="203"/>
        <v>0.22388059701492541</v>
      </c>
      <c r="AC84" s="138">
        <f t="shared" ref="AC84:AC121" si="204">((AB84/G84)^(1/($AB$3-$H$1) ))-1</f>
        <v>-7.1148772536011595E-3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05">E40/E25</f>
        <v>#DIV/0!</v>
      </c>
      <c r="F85" s="152" t="e">
        <f t="shared" si="205"/>
        <v>#DIV/0!</v>
      </c>
      <c r="G85" s="152">
        <f t="shared" si="205"/>
        <v>0.28205128205128205</v>
      </c>
      <c r="H85" s="152">
        <f t="shared" si="205"/>
        <v>0.1951219512195122</v>
      </c>
      <c r="I85" s="152">
        <f t="shared" si="205"/>
        <v>0.32105263157894737</v>
      </c>
      <c r="J85" s="152">
        <f t="shared" si="205"/>
        <v>0.13157894736842105</v>
      </c>
      <c r="K85" s="152">
        <f t="shared" si="205"/>
        <v>0.26168224299065418</v>
      </c>
      <c r="L85" s="152">
        <f t="shared" si="205"/>
        <v>0.27857142857142858</v>
      </c>
      <c r="M85" s="152">
        <f t="shared" si="205"/>
        <v>0.2864864864864865</v>
      </c>
      <c r="N85" s="152">
        <f t="shared" si="205"/>
        <v>0.23300970873786409</v>
      </c>
      <c r="O85" s="152">
        <f t="shared" si="205"/>
        <v>0.23684210526315788</v>
      </c>
      <c r="P85" s="152">
        <f t="shared" si="205"/>
        <v>0.21641791044776118</v>
      </c>
      <c r="Q85" s="118">
        <f t="shared" si="202"/>
        <v>-2.9001974409525122E-2</v>
      </c>
      <c r="R85" s="152"/>
      <c r="S85" s="152">
        <f t="shared" ref="S85:AB85" si="206">S40/S25</f>
        <v>0.21641791044776121</v>
      </c>
      <c r="T85" s="152">
        <f t="shared" si="206"/>
        <v>0.21641791044776121</v>
      </c>
      <c r="U85" s="152">
        <f t="shared" si="206"/>
        <v>0.21641791044776121</v>
      </c>
      <c r="V85" s="152">
        <f t="shared" si="206"/>
        <v>0.21641791044776121</v>
      </c>
      <c r="W85" s="152">
        <f t="shared" si="206"/>
        <v>0.21641791044776121</v>
      </c>
      <c r="X85" s="152">
        <f t="shared" si="206"/>
        <v>0.21641791044776121</v>
      </c>
      <c r="Y85" s="152">
        <f t="shared" si="206"/>
        <v>0.21641791044776126</v>
      </c>
      <c r="Z85" s="152">
        <f t="shared" si="206"/>
        <v>0.21641791044776126</v>
      </c>
      <c r="AA85" s="152">
        <f t="shared" si="206"/>
        <v>0.21641791044776124</v>
      </c>
      <c r="AB85" s="152">
        <f t="shared" si="206"/>
        <v>0.21641791044776124</v>
      </c>
      <c r="AC85" s="138">
        <f t="shared" si="204"/>
        <v>-1.3844201426832403E-2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07">E40/E7</f>
        <v>#DIV/0!</v>
      </c>
      <c r="F86" s="152" t="e">
        <f t="shared" si="207"/>
        <v>#DIV/0!</v>
      </c>
      <c r="G86" s="152">
        <f>G40/G7</f>
        <v>0.13924050632911392</v>
      </c>
      <c r="H86" s="152">
        <f t="shared" si="207"/>
        <v>9.5238095238095233E-2</v>
      </c>
      <c r="I86" s="152">
        <f t="shared" si="207"/>
        <v>0.1326086956521739</v>
      </c>
      <c r="J86" s="152">
        <f t="shared" si="207"/>
        <v>6.8027210884353748E-2</v>
      </c>
      <c r="K86" s="152">
        <f t="shared" si="207"/>
        <v>0.17073170731707318</v>
      </c>
      <c r="L86" s="152">
        <f t="shared" si="207"/>
        <v>0.20744680851063829</v>
      </c>
      <c r="M86" s="152">
        <f t="shared" si="207"/>
        <v>0.23981900452488689</v>
      </c>
      <c r="N86" s="152">
        <f t="shared" si="207"/>
        <v>0.1867704280155642</v>
      </c>
      <c r="O86" s="152">
        <f t="shared" si="207"/>
        <v>0.17880794701986755</v>
      </c>
      <c r="P86" s="152">
        <f t="shared" ref="P86" si="208">P40/P7</f>
        <v>0.17109144542772861</v>
      </c>
      <c r="Q86" s="118">
        <f t="shared" si="202"/>
        <v>2.3152336053552824E-2</v>
      </c>
      <c r="R86" s="20"/>
      <c r="S86" s="152">
        <f t="shared" ref="S86" si="209">S40/S7</f>
        <v>0.17109144542772861</v>
      </c>
      <c r="T86" s="152">
        <f t="shared" ref="T86:AB86" si="210">T40/T7</f>
        <v>0.17109144542772861</v>
      </c>
      <c r="U86" s="152">
        <f t="shared" si="210"/>
        <v>0.17109144542772858</v>
      </c>
      <c r="V86" s="152">
        <f t="shared" si="210"/>
        <v>0.17109144542772861</v>
      </c>
      <c r="W86" s="152">
        <f t="shared" si="210"/>
        <v>0.17109144542772861</v>
      </c>
      <c r="X86" s="152">
        <f t="shared" si="210"/>
        <v>0.17109144542772861</v>
      </c>
      <c r="Y86" s="152">
        <f t="shared" si="210"/>
        <v>0.17109144542772864</v>
      </c>
      <c r="Z86" s="152">
        <f t="shared" si="210"/>
        <v>0.17109144542772864</v>
      </c>
      <c r="AA86" s="152">
        <f t="shared" si="210"/>
        <v>0.17109144542772864</v>
      </c>
      <c r="AB86" s="152">
        <f t="shared" si="210"/>
        <v>0.17109144542772864</v>
      </c>
      <c r="AC86" s="138">
        <f t="shared" si="204"/>
        <v>1.0900853543400313E-2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11">(E40)/(E7+E10)</f>
        <v>#DIV/0!</v>
      </c>
      <c r="F87" s="152" t="e">
        <f t="shared" si="211"/>
        <v>#DIV/0!</v>
      </c>
      <c r="G87" s="152">
        <f>(G40)/(G7+G10)</f>
        <v>0.13924050632911392</v>
      </c>
      <c r="H87" s="152">
        <f t="shared" ref="H87:O87" si="212">(H40)/(H7+H10)</f>
        <v>9.5238095238095233E-2</v>
      </c>
      <c r="I87" s="152">
        <f t="shared" si="212"/>
        <v>0.1326086956521739</v>
      </c>
      <c r="J87" s="152">
        <f t="shared" si="212"/>
        <v>6.8027210884353748E-2</v>
      </c>
      <c r="K87" s="152">
        <f t="shared" si="212"/>
        <v>0.17073170731707318</v>
      </c>
      <c r="L87" s="152">
        <f t="shared" si="212"/>
        <v>0.20744680851063829</v>
      </c>
      <c r="M87" s="152">
        <f t="shared" si="212"/>
        <v>0.23981900452488689</v>
      </c>
      <c r="N87" s="152">
        <f t="shared" si="212"/>
        <v>0.1867704280155642</v>
      </c>
      <c r="O87" s="152">
        <f t="shared" si="212"/>
        <v>0.17880794701986755</v>
      </c>
      <c r="P87" s="152">
        <f t="shared" ref="P87" si="213">(P40)/(P7+P10)</f>
        <v>0.17109144542772861</v>
      </c>
      <c r="Q87" s="118">
        <f t="shared" si="202"/>
        <v>2.3152336053552824E-2</v>
      </c>
      <c r="R87" s="20"/>
      <c r="S87" s="152">
        <f t="shared" ref="S87:AB87" si="214">(S40)/(S7+S10)</f>
        <v>0.17109144542772861</v>
      </c>
      <c r="T87" s="152">
        <f t="shared" si="214"/>
        <v>0.17109144542772861</v>
      </c>
      <c r="U87" s="152">
        <f t="shared" si="214"/>
        <v>0.17109144542772858</v>
      </c>
      <c r="V87" s="152">
        <f t="shared" si="214"/>
        <v>0.17109144542772861</v>
      </c>
      <c r="W87" s="152">
        <f t="shared" si="214"/>
        <v>0.17109144542772861</v>
      </c>
      <c r="X87" s="152">
        <f t="shared" si="214"/>
        <v>0.17109144542772861</v>
      </c>
      <c r="Y87" s="152">
        <f t="shared" si="214"/>
        <v>0.17109144542772864</v>
      </c>
      <c r="Z87" s="152">
        <f t="shared" si="214"/>
        <v>0.17109144542772864</v>
      </c>
      <c r="AA87" s="152">
        <f t="shared" si="214"/>
        <v>0.17109144542772864</v>
      </c>
      <c r="AB87" s="152">
        <f t="shared" si="214"/>
        <v>0.17109144542772864</v>
      </c>
      <c r="AC87" s="138">
        <f t="shared" si="204"/>
        <v>1.0900853543400313E-2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2.564102564102564E-2</v>
      </c>
      <c r="H88" s="152">
        <f t="shared" ref="H88:P88" si="215">H20/H25</f>
        <v>0</v>
      </c>
      <c r="I88" s="152">
        <f t="shared" si="215"/>
        <v>0.34210526315789475</v>
      </c>
      <c r="J88" s="152">
        <f t="shared" si="215"/>
        <v>0.15789473684210525</v>
      </c>
      <c r="K88" s="152">
        <f t="shared" si="215"/>
        <v>0.28037383177570091</v>
      </c>
      <c r="L88" s="152">
        <f t="shared" si="215"/>
        <v>0.25714285714285712</v>
      </c>
      <c r="M88" s="152">
        <f t="shared" si="215"/>
        <v>0.22702702702702704</v>
      </c>
      <c r="N88" s="152">
        <f t="shared" si="215"/>
        <v>0.20388349514563106</v>
      </c>
      <c r="O88" s="152">
        <f t="shared" si="215"/>
        <v>0.17105263157894737</v>
      </c>
      <c r="P88" s="152">
        <f t="shared" si="215"/>
        <v>0.15298507462686567</v>
      </c>
      <c r="Q88" s="118">
        <f t="shared" si="202"/>
        <v>0.21952415775630851</v>
      </c>
      <c r="R88" s="20"/>
      <c r="S88" s="152">
        <f t="shared" ref="S88:AB88" si="216">S20/S25</f>
        <v>0.15298507462686567</v>
      </c>
      <c r="T88" s="152">
        <f t="shared" si="216"/>
        <v>0.15298507462686567</v>
      </c>
      <c r="U88" s="152">
        <f t="shared" si="216"/>
        <v>0.15298507462686567</v>
      </c>
      <c r="V88" s="152">
        <f t="shared" si="216"/>
        <v>0.15298507462686567</v>
      </c>
      <c r="W88" s="152">
        <f t="shared" si="216"/>
        <v>0.15298507462686567</v>
      </c>
      <c r="X88" s="152">
        <f t="shared" si="216"/>
        <v>0.15298507462686567</v>
      </c>
      <c r="Y88" s="152">
        <f t="shared" si="216"/>
        <v>0.1529850746268657</v>
      </c>
      <c r="Z88" s="152">
        <f t="shared" si="216"/>
        <v>0.15298507462686567</v>
      </c>
      <c r="AA88" s="152">
        <f t="shared" si="216"/>
        <v>0.15298507462686567</v>
      </c>
      <c r="AB88" s="152">
        <f t="shared" si="216"/>
        <v>0.15298507462686567</v>
      </c>
      <c r="AC88" s="138">
        <f t="shared" si="204"/>
        <v>9.856822985643765E-2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0</v>
      </c>
      <c r="H90" s="152">
        <f t="shared" ref="H90:P90" si="217">H29/H25</f>
        <v>0</v>
      </c>
      <c r="I90" s="152">
        <f t="shared" si="217"/>
        <v>0</v>
      </c>
      <c r="J90" s="152">
        <f t="shared" si="217"/>
        <v>0</v>
      </c>
      <c r="K90" s="152">
        <f t="shared" si="217"/>
        <v>0</v>
      </c>
      <c r="L90" s="152">
        <f t="shared" si="217"/>
        <v>0</v>
      </c>
      <c r="M90" s="152">
        <f t="shared" si="217"/>
        <v>0</v>
      </c>
      <c r="N90" s="152">
        <f t="shared" si="217"/>
        <v>0</v>
      </c>
      <c r="O90" s="152">
        <f t="shared" si="217"/>
        <v>0</v>
      </c>
      <c r="P90" s="152">
        <f t="shared" si="217"/>
        <v>0</v>
      </c>
      <c r="Q90" s="118" t="e">
        <f t="shared" si="202"/>
        <v>#DIV/0!</v>
      </c>
      <c r="R90" s="20"/>
      <c r="S90" s="152">
        <f t="shared" ref="S90:AB90" si="218">S29/S25</f>
        <v>0</v>
      </c>
      <c r="T90" s="152">
        <f t="shared" si="218"/>
        <v>0</v>
      </c>
      <c r="U90" s="152">
        <f t="shared" si="218"/>
        <v>0</v>
      </c>
      <c r="V90" s="152">
        <f t="shared" si="218"/>
        <v>0</v>
      </c>
      <c r="W90" s="152">
        <f t="shared" si="218"/>
        <v>0</v>
      </c>
      <c r="X90" s="152">
        <f t="shared" si="218"/>
        <v>0</v>
      </c>
      <c r="Y90" s="152">
        <f t="shared" si="218"/>
        <v>0</v>
      </c>
      <c r="Z90" s="152">
        <f t="shared" si="218"/>
        <v>0</v>
      </c>
      <c r="AA90" s="152">
        <f t="shared" si="218"/>
        <v>0</v>
      </c>
      <c r="AB90" s="152">
        <f t="shared" si="218"/>
        <v>0</v>
      </c>
      <c r="AC90" s="138" t="e">
        <f t="shared" si="204"/>
        <v>#DIV/0!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</v>
      </c>
      <c r="H91" s="152">
        <f t="shared" ref="H91:P91" si="219">H29/H36</f>
        <v>0</v>
      </c>
      <c r="I91" s="152">
        <f t="shared" si="219"/>
        <v>0</v>
      </c>
      <c r="J91" s="152">
        <f t="shared" si="219"/>
        <v>0</v>
      </c>
      <c r="K91" s="152">
        <f t="shared" si="219"/>
        <v>0</v>
      </c>
      <c r="L91" s="152">
        <f t="shared" si="219"/>
        <v>0</v>
      </c>
      <c r="M91" s="152">
        <f t="shared" si="219"/>
        <v>0</v>
      </c>
      <c r="N91" s="152">
        <f t="shared" si="219"/>
        <v>0</v>
      </c>
      <c r="O91" s="152">
        <f t="shared" si="219"/>
        <v>0</v>
      </c>
      <c r="P91" s="152">
        <f t="shared" si="219"/>
        <v>0</v>
      </c>
      <c r="Q91" s="118" t="e">
        <f t="shared" ref="Q91" si="220">((P91/G91)^(1/($H$2-$H$1) ))-1</f>
        <v>#DIV/0!</v>
      </c>
      <c r="R91" s="20"/>
      <c r="S91" s="152">
        <f t="shared" ref="S91:AB91" si="221">S29/S36</f>
        <v>0</v>
      </c>
      <c r="T91" s="152">
        <f t="shared" si="221"/>
        <v>0</v>
      </c>
      <c r="U91" s="152">
        <f t="shared" si="221"/>
        <v>0</v>
      </c>
      <c r="V91" s="152">
        <f t="shared" si="221"/>
        <v>0</v>
      </c>
      <c r="W91" s="152">
        <f t="shared" si="221"/>
        <v>0</v>
      </c>
      <c r="X91" s="152">
        <f t="shared" si="221"/>
        <v>0</v>
      </c>
      <c r="Y91" s="152">
        <f t="shared" si="221"/>
        <v>0</v>
      </c>
      <c r="Z91" s="152">
        <f t="shared" si="221"/>
        <v>0</v>
      </c>
      <c r="AA91" s="152">
        <f t="shared" si="221"/>
        <v>0</v>
      </c>
      <c r="AB91" s="152">
        <f t="shared" si="221"/>
        <v>0</v>
      </c>
      <c r="AC91" s="138" t="e">
        <f t="shared" ref="AC91" si="222">((AB91/G91)^(1/($AB$3-$H$1) ))-1</f>
        <v>#DIV/0!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23">G29/G40</f>
        <v>0</v>
      </c>
      <c r="H92" s="171">
        <f t="shared" si="223"/>
        <v>0</v>
      </c>
      <c r="I92" s="171">
        <f t="shared" si="223"/>
        <v>0</v>
      </c>
      <c r="J92" s="171">
        <f t="shared" si="223"/>
        <v>0</v>
      </c>
      <c r="K92" s="171">
        <f t="shared" si="223"/>
        <v>0</v>
      </c>
      <c r="L92" s="171">
        <f t="shared" si="223"/>
        <v>0</v>
      </c>
      <c r="M92" s="171">
        <f t="shared" si="223"/>
        <v>0</v>
      </c>
      <c r="N92" s="171">
        <f t="shared" si="223"/>
        <v>0</v>
      </c>
      <c r="O92" s="171">
        <f t="shared" si="223"/>
        <v>0</v>
      </c>
      <c r="P92" s="171">
        <f t="shared" si="223"/>
        <v>0</v>
      </c>
      <c r="Q92" s="118" t="e">
        <f t="shared" ref="Q92" si="224">((P92/G92)^(1/($H$2-$H$1) ))-1</f>
        <v>#DIV/0!</v>
      </c>
      <c r="R92" s="20"/>
      <c r="S92" s="171">
        <f t="shared" ref="S92:AB92" si="225">S29/S40</f>
        <v>0</v>
      </c>
      <c r="T92" s="171">
        <f t="shared" si="225"/>
        <v>0</v>
      </c>
      <c r="U92" s="171">
        <f t="shared" si="225"/>
        <v>0</v>
      </c>
      <c r="V92" s="171">
        <f t="shared" si="225"/>
        <v>0</v>
      </c>
      <c r="W92" s="171">
        <f t="shared" si="225"/>
        <v>0</v>
      </c>
      <c r="X92" s="171">
        <f t="shared" si="225"/>
        <v>0</v>
      </c>
      <c r="Y92" s="171">
        <f t="shared" si="225"/>
        <v>0</v>
      </c>
      <c r="Z92" s="171">
        <f t="shared" si="225"/>
        <v>0</v>
      </c>
      <c r="AA92" s="171">
        <f t="shared" si="225"/>
        <v>0</v>
      </c>
      <c r="AB92" s="171">
        <f t="shared" si="225"/>
        <v>0</v>
      </c>
      <c r="AC92" s="138" t="e">
        <f t="shared" ref="AC92" si="226">((AB92/G92)^(1/($AB$3-$H$1) ))-1</f>
        <v>#DIV/0!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27">G29/G12</f>
        <v>0</v>
      </c>
      <c r="H93" s="171">
        <f t="shared" si="227"/>
        <v>0</v>
      </c>
      <c r="I93" s="171">
        <f t="shared" si="227"/>
        <v>0</v>
      </c>
      <c r="J93" s="171">
        <f t="shared" si="227"/>
        <v>0</v>
      </c>
      <c r="K93" s="171">
        <f t="shared" si="227"/>
        <v>0</v>
      </c>
      <c r="L93" s="171">
        <f t="shared" si="227"/>
        <v>0</v>
      </c>
      <c r="M93" s="171" t="e">
        <f t="shared" si="227"/>
        <v>#VALUE!</v>
      </c>
      <c r="N93" s="171">
        <f t="shared" si="227"/>
        <v>0</v>
      </c>
      <c r="O93" s="171">
        <f t="shared" si="227"/>
        <v>0</v>
      </c>
      <c r="P93" s="171">
        <f t="shared" si="227"/>
        <v>0</v>
      </c>
      <c r="Q93" s="118" t="e">
        <f t="shared" si="202"/>
        <v>#DIV/0!</v>
      </c>
      <c r="R93" s="20"/>
      <c r="S93" s="152">
        <f t="shared" ref="S93:AB93" si="228">S29/S12</f>
        <v>0</v>
      </c>
      <c r="T93" s="152">
        <f t="shared" si="228"/>
        <v>0</v>
      </c>
      <c r="U93" s="152">
        <f t="shared" si="228"/>
        <v>0</v>
      </c>
      <c r="V93" s="152">
        <f t="shared" si="228"/>
        <v>0</v>
      </c>
      <c r="W93" s="152">
        <f t="shared" si="228"/>
        <v>0</v>
      </c>
      <c r="X93" s="152">
        <f t="shared" si="228"/>
        <v>0</v>
      </c>
      <c r="Y93" s="152">
        <f t="shared" si="228"/>
        <v>0</v>
      </c>
      <c r="Z93" s="152">
        <f t="shared" si="228"/>
        <v>0</v>
      </c>
      <c r="AA93" s="152">
        <f t="shared" si="228"/>
        <v>0</v>
      </c>
      <c r="AB93" s="152">
        <f t="shared" si="228"/>
        <v>0</v>
      </c>
      <c r="AC93" s="138" t="e">
        <f t="shared" si="204"/>
        <v>#DIV/0!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0</v>
      </c>
      <c r="H94" s="171" t="e">
        <f t="shared" ref="H94:P94" si="229">H29/H23</f>
        <v>#DIV/0!</v>
      </c>
      <c r="I94" s="171">
        <f t="shared" si="229"/>
        <v>0</v>
      </c>
      <c r="J94" s="171">
        <f t="shared" si="229"/>
        <v>0</v>
      </c>
      <c r="K94" s="171">
        <f t="shared" si="229"/>
        <v>0</v>
      </c>
      <c r="L94" s="171">
        <f t="shared" si="229"/>
        <v>0</v>
      </c>
      <c r="M94" s="171">
        <f t="shared" si="229"/>
        <v>0</v>
      </c>
      <c r="N94" s="171">
        <f t="shared" si="229"/>
        <v>0</v>
      </c>
      <c r="O94" s="171">
        <f t="shared" si="229"/>
        <v>0</v>
      </c>
      <c r="P94" s="171">
        <f t="shared" si="229"/>
        <v>0</v>
      </c>
      <c r="Q94" s="118" t="e">
        <f t="shared" ref="Q94" si="230">((P94/G94)^(1/($H$2-$H$1) ))-1</f>
        <v>#DIV/0!</v>
      </c>
      <c r="R94" s="20"/>
      <c r="S94" s="171">
        <f t="shared" ref="S94:AB94" si="231">S29/S23</f>
        <v>0</v>
      </c>
      <c r="T94" s="171">
        <f t="shared" si="231"/>
        <v>0</v>
      </c>
      <c r="U94" s="171">
        <f t="shared" si="231"/>
        <v>0</v>
      </c>
      <c r="V94" s="171">
        <f t="shared" si="231"/>
        <v>0</v>
      </c>
      <c r="W94" s="171">
        <f t="shared" si="231"/>
        <v>0</v>
      </c>
      <c r="X94" s="171">
        <f t="shared" si="231"/>
        <v>0</v>
      </c>
      <c r="Y94" s="171">
        <f t="shared" si="231"/>
        <v>0</v>
      </c>
      <c r="Z94" s="171">
        <f t="shared" si="231"/>
        <v>0</v>
      </c>
      <c r="AA94" s="171">
        <f t="shared" si="231"/>
        <v>0</v>
      </c>
      <c r="AB94" s="171">
        <f t="shared" si="231"/>
        <v>0</v>
      </c>
      <c r="AC94" s="138" t="e">
        <f t="shared" ref="AC94" si="232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 t="e">
        <f>1/G90</f>
        <v>#DIV/0!</v>
      </c>
      <c r="H96" s="127" t="e">
        <f t="shared" ref="H96:P96" si="233">1/H90</f>
        <v>#DIV/0!</v>
      </c>
      <c r="I96" s="127" t="e">
        <f t="shared" si="233"/>
        <v>#DIV/0!</v>
      </c>
      <c r="J96" s="127" t="e">
        <f t="shared" si="233"/>
        <v>#DIV/0!</v>
      </c>
      <c r="K96" s="127" t="e">
        <f t="shared" si="233"/>
        <v>#DIV/0!</v>
      </c>
      <c r="L96" s="127" t="e">
        <f t="shared" si="233"/>
        <v>#DIV/0!</v>
      </c>
      <c r="M96" s="127" t="e">
        <f t="shared" si="233"/>
        <v>#DIV/0!</v>
      </c>
      <c r="N96" s="127" t="e">
        <f t="shared" si="233"/>
        <v>#DIV/0!</v>
      </c>
      <c r="O96" s="127" t="e">
        <f t="shared" si="233"/>
        <v>#DIV/0!</v>
      </c>
      <c r="P96" s="127" t="e">
        <f t="shared" si="233"/>
        <v>#DIV/0!</v>
      </c>
      <c r="Q96" s="118" t="e">
        <f t="shared" si="202"/>
        <v>#DIV/0!</v>
      </c>
      <c r="R96" s="20"/>
      <c r="S96" s="127" t="e">
        <f t="shared" ref="S96:AB96" si="234">1/S90</f>
        <v>#DIV/0!</v>
      </c>
      <c r="T96" s="127" t="e">
        <f t="shared" si="234"/>
        <v>#DIV/0!</v>
      </c>
      <c r="U96" s="127" t="e">
        <f t="shared" si="234"/>
        <v>#DIV/0!</v>
      </c>
      <c r="V96" s="127" t="e">
        <f t="shared" si="234"/>
        <v>#DIV/0!</v>
      </c>
      <c r="W96" s="127" t="e">
        <f t="shared" si="234"/>
        <v>#DIV/0!</v>
      </c>
      <c r="X96" s="127" t="e">
        <f t="shared" si="234"/>
        <v>#DIV/0!</v>
      </c>
      <c r="Y96" s="127" t="e">
        <f t="shared" si="234"/>
        <v>#DIV/0!</v>
      </c>
      <c r="Z96" s="127" t="e">
        <f t="shared" si="234"/>
        <v>#DIV/0!</v>
      </c>
      <c r="AA96" s="127" t="e">
        <f t="shared" si="234"/>
        <v>#DIV/0!</v>
      </c>
      <c r="AB96" s="127" t="e">
        <f t="shared" si="234"/>
        <v>#DIV/0!</v>
      </c>
      <c r="AC96" s="138" t="e">
        <f t="shared" si="204"/>
        <v>#DIV/0!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 t="e">
        <f t="shared" ref="G97:P100" si="235">1/G91</f>
        <v>#DIV/0!</v>
      </c>
      <c r="H97" s="127" t="e">
        <f t="shared" si="235"/>
        <v>#DIV/0!</v>
      </c>
      <c r="I97" s="127" t="e">
        <f t="shared" si="235"/>
        <v>#DIV/0!</v>
      </c>
      <c r="J97" s="127" t="e">
        <f t="shared" si="235"/>
        <v>#DIV/0!</v>
      </c>
      <c r="K97" s="127" t="e">
        <f t="shared" si="235"/>
        <v>#DIV/0!</v>
      </c>
      <c r="L97" s="127" t="e">
        <f t="shared" si="235"/>
        <v>#DIV/0!</v>
      </c>
      <c r="M97" s="127" t="e">
        <f t="shared" si="235"/>
        <v>#DIV/0!</v>
      </c>
      <c r="N97" s="127" t="e">
        <f t="shared" si="235"/>
        <v>#DIV/0!</v>
      </c>
      <c r="O97" s="127" t="e">
        <f t="shared" si="235"/>
        <v>#DIV/0!</v>
      </c>
      <c r="P97" s="127" t="e">
        <f t="shared" si="235"/>
        <v>#DIV/0!</v>
      </c>
      <c r="Q97" s="118" t="e">
        <f t="shared" si="202"/>
        <v>#DIV/0!</v>
      </c>
      <c r="R97" s="20"/>
      <c r="S97" s="127" t="e">
        <f t="shared" ref="S97:AB97" si="236">1/S91</f>
        <v>#DIV/0!</v>
      </c>
      <c r="T97" s="127" t="e">
        <f t="shared" si="236"/>
        <v>#DIV/0!</v>
      </c>
      <c r="U97" s="127" t="e">
        <f t="shared" si="236"/>
        <v>#DIV/0!</v>
      </c>
      <c r="V97" s="127" t="e">
        <f t="shared" si="236"/>
        <v>#DIV/0!</v>
      </c>
      <c r="W97" s="127" t="e">
        <f t="shared" si="236"/>
        <v>#DIV/0!</v>
      </c>
      <c r="X97" s="127" t="e">
        <f t="shared" si="236"/>
        <v>#DIV/0!</v>
      </c>
      <c r="Y97" s="127" t="e">
        <f t="shared" si="236"/>
        <v>#DIV/0!</v>
      </c>
      <c r="Z97" s="127" t="e">
        <f t="shared" si="236"/>
        <v>#DIV/0!</v>
      </c>
      <c r="AA97" s="127" t="e">
        <f t="shared" si="236"/>
        <v>#DIV/0!</v>
      </c>
      <c r="AB97" s="127" t="e">
        <f t="shared" si="236"/>
        <v>#DIV/0!</v>
      </c>
      <c r="AC97" s="138" t="e">
        <f t="shared" si="204"/>
        <v>#DIV/0!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 t="e">
        <f t="shared" si="235"/>
        <v>#DIV/0!</v>
      </c>
      <c r="H98" s="127" t="e">
        <f t="shared" si="235"/>
        <v>#DIV/0!</v>
      </c>
      <c r="I98" s="127" t="e">
        <f t="shared" si="235"/>
        <v>#DIV/0!</v>
      </c>
      <c r="J98" s="127" t="e">
        <f t="shared" si="235"/>
        <v>#DIV/0!</v>
      </c>
      <c r="K98" s="127" t="e">
        <f t="shared" si="235"/>
        <v>#DIV/0!</v>
      </c>
      <c r="L98" s="127" t="e">
        <f t="shared" si="235"/>
        <v>#DIV/0!</v>
      </c>
      <c r="M98" s="127" t="e">
        <f t="shared" si="235"/>
        <v>#DIV/0!</v>
      </c>
      <c r="N98" s="127" t="e">
        <f t="shared" si="235"/>
        <v>#DIV/0!</v>
      </c>
      <c r="O98" s="127" t="e">
        <f t="shared" si="235"/>
        <v>#DIV/0!</v>
      </c>
      <c r="P98" s="127" t="e">
        <f t="shared" si="235"/>
        <v>#DIV/0!</v>
      </c>
      <c r="Q98" s="118" t="e">
        <f t="shared" si="202"/>
        <v>#DIV/0!</v>
      </c>
      <c r="R98" s="20"/>
      <c r="S98" s="127" t="e">
        <f t="shared" ref="S98:AB98" si="237">1/S92</f>
        <v>#DIV/0!</v>
      </c>
      <c r="T98" s="127" t="e">
        <f t="shared" si="237"/>
        <v>#DIV/0!</v>
      </c>
      <c r="U98" s="127" t="e">
        <f t="shared" si="237"/>
        <v>#DIV/0!</v>
      </c>
      <c r="V98" s="127" t="e">
        <f t="shared" si="237"/>
        <v>#DIV/0!</v>
      </c>
      <c r="W98" s="127" t="e">
        <f t="shared" si="237"/>
        <v>#DIV/0!</v>
      </c>
      <c r="X98" s="127" t="e">
        <f t="shared" si="237"/>
        <v>#DIV/0!</v>
      </c>
      <c r="Y98" s="127" t="e">
        <f t="shared" si="237"/>
        <v>#DIV/0!</v>
      </c>
      <c r="Z98" s="127" t="e">
        <f t="shared" si="237"/>
        <v>#DIV/0!</v>
      </c>
      <c r="AA98" s="127" t="e">
        <f t="shared" si="237"/>
        <v>#DIV/0!</v>
      </c>
      <c r="AB98" s="127" t="e">
        <f t="shared" si="237"/>
        <v>#DIV/0!</v>
      </c>
      <c r="AC98" s="138" t="e">
        <f t="shared" si="204"/>
        <v>#DIV/0!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 t="e">
        <f t="shared" si="235"/>
        <v>#DIV/0!</v>
      </c>
      <c r="H99" s="127" t="e">
        <f t="shared" si="235"/>
        <v>#DIV/0!</v>
      </c>
      <c r="I99" s="127" t="e">
        <f t="shared" si="235"/>
        <v>#DIV/0!</v>
      </c>
      <c r="J99" s="127" t="e">
        <f t="shared" si="235"/>
        <v>#DIV/0!</v>
      </c>
      <c r="K99" s="127" t="e">
        <f t="shared" si="235"/>
        <v>#DIV/0!</v>
      </c>
      <c r="L99" s="127" t="e">
        <f t="shared" si="235"/>
        <v>#DIV/0!</v>
      </c>
      <c r="M99" s="127" t="e">
        <f t="shared" si="235"/>
        <v>#VALUE!</v>
      </c>
      <c r="N99" s="127" t="e">
        <f t="shared" si="235"/>
        <v>#DIV/0!</v>
      </c>
      <c r="O99" s="127" t="e">
        <f t="shared" si="235"/>
        <v>#DIV/0!</v>
      </c>
      <c r="P99" s="127" t="e">
        <f t="shared" si="235"/>
        <v>#DIV/0!</v>
      </c>
      <c r="Q99" s="118" t="e">
        <f t="shared" si="202"/>
        <v>#DIV/0!</v>
      </c>
      <c r="R99" s="20"/>
      <c r="S99" s="127" t="e">
        <f t="shared" ref="S99:AB99" si="238">1/S93</f>
        <v>#DIV/0!</v>
      </c>
      <c r="T99" s="127" t="e">
        <f t="shared" si="238"/>
        <v>#DIV/0!</v>
      </c>
      <c r="U99" s="127" t="e">
        <f t="shared" si="238"/>
        <v>#DIV/0!</v>
      </c>
      <c r="V99" s="127" t="e">
        <f t="shared" si="238"/>
        <v>#DIV/0!</v>
      </c>
      <c r="W99" s="127" t="e">
        <f t="shared" si="238"/>
        <v>#DIV/0!</v>
      </c>
      <c r="X99" s="127" t="e">
        <f t="shared" si="238"/>
        <v>#DIV/0!</v>
      </c>
      <c r="Y99" s="127" t="e">
        <f t="shared" si="238"/>
        <v>#DIV/0!</v>
      </c>
      <c r="Z99" s="127" t="e">
        <f t="shared" si="238"/>
        <v>#DIV/0!</v>
      </c>
      <c r="AA99" s="127" t="e">
        <f t="shared" si="238"/>
        <v>#DIV/0!</v>
      </c>
      <c r="AB99" s="127" t="e">
        <f t="shared" si="238"/>
        <v>#DIV/0!</v>
      </c>
      <c r="AC99" s="138" t="e">
        <f t="shared" si="204"/>
        <v>#DIV/0!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35"/>
        <v>#DIV/0!</v>
      </c>
      <c r="H100" s="127" t="e">
        <f t="shared" si="235"/>
        <v>#DIV/0!</v>
      </c>
      <c r="I100" s="127" t="e">
        <f t="shared" si="235"/>
        <v>#DIV/0!</v>
      </c>
      <c r="J100" s="127" t="e">
        <f t="shared" si="235"/>
        <v>#DIV/0!</v>
      </c>
      <c r="K100" s="127" t="e">
        <f t="shared" si="235"/>
        <v>#DIV/0!</v>
      </c>
      <c r="L100" s="127" t="e">
        <f t="shared" si="235"/>
        <v>#DIV/0!</v>
      </c>
      <c r="M100" s="127" t="e">
        <f t="shared" si="235"/>
        <v>#DIV/0!</v>
      </c>
      <c r="N100" s="127" t="e">
        <f t="shared" si="235"/>
        <v>#DIV/0!</v>
      </c>
      <c r="O100" s="127" t="e">
        <f t="shared" si="235"/>
        <v>#DIV/0!</v>
      </c>
      <c r="P100" s="127" t="e">
        <f t="shared" si="235"/>
        <v>#DIV/0!</v>
      </c>
      <c r="Q100" s="118" t="e">
        <f t="shared" si="202"/>
        <v>#DIV/0!</v>
      </c>
      <c r="R100" s="20"/>
      <c r="S100" s="127" t="e">
        <f t="shared" ref="S100:AB100" si="239">1/S94</f>
        <v>#DIV/0!</v>
      </c>
      <c r="T100" s="127" t="e">
        <f t="shared" si="239"/>
        <v>#DIV/0!</v>
      </c>
      <c r="U100" s="127" t="e">
        <f t="shared" si="239"/>
        <v>#DIV/0!</v>
      </c>
      <c r="V100" s="127" t="e">
        <f t="shared" si="239"/>
        <v>#DIV/0!</v>
      </c>
      <c r="W100" s="127" t="e">
        <f t="shared" si="239"/>
        <v>#DIV/0!</v>
      </c>
      <c r="X100" s="127" t="e">
        <f t="shared" si="239"/>
        <v>#DIV/0!</v>
      </c>
      <c r="Y100" s="127" t="e">
        <f t="shared" si="239"/>
        <v>#DIV/0!</v>
      </c>
      <c r="Z100" s="127" t="e">
        <f t="shared" si="239"/>
        <v>#DIV/0!</v>
      </c>
      <c r="AA100" s="127" t="e">
        <f t="shared" si="239"/>
        <v>#DIV/0!</v>
      </c>
      <c r="AB100" s="127" t="e">
        <f t="shared" si="239"/>
        <v>#DIV/0!</v>
      </c>
      <c r="AC100" s="138" t="e">
        <f t="shared" si="204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40">F10-(F12+F13)</f>
        <v>0</v>
      </c>
      <c r="G103" s="163">
        <f t="shared" si="240"/>
        <v>-68</v>
      </c>
      <c r="H103" s="163">
        <f t="shared" si="240"/>
        <v>-64</v>
      </c>
      <c r="I103" s="163">
        <f t="shared" si="240"/>
        <v>-72</v>
      </c>
      <c r="J103" s="163">
        <f t="shared" si="240"/>
        <v>-2894</v>
      </c>
      <c r="K103" s="163">
        <f t="shared" si="240"/>
        <v>-115</v>
      </c>
      <c r="L103" s="163">
        <f t="shared" si="240"/>
        <v>-142</v>
      </c>
      <c r="M103" s="163" t="e">
        <f t="shared" si="240"/>
        <v>#VALUE!</v>
      </c>
      <c r="N103" s="163">
        <f t="shared" si="240"/>
        <v>-233</v>
      </c>
      <c r="O103" s="163">
        <f t="shared" si="240"/>
        <v>-277</v>
      </c>
      <c r="P103" s="163">
        <f>P10-(P12+P13)</f>
        <v>-276</v>
      </c>
      <c r="Q103" s="118">
        <f t="shared" si="202"/>
        <v>0.16842278879424222</v>
      </c>
      <c r="R103" s="20"/>
      <c r="S103" s="163">
        <f>S10-(S12+S13)</f>
        <v>-309.12</v>
      </c>
      <c r="T103" s="163">
        <f t="shared" ref="T103:AB103" si="241">T10-(T12+T13)</f>
        <v>-346.21440000000007</v>
      </c>
      <c r="U103" s="163">
        <f t="shared" si="241"/>
        <v>-387.76012800000012</v>
      </c>
      <c r="V103" s="163">
        <f t="shared" si="241"/>
        <v>-434.29134336000016</v>
      </c>
      <c r="W103" s="163">
        <f t="shared" si="241"/>
        <v>-486.40630456320025</v>
      </c>
      <c r="X103" s="163">
        <f t="shared" si="241"/>
        <v>-544.77506111078435</v>
      </c>
      <c r="Y103" s="163">
        <f t="shared" si="241"/>
        <v>-610.14806844407849</v>
      </c>
      <c r="Z103" s="163">
        <f t="shared" si="241"/>
        <v>-683.36583665736805</v>
      </c>
      <c r="AA103" s="163">
        <f t="shared" si="241"/>
        <v>-765.36973705625223</v>
      </c>
      <c r="AB103" s="163">
        <f t="shared" si="241"/>
        <v>-857.21410550300266</v>
      </c>
      <c r="AC103" s="138">
        <f t="shared" si="204"/>
        <v>0.14268173098146275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42">G40/G18</f>
        <v>0.16923076923076924</v>
      </c>
      <c r="H104" s="152">
        <f t="shared" si="242"/>
        <v>0.13333333333333333</v>
      </c>
      <c r="I104" s="152">
        <f t="shared" si="242"/>
        <v>0.17941176470588235</v>
      </c>
      <c r="J104" s="152">
        <f t="shared" si="242"/>
        <v>0.37037037037037035</v>
      </c>
      <c r="K104" s="152">
        <f t="shared" si="242"/>
        <v>1</v>
      </c>
      <c r="L104" s="152">
        <f t="shared" si="242"/>
        <v>1.3448275862068966</v>
      </c>
      <c r="M104" s="152">
        <f t="shared" si="242"/>
        <v>1.5588235294117647</v>
      </c>
      <c r="N104" s="152">
        <f t="shared" si="242"/>
        <v>1.4545454545454546</v>
      </c>
      <c r="O104" s="152">
        <f t="shared" si="242"/>
        <v>1.588235294117647</v>
      </c>
      <c r="P104" s="152">
        <f t="shared" si="242"/>
        <v>0.89230769230769236</v>
      </c>
      <c r="Q104" s="118">
        <f t="shared" si="202"/>
        <v>0.20289063954804742</v>
      </c>
      <c r="R104" s="20"/>
      <c r="S104" s="152">
        <f t="shared" ref="S104:AB104" si="243">S40/S18</f>
        <v>0.89230769230769225</v>
      </c>
      <c r="T104" s="152">
        <f t="shared" si="243"/>
        <v>0.89230769230769236</v>
      </c>
      <c r="U104" s="152">
        <f t="shared" si="243"/>
        <v>0.89230769230769236</v>
      </c>
      <c r="V104" s="152">
        <f t="shared" si="243"/>
        <v>0.89230769230769236</v>
      </c>
      <c r="W104" s="152">
        <f t="shared" si="243"/>
        <v>0.89230769230769236</v>
      </c>
      <c r="X104" s="152">
        <f t="shared" si="243"/>
        <v>0.89230769230769247</v>
      </c>
      <c r="Y104" s="152">
        <f t="shared" si="243"/>
        <v>0.89230769230769258</v>
      </c>
      <c r="Z104" s="152">
        <f t="shared" si="243"/>
        <v>0.89230769230769258</v>
      </c>
      <c r="AA104" s="152">
        <f t="shared" si="243"/>
        <v>0.89230769230769247</v>
      </c>
      <c r="AB104" s="152">
        <f t="shared" si="243"/>
        <v>0.89230769230769258</v>
      </c>
      <c r="AC104" s="138">
        <f t="shared" si="204"/>
        <v>9.1445006709335086E-2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44">G40/G25</f>
        <v>0.28205128205128205</v>
      </c>
      <c r="H105" s="152">
        <f t="shared" si="244"/>
        <v>0.1951219512195122</v>
      </c>
      <c r="I105" s="152">
        <f t="shared" si="244"/>
        <v>0.32105263157894737</v>
      </c>
      <c r="J105" s="152">
        <f t="shared" si="244"/>
        <v>0.13157894736842105</v>
      </c>
      <c r="K105" s="152">
        <f t="shared" si="244"/>
        <v>0.26168224299065418</v>
      </c>
      <c r="L105" s="152">
        <f t="shared" si="244"/>
        <v>0.27857142857142858</v>
      </c>
      <c r="M105" s="152">
        <f t="shared" si="244"/>
        <v>0.2864864864864865</v>
      </c>
      <c r="N105" s="152">
        <f t="shared" si="244"/>
        <v>0.23300970873786409</v>
      </c>
      <c r="O105" s="152">
        <f t="shared" si="244"/>
        <v>0.23684210526315788</v>
      </c>
      <c r="P105" s="152">
        <f t="shared" si="244"/>
        <v>0.21641791044776118</v>
      </c>
      <c r="Q105" s="118">
        <f t="shared" si="202"/>
        <v>-2.9001974409525122E-2</v>
      </c>
      <c r="R105" s="20"/>
      <c r="S105" s="152">
        <f t="shared" ref="S105:AB105" si="245">S40/S25</f>
        <v>0.21641791044776121</v>
      </c>
      <c r="T105" s="152">
        <f t="shared" si="245"/>
        <v>0.21641791044776121</v>
      </c>
      <c r="U105" s="152">
        <f t="shared" si="245"/>
        <v>0.21641791044776121</v>
      </c>
      <c r="V105" s="152">
        <f t="shared" si="245"/>
        <v>0.21641791044776121</v>
      </c>
      <c r="W105" s="152">
        <f t="shared" si="245"/>
        <v>0.21641791044776121</v>
      </c>
      <c r="X105" s="152">
        <f t="shared" si="245"/>
        <v>0.21641791044776121</v>
      </c>
      <c r="Y105" s="152">
        <f t="shared" si="245"/>
        <v>0.21641791044776126</v>
      </c>
      <c r="Z105" s="152">
        <f t="shared" si="245"/>
        <v>0.21641791044776126</v>
      </c>
      <c r="AA105" s="152">
        <f t="shared" si="245"/>
        <v>0.21641791044776124</v>
      </c>
      <c r="AB105" s="152">
        <f t="shared" si="245"/>
        <v>0.21641791044776124</v>
      </c>
      <c r="AC105" s="138">
        <f t="shared" si="204"/>
        <v>-1.3844201426832403E-2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46">G25/G18</f>
        <v>0.6</v>
      </c>
      <c r="H106" s="152">
        <f t="shared" si="246"/>
        <v>0.68333333333333335</v>
      </c>
      <c r="I106" s="152">
        <f t="shared" si="246"/>
        <v>0.55882352941176472</v>
      </c>
      <c r="J106" s="152">
        <f t="shared" si="246"/>
        <v>2.8148148148148149</v>
      </c>
      <c r="K106" s="152">
        <f t="shared" si="246"/>
        <v>3.8214285714285716</v>
      </c>
      <c r="L106" s="152">
        <f t="shared" si="246"/>
        <v>4.8275862068965516</v>
      </c>
      <c r="M106" s="152">
        <f t="shared" si="246"/>
        <v>5.4411764705882355</v>
      </c>
      <c r="N106" s="152">
        <f t="shared" si="246"/>
        <v>6.2424242424242422</v>
      </c>
      <c r="O106" s="152">
        <f t="shared" si="246"/>
        <v>6.7058823529411766</v>
      </c>
      <c r="P106" s="152">
        <f>P25/P18</f>
        <v>4.1230769230769226</v>
      </c>
      <c r="Q106" s="118">
        <f t="shared" si="202"/>
        <v>0.23881883160015294</v>
      </c>
      <c r="R106" s="20"/>
      <c r="S106" s="152">
        <f>S25/S18</f>
        <v>4.1230769230769226</v>
      </c>
      <c r="T106" s="152">
        <f t="shared" ref="T106:AB106" si="247">T25/T18</f>
        <v>4.1230769230769226</v>
      </c>
      <c r="U106" s="152">
        <f t="shared" si="247"/>
        <v>4.1230769230769226</v>
      </c>
      <c r="V106" s="152">
        <f t="shared" si="247"/>
        <v>4.1230769230769226</v>
      </c>
      <c r="W106" s="152">
        <f t="shared" si="247"/>
        <v>4.1230769230769226</v>
      </c>
      <c r="X106" s="152">
        <f t="shared" si="247"/>
        <v>4.1230769230769235</v>
      </c>
      <c r="Y106" s="152">
        <f t="shared" si="247"/>
        <v>4.1230769230769235</v>
      </c>
      <c r="Z106" s="152">
        <f t="shared" si="247"/>
        <v>4.1230769230769235</v>
      </c>
      <c r="AA106" s="152">
        <f t="shared" si="247"/>
        <v>4.1230769230769235</v>
      </c>
      <c r="AB106" s="152">
        <f t="shared" si="247"/>
        <v>4.1230769230769235</v>
      </c>
      <c r="AC106" s="138">
        <f t="shared" si="204"/>
        <v>0.10676731636979331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48">E68*E42</f>
        <v>0</v>
      </c>
      <c r="F108" s="165">
        <f t="shared" si="248"/>
        <v>0</v>
      </c>
      <c r="G108" s="165">
        <f>G68*G42</f>
        <v>4.4000000000000004</v>
      </c>
      <c r="H108" s="165">
        <f t="shared" ref="H108:P108" si="249">H68*H42</f>
        <v>3.08</v>
      </c>
      <c r="I108" s="165">
        <f t="shared" si="249"/>
        <v>3.52</v>
      </c>
      <c r="J108" s="165">
        <f t="shared" si="249"/>
        <v>4.5</v>
      </c>
      <c r="K108" s="165">
        <f t="shared" si="249"/>
        <v>10</v>
      </c>
      <c r="L108" s="165">
        <f t="shared" si="249"/>
        <v>12</v>
      </c>
      <c r="M108" s="165">
        <f t="shared" si="249"/>
        <v>17</v>
      </c>
      <c r="N108" s="165">
        <f t="shared" si="249"/>
        <v>17</v>
      </c>
      <c r="O108" s="165">
        <f t="shared" si="249"/>
        <v>20</v>
      </c>
      <c r="P108" s="165">
        <f t="shared" si="249"/>
        <v>22</v>
      </c>
      <c r="Q108" s="118">
        <f t="shared" si="202"/>
        <v>0.19581317450040192</v>
      </c>
      <c r="R108" s="20"/>
      <c r="S108" s="165">
        <f t="shared" ref="S108:AB108" si="250">S68*S42</f>
        <v>24.255000000000003</v>
      </c>
      <c r="T108" s="165">
        <f t="shared" si="250"/>
        <v>26.741137500000004</v>
      </c>
      <c r="U108" s="165">
        <f t="shared" si="250"/>
        <v>29.482104093750007</v>
      </c>
      <c r="V108" s="165">
        <f t="shared" si="250"/>
        <v>32.504019763359388</v>
      </c>
      <c r="W108" s="165">
        <f t="shared" si="250"/>
        <v>35.835681789103731</v>
      </c>
      <c r="X108" s="165">
        <f t="shared" si="250"/>
        <v>39.508839172486866</v>
      </c>
      <c r="Y108" s="165">
        <f t="shared" si="250"/>
        <v>43.558495187666765</v>
      </c>
      <c r="Z108" s="165">
        <f t="shared" si="250"/>
        <v>48.023240944402609</v>
      </c>
      <c r="AA108" s="165">
        <f t="shared" si="250"/>
        <v>52.945623141203875</v>
      </c>
      <c r="AB108" s="165">
        <f t="shared" si="250"/>
        <v>58.372549513177276</v>
      </c>
      <c r="AC108" s="138">
        <f t="shared" si="204"/>
        <v>0.14575673896480357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51">(G108*0.17)+G108</f>
        <v>5.1480000000000006</v>
      </c>
      <c r="H109" s="165">
        <f t="shared" si="251"/>
        <v>3.6036000000000001</v>
      </c>
      <c r="I109" s="165">
        <f t="shared" si="251"/>
        <v>4.1184000000000003</v>
      </c>
      <c r="J109" s="165">
        <f t="shared" si="251"/>
        <v>5.2649999999999997</v>
      </c>
      <c r="K109" s="165">
        <f t="shared" si="251"/>
        <v>11.7</v>
      </c>
      <c r="L109" s="165">
        <f t="shared" si="251"/>
        <v>14.04</v>
      </c>
      <c r="M109" s="165">
        <f t="shared" si="251"/>
        <v>19.89</v>
      </c>
      <c r="N109" s="165">
        <f t="shared" si="251"/>
        <v>19.89</v>
      </c>
      <c r="O109" s="165">
        <f t="shared" si="251"/>
        <v>23.4</v>
      </c>
      <c r="P109" s="165">
        <f t="shared" si="251"/>
        <v>25.740000000000002</v>
      </c>
      <c r="Q109" s="118">
        <f t="shared" si="202"/>
        <v>0.19581317450040192</v>
      </c>
      <c r="R109" s="20"/>
      <c r="S109" s="165">
        <f t="shared" ref="S109:AB109" si="252">(S108*0.17)+S108</f>
        <v>28.378350000000005</v>
      </c>
      <c r="T109" s="165">
        <f t="shared" si="252"/>
        <v>31.287130875000006</v>
      </c>
      <c r="U109" s="165">
        <f t="shared" si="252"/>
        <v>34.494061789687507</v>
      </c>
      <c r="V109" s="165">
        <f t="shared" si="252"/>
        <v>38.029703123130481</v>
      </c>
      <c r="W109" s="165">
        <f t="shared" si="252"/>
        <v>41.927747693251362</v>
      </c>
      <c r="X109" s="165">
        <f t="shared" si="252"/>
        <v>46.225341831809629</v>
      </c>
      <c r="Y109" s="165">
        <f t="shared" si="252"/>
        <v>50.963439369570118</v>
      </c>
      <c r="Z109" s="165">
        <f t="shared" si="252"/>
        <v>56.18719190495105</v>
      </c>
      <c r="AA109" s="165">
        <f t="shared" si="252"/>
        <v>61.946379075208533</v>
      </c>
      <c r="AB109" s="165">
        <f t="shared" si="252"/>
        <v>68.295882930417406</v>
      </c>
      <c r="AC109" s="138">
        <f t="shared" si="204"/>
        <v>0.14575673896480357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53">F109/F40</f>
        <v>#DIV/0!</v>
      </c>
      <c r="G110" s="152">
        <f t="shared" si="253"/>
        <v>0.46800000000000003</v>
      </c>
      <c r="H110" s="152">
        <f t="shared" si="253"/>
        <v>0.45045000000000002</v>
      </c>
      <c r="I110" s="152">
        <f t="shared" si="253"/>
        <v>0.33757377049180332</v>
      </c>
      <c r="J110" s="152">
        <f t="shared" si="253"/>
        <v>0.52649999999999997</v>
      </c>
      <c r="K110" s="152">
        <f t="shared" si="253"/>
        <v>0.41785714285714282</v>
      </c>
      <c r="L110" s="152">
        <f t="shared" si="253"/>
        <v>0.36</v>
      </c>
      <c r="M110" s="152">
        <f t="shared" si="253"/>
        <v>0.37528301886792453</v>
      </c>
      <c r="N110" s="152">
        <f t="shared" si="253"/>
        <v>0.41437499999999999</v>
      </c>
      <c r="O110" s="152">
        <f t="shared" si="253"/>
        <v>0.43333333333333329</v>
      </c>
      <c r="P110" s="152">
        <f t="shared" si="253"/>
        <v>0.44379310344827588</v>
      </c>
      <c r="Q110" s="118">
        <f t="shared" si="202"/>
        <v>-5.8837144582858381E-3</v>
      </c>
      <c r="R110" s="20"/>
      <c r="S110" s="152">
        <f t="shared" ref="S110:AB110" si="254">S109/S40</f>
        <v>0.43685883620689658</v>
      </c>
      <c r="T110" s="152">
        <f t="shared" si="254"/>
        <v>0.4300329168911638</v>
      </c>
      <c r="U110" s="152">
        <f t="shared" si="254"/>
        <v>0.42331365256473935</v>
      </c>
      <c r="V110" s="152">
        <f t="shared" si="254"/>
        <v>0.41669937674341528</v>
      </c>
      <c r="W110" s="152">
        <f t="shared" si="254"/>
        <v>0.41018844898179946</v>
      </c>
      <c r="X110" s="152">
        <f t="shared" si="254"/>
        <v>0.40377925446645885</v>
      </c>
      <c r="Y110" s="152">
        <f t="shared" si="254"/>
        <v>0.39747020361542035</v>
      </c>
      <c r="Z110" s="152">
        <f t="shared" si="254"/>
        <v>0.3912597316839293</v>
      </c>
      <c r="AA110" s="152">
        <f t="shared" si="254"/>
        <v>0.38514629837636793</v>
      </c>
      <c r="AB110" s="152">
        <f t="shared" si="254"/>
        <v>0.3791283874642371</v>
      </c>
      <c r="AC110" s="138">
        <f t="shared" si="204"/>
        <v>-1.1022663204510175E-2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0.53200000000000003</v>
      </c>
      <c r="H111" s="152">
        <f t="shared" ref="H111:P111" si="255">1-H110</f>
        <v>0.54954999999999998</v>
      </c>
      <c r="I111" s="152">
        <f t="shared" si="255"/>
        <v>0.66242622950819663</v>
      </c>
      <c r="J111" s="152">
        <f t="shared" si="255"/>
        <v>0.47350000000000003</v>
      </c>
      <c r="K111" s="152">
        <f t="shared" si="255"/>
        <v>0.58214285714285718</v>
      </c>
      <c r="L111" s="152">
        <f t="shared" si="255"/>
        <v>0.64</v>
      </c>
      <c r="M111" s="152">
        <f t="shared" si="255"/>
        <v>0.62471698113207541</v>
      </c>
      <c r="N111" s="152">
        <f t="shared" si="255"/>
        <v>0.58562500000000006</v>
      </c>
      <c r="O111" s="152">
        <f t="shared" si="255"/>
        <v>0.56666666666666665</v>
      </c>
      <c r="P111" s="152">
        <f t="shared" si="255"/>
        <v>0.55620689655172417</v>
      </c>
      <c r="Q111" s="118">
        <f t="shared" si="202"/>
        <v>4.9563368466030155E-3</v>
      </c>
      <c r="R111" s="20"/>
      <c r="S111" s="152">
        <f t="shared" ref="S111:AB111" si="256">1-S110</f>
        <v>0.56314116379310342</v>
      </c>
      <c r="T111" s="152">
        <f t="shared" si="256"/>
        <v>0.56996708310883615</v>
      </c>
      <c r="U111" s="152">
        <f t="shared" si="256"/>
        <v>0.57668634743526059</v>
      </c>
      <c r="V111" s="152">
        <f t="shared" si="256"/>
        <v>0.58330062325658472</v>
      </c>
      <c r="W111" s="152">
        <f t="shared" si="256"/>
        <v>0.58981155101820049</v>
      </c>
      <c r="X111" s="152">
        <f t="shared" si="256"/>
        <v>0.5962207455335411</v>
      </c>
      <c r="Y111" s="152">
        <f t="shared" si="256"/>
        <v>0.60252979638457971</v>
      </c>
      <c r="Z111" s="152">
        <f t="shared" si="256"/>
        <v>0.60874026831607075</v>
      </c>
      <c r="AA111" s="152">
        <f t="shared" si="256"/>
        <v>0.61485370162363207</v>
      </c>
      <c r="AB111" s="152">
        <f t="shared" si="256"/>
        <v>0.62087161253576295</v>
      </c>
      <c r="AC111" s="138">
        <f t="shared" si="204"/>
        <v>8.1637127469695869E-3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57">H31/H25</f>
        <v>0</v>
      </c>
      <c r="I113" s="152">
        <f t="shared" si="257"/>
        <v>0</v>
      </c>
      <c r="J113" s="152">
        <f t="shared" si="257"/>
        <v>0</v>
      </c>
      <c r="K113" s="152">
        <f t="shared" si="257"/>
        <v>0</v>
      </c>
      <c r="L113" s="152">
        <f t="shared" si="257"/>
        <v>0</v>
      </c>
      <c r="M113" s="152">
        <f t="shared" si="257"/>
        <v>0</v>
      </c>
      <c r="N113" s="152">
        <f t="shared" si="257"/>
        <v>0</v>
      </c>
      <c r="O113" s="152">
        <f t="shared" si="257"/>
        <v>0</v>
      </c>
      <c r="P113" s="152">
        <f t="shared" si="257"/>
        <v>0</v>
      </c>
      <c r="Q113" s="118" t="e">
        <f t="shared" si="202"/>
        <v>#DIV/0!</v>
      </c>
      <c r="R113" s="20"/>
      <c r="S113" s="152">
        <f t="shared" ref="S113:AB113" si="258">S31/S25</f>
        <v>0</v>
      </c>
      <c r="T113" s="152">
        <f t="shared" si="258"/>
        <v>0</v>
      </c>
      <c r="U113" s="152">
        <f t="shared" si="258"/>
        <v>0</v>
      </c>
      <c r="V113" s="152">
        <f t="shared" si="258"/>
        <v>0</v>
      </c>
      <c r="W113" s="152">
        <f t="shared" si="258"/>
        <v>0</v>
      </c>
      <c r="X113" s="152">
        <f t="shared" si="258"/>
        <v>0</v>
      </c>
      <c r="Y113" s="152">
        <f t="shared" si="258"/>
        <v>0</v>
      </c>
      <c r="Z113" s="152">
        <f t="shared" si="258"/>
        <v>0</v>
      </c>
      <c r="AA113" s="152">
        <f t="shared" si="258"/>
        <v>0</v>
      </c>
      <c r="AB113" s="152">
        <f t="shared" si="258"/>
        <v>0</v>
      </c>
      <c r="AC113" s="138" t="e">
        <f t="shared" si="204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59">H32/H25</f>
        <v>0</v>
      </c>
      <c r="I114" s="152">
        <f t="shared" si="259"/>
        <v>0</v>
      </c>
      <c r="J114" s="152">
        <f t="shared" si="259"/>
        <v>0</v>
      </c>
      <c r="K114" s="152">
        <f t="shared" si="259"/>
        <v>0</v>
      </c>
      <c r="L114" s="152">
        <f t="shared" si="259"/>
        <v>0</v>
      </c>
      <c r="M114" s="152">
        <f t="shared" si="259"/>
        <v>0</v>
      </c>
      <c r="N114" s="152">
        <f t="shared" si="259"/>
        <v>0</v>
      </c>
      <c r="O114" s="152">
        <f t="shared" si="259"/>
        <v>0</v>
      </c>
      <c r="P114" s="152">
        <f t="shared" si="259"/>
        <v>0</v>
      </c>
      <c r="Q114" s="118" t="e">
        <f t="shared" si="202"/>
        <v>#DIV/0!</v>
      </c>
      <c r="R114" s="20"/>
      <c r="S114" s="152">
        <f t="shared" ref="S114:AB114" si="260">S32/S25</f>
        <v>0</v>
      </c>
      <c r="T114" s="152">
        <f t="shared" si="260"/>
        <v>0</v>
      </c>
      <c r="U114" s="152">
        <f t="shared" si="260"/>
        <v>0</v>
      </c>
      <c r="V114" s="152">
        <f t="shared" si="260"/>
        <v>0</v>
      </c>
      <c r="W114" s="152">
        <f t="shared" si="260"/>
        <v>0</v>
      </c>
      <c r="X114" s="152">
        <f t="shared" si="260"/>
        <v>0</v>
      </c>
      <c r="Y114" s="152">
        <f t="shared" si="260"/>
        <v>0</v>
      </c>
      <c r="Z114" s="152">
        <f t="shared" si="260"/>
        <v>0</v>
      </c>
      <c r="AA114" s="152">
        <f t="shared" si="260"/>
        <v>0</v>
      </c>
      <c r="AB114" s="152">
        <f t="shared" si="260"/>
        <v>0</v>
      </c>
      <c r="AC114" s="138" t="e">
        <f t="shared" si="204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0.58974358974358976</v>
      </c>
      <c r="H116" s="152">
        <f t="shared" ref="H116:P116" si="261">H27/H25</f>
        <v>0.68292682926829273</v>
      </c>
      <c r="I116" s="152">
        <f t="shared" si="261"/>
        <v>0.52631578947368418</v>
      </c>
      <c r="J116" s="152">
        <f t="shared" si="261"/>
        <v>0.60526315789473684</v>
      </c>
      <c r="K116" s="152">
        <f t="shared" si="261"/>
        <v>0.57943925233644855</v>
      </c>
      <c r="L116" s="152">
        <f t="shared" si="261"/>
        <v>0.5714285714285714</v>
      </c>
      <c r="M116" s="152">
        <f t="shared" si="261"/>
        <v>0.54594594594594592</v>
      </c>
      <c r="N116" s="152">
        <f t="shared" si="261"/>
        <v>0.61650485436893199</v>
      </c>
      <c r="O116" s="152">
        <f t="shared" si="261"/>
        <v>0.63596491228070173</v>
      </c>
      <c r="P116" s="152">
        <f t="shared" si="261"/>
        <v>0.71268656716417911</v>
      </c>
      <c r="Q116" s="118">
        <f t="shared" si="202"/>
        <v>2.1262206621172286E-2</v>
      </c>
      <c r="R116" s="20"/>
      <c r="S116" s="152">
        <f t="shared" ref="S116:AB116" si="262">S27/S25</f>
        <v>0.71268656716417911</v>
      </c>
      <c r="T116" s="152">
        <f t="shared" si="262"/>
        <v>0.71268656716417911</v>
      </c>
      <c r="U116" s="152">
        <f t="shared" si="262"/>
        <v>0.71268656716417911</v>
      </c>
      <c r="V116" s="152">
        <f t="shared" si="262"/>
        <v>0.71268656716417911</v>
      </c>
      <c r="W116" s="152">
        <f t="shared" si="262"/>
        <v>0.71268656716417911</v>
      </c>
      <c r="X116" s="152">
        <f t="shared" si="262"/>
        <v>0.71268656716417911</v>
      </c>
      <c r="Y116" s="152">
        <f t="shared" si="262"/>
        <v>0.71268656716417922</v>
      </c>
      <c r="Z116" s="152">
        <f t="shared" si="262"/>
        <v>0.71268656716417911</v>
      </c>
      <c r="AA116" s="152">
        <f t="shared" si="262"/>
        <v>0.712686567164179</v>
      </c>
      <c r="AB116" s="152">
        <f t="shared" si="262"/>
        <v>0.712686567164179</v>
      </c>
      <c r="AC116" s="138">
        <f t="shared" si="204"/>
        <v>1.0015819462905196E-2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</v>
      </c>
      <c r="H117" s="152">
        <f t="shared" ref="H117:P117" si="263">H33/H25</f>
        <v>0</v>
      </c>
      <c r="I117" s="152">
        <f t="shared" si="263"/>
        <v>0</v>
      </c>
      <c r="J117" s="152">
        <f t="shared" si="263"/>
        <v>0</v>
      </c>
      <c r="K117" s="152">
        <f t="shared" si="263"/>
        <v>0</v>
      </c>
      <c r="L117" s="152">
        <f t="shared" si="263"/>
        <v>0</v>
      </c>
      <c r="M117" s="152">
        <f t="shared" si="263"/>
        <v>0</v>
      </c>
      <c r="N117" s="152">
        <f t="shared" si="263"/>
        <v>0</v>
      </c>
      <c r="O117" s="152">
        <f t="shared" si="263"/>
        <v>0</v>
      </c>
      <c r="P117" s="152">
        <f t="shared" si="263"/>
        <v>0</v>
      </c>
      <c r="Q117" s="118" t="e">
        <f t="shared" si="202"/>
        <v>#DIV/0!</v>
      </c>
      <c r="R117" s="20"/>
      <c r="S117" s="152">
        <f t="shared" ref="S117:AB117" si="264">S33/S25</f>
        <v>0</v>
      </c>
      <c r="T117" s="152">
        <f t="shared" si="264"/>
        <v>0</v>
      </c>
      <c r="U117" s="152">
        <f t="shared" si="264"/>
        <v>0</v>
      </c>
      <c r="V117" s="152">
        <f t="shared" si="264"/>
        <v>0</v>
      </c>
      <c r="W117" s="152">
        <f t="shared" si="264"/>
        <v>0</v>
      </c>
      <c r="X117" s="152">
        <f t="shared" si="264"/>
        <v>0</v>
      </c>
      <c r="Y117" s="152">
        <f t="shared" si="264"/>
        <v>0</v>
      </c>
      <c r="Z117" s="152">
        <f t="shared" si="264"/>
        <v>0</v>
      </c>
      <c r="AA117" s="152">
        <f t="shared" si="264"/>
        <v>0</v>
      </c>
      <c r="AB117" s="152">
        <f t="shared" si="264"/>
        <v>0</v>
      </c>
      <c r="AC117" s="138" t="e">
        <f t="shared" si="204"/>
        <v>#DIV/0!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0.30769230769230771</v>
      </c>
      <c r="H118" s="152">
        <f t="shared" ref="H118:P118" si="265">H34/H25</f>
        <v>0.3902439024390244</v>
      </c>
      <c r="I118" s="152">
        <f t="shared" si="265"/>
        <v>0.31578947368421051</v>
      </c>
      <c r="J118" s="152">
        <f t="shared" si="265"/>
        <v>0.38157894736842107</v>
      </c>
      <c r="K118" s="152">
        <f t="shared" si="265"/>
        <v>0.3925233644859813</v>
      </c>
      <c r="L118" s="152">
        <f t="shared" si="265"/>
        <v>0.39285714285714285</v>
      </c>
      <c r="M118" s="152">
        <f t="shared" si="265"/>
        <v>0.37297297297297299</v>
      </c>
      <c r="N118" s="152">
        <f t="shared" si="265"/>
        <v>0.42718446601941745</v>
      </c>
      <c r="O118" s="152">
        <f t="shared" si="265"/>
        <v>0.46491228070175439</v>
      </c>
      <c r="P118" s="152">
        <f t="shared" si="265"/>
        <v>0.47388059701492535</v>
      </c>
      <c r="Q118" s="118">
        <f t="shared" si="202"/>
        <v>4.9153764079775897E-2</v>
      </c>
      <c r="R118" s="20"/>
      <c r="S118" s="152">
        <f t="shared" ref="S118:AB118" si="266">S34/S25</f>
        <v>0.47388059701492535</v>
      </c>
      <c r="T118" s="152">
        <f t="shared" si="266"/>
        <v>0.47388059701492535</v>
      </c>
      <c r="U118" s="152">
        <f t="shared" si="266"/>
        <v>0.47388059701492535</v>
      </c>
      <c r="V118" s="152">
        <f t="shared" si="266"/>
        <v>0.47388059701492541</v>
      </c>
      <c r="W118" s="152">
        <f t="shared" si="266"/>
        <v>0.47388059701492546</v>
      </c>
      <c r="X118" s="152">
        <f t="shared" si="266"/>
        <v>0.47388059701492546</v>
      </c>
      <c r="Y118" s="152">
        <f t="shared" si="266"/>
        <v>0.47388059701492552</v>
      </c>
      <c r="Z118" s="152">
        <f t="shared" si="266"/>
        <v>0.47388059701492552</v>
      </c>
      <c r="AA118" s="152">
        <f t="shared" si="266"/>
        <v>0.47388059701492541</v>
      </c>
      <c r="AB118" s="152">
        <f t="shared" si="266"/>
        <v>0.47388059701492541</v>
      </c>
      <c r="AC118" s="138">
        <f t="shared" si="204"/>
        <v>2.2989492760069341E-2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3.1021897810218975</v>
      </c>
      <c r="H121" s="25">
        <f t="shared" ref="H121:AB121" si="267">H15/H9</f>
        <v>3.3840947546531304</v>
      </c>
      <c r="I121" s="25">
        <f t="shared" si="267"/>
        <v>3.4586466165413534</v>
      </c>
      <c r="J121" s="25">
        <f t="shared" si="267"/>
        <v>1.0229600847756977</v>
      </c>
      <c r="K121" s="25">
        <f t="shared" si="267"/>
        <v>4.2173913043478262</v>
      </c>
      <c r="L121" s="25">
        <f t="shared" si="267"/>
        <v>0.89189189189189189</v>
      </c>
      <c r="M121" s="25">
        <f t="shared" si="267"/>
        <v>0.87037037037037035</v>
      </c>
      <c r="N121" s="25">
        <f t="shared" si="267"/>
        <v>0.84782608695652173</v>
      </c>
      <c r="O121" s="25">
        <f t="shared" si="267"/>
        <v>1.2285714285714286</v>
      </c>
      <c r="P121" s="25">
        <f t="shared" si="267"/>
        <v>2.1590909090909092</v>
      </c>
      <c r="Q121" s="118">
        <f t="shared" si="202"/>
        <v>-3.9468976891383956E-2</v>
      </c>
      <c r="R121" s="20"/>
      <c r="S121" s="20">
        <f t="shared" si="267"/>
        <v>2.1590909090909092</v>
      </c>
      <c r="T121" s="20">
        <f t="shared" si="267"/>
        <v>2.1590909090909092</v>
      </c>
      <c r="U121" s="20">
        <f t="shared" si="267"/>
        <v>2.1590909090909092</v>
      </c>
      <c r="V121" s="20">
        <f t="shared" si="267"/>
        <v>2.1590909090909092</v>
      </c>
      <c r="W121" s="20">
        <f t="shared" si="267"/>
        <v>2.1590909090909096</v>
      </c>
      <c r="X121" s="20">
        <f t="shared" si="267"/>
        <v>2.1590909090909096</v>
      </c>
      <c r="Y121" s="20">
        <f t="shared" si="267"/>
        <v>2.1590909090909096</v>
      </c>
      <c r="Z121" s="20">
        <f t="shared" si="267"/>
        <v>2.1590909090909092</v>
      </c>
      <c r="AA121" s="20">
        <f t="shared" si="267"/>
        <v>2.1590909090909092</v>
      </c>
      <c r="AB121" s="20">
        <f t="shared" si="267"/>
        <v>2.1590909090909092</v>
      </c>
      <c r="AC121" s="138">
        <f t="shared" si="204"/>
        <v>-1.8894016148079062E-2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0.54744525547445255</v>
      </c>
      <c r="H122" s="25">
        <f t="shared" ref="H122:P122" si="268">H12/H9</f>
        <v>0.67681895093062605</v>
      </c>
      <c r="I122" s="25">
        <f t="shared" si="268"/>
        <v>0.60150375939849621</v>
      </c>
      <c r="J122" s="25">
        <f t="shared" si="268"/>
        <v>0.99823383963263868</v>
      </c>
      <c r="K122" s="25">
        <f t="shared" si="268"/>
        <v>1.0869565217391304</v>
      </c>
      <c r="L122" s="25">
        <f t="shared" si="268"/>
        <v>3.0270270270270272</v>
      </c>
      <c r="M122" s="25" t="e">
        <f t="shared" si="268"/>
        <v>#VALUE!</v>
      </c>
      <c r="N122" s="25">
        <f t="shared" si="268"/>
        <v>0.91304347826086951</v>
      </c>
      <c r="O122" s="25">
        <f t="shared" si="268"/>
        <v>1.1714285714285715</v>
      </c>
      <c r="P122" s="25">
        <f t="shared" si="268"/>
        <v>1.0681818181818181</v>
      </c>
      <c r="Q122" s="118">
        <f t="shared" si="202"/>
        <v>7.7100069498362789E-2</v>
      </c>
      <c r="R122" s="128"/>
      <c r="S122" s="20">
        <f t="shared" ref="S122:AB122" si="269">S12/S9</f>
        <v>1.0681818181818183</v>
      </c>
      <c r="T122" s="20">
        <f t="shared" si="269"/>
        <v>1.0681818181818183</v>
      </c>
      <c r="U122" s="20">
        <f t="shared" si="269"/>
        <v>1.0681818181818183</v>
      </c>
      <c r="V122" s="20">
        <f t="shared" si="269"/>
        <v>1.0681818181818183</v>
      </c>
      <c r="W122" s="20">
        <f t="shared" si="269"/>
        <v>1.0681818181818183</v>
      </c>
      <c r="X122" s="20">
        <f t="shared" si="269"/>
        <v>1.0681818181818186</v>
      </c>
      <c r="Y122" s="20">
        <f t="shared" si="269"/>
        <v>1.0681818181818183</v>
      </c>
      <c r="Z122" s="20">
        <f t="shared" si="269"/>
        <v>1.0681818181818186</v>
      </c>
      <c r="AA122" s="20">
        <f t="shared" si="269"/>
        <v>1.0681818181818183</v>
      </c>
      <c r="AB122" s="20">
        <f t="shared" si="269"/>
        <v>1.0681818181818183</v>
      </c>
      <c r="AC122" s="118">
        <f t="shared" ref="AC122" si="270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0.10833333333333334</v>
      </c>
      <c r="H123" s="25">
        <f t="shared" ref="H123:P123" si="271">H25/360</f>
        <v>0.11388888888888889</v>
      </c>
      <c r="I123" s="25">
        <f t="shared" si="271"/>
        <v>0.10555555555555556</v>
      </c>
      <c r="J123" s="25">
        <f t="shared" si="271"/>
        <v>0.21111111111111111</v>
      </c>
      <c r="K123" s="25">
        <f t="shared" si="271"/>
        <v>0.29722222222222222</v>
      </c>
      <c r="L123" s="25">
        <f t="shared" si="271"/>
        <v>0.3888888888888889</v>
      </c>
      <c r="M123" s="25">
        <f t="shared" si="271"/>
        <v>0.51388888888888884</v>
      </c>
      <c r="N123" s="25">
        <f t="shared" si="271"/>
        <v>0.57222222222222219</v>
      </c>
      <c r="O123" s="25">
        <f t="shared" si="271"/>
        <v>0.6333333333333333</v>
      </c>
      <c r="P123" s="25">
        <f t="shared" si="271"/>
        <v>0.74444444444444446</v>
      </c>
      <c r="Q123" s="118">
        <f t="shared" si="202"/>
        <v>0.23881883160015294</v>
      </c>
      <c r="R123" s="128"/>
      <c r="S123" s="25">
        <f t="shared" ref="S123:AB123" si="272">S25/360</f>
        <v>0.83377777777777784</v>
      </c>
      <c r="T123" s="25">
        <f t="shared" si="272"/>
        <v>0.93383111111111117</v>
      </c>
      <c r="U123" s="25">
        <f t="shared" si="272"/>
        <v>1.0458908444444446</v>
      </c>
      <c r="V123" s="25">
        <f t="shared" si="272"/>
        <v>1.171397745777778</v>
      </c>
      <c r="W123" s="25">
        <f t="shared" si="272"/>
        <v>1.3119654752711116</v>
      </c>
      <c r="X123" s="25">
        <f t="shared" si="272"/>
        <v>1.469401332303645</v>
      </c>
      <c r="Y123" s="25">
        <f t="shared" si="272"/>
        <v>1.6457294921800825</v>
      </c>
      <c r="Z123" s="25">
        <f t="shared" si="272"/>
        <v>1.8432170312416927</v>
      </c>
      <c r="AA123" s="25">
        <f t="shared" si="272"/>
        <v>2.0644030749906959</v>
      </c>
      <c r="AB123" s="25">
        <f t="shared" si="272"/>
        <v>2.3121314439895797</v>
      </c>
      <c r="AC123" s="118">
        <f t="shared" ref="AC123:AC134" si="273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6.3888888888888884E-2</v>
      </c>
      <c r="H124" s="25">
        <f t="shared" ref="H124:P124" si="274">H27/360</f>
        <v>7.7777777777777779E-2</v>
      </c>
      <c r="I124" s="25">
        <f t="shared" si="274"/>
        <v>5.5555555555555552E-2</v>
      </c>
      <c r="J124" s="25">
        <f t="shared" si="274"/>
        <v>0.12777777777777777</v>
      </c>
      <c r="K124" s="25">
        <f t="shared" si="274"/>
        <v>0.17222222222222222</v>
      </c>
      <c r="L124" s="25">
        <f t="shared" si="274"/>
        <v>0.22222222222222221</v>
      </c>
      <c r="M124" s="25">
        <f t="shared" si="274"/>
        <v>0.28055555555555556</v>
      </c>
      <c r="N124" s="25">
        <f t="shared" si="274"/>
        <v>0.3527777777777778</v>
      </c>
      <c r="O124" s="25">
        <f t="shared" si="274"/>
        <v>0.40277777777777779</v>
      </c>
      <c r="P124" s="25">
        <f t="shared" si="274"/>
        <v>0.53055555555555556</v>
      </c>
      <c r="Q124" s="118">
        <f t="shared" si="202"/>
        <v>0.26515885356383473</v>
      </c>
      <c r="R124" s="128"/>
      <c r="S124" s="25">
        <f t="shared" ref="S124:AB124" si="275">S27/360</f>
        <v>0.59422222222222232</v>
      </c>
      <c r="T124" s="25">
        <f t="shared" si="275"/>
        <v>0.66552888888888906</v>
      </c>
      <c r="U124" s="25">
        <f t="shared" si="275"/>
        <v>0.74539235555555572</v>
      </c>
      <c r="V124" s="25">
        <f t="shared" si="275"/>
        <v>0.8348394382222224</v>
      </c>
      <c r="W124" s="25">
        <f t="shared" si="275"/>
        <v>0.93502017080888922</v>
      </c>
      <c r="X124" s="25">
        <f t="shared" si="275"/>
        <v>1.0472225913059561</v>
      </c>
      <c r="Y124" s="25">
        <f t="shared" si="275"/>
        <v>1.172889302262671</v>
      </c>
      <c r="Z124" s="25">
        <f t="shared" si="275"/>
        <v>1.3136360185341913</v>
      </c>
      <c r="AA124" s="25">
        <f t="shared" si="275"/>
        <v>1.4712723407582944</v>
      </c>
      <c r="AB124" s="25">
        <f t="shared" si="275"/>
        <v>1.6478250216492898</v>
      </c>
      <c r="AC124" s="118">
        <f t="shared" si="273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</v>
      </c>
      <c r="H126" s="25">
        <f t="shared" ref="H126:P126" si="276">H10/H7</f>
        <v>0</v>
      </c>
      <c r="I126" s="25">
        <f t="shared" si="276"/>
        <v>0</v>
      </c>
      <c r="J126" s="25">
        <f t="shared" si="276"/>
        <v>0</v>
      </c>
      <c r="K126" s="25">
        <f t="shared" si="276"/>
        <v>0</v>
      </c>
      <c r="L126" s="25">
        <f t="shared" si="276"/>
        <v>0</v>
      </c>
      <c r="M126" s="25">
        <f t="shared" si="276"/>
        <v>0</v>
      </c>
      <c r="N126" s="25">
        <f t="shared" si="276"/>
        <v>0</v>
      </c>
      <c r="O126" s="25">
        <f t="shared" si="276"/>
        <v>0</v>
      </c>
      <c r="P126" s="25">
        <f t="shared" si="276"/>
        <v>0</v>
      </c>
      <c r="Q126" s="118" t="e">
        <f t="shared" si="202"/>
        <v>#DIV/0!</v>
      </c>
      <c r="R126" s="128"/>
      <c r="S126" s="25">
        <f t="shared" ref="S126:AB126" si="277">S10/S7</f>
        <v>0</v>
      </c>
      <c r="T126" s="25">
        <f t="shared" si="277"/>
        <v>0</v>
      </c>
      <c r="U126" s="25">
        <f t="shared" si="277"/>
        <v>0</v>
      </c>
      <c r="V126" s="25">
        <f t="shared" si="277"/>
        <v>0</v>
      </c>
      <c r="W126" s="25">
        <f t="shared" si="277"/>
        <v>0</v>
      </c>
      <c r="X126" s="25">
        <f t="shared" si="277"/>
        <v>0</v>
      </c>
      <c r="Y126" s="25">
        <f t="shared" si="277"/>
        <v>0</v>
      </c>
      <c r="Z126" s="25">
        <f t="shared" si="277"/>
        <v>0</v>
      </c>
      <c r="AA126" s="25">
        <f t="shared" si="277"/>
        <v>0</v>
      </c>
      <c r="AB126" s="25">
        <f t="shared" si="277"/>
        <v>0</v>
      </c>
      <c r="AC126" s="118" t="e">
        <f t="shared" si="273"/>
        <v>#DIV/0!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</v>
      </c>
      <c r="H127" s="25">
        <f t="shared" ref="H127:P127" si="278">H10/(H10+H7)</f>
        <v>0</v>
      </c>
      <c r="I127" s="25">
        <f t="shared" si="278"/>
        <v>0</v>
      </c>
      <c r="J127" s="25">
        <f t="shared" si="278"/>
        <v>0</v>
      </c>
      <c r="K127" s="25">
        <f t="shared" si="278"/>
        <v>0</v>
      </c>
      <c r="L127" s="25">
        <f t="shared" si="278"/>
        <v>0</v>
      </c>
      <c r="M127" s="25">
        <f t="shared" si="278"/>
        <v>0</v>
      </c>
      <c r="N127" s="25">
        <f t="shared" si="278"/>
        <v>0</v>
      </c>
      <c r="O127" s="25">
        <f t="shared" si="278"/>
        <v>0</v>
      </c>
      <c r="P127" s="25">
        <f t="shared" si="278"/>
        <v>0</v>
      </c>
      <c r="Q127" s="118" t="e">
        <f t="shared" si="202"/>
        <v>#DIV/0!</v>
      </c>
      <c r="R127" s="128"/>
      <c r="S127" s="25">
        <f t="shared" ref="S127:AB127" si="279">S10/(S10+S7)</f>
        <v>0</v>
      </c>
      <c r="T127" s="25">
        <f t="shared" si="279"/>
        <v>0</v>
      </c>
      <c r="U127" s="25">
        <f t="shared" si="279"/>
        <v>0</v>
      </c>
      <c r="V127" s="25">
        <f t="shared" si="279"/>
        <v>0</v>
      </c>
      <c r="W127" s="25">
        <f t="shared" si="279"/>
        <v>0</v>
      </c>
      <c r="X127" s="25">
        <f t="shared" si="279"/>
        <v>0</v>
      </c>
      <c r="Y127" s="25">
        <f t="shared" si="279"/>
        <v>0</v>
      </c>
      <c r="Z127" s="25">
        <f t="shared" si="279"/>
        <v>0</v>
      </c>
      <c r="AA127" s="25">
        <f t="shared" si="279"/>
        <v>0</v>
      </c>
      <c r="AB127" s="25">
        <f t="shared" si="279"/>
        <v>0</v>
      </c>
      <c r="AC127" s="118" t="e">
        <f t="shared" si="273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1.33</v>
      </c>
      <c r="H129" s="25">
        <f t="shared" ref="H129:P129" si="280">H16</f>
        <v>5.8</v>
      </c>
      <c r="I129" s="25">
        <f t="shared" si="280"/>
        <v>6.72</v>
      </c>
      <c r="J129" s="25">
        <f t="shared" si="280"/>
        <v>51</v>
      </c>
      <c r="K129" s="25">
        <f t="shared" si="280"/>
        <v>45</v>
      </c>
      <c r="L129" s="25">
        <f t="shared" si="280"/>
        <v>128</v>
      </c>
      <c r="M129" s="25">
        <f t="shared" si="280"/>
        <v>113</v>
      </c>
      <c r="N129" s="25">
        <f t="shared" si="280"/>
        <v>32</v>
      </c>
      <c r="O129" s="25">
        <f t="shared" si="280"/>
        <v>31</v>
      </c>
      <c r="P129" s="25">
        <f t="shared" si="280"/>
        <v>48</v>
      </c>
      <c r="Q129" s="118">
        <f t="shared" si="202"/>
        <v>0.48950953781761952</v>
      </c>
      <c r="R129" s="128"/>
      <c r="S129" s="25">
        <f t="shared" ref="S129:AB129" si="281">S16</f>
        <v>53.760000000000005</v>
      </c>
      <c r="T129" s="25">
        <f t="shared" si="281"/>
        <v>60.211200000000012</v>
      </c>
      <c r="U129" s="25">
        <f t="shared" si="281"/>
        <v>67.436544000000026</v>
      </c>
      <c r="V129" s="25">
        <f t="shared" si="281"/>
        <v>75.528929280000042</v>
      </c>
      <c r="W129" s="25">
        <f t="shared" si="281"/>
        <v>84.592400793600049</v>
      </c>
      <c r="X129" s="25">
        <f t="shared" si="281"/>
        <v>94.743488888832061</v>
      </c>
      <c r="Y129" s="25">
        <f t="shared" si="281"/>
        <v>106.11270755549192</v>
      </c>
      <c r="Z129" s="25">
        <f t="shared" si="281"/>
        <v>118.84623246215097</v>
      </c>
      <c r="AA129" s="25">
        <f t="shared" si="281"/>
        <v>133.1077803576091</v>
      </c>
      <c r="AB129" s="25">
        <f t="shared" si="281"/>
        <v>149.08071400052222</v>
      </c>
      <c r="AC129" s="118">
        <f t="shared" si="273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82">G129*365/G25</f>
        <v>12.447435897435899</v>
      </c>
      <c r="H130" s="119">
        <f t="shared" si="282"/>
        <v>51.634146341463413</v>
      </c>
      <c r="I130" s="119">
        <f t="shared" si="282"/>
        <v>64.547368421052624</v>
      </c>
      <c r="J130" s="119">
        <f t="shared" si="282"/>
        <v>244.93421052631578</v>
      </c>
      <c r="K130" s="119">
        <f t="shared" si="282"/>
        <v>153.50467289719626</v>
      </c>
      <c r="L130" s="119">
        <f t="shared" si="282"/>
        <v>333.71428571428572</v>
      </c>
      <c r="M130" s="119">
        <f t="shared" si="282"/>
        <v>222.94594594594594</v>
      </c>
      <c r="N130" s="119">
        <f t="shared" si="282"/>
        <v>56.699029126213595</v>
      </c>
      <c r="O130" s="119">
        <f t="shared" si="282"/>
        <v>49.627192982456137</v>
      </c>
      <c r="P130" s="119">
        <f t="shared" si="282"/>
        <v>65.373134328358205</v>
      </c>
      <c r="Q130" s="118">
        <f t="shared" si="202"/>
        <v>0.20236268598989171</v>
      </c>
      <c r="R130" s="128"/>
      <c r="S130" s="119">
        <f t="shared" ref="S130:AB130" si="283">S129*365/S25</f>
        <v>65.373134328358205</v>
      </c>
      <c r="T130" s="119">
        <f t="shared" si="283"/>
        <v>65.373134328358205</v>
      </c>
      <c r="U130" s="119">
        <f t="shared" si="283"/>
        <v>65.373134328358219</v>
      </c>
      <c r="V130" s="119">
        <f t="shared" si="283"/>
        <v>65.373134328358233</v>
      </c>
      <c r="W130" s="119">
        <f t="shared" si="283"/>
        <v>65.373134328358219</v>
      </c>
      <c r="X130" s="119">
        <f t="shared" si="283"/>
        <v>65.373134328358233</v>
      </c>
      <c r="Y130" s="119">
        <f t="shared" si="283"/>
        <v>65.373134328358233</v>
      </c>
      <c r="Z130" s="119">
        <f t="shared" si="283"/>
        <v>65.373134328358233</v>
      </c>
      <c r="AA130" s="119">
        <f t="shared" si="283"/>
        <v>65.373134328358233</v>
      </c>
      <c r="AB130" s="119">
        <f t="shared" si="283"/>
        <v>65.373134328358233</v>
      </c>
      <c r="AC130" s="118">
        <f t="shared" si="273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 t="e">
        <f>G78/G29</f>
        <v>#DIV/0!</v>
      </c>
      <c r="H131" s="133" t="e">
        <f t="shared" ref="H131:P131" si="284">H78/H29</f>
        <v>#DIV/0!</v>
      </c>
      <c r="I131" s="133" t="e">
        <f t="shared" si="284"/>
        <v>#DIV/0!</v>
      </c>
      <c r="J131" s="133" t="e">
        <f t="shared" si="284"/>
        <v>#DIV/0!</v>
      </c>
      <c r="K131" s="133" t="e">
        <f t="shared" si="284"/>
        <v>#DIV/0!</v>
      </c>
      <c r="L131" s="133" t="e">
        <f t="shared" si="284"/>
        <v>#DIV/0!</v>
      </c>
      <c r="M131" s="133" t="e">
        <f t="shared" si="284"/>
        <v>#DIV/0!</v>
      </c>
      <c r="N131" s="133" t="e">
        <f t="shared" si="284"/>
        <v>#DIV/0!</v>
      </c>
      <c r="O131" s="133" t="e">
        <f t="shared" si="284"/>
        <v>#DIV/0!</v>
      </c>
      <c r="P131" s="133" t="e">
        <f t="shared" si="284"/>
        <v>#DIV/0!</v>
      </c>
      <c r="Q131" s="118" t="e">
        <f t="shared" si="202"/>
        <v>#DIV/0!</v>
      </c>
      <c r="R131" s="128"/>
      <c r="S131" s="133" t="e">
        <f t="shared" ref="S131:AB131" si="285">S78/S29</f>
        <v>#DIV/0!</v>
      </c>
      <c r="T131" s="133" t="e">
        <f t="shared" si="285"/>
        <v>#DIV/0!</v>
      </c>
      <c r="U131" s="133" t="e">
        <f t="shared" si="285"/>
        <v>#DIV/0!</v>
      </c>
      <c r="V131" s="133" t="e">
        <f t="shared" si="285"/>
        <v>#DIV/0!</v>
      </c>
      <c r="W131" s="133" t="e">
        <f t="shared" si="285"/>
        <v>#DIV/0!</v>
      </c>
      <c r="X131" s="133" t="e">
        <f t="shared" si="285"/>
        <v>#DIV/0!</v>
      </c>
      <c r="Y131" s="133" t="e">
        <f t="shared" si="285"/>
        <v>#DIV/0!</v>
      </c>
      <c r="Z131" s="133" t="e">
        <f t="shared" si="285"/>
        <v>#DIV/0!</v>
      </c>
      <c r="AA131" s="133" t="e">
        <f t="shared" si="285"/>
        <v>#DIV/0!</v>
      </c>
      <c r="AB131" s="133" t="e">
        <f t="shared" si="285"/>
        <v>#DIV/0!</v>
      </c>
      <c r="AC131" s="118" t="e">
        <f t="shared" si="273"/>
        <v>#DIV/0!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 t="e">
        <f>G25/G14</f>
        <v>#DIV/0!</v>
      </c>
      <c r="H133" s="180" t="e">
        <f t="shared" ref="H133:P133" si="286">H25/H14</f>
        <v>#DIV/0!</v>
      </c>
      <c r="I133" s="180" t="e">
        <f t="shared" si="286"/>
        <v>#DIV/0!</v>
      </c>
      <c r="J133" s="180" t="e">
        <f t="shared" si="286"/>
        <v>#DIV/0!</v>
      </c>
      <c r="K133" s="180" t="e">
        <f t="shared" si="286"/>
        <v>#DIV/0!</v>
      </c>
      <c r="L133" s="180" t="e">
        <f t="shared" si="286"/>
        <v>#DIV/0!</v>
      </c>
      <c r="M133" s="180" t="e">
        <f t="shared" si="286"/>
        <v>#DIV/0!</v>
      </c>
      <c r="N133" s="180" t="e">
        <f t="shared" si="286"/>
        <v>#DIV/0!</v>
      </c>
      <c r="O133" s="180" t="e">
        <f t="shared" si="286"/>
        <v>#DIV/0!</v>
      </c>
      <c r="P133" s="180" t="e">
        <f t="shared" si="286"/>
        <v>#DIV/0!</v>
      </c>
      <c r="Q133" s="118" t="e">
        <f t="shared" si="202"/>
        <v>#DIV/0!</v>
      </c>
      <c r="R133" s="128"/>
      <c r="S133" s="20" t="e">
        <f t="shared" ref="S133" si="287">S25/S14</f>
        <v>#DIV/0!</v>
      </c>
      <c r="T133" s="20" t="e">
        <f t="shared" ref="T133:AB133" si="288">T25/T14</f>
        <v>#DIV/0!</v>
      </c>
      <c r="U133" s="20" t="e">
        <f t="shared" si="288"/>
        <v>#DIV/0!</v>
      </c>
      <c r="V133" s="20" t="e">
        <f t="shared" si="288"/>
        <v>#DIV/0!</v>
      </c>
      <c r="W133" s="20" t="e">
        <f t="shared" si="288"/>
        <v>#DIV/0!</v>
      </c>
      <c r="X133" s="20" t="e">
        <f t="shared" si="288"/>
        <v>#DIV/0!</v>
      </c>
      <c r="Y133" s="20" t="e">
        <f t="shared" si="288"/>
        <v>#DIV/0!</v>
      </c>
      <c r="Z133" s="20" t="e">
        <f t="shared" si="288"/>
        <v>#DIV/0!</v>
      </c>
      <c r="AA133" s="20" t="e">
        <f t="shared" si="288"/>
        <v>#DIV/0!</v>
      </c>
      <c r="AB133" s="20" t="e">
        <f t="shared" si="288"/>
        <v>#DIV/0!</v>
      </c>
      <c r="AC133" s="118" t="e">
        <f t="shared" si="273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 t="e">
        <f>G27/G14</f>
        <v>#DIV/0!</v>
      </c>
      <c r="H134" s="180" t="e">
        <f t="shared" ref="H134:P134" si="289">H27/H14</f>
        <v>#DIV/0!</v>
      </c>
      <c r="I134" s="180" t="e">
        <f t="shared" si="289"/>
        <v>#DIV/0!</v>
      </c>
      <c r="J134" s="180" t="e">
        <f t="shared" si="289"/>
        <v>#DIV/0!</v>
      </c>
      <c r="K134" s="180" t="e">
        <f t="shared" si="289"/>
        <v>#DIV/0!</v>
      </c>
      <c r="L134" s="180" t="e">
        <f t="shared" si="289"/>
        <v>#DIV/0!</v>
      </c>
      <c r="M134" s="180" t="e">
        <f t="shared" si="289"/>
        <v>#DIV/0!</v>
      </c>
      <c r="N134" s="180" t="e">
        <f t="shared" si="289"/>
        <v>#DIV/0!</v>
      </c>
      <c r="O134" s="180" t="e">
        <f t="shared" si="289"/>
        <v>#DIV/0!</v>
      </c>
      <c r="P134" s="180" t="e">
        <f t="shared" si="289"/>
        <v>#DIV/0!</v>
      </c>
      <c r="Q134" s="118" t="e">
        <f t="shared" si="202"/>
        <v>#DIV/0!</v>
      </c>
      <c r="R134" s="128"/>
      <c r="S134" s="20" t="e">
        <f t="shared" ref="S134:AB134" si="290">S27/S14</f>
        <v>#DIV/0!</v>
      </c>
      <c r="T134" s="20" t="e">
        <f t="shared" si="290"/>
        <v>#DIV/0!</v>
      </c>
      <c r="U134" s="20" t="e">
        <f t="shared" si="290"/>
        <v>#DIV/0!</v>
      </c>
      <c r="V134" s="20" t="e">
        <f t="shared" si="290"/>
        <v>#DIV/0!</v>
      </c>
      <c r="W134" s="20" t="e">
        <f t="shared" si="290"/>
        <v>#DIV/0!</v>
      </c>
      <c r="X134" s="20" t="e">
        <f t="shared" si="290"/>
        <v>#DIV/0!</v>
      </c>
      <c r="Y134" s="20" t="e">
        <f t="shared" si="290"/>
        <v>#DIV/0!</v>
      </c>
      <c r="Z134" s="20" t="e">
        <f t="shared" si="290"/>
        <v>#DIV/0!</v>
      </c>
      <c r="AA134" s="20" t="e">
        <f t="shared" si="290"/>
        <v>#DIV/0!</v>
      </c>
      <c r="AB134" s="20" t="e">
        <f t="shared" si="290"/>
        <v>#DIV/0!</v>
      </c>
      <c r="AC134" s="118" t="e">
        <f t="shared" si="273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32.545454545454547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132.55242053854755</v>
      </c>
      <c r="S138" s="133">
        <f>PV($C$1, ($AB$3-$S$3), 0, -AB52)</f>
        <v>18.470419255371379</v>
      </c>
      <c r="T138" s="133">
        <f>PV($C$1, ($AB$3-$S$3), 0, -AE52)</f>
        <v>114.08200128317618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91">S139+T139</f>
        <v>774.74604418220019</v>
      </c>
      <c r="S139" s="133">
        <f>PV($C$1, ($AB$3-$S$3), 0, -AB54)</f>
        <v>107.95641599260165</v>
      </c>
      <c r="T139" s="133">
        <f>PV($C$1, ($AB$3-$S$3), 0, -AE54)</f>
        <v>666.7896281895986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91"/>
        <v>751.89217857210588</v>
      </c>
      <c r="S140" s="133">
        <f>PV($C$1, ($AB$3-$S$3), 0, -AB55)</f>
        <v>104.77186094857211</v>
      </c>
      <c r="T140" s="133">
        <f>PV($C$1, ($AB$3-$S$3), 0, -AE55)</f>
        <v>647.12031762353377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91"/>
        <v>0</v>
      </c>
      <c r="S141" s="133">
        <f>PV($C$1, ($AB$3-$S$3), 0, -AB56)</f>
        <v>0</v>
      </c>
      <c r="T141" s="133">
        <f>PV($C$1, ($AB$3-$S$3), 0, -AE56)</f>
        <v>0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91"/>
        <v>107.4131683674437</v>
      </c>
      <c r="S142" s="133">
        <f>PV($C$1, ($AB$3-$S$3), 0, -AB62)</f>
        <v>14.967408706938874</v>
      </c>
      <c r="T142" s="133">
        <f>PV($C$1, ($AB$3-$S$3), 0, -AE62)</f>
        <v>92.445759660504834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91"/>
        <v>774.74604418220019</v>
      </c>
      <c r="S144" s="133">
        <f>PV($C$1, ($AB$3-$S$3), 0, -AB58)</f>
        <v>107.95641599260165</v>
      </c>
      <c r="T144" s="133">
        <f>PV($C$1, ($AB$3-$S$3), 0, -$AE$58)</f>
        <v>666.7896281895986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91"/>
        <v>674.18903549778474</v>
      </c>
      <c r="S145" s="133">
        <f>PV($C$1, ($AB$3-$S$3), 0, -AB59)</f>
        <v>93.944373798871638</v>
      </c>
      <c r="T145" s="133">
        <f>PV($C$1, ($AB$3-$S$3), 0, -$AE$59)</f>
        <v>580.24466169891309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91"/>
        <v>891.30075879368178</v>
      </c>
      <c r="S146" s="133">
        <f>PV($C$1, ($AB$3-$S$3), 0, -AB60)</f>
        <v>124.19764671715237</v>
      </c>
      <c r="T146" s="133">
        <f>PV($C$1, ($AB$3-$S$3), 0, -$AE$60)</f>
        <v>767.10311207652944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91"/>
        <v>217.11172329589687</v>
      </c>
      <c r="S148" s="133">
        <f>PV($C$1, ($AB$3-$S$3), 0, -AB65)</f>
        <v>30.2532729182807</v>
      </c>
      <c r="T148" s="133">
        <f>PV($C$1, ($AB$3-$S$3), 0, -AE65)</f>
        <v>186.85845037761615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91"/>
        <v>84.767065171986516</v>
      </c>
      <c r="S149" s="133">
        <f>PV($C$1, ($AB$3-$S$3), 0, -AB66)</f>
        <v>15.285864211341831</v>
      </c>
      <c r="T149" s="133">
        <f>PV($C$1, ($AB$3-$S$3), 0, -AE66)</f>
        <v>69.481200960644685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92">S151+T151</f>
        <v>174.96473279886973</v>
      </c>
      <c r="S151" s="133">
        <f>PV($C$1, ($AB$3-$S$3), 0, -AB12)</f>
        <v>24.380331619514635</v>
      </c>
      <c r="T151" s="133">
        <f>PV($C$1, ($AB$3-$S$3), 0, -AE12)</f>
        <v>150.5844011793551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174.96473279886973</v>
      </c>
      <c r="S152" s="140">
        <f>S151/P42</f>
        <v>24.380331619514635</v>
      </c>
      <c r="T152" s="140">
        <f>T151/P42</f>
        <v>150.5844011793551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93">S155+T155</f>
        <v>208.48706860306797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171.51978212000506</v>
      </c>
      <c r="T155" s="133">
        <f>PV($C$1, ($AB$3-$S$3), 0, -AE68)</f>
        <v>36.967286483062914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91"/>
        <v>307.17976203179961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252.713063732884</v>
      </c>
      <c r="T157" s="133">
        <f>PV($C$1, ($AB$3-$S$3), 0, -AE70)</f>
        <v>54.466698298915631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94">S159+T159</f>
        <v>188.58172713081825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155.14389916850803</v>
      </c>
      <c r="T159" s="133">
        <f>PV($C$1, ($AB$3-$S$3), 0, -AE72)</f>
        <v>33.43782796231023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94"/>
        <v>454.81475366844433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374.17058034757844</v>
      </c>
      <c r="T160" s="133">
        <f>PV($C$1, ($AB$3-$S$3), 0, -AE73)</f>
        <v>80.644173320865889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94"/>
        <v>-266.23302653762607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-219.02668117907038</v>
      </c>
      <c r="T161" s="133">
        <f>PV($C$1, ($AB$3-$S$3), 0, -AE74)</f>
        <v>-47.206345358555666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94"/>
        <v>-166.39564158601627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-136.89167573691898</v>
      </c>
      <c r="T162" s="133">
        <f>PV($C$1, ($AB$3-$S$3), 0, -AE75)</f>
        <v>-29.50396584909728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232.9538982204227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191.64834603168651</v>
      </c>
      <c r="T164" s="133">
        <f>PV($C$1, ($AB$3-$S$3), 0, -AE76)</f>
        <v>41.305552188736186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980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1880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540</v>
      </c>
      <c r="K167" s="22">
        <v>528</v>
      </c>
      <c r="L167" s="22">
        <v>390</v>
      </c>
      <c r="M167" s="22">
        <v>860</v>
      </c>
      <c r="N167" s="22">
        <v>950</v>
      </c>
      <c r="O167" s="22">
        <v>1040</v>
      </c>
      <c r="P167" s="22">
        <v>980</v>
      </c>
      <c r="Q167" s="118" t="e">
        <f t="shared" ref="Q167:Q172" si="295">((P167/G167)^(1/($H$2-$H$1) ))-1</f>
        <v>#DIV/0!</v>
      </c>
      <c r="R167" s="31">
        <f>L2-3%</f>
        <v>0.09</v>
      </c>
      <c r="S167" s="119">
        <f t="shared" ref="S167" si="296">P167*(1+$R167)</f>
        <v>1068.2</v>
      </c>
      <c r="T167" s="119">
        <f t="shared" ref="T167:AB167" si="297">S167*(1+$R167)</f>
        <v>1164.3380000000002</v>
      </c>
      <c r="U167" s="119">
        <f t="shared" si="297"/>
        <v>1269.1284200000002</v>
      </c>
      <c r="V167" s="119">
        <f t="shared" si="297"/>
        <v>1383.3499778000003</v>
      </c>
      <c r="W167" s="119">
        <f t="shared" si="297"/>
        <v>1507.8514758020003</v>
      </c>
      <c r="X167" s="119">
        <f t="shared" si="297"/>
        <v>1643.5581086241805</v>
      </c>
      <c r="Y167" s="119">
        <f t="shared" si="297"/>
        <v>1791.478338400357</v>
      </c>
      <c r="Z167" s="119">
        <f t="shared" si="297"/>
        <v>1952.7113888563892</v>
      </c>
      <c r="AA167" s="119">
        <f t="shared" si="297"/>
        <v>2128.4554138534645</v>
      </c>
      <c r="AB167" s="119">
        <f t="shared" si="297"/>
        <v>2320.0164011002767</v>
      </c>
      <c r="AC167" s="138" t="e">
        <f t="shared" ref="AC167:AC172" si="298">((AB167/G167)^(1/($AB$3-$H$1) ))-1</f>
        <v>#DIV/0!</v>
      </c>
      <c r="AD167" s="31">
        <v>0.08</v>
      </c>
      <c r="AE167" s="127" t="e">
        <f t="shared" ref="AE167:AE175" si="299">(AB167*(1+AC167))/($C$1-AD167)</f>
        <v>#DIV/0!</v>
      </c>
    </row>
    <row r="168" spans="2:31" x14ac:dyDescent="0.2">
      <c r="B168" s="20" t="s">
        <v>361</v>
      </c>
      <c r="C168" s="25" t="e">
        <f t="shared" ref="C168:P168" si="300">C167/C49</f>
        <v>#DIV/0!</v>
      </c>
      <c r="D168" s="25" t="e">
        <f t="shared" si="300"/>
        <v>#DIV/0!</v>
      </c>
      <c r="E168" s="25" t="e">
        <f t="shared" si="300"/>
        <v>#DIV/0!</v>
      </c>
      <c r="F168" s="25" t="e">
        <f t="shared" si="300"/>
        <v>#DIV/0!</v>
      </c>
      <c r="G168" s="25">
        <f t="shared" si="300"/>
        <v>0</v>
      </c>
      <c r="H168" s="25">
        <f t="shared" si="300"/>
        <v>0</v>
      </c>
      <c r="I168" s="25">
        <f t="shared" si="300"/>
        <v>0</v>
      </c>
      <c r="J168" s="25">
        <f t="shared" si="300"/>
        <v>7.1052631578947372</v>
      </c>
      <c r="K168" s="25">
        <f t="shared" si="300"/>
        <v>4.9345794392523361</v>
      </c>
      <c r="L168" s="25">
        <f t="shared" si="300"/>
        <v>2.7857142857142856</v>
      </c>
      <c r="M168" s="25">
        <f t="shared" si="300"/>
        <v>4.6486486486486482</v>
      </c>
      <c r="N168" s="25">
        <f t="shared" si="300"/>
        <v>4.6116504854368934</v>
      </c>
      <c r="O168" s="25">
        <f t="shared" si="300"/>
        <v>4.5614035087719298</v>
      </c>
      <c r="P168" s="25">
        <f t="shared" si="300"/>
        <v>3.6567164179104479</v>
      </c>
      <c r="Q168" s="118" t="e">
        <f t="shared" ref="Q168" si="301">((P168/G168)^(1/($H$2-$H$1) ))-1</f>
        <v>#DIV/0!</v>
      </c>
      <c r="R168" s="128"/>
      <c r="S168" s="25">
        <f t="shared" ref="S168:AB168" si="302">S167/S49</f>
        <v>3.736707089552239</v>
      </c>
      <c r="T168" s="25">
        <f t="shared" si="302"/>
        <v>3.8184475571361944</v>
      </c>
      <c r="U168" s="25">
        <f t="shared" si="302"/>
        <v>3.9019760974485487</v>
      </c>
      <c r="V168" s="25">
        <f t="shared" si="302"/>
        <v>3.9873318245802358</v>
      </c>
      <c r="W168" s="25">
        <f t="shared" si="302"/>
        <v>4.0745547082429292</v>
      </c>
      <c r="X168" s="25">
        <f t="shared" si="302"/>
        <v>4.1636855924857432</v>
      </c>
      <c r="Y168" s="25">
        <f t="shared" si="302"/>
        <v>4.2547662148213687</v>
      </c>
      <c r="Z168" s="25">
        <f t="shared" si="302"/>
        <v>4.3478392257705858</v>
      </c>
      <c r="AA168" s="25">
        <f t="shared" si="302"/>
        <v>4.4429482088343182</v>
      </c>
      <c r="AB168" s="25">
        <f t="shared" si="302"/>
        <v>4.5401377009025685</v>
      </c>
      <c r="AC168" s="138" t="e">
        <f t="shared" ref="AC168" si="303">((AB168/G168)^(1/($AB$3-$H$1) ))-1</f>
        <v>#DIV/0!</v>
      </c>
      <c r="AD168" s="31">
        <v>0.08</v>
      </c>
      <c r="AE168" s="127" t="e">
        <f t="shared" ref="AE168" si="304">(AB168*(1+AC168))/($C$1-AD168)</f>
        <v>#DIV/0!</v>
      </c>
    </row>
    <row r="169" spans="2:31" x14ac:dyDescent="0.2">
      <c r="B169" s="20" t="s">
        <v>389</v>
      </c>
      <c r="C169" s="25" t="e">
        <f t="shared" ref="C169:P169" si="305">C167/C52</f>
        <v>#DIV/0!</v>
      </c>
      <c r="D169" s="25" t="e">
        <f t="shared" si="305"/>
        <v>#DIV/0!</v>
      </c>
      <c r="E169" s="25" t="e">
        <f t="shared" si="305"/>
        <v>#DIV/0!</v>
      </c>
      <c r="F169" s="25" t="e">
        <f t="shared" si="305"/>
        <v>#DIV/0!</v>
      </c>
      <c r="G169" s="25">
        <f t="shared" si="305"/>
        <v>0</v>
      </c>
      <c r="H169" s="25">
        <f t="shared" si="305"/>
        <v>0</v>
      </c>
      <c r="I169" s="25">
        <f t="shared" si="305"/>
        <v>0</v>
      </c>
      <c r="J169" s="25">
        <f t="shared" si="305"/>
        <v>54</v>
      </c>
      <c r="K169" s="25">
        <f t="shared" si="305"/>
        <v>18.857142857142858</v>
      </c>
      <c r="L169" s="25">
        <f t="shared" si="305"/>
        <v>10</v>
      </c>
      <c r="M169" s="25">
        <f t="shared" si="305"/>
        <v>16.226415094339622</v>
      </c>
      <c r="N169" s="25">
        <f t="shared" si="305"/>
        <v>19.791666666666668</v>
      </c>
      <c r="O169" s="25">
        <f t="shared" si="305"/>
        <v>19.25925925925926</v>
      </c>
      <c r="P169" s="25">
        <f t="shared" si="305"/>
        <v>16.896551724137932</v>
      </c>
      <c r="Q169" s="118" t="e">
        <f t="shared" si="295"/>
        <v>#DIV/0!</v>
      </c>
      <c r="R169" s="128"/>
      <c r="S169" s="119">
        <f t="shared" ref="S169:AB169" si="306">S167/S52</f>
        <v>17.266163793103448</v>
      </c>
      <c r="T169" s="119">
        <f t="shared" si="306"/>
        <v>17.643861126077585</v>
      </c>
      <c r="U169" s="119">
        <f t="shared" si="306"/>
        <v>18.029820588210534</v>
      </c>
      <c r="V169" s="119">
        <f t="shared" si="306"/>
        <v>18.424222913577641</v>
      </c>
      <c r="W169" s="119">
        <f t="shared" si="306"/>
        <v>18.82725278981215</v>
      </c>
      <c r="X169" s="119">
        <f t="shared" si="306"/>
        <v>19.239098944589294</v>
      </c>
      <c r="Y169" s="119">
        <f t="shared" si="306"/>
        <v>19.659954234002182</v>
      </c>
      <c r="Z169" s="119">
        <f t="shared" si="306"/>
        <v>20.090015732870977</v>
      </c>
      <c r="AA169" s="119">
        <f t="shared" si="306"/>
        <v>20.529484827027535</v>
      </c>
      <c r="AB169" s="119">
        <f t="shared" si="306"/>
        <v>20.978567307618761</v>
      </c>
      <c r="AC169" s="138" t="e">
        <f t="shared" si="298"/>
        <v>#DIV/0!</v>
      </c>
      <c r="AD169" s="31">
        <v>0.08</v>
      </c>
      <c r="AE169" s="127" t="e">
        <f t="shared" si="299"/>
        <v>#DIV/0!</v>
      </c>
    </row>
    <row r="170" spans="2:31" x14ac:dyDescent="0.2">
      <c r="B170" s="20" t="s">
        <v>258</v>
      </c>
      <c r="C170" s="25" t="e">
        <f t="shared" ref="C170:P170" si="307">C167/C55</f>
        <v>#DIV/0!</v>
      </c>
      <c r="D170" s="25" t="e">
        <f t="shared" si="307"/>
        <v>#DIV/0!</v>
      </c>
      <c r="E170" s="25" t="e">
        <f t="shared" si="307"/>
        <v>#DIV/0!</v>
      </c>
      <c r="F170" s="25" t="e">
        <f t="shared" si="307"/>
        <v>#DIV/0!</v>
      </c>
      <c r="G170" s="25">
        <f t="shared" si="307"/>
        <v>0</v>
      </c>
      <c r="H170" s="25">
        <f t="shared" si="307"/>
        <v>0</v>
      </c>
      <c r="I170" s="25">
        <f t="shared" si="307"/>
        <v>0</v>
      </c>
      <c r="J170" s="25">
        <f t="shared" si="307"/>
        <v>3.9416058394160585</v>
      </c>
      <c r="K170" s="25">
        <f t="shared" si="307"/>
        <v>3.4285714285714284</v>
      </c>
      <c r="L170" s="25">
        <f t="shared" si="307"/>
        <v>2.191011235955056</v>
      </c>
      <c r="M170" s="25">
        <f t="shared" si="307"/>
        <v>4.0758293838862558</v>
      </c>
      <c r="N170" s="25">
        <f t="shared" si="307"/>
        <v>3.8461538461538463</v>
      </c>
      <c r="O170" s="25">
        <f t="shared" si="307"/>
        <v>3.5738831615120277</v>
      </c>
      <c r="P170" s="25">
        <f t="shared" si="307"/>
        <v>2.978723404255319</v>
      </c>
      <c r="Q170" s="118" t="e">
        <f t="shared" si="295"/>
        <v>#DIV/0!</v>
      </c>
      <c r="R170" s="128"/>
      <c r="S170" s="119">
        <f t="shared" ref="S170:AB170" si="308">S167/S55</f>
        <v>3.0438829787234045</v>
      </c>
      <c r="T170" s="119">
        <f t="shared" si="308"/>
        <v>3.1104679188829785</v>
      </c>
      <c r="U170" s="119">
        <f t="shared" si="308"/>
        <v>3.1785094046085436</v>
      </c>
      <c r="V170" s="119">
        <f t="shared" si="308"/>
        <v>3.2480392978343557</v>
      </c>
      <c r="W170" s="119">
        <f t="shared" si="308"/>
        <v>3.3190901574744824</v>
      </c>
      <c r="X170" s="119">
        <f t="shared" si="308"/>
        <v>3.3916952546692367</v>
      </c>
      <c r="Y170" s="119">
        <f t="shared" si="308"/>
        <v>3.4658885883651265</v>
      </c>
      <c r="Z170" s="119">
        <f t="shared" si="308"/>
        <v>3.5417049012356134</v>
      </c>
      <c r="AA170" s="119">
        <f t="shared" si="308"/>
        <v>3.6191796959501428</v>
      </c>
      <c r="AB170" s="119">
        <f t="shared" si="308"/>
        <v>3.6983492517990522</v>
      </c>
      <c r="AC170" s="138" t="e">
        <f t="shared" si="298"/>
        <v>#DIV/0!</v>
      </c>
      <c r="AD170" s="31">
        <v>0.08</v>
      </c>
      <c r="AE170" s="127" t="e">
        <f t="shared" si="299"/>
        <v>#DIV/0!</v>
      </c>
    </row>
    <row r="171" spans="2:31" x14ac:dyDescent="0.2">
      <c r="B171" s="20" t="s">
        <v>259</v>
      </c>
      <c r="C171" s="25" t="e">
        <f t="shared" ref="C171:P171" si="309">C167/C64</f>
        <v>#DIV/0!</v>
      </c>
      <c r="D171" s="25" t="e">
        <f t="shared" si="309"/>
        <v>#DIV/0!</v>
      </c>
      <c r="E171" s="25" t="e">
        <f t="shared" si="309"/>
        <v>#DIV/0!</v>
      </c>
      <c r="F171" s="25" t="e">
        <f t="shared" si="309"/>
        <v>#DIV/0!</v>
      </c>
      <c r="G171" s="25">
        <f t="shared" si="309"/>
        <v>0</v>
      </c>
      <c r="H171" s="25">
        <f t="shared" si="309"/>
        <v>0</v>
      </c>
      <c r="I171" s="25">
        <f t="shared" si="309"/>
        <v>0</v>
      </c>
      <c r="J171" s="25">
        <f t="shared" si="309"/>
        <v>0.18659295093296477</v>
      </c>
      <c r="K171" s="25">
        <f t="shared" si="309"/>
        <v>4.5913043478260871</v>
      </c>
      <c r="L171" s="25">
        <f t="shared" si="309"/>
        <v>2.7464788732394365</v>
      </c>
      <c r="M171" s="25" t="e">
        <f t="shared" si="309"/>
        <v>#VALUE!</v>
      </c>
      <c r="N171" s="25">
        <f t="shared" si="309"/>
        <v>4.0772532188841204</v>
      </c>
      <c r="O171" s="25">
        <f t="shared" si="309"/>
        <v>3.7545126353790614</v>
      </c>
      <c r="P171" s="25">
        <f t="shared" si="309"/>
        <v>3.5507246376811592</v>
      </c>
      <c r="Q171" s="118" t="e">
        <f t="shared" si="295"/>
        <v>#DIV/0!</v>
      </c>
      <c r="R171" s="128"/>
      <c r="S171" s="119">
        <f t="shared" ref="S171:AB171" si="310">S167/S64</f>
        <v>3.6283967391304346</v>
      </c>
      <c r="T171" s="119">
        <f t="shared" si="310"/>
        <v>3.7077679177989133</v>
      </c>
      <c r="U171" s="119">
        <f t="shared" si="310"/>
        <v>3.788875341000765</v>
      </c>
      <c r="V171" s="119">
        <f t="shared" si="310"/>
        <v>3.871756989085156</v>
      </c>
      <c r="W171" s="119">
        <f t="shared" si="310"/>
        <v>3.9564516732213941</v>
      </c>
      <c r="X171" s="119">
        <f t="shared" si="310"/>
        <v>4.0429990535731122</v>
      </c>
      <c r="Y171" s="119">
        <f t="shared" si="310"/>
        <v>4.1314396578700237</v>
      </c>
      <c r="Z171" s="119">
        <f t="shared" si="310"/>
        <v>4.2218149003859304</v>
      </c>
      <c r="AA171" s="119">
        <f t="shared" si="310"/>
        <v>4.314167101331873</v>
      </c>
      <c r="AB171" s="119">
        <f t="shared" si="310"/>
        <v>4.4085395066735069</v>
      </c>
      <c r="AC171" s="138" t="e">
        <f t="shared" si="298"/>
        <v>#DIV/0!</v>
      </c>
      <c r="AD171" s="31">
        <v>0.08</v>
      </c>
      <c r="AE171" s="127" t="e">
        <f t="shared" si="299"/>
        <v>#DIV/0!</v>
      </c>
    </row>
    <row r="172" spans="2:31" x14ac:dyDescent="0.2">
      <c r="B172" s="20" t="s">
        <v>260</v>
      </c>
      <c r="C172" s="25" t="e">
        <f t="shared" ref="C172:P172" si="311">C167/C66</f>
        <v>#DIV/0!</v>
      </c>
      <c r="D172" s="25" t="e">
        <f t="shared" si="311"/>
        <v>#DIV/0!</v>
      </c>
      <c r="E172" s="25" t="e">
        <f t="shared" si="311"/>
        <v>#DIV/0!</v>
      </c>
      <c r="F172" s="25" t="e">
        <f t="shared" si="311"/>
        <v>#DIV/0!</v>
      </c>
      <c r="G172" s="25">
        <f t="shared" si="311"/>
        <v>0</v>
      </c>
      <c r="H172" s="25">
        <f t="shared" si="311"/>
        <v>0</v>
      </c>
      <c r="I172" s="25">
        <f t="shared" si="311"/>
        <v>0</v>
      </c>
      <c r="J172" s="25">
        <f t="shared" si="311"/>
        <v>10.588235294117647</v>
      </c>
      <c r="K172" s="25">
        <f t="shared" si="311"/>
        <v>11.733333333333333</v>
      </c>
      <c r="L172" s="25">
        <f t="shared" si="311"/>
        <v>3.046875</v>
      </c>
      <c r="M172" s="25">
        <f t="shared" si="311"/>
        <v>7.610619469026549</v>
      </c>
      <c r="N172" s="25">
        <f t="shared" si="311"/>
        <v>29.6875</v>
      </c>
      <c r="O172" s="25">
        <f t="shared" si="311"/>
        <v>33.548387096774192</v>
      </c>
      <c r="P172" s="25">
        <f t="shared" si="311"/>
        <v>20.416666666666668</v>
      </c>
      <c r="Q172" s="118" t="e">
        <f t="shared" si="295"/>
        <v>#DIV/0!</v>
      </c>
      <c r="R172" s="128"/>
      <c r="S172" s="119">
        <f t="shared" ref="S172:AB172" si="312">S167/S66</f>
        <v>20.86328125</v>
      </c>
      <c r="T172" s="119">
        <f t="shared" si="312"/>
        <v>21.319665527343748</v>
      </c>
      <c r="U172" s="119">
        <f t="shared" si="312"/>
        <v>21.786033210754393</v>
      </c>
      <c r="V172" s="119">
        <f t="shared" si="312"/>
        <v>22.262602687239642</v>
      </c>
      <c r="W172" s="119">
        <f t="shared" si="312"/>
        <v>22.749597121023012</v>
      </c>
      <c r="X172" s="119">
        <f t="shared" si="312"/>
        <v>23.247244558045391</v>
      </c>
      <c r="Y172" s="119">
        <f t="shared" si="312"/>
        <v>23.755778032752637</v>
      </c>
      <c r="Z172" s="119">
        <f t="shared" si="312"/>
        <v>24.2754356772191</v>
      </c>
      <c r="AA172" s="119">
        <f t="shared" si="312"/>
        <v>24.806460832658267</v>
      </c>
      <c r="AB172" s="119">
        <f t="shared" si="312"/>
        <v>25.349102163372667</v>
      </c>
      <c r="AC172" s="138" t="e">
        <f t="shared" si="298"/>
        <v>#DIV/0!</v>
      </c>
      <c r="AD172" s="31">
        <v>0.08</v>
      </c>
      <c r="AE172" s="127" t="e">
        <f t="shared" si="299"/>
        <v>#DIV/0!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13">G167/G60</f>
        <v>0</v>
      </c>
      <c r="H173" s="182">
        <f t="shared" si="313"/>
        <v>0</v>
      </c>
      <c r="I173" s="182">
        <f t="shared" si="313"/>
        <v>0</v>
      </c>
      <c r="J173" s="182">
        <f t="shared" si="313"/>
        <v>2.5471698113207548</v>
      </c>
      <c r="K173" s="182">
        <f t="shared" si="313"/>
        <v>2.2184873949579833</v>
      </c>
      <c r="L173" s="182">
        <f t="shared" si="313"/>
        <v>2.1195652173913042</v>
      </c>
      <c r="M173" s="182">
        <f t="shared" si="313"/>
        <v>4.018691588785047</v>
      </c>
      <c r="N173" s="182">
        <f t="shared" si="313"/>
        <v>3.8</v>
      </c>
      <c r="O173" s="182">
        <f t="shared" si="313"/>
        <v>3.3548387096774195</v>
      </c>
      <c r="P173" s="182">
        <f t="shared" si="313"/>
        <v>2.5128205128205128</v>
      </c>
      <c r="Q173" s="118" t="e">
        <f t="shared" ref="Q173:Q175" si="314">((P173/G173)^(1/($H$2-$H$1) ))-1</f>
        <v>#DIV/0!</v>
      </c>
      <c r="R173" s="128"/>
      <c r="S173" s="135">
        <f t="shared" ref="S173:AB173" si="315">S167/S60</f>
        <v>2.5677884615384614</v>
      </c>
      <c r="T173" s="135">
        <f t="shared" si="315"/>
        <v>2.6239588341346152</v>
      </c>
      <c r="U173" s="135">
        <f t="shared" si="315"/>
        <v>2.6813579336313098</v>
      </c>
      <c r="V173" s="135">
        <f t="shared" si="315"/>
        <v>2.7400126384294952</v>
      </c>
      <c r="W173" s="135">
        <f t="shared" si="315"/>
        <v>2.79995041489514</v>
      </c>
      <c r="X173" s="135">
        <f t="shared" si="315"/>
        <v>2.8611993302209715</v>
      </c>
      <c r="Y173" s="135">
        <f t="shared" si="315"/>
        <v>2.9237880655695552</v>
      </c>
      <c r="Z173" s="135">
        <f t="shared" si="315"/>
        <v>2.9877459295038897</v>
      </c>
      <c r="AA173" s="135">
        <f t="shared" si="315"/>
        <v>3.0531028717117867</v>
      </c>
      <c r="AB173" s="135">
        <f t="shared" si="315"/>
        <v>3.1198894970304822</v>
      </c>
      <c r="AC173" s="138" t="e">
        <f t="shared" ref="AC173" si="316">((AB173/G173)^(1/($AB$3-$H$1) ))-1</f>
        <v>#DIV/0!</v>
      </c>
      <c r="AD173" s="31">
        <v>0.08</v>
      </c>
      <c r="AE173" s="127" t="e">
        <f t="shared" si="299"/>
        <v>#DIV/0!</v>
      </c>
    </row>
    <row r="174" spans="2:31" x14ac:dyDescent="0.2">
      <c r="B174" s="20" t="s">
        <v>371</v>
      </c>
      <c r="C174" s="161" t="e">
        <f t="shared" ref="C174:P174" si="317">C52/C167</f>
        <v>#DIV/0!</v>
      </c>
      <c r="D174" s="161" t="e">
        <f t="shared" si="317"/>
        <v>#DIV/0!</v>
      </c>
      <c r="E174" s="161" t="e">
        <f t="shared" si="317"/>
        <v>#DIV/0!</v>
      </c>
      <c r="F174" s="161" t="e">
        <f t="shared" si="317"/>
        <v>#DIV/0!</v>
      </c>
      <c r="G174" s="161" t="e">
        <f t="shared" si="317"/>
        <v>#DIV/0!</v>
      </c>
      <c r="H174" s="161" t="e">
        <f t="shared" si="317"/>
        <v>#DIV/0!</v>
      </c>
      <c r="I174" s="161" t="e">
        <f t="shared" si="317"/>
        <v>#DIV/0!</v>
      </c>
      <c r="J174" s="161">
        <f t="shared" si="317"/>
        <v>1.8518518518518517E-2</v>
      </c>
      <c r="K174" s="161">
        <f t="shared" si="317"/>
        <v>5.3030303030303032E-2</v>
      </c>
      <c r="L174" s="161">
        <f t="shared" si="317"/>
        <v>0.1</v>
      </c>
      <c r="M174" s="161">
        <f t="shared" si="317"/>
        <v>6.1627906976744189E-2</v>
      </c>
      <c r="N174" s="161">
        <f t="shared" si="317"/>
        <v>5.0526315789473683E-2</v>
      </c>
      <c r="O174" s="161">
        <f t="shared" si="317"/>
        <v>5.1923076923076926E-2</v>
      </c>
      <c r="P174" s="161">
        <f t="shared" si="317"/>
        <v>5.9183673469387757E-2</v>
      </c>
      <c r="Q174" s="118" t="e">
        <f t="shared" si="314"/>
        <v>#DIV/0!</v>
      </c>
      <c r="R174" s="128"/>
      <c r="S174" s="161">
        <f t="shared" ref="S174:AB174" si="318">S52/S167</f>
        <v>5.7916744679523187E-2</v>
      </c>
      <c r="T174" s="161">
        <f t="shared" si="318"/>
        <v>5.6676936689441654E-2</v>
      </c>
      <c r="U174" s="161">
        <f t="shared" si="318"/>
        <v>5.5463668931563695E-2</v>
      </c>
      <c r="V174" s="161">
        <f t="shared" si="318"/>
        <v>5.4276373266362019E-2</v>
      </c>
      <c r="W174" s="161">
        <f t="shared" si="318"/>
        <v>5.3114493716317573E-2</v>
      </c>
      <c r="X174" s="161">
        <f t="shared" si="318"/>
        <v>5.197748620557071E-2</v>
      </c>
      <c r="Y174" s="161">
        <f t="shared" si="318"/>
        <v>5.0864818305145651E-2</v>
      </c>
      <c r="Z174" s="161">
        <f t="shared" si="318"/>
        <v>4.9775968983628779E-2</v>
      </c>
      <c r="AA174" s="161">
        <f t="shared" si="318"/>
        <v>4.8710428363184115E-2</v>
      </c>
      <c r="AB174" s="161">
        <f t="shared" si="318"/>
        <v>4.7667697480791804E-2</v>
      </c>
      <c r="AC174" s="138" t="e">
        <f t="shared" ref="AC174:AC175" si="319">((AB174/G174)^(1/($AB$3-$H$1) ))-1</f>
        <v>#DIV/0!</v>
      </c>
      <c r="AD174" s="31">
        <v>0.08</v>
      </c>
      <c r="AE174" s="127" t="e">
        <f t="shared" si="299"/>
        <v>#DIV/0!</v>
      </c>
    </row>
    <row r="175" spans="2:31" x14ac:dyDescent="0.2">
      <c r="B175" s="20" t="s">
        <v>320</v>
      </c>
      <c r="C175" s="152" t="e">
        <f t="shared" ref="C175:P175" si="320">C43/C167</f>
        <v>#DIV/0!</v>
      </c>
      <c r="D175" s="152" t="e">
        <f t="shared" si="320"/>
        <v>#DIV/0!</v>
      </c>
      <c r="E175" s="152" t="e">
        <f t="shared" si="320"/>
        <v>#DIV/0!</v>
      </c>
      <c r="F175" s="152" t="e">
        <f t="shared" si="320"/>
        <v>#DIV/0!</v>
      </c>
      <c r="G175" s="152" t="e">
        <f t="shared" si="320"/>
        <v>#DIV/0!</v>
      </c>
      <c r="H175" s="152" t="e">
        <f t="shared" si="320"/>
        <v>#DIV/0!</v>
      </c>
      <c r="I175" s="152" t="e">
        <f t="shared" si="320"/>
        <v>#DIV/0!</v>
      </c>
      <c r="J175" s="152">
        <f t="shared" si="320"/>
        <v>8.3333333333333332E-3</v>
      </c>
      <c r="K175" s="152">
        <f t="shared" si="320"/>
        <v>1.893939393939394E-2</v>
      </c>
      <c r="L175" s="152">
        <f t="shared" si="320"/>
        <v>3.0769230769230771E-2</v>
      </c>
      <c r="M175" s="152">
        <f t="shared" si="320"/>
        <v>1.9767441860465116E-2</v>
      </c>
      <c r="N175" s="152">
        <f t="shared" si="320"/>
        <v>1.7894736842105262E-2</v>
      </c>
      <c r="O175" s="152">
        <f t="shared" si="320"/>
        <v>1.9230769230769232E-2</v>
      </c>
      <c r="P175" s="152">
        <f t="shared" si="320"/>
        <v>2.2448979591836733E-2</v>
      </c>
      <c r="Q175" s="118" t="e">
        <f t="shared" si="314"/>
        <v>#DIV/0!</v>
      </c>
      <c r="R175" s="128"/>
      <c r="S175" s="152">
        <f t="shared" ref="S175:AB175" si="321">S43/S167</f>
        <v>2.1625163826998691E-2</v>
      </c>
      <c r="T175" s="152">
        <f t="shared" si="321"/>
        <v>2.0831579833347359E-2</v>
      </c>
      <c r="U175" s="152">
        <f t="shared" si="321"/>
        <v>2.0067118188086906E-2</v>
      </c>
      <c r="V175" s="152">
        <f t="shared" si="321"/>
        <v>1.9330710181184634E-2</v>
      </c>
      <c r="W175" s="152">
        <f t="shared" si="321"/>
        <v>1.8621326321324648E-2</v>
      </c>
      <c r="X175" s="152">
        <f t="shared" si="321"/>
        <v>1.7937974896688882E-2</v>
      </c>
      <c r="Y175" s="152">
        <f t="shared" si="321"/>
        <v>1.7279700588553507E-2</v>
      </c>
      <c r="Z175" s="152">
        <f t="shared" si="321"/>
        <v>1.6645583135762549E-2</v>
      </c>
      <c r="AA175" s="152">
        <f t="shared" si="321"/>
        <v>1.603473604821163E-2</v>
      </c>
      <c r="AB175" s="152">
        <f t="shared" si="321"/>
        <v>1.544630536754331E-2</v>
      </c>
      <c r="AC175" s="138" t="e">
        <f t="shared" si="319"/>
        <v>#DIV/0!</v>
      </c>
      <c r="AD175" s="31">
        <v>0.08</v>
      </c>
      <c r="AE175" s="127" t="e">
        <f t="shared" si="299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351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0.78725809326217555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9.0509429802365537E-2</v>
      </c>
      <c r="N180" s="20"/>
      <c r="O180" s="20"/>
      <c r="P180" s="128">
        <f>(P167-R146)/P167</f>
        <v>9.0509429802365537E-2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0.20944281205897938</v>
      </c>
      <c r="N181" s="20"/>
      <c r="O181" s="20"/>
      <c r="P181" s="128">
        <f>(P167-R139)/P167</f>
        <v>0.20944281205897938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0.8214645583685003</v>
      </c>
      <c r="N182" s="20"/>
      <c r="O182" s="20"/>
      <c r="P182" s="128">
        <f>(P167-R152)/P167</f>
        <v>0.8214645583685003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0.76229194059140537</v>
      </c>
      <c r="N183" s="20"/>
      <c r="O183" s="20"/>
      <c r="P183" s="128">
        <f>(P167-R164)/P167</f>
        <v>0.76229194059140537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7.3933014276039293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0.13525757197810975</v>
      </c>
      <c r="Q185" s="20"/>
      <c r="R185" s="20"/>
      <c r="S185" s="185">
        <f>P167-S186</f>
        <v>945.82727272727277</v>
      </c>
      <c r="T185" s="185">
        <f>S185-T186</f>
        <v>909.94590909090914</v>
      </c>
      <c r="U185" s="185">
        <f t="shared" ref="U185:W185" si="322">T185-U186</f>
        <v>872.27047727272736</v>
      </c>
      <c r="V185" s="185">
        <f t="shared" si="322"/>
        <v>832.71127386363639</v>
      </c>
      <c r="W185" s="185">
        <f t="shared" si="322"/>
        <v>791.17411028409094</v>
      </c>
      <c r="X185" s="185">
        <f>W185-X186</f>
        <v>747.56008852556818</v>
      </c>
      <c r="Y185" s="185">
        <f t="shared" ref="Y185:AB185" si="323">X185-Y186</f>
        <v>701.76536567911933</v>
      </c>
      <c r="Z185" s="185">
        <f t="shared" si="323"/>
        <v>653.68090669034802</v>
      </c>
      <c r="AA185" s="185">
        <f t="shared" si="323"/>
        <v>603.19222475213815</v>
      </c>
      <c r="AB185" s="185">
        <f t="shared" si="323"/>
        <v>550.1791087170177</v>
      </c>
      <c r="AC185" s="185">
        <f t="shared" ref="AC185" si="324">AB185-AC186</f>
        <v>494.51533688014126</v>
      </c>
      <c r="AD185" s="185">
        <f t="shared" ref="AD185" si="325">AC185-AD186</f>
        <v>436.06837645142105</v>
      </c>
      <c r="AE185" s="185">
        <f t="shared" ref="AE185" si="326">AD185-AE186</f>
        <v>374.69906800126478</v>
      </c>
      <c r="AF185" s="185">
        <f t="shared" ref="AF185" si="327">AE185-AF186</f>
        <v>310.2612941286007</v>
      </c>
      <c r="AG185" s="185">
        <f t="shared" ref="AG185" si="328">AF185-AG186</f>
        <v>242.60163156230342</v>
      </c>
      <c r="AH185" s="185">
        <f t="shared" ref="AH185" si="329">AG185-AH186</f>
        <v>171.55898586769129</v>
      </c>
      <c r="AI185" s="185">
        <f t="shared" ref="AI185" si="330">AH185-AI186</f>
        <v>96.964207888348554</v>
      </c>
      <c r="AJ185" s="185">
        <f t="shared" ref="AJ185" si="331">AI185-AJ186</f>
        <v>18.639691010038675</v>
      </c>
      <c r="AK185" s="185">
        <f t="shared" ref="AK185" si="332">AJ185-AK186</f>
        <v>-63.601051712186703</v>
      </c>
      <c r="AL185" s="185">
        <f t="shared" ref="AL185" si="333">AK185-AL186</f>
        <v>-149.95383157052333</v>
      </c>
      <c r="AM185" s="185">
        <f t="shared" ref="AM185" si="334">AL185-AM186</f>
        <v>-240.62425042177682</v>
      </c>
      <c r="AN185" s="185">
        <f t="shared" ref="AN185" si="335">AM185-AN186</f>
        <v>-335.828190215593</v>
      </c>
      <c r="AO185" s="185">
        <f t="shared" ref="AO185" si="336">AN185-AO186</f>
        <v>-435.79232699909994</v>
      </c>
      <c r="AP185" s="185">
        <f t="shared" ref="AP185" si="337">AO185-AP186</f>
        <v>-540.75467062178222</v>
      </c>
      <c r="AQ185" s="185">
        <f t="shared" ref="AQ185" si="338">AP185-AQ186</f>
        <v>-650.96513142559866</v>
      </c>
      <c r="AR185" s="185">
        <f t="shared" ref="AR185" si="339">AQ185-AR186</f>
        <v>-766.68611526960592</v>
      </c>
      <c r="AS185" s="185">
        <f t="shared" ref="AS185" si="340">AR185-AS186</f>
        <v>-888.19314830581357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>
        <f>P167/Q137</f>
        <v>30.111731843575416</v>
      </c>
      <c r="Q186" s="20"/>
      <c r="R186" s="20"/>
      <c r="S186" s="186">
        <f>Q137*(1+$K$186)</f>
        <v>34.172727272727279</v>
      </c>
      <c r="T186" s="186">
        <f>S186*(1+$K$186)</f>
        <v>35.881363636363645</v>
      </c>
      <c r="U186" s="186">
        <f t="shared" ref="U186:AB186" si="341">T186*(1+$K$186)</f>
        <v>37.675431818181828</v>
      </c>
      <c r="V186" s="186">
        <f t="shared" si="341"/>
        <v>39.559203409090919</v>
      </c>
      <c r="W186" s="186">
        <f t="shared" si="341"/>
        <v>41.537163579545464</v>
      </c>
      <c r="X186" s="186">
        <f t="shared" si="341"/>
        <v>43.614021758522739</v>
      </c>
      <c r="Y186" s="186">
        <f t="shared" si="341"/>
        <v>45.794722846448877</v>
      </c>
      <c r="Z186" s="186">
        <f t="shared" si="341"/>
        <v>48.084458988771324</v>
      </c>
      <c r="AA186" s="186">
        <f t="shared" si="341"/>
        <v>50.488681938209893</v>
      </c>
      <c r="AB186" s="186">
        <f t="shared" si="341"/>
        <v>53.01311603512039</v>
      </c>
      <c r="AC186" s="186">
        <f t="shared" ref="AC186" si="342">AB186*(1+$K$186)</f>
        <v>55.663771836876414</v>
      </c>
      <c r="AD186" s="186">
        <f t="shared" ref="AD186" si="343">AC186*(1+$K$186)</f>
        <v>58.446960428720239</v>
      </c>
      <c r="AE186" s="186">
        <f t="shared" ref="AE186" si="344">AD186*(1+$K$186)</f>
        <v>61.369308450156254</v>
      </c>
      <c r="AF186" s="186">
        <f t="shared" ref="AF186" si="345">AE186*(1+$K$186)</f>
        <v>64.437773872664067</v>
      </c>
      <c r="AG186" s="186">
        <f t="shared" ref="AG186" si="346">AF186*(1+$K$186)</f>
        <v>67.659662566297271</v>
      </c>
      <c r="AH186" s="186">
        <f t="shared" ref="AH186" si="347">AG186*(1+$K$186)</f>
        <v>71.042645694612133</v>
      </c>
      <c r="AI186" s="186">
        <f t="shared" ref="AI186" si="348">AH186*(1+$K$186)</f>
        <v>74.594777979342737</v>
      </c>
      <c r="AJ186" s="186">
        <f t="shared" ref="AJ186" si="349">AI186*(1+$K$186)</f>
        <v>78.324516878309879</v>
      </c>
      <c r="AK186" s="186">
        <f t="shared" ref="AK186" si="350">AJ186*(1+$K$186)</f>
        <v>82.240742722225377</v>
      </c>
      <c r="AL186" s="186">
        <f t="shared" ref="AL186" si="351">AK186*(1+$K$186)</f>
        <v>86.352779858336646</v>
      </c>
      <c r="AM186" s="186">
        <f t="shared" ref="AM186" si="352">AL186*(1+$K$186)</f>
        <v>90.670418851253487</v>
      </c>
      <c r="AN186" s="186">
        <f t="shared" ref="AN186" si="353">AM186*(1+$K$186)</f>
        <v>95.203939793816161</v>
      </c>
      <c r="AO186" s="186">
        <f t="shared" ref="AO186" si="354">AN186*(1+$K$186)</f>
        <v>99.964136783506973</v>
      </c>
      <c r="AP186" s="186">
        <f t="shared" ref="AP186" si="355">AO186*(1+$K$186)</f>
        <v>104.96234362268233</v>
      </c>
      <c r="AQ186" s="186">
        <f t="shared" ref="AQ186" si="356">AP186*(1+$K$186)</f>
        <v>110.21046080381645</v>
      </c>
      <c r="AR186" s="186">
        <f t="shared" ref="AR186" si="357">AQ186*(1+$K$186)</f>
        <v>115.72098384400728</v>
      </c>
      <c r="AS186" s="186">
        <f t="shared" ref="AS186" si="358">AR186*(1+$K$186)</f>
        <v>121.50703303620764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16.896551724137932</v>
      </c>
      <c r="Q187" s="20"/>
      <c r="R187" s="20"/>
      <c r="S187" s="186">
        <f>P52*(1+$K$187)</f>
        <v>60.900000000000006</v>
      </c>
      <c r="T187" s="186">
        <f>S187*(1+$K$187)</f>
        <v>63.945000000000007</v>
      </c>
      <c r="U187" s="186">
        <f t="shared" ref="U187:AB187" si="359">T187*(1+$K$187)</f>
        <v>67.142250000000004</v>
      </c>
      <c r="V187" s="186">
        <f t="shared" si="359"/>
        <v>70.499362500000004</v>
      </c>
      <c r="W187" s="186">
        <f t="shared" si="359"/>
        <v>74.024330625000005</v>
      </c>
      <c r="X187" s="186">
        <f t="shared" si="359"/>
        <v>77.725547156250002</v>
      </c>
      <c r="Y187" s="186">
        <f t="shared" si="359"/>
        <v>81.611824514062505</v>
      </c>
      <c r="Z187" s="186">
        <f t="shared" si="359"/>
        <v>85.692415739765636</v>
      </c>
      <c r="AA187" s="186">
        <f t="shared" si="359"/>
        <v>89.97703652675392</v>
      </c>
      <c r="AB187" s="186">
        <f t="shared" si="359"/>
        <v>94.475888353091619</v>
      </c>
      <c r="AC187" s="186">
        <f t="shared" ref="AC187" si="360">AB187*(1+$K$187)</f>
        <v>99.199682770746207</v>
      </c>
      <c r="AD187" s="186">
        <f t="shared" ref="AD187" si="361">AC187*(1+$K$187)</f>
        <v>104.15966690928352</v>
      </c>
      <c r="AE187" s="186">
        <f t="shared" ref="AE187" si="362">AD187*(1+$K$187)</f>
        <v>109.3676502547477</v>
      </c>
      <c r="AF187" s="186">
        <f t="shared" ref="AF187" si="363">AE187*(1+$K$187)</f>
        <v>114.83603276748509</v>
      </c>
      <c r="AG187" s="186">
        <f t="shared" ref="AG187" si="364">AF187*(1+$K$187)</f>
        <v>120.57783440585935</v>
      </c>
      <c r="AH187" s="186">
        <f t="shared" ref="AH187" si="365">AG187*(1+$K$187)</f>
        <v>126.60672612615232</v>
      </c>
      <c r="AI187" s="186">
        <f t="shared" ref="AI187" si="366">AH187*(1+$K$187)</f>
        <v>132.93706243245995</v>
      </c>
      <c r="AJ187" s="186">
        <f t="shared" ref="AJ187" si="367">AI187*(1+$K$187)</f>
        <v>139.58391555408295</v>
      </c>
      <c r="AK187" s="186">
        <f t="shared" ref="AK187" si="368">AJ187*(1+$K$187)</f>
        <v>146.5631113317871</v>
      </c>
      <c r="AL187" s="186">
        <f t="shared" ref="AL187" si="369">AK187*(1+$K$187)</f>
        <v>153.89126689837647</v>
      </c>
      <c r="AM187" s="186">
        <f t="shared" ref="AM187" si="370">AL187*(1+$K$187)</f>
        <v>161.58583024329531</v>
      </c>
      <c r="AN187" s="186">
        <f t="shared" ref="AN187" si="371">AM187*(1+$K$187)</f>
        <v>169.66512175546009</v>
      </c>
      <c r="AO187" s="186">
        <f t="shared" ref="AO187" si="372">AN187*(1+$K$187)</f>
        <v>178.14837784323311</v>
      </c>
      <c r="AP187" s="186">
        <f t="shared" ref="AP187" si="373">AO187*(1+$K$187)</f>
        <v>187.05579673539478</v>
      </c>
      <c r="AQ187" s="186">
        <f t="shared" ref="AQ187" si="374">AP187*(1+$K$187)</f>
        <v>196.40858657216452</v>
      </c>
      <c r="AR187" s="186">
        <f t="shared" ref="AR187" si="375">AQ187*(1+$K$187)</f>
        <v>206.22901590077277</v>
      </c>
      <c r="AS187" s="186">
        <f t="shared" ref="AS187" si="376">AR187*(1+$K$187)</f>
        <v>216.5404666958114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919.1</v>
      </c>
      <c r="T188" s="185">
        <f>S188-T187</f>
        <v>855.15499999999997</v>
      </c>
      <c r="U188" s="185">
        <f t="shared" ref="U188:Z188" si="377">T188-U187</f>
        <v>788.01274999999998</v>
      </c>
      <c r="V188" s="185">
        <f t="shared" si="377"/>
        <v>717.51338750000002</v>
      </c>
      <c r="W188" s="185">
        <f t="shared" si="377"/>
        <v>643.48905687499996</v>
      </c>
      <c r="X188" s="185">
        <f t="shared" si="377"/>
        <v>565.7635097187499</v>
      </c>
      <c r="Y188" s="185">
        <f t="shared" si="377"/>
        <v>484.1516852046874</v>
      </c>
      <c r="Z188" s="185">
        <f t="shared" si="377"/>
        <v>398.45926946492176</v>
      </c>
      <c r="AA188" s="185">
        <f>Z188-AA187</f>
        <v>308.48223293816784</v>
      </c>
      <c r="AB188" s="185">
        <f t="shared" ref="AB188" si="378">AA188-AB187</f>
        <v>214.00634458507622</v>
      </c>
      <c r="AC188" s="185">
        <f t="shared" ref="AC188" si="379">AB188-AC187</f>
        <v>114.80666181433001</v>
      </c>
      <c r="AD188" s="185">
        <f t="shared" ref="AD188" si="380">AC188-AD187</f>
        <v>10.646994905046498</v>
      </c>
      <c r="AE188" s="185">
        <f t="shared" ref="AE188" si="381">AD188-AE187</f>
        <v>-98.720655349701204</v>
      </c>
      <c r="AF188" s="185">
        <f t="shared" ref="AF188" si="382">AE188-AF187</f>
        <v>-213.5566881171863</v>
      </c>
      <c r="AG188" s="185">
        <f t="shared" ref="AG188" si="383">AF188-AG187</f>
        <v>-334.13452252304563</v>
      </c>
      <c r="AH188" s="185">
        <f t="shared" ref="AH188" si="384">AG188-AH187</f>
        <v>-460.74124864919793</v>
      </c>
      <c r="AI188" s="185">
        <f t="shared" ref="AI188" si="385">AH188-AI187</f>
        <v>-593.67831108165785</v>
      </c>
      <c r="AJ188" s="185">
        <f t="shared" ref="AJ188" si="386">AI188-AJ187</f>
        <v>-733.26222663574083</v>
      </c>
      <c r="AK188" s="185">
        <f t="shared" ref="AK188" si="387">AJ188-AK187</f>
        <v>-879.82533796752796</v>
      </c>
      <c r="AL188" s="185">
        <f t="shared" ref="AL188" si="388">AK188-AL187</f>
        <v>-1033.7166048659044</v>
      </c>
      <c r="AM188" s="185">
        <f t="shared" ref="AM188" si="389">AL188-AM187</f>
        <v>-1195.3024351091997</v>
      </c>
      <c r="AN188" s="185">
        <f t="shared" ref="AN188" si="390">AM188-AN187</f>
        <v>-1364.9675568646599</v>
      </c>
      <c r="AO188" s="185">
        <f t="shared" ref="AO188" si="391">AN188-AO187</f>
        <v>-1543.1159347078928</v>
      </c>
      <c r="AP188" s="185">
        <f t="shared" ref="AP188" si="392">AO188-AP187</f>
        <v>-1730.1717314432876</v>
      </c>
      <c r="AQ188" s="185">
        <f t="shared" ref="AQ188" si="393">AP188-AQ187</f>
        <v>-1926.5803180154521</v>
      </c>
      <c r="AR188" s="185">
        <f t="shared" ref="AR188" si="394">AQ188-AR187</f>
        <v>-2132.8093339162251</v>
      </c>
      <c r="AS188" s="185">
        <f t="shared" ref="AS188" si="395">AR188-AS187</f>
        <v>-2349.3498006120367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396">C10/C7</f>
        <v>#DIV/0!</v>
      </c>
      <c r="D190" s="25" t="e">
        <f t="shared" si="396"/>
        <v>#DIV/0!</v>
      </c>
      <c r="E190" s="25" t="e">
        <f t="shared" si="396"/>
        <v>#DIV/0!</v>
      </c>
      <c r="F190" s="25" t="e">
        <f t="shared" si="396"/>
        <v>#DIV/0!</v>
      </c>
      <c r="G190" s="25">
        <f t="shared" si="396"/>
        <v>0</v>
      </c>
      <c r="H190" s="25">
        <f t="shared" si="396"/>
        <v>0</v>
      </c>
      <c r="I190" s="25">
        <f t="shared" si="396"/>
        <v>0</v>
      </c>
      <c r="J190" s="25">
        <f t="shared" si="396"/>
        <v>0</v>
      </c>
      <c r="K190" s="25">
        <f t="shared" si="396"/>
        <v>0</v>
      </c>
      <c r="L190" s="25">
        <f t="shared" si="396"/>
        <v>0</v>
      </c>
      <c r="M190" s="25">
        <f t="shared" si="396"/>
        <v>0</v>
      </c>
      <c r="N190" s="25">
        <f t="shared" si="396"/>
        <v>0</v>
      </c>
      <c r="O190" s="25">
        <f t="shared" si="396"/>
        <v>0</v>
      </c>
      <c r="P190" s="25">
        <f t="shared" si="396"/>
        <v>0</v>
      </c>
      <c r="Q190" s="118" t="e">
        <f t="shared" ref="Q190:Q192" si="397">((P190/G190)^(1/($H$2-$H$1) ))-1</f>
        <v>#DIV/0!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0</v>
      </c>
      <c r="H191" s="112">
        <f t="shared" ref="H191:P191" si="398">H10/H12</f>
        <v>0</v>
      </c>
      <c r="I191" s="112">
        <f t="shared" si="398"/>
        <v>0</v>
      </c>
      <c r="J191" s="112">
        <f t="shared" si="398"/>
        <v>0</v>
      </c>
      <c r="K191" s="112">
        <f t="shared" si="398"/>
        <v>0</v>
      </c>
      <c r="L191" s="112">
        <f t="shared" si="398"/>
        <v>0</v>
      </c>
      <c r="M191" s="112" t="e">
        <f t="shared" si="398"/>
        <v>#VALUE!</v>
      </c>
      <c r="N191" s="112">
        <f t="shared" si="398"/>
        <v>0</v>
      </c>
      <c r="O191" s="112">
        <f t="shared" si="398"/>
        <v>0</v>
      </c>
      <c r="P191" s="112">
        <f t="shared" si="398"/>
        <v>0</v>
      </c>
      <c r="Q191" s="118" t="e">
        <f t="shared" si="397"/>
        <v>#DIV/0!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0</v>
      </c>
      <c r="H192" s="25">
        <f t="shared" ref="H192:P192" si="399">H10/(H12+H13)</f>
        <v>0</v>
      </c>
      <c r="I192" s="25">
        <f t="shared" si="399"/>
        <v>0</v>
      </c>
      <c r="J192" s="25">
        <f t="shared" si="399"/>
        <v>0</v>
      </c>
      <c r="K192" s="25">
        <f t="shared" si="399"/>
        <v>0</v>
      </c>
      <c r="L192" s="25">
        <f t="shared" si="399"/>
        <v>0</v>
      </c>
      <c r="M192" s="25" t="e">
        <f t="shared" si="399"/>
        <v>#VALUE!</v>
      </c>
      <c r="N192" s="25">
        <f t="shared" si="399"/>
        <v>0</v>
      </c>
      <c r="O192" s="25">
        <f t="shared" si="399"/>
        <v>0</v>
      </c>
      <c r="P192" s="25">
        <f t="shared" si="399"/>
        <v>0</v>
      </c>
      <c r="Q192" s="118" t="e">
        <f t="shared" si="397"/>
        <v>#DIV/0!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337</v>
      </c>
      <c r="M195" s="196"/>
      <c r="N195" s="197"/>
      <c r="O195" s="23" t="s">
        <v>340</v>
      </c>
      <c r="P195" s="20"/>
      <c r="Q195" s="195" t="s">
        <v>338</v>
      </c>
      <c r="R195" s="196"/>
      <c r="S195" s="197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</v>
      </c>
      <c r="O197" s="173">
        <f>N197</f>
        <v>1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343</v>
      </c>
      <c r="M199" s="167"/>
      <c r="N199" s="168">
        <f>N197*N198</f>
        <v>1</v>
      </c>
      <c r="O199" s="173">
        <f>N199</f>
        <v>1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</v>
      </c>
      <c r="O200" s="21">
        <v>1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</v>
      </c>
      <c r="O201" s="168">
        <f>O200*O198</f>
        <v>1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</v>
      </c>
      <c r="O204" s="170">
        <f>O201/O199</f>
        <v>1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393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1</v>
      </c>
      <c r="H209" s="20"/>
      <c r="I209" s="20" t="s">
        <v>28</v>
      </c>
      <c r="J209" s="127"/>
      <c r="K209" s="21">
        <f>G209</f>
        <v>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1</v>
      </c>
      <c r="H210" s="20"/>
      <c r="I210" s="20" t="s">
        <v>29</v>
      </c>
      <c r="J210" s="20"/>
      <c r="K210" s="21">
        <f>G210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</v>
      </c>
      <c r="H212" s="20"/>
      <c r="I212" s="23" t="s">
        <v>394</v>
      </c>
      <c r="J212" s="23"/>
      <c r="K212" s="23">
        <f>(K210-K209)/K209</f>
        <v>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2014-04-20T16:23:23Z</dcterms:modified>
</cp:coreProperties>
</file>
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Q21" i="18"/>
  <c r="Q20" i="18"/>
  <c r="Q18" i="18"/>
  <c r="Q16" i="18"/>
  <c r="Q15" i="18"/>
  <c r="Q14" i="18"/>
  <c r="Q13" i="18"/>
  <c r="Q12" i="18"/>
  <c r="Q10" i="18"/>
  <c r="Q9" i="18"/>
  <c r="Q25" i="18"/>
  <c r="D204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M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G41" i="18"/>
  <c r="H41" i="18"/>
  <c r="I41" i="18"/>
  <c r="J41" i="18"/>
  <c r="K41" i="18"/>
  <c r="L41" i="18"/>
  <c r="M41" i="18"/>
  <c r="N41" i="18"/>
  <c r="O41" i="18"/>
  <c r="P41" i="18"/>
  <c r="G43" i="18"/>
  <c r="H43" i="18"/>
  <c r="I43" i="18"/>
  <c r="J43" i="18"/>
  <c r="K43" i="18"/>
  <c r="L43" i="18"/>
  <c r="M43" i="18"/>
  <c r="N43" i="18"/>
  <c r="O43" i="18"/>
  <c r="P43" i="18"/>
  <c r="F115" i="18" l="1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111" i="18" s="1"/>
  <c r="Q112" i="18" s="1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5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66" i="18" l="1"/>
  <c r="Q175" i="18" s="1"/>
  <c r="Q178" i="18"/>
  <c r="Q173" i="18"/>
  <c r="T192" i="18"/>
  <c r="T193" i="18" s="1"/>
  <c r="Q192" i="18"/>
  <c r="Q113" i="18"/>
  <c r="Q114" i="18" s="1"/>
  <c r="Q115" i="18"/>
  <c r="H91" i="18"/>
  <c r="AE52" i="18"/>
  <c r="H52" i="18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Q180" i="18" l="1"/>
  <c r="Q181" i="18" s="1"/>
  <c r="R91" i="18"/>
  <c r="R52" i="18"/>
  <c r="S42" i="18"/>
  <c r="G214" i="18"/>
  <c r="K188" i="18" l="1"/>
  <c r="K187" i="18"/>
  <c r="K186" i="18"/>
  <c r="K185" i="18"/>
  <c r="AE38" i="18" l="1"/>
  <c r="S38" i="18"/>
  <c r="T38" i="18" l="1"/>
  <c r="U38" i="18" l="1"/>
  <c r="V38" i="18" s="1"/>
  <c r="W38" i="18" s="1"/>
  <c r="K191" i="18"/>
  <c r="X38" i="18" l="1"/>
  <c r="U206" i="18"/>
  <c r="U207" i="18" s="1"/>
  <c r="H204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G217" i="18" s="1"/>
  <c r="H207" i="18"/>
  <c r="I207" i="18" s="1"/>
  <c r="J207" i="18" s="1"/>
  <c r="J208" i="18" s="1"/>
  <c r="H205" i="18"/>
  <c r="H203" i="18"/>
  <c r="H202" i="18"/>
  <c r="I202" i="18" s="1"/>
  <c r="J202" i="18" s="1"/>
  <c r="K215" i="18" l="1"/>
  <c r="K217" i="18" s="1"/>
  <c r="G220" i="18"/>
  <c r="Y38" i="18"/>
  <c r="D210" i="18"/>
  <c r="K218" i="18"/>
  <c r="R55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0" i="18" l="1"/>
  <c r="R103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Q191" i="18" l="1"/>
  <c r="P191" i="18"/>
  <c r="T191" i="18"/>
  <c r="T190" i="18" s="1"/>
  <c r="P181" i="18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<sst xmlns="http://schemas.openxmlformats.org/spreadsheetml/2006/main" count="650" uniqueCount="458">
  <si>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</si>
  <si>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</si>
  <si>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</si>
  <si>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</si>
  <si>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</si>
  <si>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</si>
  <si>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</si>
  <si>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</si>
  <si>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</si>
  <si>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</si>
  <si>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</si>
  <si>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</si>
  <si>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</si>
  <si>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</si>
  <si>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</si>
  <si>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</si>
  <si>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</si>
  <si>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</si>
  <si>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</si>
  <si>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</si>
  <si>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</si>
  <si>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</si>
  <si>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</si>
  <si>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</si>
  <si>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</si>
  <si>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</si>
  <si>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</si>
  <si>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</si>
  <si>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</si>
  <si>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</si>
  <si>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</si>
  <si>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</si>
  <si>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</si>
  <si>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</si>
  <si>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</si>
  <si>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</si>
  <si>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</si>
  <si>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</si>
  <si>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</si>
  <si>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</si>
  <si>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</si>
  <si>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</si>
  <si>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</si>
  <si>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</si>
  <si>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</si>
  <si>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</si>
  <si>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</si>
  <si>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</si>
  <si>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</si>
  <si>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</si>
  <si>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</si>
  <si>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</si>
  <si>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</si>
  <si>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</si>
  <si>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</si>
  <si>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</si>
  <si>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</si>
  <si>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</si>
  <si>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</si>
  <si>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</si>
  <si>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</si>
  <si>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</si>
  <si>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</si>
  <si>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</si>
  <si>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</si>
  <si>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</si>
  <si>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</si>
  <si>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</si>
  <si>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</si>
  <si>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</si>
  <si>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</si>
  <si>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</si>
  <si>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</si>
  <si>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</si>
  <si>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</si>
  <si>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</si>
  <si>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</si>
  <si>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</si>
  <si>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</si>
  <si>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</si>
  <si>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</si>
  <si>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</si>
  <si>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</si>
  <si>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</si>
  <si>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</si>
  <si>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</si>
  <si>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</si>
  <si>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</si>
  <si>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</si>
  <si>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</si>
  <si>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</si>
  <si>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</si>
  <si>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</si>
  <si>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</si>
  <si>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</si>
  <si>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</si>
  <si>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</si>
  <si>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</si>
  <si>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</si>
  <si>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</si>
  <si>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</si>
  <si>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</si>
  <si>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</si>
  <si>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</si>
  <si>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</si>
  <si>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</si>
  <si>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</si>
  <si>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</si>
  <si>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</si>
  <si>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</si>
  <si>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</si>
  <si>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</si>
  <si>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</si>
  <si>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</si>
  <si>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</si>
  <si>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</si>
  <si>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</si>
  <si>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</si>
  <si>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</si>
  <si>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</si>
  <si>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</si>
  <si>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</si>
  <si>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</si>
  <si>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</si>
  <si>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</si>
  <si>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</si>
  <si>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</si>
  <si>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</si>
  <si>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</si>
  <si>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</si>
  <si>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</si>
  <si>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</si>
  <si>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</si>
  <si>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</si>
  <si>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</si>
  <si>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</si>
  <si>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</si>
  <si>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</si>
  <si>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</si>
  <si>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</si>
  <si>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</si>
  <si>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</si>
  <si>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</si>
  <si>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</si>
  <si>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</si>
  <si>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</si>
  <si>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</si>
  <si>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</si>
  <si>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</si>
  <si>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</si>
  <si>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</si>
  <si>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</si>
  <si>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</si>
  <si>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</si>
  <si>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</si>
  <si>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</si>
  <si>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</si>
  <si>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</si>
  <si>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</si>
  <si>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</si>
  <si>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</si>
  <si>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</si>
  <si>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</si>
  <si>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</si>
  <si>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</si>
  <si>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</si>
  <si>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</si>
  <si>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</si>
  <si>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</si>
  <si>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</si>
  <si>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</si>
  <si>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</si>
  <si>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</si>
  <si>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</si>
  <si>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</si>
  <si>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</si>
  <si>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</si>
  <si>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</si>
  <si>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</si>
  <si>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</si>
  <si>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</si>
  <si>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</si>
  <si>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</si>
  <si>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</si>
  <si>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</si>
  <si>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</si>
  <si>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</si>
  <si>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</si>
  <si>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</si>
  <si>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</si>
  <si>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</si>
  <si>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</si>
  <si>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</si>
  <si>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</si>
  <si>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</si>
  <si>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</si>
  <si>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</si>
  <si>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</si>
  <si>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</si>
  <si>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</si>
  <si>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</si>
  <si>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</si>
  <si>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</si>
  <si>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</si>
  <si>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</si>
  <si>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</si>
  <si>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</si>
  <si>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</si>
  <si>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</si>
  <si>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</si>
  <si>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</si>
  <si>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</si>
  <si>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</si>
  <si>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</si>
  <si>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</si>
  <si>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</si>
  <si>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</si>
  <si>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</si>
  <si>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</si>
  <si>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</si>
  <si>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</si>
  <si>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</si>
  <si>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</si>
  <si>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</si>
  <si>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</si>
  <si>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</si>
  <si>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</si>
  <si>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</si>
  <si>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</si>
  <si>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</si>
  <si>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</si>
  <si>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</si>
  <si>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</si>
  <si>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</si>
  <si>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</si>
  <si>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</si>
  <si>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</si>
  <si>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</si>
  <si>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</si>
  <si>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</si>
  <si>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</si>
  <si>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</si>
  <si>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</si>
  <si>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</si>
  <si>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</si>
  <si>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</si>
  <si>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</si>
  <si>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</si>
  <si>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</si>
  <si>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</si>
  <si>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</si>
  <si>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</si>
  <si>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</si>
  <si>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</si>
  <si>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</si>
  <si>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</si>
  <si>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</si>
  <si>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</si>
  <si>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</si>
  <si>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</si>
  <si>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</si>
  <si>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</si>
  <si>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</si>
  <si>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</si>
  <si>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</si>
  <si>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</si>
  <si>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</si>
  <si>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</si>
  <si>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</si>
  <si>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</si>
  <si>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</si>
  <si>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</si>
  <si>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</si>
  <si>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</si>
  <si>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</si>
  <si>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</si>
  <si>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</si>
  <si>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</si>
  <si>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</si>
  <si>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</si>
  <si>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</si>
  <si>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</si>
  <si>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</si>
  <si>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</si>
  <si>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</si>
  <si>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</si>
  <si>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</si>
  <si>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</si>
  <si>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</si>
  <si>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</si>
  <si>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</si>
  <si>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</si>
  <si>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</si>
  <si>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</si>
  <si>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</si>
  <si>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</si>
  <si>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</si>
  <si>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</si>
  <si>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</si>
  <si>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</si>
  <si>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</si>
  <si>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</si>
  <si>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</si>
  <si>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</si>
  <si>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</si>
  <si>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</si>
  <si>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</si>
  <si>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</si>
  <si>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</si>
  <si>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</si>
  <si>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</si>
  <si>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</si>
  <si>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</si>
  <si>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</si>
  <si>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</si>
  <si>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</si>
  <si>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</si>
  <si>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</si>
  <si>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</si>
  <si>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</si>
  <si>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</si>
  <si>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</si>
  <si>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</si>
  <si>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</si>
  <si>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</si>
  <si>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</si>
  <si>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</si>
  <si>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</si>
  <si>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</si>
  <si>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</si>
  <si>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</si>
  <si>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</si>
  <si>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</si>
  <si>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</si>
  <si>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</si>
  <si>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</si>
  <si>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</si>
  <si>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</si>
  <si>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</si>
  <si>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</si>
  <si>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</si>
  <si>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</si>
  <si>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</si>
  <si>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</si>
  <si>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</si>
  <si>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</si>
  <si>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</si>
  <si>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</si>
  <si>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</si>
  <si>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</si>
  <si>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</si>
  <si>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</si>
  <si>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</si>
  <si>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</si>
  <si>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</si>
  <si>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</si>
  <si>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</si>
  <si>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</si>
  <si>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</si>
  <si>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</si>
  <si>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</si>
  <si>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</si>
  <si>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</si>
  <si>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</si>
  <si>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</si>
  <si>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</si>
  <si>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</si>
  <si>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</si>
  <si>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</si>
  <si>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</si>
  <si>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</si>
  <si>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</si>
  <si>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</si>
  <si>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</si>
  <si>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</si>
  <si>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</si>
  <si>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</si>
  <si>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</si>
  <si>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</si>
  <si>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</si>
  <si>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</si>
  <si>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</si>
  <si>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</si>
  <si>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</si>
  <si>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</si>
  <si>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</si>
  <si>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</si>
  <si>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</si>
  <si>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</si>
  <si>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</si>
  <si>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</si>
  <si>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</si>
  <si>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</si>
  <si>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</si>
  <si>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</si>
  <si>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</si>
  <si>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</si>
  <si>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</si>
  <si>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</si>
  <si>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</si>
  <si>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</si>
  <si>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</si>
  <si>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</si>
  <si>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</si>
  <si>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</si>
  <si>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</si>
  <si>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</si>
  <si>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</si>
  <si>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</si>
  <si>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</si>
  <si>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</si>
  <si>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</si>
  <si>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</si>
  <si>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</si>
  <si>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</si>
  <si>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</si>
  <si>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</si>
  <si>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</si>
  <si>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</si>
  <si>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</si>
  <si>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</si>
  <si>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</si>
  <si>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</si>
  <si>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</si>
  <si>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</si>
  <si>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</si>
  <si>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</si>
  <si>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</si>
  <si>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</si>
  <si>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</si>
  <si>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</si>
  <si>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</si>
  <si>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</si>
  <si>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</si>
  <si>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</si>
  <si>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</si>
  <si>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</si>
  <si>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</si>
  <si>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</si>
  <si>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</si>
  <si>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</si>
  <si>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</si>
  <si>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</si>
  <si>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</si>
  <si>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</si>
  <si>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</si>
  <si>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</si>
  <si>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</si>
  <si>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</si>
  <si>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</si>
  <si>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</si>
  <si>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</si>
  <si>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</si>
  <si>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</si>
  <si>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</si>
  <si>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10x1</t>
  </si>
  <si>
    <t>1x1</t>
  </si>
  <si>
    <t>1x20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</si>
</sst>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4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15072"/>
        <c:axId val="107032960"/>
      </c:lineChart>
      <c:catAx>
        <c:axId val="106515072"/>
        <c:scaling>
          <c:orientation val="minMax"/>
        </c:scaling>
        <c:delete val="0"/>
        <c:axPos val="b"/>
        <c:majorTickMark val="out"/>
        <c:minorTickMark val="none"/>
        <c:tickLblPos val="nextTo"/>
        <c:crossAx val="107032960"/>
        <c:crosses val="autoZero"/>
        <c:auto val="1"/>
        <c:lblAlgn val="ctr"/>
        <c:lblOffset val="100"/>
        <c:noMultiLvlLbl val="0"/>
      </c:catAx>
      <c:valAx>
        <c:axId val="107032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5150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63" activePane="bottomRight" state="frozen"/>
      <selection pane="topRight" activeCell="C1" sqref="C1"/>
      <selection pane="bottomLeft" activeCell="A5" sqref="A5"/>
      <selection pane="bottomRight" activeCell="O193" sqref="O193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7" t="s">
        <v>291</v>
      </c>
      <c r="AF2" s="198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9" t="s">
        <v>292</v>
      </c>
      <c r="AF3" s="200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83</v>
      </c>
      <c r="H6" s="147">
        <v>91</v>
      </c>
      <c r="I6" s="147">
        <v>154</v>
      </c>
      <c r="J6" s="147">
        <v>293</v>
      </c>
      <c r="K6" s="147">
        <v>401</v>
      </c>
      <c r="L6" s="147">
        <v>513</v>
      </c>
      <c r="M6" s="147">
        <v>687</v>
      </c>
      <c r="N6" s="147">
        <v>991</v>
      </c>
      <c r="O6" s="147">
        <v>1372</v>
      </c>
      <c r="P6" s="147">
        <v>1881</v>
      </c>
      <c r="Q6" s="147">
        <v>2433</v>
      </c>
      <c r="R6" s="118">
        <f>((Q6/G6)^(1/($H$2-$H$1) ))-1</f>
        <v>0.45548291853903144</v>
      </c>
      <c r="S6" s="31">
        <f>$L$2</f>
        <v>0.18</v>
      </c>
      <c r="T6" s="154">
        <f>Q6*(1+$S6)</f>
        <v>2870.94</v>
      </c>
      <c r="U6" s="154">
        <f>T6*(1+$S6)</f>
        <v>3387.7091999999998</v>
      </c>
      <c r="V6" s="154">
        <f t="shared" ref="V6:AC6" si="0">U6*(1+$S6)</f>
        <v>3997.4968559999998</v>
      </c>
      <c r="W6" s="154">
        <f t="shared" si="0"/>
        <v>4717.0462900799994</v>
      </c>
      <c r="X6" s="154">
        <f t="shared" si="0"/>
        <v>5566.1146222943989</v>
      </c>
      <c r="Y6" s="154">
        <f t="shared" si="0"/>
        <v>6568.01525430739</v>
      </c>
      <c r="Z6" s="154">
        <f t="shared" si="0"/>
        <v>7750.2580000827202</v>
      </c>
      <c r="AA6" s="154">
        <f t="shared" si="0"/>
        <v>9145.3044400976087</v>
      </c>
      <c r="AB6" s="154">
        <f t="shared" si="0"/>
        <v>10791.459239315178</v>
      </c>
      <c r="AC6" s="154">
        <f t="shared" si="0"/>
        <v>12733.921902391909</v>
      </c>
      <c r="AD6" s="138">
        <f>((AC6/G6)^(1/($AC$3-$H$1) ))-1</f>
        <v>0.28615764776414654</v>
      </c>
      <c r="AE6" s="31">
        <f>$L$1</f>
        <v>0.05</v>
      </c>
      <c r="AF6" s="146">
        <f t="shared" ref="AF6:AF44" si="1">(AC6*(1+AE6))/($C$1-AE6)</f>
        <v>78650.694103008864</v>
      </c>
    </row>
    <row r="7" spans="2:32" x14ac:dyDescent="0.2">
      <c r="B7" s="20" t="s">
        <v>240</v>
      </c>
      <c r="C7" s="141"/>
      <c r="D7" s="141"/>
      <c r="E7" s="147"/>
      <c r="F7" s="147"/>
      <c r="G7" s="147">
        <v>166</v>
      </c>
      <c r="H7" s="147">
        <v>174</v>
      </c>
      <c r="I7" s="147">
        <v>236</v>
      </c>
      <c r="J7" s="147">
        <v>337</v>
      </c>
      <c r="K7" s="147">
        <v>445</v>
      </c>
      <c r="L7" s="147">
        <v>558</v>
      </c>
      <c r="M7" s="147">
        <v>732</v>
      </c>
      <c r="N7" s="147">
        <v>1035</v>
      </c>
      <c r="O7" s="147">
        <v>1461</v>
      </c>
      <c r="P7" s="147">
        <v>1969</v>
      </c>
      <c r="Q7" s="147">
        <v>2522</v>
      </c>
      <c r="R7" s="118">
        <f>((Q7/G7)^(1/($H$2-$H$1) ))-1</f>
        <v>0.35298505476493602</v>
      </c>
      <c r="S7" s="31">
        <f>$L$2</f>
        <v>0.18</v>
      </c>
      <c r="T7" s="154">
        <f t="shared" ref="T7:T44" si="2">Q7*(1+$S7)</f>
        <v>2975.96</v>
      </c>
      <c r="U7" s="154">
        <f t="shared" ref="U7:AC7" si="3">T7*(1+$S7)</f>
        <v>3511.6327999999999</v>
      </c>
      <c r="V7" s="154">
        <f t="shared" si="3"/>
        <v>4143.7267039999997</v>
      </c>
      <c r="W7" s="154">
        <f t="shared" si="3"/>
        <v>4889.5975107199993</v>
      </c>
      <c r="X7" s="154">
        <f t="shared" si="3"/>
        <v>5769.7250626495988</v>
      </c>
      <c r="Y7" s="154">
        <f t="shared" si="3"/>
        <v>6808.2755739265267</v>
      </c>
      <c r="Z7" s="154">
        <f t="shared" si="3"/>
        <v>8033.7651772333011</v>
      </c>
      <c r="AA7" s="154">
        <f t="shared" si="3"/>
        <v>9479.8429091352955</v>
      </c>
      <c r="AB7" s="154">
        <f t="shared" si="3"/>
        <v>11186.214632779647</v>
      </c>
      <c r="AC7" s="154">
        <f t="shared" si="3"/>
        <v>13199.733266679983</v>
      </c>
      <c r="AD7" s="138">
        <f>((AC7/G7)^(1/($AC$3-$H$1) ))-1</f>
        <v>0.24458010210936831</v>
      </c>
      <c r="AE7" s="31">
        <f>$L$1</f>
        <v>0.05</v>
      </c>
      <c r="AF7" s="146">
        <f t="shared" si="1"/>
        <v>81527.764294199907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4.5977011494252873E-2</v>
      </c>
      <c r="I8" s="151">
        <f t="shared" ref="I8:P8" si="4">(I7-H7)/I7</f>
        <v>0.26271186440677968</v>
      </c>
      <c r="J8" s="151">
        <f t="shared" si="4"/>
        <v>0.29970326409495551</v>
      </c>
      <c r="K8" s="151">
        <f t="shared" si="4"/>
        <v>0.24269662921348314</v>
      </c>
      <c r="L8" s="151">
        <f t="shared" si="4"/>
        <v>0.2025089605734767</v>
      </c>
      <c r="M8" s="151">
        <f t="shared" si="4"/>
        <v>0.23770491803278687</v>
      </c>
      <c r="N8" s="151">
        <f t="shared" si="4"/>
        <v>0.29275362318840581</v>
      </c>
      <c r="O8" s="151">
        <f t="shared" si="4"/>
        <v>0.29158110882956878</v>
      </c>
      <c r="P8" s="151">
        <f t="shared" si="4"/>
        <v>0.25799898425596751</v>
      </c>
      <c r="Q8" s="151">
        <f t="shared" ref="Q8" si="5">(Q7-P7)/Q7</f>
        <v>0.21927042030134813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215</v>
      </c>
      <c r="H9" s="147">
        <v>288</v>
      </c>
      <c r="I9" s="147">
        <v>367</v>
      </c>
      <c r="J9" s="147">
        <v>574</v>
      </c>
      <c r="K9" s="147">
        <v>875</v>
      </c>
      <c r="L9" s="147">
        <v>964</v>
      </c>
      <c r="M9" s="147">
        <v>1182</v>
      </c>
      <c r="N9" s="147">
        <v>2491</v>
      </c>
      <c r="O9" s="147">
        <v>2952</v>
      </c>
      <c r="P9" s="147">
        <v>3555</v>
      </c>
      <c r="Q9" s="147">
        <f>P9</f>
        <v>3555</v>
      </c>
      <c r="R9" s="118">
        <f>((Q9/G9)^(1/($H$2-$H$1) ))-1</f>
        <v>0.36577105691136103</v>
      </c>
      <c r="S9" s="31">
        <f t="shared" ref="S9:S40" si="6">$L$2</f>
        <v>0.18</v>
      </c>
      <c r="T9" s="154">
        <f t="shared" si="2"/>
        <v>4194.8999999999996</v>
      </c>
      <c r="U9" s="154">
        <f t="shared" ref="U9" si="7">T9*(1+$S9)</f>
        <v>4949.9819999999991</v>
      </c>
      <c r="V9" s="154">
        <f t="shared" ref="V9" si="8">U9*(1+$S9)</f>
        <v>5840.9787599999981</v>
      </c>
      <c r="W9" s="154">
        <f t="shared" ref="W9" si="9">V9*(1+$S9)</f>
        <v>6892.3549367999976</v>
      </c>
      <c r="X9" s="154">
        <f t="shared" ref="X9" si="10">W9*(1+$S9)</f>
        <v>8132.9788254239966</v>
      </c>
      <c r="Y9" s="154">
        <f t="shared" ref="Y9" si="11">X9*(1+$S9)</f>
        <v>9596.9150140003148</v>
      </c>
      <c r="Z9" s="154">
        <f t="shared" ref="Z9" si="12">Y9*(1+$S9)</f>
        <v>11324.35971652037</v>
      </c>
      <c r="AA9" s="154">
        <f t="shared" ref="AA9" si="13">Z9*(1+$S9)</f>
        <v>13362.744465494035</v>
      </c>
      <c r="AB9" s="154">
        <f t="shared" ref="AB9" si="14">AA9*(1+$S9)</f>
        <v>15768.038469282961</v>
      </c>
      <c r="AC9" s="154">
        <f t="shared" ref="AC9" si="15">AB9*(1+$S9)</f>
        <v>18606.285393753893</v>
      </c>
      <c r="AD9" s="138">
        <f>((AC9/G9)^(1/($AC$3-$H$1) ))-1</f>
        <v>0.24985911247789017</v>
      </c>
      <c r="AE9" s="31">
        <f t="shared" ref="AE9:AE81" si="16">$L$1</f>
        <v>0.05</v>
      </c>
      <c r="AF9" s="146">
        <f t="shared" si="1"/>
        <v>114921.17449083288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407</v>
      </c>
      <c r="H10" s="147">
        <v>319</v>
      </c>
      <c r="I10" s="147">
        <v>268</v>
      </c>
      <c r="J10" s="147">
        <v>247</v>
      </c>
      <c r="K10" s="147">
        <v>210</v>
      </c>
      <c r="L10" s="147">
        <v>166</v>
      </c>
      <c r="M10" s="147">
        <v>73</v>
      </c>
      <c r="N10" s="147">
        <v>9.9</v>
      </c>
      <c r="O10" s="147">
        <v>5.89</v>
      </c>
      <c r="P10" s="147">
        <v>0.01</v>
      </c>
      <c r="Q10" s="147">
        <f>P10</f>
        <v>0.01</v>
      </c>
      <c r="R10" s="118">
        <f>((Q10/G10)^(1/($H$2-$H$1) ))-1</f>
        <v>-0.69251577249400853</v>
      </c>
      <c r="S10" s="31">
        <f t="shared" si="6"/>
        <v>0.18</v>
      </c>
      <c r="T10" s="154">
        <f t="shared" si="2"/>
        <v>1.18E-2</v>
      </c>
      <c r="U10" s="154">
        <f t="shared" ref="U10:AC10" si="17">T10*(1+$S10)</f>
        <v>1.3923999999999999E-2</v>
      </c>
      <c r="V10" s="154">
        <f t="shared" si="17"/>
        <v>1.6430319999999998E-2</v>
      </c>
      <c r="W10" s="154">
        <f t="shared" si="17"/>
        <v>1.9387777599999996E-2</v>
      </c>
      <c r="X10" s="154">
        <f t="shared" si="17"/>
        <v>2.2877577567999994E-2</v>
      </c>
      <c r="Y10" s="154">
        <f t="shared" si="17"/>
        <v>2.6995541530239992E-2</v>
      </c>
      <c r="Z10" s="154">
        <f t="shared" si="17"/>
        <v>3.185473900568319E-2</v>
      </c>
      <c r="AA10" s="154">
        <f t="shared" si="17"/>
        <v>3.7588592026706162E-2</v>
      </c>
      <c r="AB10" s="154">
        <f t="shared" si="17"/>
        <v>4.4354538591513268E-2</v>
      </c>
      <c r="AC10" s="154">
        <f t="shared" si="17"/>
        <v>5.2338355537985652E-2</v>
      </c>
      <c r="AD10" s="138">
        <f t="shared" ref="AD10:AD42" si="18">((AC10/G10)^(1/($AC$3-$H$1) ))-1</f>
        <v>-0.36105822604832827</v>
      </c>
      <c r="AE10" s="31">
        <f t="shared" si="16"/>
        <v>0.05</v>
      </c>
      <c r="AF10" s="146">
        <f t="shared" si="1"/>
        <v>0.32326631361697022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19">(H10-G10)/H10</f>
        <v>-0.27586206896551724</v>
      </c>
      <c r="I11" s="148">
        <f t="shared" si="19"/>
        <v>-0.19029850746268656</v>
      </c>
      <c r="J11" s="148">
        <f t="shared" si="19"/>
        <v>-8.5020242914979755E-2</v>
      </c>
      <c r="K11" s="148">
        <f t="shared" si="19"/>
        <v>-0.1761904761904762</v>
      </c>
      <c r="L11" s="148">
        <f t="shared" si="19"/>
        <v>-0.26506024096385544</v>
      </c>
      <c r="M11" s="148">
        <f t="shared" si="19"/>
        <v>-1.273972602739726</v>
      </c>
      <c r="N11" s="148">
        <f t="shared" si="19"/>
        <v>-6.3737373737373737</v>
      </c>
      <c r="O11" s="148">
        <f t="shared" si="19"/>
        <v>-0.68081494057724967</v>
      </c>
      <c r="P11" s="148">
        <f t="shared" si="19"/>
        <v>-588</v>
      </c>
      <c r="Q11" s="148">
        <f t="shared" ref="Q11" si="20">(Q10-P10)/Q10</f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27</v>
      </c>
      <c r="H12" s="147">
        <v>45</v>
      </c>
      <c r="I12" s="147">
        <v>38</v>
      </c>
      <c r="J12" s="147">
        <v>51</v>
      </c>
      <c r="K12" s="147">
        <v>52</v>
      </c>
      <c r="L12" s="147">
        <v>55</v>
      </c>
      <c r="M12" s="147">
        <f>62+135</f>
        <v>197</v>
      </c>
      <c r="N12" s="147">
        <v>1110</v>
      </c>
      <c r="O12" s="147">
        <v>967</v>
      </c>
      <c r="P12" s="147">
        <v>1139</v>
      </c>
      <c r="Q12" s="147">
        <f>P12</f>
        <v>1139</v>
      </c>
      <c r="R12" s="118">
        <f>((Q12/G12)^(1/($H$2-$H$1) ))-1</f>
        <v>0.51556067843348052</v>
      </c>
      <c r="S12" s="31">
        <f t="shared" si="6"/>
        <v>0.18</v>
      </c>
      <c r="T12" s="154">
        <f t="shared" si="2"/>
        <v>1344.02</v>
      </c>
      <c r="U12" s="154">
        <f t="shared" ref="U12:AC12" si="21">T12*(1+$S12)</f>
        <v>1585.9435999999998</v>
      </c>
      <c r="V12" s="154">
        <f t="shared" si="21"/>
        <v>1871.4134479999998</v>
      </c>
      <c r="W12" s="154">
        <f t="shared" si="21"/>
        <v>2208.2678686399995</v>
      </c>
      <c r="X12" s="154">
        <f t="shared" si="21"/>
        <v>2605.7560849951992</v>
      </c>
      <c r="Y12" s="154">
        <f t="shared" si="21"/>
        <v>3074.7921802943351</v>
      </c>
      <c r="Z12" s="154">
        <f t="shared" si="21"/>
        <v>3628.2547727473152</v>
      </c>
      <c r="AA12" s="154">
        <f t="shared" si="21"/>
        <v>4281.340631841832</v>
      </c>
      <c r="AB12" s="154">
        <f t="shared" si="21"/>
        <v>5051.9819455733614</v>
      </c>
      <c r="AC12" s="154">
        <f t="shared" si="21"/>
        <v>5961.3386957765661</v>
      </c>
      <c r="AD12" s="138">
        <f t="shared" si="18"/>
        <v>0.30978195148522825</v>
      </c>
      <c r="AE12" s="31">
        <f t="shared" si="16"/>
        <v>0.05</v>
      </c>
      <c r="AF12" s="146">
        <f t="shared" si="1"/>
        <v>36820.033120972912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26.3</v>
      </c>
      <c r="H13" s="147">
        <v>25.66</v>
      </c>
      <c r="I13" s="147">
        <v>28</v>
      </c>
      <c r="J13" s="147">
        <v>31.6</v>
      </c>
      <c r="K13" s="147">
        <v>2.2999999999999998</v>
      </c>
      <c r="L13" s="147">
        <v>1.6</v>
      </c>
      <c r="M13" s="147">
        <v>1.6</v>
      </c>
      <c r="N13" s="147">
        <v>2.5</v>
      </c>
      <c r="O13" s="147">
        <v>2.4</v>
      </c>
      <c r="P13" s="147">
        <v>2.91</v>
      </c>
      <c r="Q13" s="147">
        <f>P13</f>
        <v>2.91</v>
      </c>
      <c r="R13" s="118">
        <f>((Q13/G13)^(1/($H$2-$H$1) ))-1</f>
        <v>-0.21698369699409137</v>
      </c>
      <c r="S13" s="31">
        <f t="shared" si="6"/>
        <v>0.18</v>
      </c>
      <c r="T13" s="154">
        <f t="shared" si="2"/>
        <v>3.4338000000000002</v>
      </c>
      <c r="U13" s="154">
        <f t="shared" ref="U13:AC13" si="22">T13*(1+$S13)</f>
        <v>4.0518840000000003</v>
      </c>
      <c r="V13" s="154">
        <f t="shared" si="22"/>
        <v>4.7812231199999999</v>
      </c>
      <c r="W13" s="154">
        <f t="shared" si="22"/>
        <v>5.6418432815999999</v>
      </c>
      <c r="X13" s="154">
        <f t="shared" si="22"/>
        <v>6.6573750722879996</v>
      </c>
      <c r="Y13" s="154">
        <f t="shared" si="22"/>
        <v>7.8557025852998388</v>
      </c>
      <c r="Z13" s="154">
        <f t="shared" si="22"/>
        <v>9.2697290506538099</v>
      </c>
      <c r="AA13" s="154">
        <f t="shared" si="22"/>
        <v>10.938280279771496</v>
      </c>
      <c r="AB13" s="154">
        <f t="shared" si="22"/>
        <v>12.907170730130364</v>
      </c>
      <c r="AC13" s="154">
        <f t="shared" si="22"/>
        <v>15.230461461553828</v>
      </c>
      <c r="AD13" s="138">
        <f t="shared" si="18"/>
        <v>-2.694393107432147E-2</v>
      </c>
      <c r="AE13" s="31">
        <f t="shared" si="16"/>
        <v>0.05</v>
      </c>
      <c r="AF13" s="146">
        <f t="shared" si="1"/>
        <v>94.070497262538368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164</v>
      </c>
      <c r="H14" s="147">
        <v>273</v>
      </c>
      <c r="I14" s="147">
        <v>376</v>
      </c>
      <c r="J14" s="147">
        <v>679</v>
      </c>
      <c r="K14" s="147">
        <v>1044</v>
      </c>
      <c r="L14" s="147">
        <v>1204</v>
      </c>
      <c r="M14" s="147">
        <v>1345</v>
      </c>
      <c r="N14" s="147">
        <v>1998</v>
      </c>
      <c r="O14" s="147">
        <v>2882</v>
      </c>
      <c r="P14" s="147">
        <v>3680</v>
      </c>
      <c r="Q14" s="147">
        <f>P14</f>
        <v>3680</v>
      </c>
      <c r="R14" s="118">
        <f>((Q14/G14)^(1/($H$2-$H$1) ))-1</f>
        <v>0.41290041370222808</v>
      </c>
      <c r="S14" s="31">
        <f t="shared" si="6"/>
        <v>0.18</v>
      </c>
      <c r="T14" s="154">
        <f t="shared" si="2"/>
        <v>4342.3999999999996</v>
      </c>
      <c r="U14" s="154">
        <f t="shared" ref="U14" si="23">T14*(1+$S14)</f>
        <v>5124.0319999999992</v>
      </c>
      <c r="V14" s="154">
        <f t="shared" ref="V14" si="24">U14*(1+$S14)</f>
        <v>6046.357759999999</v>
      </c>
      <c r="W14" s="154">
        <f t="shared" ref="W14" si="25">V14*(1+$S14)</f>
        <v>7134.7021567999982</v>
      </c>
      <c r="X14" s="154">
        <f t="shared" ref="X14" si="26">W14*(1+$S14)</f>
        <v>8418.9485450239972</v>
      </c>
      <c r="Y14" s="154">
        <f t="shared" ref="Y14" si="27">X14*(1+$S14)</f>
        <v>9934.3592831283167</v>
      </c>
      <c r="Z14" s="154">
        <f t="shared" ref="Z14" si="28">Y14*(1+$S14)</f>
        <v>11722.543954091414</v>
      </c>
      <c r="AA14" s="154">
        <f t="shared" ref="AA14" si="29">Z14*(1+$S14)</f>
        <v>13832.601865827868</v>
      </c>
      <c r="AB14" s="154">
        <f t="shared" ref="AB14" si="30">AA14*(1+$S14)</f>
        <v>16322.470201676884</v>
      </c>
      <c r="AC14" s="154">
        <f t="shared" ref="AC14" si="31">AB14*(1+$S14)</f>
        <v>19260.514837978721</v>
      </c>
      <c r="AD14" s="138">
        <f t="shared" ref="AD14" si="32">((AC14/G14)^(1/($AC$3-$H$1) ))-1</f>
        <v>0.26908643538819255</v>
      </c>
      <c r="AE14" s="31">
        <f t="shared" si="16"/>
        <v>0.05</v>
      </c>
      <c r="AF14" s="146">
        <f t="shared" ref="AF14" si="33">(AC14*(1+AE14))/($C$1-AE14)</f>
        <v>118962.00341104507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339</v>
      </c>
      <c r="H15" s="147">
        <v>395</v>
      </c>
      <c r="I15" s="147">
        <v>505</v>
      </c>
      <c r="J15" s="147">
        <v>827</v>
      </c>
      <c r="K15" s="147">
        <v>1195</v>
      </c>
      <c r="L15" s="147">
        <v>1365</v>
      </c>
      <c r="M15" s="147">
        <v>1502</v>
      </c>
      <c r="N15" s="147">
        <v>3225</v>
      </c>
      <c r="O15" s="147">
        <v>4014</v>
      </c>
      <c r="P15" s="147">
        <v>4985</v>
      </c>
      <c r="Q15" s="147">
        <f>P15</f>
        <v>4985</v>
      </c>
      <c r="R15" s="118">
        <f>((Q15/G15)^(1/($H$2-$H$1) ))-1</f>
        <v>0.3480884410778986</v>
      </c>
      <c r="S15" s="31">
        <f t="shared" si="6"/>
        <v>0.18</v>
      </c>
      <c r="T15" s="154">
        <f t="shared" si="2"/>
        <v>5882.2999999999993</v>
      </c>
      <c r="U15" s="154">
        <f t="shared" ref="U15:AC15" si="34">T15*(1+$S15)</f>
        <v>6941.1139999999987</v>
      </c>
      <c r="V15" s="154">
        <f t="shared" si="34"/>
        <v>8190.5145199999979</v>
      </c>
      <c r="W15" s="154">
        <f t="shared" si="34"/>
        <v>9664.8071335999975</v>
      </c>
      <c r="X15" s="154">
        <f t="shared" si="34"/>
        <v>11404.472417647996</v>
      </c>
      <c r="Y15" s="154">
        <f t="shared" si="34"/>
        <v>13457.277452824634</v>
      </c>
      <c r="Z15" s="154">
        <f t="shared" si="34"/>
        <v>15879.587394333066</v>
      </c>
      <c r="AA15" s="154">
        <f t="shared" si="34"/>
        <v>18737.913125313018</v>
      </c>
      <c r="AB15" s="154">
        <f t="shared" si="34"/>
        <v>22110.737487869359</v>
      </c>
      <c r="AC15" s="154">
        <f t="shared" si="34"/>
        <v>26090.670235685844</v>
      </c>
      <c r="AD15" s="138">
        <f t="shared" si="18"/>
        <v>0.24255115353659895</v>
      </c>
      <c r="AE15" s="31">
        <f t="shared" si="16"/>
        <v>0.05</v>
      </c>
      <c r="AF15" s="146">
        <f t="shared" si="1"/>
        <v>161148.25733805966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323</v>
      </c>
      <c r="H16" s="147">
        <v>254</v>
      </c>
      <c r="I16" s="147">
        <v>255</v>
      </c>
      <c r="J16" s="147">
        <v>277</v>
      </c>
      <c r="K16" s="147">
        <v>366</v>
      </c>
      <c r="L16" s="147">
        <v>423</v>
      </c>
      <c r="M16" s="147">
        <v>523</v>
      </c>
      <c r="N16" s="147">
        <v>737</v>
      </c>
      <c r="O16" s="147">
        <v>1055</v>
      </c>
      <c r="P16" s="147">
        <v>1461</v>
      </c>
      <c r="Q16" s="147">
        <f>P16</f>
        <v>1461</v>
      </c>
      <c r="R16" s="118">
        <f>((Q16/G16)^(1/($H$2-$H$1) ))-1</f>
        <v>0.18257180831974607</v>
      </c>
      <c r="S16" s="31">
        <f t="shared" si="6"/>
        <v>0.18</v>
      </c>
      <c r="T16" s="154">
        <f t="shared" si="2"/>
        <v>1723.98</v>
      </c>
      <c r="U16" s="154">
        <f t="shared" ref="U16:AC16" si="35">T16*(1+$S16)</f>
        <v>2034.2963999999999</v>
      </c>
      <c r="V16" s="154">
        <f t="shared" si="35"/>
        <v>2400.469752</v>
      </c>
      <c r="W16" s="154">
        <f t="shared" si="35"/>
        <v>2832.5543073599997</v>
      </c>
      <c r="X16" s="154">
        <f t="shared" si="35"/>
        <v>3342.4140826847993</v>
      </c>
      <c r="Y16" s="154">
        <f t="shared" si="35"/>
        <v>3944.048617568063</v>
      </c>
      <c r="Z16" s="154">
        <f t="shared" si="35"/>
        <v>4653.9773687303141</v>
      </c>
      <c r="AA16" s="154">
        <f t="shared" si="35"/>
        <v>5491.6932951017707</v>
      </c>
      <c r="AB16" s="154">
        <f t="shared" si="35"/>
        <v>6480.1980882200887</v>
      </c>
      <c r="AC16" s="154">
        <f t="shared" si="35"/>
        <v>7646.633744099704</v>
      </c>
      <c r="AD16" s="138">
        <f t="shared" si="18"/>
        <v>0.17142203306002091</v>
      </c>
      <c r="AE16" s="31">
        <f t="shared" si="16"/>
        <v>0.05</v>
      </c>
      <c r="AF16" s="146">
        <f t="shared" si="1"/>
        <v>47229.208419439354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173</v>
      </c>
      <c r="H18" s="147">
        <v>169</v>
      </c>
      <c r="I18" s="147">
        <v>181</v>
      </c>
      <c r="J18" s="147">
        <v>255</v>
      </c>
      <c r="K18" s="147">
        <v>278</v>
      </c>
      <c r="L18" s="147">
        <v>280</v>
      </c>
      <c r="M18" s="147">
        <v>267</v>
      </c>
      <c r="N18" s="147">
        <v>288</v>
      </c>
      <c r="O18" s="147">
        <v>384</v>
      </c>
      <c r="P18" s="147">
        <v>464</v>
      </c>
      <c r="Q18" s="147">
        <f>P18</f>
        <v>464</v>
      </c>
      <c r="R18" s="118">
        <f>((Q18/G18)^(1/($H$2-$H$1) ))-1</f>
        <v>0.1158555719264005</v>
      </c>
      <c r="S18" s="31">
        <f t="shared" si="6"/>
        <v>0.18</v>
      </c>
      <c r="T18" s="154">
        <f t="shared" si="2"/>
        <v>547.52</v>
      </c>
      <c r="U18" s="154">
        <f t="shared" ref="U18:U34" si="36">T18*(1+$S18)</f>
        <v>646.07359999999994</v>
      </c>
      <c r="V18" s="154">
        <f t="shared" ref="V18:V34" si="37">U18*(1+$S18)</f>
        <v>762.36684799999989</v>
      </c>
      <c r="W18" s="154">
        <f t="shared" ref="W18:W34" si="38">V18*(1+$S18)</f>
        <v>899.59288063999986</v>
      </c>
      <c r="X18" s="154">
        <f t="shared" ref="X18:X36" si="39">W18*(1+$S18)</f>
        <v>1061.5195991551998</v>
      </c>
      <c r="Y18" s="154">
        <f t="shared" ref="Y18:Y36" si="40">X18*(1+$S18)</f>
        <v>1252.5931270031356</v>
      </c>
      <c r="Z18" s="154">
        <f t="shared" ref="Z18:Z36" si="41">Y18*(1+$S18)</f>
        <v>1478.0598898636999</v>
      </c>
      <c r="AA18" s="154">
        <f t="shared" ref="AA18:AA36" si="42">Z18*(1+$S18)</f>
        <v>1744.1106700391658</v>
      </c>
      <c r="AB18" s="154">
        <f t="shared" ref="AB18:AB36" si="43">AA18*(1+$S18)</f>
        <v>2058.0505906462154</v>
      </c>
      <c r="AC18" s="154">
        <f t="shared" ref="AC18:AC36" si="44">AB18*(1+$S18)</f>
        <v>2428.499696962534</v>
      </c>
      <c r="AD18" s="138">
        <f t="shared" si="18"/>
        <v>0.14120744837195143</v>
      </c>
      <c r="AE18" s="31">
        <f t="shared" si="16"/>
        <v>0.05</v>
      </c>
      <c r="AF18" s="146">
        <f t="shared" si="1"/>
        <v>14999.556951827417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115</v>
      </c>
      <c r="H20" s="147">
        <v>164</v>
      </c>
      <c r="I20" s="147">
        <v>122</v>
      </c>
      <c r="J20" s="147">
        <v>126</v>
      </c>
      <c r="K20" s="147">
        <v>102</v>
      </c>
      <c r="L20" s="147">
        <v>159</v>
      </c>
      <c r="M20" s="147">
        <v>342</v>
      </c>
      <c r="N20" s="147">
        <v>1025</v>
      </c>
      <c r="O20" s="147">
        <v>157</v>
      </c>
      <c r="P20" s="147">
        <v>453</v>
      </c>
      <c r="Q20" s="147">
        <f>P20</f>
        <v>453</v>
      </c>
      <c r="R20" s="118">
        <f>((Q20/G20)^(1/($H$2-$H$1) ))-1</f>
        <v>0.16454317839536725</v>
      </c>
      <c r="S20" s="31">
        <f t="shared" si="6"/>
        <v>0.18</v>
      </c>
      <c r="T20" s="154">
        <f t="shared" si="2"/>
        <v>534.54</v>
      </c>
      <c r="U20" s="154">
        <f t="shared" ref="U20:U22" si="45">T20*(1+$S20)</f>
        <v>630.7571999999999</v>
      </c>
      <c r="V20" s="154">
        <f t="shared" ref="V20:V22" si="46">U20*(1+$S20)</f>
        <v>744.29349599999989</v>
      </c>
      <c r="W20" s="154">
        <f t="shared" ref="W20:W22" si="47">V20*(1+$S20)</f>
        <v>878.26632527999982</v>
      </c>
      <c r="X20" s="154">
        <f t="shared" ref="X20:X22" si="48">W20*(1+$S20)</f>
        <v>1036.3542638303998</v>
      </c>
      <c r="Y20" s="154">
        <f t="shared" ref="Y20:Y22" si="49">X20*(1+$S20)</f>
        <v>1222.8980313198717</v>
      </c>
      <c r="Z20" s="154">
        <f t="shared" ref="Z20:Z22" si="50">Y20*(1+$S20)</f>
        <v>1443.0196769574486</v>
      </c>
      <c r="AA20" s="154">
        <f t="shared" ref="AA20:AA22" si="51">Z20*(1+$S20)</f>
        <v>1702.7632188097894</v>
      </c>
      <c r="AB20" s="154">
        <f t="shared" ref="AB20:AB22" si="52">AA20*(1+$S20)</f>
        <v>2009.2605981955514</v>
      </c>
      <c r="AC20" s="154">
        <f t="shared" ref="AC20:AC22" si="53">AB20*(1+$S20)</f>
        <v>2370.9275058707508</v>
      </c>
      <c r="AD20" s="138">
        <f t="shared" ref="AD20:AD22" si="54">((AC20/G20)^(1/($AC$3-$H$1) ))-1</f>
        <v>0.16335168104616504</v>
      </c>
      <c r="AE20" s="31">
        <f t="shared" si="16"/>
        <v>0.05</v>
      </c>
      <c r="AF20" s="146">
        <f t="shared" si="1"/>
        <v>14643.964006848755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2.2599999999999998</v>
      </c>
      <c r="H21" s="147">
        <v>-14</v>
      </c>
      <c r="I21" s="147">
        <v>-34</v>
      </c>
      <c r="J21" s="147">
        <v>-91</v>
      </c>
      <c r="K21" s="147">
        <v>-62</v>
      </c>
      <c r="L21" s="147">
        <v>-57</v>
      </c>
      <c r="M21" s="147">
        <v>-31</v>
      </c>
      <c r="N21" s="147">
        <v>-27</v>
      </c>
      <c r="O21" s="147">
        <v>-70</v>
      </c>
      <c r="P21" s="147">
        <v>-42</v>
      </c>
      <c r="Q21" s="147">
        <f>P21</f>
        <v>-42</v>
      </c>
      <c r="R21" s="118">
        <f>((Q21/G21)^(1/($H$2-$H$1) ))-1</f>
        <v>-2.3836162377591199</v>
      </c>
      <c r="S21" s="31">
        <f t="shared" si="6"/>
        <v>0.18</v>
      </c>
      <c r="T21" s="154">
        <f t="shared" si="2"/>
        <v>-49.559999999999995</v>
      </c>
      <c r="U21" s="154">
        <f t="shared" si="45"/>
        <v>-58.480799999999988</v>
      </c>
      <c r="V21" s="154">
        <f t="shared" si="46"/>
        <v>-69.007343999999989</v>
      </c>
      <c r="W21" s="154">
        <f t="shared" si="47"/>
        <v>-81.428665919999986</v>
      </c>
      <c r="X21" s="154">
        <f t="shared" si="48"/>
        <v>-96.08582578559998</v>
      </c>
      <c r="Y21" s="154">
        <f t="shared" si="49"/>
        <v>-113.38127442700797</v>
      </c>
      <c r="Z21" s="154">
        <f t="shared" si="50"/>
        <v>-133.78990382386939</v>
      </c>
      <c r="AA21" s="154">
        <f t="shared" si="51"/>
        <v>-157.87208651216588</v>
      </c>
      <c r="AB21" s="154">
        <f t="shared" si="52"/>
        <v>-186.28906208435572</v>
      </c>
      <c r="AC21" s="154">
        <f t="shared" si="53"/>
        <v>-219.82109325953974</v>
      </c>
      <c r="AD21" s="138" t="e">
        <f t="shared" si="54"/>
        <v>#NUM!</v>
      </c>
      <c r="AE21" s="31">
        <f t="shared" si="16"/>
        <v>0.05</v>
      </c>
      <c r="AF21" s="146">
        <f t="shared" si="1"/>
        <v>-1357.7185171912752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-114</v>
      </c>
      <c r="H22" s="147">
        <v>-134</v>
      </c>
      <c r="I22" s="147">
        <v>-93</v>
      </c>
      <c r="J22" s="147">
        <v>-23</v>
      </c>
      <c r="K22" s="147">
        <v>-38</v>
      </c>
      <c r="L22" s="147">
        <v>-99</v>
      </c>
      <c r="M22" s="147">
        <v>-178</v>
      </c>
      <c r="N22" s="147">
        <v>-91</v>
      </c>
      <c r="O22" s="147">
        <v>-234</v>
      </c>
      <c r="P22" s="147">
        <v>-235</v>
      </c>
      <c r="Q22" s="147">
        <f>P22</f>
        <v>-235</v>
      </c>
      <c r="R22" s="118">
        <f>((Q22/G22)^(1/($H$2-$H$1) ))-1</f>
        <v>8.3694829345898114E-2</v>
      </c>
      <c r="S22" s="31">
        <f t="shared" si="6"/>
        <v>0.18</v>
      </c>
      <c r="T22" s="154">
        <f t="shared" si="2"/>
        <v>-277.3</v>
      </c>
      <c r="U22" s="154">
        <f t="shared" si="45"/>
        <v>-327.214</v>
      </c>
      <c r="V22" s="154">
        <f t="shared" si="46"/>
        <v>-386.11251999999996</v>
      </c>
      <c r="W22" s="154">
        <f t="shared" si="47"/>
        <v>-455.61277359999991</v>
      </c>
      <c r="X22" s="154">
        <f t="shared" si="48"/>
        <v>-537.62307284799988</v>
      </c>
      <c r="Y22" s="154">
        <f t="shared" si="49"/>
        <v>-634.39522596063978</v>
      </c>
      <c r="Z22" s="154">
        <f t="shared" si="50"/>
        <v>-748.58636663355492</v>
      </c>
      <c r="AA22" s="154">
        <f t="shared" si="51"/>
        <v>-883.33191262759476</v>
      </c>
      <c r="AB22" s="154">
        <f t="shared" si="52"/>
        <v>-1042.3316569005617</v>
      </c>
      <c r="AC22" s="154">
        <f t="shared" si="53"/>
        <v>-1229.9513551426628</v>
      </c>
      <c r="AD22" s="138">
        <f t="shared" si="54"/>
        <v>0.12628721482715766</v>
      </c>
      <c r="AE22" s="31">
        <f t="shared" si="16"/>
        <v>0.05</v>
      </c>
      <c r="AF22" s="146">
        <f t="shared" si="1"/>
        <v>-7596.7583699987999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27</v>
      </c>
      <c r="H23" s="147">
        <v>43.5</v>
      </c>
      <c r="I23" s="147">
        <v>38.29</v>
      </c>
      <c r="J23" s="147">
        <v>51</v>
      </c>
      <c r="K23" s="147">
        <v>52</v>
      </c>
      <c r="L23" s="147">
        <v>55</v>
      </c>
      <c r="M23" s="147">
        <v>187</v>
      </c>
      <c r="N23" s="147">
        <v>1094</v>
      </c>
      <c r="O23" s="147">
        <v>957</v>
      </c>
      <c r="P23" s="147">
        <v>1136</v>
      </c>
      <c r="Q23" s="147">
        <f>P23</f>
        <v>1136</v>
      </c>
      <c r="R23" s="118">
        <f>((Q23/G23)^(1/($H$2-$H$1) ))-1</f>
        <v>0.51511662289701943</v>
      </c>
      <c r="S23" s="31">
        <f t="shared" si="6"/>
        <v>0.18</v>
      </c>
      <c r="T23" s="154">
        <f t="shared" si="2"/>
        <v>1340.48</v>
      </c>
      <c r="U23" s="154">
        <f t="shared" ref="U23" si="55">T23*(1+$S23)</f>
        <v>1581.7664</v>
      </c>
      <c r="V23" s="154">
        <f t="shared" ref="V23" si="56">U23*(1+$S23)</f>
        <v>1866.4843519999999</v>
      </c>
      <c r="W23" s="154">
        <f t="shared" ref="W23" si="57">V23*(1+$S23)</f>
        <v>2202.45153536</v>
      </c>
      <c r="X23" s="154">
        <f t="shared" ref="X23" si="58">W23*(1+$S23)</f>
        <v>2598.8928117247997</v>
      </c>
      <c r="Y23" s="154">
        <f t="shared" ref="Y23" si="59">X23*(1+$S23)</f>
        <v>3066.6935178352633</v>
      </c>
      <c r="Z23" s="154">
        <f t="shared" ref="Z23" si="60">Y23*(1+$S23)</f>
        <v>3618.6983510456103</v>
      </c>
      <c r="AA23" s="154">
        <f t="shared" ref="AA23" si="61">Z23*(1+$S23)</f>
        <v>4270.0640542338197</v>
      </c>
      <c r="AB23" s="154">
        <f t="shared" ref="AB23" si="62">AA23*(1+$S23)</f>
        <v>5038.6755839959069</v>
      </c>
      <c r="AC23" s="154">
        <f t="shared" ref="AC23" si="63">AB23*(1+$S23)</f>
        <v>5945.6371891151703</v>
      </c>
      <c r="AD23" s="138">
        <f t="shared" ref="AD23" si="64">((AC23/G23)^(1/($AC$3-$H$1) ))-1</f>
        <v>0.30960924427356207</v>
      </c>
      <c r="AE23" s="31">
        <f t="shared" si="16"/>
        <v>0.05</v>
      </c>
      <c r="AF23" s="146">
        <f t="shared" si="1"/>
        <v>36723.053226887816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972</v>
      </c>
      <c r="H25" s="147">
        <v>1179</v>
      </c>
      <c r="I25" s="147">
        <v>1506</v>
      </c>
      <c r="J25" s="147">
        <v>2321</v>
      </c>
      <c r="K25" s="147">
        <v>3276</v>
      </c>
      <c r="L25" s="147">
        <v>3984</v>
      </c>
      <c r="M25" s="147">
        <v>4801</v>
      </c>
      <c r="N25" s="147">
        <v>7088</v>
      </c>
      <c r="O25" s="147">
        <v>9693</v>
      </c>
      <c r="P25" s="147">
        <v>11037</v>
      </c>
      <c r="Q25" s="147">
        <f>10927+120</f>
        <v>11047</v>
      </c>
      <c r="R25" s="118">
        <f>((Q25/G25)^(1/($H$2-$H$1) ))-1</f>
        <v>0.31004572525549912</v>
      </c>
      <c r="S25" s="31">
        <f t="shared" si="6"/>
        <v>0.18</v>
      </c>
      <c r="T25" s="154">
        <f t="shared" si="2"/>
        <v>13035.46</v>
      </c>
      <c r="U25" s="154">
        <f t="shared" si="36"/>
        <v>15381.842799999999</v>
      </c>
      <c r="V25" s="154">
        <f t="shared" si="37"/>
        <v>18150.574503999997</v>
      </c>
      <c r="W25" s="154">
        <f t="shared" si="38"/>
        <v>21417.677914719996</v>
      </c>
      <c r="X25" s="154">
        <f t="shared" si="39"/>
        <v>25272.859939369595</v>
      </c>
      <c r="Y25" s="154">
        <f t="shared" si="40"/>
        <v>29821.97472845612</v>
      </c>
      <c r="Z25" s="154">
        <f t="shared" si="41"/>
        <v>35189.930179578223</v>
      </c>
      <c r="AA25" s="154">
        <f t="shared" si="42"/>
        <v>41524.1176119023</v>
      </c>
      <c r="AB25" s="154">
        <f t="shared" si="43"/>
        <v>48998.458782044712</v>
      </c>
      <c r="AC25" s="154">
        <f t="shared" si="44"/>
        <v>57818.181362812757</v>
      </c>
      <c r="AD25" s="138">
        <f t="shared" si="18"/>
        <v>0.226647867342612</v>
      </c>
      <c r="AE25" s="31">
        <f t="shared" si="16"/>
        <v>0.05</v>
      </c>
      <c r="AF25" s="146">
        <f t="shared" si="1"/>
        <v>357112.29665266705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0.17557251908396945</v>
      </c>
      <c r="I26" s="148">
        <f t="shared" ref="I26:P26" si="65">(I25-H25)/I25</f>
        <v>0.21713147410358566</v>
      </c>
      <c r="J26" s="148">
        <f t="shared" si="65"/>
        <v>0.35114174924601466</v>
      </c>
      <c r="K26" s="148">
        <f t="shared" si="65"/>
        <v>0.29151404151404153</v>
      </c>
      <c r="L26" s="148">
        <f t="shared" si="65"/>
        <v>0.17771084337349397</v>
      </c>
      <c r="M26" s="148">
        <f t="shared" si="65"/>
        <v>0.17017288064986461</v>
      </c>
      <c r="N26" s="148">
        <f t="shared" si="65"/>
        <v>0.32265801354401807</v>
      </c>
      <c r="O26" s="148">
        <f t="shared" si="65"/>
        <v>0.26875064479521305</v>
      </c>
      <c r="P26" s="148">
        <f t="shared" si="65"/>
        <v>0.12177222071215003</v>
      </c>
      <c r="Q26" s="148">
        <f t="shared" ref="Q26" si="66">(Q25-P25)/Q25</f>
        <v>9.0522313750339455E-4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844</v>
      </c>
      <c r="H27" s="147">
        <v>1049</v>
      </c>
      <c r="I27" s="147">
        <v>1346</v>
      </c>
      <c r="J27" s="147">
        <v>2117</v>
      </c>
      <c r="K27" s="147">
        <v>3051</v>
      </c>
      <c r="L27" s="147">
        <v>3675</v>
      </c>
      <c r="M27" s="147">
        <v>4393</v>
      </c>
      <c r="N27" s="147">
        <v>6415</v>
      </c>
      <c r="O27" s="147">
        <v>8763</v>
      </c>
      <c r="P27" s="147">
        <v>9923</v>
      </c>
      <c r="Q27" s="147">
        <v>9950</v>
      </c>
      <c r="R27" s="118">
        <f>((Q27/G27)^(1/($H$2-$H$1) ))-1</f>
        <v>0.31538657109012092</v>
      </c>
      <c r="S27" s="31">
        <f t="shared" si="6"/>
        <v>0.18</v>
      </c>
      <c r="T27" s="154">
        <f t="shared" si="2"/>
        <v>11741</v>
      </c>
      <c r="U27" s="154">
        <f t="shared" si="36"/>
        <v>13854.38</v>
      </c>
      <c r="V27" s="154">
        <f t="shared" si="37"/>
        <v>16348.168399999999</v>
      </c>
      <c r="W27" s="154">
        <f t="shared" si="38"/>
        <v>19290.838711999997</v>
      </c>
      <c r="X27" s="154">
        <f t="shared" si="39"/>
        <v>22763.189680159994</v>
      </c>
      <c r="Y27" s="154">
        <f t="shared" si="40"/>
        <v>26860.563822588792</v>
      </c>
      <c r="Z27" s="154">
        <f t="shared" si="41"/>
        <v>31695.465310654774</v>
      </c>
      <c r="AA27" s="154">
        <f t="shared" si="42"/>
        <v>37400.649066572631</v>
      </c>
      <c r="AB27" s="154">
        <f t="shared" si="43"/>
        <v>44132.765898555699</v>
      </c>
      <c r="AC27" s="154">
        <f t="shared" si="44"/>
        <v>52076.66376029572</v>
      </c>
      <c r="AD27" s="138">
        <f t="shared" si="18"/>
        <v>0.22889573045023148</v>
      </c>
      <c r="AE27" s="31">
        <f t="shared" si="16"/>
        <v>0.05</v>
      </c>
      <c r="AF27" s="146">
        <f t="shared" si="1"/>
        <v>321649.98204888537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0.19542421353670161</v>
      </c>
      <c r="I28" s="148">
        <f t="shared" si="67"/>
        <v>0.22065378900445765</v>
      </c>
      <c r="J28" s="148">
        <f t="shared" si="67"/>
        <v>0.3641946150212565</v>
      </c>
      <c r="K28" s="148">
        <f t="shared" si="67"/>
        <v>0.30612913798754504</v>
      </c>
      <c r="L28" s="148">
        <f t="shared" si="67"/>
        <v>0.16979591836734695</v>
      </c>
      <c r="M28" s="148">
        <f t="shared" si="67"/>
        <v>0.16344183928977921</v>
      </c>
      <c r="N28" s="148">
        <f t="shared" si="67"/>
        <v>0.31519875292283711</v>
      </c>
      <c r="O28" s="148">
        <f t="shared" si="67"/>
        <v>0.2679447677735935</v>
      </c>
      <c r="P28" s="148">
        <f t="shared" si="67"/>
        <v>0.1169001310087675</v>
      </c>
      <c r="Q28" s="148">
        <f t="shared" ref="Q28" si="68">(Q27-P27)/Q27</f>
        <v>2.7135678391959797E-3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42</v>
      </c>
      <c r="H29" s="147">
        <v>33</v>
      </c>
      <c r="I29" s="147">
        <v>25</v>
      </c>
      <c r="J29" s="147">
        <v>21.24</v>
      </c>
      <c r="K29" s="147">
        <v>21</v>
      </c>
      <c r="L29" s="147">
        <v>28.7</v>
      </c>
      <c r="M29" s="147">
        <v>25.4</v>
      </c>
      <c r="N29" s="147">
        <v>34.54</v>
      </c>
      <c r="O29" s="147">
        <v>43.73</v>
      </c>
      <c r="P29" s="147">
        <v>50.65</v>
      </c>
      <c r="Q29" s="147">
        <v>87</v>
      </c>
      <c r="R29" s="118">
        <f>((Q29/G29)^(1/($H$2-$H$1) ))-1</f>
        <v>8.4279150666485503E-2</v>
      </c>
      <c r="S29" s="31">
        <f t="shared" si="6"/>
        <v>0.18</v>
      </c>
      <c r="T29" s="154">
        <f t="shared" si="2"/>
        <v>102.66</v>
      </c>
      <c r="U29" s="154">
        <f t="shared" ref="U29" si="69">T29*(1+$S29)</f>
        <v>121.13879999999999</v>
      </c>
      <c r="V29" s="154">
        <f t="shared" ref="V29" si="70">U29*(1+$S29)</f>
        <v>142.94378399999999</v>
      </c>
      <c r="W29" s="154">
        <f t="shared" ref="W29" si="71">V29*(1+$S29)</f>
        <v>168.67366511999998</v>
      </c>
      <c r="X29" s="154">
        <f t="shared" ref="X29" si="72">W29*(1+$S29)</f>
        <v>199.03492484159997</v>
      </c>
      <c r="Y29" s="154">
        <f t="shared" ref="Y29" si="73">X29*(1+$S29)</f>
        <v>234.86121131308795</v>
      </c>
      <c r="Z29" s="154">
        <f t="shared" ref="Z29" si="74">Y29*(1+$S29)</f>
        <v>277.13622934944374</v>
      </c>
      <c r="AA29" s="154">
        <f t="shared" ref="AA29" si="75">Z29*(1+$S29)</f>
        <v>327.02075063234361</v>
      </c>
      <c r="AB29" s="154">
        <f t="shared" ref="AB29" si="76">AA29*(1+$S29)</f>
        <v>385.88448574616541</v>
      </c>
      <c r="AC29" s="154">
        <f t="shared" ref="AC29" si="77">AB29*(1+$S29)</f>
        <v>455.34369318047516</v>
      </c>
      <c r="AD29" s="138">
        <f t="shared" ref="AD29" si="78">((AC29/G29)^(1/($AC$3-$H$1) ))-1</f>
        <v>0.12656045340518651</v>
      </c>
      <c r="AE29" s="31">
        <f t="shared" si="16"/>
        <v>0.05</v>
      </c>
      <c r="AF29" s="146">
        <f t="shared" ref="AF29" si="79">(AC29*(1+AE29))/($C$1-AE29)</f>
        <v>2812.4169284676409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P30" si="80">(G29-F29)/G29</f>
        <v>1</v>
      </c>
      <c r="H30" s="148">
        <f t="shared" si="80"/>
        <v>-0.27272727272727271</v>
      </c>
      <c r="I30" s="148">
        <f t="shared" si="80"/>
        <v>-0.32</v>
      </c>
      <c r="J30" s="148">
        <f t="shared" si="80"/>
        <v>-0.17702448210922797</v>
      </c>
      <c r="K30" s="148">
        <f t="shared" si="80"/>
        <v>-1.1428571428571354E-2</v>
      </c>
      <c r="L30" s="148">
        <f t="shared" si="80"/>
        <v>0.26829268292682923</v>
      </c>
      <c r="M30" s="148">
        <f t="shared" si="80"/>
        <v>-0.12992125984251973</v>
      </c>
      <c r="N30" s="148">
        <f t="shared" si="80"/>
        <v>0.2646207295888825</v>
      </c>
      <c r="O30" s="148">
        <f t="shared" si="80"/>
        <v>0.21015321289732444</v>
      </c>
      <c r="P30" s="148">
        <f t="shared" si="80"/>
        <v>0.13662388943731493</v>
      </c>
      <c r="Q30" s="148">
        <f t="shared" ref="Q30" si="81">(Q29-P29)/Q29</f>
        <v>0.41781609195402303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6"/>
        <v>0.18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6"/>
        <v>0.18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594</v>
      </c>
      <c r="H33" s="147">
        <v>749</v>
      </c>
      <c r="I33" s="147">
        <v>975</v>
      </c>
      <c r="J33" s="147">
        <v>1616</v>
      </c>
      <c r="K33" s="147">
        <v>2426</v>
      </c>
      <c r="L33" s="147">
        <v>2936</v>
      </c>
      <c r="M33" s="147">
        <v>3558</v>
      </c>
      <c r="N33" s="147">
        <v>5276</v>
      </c>
      <c r="O33" s="147">
        <v>7371</v>
      </c>
      <c r="P33" s="147">
        <v>8387</v>
      </c>
      <c r="Q33" s="147">
        <v>6550</v>
      </c>
      <c r="R33" s="118">
        <f>((Q33/G33)^(1/($H$2-$H$1) ))-1</f>
        <v>0.30565464227574224</v>
      </c>
      <c r="S33" s="31">
        <f t="shared" si="6"/>
        <v>0.18</v>
      </c>
      <c r="T33" s="154">
        <f t="shared" si="2"/>
        <v>7729</v>
      </c>
      <c r="U33" s="154">
        <f t="shared" si="36"/>
        <v>9120.2199999999993</v>
      </c>
      <c r="V33" s="154">
        <f t="shared" si="37"/>
        <v>10761.859599999998</v>
      </c>
      <c r="W33" s="154">
        <f t="shared" si="38"/>
        <v>12698.994327999997</v>
      </c>
      <c r="X33" s="154">
        <f t="shared" si="39"/>
        <v>14984.813307039996</v>
      </c>
      <c r="Y33" s="154">
        <f t="shared" si="40"/>
        <v>17682.079702307194</v>
      </c>
      <c r="Z33" s="154">
        <f t="shared" si="41"/>
        <v>20864.854048722489</v>
      </c>
      <c r="AA33" s="154">
        <f t="shared" si="42"/>
        <v>24620.527777492534</v>
      </c>
      <c r="AB33" s="154">
        <f t="shared" si="43"/>
        <v>29052.222777441188</v>
      </c>
      <c r="AC33" s="154">
        <f t="shared" si="44"/>
        <v>34281.6228773806</v>
      </c>
      <c r="AD33" s="138">
        <f t="shared" si="18"/>
        <v>0.22479596348324171</v>
      </c>
      <c r="AE33" s="31">
        <f t="shared" si="16"/>
        <v>0.05</v>
      </c>
      <c r="AF33" s="146">
        <f t="shared" si="1"/>
        <v>211739.43541911547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95</v>
      </c>
      <c r="H34" s="147">
        <v>96</v>
      </c>
      <c r="I34" s="147">
        <v>112</v>
      </c>
      <c r="J34" s="147">
        <v>160</v>
      </c>
      <c r="K34" s="147">
        <v>193</v>
      </c>
      <c r="L34" s="147">
        <v>237</v>
      </c>
      <c r="M34" s="147">
        <v>279</v>
      </c>
      <c r="N34" s="147">
        <v>369</v>
      </c>
      <c r="O34" s="147">
        <v>397</v>
      </c>
      <c r="P34" s="147">
        <v>489</v>
      </c>
      <c r="Q34" s="147">
        <v>540</v>
      </c>
      <c r="R34" s="118">
        <f>((Q34/G34)^(1/($H$2-$H$1) ))-1</f>
        <v>0.21297608773331844</v>
      </c>
      <c r="S34" s="31">
        <f t="shared" si="6"/>
        <v>0.18</v>
      </c>
      <c r="T34" s="154">
        <f t="shared" si="2"/>
        <v>637.19999999999993</v>
      </c>
      <c r="U34" s="154">
        <f t="shared" si="36"/>
        <v>751.89599999999984</v>
      </c>
      <c r="V34" s="154">
        <f t="shared" si="37"/>
        <v>887.23727999999971</v>
      </c>
      <c r="W34" s="154">
        <f t="shared" si="38"/>
        <v>1046.9399903999997</v>
      </c>
      <c r="X34" s="154">
        <f t="shared" si="39"/>
        <v>1235.3891886719996</v>
      </c>
      <c r="Y34" s="154">
        <f t="shared" si="40"/>
        <v>1457.7592426329595</v>
      </c>
      <c r="Z34" s="154">
        <f t="shared" si="41"/>
        <v>1720.1559063068921</v>
      </c>
      <c r="AA34" s="154">
        <f t="shared" si="42"/>
        <v>2029.7839694421325</v>
      </c>
      <c r="AB34" s="154">
        <f t="shared" si="43"/>
        <v>2395.1450839417162</v>
      </c>
      <c r="AC34" s="154">
        <f t="shared" si="44"/>
        <v>2826.2711990512248</v>
      </c>
      <c r="AD34" s="138">
        <f t="shared" si="18"/>
        <v>0.18488038864081702</v>
      </c>
      <c r="AE34" s="31">
        <f t="shared" si="16"/>
        <v>0.05</v>
      </c>
      <c r="AF34" s="146">
        <f t="shared" si="1"/>
        <v>17456.380935316389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91</v>
      </c>
      <c r="H36" s="147">
        <v>139</v>
      </c>
      <c r="I36" s="147">
        <v>169</v>
      </c>
      <c r="J36" s="147">
        <v>222</v>
      </c>
      <c r="K36" s="147">
        <v>244.4</v>
      </c>
      <c r="L36" s="147">
        <v>315</v>
      </c>
      <c r="M36" s="147">
        <v>399</v>
      </c>
      <c r="N36" s="147">
        <v>616</v>
      </c>
      <c r="O36" s="147">
        <v>835</v>
      </c>
      <c r="P36" s="147">
        <v>1012</v>
      </c>
      <c r="Q36" s="147">
        <v>976</v>
      </c>
      <c r="R36" s="118">
        <f>((Q36/G36)^(1/($H$2-$H$1) ))-1</f>
        <v>0.30163681954407284</v>
      </c>
      <c r="S36" s="31">
        <f t="shared" si="6"/>
        <v>0.18</v>
      </c>
      <c r="T36" s="154">
        <f t="shared" si="2"/>
        <v>1151.6799999999998</v>
      </c>
      <c r="U36" s="154">
        <f t="shared" ref="U36" si="85">T36*(1+$S36)</f>
        <v>1358.9823999999996</v>
      </c>
      <c r="V36" s="154">
        <f t="shared" ref="V36" si="86">U36*(1+$S36)</f>
        <v>1603.5992319999996</v>
      </c>
      <c r="W36" s="154">
        <f t="shared" ref="W36" si="87">V36*(1+$S36)</f>
        <v>1892.2470937599994</v>
      </c>
      <c r="X36" s="154">
        <f t="shared" si="39"/>
        <v>2232.8515706367994</v>
      </c>
      <c r="Y36" s="154">
        <f t="shared" si="40"/>
        <v>2634.764853351423</v>
      </c>
      <c r="Z36" s="154">
        <f t="shared" si="41"/>
        <v>3109.0225269546791</v>
      </c>
      <c r="AA36" s="154">
        <f t="shared" si="42"/>
        <v>3668.6465818065212</v>
      </c>
      <c r="AB36" s="154">
        <f t="shared" si="43"/>
        <v>4329.0029665316952</v>
      </c>
      <c r="AC36" s="154">
        <f t="shared" si="44"/>
        <v>5108.2235005073999</v>
      </c>
      <c r="AD36" s="138">
        <f t="shared" si="18"/>
        <v>0.22309847567883989</v>
      </c>
      <c r="AE36" s="31">
        <f t="shared" si="16"/>
        <v>0.05</v>
      </c>
      <c r="AF36" s="146">
        <f t="shared" si="1"/>
        <v>31550.792209016301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8">(G36-F36)/G36</f>
        <v>1</v>
      </c>
      <c r="H37" s="148">
        <f t="shared" si="88"/>
        <v>0.34532374100719426</v>
      </c>
      <c r="I37" s="148">
        <f t="shared" si="88"/>
        <v>0.17751479289940827</v>
      </c>
      <c r="J37" s="148">
        <f t="shared" si="88"/>
        <v>0.23873873873873874</v>
      </c>
      <c r="K37" s="148">
        <f t="shared" si="88"/>
        <v>9.1653027823240613E-2</v>
      </c>
      <c r="L37" s="148">
        <f t="shared" si="88"/>
        <v>0.22412698412698412</v>
      </c>
      <c r="M37" s="148">
        <f t="shared" si="88"/>
        <v>0.21052631578947367</v>
      </c>
      <c r="N37" s="148">
        <f t="shared" si="88"/>
        <v>0.35227272727272729</v>
      </c>
      <c r="O37" s="148">
        <f t="shared" si="88"/>
        <v>0.2622754491017964</v>
      </c>
      <c r="P37" s="148">
        <f t="shared" si="88"/>
        <v>0.17490118577075098</v>
      </c>
      <c r="Q37" s="148">
        <f t="shared" ref="Q37" si="89">(Q36-P36)/Q36</f>
        <v>-3.6885245901639344E-2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62.5</v>
      </c>
      <c r="H38" s="147">
        <v>71</v>
      </c>
      <c r="I38" s="147">
        <v>112</v>
      </c>
      <c r="J38" s="147">
        <v>149</v>
      </c>
      <c r="K38" s="147">
        <v>171</v>
      </c>
      <c r="L38" s="147">
        <v>227</v>
      </c>
      <c r="M38" s="147">
        <v>319</v>
      </c>
      <c r="N38" s="147">
        <v>603</v>
      </c>
      <c r="O38" s="147">
        <v>840</v>
      </c>
      <c r="P38" s="147">
        <v>1006</v>
      </c>
      <c r="Q38" s="147">
        <v>1009</v>
      </c>
      <c r="R38" s="118">
        <f>((Q38/G38)^(1/($H$2-$H$1) ))-1</f>
        <v>0.36214537766002741</v>
      </c>
      <c r="S38" s="31">
        <f t="shared" si="6"/>
        <v>0.18</v>
      </c>
      <c r="T38" s="154">
        <f t="shared" si="2"/>
        <v>1190.6199999999999</v>
      </c>
      <c r="U38" s="154">
        <f t="shared" ref="U38" si="90">T38*(1+$S38)</f>
        <v>1404.9315999999999</v>
      </c>
      <c r="V38" s="154">
        <f t="shared" ref="V38" si="91">U38*(1+$S38)</f>
        <v>1657.8192879999997</v>
      </c>
      <c r="W38" s="154">
        <f t="shared" ref="W38" si="92">V38*(1+$S38)</f>
        <v>1956.2267598399994</v>
      </c>
      <c r="X38" s="154">
        <f t="shared" ref="X38" si="93">W38*(1+$S38)</f>
        <v>2308.3475766111992</v>
      </c>
      <c r="Y38" s="154">
        <f t="shared" ref="Y38" si="94">X38*(1+$S38)</f>
        <v>2723.850140401215</v>
      </c>
      <c r="Z38" s="154">
        <f t="shared" ref="Z38" si="95">Y38*(1+$S38)</f>
        <v>3214.1431656734335</v>
      </c>
      <c r="AA38" s="154">
        <f t="shared" ref="AA38" si="96">Z38*(1+$S38)</f>
        <v>3792.6889354946511</v>
      </c>
      <c r="AB38" s="154">
        <f t="shared" ref="AB38" si="97">AA38*(1+$S38)</f>
        <v>4475.3729438836881</v>
      </c>
      <c r="AC38" s="154">
        <f t="shared" ref="AC38" si="98">AB38*(1+$S38)</f>
        <v>5280.9400737827518</v>
      </c>
      <c r="AD38" s="138">
        <f t="shared" ref="AD38" si="99">((AC38/G38)^(1/($AC$3-$H$1) ))-1</f>
        <v>0.24836493419095373</v>
      </c>
      <c r="AE38" s="31">
        <f t="shared" si="16"/>
        <v>0.05</v>
      </c>
      <c r="AF38" s="146">
        <f t="shared" ref="AF38" si="100">(AC38*(1+AE38))/($C$1-AE38)</f>
        <v>32617.571043952292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P39" si="101">(G38-F38)/G38</f>
        <v>1</v>
      </c>
      <c r="H39" s="148">
        <f t="shared" si="101"/>
        <v>0.11971830985915492</v>
      </c>
      <c r="I39" s="148">
        <f t="shared" si="101"/>
        <v>0.36607142857142855</v>
      </c>
      <c r="J39" s="148">
        <f t="shared" si="101"/>
        <v>0.24832214765100671</v>
      </c>
      <c r="K39" s="148">
        <f t="shared" si="101"/>
        <v>0.12865497076023391</v>
      </c>
      <c r="L39" s="148">
        <f t="shared" si="101"/>
        <v>0.24669603524229075</v>
      </c>
      <c r="M39" s="148">
        <f t="shared" si="101"/>
        <v>0.2884012539184953</v>
      </c>
      <c r="N39" s="148">
        <f t="shared" si="101"/>
        <v>0.47097844112769488</v>
      </c>
      <c r="O39" s="148">
        <f t="shared" si="101"/>
        <v>0.28214285714285714</v>
      </c>
      <c r="P39" s="148">
        <f t="shared" si="101"/>
        <v>0.16500994035785288</v>
      </c>
      <c r="Q39" s="148">
        <f t="shared" ref="Q39" si="102">(Q38-P38)/Q38</f>
        <v>2.973240832507433E-3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58</v>
      </c>
      <c r="H40" s="147">
        <v>64.5</v>
      </c>
      <c r="I40" s="147">
        <v>99</v>
      </c>
      <c r="J40" s="147">
        <v>111</v>
      </c>
      <c r="K40" s="147">
        <v>136</v>
      </c>
      <c r="L40" s="147">
        <v>164</v>
      </c>
      <c r="M40" s="147">
        <v>251</v>
      </c>
      <c r="N40" s="147">
        <v>433</v>
      </c>
      <c r="O40" s="147">
        <v>601</v>
      </c>
      <c r="P40" s="147">
        <v>725</v>
      </c>
      <c r="Q40" s="147">
        <v>734</v>
      </c>
      <c r="R40" s="118">
        <f>((Q40/G40)^(1/($H$2-$H$1) ))-1</f>
        <v>0.32578844506132887</v>
      </c>
      <c r="S40" s="31">
        <f t="shared" si="6"/>
        <v>0.18</v>
      </c>
      <c r="T40" s="154">
        <f t="shared" si="2"/>
        <v>866.12</v>
      </c>
      <c r="U40" s="154">
        <f t="shared" ref="U40:AC40" si="103">T40*(1+$S40)</f>
        <v>1022.0215999999999</v>
      </c>
      <c r="V40" s="154">
        <f t="shared" si="103"/>
        <v>1205.9854879999998</v>
      </c>
      <c r="W40" s="154">
        <f t="shared" si="103"/>
        <v>1423.0628758399996</v>
      </c>
      <c r="X40" s="154">
        <f t="shared" si="103"/>
        <v>1679.2141934911995</v>
      </c>
      <c r="Y40" s="154">
        <f t="shared" si="103"/>
        <v>1981.4727483196152</v>
      </c>
      <c r="Z40" s="154">
        <f t="shared" si="103"/>
        <v>2338.1378430171458</v>
      </c>
      <c r="AA40" s="154">
        <f t="shared" si="103"/>
        <v>2759.002654760232</v>
      </c>
      <c r="AB40" s="154">
        <f t="shared" si="103"/>
        <v>3255.6231326170737</v>
      </c>
      <c r="AC40" s="154">
        <f t="shared" si="103"/>
        <v>3841.6352964881467</v>
      </c>
      <c r="AD40" s="138">
        <f t="shared" si="18"/>
        <v>0.23325932218490886</v>
      </c>
      <c r="AE40" s="31">
        <f t="shared" si="16"/>
        <v>0.05</v>
      </c>
      <c r="AF40" s="146">
        <f t="shared" si="1"/>
        <v>23727.747419485615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04">(H40-G40)/H40</f>
        <v>0.10077519379844961</v>
      </c>
      <c r="I41" s="148">
        <f t="shared" si="104"/>
        <v>0.34848484848484851</v>
      </c>
      <c r="J41" s="148">
        <f t="shared" si="104"/>
        <v>0.10810810810810811</v>
      </c>
      <c r="K41" s="148">
        <f t="shared" si="104"/>
        <v>0.18382352941176472</v>
      </c>
      <c r="L41" s="148">
        <f t="shared" si="104"/>
        <v>0.17073170731707318</v>
      </c>
      <c r="M41" s="148">
        <f t="shared" si="104"/>
        <v>0.34661354581673309</v>
      </c>
      <c r="N41" s="148">
        <f t="shared" si="104"/>
        <v>0.42032332563510394</v>
      </c>
      <c r="O41" s="148">
        <f t="shared" si="104"/>
        <v>0.27953410981697169</v>
      </c>
      <c r="P41" s="148">
        <f t="shared" si="104"/>
        <v>0.17103448275862068</v>
      </c>
      <c r="Q41" s="148">
        <f t="shared" si="104"/>
        <v>1.226158038147139E-2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93">
        <v>4.22</v>
      </c>
      <c r="H42" s="193">
        <v>4.22</v>
      </c>
      <c r="I42" s="193">
        <v>4.22</v>
      </c>
      <c r="J42" s="193">
        <v>4.43</v>
      </c>
      <c r="K42" s="193">
        <v>4.43</v>
      </c>
      <c r="L42" s="193">
        <v>4.43</v>
      </c>
      <c r="M42" s="193">
        <v>4.43</v>
      </c>
      <c r="N42" s="193">
        <v>4.43</v>
      </c>
      <c r="O42" s="193">
        <v>88.77</v>
      </c>
      <c r="P42" s="193">
        <v>88.77</v>
      </c>
      <c r="Q42" s="145">
        <v>88.77</v>
      </c>
      <c r="R42" s="118">
        <f>((Q42/G42)^(1/($H$2-$H$1) ))-1</f>
        <v>0.40279711233563908</v>
      </c>
      <c r="S42" s="31">
        <f>P1</f>
        <v>0.05</v>
      </c>
      <c r="T42" s="154">
        <f t="shared" si="2"/>
        <v>93.208500000000001</v>
      </c>
      <c r="U42" s="154">
        <f t="shared" ref="U42:AC42" si="105">T42*(1+$S42)</f>
        <v>97.868925000000004</v>
      </c>
      <c r="V42" s="154">
        <f t="shared" si="105"/>
        <v>102.76237125000002</v>
      </c>
      <c r="W42" s="154">
        <f t="shared" si="105"/>
        <v>107.90048981250003</v>
      </c>
      <c r="X42" s="154">
        <f t="shared" si="105"/>
        <v>113.29551430312503</v>
      </c>
      <c r="Y42" s="154">
        <f t="shared" si="105"/>
        <v>118.96029001828128</v>
      </c>
      <c r="Z42" s="154">
        <f t="shared" si="105"/>
        <v>124.90830451919535</v>
      </c>
      <c r="AA42" s="154">
        <f t="shared" si="105"/>
        <v>131.15371974515512</v>
      </c>
      <c r="AB42" s="154">
        <f t="shared" si="105"/>
        <v>137.71140573241289</v>
      </c>
      <c r="AC42" s="154">
        <f t="shared" si="105"/>
        <v>144.59697601903355</v>
      </c>
      <c r="AD42" s="138">
        <f t="shared" si="18"/>
        <v>0.19327993488034045</v>
      </c>
      <c r="AE42" s="31">
        <f t="shared" si="16"/>
        <v>0.05</v>
      </c>
      <c r="AF42" s="146">
        <f t="shared" si="1"/>
        <v>893.09896952932502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0.76303317535545023</v>
      </c>
      <c r="H43" s="148">
        <f t="shared" ref="H43" si="106">(H42-G42)/H42</f>
        <v>0</v>
      </c>
      <c r="I43" s="148">
        <f t="shared" ref="I43" si="107">(I42-H42)/I42</f>
        <v>0</v>
      </c>
      <c r="J43" s="148">
        <f t="shared" ref="J43" si="108">(J42-I42)/J42</f>
        <v>4.7404063205417603E-2</v>
      </c>
      <c r="K43" s="148">
        <f t="shared" ref="K43" si="109">(K42-J42)/K42</f>
        <v>0</v>
      </c>
      <c r="L43" s="148">
        <f t="shared" ref="L43" si="110">(L42-K42)/L42</f>
        <v>0</v>
      </c>
      <c r="M43" s="148">
        <f t="shared" ref="M43" si="111">(M42-L42)/M42</f>
        <v>0</v>
      </c>
      <c r="N43" s="148">
        <f t="shared" ref="N43" si="112">(N42-M42)/N42</f>
        <v>0</v>
      </c>
      <c r="O43" s="148">
        <f t="shared" ref="O43" si="113">(O42-N42)/O42</f>
        <v>0.95009575306973082</v>
      </c>
      <c r="P43" s="148">
        <f t="shared" ref="P43:Q43" si="114">(P42-O42)/P42</f>
        <v>0</v>
      </c>
      <c r="Q43" s="148">
        <f t="shared" si="114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7">
        <v>1</v>
      </c>
      <c r="H44" s="147">
        <v>2</v>
      </c>
      <c r="I44" s="147">
        <v>3</v>
      </c>
      <c r="J44" s="147">
        <v>5</v>
      </c>
      <c r="K44" s="147">
        <v>8</v>
      </c>
      <c r="L44" s="147">
        <v>10</v>
      </c>
      <c r="M44" s="147">
        <v>15</v>
      </c>
      <c r="N44" s="147">
        <v>25</v>
      </c>
      <c r="O44" s="147">
        <v>1.75</v>
      </c>
      <c r="P44" s="147">
        <v>2.1</v>
      </c>
      <c r="Q44" s="145">
        <v>2.1</v>
      </c>
      <c r="R44" s="118">
        <f>((Q44/G44)^(1/($H$2-$H$1) ))-1</f>
        <v>8.5930781908219123E-2</v>
      </c>
      <c r="S44" s="31">
        <v>0.02</v>
      </c>
      <c r="T44" s="154">
        <f t="shared" si="2"/>
        <v>2.1420000000000003</v>
      </c>
      <c r="U44" s="154">
        <f t="shared" ref="U44" si="115">T44*(1+$S44)</f>
        <v>2.1848400000000003</v>
      </c>
      <c r="V44" s="154">
        <f t="shared" ref="V44" si="116">U44*(1+$S44)</f>
        <v>2.2285368000000005</v>
      </c>
      <c r="W44" s="154">
        <f t="shared" ref="W44" si="117">V44*(1+$S44)</f>
        <v>2.2731075360000004</v>
      </c>
      <c r="X44" s="154">
        <f t="shared" ref="X44" si="118">W44*(1+$S44)</f>
        <v>2.3185696867200005</v>
      </c>
      <c r="Y44" s="154">
        <f t="shared" ref="Y44" si="119">X44*(1+$S44)</f>
        <v>2.3649410804544004</v>
      </c>
      <c r="Z44" s="154">
        <f t="shared" ref="Z44" si="120">Y44*(1+$S44)</f>
        <v>2.4122399020634884</v>
      </c>
      <c r="AA44" s="154">
        <f t="shared" ref="AA44" si="121">Z44*(1+$S44)</f>
        <v>2.4604847001047583</v>
      </c>
      <c r="AB44" s="154">
        <f t="shared" ref="AB44" si="122">AA44*(1+$S44)</f>
        <v>2.5096943941068535</v>
      </c>
      <c r="AC44" s="154">
        <f t="shared" ref="AC44" si="123">AB44*(1+$S44)</f>
        <v>2.5598882819889908</v>
      </c>
      <c r="AD44" s="138">
        <f t="shared" ref="AD44" si="124">((AC44/G44)^(1/($AC$3-$H$1) ))-1</f>
        <v>4.8120102426458811E-2</v>
      </c>
      <c r="AE44" s="31">
        <f t="shared" si="16"/>
        <v>0.05</v>
      </c>
      <c r="AF44" s="146">
        <f t="shared" si="1"/>
        <v>15.81107468287318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50">
        <v>0</v>
      </c>
      <c r="K45" s="147">
        <v>0</v>
      </c>
      <c r="L45" s="150">
        <v>0</v>
      </c>
      <c r="M45" s="150">
        <v>0</v>
      </c>
      <c r="N45" s="150">
        <v>0</v>
      </c>
      <c r="O45" s="147" t="s">
        <v>455</v>
      </c>
      <c r="P45" s="150">
        <v>0</v>
      </c>
      <c r="Q45" s="147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50">
        <v>0</v>
      </c>
      <c r="K46" s="147">
        <v>0</v>
      </c>
      <c r="L46" s="150">
        <v>0</v>
      </c>
      <c r="M46" s="150">
        <v>0</v>
      </c>
      <c r="N46" s="150">
        <v>0</v>
      </c>
      <c r="O46" s="147" t="s">
        <v>456</v>
      </c>
      <c r="P46" s="150">
        <v>0</v>
      </c>
      <c r="Q46" s="147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 t="s">
        <v>457</v>
      </c>
      <c r="J47" s="150">
        <v>0</v>
      </c>
      <c r="K47" s="147">
        <v>0</v>
      </c>
      <c r="L47" s="150">
        <v>0</v>
      </c>
      <c r="M47" s="150">
        <v>0</v>
      </c>
      <c r="N47" s="150">
        <v>0</v>
      </c>
      <c r="O47" s="147">
        <v>0</v>
      </c>
      <c r="P47" s="150">
        <v>0</v>
      </c>
      <c r="Q47" s="147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25">C25/C42</f>
        <v>0</v>
      </c>
      <c r="D50" s="133">
        <f t="shared" si="125"/>
        <v>0</v>
      </c>
      <c r="E50" s="133">
        <f t="shared" si="125"/>
        <v>0</v>
      </c>
      <c r="F50" s="133">
        <f t="shared" si="125"/>
        <v>0</v>
      </c>
      <c r="G50" s="133">
        <f t="shared" si="125"/>
        <v>230.33175355450237</v>
      </c>
      <c r="H50" s="133">
        <f t="shared" si="125"/>
        <v>279.38388625592421</v>
      </c>
      <c r="I50" s="133">
        <f t="shared" si="125"/>
        <v>356.87203791469199</v>
      </c>
      <c r="J50" s="133">
        <f t="shared" si="125"/>
        <v>523.92776523702037</v>
      </c>
      <c r="K50" s="133">
        <f t="shared" si="125"/>
        <v>739.50338600451471</v>
      </c>
      <c r="L50" s="133">
        <f t="shared" si="125"/>
        <v>899.32279909706551</v>
      </c>
      <c r="M50" s="133">
        <f t="shared" si="125"/>
        <v>1083.7471783295712</v>
      </c>
      <c r="N50" s="133">
        <f t="shared" si="125"/>
        <v>1600</v>
      </c>
      <c r="O50" s="133">
        <f t="shared" si="125"/>
        <v>109.19229469415343</v>
      </c>
      <c r="P50" s="133">
        <f t="shared" si="125"/>
        <v>124.33254477864143</v>
      </c>
      <c r="Q50" s="133">
        <f t="shared" ref="Q50" si="126">Q25/Q42</f>
        <v>124.44519544891293</v>
      </c>
      <c r="R50" s="118">
        <f>((P50/G50)^(1/($H$2-$H$1) ))-1</f>
        <v>-6.6212857270064207E-2</v>
      </c>
      <c r="S50" s="128"/>
      <c r="T50" s="158">
        <f t="shared" ref="T50:AC50" si="127">T25/T42</f>
        <v>139.85269583782593</v>
      </c>
      <c r="U50" s="158">
        <f t="shared" si="127"/>
        <v>157.16779151298533</v>
      </c>
      <c r="V50" s="158">
        <f t="shared" si="127"/>
        <v>176.62666093840252</v>
      </c>
      <c r="W50" s="158">
        <f t="shared" si="127"/>
        <v>198.49472372125234</v>
      </c>
      <c r="X50" s="158">
        <f t="shared" si="127"/>
        <v>223.07026094388357</v>
      </c>
      <c r="Y50" s="158">
        <f t="shared" si="127"/>
        <v>250.68848372741201</v>
      </c>
      <c r="Z50" s="158">
        <f t="shared" si="127"/>
        <v>281.72610552223443</v>
      </c>
      <c r="AA50" s="158">
        <f t="shared" si="127"/>
        <v>316.60648049165394</v>
      </c>
      <c r="AB50" s="158">
        <f t="shared" si="127"/>
        <v>355.80537807633482</v>
      </c>
      <c r="AC50" s="158">
        <f t="shared" si="127"/>
        <v>399.85747250483337</v>
      </c>
      <c r="AD50" s="138">
        <f t="shared" ref="AD50" si="128">((AC50/G50)^(1/($AC$3-$H$1) ))-1</f>
        <v>2.7963205855478845E-2</v>
      </c>
      <c r="AE50" s="31">
        <f t="shared" si="16"/>
        <v>0.05</v>
      </c>
      <c r="AF50" s="146">
        <f t="shared" ref="AF50:AF51" si="129">(AC50*(1+AE50))/($C$1-AE50)</f>
        <v>2469.7079184122067</v>
      </c>
    </row>
    <row r="51" spans="2:32" x14ac:dyDescent="0.2">
      <c r="B51" s="20" t="s">
        <v>304</v>
      </c>
      <c r="C51" s="133">
        <f t="shared" ref="C51:P51" si="130">C27/C42</f>
        <v>0</v>
      </c>
      <c r="D51" s="133">
        <f t="shared" si="130"/>
        <v>0</v>
      </c>
      <c r="E51" s="133">
        <f t="shared" si="130"/>
        <v>0</v>
      </c>
      <c r="F51" s="133">
        <f t="shared" si="130"/>
        <v>0</v>
      </c>
      <c r="G51" s="133">
        <f t="shared" si="130"/>
        <v>200</v>
      </c>
      <c r="H51" s="133">
        <f t="shared" si="130"/>
        <v>248.5781990521327</v>
      </c>
      <c r="I51" s="133">
        <f t="shared" si="130"/>
        <v>318.957345971564</v>
      </c>
      <c r="J51" s="133">
        <f t="shared" si="130"/>
        <v>477.87810383747183</v>
      </c>
      <c r="K51" s="133">
        <f t="shared" si="130"/>
        <v>688.71331828442442</v>
      </c>
      <c r="L51" s="133">
        <f t="shared" si="130"/>
        <v>829.57110609480821</v>
      </c>
      <c r="M51" s="133">
        <f t="shared" si="130"/>
        <v>991.64785553047409</v>
      </c>
      <c r="N51" s="133">
        <f t="shared" si="130"/>
        <v>1448.0812641083523</v>
      </c>
      <c r="O51" s="133">
        <f t="shared" si="130"/>
        <v>98.715782358905045</v>
      </c>
      <c r="P51" s="133">
        <f t="shared" si="130"/>
        <v>111.78326011039766</v>
      </c>
      <c r="Q51" s="133">
        <f t="shared" ref="Q51" si="131">Q27/Q42</f>
        <v>112.08741692013068</v>
      </c>
      <c r="R51" s="118">
        <f>((P51/G51)^(1/($H$2-$H$1) ))-1</f>
        <v>-6.2594667873679288E-2</v>
      </c>
      <c r="S51" s="128"/>
      <c r="T51" s="158">
        <f t="shared" ref="T51:AC51" si="132">T27/T42</f>
        <v>125.96490663405162</v>
      </c>
      <c r="U51" s="158">
        <f t="shared" si="132"/>
        <v>141.56056174112464</v>
      </c>
      <c r="V51" s="158">
        <f t="shared" si="132"/>
        <v>159.08710748050197</v>
      </c>
      <c r="W51" s="158">
        <f t="shared" si="132"/>
        <v>178.78360650189742</v>
      </c>
      <c r="X51" s="158">
        <f t="shared" si="132"/>
        <v>200.91871968784662</v>
      </c>
      <c r="Y51" s="158">
        <f t="shared" si="132"/>
        <v>225.79437069681808</v>
      </c>
      <c r="Z51" s="158">
        <f t="shared" si="132"/>
        <v>253.74986421166221</v>
      </c>
      <c r="AA51" s="158">
        <f t="shared" si="132"/>
        <v>285.16651406643945</v>
      </c>
      <c r="AB51" s="158">
        <f t="shared" si="132"/>
        <v>320.4728443794271</v>
      </c>
      <c r="AC51" s="158">
        <f t="shared" si="132"/>
        <v>360.15043463592752</v>
      </c>
      <c r="AD51" s="138">
        <f t="shared" ref="AD51" si="133">((AC51/G51)^(1/($AC$3-$H$1) ))-1</f>
        <v>2.9846974317440766E-2</v>
      </c>
      <c r="AE51" s="31">
        <f t="shared" si="16"/>
        <v>0.05</v>
      </c>
      <c r="AF51" s="146">
        <f t="shared" si="129"/>
        <v>2224.4585668689642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4.5</v>
      </c>
      <c r="H52" s="133">
        <f t="shared" ref="H52:P52" si="134">H38-H40</f>
        <v>6.5</v>
      </c>
      <c r="I52" s="133">
        <f t="shared" si="134"/>
        <v>13</v>
      </c>
      <c r="J52" s="133">
        <f t="shared" si="134"/>
        <v>38</v>
      </c>
      <c r="K52" s="133">
        <f t="shared" si="134"/>
        <v>35</v>
      </c>
      <c r="L52" s="133">
        <f t="shared" si="134"/>
        <v>63</v>
      </c>
      <c r="M52" s="133">
        <f t="shared" si="134"/>
        <v>68</v>
      </c>
      <c r="N52" s="133">
        <f t="shared" si="134"/>
        <v>170</v>
      </c>
      <c r="O52" s="133">
        <f t="shared" si="134"/>
        <v>239</v>
      </c>
      <c r="P52" s="133">
        <f t="shared" si="134"/>
        <v>281</v>
      </c>
      <c r="Q52" s="133">
        <f t="shared" ref="Q52" si="135">Q38-Q40</f>
        <v>275</v>
      </c>
      <c r="R52" s="118">
        <f>((P52/G52)^(1/($H$2-$H$1) ))-1</f>
        <v>0.58306705808609727</v>
      </c>
      <c r="S52" s="128"/>
      <c r="T52" s="133">
        <f t="shared" ref="T52:AC52" si="136">T38-T40</f>
        <v>324.49999999999989</v>
      </c>
      <c r="U52" s="133">
        <f t="shared" si="136"/>
        <v>382.90999999999997</v>
      </c>
      <c r="V52" s="133">
        <f t="shared" si="136"/>
        <v>451.83379999999988</v>
      </c>
      <c r="W52" s="133">
        <f t="shared" si="136"/>
        <v>533.16388399999983</v>
      </c>
      <c r="X52" s="133">
        <f t="shared" si="136"/>
        <v>629.13338311999973</v>
      </c>
      <c r="Y52" s="133">
        <f t="shared" si="136"/>
        <v>742.37739208159974</v>
      </c>
      <c r="Z52" s="133">
        <f t="shared" si="136"/>
        <v>876.00532265628772</v>
      </c>
      <c r="AA52" s="133">
        <f t="shared" si="136"/>
        <v>1033.6862807344191</v>
      </c>
      <c r="AB52" s="133">
        <f t="shared" si="136"/>
        <v>1219.7498112666144</v>
      </c>
      <c r="AC52" s="133">
        <f t="shared" si="136"/>
        <v>1439.3047772946052</v>
      </c>
      <c r="AD52" s="138">
        <f t="shared" ref="AD52" si="137">((AC52/G52)^(1/($AC$3-$H$1) ))-1</f>
        <v>0.33428011176234018</v>
      </c>
      <c r="AE52" s="31">
        <f t="shared" si="16"/>
        <v>0.05</v>
      </c>
      <c r="AF52" s="146">
        <f t="shared" ref="AF52" si="138">(AC52*(1+AE52))/($C$1-AE52)</f>
        <v>8889.8236244666805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39">C40/C42</f>
        <v>0</v>
      </c>
      <c r="D54" s="25">
        <f t="shared" si="139"/>
        <v>0</v>
      </c>
      <c r="E54" s="25">
        <f t="shared" si="139"/>
        <v>0</v>
      </c>
      <c r="F54" s="133">
        <f t="shared" si="139"/>
        <v>0</v>
      </c>
      <c r="G54" s="133">
        <f t="shared" si="139"/>
        <v>13.744075829383887</v>
      </c>
      <c r="H54" s="133">
        <f t="shared" si="139"/>
        <v>15.28436018957346</v>
      </c>
      <c r="I54" s="133">
        <f t="shared" si="139"/>
        <v>23.45971563981043</v>
      </c>
      <c r="J54" s="133">
        <f t="shared" si="139"/>
        <v>25.056433408577881</v>
      </c>
      <c r="K54" s="133">
        <f t="shared" si="139"/>
        <v>30.69977426636569</v>
      </c>
      <c r="L54" s="133">
        <f t="shared" si="139"/>
        <v>37.020316027088036</v>
      </c>
      <c r="M54" s="133">
        <f t="shared" si="139"/>
        <v>56.659142212189622</v>
      </c>
      <c r="N54" s="133">
        <f t="shared" si="139"/>
        <v>97.742663656884886</v>
      </c>
      <c r="O54" s="133">
        <f t="shared" si="139"/>
        <v>6.7703052833164357</v>
      </c>
      <c r="P54" s="133">
        <f t="shared" si="139"/>
        <v>8.1671735946828896</v>
      </c>
      <c r="Q54" s="133">
        <f t="shared" ref="Q54" si="140">Q40/Q42</f>
        <v>8.2685591979272282</v>
      </c>
      <c r="R54" s="118">
        <f>((P54/G54)^(1/($H$2-$H$1) ))-1</f>
        <v>-5.6191189639926531E-2</v>
      </c>
      <c r="S54" s="128"/>
      <c r="T54" s="158">
        <f t="shared" ref="T54:AC54" si="141">T40/T42</f>
        <v>9.2922855748134552</v>
      </c>
      <c r="U54" s="158">
        <f t="shared" si="141"/>
        <v>10.442759026933215</v>
      </c>
      <c r="V54" s="158">
        <f t="shared" si="141"/>
        <v>11.735672049315422</v>
      </c>
      <c r="W54" s="158">
        <f t="shared" si="141"/>
        <v>13.188660017325899</v>
      </c>
      <c r="X54" s="158">
        <f t="shared" si="141"/>
        <v>14.821541733756725</v>
      </c>
      <c r="Y54" s="158">
        <f t="shared" si="141"/>
        <v>16.656589757936125</v>
      </c>
      <c r="Z54" s="158">
        <f t="shared" si="141"/>
        <v>18.718834204156789</v>
      </c>
      <c r="AA54" s="158">
        <f t="shared" si="141"/>
        <v>21.036404153242866</v>
      </c>
      <c r="AB54" s="158">
        <f t="shared" si="141"/>
        <v>23.640911334120553</v>
      </c>
      <c r="AC54" s="158">
        <f t="shared" si="141"/>
        <v>26.567881308821185</v>
      </c>
      <c r="AD54" s="138">
        <f t="shared" ref="AD54:AD68" si="142">((AC54/G54)^(1/($AC$3-$H$1) ))-1</f>
        <v>3.3503779068050132E-2</v>
      </c>
      <c r="AE54" s="31">
        <f t="shared" si="16"/>
        <v>0.05</v>
      </c>
      <c r="AF54" s="146">
        <f t="shared" ref="AF54:AF82" si="143">(AC54*(1+AE54))/($C$1-AE54)</f>
        <v>164.09573749566027</v>
      </c>
    </row>
    <row r="55" spans="2:32" x14ac:dyDescent="0.2">
      <c r="B55" s="20" t="s">
        <v>388</v>
      </c>
      <c r="C55" s="133">
        <f t="shared" ref="C55:F55" si="144">C20/C42</f>
        <v>0</v>
      </c>
      <c r="D55" s="133">
        <f t="shared" si="144"/>
        <v>0</v>
      </c>
      <c r="E55" s="133">
        <f t="shared" si="144"/>
        <v>0</v>
      </c>
      <c r="F55" s="133">
        <f t="shared" si="144"/>
        <v>0</v>
      </c>
      <c r="G55" s="133">
        <f>G20/G42</f>
        <v>27.251184834123226</v>
      </c>
      <c r="H55" s="133">
        <f t="shared" ref="H55:P55" si="145">H20/H42</f>
        <v>38.862559241706165</v>
      </c>
      <c r="I55" s="133">
        <f t="shared" si="145"/>
        <v>28.909952606635073</v>
      </c>
      <c r="J55" s="133">
        <f t="shared" si="145"/>
        <v>28.442437923250566</v>
      </c>
      <c r="K55" s="133">
        <f t="shared" si="145"/>
        <v>23.024830699774267</v>
      </c>
      <c r="L55" s="133">
        <f t="shared" si="145"/>
        <v>35.891647855530479</v>
      </c>
      <c r="M55" s="133">
        <f t="shared" si="145"/>
        <v>77.200902934537254</v>
      </c>
      <c r="N55" s="133">
        <f t="shared" si="145"/>
        <v>231.37697516930024</v>
      </c>
      <c r="O55" s="133">
        <f t="shared" si="145"/>
        <v>1.7686155232623635</v>
      </c>
      <c r="P55" s="133">
        <f t="shared" si="145"/>
        <v>5.1030753632984123</v>
      </c>
      <c r="Q55" s="133">
        <f t="shared" ref="Q55" si="146">Q20/Q42</f>
        <v>5.1030753632984123</v>
      </c>
      <c r="R55" s="118">
        <f>((P55/G55)^(1/($H$2-$H$1) ))-1</f>
        <v>-0.16984204760985167</v>
      </c>
      <c r="S55" s="128"/>
      <c r="T55" s="133">
        <f t="shared" ref="T55:AC55" si="147">T20/T42</f>
        <v>5.7348846939925</v>
      </c>
      <c r="U55" s="133">
        <f t="shared" si="147"/>
        <v>6.4449180370582377</v>
      </c>
      <c r="V55" s="133">
        <f t="shared" si="147"/>
        <v>7.242860270217828</v>
      </c>
      <c r="W55" s="133">
        <f t="shared" si="147"/>
        <v>8.1395953512924155</v>
      </c>
      <c r="X55" s="133">
        <f t="shared" si="147"/>
        <v>9.1473547757381422</v>
      </c>
      <c r="Y55" s="133">
        <f t="shared" si="147"/>
        <v>10.279884414639055</v>
      </c>
      <c r="Z55" s="133">
        <f t="shared" si="147"/>
        <v>11.552632008832461</v>
      </c>
      <c r="AA55" s="133">
        <f t="shared" si="147"/>
        <v>12.982957876592671</v>
      </c>
      <c r="AB55" s="133">
        <f t="shared" si="147"/>
        <v>14.590371708932715</v>
      </c>
      <c r="AC55" s="133">
        <f t="shared" si="147"/>
        <v>16.396798682419622</v>
      </c>
      <c r="AD55" s="138">
        <f t="shared" ref="AD55" si="148">((AC55/G55)^(1/($AC$3-$H$1) ))-1</f>
        <v>-2.5080664611339953E-2</v>
      </c>
      <c r="AE55" s="31">
        <f t="shared" si="16"/>
        <v>0.05</v>
      </c>
      <c r="AF55" s="146">
        <f t="shared" si="143"/>
        <v>101.27434480318003</v>
      </c>
    </row>
    <row r="56" spans="2:32" x14ac:dyDescent="0.2">
      <c r="B56" s="20" t="s">
        <v>245</v>
      </c>
      <c r="C56" s="25">
        <f t="shared" ref="C56:P56" si="149">C7/C42</f>
        <v>0</v>
      </c>
      <c r="D56" s="25">
        <f t="shared" si="149"/>
        <v>0</v>
      </c>
      <c r="E56" s="25">
        <f t="shared" si="149"/>
        <v>0</v>
      </c>
      <c r="F56" s="133">
        <f t="shared" si="149"/>
        <v>0</v>
      </c>
      <c r="G56" s="133">
        <f t="shared" si="149"/>
        <v>39.33649289099526</v>
      </c>
      <c r="H56" s="133">
        <f t="shared" si="149"/>
        <v>41.232227488151658</v>
      </c>
      <c r="I56" s="133">
        <f t="shared" si="149"/>
        <v>55.924170616113749</v>
      </c>
      <c r="J56" s="133">
        <f t="shared" si="149"/>
        <v>76.07223476297969</v>
      </c>
      <c r="K56" s="133">
        <f t="shared" si="149"/>
        <v>100.45146726862303</v>
      </c>
      <c r="L56" s="133">
        <f t="shared" si="149"/>
        <v>125.95936794582394</v>
      </c>
      <c r="M56" s="133">
        <f t="shared" si="149"/>
        <v>165.2370203160271</v>
      </c>
      <c r="N56" s="133">
        <f t="shared" si="149"/>
        <v>233.63431151241537</v>
      </c>
      <c r="O56" s="133">
        <f t="shared" si="149"/>
        <v>16.458262926664414</v>
      </c>
      <c r="P56" s="133">
        <f t="shared" si="149"/>
        <v>22.180916976456011</v>
      </c>
      <c r="Q56" s="133">
        <f t="shared" ref="Q56" si="150">Q7/Q42</f>
        <v>28.410499042469304</v>
      </c>
      <c r="R56" s="118">
        <f>((P56/G56)^(1/($H$2-$H$1) ))-1</f>
        <v>-6.1673974488893335E-2</v>
      </c>
      <c r="S56" s="128"/>
      <c r="T56" s="158">
        <f t="shared" ref="T56:AC56" si="151">T7/T42</f>
        <v>31.927989400108359</v>
      </c>
      <c r="U56" s="158">
        <f t="shared" si="151"/>
        <v>35.880978563931293</v>
      </c>
      <c r="V56" s="158">
        <f t="shared" si="151"/>
        <v>40.323385433751355</v>
      </c>
      <c r="W56" s="158">
        <f t="shared" si="151"/>
        <v>45.315804582691989</v>
      </c>
      <c r="X56" s="158">
        <f t="shared" si="151"/>
        <v>50.926332769120521</v>
      </c>
      <c r="Y56" s="158">
        <f t="shared" si="151"/>
        <v>57.231497778630683</v>
      </c>
      <c r="Z56" s="158">
        <f t="shared" si="151"/>
        <v>64.317302265508758</v>
      </c>
      <c r="AA56" s="158">
        <f t="shared" si="151"/>
        <v>72.280396831714611</v>
      </c>
      <c r="AB56" s="158">
        <f t="shared" si="151"/>
        <v>81.229398344212584</v>
      </c>
      <c r="AC56" s="158">
        <f t="shared" si="151"/>
        <v>91.286371472543649</v>
      </c>
      <c r="AD56" s="138">
        <f t="shared" si="142"/>
        <v>4.2990890678281657E-2</v>
      </c>
      <c r="AE56" s="31">
        <f t="shared" si="16"/>
        <v>0.05</v>
      </c>
      <c r="AF56" s="146">
        <f t="shared" si="143"/>
        <v>563.82758850688731</v>
      </c>
    </row>
    <row r="57" spans="2:32" x14ac:dyDescent="0.2">
      <c r="B57" s="20" t="s">
        <v>246</v>
      </c>
      <c r="C57" s="127">
        <f t="shared" ref="C57:P57" si="152">C6/C42</f>
        <v>0</v>
      </c>
      <c r="D57" s="127">
        <f t="shared" si="152"/>
        <v>0</v>
      </c>
      <c r="E57" s="127">
        <f t="shared" si="152"/>
        <v>0</v>
      </c>
      <c r="F57" s="144">
        <f t="shared" si="152"/>
        <v>0</v>
      </c>
      <c r="G57" s="144">
        <f t="shared" si="152"/>
        <v>19.66824644549763</v>
      </c>
      <c r="H57" s="144">
        <f t="shared" si="152"/>
        <v>21.563981042654028</v>
      </c>
      <c r="I57" s="144">
        <f t="shared" si="152"/>
        <v>36.492890995260666</v>
      </c>
      <c r="J57" s="144">
        <f t="shared" si="152"/>
        <v>66.139954853273139</v>
      </c>
      <c r="K57" s="144">
        <f t="shared" si="152"/>
        <v>90.519187358916483</v>
      </c>
      <c r="L57" s="144">
        <f t="shared" si="152"/>
        <v>115.80135440180588</v>
      </c>
      <c r="M57" s="144">
        <f t="shared" si="152"/>
        <v>155.07900677200905</v>
      </c>
      <c r="N57" s="144">
        <f t="shared" si="152"/>
        <v>223.70203160270881</v>
      </c>
      <c r="O57" s="144">
        <f t="shared" si="152"/>
        <v>15.45567196124817</v>
      </c>
      <c r="P57" s="144">
        <f t="shared" si="152"/>
        <v>21.189591078066915</v>
      </c>
      <c r="Q57" s="144">
        <f t="shared" ref="Q57" si="153">Q6/Q42</f>
        <v>27.407908077053058</v>
      </c>
      <c r="R57" s="118">
        <f>((P57/G57)^(1/($H$2-$H$1) ))-1</f>
        <v>8.3126480509938538E-3</v>
      </c>
      <c r="S57" s="128"/>
      <c r="T57" s="157">
        <f t="shared" ref="T57:AC57" si="154">T6/T42</f>
        <v>30.8012681246882</v>
      </c>
      <c r="U57" s="157">
        <f t="shared" si="154"/>
        <v>34.614758463935303</v>
      </c>
      <c r="V57" s="157">
        <f t="shared" si="154"/>
        <v>38.900395226136816</v>
      </c>
      <c r="W57" s="157">
        <f t="shared" si="154"/>
        <v>43.716634635087082</v>
      </c>
      <c r="X57" s="157">
        <f t="shared" si="154"/>
        <v>49.129170351812142</v>
      </c>
      <c r="Y57" s="157">
        <f t="shared" si="154"/>
        <v>55.211829538226972</v>
      </c>
      <c r="Z57" s="157">
        <f t="shared" si="154"/>
        <v>62.047579862007453</v>
      </c>
      <c r="AA57" s="157">
        <f t="shared" si="154"/>
        <v>69.729661178255995</v>
      </c>
      <c r="AB57" s="157">
        <f t="shared" si="154"/>
        <v>78.362857324135291</v>
      </c>
      <c r="AC57" s="157">
        <f t="shared" si="154"/>
        <v>88.064925373790118</v>
      </c>
      <c r="AD57" s="138">
        <f t="shared" si="142"/>
        <v>7.7833968517303287E-2</v>
      </c>
      <c r="AE57" s="31">
        <f t="shared" si="16"/>
        <v>0.05</v>
      </c>
      <c r="AF57" s="146">
        <f t="shared" si="143"/>
        <v>543.93042142635079</v>
      </c>
    </row>
    <row r="58" spans="2:32" x14ac:dyDescent="0.2">
      <c r="B58" s="20" t="s">
        <v>247</v>
      </c>
      <c r="C58" s="127">
        <f t="shared" ref="C58:P58" si="155">C10/C42</f>
        <v>0</v>
      </c>
      <c r="D58" s="127">
        <f t="shared" si="155"/>
        <v>0</v>
      </c>
      <c r="E58" s="127">
        <f t="shared" si="155"/>
        <v>0</v>
      </c>
      <c r="F58" s="144">
        <f t="shared" si="155"/>
        <v>0</v>
      </c>
      <c r="G58" s="144">
        <f t="shared" si="155"/>
        <v>96.445497630331758</v>
      </c>
      <c r="H58" s="144">
        <f t="shared" si="155"/>
        <v>75.592417061611386</v>
      </c>
      <c r="I58" s="144">
        <f t="shared" si="155"/>
        <v>63.507109004739341</v>
      </c>
      <c r="J58" s="144">
        <f t="shared" si="155"/>
        <v>55.756207674943568</v>
      </c>
      <c r="K58" s="144">
        <f t="shared" si="155"/>
        <v>47.404063205417607</v>
      </c>
      <c r="L58" s="144">
        <f t="shared" si="155"/>
        <v>37.471783295711063</v>
      </c>
      <c r="M58" s="144">
        <f t="shared" si="155"/>
        <v>16.478555304740407</v>
      </c>
      <c r="N58" s="144">
        <f t="shared" si="155"/>
        <v>2.234762979683973</v>
      </c>
      <c r="O58" s="144">
        <f t="shared" si="155"/>
        <v>6.6351244789906505E-2</v>
      </c>
      <c r="P58" s="144">
        <f t="shared" si="155"/>
        <v>1.1265067027148812E-4</v>
      </c>
      <c r="Q58" s="144">
        <f t="shared" ref="Q58" si="156">Q10/Q42</f>
        <v>1.1265067027148812E-4</v>
      </c>
      <c r="R58" s="118">
        <f>((P58/G58)^(1/($H$2-$H$1) ))-1</f>
        <v>-0.78080634412339633</v>
      </c>
      <c r="S58" s="128"/>
      <c r="T58" s="157">
        <f t="shared" ref="T58:AC58" si="157">T10/T42</f>
        <v>1.2659789611462475E-4</v>
      </c>
      <c r="U58" s="157">
        <f t="shared" si="157"/>
        <v>1.4227192134786396E-4</v>
      </c>
      <c r="V58" s="157">
        <f t="shared" si="157"/>
        <v>1.5988654018140902E-4</v>
      </c>
      <c r="W58" s="157">
        <f t="shared" si="157"/>
        <v>1.7968201658482153E-4</v>
      </c>
      <c r="X58" s="157">
        <f t="shared" si="157"/>
        <v>2.0192836149532321E-4</v>
      </c>
      <c r="Y58" s="157">
        <f t="shared" si="157"/>
        <v>2.2692901577569657E-4</v>
      </c>
      <c r="Z58" s="157">
        <f t="shared" si="157"/>
        <v>2.5502498915744943E-4</v>
      </c>
      <c r="AA58" s="157">
        <f t="shared" si="157"/>
        <v>2.8659951162456223E-4</v>
      </c>
      <c r="AB58" s="157">
        <f t="shared" si="157"/>
        <v>3.2208326068284133E-4</v>
      </c>
      <c r="AC58" s="157">
        <f t="shared" si="157"/>
        <v>3.6196023581500255E-4</v>
      </c>
      <c r="AD58" s="138">
        <f t="shared" si="142"/>
        <v>-0.46454997249598151</v>
      </c>
      <c r="AE58" s="31">
        <f t="shared" si="16"/>
        <v>0.05</v>
      </c>
      <c r="AF58" s="146">
        <f t="shared" si="143"/>
        <v>2.235636750622075E-3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58">(C7-C10)/C42</f>
        <v>0</v>
      </c>
      <c r="D60" s="127">
        <f t="shared" si="158"/>
        <v>0</v>
      </c>
      <c r="E60" s="127">
        <f t="shared" si="158"/>
        <v>0</v>
      </c>
      <c r="F60" s="144">
        <f t="shared" si="158"/>
        <v>0</v>
      </c>
      <c r="G60" s="144">
        <f t="shared" si="158"/>
        <v>-57.109004739336498</v>
      </c>
      <c r="H60" s="144">
        <f t="shared" si="158"/>
        <v>-34.360189573459721</v>
      </c>
      <c r="I60" s="144">
        <f t="shared" si="158"/>
        <v>-7.5829383886255926</v>
      </c>
      <c r="J60" s="144">
        <f t="shared" si="158"/>
        <v>20.316027088036119</v>
      </c>
      <c r="K60" s="144">
        <f t="shared" si="158"/>
        <v>53.04740406320542</v>
      </c>
      <c r="L60" s="144">
        <f t="shared" si="158"/>
        <v>88.487584650112879</v>
      </c>
      <c r="M60" s="144">
        <f t="shared" si="158"/>
        <v>148.75846501128669</v>
      </c>
      <c r="N60" s="144">
        <f t="shared" si="158"/>
        <v>231.39954853273136</v>
      </c>
      <c r="O60" s="144">
        <f t="shared" si="158"/>
        <v>16.391911681874507</v>
      </c>
      <c r="P60" s="144">
        <f t="shared" si="158"/>
        <v>22.18080432578574</v>
      </c>
      <c r="Q60" s="144">
        <f t="shared" ref="Q60" si="159">(Q7-Q10)/Q42</f>
        <v>28.41038639179903</v>
      </c>
      <c r="R60" s="118">
        <f>((P60/G60)^(1/($H$2-$H$1) ))-1</f>
        <v>-1.9002510430364035</v>
      </c>
      <c r="S60" s="128"/>
      <c r="T60" s="157">
        <f t="shared" ref="T60:AC60" si="160">(T7-T10)/T42</f>
        <v>31.927862802212243</v>
      </c>
      <c r="U60" s="157">
        <f t="shared" si="160"/>
        <v>35.880836292009953</v>
      </c>
      <c r="V60" s="157">
        <f t="shared" si="160"/>
        <v>40.323225547211173</v>
      </c>
      <c r="W60" s="157">
        <f t="shared" si="160"/>
        <v>45.315624900675409</v>
      </c>
      <c r="X60" s="157">
        <f t="shared" si="160"/>
        <v>50.926130840759029</v>
      </c>
      <c r="Y60" s="157">
        <f t="shared" si="160"/>
        <v>57.231270849614901</v>
      </c>
      <c r="Z60" s="157">
        <f t="shared" si="160"/>
        <v>64.317047240519599</v>
      </c>
      <c r="AA60" s="157">
        <f t="shared" si="160"/>
        <v>72.280110232202972</v>
      </c>
      <c r="AB60" s="157">
        <f t="shared" si="160"/>
        <v>81.229076260951899</v>
      </c>
      <c r="AC60" s="157">
        <f t="shared" si="160"/>
        <v>91.286009512307842</v>
      </c>
      <c r="AD60" s="138" t="e">
        <f t="shared" si="142"/>
        <v>#NUM!</v>
      </c>
      <c r="AE60" s="31">
        <f t="shared" si="16"/>
        <v>0.05</v>
      </c>
      <c r="AF60" s="146">
        <f t="shared" si="143"/>
        <v>563.82535287013673</v>
      </c>
    </row>
    <row r="61" spans="2:32" x14ac:dyDescent="0.2">
      <c r="B61" s="20" t="s">
        <v>271</v>
      </c>
      <c r="C61" s="127">
        <f t="shared" ref="C61:P61" si="161">(C7-C10-C9)/C42</f>
        <v>0</v>
      </c>
      <c r="D61" s="127">
        <f t="shared" si="161"/>
        <v>0</v>
      </c>
      <c r="E61" s="127">
        <f t="shared" si="161"/>
        <v>0</v>
      </c>
      <c r="F61" s="144">
        <f t="shared" si="161"/>
        <v>0</v>
      </c>
      <c r="G61" s="144">
        <f t="shared" si="161"/>
        <v>-108.0568720379147</v>
      </c>
      <c r="H61" s="144">
        <f t="shared" si="161"/>
        <v>-102.60663507109005</v>
      </c>
      <c r="I61" s="144">
        <f t="shared" si="161"/>
        <v>-94.549763033175367</v>
      </c>
      <c r="J61" s="144">
        <f t="shared" si="161"/>
        <v>-109.25507900677202</v>
      </c>
      <c r="K61" s="144">
        <f t="shared" si="161"/>
        <v>-144.46952595936796</v>
      </c>
      <c r="L61" s="144">
        <f t="shared" si="161"/>
        <v>-129.11963882618511</v>
      </c>
      <c r="M61" s="144">
        <f t="shared" si="161"/>
        <v>-118.05869074492099</v>
      </c>
      <c r="N61" s="144">
        <f t="shared" si="161"/>
        <v>-330.9029345372461</v>
      </c>
      <c r="O61" s="144">
        <f t="shared" si="161"/>
        <v>-16.862566182268786</v>
      </c>
      <c r="P61" s="144">
        <f t="shared" si="161"/>
        <v>-17.866508955728289</v>
      </c>
      <c r="Q61" s="144">
        <f t="shared" ref="Q61" si="162">(Q7-Q10-Q9)/Q42</f>
        <v>-11.636926889714998</v>
      </c>
      <c r="R61" s="118">
        <f>((P61/G61)^(1/($H$2-$H$1) ))-1</f>
        <v>-0.18124465999569517</v>
      </c>
      <c r="S61" s="128"/>
      <c r="T61" s="157">
        <f t="shared" ref="T61:AC61" si="163">(T7-T10-T9)/T42</f>
        <v>-13.077689266536849</v>
      </c>
      <c r="U61" s="157">
        <f t="shared" si="163"/>
        <v>-14.696831747155688</v>
      </c>
      <c r="V61" s="157">
        <f t="shared" si="163"/>
        <v>-16.516439487279719</v>
      </c>
      <c r="W61" s="157">
        <f t="shared" si="163"/>
        <v>-18.561331995228638</v>
      </c>
      <c r="X61" s="157">
        <f t="shared" si="163"/>
        <v>-20.859401670828365</v>
      </c>
      <c r="Y61" s="157">
        <f t="shared" si="163"/>
        <v>-23.441994258645209</v>
      </c>
      <c r="Z61" s="157">
        <f t="shared" si="163"/>
        <v>-26.344336404953655</v>
      </c>
      <c r="AA61" s="157">
        <f t="shared" si="163"/>
        <v>-29.606016150328859</v>
      </c>
      <c r="AB61" s="157">
        <f t="shared" si="163"/>
        <v>-33.271522911798144</v>
      </c>
      <c r="AC61" s="157">
        <f t="shared" si="163"/>
        <v>-37.390854319925523</v>
      </c>
      <c r="AD61" s="138">
        <f t="shared" si="142"/>
        <v>-5.1678384298338709E-2</v>
      </c>
      <c r="AE61" s="31">
        <f t="shared" si="16"/>
        <v>0.05</v>
      </c>
      <c r="AF61" s="146">
        <f t="shared" si="143"/>
        <v>-230.9435119760106</v>
      </c>
    </row>
    <row r="62" spans="2:32" x14ac:dyDescent="0.2">
      <c r="B62" s="20" t="s">
        <v>276</v>
      </c>
      <c r="C62" s="127">
        <f t="shared" ref="C62:P62" si="164">(C7+C15-C10-C9)/C42</f>
        <v>0</v>
      </c>
      <c r="D62" s="127">
        <f t="shared" si="164"/>
        <v>0</v>
      </c>
      <c r="E62" s="127">
        <f t="shared" si="164"/>
        <v>0</v>
      </c>
      <c r="F62" s="144">
        <f t="shared" si="164"/>
        <v>0</v>
      </c>
      <c r="G62" s="144">
        <f t="shared" si="164"/>
        <v>-27.725118483412324</v>
      </c>
      <c r="H62" s="144">
        <f t="shared" si="164"/>
        <v>-9.0047393364928912</v>
      </c>
      <c r="I62" s="144">
        <f t="shared" si="164"/>
        <v>25.118483412322277</v>
      </c>
      <c r="J62" s="144">
        <f t="shared" si="164"/>
        <v>77.426636568848764</v>
      </c>
      <c r="K62" s="144">
        <f t="shared" si="164"/>
        <v>125.2821670428894</v>
      </c>
      <c r="L62" s="144">
        <f t="shared" si="164"/>
        <v>179.00677200902936</v>
      </c>
      <c r="M62" s="144">
        <f t="shared" si="164"/>
        <v>220.99322799097067</v>
      </c>
      <c r="N62" s="144">
        <f t="shared" si="164"/>
        <v>397.08803611738159</v>
      </c>
      <c r="O62" s="144">
        <f t="shared" si="164"/>
        <v>28.355412864706544</v>
      </c>
      <c r="P62" s="144">
        <f t="shared" si="164"/>
        <v>38.289850174608539</v>
      </c>
      <c r="Q62" s="144">
        <f t="shared" ref="Q62" si="165">(Q7+Q15-Q10-Q9)/Q42</f>
        <v>44.519432240621832</v>
      </c>
      <c r="R62" s="118">
        <f>((P62/G62)^(1/($H$2-$H$1) ))-1</f>
        <v>-2.0365229379730874</v>
      </c>
      <c r="S62" s="128"/>
      <c r="T62" s="157">
        <f t="shared" ref="T62:AC62" si="166">(T7+T15-T10-T9)/T42</f>
        <v>50.031361946603568</v>
      </c>
      <c r="U62" s="157">
        <f t="shared" si="166"/>
        <v>56.225721044754494</v>
      </c>
      <c r="V62" s="157">
        <f t="shared" si="166"/>
        <v>63.187000793152663</v>
      </c>
      <c r="W62" s="157">
        <f t="shared" si="166"/>
        <v>71.01015327230489</v>
      </c>
      <c r="X62" s="157">
        <f t="shared" si="166"/>
        <v>79.801886534590253</v>
      </c>
      <c r="Y62" s="157">
        <f t="shared" si="166"/>
        <v>89.682120105539497</v>
      </c>
      <c r="Z62" s="157">
        <f t="shared" si="166"/>
        <v>100.78562069003488</v>
      </c>
      <c r="AA62" s="157">
        <f t="shared" si="166"/>
        <v>113.2638403945154</v>
      </c>
      <c r="AB62" s="157">
        <f t="shared" si="166"/>
        <v>127.28698253859818</v>
      </c>
      <c r="AC62" s="157">
        <f t="shared" si="166"/>
        <v>143.04632323385323</v>
      </c>
      <c r="AD62" s="138" t="e">
        <f t="shared" si="142"/>
        <v>#NUM!</v>
      </c>
      <c r="AE62" s="31">
        <f t="shared" si="16"/>
        <v>0.05</v>
      </c>
      <c r="AF62" s="146">
        <f t="shared" si="143"/>
        <v>883.52140820909369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7">C12/C42</f>
        <v>0</v>
      </c>
      <c r="D64" s="127">
        <f t="shared" si="167"/>
        <v>0</v>
      </c>
      <c r="E64" s="127">
        <f t="shared" si="167"/>
        <v>0</v>
      </c>
      <c r="F64" s="144">
        <f t="shared" si="167"/>
        <v>0</v>
      </c>
      <c r="G64" s="144">
        <f t="shared" si="167"/>
        <v>6.3981042654028437</v>
      </c>
      <c r="H64" s="144">
        <f t="shared" si="167"/>
        <v>10.66350710900474</v>
      </c>
      <c r="I64" s="144">
        <f t="shared" si="167"/>
        <v>9.0047393364928912</v>
      </c>
      <c r="J64" s="144">
        <f t="shared" si="167"/>
        <v>11.512415349887133</v>
      </c>
      <c r="K64" s="144">
        <f t="shared" si="167"/>
        <v>11.738148984198647</v>
      </c>
      <c r="L64" s="144">
        <f t="shared" si="167"/>
        <v>12.415349887133184</v>
      </c>
      <c r="M64" s="144">
        <f t="shared" si="167"/>
        <v>44.469525959367949</v>
      </c>
      <c r="N64" s="144">
        <f t="shared" si="167"/>
        <v>250.5643340857788</v>
      </c>
      <c r="O64" s="144">
        <f t="shared" si="167"/>
        <v>10.893319815252902</v>
      </c>
      <c r="P64" s="144">
        <f t="shared" si="167"/>
        <v>12.830911343922496</v>
      </c>
      <c r="Q64" s="144">
        <f t="shared" ref="Q64" si="168">Q12/Q42</f>
        <v>12.830911343922496</v>
      </c>
      <c r="R64" s="118">
        <f>((P64/G64)^(1/($H$2-$H$1) ))-1</f>
        <v>8.0384800557574243E-2</v>
      </c>
      <c r="S64" s="128"/>
      <c r="T64" s="157">
        <f t="shared" ref="T64:AC64" si="169">T12/T42</f>
        <v>14.419500367455758</v>
      </c>
      <c r="U64" s="157">
        <f t="shared" si="169"/>
        <v>16.204771841521705</v>
      </c>
      <c r="V64" s="157">
        <f t="shared" si="169"/>
        <v>18.211076926662486</v>
      </c>
      <c r="W64" s="157">
        <f t="shared" si="169"/>
        <v>20.465781689011173</v>
      </c>
      <c r="X64" s="157">
        <f t="shared" si="169"/>
        <v>22.999640374317313</v>
      </c>
      <c r="Y64" s="157">
        <f t="shared" si="169"/>
        <v>25.847214896851838</v>
      </c>
      <c r="Z64" s="157">
        <f t="shared" si="169"/>
        <v>29.047346265033493</v>
      </c>
      <c r="AA64" s="157">
        <f t="shared" si="169"/>
        <v>32.64368437403764</v>
      </c>
      <c r="AB64" s="157">
        <f t="shared" si="169"/>
        <v>36.685283391775627</v>
      </c>
      <c r="AC64" s="157">
        <f t="shared" si="169"/>
        <v>41.22727085932879</v>
      </c>
      <c r="AD64" s="138">
        <f t="shared" si="142"/>
        <v>9.763175697458637E-2</v>
      </c>
      <c r="AE64" s="31">
        <f t="shared" si="16"/>
        <v>0.05</v>
      </c>
      <c r="AF64" s="146">
        <f t="shared" si="143"/>
        <v>254.63902589585433</v>
      </c>
    </row>
    <row r="65" spans="2:32" x14ac:dyDescent="0.2">
      <c r="B65" s="20" t="s">
        <v>255</v>
      </c>
      <c r="C65" s="127">
        <f t="shared" ref="C65:P65" si="170">C13/C42</f>
        <v>0</v>
      </c>
      <c r="D65" s="127">
        <f t="shared" si="170"/>
        <v>0</v>
      </c>
      <c r="E65" s="127">
        <f t="shared" si="170"/>
        <v>0</v>
      </c>
      <c r="F65" s="144">
        <f t="shared" si="170"/>
        <v>0</v>
      </c>
      <c r="G65" s="144">
        <f t="shared" si="170"/>
        <v>6.2322274881516595</v>
      </c>
      <c r="H65" s="144">
        <f t="shared" si="170"/>
        <v>6.080568720379147</v>
      </c>
      <c r="I65" s="144">
        <f t="shared" si="170"/>
        <v>6.6350710900473935</v>
      </c>
      <c r="J65" s="144">
        <f t="shared" si="170"/>
        <v>7.1331828442437928</v>
      </c>
      <c r="K65" s="144">
        <f t="shared" si="170"/>
        <v>0.5191873589164786</v>
      </c>
      <c r="L65" s="144">
        <f t="shared" si="170"/>
        <v>0.36117381489841993</v>
      </c>
      <c r="M65" s="144">
        <f t="shared" si="170"/>
        <v>0.36117381489841993</v>
      </c>
      <c r="N65" s="144">
        <f t="shared" si="170"/>
        <v>0.56433408577878108</v>
      </c>
      <c r="O65" s="144">
        <f t="shared" si="170"/>
        <v>2.7036160865157147E-2</v>
      </c>
      <c r="P65" s="144">
        <f t="shared" si="170"/>
        <v>3.2781345049003048E-2</v>
      </c>
      <c r="Q65" s="144">
        <f t="shared" ref="Q65" si="171">Q13/Q42</f>
        <v>3.2781345049003048E-2</v>
      </c>
      <c r="R65" s="118">
        <f>((P65/G65)^(1/($H$2-$H$1) ))-1</f>
        <v>-0.44181785368648463</v>
      </c>
      <c r="S65" s="128"/>
      <c r="T65" s="157">
        <f t="shared" ref="T65:AC65" si="172">T13/T42</f>
        <v>3.6839987769355799E-2</v>
      </c>
      <c r="U65" s="157">
        <f t="shared" si="172"/>
        <v>4.1401129112228423E-2</v>
      </c>
      <c r="V65" s="157">
        <f t="shared" si="172"/>
        <v>4.6526983192790028E-2</v>
      </c>
      <c r="W65" s="157">
        <f t="shared" si="172"/>
        <v>5.2287466826183071E-2</v>
      </c>
      <c r="X65" s="157">
        <f t="shared" si="172"/>
        <v>5.8761153195139068E-2</v>
      </c>
      <c r="Y65" s="157">
        <f t="shared" si="172"/>
        <v>6.6036343590727714E-2</v>
      </c>
      <c r="Z65" s="157">
        <f t="shared" si="172"/>
        <v>7.4212271844817809E-2</v>
      </c>
      <c r="AA65" s="157">
        <f t="shared" si="172"/>
        <v>8.3400457882747636E-2</v>
      </c>
      <c r="AB65" s="157">
        <f t="shared" si="172"/>
        <v>9.372622885870685E-2</v>
      </c>
      <c r="AC65" s="157">
        <f t="shared" si="172"/>
        <v>0.10533042862216577</v>
      </c>
      <c r="AD65" s="138">
        <f t="shared" si="142"/>
        <v>-0.18455339733567677</v>
      </c>
      <c r="AE65" s="31">
        <f t="shared" si="16"/>
        <v>0.05</v>
      </c>
      <c r="AF65" s="146">
        <f t="shared" si="143"/>
        <v>0.65057029443102399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73">(D64+D65)</f>
        <v>0</v>
      </c>
      <c r="E66" s="127">
        <f t="shared" si="173"/>
        <v>0</v>
      </c>
      <c r="F66" s="144">
        <f t="shared" si="173"/>
        <v>0</v>
      </c>
      <c r="G66" s="144">
        <f t="shared" si="173"/>
        <v>12.630331753554504</v>
      </c>
      <c r="H66" s="144">
        <f t="shared" si="173"/>
        <v>16.744075829383888</v>
      </c>
      <c r="I66" s="144">
        <f t="shared" si="173"/>
        <v>15.639810426540285</v>
      </c>
      <c r="J66" s="144">
        <f t="shared" si="173"/>
        <v>18.645598194130926</v>
      </c>
      <c r="K66" s="144">
        <f t="shared" si="173"/>
        <v>12.257336343115126</v>
      </c>
      <c r="L66" s="144">
        <f t="shared" si="173"/>
        <v>12.776523702031604</v>
      </c>
      <c r="M66" s="144">
        <f t="shared" si="173"/>
        <v>44.830699774266371</v>
      </c>
      <c r="N66" s="144">
        <f t="shared" si="173"/>
        <v>251.12866817155756</v>
      </c>
      <c r="O66" s="144">
        <f t="shared" ref="O66" si="174">(O64+O65)</f>
        <v>10.920355976118058</v>
      </c>
      <c r="P66" s="144">
        <f t="shared" si="173"/>
        <v>12.863692688971499</v>
      </c>
      <c r="Q66" s="144">
        <f t="shared" ref="Q66" si="175">(Q64+Q65)</f>
        <v>12.863692688971499</v>
      </c>
      <c r="R66" s="118">
        <f>((P66/G66)^(1/($H$2-$H$1) ))-1</f>
        <v>2.0362503253859021E-3</v>
      </c>
      <c r="S66" s="128"/>
      <c r="T66" s="157">
        <f t="shared" ref="T66:AC66" si="176">(T64+T65)</f>
        <v>14.456340355225114</v>
      </c>
      <c r="U66" s="157">
        <f t="shared" si="176"/>
        <v>16.246172970633932</v>
      </c>
      <c r="V66" s="157">
        <f t="shared" si="176"/>
        <v>18.257603909855277</v>
      </c>
      <c r="W66" s="157">
        <f t="shared" si="176"/>
        <v>20.518069155837356</v>
      </c>
      <c r="X66" s="157">
        <f t="shared" si="176"/>
        <v>23.058401527512451</v>
      </c>
      <c r="Y66" s="157">
        <f t="shared" si="176"/>
        <v>25.913251240442566</v>
      </c>
      <c r="Z66" s="157">
        <f t="shared" si="176"/>
        <v>29.121558536878311</v>
      </c>
      <c r="AA66" s="157">
        <f t="shared" si="176"/>
        <v>32.727084831920386</v>
      </c>
      <c r="AB66" s="157">
        <f t="shared" si="176"/>
        <v>36.779009620634334</v>
      </c>
      <c r="AC66" s="157">
        <f t="shared" si="176"/>
        <v>41.332601287950958</v>
      </c>
      <c r="AD66" s="138">
        <f t="shared" si="142"/>
        <v>6.1069665968496389E-2</v>
      </c>
      <c r="AE66" s="31">
        <f t="shared" si="16"/>
        <v>0.05</v>
      </c>
      <c r="AF66" s="146">
        <f t="shared" si="143"/>
        <v>255.28959619028535</v>
      </c>
    </row>
    <row r="67" spans="2:32" x14ac:dyDescent="0.2">
      <c r="B67" s="20" t="s">
        <v>249</v>
      </c>
      <c r="C67" s="127">
        <f t="shared" ref="C67:P67" si="177">C15/C42</f>
        <v>0</v>
      </c>
      <c r="D67" s="127">
        <f t="shared" si="177"/>
        <v>0</v>
      </c>
      <c r="E67" s="127">
        <f t="shared" si="177"/>
        <v>0</v>
      </c>
      <c r="F67" s="144">
        <f t="shared" si="177"/>
        <v>0</v>
      </c>
      <c r="G67" s="144">
        <f t="shared" si="177"/>
        <v>80.33175355450237</v>
      </c>
      <c r="H67" s="144">
        <f t="shared" si="177"/>
        <v>93.601895734597164</v>
      </c>
      <c r="I67" s="144">
        <f t="shared" si="177"/>
        <v>119.66824644549764</v>
      </c>
      <c r="J67" s="144">
        <f t="shared" si="177"/>
        <v>186.68171557562079</v>
      </c>
      <c r="K67" s="144">
        <f t="shared" si="177"/>
        <v>269.75169300225735</v>
      </c>
      <c r="L67" s="144">
        <f t="shared" si="177"/>
        <v>308.12641083521447</v>
      </c>
      <c r="M67" s="144">
        <f t="shared" si="177"/>
        <v>339.05191873589166</v>
      </c>
      <c r="N67" s="144">
        <f t="shared" si="177"/>
        <v>727.99097065462763</v>
      </c>
      <c r="O67" s="144">
        <f t="shared" si="177"/>
        <v>45.21797904697533</v>
      </c>
      <c r="P67" s="144">
        <f t="shared" si="177"/>
        <v>56.156359130336831</v>
      </c>
      <c r="Q67" s="144">
        <f t="shared" ref="Q67" si="178">Q15/Q42</f>
        <v>56.156359130336831</v>
      </c>
      <c r="R67" s="118">
        <f>((P67/G67)^(1/($H$2-$H$1) ))-1</f>
        <v>-3.8999703361700777E-2</v>
      </c>
      <c r="S67" s="128"/>
      <c r="T67" s="157">
        <f t="shared" ref="T67:AC67" si="179">T15/T42</f>
        <v>63.109051213140425</v>
      </c>
      <c r="U67" s="157">
        <f t="shared" si="179"/>
        <v>70.922552791910178</v>
      </c>
      <c r="V67" s="157">
        <f t="shared" si="179"/>
        <v>79.703440280432389</v>
      </c>
      <c r="W67" s="157">
        <f t="shared" si="179"/>
        <v>89.571485267533532</v>
      </c>
      <c r="X67" s="157">
        <f t="shared" si="179"/>
        <v>100.66128820541861</v>
      </c>
      <c r="Y67" s="157">
        <f t="shared" si="179"/>
        <v>113.12411436418472</v>
      </c>
      <c r="Z67" s="157">
        <f t="shared" si="179"/>
        <v>127.12995709498853</v>
      </c>
      <c r="AA67" s="157">
        <f t="shared" si="179"/>
        <v>142.86985654484425</v>
      </c>
      <c r="AB67" s="157">
        <f t="shared" si="179"/>
        <v>160.55850545039635</v>
      </c>
      <c r="AC67" s="157">
        <f t="shared" si="179"/>
        <v>180.43717755377875</v>
      </c>
      <c r="AD67" s="138">
        <f t="shared" si="142"/>
        <v>4.1290578359720165E-2</v>
      </c>
      <c r="AE67" s="31">
        <f t="shared" si="16"/>
        <v>0.05</v>
      </c>
      <c r="AF67" s="146">
        <f t="shared" si="143"/>
        <v>1114.4649201851041</v>
      </c>
    </row>
    <row r="68" spans="2:32" x14ac:dyDescent="0.2">
      <c r="B68" s="20" t="s">
        <v>250</v>
      </c>
      <c r="C68" s="127">
        <f t="shared" ref="C68:P68" si="180">C16/C42</f>
        <v>0</v>
      </c>
      <c r="D68" s="127">
        <f t="shared" si="180"/>
        <v>0</v>
      </c>
      <c r="E68" s="127">
        <f t="shared" si="180"/>
        <v>0</v>
      </c>
      <c r="F68" s="144">
        <f t="shared" si="180"/>
        <v>0</v>
      </c>
      <c r="G68" s="144">
        <f t="shared" si="180"/>
        <v>76.540284360189574</v>
      </c>
      <c r="H68" s="144">
        <f t="shared" si="180"/>
        <v>60.189573459715646</v>
      </c>
      <c r="I68" s="144">
        <f t="shared" si="180"/>
        <v>60.426540284360193</v>
      </c>
      <c r="J68" s="144">
        <f t="shared" si="180"/>
        <v>62.528216704288944</v>
      </c>
      <c r="K68" s="144">
        <f t="shared" si="180"/>
        <v>82.618510158013549</v>
      </c>
      <c r="L68" s="144">
        <f t="shared" si="180"/>
        <v>95.485327313769758</v>
      </c>
      <c r="M68" s="144">
        <f t="shared" si="180"/>
        <v>118.05869074492099</v>
      </c>
      <c r="N68" s="144">
        <f t="shared" si="180"/>
        <v>166.36568848758466</v>
      </c>
      <c r="O68" s="144">
        <f t="shared" si="180"/>
        <v>11.884645713641996</v>
      </c>
      <c r="P68" s="144">
        <f t="shared" si="180"/>
        <v>16.458262926664414</v>
      </c>
      <c r="Q68" s="144">
        <f t="shared" ref="Q68" si="181">Q16/Q42</f>
        <v>16.458262926664414</v>
      </c>
      <c r="R68" s="118">
        <f>((P68/G68)^(1/($H$2-$H$1) ))-1</f>
        <v>-0.15699013212910085</v>
      </c>
      <c r="S68" s="128"/>
      <c r="T68" s="157">
        <f t="shared" ref="T68:AC68" si="182">T16/T42</f>
        <v>18.495952622346675</v>
      </c>
      <c r="U68" s="157">
        <f t="shared" si="182"/>
        <v>20.785927708922927</v>
      </c>
      <c r="V68" s="157">
        <f t="shared" si="182"/>
        <v>23.35942352050386</v>
      </c>
      <c r="W68" s="157">
        <f t="shared" si="182"/>
        <v>26.251542623042429</v>
      </c>
      <c r="X68" s="157">
        <f t="shared" si="182"/>
        <v>29.501733614466723</v>
      </c>
      <c r="Y68" s="157">
        <f t="shared" si="182"/>
        <v>33.154329204829267</v>
      </c>
      <c r="Z68" s="157">
        <f t="shared" si="182"/>
        <v>37.259150915903362</v>
      </c>
      <c r="AA68" s="157">
        <f t="shared" si="182"/>
        <v>41.872188648348548</v>
      </c>
      <c r="AB68" s="157">
        <f t="shared" si="182"/>
        <v>47.056364385763118</v>
      </c>
      <c r="AC68" s="157">
        <f t="shared" si="182"/>
        <v>52.882390452571876</v>
      </c>
      <c r="AD68" s="138">
        <f t="shared" si="142"/>
        <v>-1.8317497161729701E-2</v>
      </c>
      <c r="AE68" s="137"/>
      <c r="AF68" s="146">
        <f t="shared" si="143"/>
        <v>240.37450205714489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3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83">D44</f>
        <v>0</v>
      </c>
      <c r="E70" s="159">
        <f t="shared" si="183"/>
        <v>0</v>
      </c>
      <c r="F70" s="159">
        <f t="shared" si="183"/>
        <v>0</v>
      </c>
      <c r="G70" s="159">
        <f t="shared" si="183"/>
        <v>1</v>
      </c>
      <c r="H70" s="159">
        <f t="shared" si="183"/>
        <v>2</v>
      </c>
      <c r="I70" s="159">
        <f t="shared" si="183"/>
        <v>3</v>
      </c>
      <c r="J70" s="159">
        <f t="shared" si="183"/>
        <v>5</v>
      </c>
      <c r="K70" s="159">
        <f t="shared" si="183"/>
        <v>8</v>
      </c>
      <c r="L70" s="159">
        <f t="shared" si="183"/>
        <v>10</v>
      </c>
      <c r="M70" s="159">
        <f t="shared" si="183"/>
        <v>15</v>
      </c>
      <c r="N70" s="159">
        <f t="shared" si="183"/>
        <v>25</v>
      </c>
      <c r="O70" s="159">
        <f t="shared" si="183"/>
        <v>1.75</v>
      </c>
      <c r="P70" s="159">
        <f t="shared" si="183"/>
        <v>2.1</v>
      </c>
      <c r="Q70" s="159">
        <f t="shared" ref="Q70" si="184">Q44</f>
        <v>2.1</v>
      </c>
      <c r="R70" s="118">
        <f>((P70/G70)^(1/($H$2-$H$1) ))-1</f>
        <v>8.5930781908219123E-2</v>
      </c>
      <c r="S70" s="128"/>
      <c r="T70" s="159">
        <f t="shared" ref="T70:AC70" si="185">T44</f>
        <v>2.1420000000000003</v>
      </c>
      <c r="U70" s="159">
        <f t="shared" si="185"/>
        <v>2.1848400000000003</v>
      </c>
      <c r="V70" s="159">
        <f t="shared" si="185"/>
        <v>2.2285368000000005</v>
      </c>
      <c r="W70" s="159">
        <f t="shared" si="185"/>
        <v>2.2731075360000004</v>
      </c>
      <c r="X70" s="159">
        <f t="shared" si="185"/>
        <v>2.3185696867200005</v>
      </c>
      <c r="Y70" s="159">
        <f t="shared" si="185"/>
        <v>2.3649410804544004</v>
      </c>
      <c r="Z70" s="159">
        <f t="shared" si="185"/>
        <v>2.4122399020634884</v>
      </c>
      <c r="AA70" s="159">
        <f t="shared" si="185"/>
        <v>2.4604847001047583</v>
      </c>
      <c r="AB70" s="159">
        <f t="shared" si="185"/>
        <v>2.5096943941068535</v>
      </c>
      <c r="AC70" s="159">
        <f t="shared" si="185"/>
        <v>2.5598882819889908</v>
      </c>
      <c r="AD70" s="138">
        <f t="shared" ref="AD70" si="186">((AC70/G70)^(1/($AC$3-$H$1) ))-1</f>
        <v>4.8120102426458811E-2</v>
      </c>
      <c r="AE70" s="31">
        <f t="shared" si="16"/>
        <v>0.05</v>
      </c>
      <c r="AF70" s="146">
        <f t="shared" si="143"/>
        <v>15.81107468287318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7">C20+C21</f>
        <v>0</v>
      </c>
      <c r="D72" s="127">
        <f t="shared" si="187"/>
        <v>0</v>
      </c>
      <c r="E72" s="127">
        <f t="shared" si="187"/>
        <v>0</v>
      </c>
      <c r="F72" s="144">
        <f t="shared" si="187"/>
        <v>0</v>
      </c>
      <c r="G72" s="144">
        <f t="shared" si="187"/>
        <v>117.26</v>
      </c>
      <c r="H72" s="144">
        <f t="shared" si="187"/>
        <v>150</v>
      </c>
      <c r="I72" s="144">
        <f t="shared" si="187"/>
        <v>88</v>
      </c>
      <c r="J72" s="144">
        <f t="shared" si="187"/>
        <v>35</v>
      </c>
      <c r="K72" s="144">
        <f t="shared" si="187"/>
        <v>40</v>
      </c>
      <c r="L72" s="144">
        <f t="shared" si="187"/>
        <v>102</v>
      </c>
      <c r="M72" s="144">
        <f t="shared" si="187"/>
        <v>311</v>
      </c>
      <c r="N72" s="144">
        <f t="shared" si="187"/>
        <v>998</v>
      </c>
      <c r="O72" s="144">
        <f t="shared" si="187"/>
        <v>87</v>
      </c>
      <c r="P72" s="144">
        <f t="shared" si="187"/>
        <v>411</v>
      </c>
      <c r="Q72" s="144">
        <f t="shared" ref="Q72" si="188">Q20+Q21</f>
        <v>411</v>
      </c>
      <c r="R72" s="118">
        <f>((P72/G72)^(1/($H$2-$H$1) ))-1</f>
        <v>0.14953268917566409</v>
      </c>
      <c r="S72" s="128"/>
      <c r="T72" s="144">
        <f t="shared" ref="T72:AC72" si="189">T20+T21</f>
        <v>484.97999999999996</v>
      </c>
      <c r="U72" s="144">
        <f t="shared" si="189"/>
        <v>572.27639999999997</v>
      </c>
      <c r="V72" s="144">
        <f t="shared" si="189"/>
        <v>675.2861519999999</v>
      </c>
      <c r="W72" s="144">
        <f t="shared" si="189"/>
        <v>796.83765935999986</v>
      </c>
      <c r="X72" s="144">
        <f t="shared" si="189"/>
        <v>940.26843804479972</v>
      </c>
      <c r="Y72" s="144">
        <f t="shared" si="189"/>
        <v>1109.5167568928637</v>
      </c>
      <c r="Z72" s="144">
        <f t="shared" si="189"/>
        <v>1309.2297731335793</v>
      </c>
      <c r="AA72" s="144">
        <f t="shared" si="189"/>
        <v>1544.8911322976235</v>
      </c>
      <c r="AB72" s="144">
        <f t="shared" si="189"/>
        <v>1822.9715361111957</v>
      </c>
      <c r="AC72" s="144">
        <f t="shared" si="189"/>
        <v>2151.106412611211</v>
      </c>
      <c r="AD72" s="138">
        <f t="shared" ref="AD72:AD77" si="190">((AC72/G72)^(1/($AC$3-$H$1) ))-1</f>
        <v>0.15657979280711598</v>
      </c>
      <c r="AE72" s="31">
        <f t="shared" si="16"/>
        <v>0.05</v>
      </c>
      <c r="AF72" s="146">
        <f t="shared" si="143"/>
        <v>13286.245489657482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91">C72/C42</f>
        <v>0</v>
      </c>
      <c r="D74" s="127">
        <f t="shared" si="191"/>
        <v>0</v>
      </c>
      <c r="E74" s="127">
        <f t="shared" si="191"/>
        <v>0</v>
      </c>
      <c r="F74" s="144">
        <f t="shared" si="191"/>
        <v>0</v>
      </c>
      <c r="G74" s="144">
        <f t="shared" si="191"/>
        <v>27.786729857819907</v>
      </c>
      <c r="H74" s="144">
        <f t="shared" si="191"/>
        <v>35.545023696682463</v>
      </c>
      <c r="I74" s="144">
        <f t="shared" si="191"/>
        <v>20.85308056872038</v>
      </c>
      <c r="J74" s="144">
        <f t="shared" si="191"/>
        <v>7.9006772009029351</v>
      </c>
      <c r="K74" s="144">
        <f t="shared" si="191"/>
        <v>9.0293453724604973</v>
      </c>
      <c r="L74" s="144">
        <f t="shared" si="191"/>
        <v>23.024830699774267</v>
      </c>
      <c r="M74" s="144">
        <f t="shared" si="191"/>
        <v>70.20316027088036</v>
      </c>
      <c r="N74" s="144">
        <f t="shared" si="191"/>
        <v>225.2821670428894</v>
      </c>
      <c r="O74" s="144">
        <f t="shared" si="191"/>
        <v>0.98006083136194666</v>
      </c>
      <c r="P74" s="144">
        <f t="shared" si="191"/>
        <v>4.6299425481581613</v>
      </c>
      <c r="Q74" s="144">
        <f t="shared" ref="Q74" si="192">Q72/Q42</f>
        <v>4.6299425481581613</v>
      </c>
      <c r="R74" s="118">
        <f>((P74/G74)^(1/($H$2-$H$1) ))-1</f>
        <v>-0.18054244689618237</v>
      </c>
      <c r="S74" s="128"/>
      <c r="T74" s="146">
        <f t="shared" ref="T74:AC74" si="193">T72/T42</f>
        <v>5.2031735303110764</v>
      </c>
      <c r="U74" s="146">
        <f t="shared" si="193"/>
        <v>5.8473759673972099</v>
      </c>
      <c r="V74" s="146">
        <f t="shared" si="193"/>
        <v>6.5713368014559101</v>
      </c>
      <c r="W74" s="146">
        <f t="shared" si="193"/>
        <v>7.3849308816361647</v>
      </c>
      <c r="X74" s="146">
        <f t="shared" si="193"/>
        <v>8.2992556574577847</v>
      </c>
      <c r="Y74" s="146">
        <f t="shared" si="193"/>
        <v>9.3267825483811286</v>
      </c>
      <c r="Z74" s="146">
        <f t="shared" si="193"/>
        <v>10.481527054371174</v>
      </c>
      <c r="AA74" s="146">
        <f t="shared" si="193"/>
        <v>11.77923992776951</v>
      </c>
      <c r="AB74" s="146">
        <f t="shared" si="193"/>
        <v>13.237622014064781</v>
      </c>
      <c r="AC74" s="146">
        <f t="shared" si="193"/>
        <v>14.87656569199661</v>
      </c>
      <c r="AD74" s="138">
        <f t="shared" si="190"/>
        <v>-3.0755685233997188E-2</v>
      </c>
      <c r="AE74" s="31">
        <f t="shared" si="16"/>
        <v>0.05</v>
      </c>
      <c r="AF74" s="146">
        <f t="shared" si="143"/>
        <v>91.884670450567313</v>
      </c>
    </row>
    <row r="75" spans="2:32" x14ac:dyDescent="0.2">
      <c r="B75" s="20" t="s">
        <v>287</v>
      </c>
      <c r="C75" s="127">
        <f t="shared" ref="C75:P75" si="194">C20/C42</f>
        <v>0</v>
      </c>
      <c r="D75" s="127">
        <f t="shared" si="194"/>
        <v>0</v>
      </c>
      <c r="E75" s="127">
        <f t="shared" si="194"/>
        <v>0</v>
      </c>
      <c r="F75" s="144">
        <f t="shared" si="194"/>
        <v>0</v>
      </c>
      <c r="G75" s="144">
        <f t="shared" si="194"/>
        <v>27.251184834123226</v>
      </c>
      <c r="H75" s="144">
        <f t="shared" si="194"/>
        <v>38.862559241706165</v>
      </c>
      <c r="I75" s="144">
        <f t="shared" si="194"/>
        <v>28.909952606635073</v>
      </c>
      <c r="J75" s="144">
        <f t="shared" si="194"/>
        <v>28.442437923250566</v>
      </c>
      <c r="K75" s="144">
        <f t="shared" si="194"/>
        <v>23.024830699774267</v>
      </c>
      <c r="L75" s="144">
        <f t="shared" si="194"/>
        <v>35.891647855530479</v>
      </c>
      <c r="M75" s="144">
        <f t="shared" si="194"/>
        <v>77.200902934537254</v>
      </c>
      <c r="N75" s="144">
        <f t="shared" si="194"/>
        <v>231.37697516930024</v>
      </c>
      <c r="O75" s="144">
        <f t="shared" si="194"/>
        <v>1.7686155232623635</v>
      </c>
      <c r="P75" s="144">
        <f t="shared" si="194"/>
        <v>5.1030753632984123</v>
      </c>
      <c r="Q75" s="144">
        <f t="shared" ref="Q75" si="195">Q20/Q42</f>
        <v>5.1030753632984123</v>
      </c>
      <c r="R75" s="118">
        <f>((P75/G75)^(1/($H$2-$H$1) ))-1</f>
        <v>-0.16984204760985167</v>
      </c>
      <c r="S75" s="128"/>
      <c r="T75" s="146">
        <f t="shared" ref="T75:AC75" si="196">T20/T42</f>
        <v>5.7348846939925</v>
      </c>
      <c r="U75" s="146">
        <f t="shared" si="196"/>
        <v>6.4449180370582377</v>
      </c>
      <c r="V75" s="146">
        <f t="shared" si="196"/>
        <v>7.242860270217828</v>
      </c>
      <c r="W75" s="146">
        <f t="shared" si="196"/>
        <v>8.1395953512924155</v>
      </c>
      <c r="X75" s="146">
        <f t="shared" si="196"/>
        <v>9.1473547757381422</v>
      </c>
      <c r="Y75" s="146">
        <f t="shared" si="196"/>
        <v>10.279884414639055</v>
      </c>
      <c r="Z75" s="146">
        <f t="shared" si="196"/>
        <v>11.552632008832461</v>
      </c>
      <c r="AA75" s="146">
        <f t="shared" si="196"/>
        <v>12.982957876592671</v>
      </c>
      <c r="AB75" s="146">
        <f t="shared" si="196"/>
        <v>14.590371708932715</v>
      </c>
      <c r="AC75" s="146">
        <f t="shared" si="196"/>
        <v>16.396798682419622</v>
      </c>
      <c r="AD75" s="138">
        <f t="shared" si="190"/>
        <v>-2.5080664611339953E-2</v>
      </c>
      <c r="AE75" s="31">
        <f t="shared" si="16"/>
        <v>0.05</v>
      </c>
      <c r="AF75" s="146">
        <f t="shared" si="143"/>
        <v>101.27434480318003</v>
      </c>
    </row>
    <row r="76" spans="2:32" x14ac:dyDescent="0.2">
      <c r="B76" s="20" t="s">
        <v>288</v>
      </c>
      <c r="C76" s="127">
        <f t="shared" ref="C76:P76" si="197">C21/C42</f>
        <v>0</v>
      </c>
      <c r="D76" s="127">
        <f t="shared" si="197"/>
        <v>0</v>
      </c>
      <c r="E76" s="127">
        <f t="shared" si="197"/>
        <v>0</v>
      </c>
      <c r="F76" s="144">
        <f t="shared" si="197"/>
        <v>0</v>
      </c>
      <c r="G76" s="144">
        <f t="shared" si="197"/>
        <v>0.53554502369668244</v>
      </c>
      <c r="H76" s="144">
        <f t="shared" si="197"/>
        <v>-3.3175355450236967</v>
      </c>
      <c r="I76" s="144">
        <f t="shared" si="197"/>
        <v>-8.0568720379146921</v>
      </c>
      <c r="J76" s="144">
        <f t="shared" si="197"/>
        <v>-20.541760722347632</v>
      </c>
      <c r="K76" s="144">
        <f t="shared" si="197"/>
        <v>-13.995485327313771</v>
      </c>
      <c r="L76" s="144">
        <f t="shared" si="197"/>
        <v>-12.866817155756209</v>
      </c>
      <c r="M76" s="144">
        <f t="shared" si="197"/>
        <v>-6.9977426636568856</v>
      </c>
      <c r="N76" s="144">
        <f t="shared" si="197"/>
        <v>-6.094808126410836</v>
      </c>
      <c r="O76" s="144">
        <f t="shared" si="197"/>
        <v>-0.78855469190041683</v>
      </c>
      <c r="P76" s="144">
        <f t="shared" si="197"/>
        <v>-0.47313281514025013</v>
      </c>
      <c r="Q76" s="144">
        <f t="shared" ref="Q76" si="198">Q21/Q42</f>
        <v>-0.47313281514025013</v>
      </c>
      <c r="R76" s="118">
        <f>((P76/G76)^(1/($H$2-$H$1) ))-1</f>
        <v>-1.9863266937122623</v>
      </c>
      <c r="S76" s="128"/>
      <c r="T76" s="146">
        <f t="shared" ref="T76:AC76" si="199">T21/T42</f>
        <v>-0.53171116368142379</v>
      </c>
      <c r="U76" s="146">
        <f t="shared" si="199"/>
        <v>-0.59754206966102863</v>
      </c>
      <c r="V76" s="146">
        <f t="shared" si="199"/>
        <v>-0.67152346876191782</v>
      </c>
      <c r="W76" s="146">
        <f t="shared" si="199"/>
        <v>-0.75466446965625045</v>
      </c>
      <c r="X76" s="146">
        <f t="shared" si="199"/>
        <v>-0.84809911828035756</v>
      </c>
      <c r="Y76" s="146">
        <f t="shared" si="199"/>
        <v>-0.95310186625792559</v>
      </c>
      <c r="Z76" s="146">
        <f t="shared" si="199"/>
        <v>-1.0711049544612876</v>
      </c>
      <c r="AA76" s="146">
        <f t="shared" si="199"/>
        <v>-1.2037179488231615</v>
      </c>
      <c r="AB76" s="146">
        <f t="shared" si="199"/>
        <v>-1.3527496948679336</v>
      </c>
      <c r="AC76" s="146">
        <f t="shared" si="199"/>
        <v>-1.5202329904230107</v>
      </c>
      <c r="AD76" s="138" t="e">
        <f t="shared" si="190"/>
        <v>#NUM!</v>
      </c>
      <c r="AE76" s="31">
        <f t="shared" si="16"/>
        <v>0.05</v>
      </c>
      <c r="AF76" s="146">
        <f t="shared" si="143"/>
        <v>-9.3896743526127153</v>
      </c>
    </row>
    <row r="77" spans="2:32" x14ac:dyDescent="0.2">
      <c r="B77" s="20" t="s">
        <v>289</v>
      </c>
      <c r="C77" s="127">
        <f t="shared" ref="C77:P77" si="200">C22/C42</f>
        <v>0</v>
      </c>
      <c r="D77" s="127">
        <f t="shared" si="200"/>
        <v>0</v>
      </c>
      <c r="E77" s="127">
        <f t="shared" si="200"/>
        <v>0</v>
      </c>
      <c r="F77" s="144">
        <f t="shared" si="200"/>
        <v>0</v>
      </c>
      <c r="G77" s="144">
        <f t="shared" si="200"/>
        <v>-27.014218009478675</v>
      </c>
      <c r="H77" s="144">
        <f t="shared" si="200"/>
        <v>-31.753554502369671</v>
      </c>
      <c r="I77" s="144">
        <f t="shared" si="200"/>
        <v>-22.037914691943129</v>
      </c>
      <c r="J77" s="144">
        <f t="shared" si="200"/>
        <v>-5.1918735891647856</v>
      </c>
      <c r="K77" s="144">
        <f t="shared" si="200"/>
        <v>-8.5778781038374721</v>
      </c>
      <c r="L77" s="144">
        <f t="shared" si="200"/>
        <v>-22.34762979683973</v>
      </c>
      <c r="M77" s="144">
        <f t="shared" si="200"/>
        <v>-40.180586907449211</v>
      </c>
      <c r="N77" s="144">
        <f t="shared" si="200"/>
        <v>-20.541760722347632</v>
      </c>
      <c r="O77" s="144">
        <f t="shared" si="200"/>
        <v>-2.636025684352822</v>
      </c>
      <c r="P77" s="144">
        <f t="shared" si="200"/>
        <v>-2.6472907513799706</v>
      </c>
      <c r="Q77" s="144">
        <f t="shared" ref="Q77" si="201">Q22/Q42</f>
        <v>-2.6472907513799706</v>
      </c>
      <c r="R77" s="118">
        <f>((P77/G77)^(1/($H$2-$H$1) ))-1</f>
        <v>-0.22747571989112514</v>
      </c>
      <c r="S77" s="128"/>
      <c r="T77" s="146">
        <f t="shared" ref="T77:AC77" si="202">T22/T42</f>
        <v>-2.9750505586936815</v>
      </c>
      <c r="U77" s="146">
        <f t="shared" si="202"/>
        <v>-3.3433901516748037</v>
      </c>
      <c r="V77" s="146">
        <f t="shared" si="202"/>
        <v>-3.7573336942631119</v>
      </c>
      <c r="W77" s="146">
        <f t="shared" si="202"/>
        <v>-4.2225273897433055</v>
      </c>
      <c r="X77" s="146">
        <f t="shared" si="202"/>
        <v>-4.7453164951400959</v>
      </c>
      <c r="Y77" s="146">
        <f t="shared" si="202"/>
        <v>-5.3328318707288691</v>
      </c>
      <c r="Z77" s="146">
        <f t="shared" si="202"/>
        <v>-5.9930872452000621</v>
      </c>
      <c r="AA77" s="146">
        <f t="shared" si="202"/>
        <v>-6.735088523177212</v>
      </c>
      <c r="AB77" s="146">
        <f t="shared" si="202"/>
        <v>-7.56895662604677</v>
      </c>
      <c r="AC77" s="146">
        <f t="shared" si="202"/>
        <v>-8.5060655416525606</v>
      </c>
      <c r="AD77" s="138">
        <f t="shared" si="190"/>
        <v>-5.6141663070787162E-2</v>
      </c>
      <c r="AE77" s="31">
        <f t="shared" si="16"/>
        <v>0.05</v>
      </c>
      <c r="AF77" s="146">
        <f t="shared" si="143"/>
        <v>-52.537463639618764</v>
      </c>
    </row>
    <row r="78" spans="2:32" x14ac:dyDescent="0.2">
      <c r="B78" s="20" t="s">
        <v>296</v>
      </c>
      <c r="C78" s="127">
        <f t="shared" ref="C78:P78" si="203">C23/C42</f>
        <v>0</v>
      </c>
      <c r="D78" s="127">
        <f t="shared" si="203"/>
        <v>0</v>
      </c>
      <c r="E78" s="127">
        <f t="shared" si="203"/>
        <v>0</v>
      </c>
      <c r="F78" s="144">
        <f t="shared" si="203"/>
        <v>0</v>
      </c>
      <c r="G78" s="144">
        <f t="shared" si="203"/>
        <v>6.3981042654028437</v>
      </c>
      <c r="H78" s="144">
        <f t="shared" si="203"/>
        <v>10.308056872037914</v>
      </c>
      <c r="I78" s="144">
        <f t="shared" si="203"/>
        <v>9.0734597156398102</v>
      </c>
      <c r="J78" s="144">
        <f t="shared" si="203"/>
        <v>11.512415349887133</v>
      </c>
      <c r="K78" s="144">
        <f t="shared" si="203"/>
        <v>11.738148984198647</v>
      </c>
      <c r="L78" s="144">
        <f t="shared" si="203"/>
        <v>12.415349887133184</v>
      </c>
      <c r="M78" s="144">
        <f t="shared" si="203"/>
        <v>42.212189616252822</v>
      </c>
      <c r="N78" s="144">
        <f t="shared" si="203"/>
        <v>246.95259593679461</v>
      </c>
      <c r="O78" s="144">
        <f t="shared" si="203"/>
        <v>10.780669144981413</v>
      </c>
      <c r="P78" s="144">
        <f t="shared" si="203"/>
        <v>12.79711614284105</v>
      </c>
      <c r="Q78" s="144">
        <f t="shared" ref="Q78" si="204">Q23/Q42</f>
        <v>12.79711614284105</v>
      </c>
      <c r="R78" s="118">
        <f>((P78/G78)^(1/($H$2-$H$1) ))-1</f>
        <v>8.0068250478766423E-2</v>
      </c>
      <c r="S78" s="128"/>
      <c r="T78" s="146">
        <f t="shared" ref="T78:AC78" si="205">T23/T42</f>
        <v>14.381520998621371</v>
      </c>
      <c r="U78" s="146">
        <f t="shared" si="205"/>
        <v>16.162090265117349</v>
      </c>
      <c r="V78" s="146">
        <f t="shared" si="205"/>
        <v>18.163110964608066</v>
      </c>
      <c r="W78" s="146">
        <f t="shared" si="205"/>
        <v>20.41187708403573</v>
      </c>
      <c r="X78" s="146">
        <f t="shared" si="205"/>
        <v>22.93906186586872</v>
      </c>
      <c r="Y78" s="146">
        <f t="shared" si="205"/>
        <v>25.779136192119132</v>
      </c>
      <c r="Z78" s="146">
        <f t="shared" si="205"/>
        <v>28.970838768286256</v>
      </c>
      <c r="AA78" s="146">
        <f t="shared" si="205"/>
        <v>32.557704520550267</v>
      </c>
      <c r="AB78" s="146">
        <f t="shared" si="205"/>
        <v>36.588658413570769</v>
      </c>
      <c r="AC78" s="146">
        <f t="shared" si="205"/>
        <v>41.118682788584294</v>
      </c>
      <c r="AD78" s="138">
        <f t="shared" ref="AD78" si="206">((AC78/G78)^(1/($AC$3-$H$1) ))-1</f>
        <v>9.7487023784479154E-2</v>
      </c>
      <c r="AE78" s="31">
        <f t="shared" si="16"/>
        <v>0.05</v>
      </c>
      <c r="AF78" s="146">
        <f t="shared" si="143"/>
        <v>253.96833487066775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7">C36/C42</f>
        <v>0</v>
      </c>
      <c r="D80" s="144">
        <f t="shared" si="207"/>
        <v>0</v>
      </c>
      <c r="E80" s="144">
        <f t="shared" si="207"/>
        <v>0</v>
      </c>
      <c r="F80" s="144">
        <f t="shared" si="207"/>
        <v>0</v>
      </c>
      <c r="G80" s="144">
        <f t="shared" si="207"/>
        <v>21.563981042654028</v>
      </c>
      <c r="H80" s="144">
        <f t="shared" si="207"/>
        <v>32.938388625592417</v>
      </c>
      <c r="I80" s="144">
        <f t="shared" si="207"/>
        <v>40.047393364928915</v>
      </c>
      <c r="J80" s="144">
        <f t="shared" si="207"/>
        <v>50.112866817155762</v>
      </c>
      <c r="K80" s="144">
        <f t="shared" si="207"/>
        <v>55.169300225733636</v>
      </c>
      <c r="L80" s="144">
        <f t="shared" si="207"/>
        <v>71.106094808126414</v>
      </c>
      <c r="M80" s="144">
        <f t="shared" si="207"/>
        <v>90.067720090293463</v>
      </c>
      <c r="N80" s="144">
        <f t="shared" si="207"/>
        <v>139.05191873589166</v>
      </c>
      <c r="O80" s="144">
        <f t="shared" si="207"/>
        <v>9.4063309676692572</v>
      </c>
      <c r="P80" s="144">
        <f t="shared" si="207"/>
        <v>11.400247831474598</v>
      </c>
      <c r="Q80" s="144">
        <f t="shared" ref="Q80" si="208">Q36/Q42</f>
        <v>10.99470541849724</v>
      </c>
      <c r="R80" s="118">
        <f>((P80/G80)^(1/($H$2-$H$1) ))-1</f>
        <v>-6.837139063752673E-2</v>
      </c>
      <c r="S80" s="128"/>
      <c r="T80" s="144">
        <f t="shared" ref="T80:AC80" si="209">T36/T42</f>
        <v>12.355954660787372</v>
      </c>
      <c r="U80" s="144">
        <f t="shared" si="209"/>
        <v>13.885739523551521</v>
      </c>
      <c r="V80" s="144">
        <f t="shared" si="209"/>
        <v>15.604926321705518</v>
      </c>
      <c r="W80" s="144">
        <f t="shared" si="209"/>
        <v>17.53696481867858</v>
      </c>
      <c r="X80" s="144">
        <f t="shared" si="209"/>
        <v>19.708208081943546</v>
      </c>
      <c r="Y80" s="144">
        <f t="shared" si="209"/>
        <v>22.148271939707982</v>
      </c>
      <c r="Z80" s="144">
        <f t="shared" si="209"/>
        <v>24.890438941767066</v>
      </c>
      <c r="AA80" s="144">
        <f t="shared" si="209"/>
        <v>27.972112334557274</v>
      </c>
      <c r="AB80" s="144">
        <f t="shared" si="209"/>
        <v>31.435326242645313</v>
      </c>
      <c r="AC80" s="144">
        <f t="shared" si="209"/>
        <v>35.327319015544248</v>
      </c>
      <c r="AD80" s="138">
        <f t="shared" ref="AD80:AD82" si="210">((AC80/G80)^(1/($AC$3-$H$1) ))-1</f>
        <v>2.4988722199112079E-2</v>
      </c>
      <c r="AE80" s="31">
        <f t="shared" si="16"/>
        <v>0.05</v>
      </c>
      <c r="AF80" s="146">
        <f t="shared" si="143"/>
        <v>218.1981468607145</v>
      </c>
    </row>
    <row r="81" spans="2:32" x14ac:dyDescent="0.2">
      <c r="B81" s="20" t="s">
        <v>312</v>
      </c>
      <c r="C81" s="144">
        <f t="shared" ref="C81:P81" si="211">C40/C42</f>
        <v>0</v>
      </c>
      <c r="D81" s="144">
        <f t="shared" si="211"/>
        <v>0</v>
      </c>
      <c r="E81" s="144">
        <f t="shared" si="211"/>
        <v>0</v>
      </c>
      <c r="F81" s="144">
        <f t="shared" si="211"/>
        <v>0</v>
      </c>
      <c r="G81" s="144">
        <f t="shared" si="211"/>
        <v>13.744075829383887</v>
      </c>
      <c r="H81" s="144">
        <f t="shared" si="211"/>
        <v>15.28436018957346</v>
      </c>
      <c r="I81" s="144">
        <f t="shared" si="211"/>
        <v>23.45971563981043</v>
      </c>
      <c r="J81" s="144">
        <f t="shared" si="211"/>
        <v>25.056433408577881</v>
      </c>
      <c r="K81" s="144">
        <f t="shared" si="211"/>
        <v>30.69977426636569</v>
      </c>
      <c r="L81" s="144">
        <f t="shared" si="211"/>
        <v>37.020316027088036</v>
      </c>
      <c r="M81" s="144">
        <f t="shared" si="211"/>
        <v>56.659142212189622</v>
      </c>
      <c r="N81" s="144">
        <f t="shared" si="211"/>
        <v>97.742663656884886</v>
      </c>
      <c r="O81" s="144">
        <f t="shared" si="211"/>
        <v>6.7703052833164357</v>
      </c>
      <c r="P81" s="144">
        <f t="shared" si="211"/>
        <v>8.1671735946828896</v>
      </c>
      <c r="Q81" s="144">
        <f t="shared" ref="Q81" si="212">Q40/Q42</f>
        <v>8.2685591979272282</v>
      </c>
      <c r="R81" s="118">
        <f>((P81/G81)^(1/($H$2-$H$1) ))-1</f>
        <v>-5.6191189639926531E-2</v>
      </c>
      <c r="S81" s="128"/>
      <c r="T81" s="144">
        <f t="shared" ref="T81:AC81" si="213">T40/T42</f>
        <v>9.2922855748134552</v>
      </c>
      <c r="U81" s="144">
        <f t="shared" si="213"/>
        <v>10.442759026933215</v>
      </c>
      <c r="V81" s="144">
        <f t="shared" si="213"/>
        <v>11.735672049315422</v>
      </c>
      <c r="W81" s="144">
        <f t="shared" si="213"/>
        <v>13.188660017325899</v>
      </c>
      <c r="X81" s="144">
        <f t="shared" si="213"/>
        <v>14.821541733756725</v>
      </c>
      <c r="Y81" s="144">
        <f t="shared" si="213"/>
        <v>16.656589757936125</v>
      </c>
      <c r="Z81" s="144">
        <f t="shared" si="213"/>
        <v>18.718834204156789</v>
      </c>
      <c r="AA81" s="144">
        <f t="shared" si="213"/>
        <v>21.036404153242866</v>
      </c>
      <c r="AB81" s="144">
        <f t="shared" si="213"/>
        <v>23.640911334120553</v>
      </c>
      <c r="AC81" s="144">
        <f t="shared" si="213"/>
        <v>26.567881308821185</v>
      </c>
      <c r="AD81" s="138">
        <f t="shared" si="210"/>
        <v>3.3503779068050132E-2</v>
      </c>
      <c r="AE81" s="31">
        <f t="shared" si="16"/>
        <v>0.05</v>
      </c>
      <c r="AF81" s="146">
        <f t="shared" si="143"/>
        <v>164.09573749566027</v>
      </c>
    </row>
    <row r="82" spans="2:32" x14ac:dyDescent="0.2">
      <c r="B82" s="20" t="s">
        <v>313</v>
      </c>
      <c r="C82" s="144">
        <f t="shared" ref="C82:P82" si="214">C6/C42</f>
        <v>0</v>
      </c>
      <c r="D82" s="144">
        <f t="shared" si="214"/>
        <v>0</v>
      </c>
      <c r="E82" s="144">
        <f t="shared" si="214"/>
        <v>0</v>
      </c>
      <c r="F82" s="144">
        <f t="shared" si="214"/>
        <v>0</v>
      </c>
      <c r="G82" s="144">
        <f t="shared" si="214"/>
        <v>19.66824644549763</v>
      </c>
      <c r="H82" s="144">
        <f t="shared" si="214"/>
        <v>21.563981042654028</v>
      </c>
      <c r="I82" s="144">
        <f t="shared" si="214"/>
        <v>36.492890995260666</v>
      </c>
      <c r="J82" s="144">
        <f t="shared" si="214"/>
        <v>66.139954853273139</v>
      </c>
      <c r="K82" s="144">
        <f t="shared" si="214"/>
        <v>90.519187358916483</v>
      </c>
      <c r="L82" s="144">
        <f t="shared" si="214"/>
        <v>115.80135440180588</v>
      </c>
      <c r="M82" s="144">
        <f t="shared" si="214"/>
        <v>155.07900677200905</v>
      </c>
      <c r="N82" s="144">
        <f t="shared" si="214"/>
        <v>223.70203160270881</v>
      </c>
      <c r="O82" s="144">
        <f t="shared" si="214"/>
        <v>15.45567196124817</v>
      </c>
      <c r="P82" s="144">
        <f t="shared" si="214"/>
        <v>21.189591078066915</v>
      </c>
      <c r="Q82" s="144">
        <f t="shared" ref="Q82" si="215">Q6/Q42</f>
        <v>27.407908077053058</v>
      </c>
      <c r="R82" s="118">
        <f>((P82/G82)^(1/($H$2-$H$1) ))-1</f>
        <v>8.3126480509938538E-3</v>
      </c>
      <c r="S82" s="128"/>
      <c r="T82" s="144">
        <f t="shared" ref="T82:AC82" si="216">T6/T42</f>
        <v>30.8012681246882</v>
      </c>
      <c r="U82" s="144">
        <f t="shared" si="216"/>
        <v>34.614758463935303</v>
      </c>
      <c r="V82" s="144">
        <f t="shared" si="216"/>
        <v>38.900395226136816</v>
      </c>
      <c r="W82" s="144">
        <f t="shared" si="216"/>
        <v>43.716634635087082</v>
      </c>
      <c r="X82" s="144">
        <f t="shared" si="216"/>
        <v>49.129170351812142</v>
      </c>
      <c r="Y82" s="144">
        <f t="shared" si="216"/>
        <v>55.211829538226972</v>
      </c>
      <c r="Z82" s="144">
        <f t="shared" si="216"/>
        <v>62.047579862007453</v>
      </c>
      <c r="AA82" s="144">
        <f t="shared" si="216"/>
        <v>69.729661178255995</v>
      </c>
      <c r="AB82" s="144">
        <f t="shared" si="216"/>
        <v>78.362857324135291</v>
      </c>
      <c r="AC82" s="144">
        <f t="shared" si="216"/>
        <v>88.064925373790118</v>
      </c>
      <c r="AD82" s="138">
        <f t="shared" si="210"/>
        <v>7.7833968517303287E-2</v>
      </c>
      <c r="AE82" s="31">
        <f t="shared" ref="AE82" si="217">$L$1</f>
        <v>0.05</v>
      </c>
      <c r="AF82" s="146">
        <f t="shared" si="143"/>
        <v>543.93042142635079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18">E36/E25</f>
        <v>#DIV/0!</v>
      </c>
      <c r="F86" s="152" t="e">
        <f t="shared" si="218"/>
        <v>#DIV/0!</v>
      </c>
      <c r="G86" s="152">
        <f t="shared" si="218"/>
        <v>9.3621399176954737E-2</v>
      </c>
      <c r="H86" s="152">
        <f t="shared" si="218"/>
        <v>0.11789652247667515</v>
      </c>
      <c r="I86" s="152">
        <f t="shared" si="218"/>
        <v>0.11221779548472775</v>
      </c>
      <c r="J86" s="152">
        <f t="shared" si="218"/>
        <v>9.56484274019819E-2</v>
      </c>
      <c r="K86" s="152">
        <f t="shared" si="218"/>
        <v>7.4603174603174602E-2</v>
      </c>
      <c r="L86" s="152">
        <f t="shared" si="218"/>
        <v>7.9066265060240962E-2</v>
      </c>
      <c r="M86" s="152">
        <f t="shared" si="218"/>
        <v>8.3107685898771086E-2</v>
      </c>
      <c r="N86" s="152">
        <f t="shared" si="218"/>
        <v>8.6907449209932278E-2</v>
      </c>
      <c r="O86" s="152">
        <f t="shared" si="218"/>
        <v>8.6144640462189212E-2</v>
      </c>
      <c r="P86" s="152">
        <f t="shared" si="218"/>
        <v>9.1691582857660603E-2</v>
      </c>
      <c r="Q86" s="152">
        <f t="shared" ref="Q86" si="219">Q36/Q25</f>
        <v>8.8349778220331313E-2</v>
      </c>
      <c r="R86" s="118">
        <f t="shared" ref="R86:R138" si="220">((P86/G86)^(1/($H$2-$H$1) ))-1</f>
        <v>-2.3115903707476848E-3</v>
      </c>
      <c r="S86" s="152"/>
      <c r="T86" s="152">
        <f t="shared" ref="T86:AC86" si="221">T36/T25</f>
        <v>8.8349778220331299E-2</v>
      </c>
      <c r="U86" s="152">
        <f t="shared" si="221"/>
        <v>8.8349778220331299E-2</v>
      </c>
      <c r="V86" s="152">
        <f t="shared" si="221"/>
        <v>8.8349778220331299E-2</v>
      </c>
      <c r="W86" s="152">
        <f t="shared" si="221"/>
        <v>8.8349778220331299E-2</v>
      </c>
      <c r="X86" s="152">
        <f t="shared" si="221"/>
        <v>8.8349778220331299E-2</v>
      </c>
      <c r="Y86" s="152">
        <f t="shared" si="221"/>
        <v>8.8349778220331299E-2</v>
      </c>
      <c r="Z86" s="152">
        <f t="shared" si="221"/>
        <v>8.8349778220331299E-2</v>
      </c>
      <c r="AA86" s="152">
        <f t="shared" si="221"/>
        <v>8.8349778220331299E-2</v>
      </c>
      <c r="AB86" s="152">
        <f t="shared" si="221"/>
        <v>8.8349778220331313E-2</v>
      </c>
      <c r="AC86" s="152">
        <f t="shared" si="221"/>
        <v>8.8349778220331299E-2</v>
      </c>
      <c r="AD86" s="138">
        <f t="shared" ref="AD86:AD125" si="222">((AC86/G86)^(1/($AC$3-$H$1) ))-1</f>
        <v>-2.893570158371106E-3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23">E40/E25</f>
        <v>#DIV/0!</v>
      </c>
      <c r="F87" s="152" t="e">
        <f t="shared" si="223"/>
        <v>#DIV/0!</v>
      </c>
      <c r="G87" s="152">
        <f t="shared" si="223"/>
        <v>5.9670781893004114E-2</v>
      </c>
      <c r="H87" s="152">
        <f t="shared" si="223"/>
        <v>5.4707379134860054E-2</v>
      </c>
      <c r="I87" s="152">
        <f t="shared" si="223"/>
        <v>6.5737051792828682E-2</v>
      </c>
      <c r="J87" s="152">
        <f t="shared" si="223"/>
        <v>4.782421370099095E-2</v>
      </c>
      <c r="K87" s="152">
        <f t="shared" si="223"/>
        <v>4.1514041514041512E-2</v>
      </c>
      <c r="L87" s="152">
        <f t="shared" si="223"/>
        <v>4.1164658634538151E-2</v>
      </c>
      <c r="M87" s="152">
        <f t="shared" si="223"/>
        <v>5.2280774838575295E-2</v>
      </c>
      <c r="N87" s="152">
        <f t="shared" si="223"/>
        <v>6.1089164785553048E-2</v>
      </c>
      <c r="O87" s="152">
        <f t="shared" si="223"/>
        <v>6.2003507685958942E-2</v>
      </c>
      <c r="P87" s="152">
        <f t="shared" si="223"/>
        <v>6.5688139893086889E-2</v>
      </c>
      <c r="Q87" s="152">
        <f t="shared" ref="Q87" si="224">Q40/Q25</f>
        <v>6.644337829274917E-2</v>
      </c>
      <c r="R87" s="118">
        <f t="shared" si="220"/>
        <v>1.0732282735055776E-2</v>
      </c>
      <c r="S87" s="152"/>
      <c r="T87" s="152">
        <f t="shared" ref="T87:AC87" si="225">T40/T25</f>
        <v>6.644337829274917E-2</v>
      </c>
      <c r="U87" s="152">
        <f t="shared" si="225"/>
        <v>6.644337829274917E-2</v>
      </c>
      <c r="V87" s="152">
        <f t="shared" si="225"/>
        <v>6.644337829274917E-2</v>
      </c>
      <c r="W87" s="152">
        <f t="shared" si="225"/>
        <v>6.6443378292749156E-2</v>
      </c>
      <c r="X87" s="152">
        <f t="shared" si="225"/>
        <v>6.6443378292749156E-2</v>
      </c>
      <c r="Y87" s="152">
        <f t="shared" si="225"/>
        <v>6.6443378292749156E-2</v>
      </c>
      <c r="Z87" s="152">
        <f t="shared" si="225"/>
        <v>6.6443378292749142E-2</v>
      </c>
      <c r="AA87" s="152">
        <f t="shared" si="225"/>
        <v>6.6443378292749156E-2</v>
      </c>
      <c r="AB87" s="152">
        <f t="shared" si="225"/>
        <v>6.6443378292749156E-2</v>
      </c>
      <c r="AC87" s="152">
        <f t="shared" si="225"/>
        <v>6.6443378292749156E-2</v>
      </c>
      <c r="AD87" s="138">
        <f t="shared" si="222"/>
        <v>5.3898555716889174E-3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26">E40/E7</f>
        <v>#DIV/0!</v>
      </c>
      <c r="F88" s="152" t="e">
        <f t="shared" si="226"/>
        <v>#DIV/0!</v>
      </c>
      <c r="G88" s="152">
        <f>G40/G7</f>
        <v>0.3493975903614458</v>
      </c>
      <c r="H88" s="152">
        <f t="shared" si="226"/>
        <v>0.37068965517241381</v>
      </c>
      <c r="I88" s="152">
        <f t="shared" si="226"/>
        <v>0.41949152542372881</v>
      </c>
      <c r="J88" s="152">
        <f t="shared" si="226"/>
        <v>0.32937685459940652</v>
      </c>
      <c r="K88" s="152">
        <f t="shared" si="226"/>
        <v>0.30561797752808989</v>
      </c>
      <c r="L88" s="152">
        <f t="shared" si="226"/>
        <v>0.29390681003584229</v>
      </c>
      <c r="M88" s="152">
        <f t="shared" si="226"/>
        <v>0.34289617486338797</v>
      </c>
      <c r="N88" s="152">
        <f t="shared" si="226"/>
        <v>0.41835748792270533</v>
      </c>
      <c r="O88" s="152">
        <f t="shared" si="226"/>
        <v>0.41136208076659819</v>
      </c>
      <c r="P88" s="152">
        <f t="shared" ref="P88:Q88" si="227">P40/P7</f>
        <v>0.36820721178263077</v>
      </c>
      <c r="Q88" s="152">
        <f t="shared" si="227"/>
        <v>0.29103885804916735</v>
      </c>
      <c r="R88" s="118">
        <f t="shared" si="220"/>
        <v>5.8431554703817223E-3</v>
      </c>
      <c r="S88" s="20"/>
      <c r="T88" s="152">
        <f t="shared" ref="T88" si="228">T40/T7</f>
        <v>0.29103885804916735</v>
      </c>
      <c r="U88" s="152">
        <f t="shared" ref="U88:AC88" si="229">U40/U7</f>
        <v>0.29103885804916729</v>
      </c>
      <c r="V88" s="152">
        <f t="shared" si="229"/>
        <v>0.29103885804916729</v>
      </c>
      <c r="W88" s="152">
        <f t="shared" si="229"/>
        <v>0.29103885804916729</v>
      </c>
      <c r="X88" s="152">
        <f t="shared" si="229"/>
        <v>0.29103885804916729</v>
      </c>
      <c r="Y88" s="152">
        <f t="shared" si="229"/>
        <v>0.29103885804916729</v>
      </c>
      <c r="Z88" s="152">
        <f t="shared" si="229"/>
        <v>0.29103885804916724</v>
      </c>
      <c r="AA88" s="152">
        <f t="shared" si="229"/>
        <v>0.29103885804916724</v>
      </c>
      <c r="AB88" s="152">
        <f t="shared" si="229"/>
        <v>0.29103885804916729</v>
      </c>
      <c r="AC88" s="152">
        <f t="shared" si="229"/>
        <v>0.29103885804916729</v>
      </c>
      <c r="AD88" s="138">
        <f t="shared" si="222"/>
        <v>-9.0960637288612922E-3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0">(E40)/(E7+E10)</f>
        <v>#DIV/0!</v>
      </c>
      <c r="F89" s="152" t="e">
        <f t="shared" si="230"/>
        <v>#DIV/0!</v>
      </c>
      <c r="G89" s="152">
        <f>(G40)/(G7+G10)</f>
        <v>0.1012216404886562</v>
      </c>
      <c r="H89" s="152">
        <f t="shared" ref="H89:O89" si="231">(H40)/(H7+H10)</f>
        <v>0.1308316430020284</v>
      </c>
      <c r="I89" s="152">
        <f t="shared" si="231"/>
        <v>0.19642857142857142</v>
      </c>
      <c r="J89" s="152">
        <f t="shared" si="231"/>
        <v>0.19006849315068494</v>
      </c>
      <c r="K89" s="152">
        <f t="shared" si="231"/>
        <v>0.20763358778625954</v>
      </c>
      <c r="L89" s="152">
        <f t="shared" si="231"/>
        <v>0.22651933701657459</v>
      </c>
      <c r="M89" s="152">
        <f t="shared" si="231"/>
        <v>0.31180124223602484</v>
      </c>
      <c r="N89" s="152">
        <f t="shared" si="231"/>
        <v>0.41439372188726192</v>
      </c>
      <c r="O89" s="152">
        <f t="shared" si="231"/>
        <v>0.40971033956193031</v>
      </c>
      <c r="P89" s="152">
        <f t="shared" ref="P89:Q89" si="232">(P40)/(P7+P10)</f>
        <v>0.3682053417707376</v>
      </c>
      <c r="Q89" s="152">
        <f t="shared" si="232"/>
        <v>0.29103770405351287</v>
      </c>
      <c r="R89" s="118">
        <f t="shared" si="220"/>
        <v>0.15428477705449617</v>
      </c>
      <c r="S89" s="20"/>
      <c r="T89" s="152">
        <f t="shared" ref="T89:AC89" si="233">(T40)/(T7+T10)</f>
        <v>0.29103770405351287</v>
      </c>
      <c r="U89" s="152">
        <f t="shared" si="233"/>
        <v>0.29103770405351287</v>
      </c>
      <c r="V89" s="152">
        <f t="shared" si="233"/>
        <v>0.29103770405351287</v>
      </c>
      <c r="W89" s="152">
        <f t="shared" si="233"/>
        <v>0.29103770405351281</v>
      </c>
      <c r="X89" s="152">
        <f t="shared" si="233"/>
        <v>0.29103770405351287</v>
      </c>
      <c r="Y89" s="152">
        <f t="shared" si="233"/>
        <v>0.29103770405351281</v>
      </c>
      <c r="Z89" s="152">
        <f t="shared" si="233"/>
        <v>0.29103770405351281</v>
      </c>
      <c r="AA89" s="152">
        <f t="shared" si="233"/>
        <v>0.29103770405351276</v>
      </c>
      <c r="AB89" s="152">
        <f t="shared" si="233"/>
        <v>0.29103770405351281</v>
      </c>
      <c r="AC89" s="152">
        <f t="shared" si="233"/>
        <v>0.29103770405351281</v>
      </c>
      <c r="AD89" s="138">
        <f t="shared" si="222"/>
        <v>5.4226173179139581E-2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0.11831275720164609</v>
      </c>
      <c r="H90" s="152">
        <f t="shared" ref="H90:P90" si="234">H20/H25</f>
        <v>0.13910093299406276</v>
      </c>
      <c r="I90" s="152">
        <f t="shared" si="234"/>
        <v>8.1009296148738377E-2</v>
      </c>
      <c r="J90" s="152">
        <f t="shared" si="234"/>
        <v>5.4286945282205942E-2</v>
      </c>
      <c r="K90" s="152">
        <f t="shared" si="234"/>
        <v>3.1135531135531136E-2</v>
      </c>
      <c r="L90" s="152">
        <f t="shared" si="234"/>
        <v>3.9909638554216864E-2</v>
      </c>
      <c r="M90" s="152">
        <f t="shared" si="234"/>
        <v>7.1235159341803786E-2</v>
      </c>
      <c r="N90" s="152">
        <f t="shared" si="234"/>
        <v>0.14461060948081264</v>
      </c>
      <c r="O90" s="152">
        <f t="shared" si="234"/>
        <v>1.6197255751573301E-2</v>
      </c>
      <c r="P90" s="152">
        <f t="shared" si="234"/>
        <v>4.104376189181843E-2</v>
      </c>
      <c r="Q90" s="152">
        <f t="shared" ref="Q90" si="235">Q20/Q25</f>
        <v>4.1006608128903776E-2</v>
      </c>
      <c r="R90" s="118">
        <f t="shared" si="220"/>
        <v>-0.1109773154905801</v>
      </c>
      <c r="S90" s="20"/>
      <c r="T90" s="152">
        <f t="shared" ref="T90:AC90" si="236">T20/T25</f>
        <v>4.1006608128903776E-2</v>
      </c>
      <c r="U90" s="152">
        <f t="shared" si="236"/>
        <v>4.100660812890377E-2</v>
      </c>
      <c r="V90" s="152">
        <f t="shared" si="236"/>
        <v>4.1006608128903776E-2</v>
      </c>
      <c r="W90" s="152">
        <f t="shared" si="236"/>
        <v>4.1006608128903776E-2</v>
      </c>
      <c r="X90" s="152">
        <f t="shared" si="236"/>
        <v>4.1006608128903776E-2</v>
      </c>
      <c r="Y90" s="152">
        <f t="shared" si="236"/>
        <v>4.1006608128903776E-2</v>
      </c>
      <c r="Z90" s="152">
        <f t="shared" si="236"/>
        <v>4.1006608128903776E-2</v>
      </c>
      <c r="AA90" s="152">
        <f t="shared" si="236"/>
        <v>4.1006608128903776E-2</v>
      </c>
      <c r="AB90" s="152">
        <f t="shared" si="236"/>
        <v>4.1006608128903776E-2</v>
      </c>
      <c r="AC90" s="152">
        <f t="shared" si="236"/>
        <v>4.1006608128903783E-2</v>
      </c>
      <c r="AD90" s="138">
        <f t="shared" si="222"/>
        <v>-5.1600942684203677E-2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4.6296296296296294E-3</v>
      </c>
      <c r="H91" s="152">
        <f t="shared" ref="H91:P91" si="237">H52/H25</f>
        <v>5.5131467345207802E-3</v>
      </c>
      <c r="I91" s="152">
        <f t="shared" si="237"/>
        <v>8.6321381142098266E-3</v>
      </c>
      <c r="J91" s="152">
        <f t="shared" si="237"/>
        <v>1.6372253339077984E-2</v>
      </c>
      <c r="K91" s="152">
        <f t="shared" si="237"/>
        <v>1.0683760683760684E-2</v>
      </c>
      <c r="L91" s="152">
        <f t="shared" si="237"/>
        <v>1.5813253012048192E-2</v>
      </c>
      <c r="M91" s="152">
        <f t="shared" si="237"/>
        <v>1.4163715892522391E-2</v>
      </c>
      <c r="N91" s="152">
        <f t="shared" si="237"/>
        <v>2.3984198645598195E-2</v>
      </c>
      <c r="O91" s="152">
        <f t="shared" si="237"/>
        <v>2.4656968946662541E-2</v>
      </c>
      <c r="P91" s="152">
        <f t="shared" si="237"/>
        <v>2.5459816979251607E-2</v>
      </c>
      <c r="Q91" s="152">
        <f t="shared" ref="Q91" si="238">Q52/Q25</f>
        <v>2.4893636281343352E-2</v>
      </c>
      <c r="R91" s="118">
        <f t="shared" si="220"/>
        <v>0.20852755986031779</v>
      </c>
      <c r="S91" s="20"/>
      <c r="T91" s="152">
        <f t="shared" ref="T91:AC91" si="239">T52/T25</f>
        <v>2.4893636281343345E-2</v>
      </c>
      <c r="U91" s="152">
        <f t="shared" si="239"/>
        <v>2.4893636281343352E-2</v>
      </c>
      <c r="V91" s="152">
        <f t="shared" si="239"/>
        <v>2.4893636281343348E-2</v>
      </c>
      <c r="W91" s="152">
        <f t="shared" si="239"/>
        <v>2.4893636281343348E-2</v>
      </c>
      <c r="X91" s="152">
        <f t="shared" si="239"/>
        <v>2.4893636281343345E-2</v>
      </c>
      <c r="Y91" s="152">
        <f t="shared" si="239"/>
        <v>2.4893636281343348E-2</v>
      </c>
      <c r="Z91" s="152">
        <f t="shared" si="239"/>
        <v>2.4893636281343348E-2</v>
      </c>
      <c r="AA91" s="152">
        <f t="shared" si="239"/>
        <v>2.4893636281343341E-2</v>
      </c>
      <c r="AB91" s="152">
        <f t="shared" si="239"/>
        <v>2.4893636281343338E-2</v>
      </c>
      <c r="AC91" s="152">
        <f t="shared" si="239"/>
        <v>2.4893636281343345E-2</v>
      </c>
      <c r="AD91" s="138">
        <f t="shared" si="222"/>
        <v>8.774502225557268E-2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4.3209876543209874E-2</v>
      </c>
      <c r="H93" s="152">
        <f t="shared" ref="H93:P93" si="240">H29/H25</f>
        <v>2.7989821882951654E-2</v>
      </c>
      <c r="I93" s="152">
        <f t="shared" si="240"/>
        <v>1.6600265604249667E-2</v>
      </c>
      <c r="J93" s="152">
        <f t="shared" si="240"/>
        <v>9.1512279190004309E-3</v>
      </c>
      <c r="K93" s="152">
        <f t="shared" si="240"/>
        <v>6.41025641025641E-3</v>
      </c>
      <c r="L93" s="152">
        <f t="shared" si="240"/>
        <v>7.2038152610441764E-3</v>
      </c>
      <c r="M93" s="152">
        <f t="shared" si="240"/>
        <v>5.2905644657363048E-3</v>
      </c>
      <c r="N93" s="152">
        <f t="shared" si="240"/>
        <v>4.8730248306997738E-3</v>
      </c>
      <c r="O93" s="152">
        <f t="shared" si="240"/>
        <v>4.5115031466006397E-3</v>
      </c>
      <c r="P93" s="152">
        <f t="shared" si="240"/>
        <v>4.5891093594273803E-3</v>
      </c>
      <c r="Q93" s="152">
        <f t="shared" ref="Q93" si="241">Q29/Q25</f>
        <v>7.8754412962795325E-3</v>
      </c>
      <c r="R93" s="118">
        <f t="shared" si="220"/>
        <v>-0.22053982385788262</v>
      </c>
      <c r="S93" s="20"/>
      <c r="T93" s="152">
        <f t="shared" ref="T93:AC93" si="242">T29/T25</f>
        <v>7.8754412962795325E-3</v>
      </c>
      <c r="U93" s="152">
        <f t="shared" si="242"/>
        <v>7.8754412962795325E-3</v>
      </c>
      <c r="V93" s="152">
        <f t="shared" si="242"/>
        <v>7.8754412962795343E-3</v>
      </c>
      <c r="W93" s="152">
        <f t="shared" si="242"/>
        <v>7.8754412962795343E-3</v>
      </c>
      <c r="X93" s="152">
        <f t="shared" si="242"/>
        <v>7.8754412962795343E-3</v>
      </c>
      <c r="Y93" s="152">
        <f t="shared" si="242"/>
        <v>7.8754412962795325E-3</v>
      </c>
      <c r="Z93" s="152">
        <f t="shared" si="242"/>
        <v>7.8754412962795325E-3</v>
      </c>
      <c r="AA93" s="152">
        <f t="shared" si="242"/>
        <v>7.8754412962795325E-3</v>
      </c>
      <c r="AB93" s="152">
        <f t="shared" si="242"/>
        <v>7.8754412962795308E-3</v>
      </c>
      <c r="AC93" s="152">
        <f t="shared" si="242"/>
        <v>7.8754412962795325E-3</v>
      </c>
      <c r="AD93" s="138">
        <f t="shared" si="222"/>
        <v>-8.1594250968090032E-2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0.46153846153846156</v>
      </c>
      <c r="H94" s="152">
        <f t="shared" ref="H94:P94" si="243">H29/H36</f>
        <v>0.23741007194244604</v>
      </c>
      <c r="I94" s="152">
        <f t="shared" si="243"/>
        <v>0.14792899408284024</v>
      </c>
      <c r="J94" s="152">
        <f t="shared" si="243"/>
        <v>9.567567567567567E-2</v>
      </c>
      <c r="K94" s="152">
        <f t="shared" si="243"/>
        <v>8.5924713584288048E-2</v>
      </c>
      <c r="L94" s="152">
        <f t="shared" si="243"/>
        <v>9.1111111111111115E-2</v>
      </c>
      <c r="M94" s="152">
        <f t="shared" si="243"/>
        <v>6.3659147869674179E-2</v>
      </c>
      <c r="N94" s="152">
        <f t="shared" si="243"/>
        <v>5.6071428571428571E-2</v>
      </c>
      <c r="O94" s="152">
        <f t="shared" si="243"/>
        <v>5.2371257485029937E-2</v>
      </c>
      <c r="P94" s="152">
        <f t="shared" si="243"/>
        <v>5.0049407114624501E-2</v>
      </c>
      <c r="Q94" s="152">
        <f t="shared" ref="Q94" si="244">Q29/Q36</f>
        <v>8.9139344262295084E-2</v>
      </c>
      <c r="R94" s="118">
        <f t="shared" ref="R94" si="245">((P94/G94)^(1/($H$2-$H$1) ))-1</f>
        <v>-0.21873385656372413</v>
      </c>
      <c r="S94" s="20"/>
      <c r="T94" s="152">
        <f t="shared" ref="T94:AC94" si="246">T29/T36</f>
        <v>8.9139344262295098E-2</v>
      </c>
      <c r="U94" s="152">
        <f t="shared" si="246"/>
        <v>8.9139344262295098E-2</v>
      </c>
      <c r="V94" s="152">
        <f t="shared" si="246"/>
        <v>8.9139344262295098E-2</v>
      </c>
      <c r="W94" s="152">
        <f t="shared" si="246"/>
        <v>8.9139344262295098E-2</v>
      </c>
      <c r="X94" s="152">
        <f t="shared" si="246"/>
        <v>8.9139344262295098E-2</v>
      </c>
      <c r="Y94" s="152">
        <f t="shared" si="246"/>
        <v>8.9139344262295098E-2</v>
      </c>
      <c r="Z94" s="152">
        <f t="shared" si="246"/>
        <v>8.9139344262295084E-2</v>
      </c>
      <c r="AA94" s="152">
        <f t="shared" si="246"/>
        <v>8.9139344262295084E-2</v>
      </c>
      <c r="AB94" s="152">
        <f t="shared" si="246"/>
        <v>8.913934426229507E-2</v>
      </c>
      <c r="AC94" s="152">
        <f t="shared" si="246"/>
        <v>8.913934426229507E-2</v>
      </c>
      <c r="AD94" s="138">
        <f t="shared" ref="AD94" si="247">((AC94/G94)^(1/($AC$3-$H$1) ))-1</f>
        <v>-7.892906760436702E-2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48">G29/G40</f>
        <v>0.72413793103448276</v>
      </c>
      <c r="H95" s="171">
        <f t="shared" si="248"/>
        <v>0.51162790697674421</v>
      </c>
      <c r="I95" s="171">
        <f t="shared" si="248"/>
        <v>0.25252525252525254</v>
      </c>
      <c r="J95" s="171">
        <f t="shared" si="248"/>
        <v>0.19135135135135134</v>
      </c>
      <c r="K95" s="171">
        <f t="shared" si="248"/>
        <v>0.15441176470588236</v>
      </c>
      <c r="L95" s="171">
        <f t="shared" si="248"/>
        <v>0.17499999999999999</v>
      </c>
      <c r="M95" s="171">
        <f t="shared" si="248"/>
        <v>0.10119521912350597</v>
      </c>
      <c r="N95" s="171">
        <f t="shared" si="248"/>
        <v>7.9769053117782915E-2</v>
      </c>
      <c r="O95" s="171">
        <f t="shared" si="248"/>
        <v>7.2762063227953408E-2</v>
      </c>
      <c r="P95" s="171">
        <f t="shared" si="248"/>
        <v>6.9862068965517235E-2</v>
      </c>
      <c r="Q95" s="171">
        <f t="shared" ref="Q95" si="249">Q29/Q40</f>
        <v>0.11852861035422343</v>
      </c>
      <c r="R95" s="118">
        <f t="shared" ref="R95" si="250">((P95/G95)^(1/($H$2-$H$1) ))-1</f>
        <v>-0.22881638446049524</v>
      </c>
      <c r="S95" s="20"/>
      <c r="T95" s="171">
        <f t="shared" ref="T95:AC95" si="251">T29/T40</f>
        <v>0.11852861035422343</v>
      </c>
      <c r="U95" s="171">
        <f t="shared" si="251"/>
        <v>0.11852861035422343</v>
      </c>
      <c r="V95" s="171">
        <f t="shared" si="251"/>
        <v>0.11852861035422345</v>
      </c>
      <c r="W95" s="171">
        <f t="shared" si="251"/>
        <v>0.11852861035422345</v>
      </c>
      <c r="X95" s="171">
        <f t="shared" si="251"/>
        <v>0.11852861035422345</v>
      </c>
      <c r="Y95" s="171">
        <f t="shared" si="251"/>
        <v>0.11852861035422345</v>
      </c>
      <c r="Z95" s="171">
        <f t="shared" si="251"/>
        <v>0.11852861035422345</v>
      </c>
      <c r="AA95" s="171">
        <f t="shared" si="251"/>
        <v>0.11852861035422345</v>
      </c>
      <c r="AB95" s="171">
        <f t="shared" si="251"/>
        <v>0.11852861035422343</v>
      </c>
      <c r="AC95" s="171">
        <f t="shared" si="251"/>
        <v>0.11852861035422343</v>
      </c>
      <c r="AD95" s="138">
        <f t="shared" ref="AD95" si="252">((AC95/G95)^(1/($AC$3-$H$1) ))-1</f>
        <v>-8.6517788157229436E-2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53">G29/G12</f>
        <v>1.5555555555555556</v>
      </c>
      <c r="H96" s="171">
        <f t="shared" si="253"/>
        <v>0.73333333333333328</v>
      </c>
      <c r="I96" s="171">
        <f t="shared" si="253"/>
        <v>0.65789473684210531</v>
      </c>
      <c r="J96" s="171">
        <f t="shared" si="253"/>
        <v>0.41647058823529409</v>
      </c>
      <c r="K96" s="171">
        <f t="shared" si="253"/>
        <v>0.40384615384615385</v>
      </c>
      <c r="L96" s="171">
        <f t="shared" si="253"/>
        <v>0.52181818181818185</v>
      </c>
      <c r="M96" s="171">
        <f t="shared" si="253"/>
        <v>0.12893401015228426</v>
      </c>
      <c r="N96" s="171">
        <f t="shared" si="253"/>
        <v>3.1117117117117118E-2</v>
      </c>
      <c r="O96" s="171">
        <f t="shared" si="253"/>
        <v>4.5222337125129262E-2</v>
      </c>
      <c r="P96" s="171">
        <f t="shared" si="253"/>
        <v>4.446883230904302E-2</v>
      </c>
      <c r="Q96" s="171">
        <f t="shared" ref="Q96" si="254">Q29/Q12</f>
        <v>7.6382791922739252E-2</v>
      </c>
      <c r="R96" s="118">
        <f t="shared" si="220"/>
        <v>-0.32630495136928495</v>
      </c>
      <c r="S96" s="20"/>
      <c r="T96" s="152">
        <f t="shared" ref="T96:AC96" si="255">T29/T12</f>
        <v>7.6382791922739238E-2</v>
      </c>
      <c r="U96" s="152">
        <f t="shared" si="255"/>
        <v>7.6382791922739252E-2</v>
      </c>
      <c r="V96" s="152">
        <f t="shared" si="255"/>
        <v>7.6382791922739252E-2</v>
      </c>
      <c r="W96" s="152">
        <f t="shared" si="255"/>
        <v>7.6382791922739252E-2</v>
      </c>
      <c r="X96" s="152">
        <f t="shared" si="255"/>
        <v>7.6382791922739252E-2</v>
      </c>
      <c r="Y96" s="152">
        <f t="shared" si="255"/>
        <v>7.6382791922739252E-2</v>
      </c>
      <c r="Z96" s="152">
        <f t="shared" si="255"/>
        <v>7.6382791922739238E-2</v>
      </c>
      <c r="AA96" s="152">
        <f t="shared" si="255"/>
        <v>7.6382791922739238E-2</v>
      </c>
      <c r="AB96" s="152">
        <f t="shared" si="255"/>
        <v>7.6382791922739238E-2</v>
      </c>
      <c r="AC96" s="152">
        <f t="shared" si="255"/>
        <v>7.6382791922739238E-2</v>
      </c>
      <c r="AD96" s="138">
        <f t="shared" si="222"/>
        <v>-0.1398870230821837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1.5555555555555556</v>
      </c>
      <c r="H97" s="171">
        <f t="shared" ref="H97:P97" si="256">H29/H23</f>
        <v>0.75862068965517238</v>
      </c>
      <c r="I97" s="171">
        <f t="shared" si="256"/>
        <v>0.65291198746408985</v>
      </c>
      <c r="J97" s="171">
        <f t="shared" si="256"/>
        <v>0.41647058823529409</v>
      </c>
      <c r="K97" s="171">
        <f t="shared" si="256"/>
        <v>0.40384615384615385</v>
      </c>
      <c r="L97" s="171">
        <f t="shared" si="256"/>
        <v>0.52181818181818185</v>
      </c>
      <c r="M97" s="171">
        <f t="shared" si="256"/>
        <v>0.1358288770053476</v>
      </c>
      <c r="N97" s="171">
        <f t="shared" si="256"/>
        <v>3.1572212065813531E-2</v>
      </c>
      <c r="O97" s="171">
        <f t="shared" si="256"/>
        <v>4.5694879832810863E-2</v>
      </c>
      <c r="P97" s="171">
        <f t="shared" si="256"/>
        <v>4.4586267605633799E-2</v>
      </c>
      <c r="Q97" s="171">
        <f t="shared" ref="Q97" si="257">Q29/Q23</f>
        <v>7.6584507042253516E-2</v>
      </c>
      <c r="R97" s="118">
        <f t="shared" ref="R97" si="258">((P97/G97)^(1/($H$2-$H$1) ))-1</f>
        <v>-0.32610750253154541</v>
      </c>
      <c r="S97" s="20"/>
      <c r="T97" s="171">
        <f t="shared" ref="T97:AC97" si="259">T29/T23</f>
        <v>7.6584507042253516E-2</v>
      </c>
      <c r="U97" s="171">
        <f t="shared" si="259"/>
        <v>7.6584507042253516E-2</v>
      </c>
      <c r="V97" s="171">
        <f t="shared" si="259"/>
        <v>7.6584507042253516E-2</v>
      </c>
      <c r="W97" s="171">
        <f t="shared" si="259"/>
        <v>7.6584507042253516E-2</v>
      </c>
      <c r="X97" s="171">
        <f t="shared" si="259"/>
        <v>7.6584507042253516E-2</v>
      </c>
      <c r="Y97" s="171">
        <f t="shared" si="259"/>
        <v>7.6584507042253516E-2</v>
      </c>
      <c r="Z97" s="171">
        <f t="shared" si="259"/>
        <v>7.6584507042253516E-2</v>
      </c>
      <c r="AA97" s="171">
        <f t="shared" si="259"/>
        <v>7.658450704225353E-2</v>
      </c>
      <c r="AB97" s="171">
        <f t="shared" si="259"/>
        <v>7.6584507042253516E-2</v>
      </c>
      <c r="AC97" s="171">
        <f t="shared" si="259"/>
        <v>7.6584507042253516E-2</v>
      </c>
      <c r="AD97" s="138">
        <f t="shared" ref="AD97" si="260">((AC97/G97)^(1/($AC$3-$H$1) ))-1</f>
        <v>-0.13977359404630085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23.142857142857146</v>
      </c>
      <c r="H99" s="127">
        <f t="shared" ref="H99:P99" si="261">1/H93</f>
        <v>35.727272727272727</v>
      </c>
      <c r="I99" s="127">
        <f t="shared" si="261"/>
        <v>60.24</v>
      </c>
      <c r="J99" s="127">
        <f t="shared" si="261"/>
        <v>109.27495291902072</v>
      </c>
      <c r="K99" s="127">
        <f t="shared" si="261"/>
        <v>156</v>
      </c>
      <c r="L99" s="127">
        <f t="shared" si="261"/>
        <v>138.81533101045298</v>
      </c>
      <c r="M99" s="127">
        <f t="shared" si="261"/>
        <v>189.01574803149606</v>
      </c>
      <c r="N99" s="127">
        <f t="shared" si="261"/>
        <v>205.21134916039375</v>
      </c>
      <c r="O99" s="127">
        <f t="shared" si="261"/>
        <v>221.65561399496912</v>
      </c>
      <c r="P99" s="127">
        <f t="shared" si="261"/>
        <v>217.90720631786775</v>
      </c>
      <c r="Q99" s="127">
        <f t="shared" ref="Q99" si="262">1/Q93</f>
        <v>126.97701149425288</v>
      </c>
      <c r="R99" s="118">
        <f t="shared" si="220"/>
        <v>0.2829391809975832</v>
      </c>
      <c r="S99" s="20"/>
      <c r="T99" s="127">
        <f t="shared" ref="T99:AC99" si="263">1/T93</f>
        <v>126.97701149425288</v>
      </c>
      <c r="U99" s="127">
        <f t="shared" si="263"/>
        <v>126.97701149425288</v>
      </c>
      <c r="V99" s="127">
        <f t="shared" si="263"/>
        <v>126.97701149425285</v>
      </c>
      <c r="W99" s="127">
        <f t="shared" si="263"/>
        <v>126.97701149425285</v>
      </c>
      <c r="X99" s="127">
        <f t="shared" si="263"/>
        <v>126.97701149425285</v>
      </c>
      <c r="Y99" s="127">
        <f t="shared" si="263"/>
        <v>126.97701149425288</v>
      </c>
      <c r="Z99" s="127">
        <f t="shared" si="263"/>
        <v>126.97701149425288</v>
      </c>
      <c r="AA99" s="127">
        <f t="shared" si="263"/>
        <v>126.97701149425288</v>
      </c>
      <c r="AB99" s="127">
        <f t="shared" si="263"/>
        <v>126.97701149425291</v>
      </c>
      <c r="AC99" s="127">
        <f t="shared" si="263"/>
        <v>126.97701149425288</v>
      </c>
      <c r="AD99" s="138">
        <f t="shared" si="222"/>
        <v>8.8843358236921244E-2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64">1/G94</f>
        <v>2.1666666666666665</v>
      </c>
      <c r="H100" s="127">
        <f t="shared" si="264"/>
        <v>4.2121212121212119</v>
      </c>
      <c r="I100" s="127">
        <f t="shared" si="264"/>
        <v>6.76</v>
      </c>
      <c r="J100" s="127">
        <f t="shared" si="264"/>
        <v>10.451977401129945</v>
      </c>
      <c r="K100" s="127">
        <f t="shared" si="264"/>
        <v>11.638095238095239</v>
      </c>
      <c r="L100" s="127">
        <f t="shared" si="264"/>
        <v>10.97560975609756</v>
      </c>
      <c r="M100" s="127">
        <f t="shared" si="264"/>
        <v>15.708661417322837</v>
      </c>
      <c r="N100" s="127">
        <f t="shared" si="264"/>
        <v>17.834394904458598</v>
      </c>
      <c r="O100" s="127">
        <f t="shared" si="264"/>
        <v>19.094443174022413</v>
      </c>
      <c r="P100" s="127">
        <f t="shared" si="264"/>
        <v>19.980256663376114</v>
      </c>
      <c r="Q100" s="127">
        <f t="shared" ref="Q100" si="265">1/Q94</f>
        <v>11.218390804597702</v>
      </c>
      <c r="R100" s="118">
        <f t="shared" si="220"/>
        <v>0.27997355114053413</v>
      </c>
      <c r="S100" s="20"/>
      <c r="T100" s="127">
        <f t="shared" ref="T100:AC100" si="266">1/T94</f>
        <v>11.2183908045977</v>
      </c>
      <c r="U100" s="127">
        <f t="shared" si="266"/>
        <v>11.2183908045977</v>
      </c>
      <c r="V100" s="127">
        <f t="shared" si="266"/>
        <v>11.2183908045977</v>
      </c>
      <c r="W100" s="127">
        <f t="shared" si="266"/>
        <v>11.2183908045977</v>
      </c>
      <c r="X100" s="127">
        <f t="shared" si="266"/>
        <v>11.2183908045977</v>
      </c>
      <c r="Y100" s="127">
        <f t="shared" si="266"/>
        <v>11.2183908045977</v>
      </c>
      <c r="Z100" s="127">
        <f t="shared" si="266"/>
        <v>11.218390804597702</v>
      </c>
      <c r="AA100" s="127">
        <f t="shared" si="266"/>
        <v>11.218390804597702</v>
      </c>
      <c r="AB100" s="127">
        <f t="shared" si="266"/>
        <v>11.218390804597703</v>
      </c>
      <c r="AC100" s="127">
        <f t="shared" si="266"/>
        <v>11.218390804597703</v>
      </c>
      <c r="AD100" s="138">
        <f t="shared" si="222"/>
        <v>8.5692713588386482E-2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64"/>
        <v>1.3809523809523809</v>
      </c>
      <c r="H101" s="127">
        <f t="shared" si="264"/>
        <v>1.9545454545454544</v>
      </c>
      <c r="I101" s="127">
        <f t="shared" si="264"/>
        <v>3.96</v>
      </c>
      <c r="J101" s="127">
        <f t="shared" si="264"/>
        <v>5.2259887005649723</v>
      </c>
      <c r="K101" s="127">
        <f t="shared" si="264"/>
        <v>6.4761904761904763</v>
      </c>
      <c r="L101" s="127">
        <f t="shared" si="264"/>
        <v>5.7142857142857144</v>
      </c>
      <c r="M101" s="127">
        <f t="shared" si="264"/>
        <v>9.8818897637795278</v>
      </c>
      <c r="N101" s="127">
        <f t="shared" si="264"/>
        <v>12.536189924724956</v>
      </c>
      <c r="O101" s="127">
        <f t="shared" si="264"/>
        <v>13.743425565973016</v>
      </c>
      <c r="P101" s="127">
        <f t="shared" si="264"/>
        <v>14.313919052319843</v>
      </c>
      <c r="Q101" s="127">
        <f t="shared" ref="Q101" si="267">1/Q95</f>
        <v>8.4367816091954015</v>
      </c>
      <c r="R101" s="118">
        <f t="shared" si="220"/>
        <v>0.29670804701993014</v>
      </c>
      <c r="S101" s="20"/>
      <c r="T101" s="127">
        <f t="shared" ref="T101:AC101" si="268">1/T95</f>
        <v>8.4367816091954015</v>
      </c>
      <c r="U101" s="127">
        <f t="shared" si="268"/>
        <v>8.4367816091954015</v>
      </c>
      <c r="V101" s="127">
        <f t="shared" si="268"/>
        <v>8.4367816091954015</v>
      </c>
      <c r="W101" s="127">
        <f t="shared" si="268"/>
        <v>8.4367816091954015</v>
      </c>
      <c r="X101" s="127">
        <f t="shared" si="268"/>
        <v>8.4367816091954015</v>
      </c>
      <c r="Y101" s="127">
        <f t="shared" si="268"/>
        <v>8.4367816091954015</v>
      </c>
      <c r="Z101" s="127">
        <f t="shared" si="268"/>
        <v>8.4367816091954015</v>
      </c>
      <c r="AA101" s="127">
        <f t="shared" si="268"/>
        <v>8.4367816091954015</v>
      </c>
      <c r="AB101" s="127">
        <f t="shared" si="268"/>
        <v>8.4367816091954015</v>
      </c>
      <c r="AC101" s="127">
        <f t="shared" si="268"/>
        <v>8.4367816091954015</v>
      </c>
      <c r="AD101" s="138">
        <f t="shared" si="222"/>
        <v>9.471206667801102E-2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64"/>
        <v>0.64285714285714279</v>
      </c>
      <c r="H102" s="127">
        <f t="shared" si="264"/>
        <v>1.3636363636363638</v>
      </c>
      <c r="I102" s="127">
        <f t="shared" si="264"/>
        <v>1.5199999999999998</v>
      </c>
      <c r="J102" s="127">
        <f t="shared" si="264"/>
        <v>2.4011299435028248</v>
      </c>
      <c r="K102" s="127">
        <f t="shared" si="264"/>
        <v>2.4761904761904763</v>
      </c>
      <c r="L102" s="127">
        <f t="shared" si="264"/>
        <v>1.9163763066202089</v>
      </c>
      <c r="M102" s="127">
        <f t="shared" si="264"/>
        <v>7.7559055118110241</v>
      </c>
      <c r="N102" s="127">
        <f t="shared" si="264"/>
        <v>32.136653155761437</v>
      </c>
      <c r="O102" s="127">
        <f t="shared" si="264"/>
        <v>22.112965927281046</v>
      </c>
      <c r="P102" s="127">
        <f t="shared" si="264"/>
        <v>22.487660414610069</v>
      </c>
      <c r="Q102" s="127">
        <f t="shared" ref="Q102" si="269">1/Q96</f>
        <v>13.091954022988505</v>
      </c>
      <c r="R102" s="118">
        <f t="shared" si="220"/>
        <v>0.48435112003940017</v>
      </c>
      <c r="S102" s="20"/>
      <c r="T102" s="127">
        <f t="shared" ref="T102:AC102" si="270">1/T96</f>
        <v>13.091954022988507</v>
      </c>
      <c r="U102" s="127">
        <f t="shared" si="270"/>
        <v>13.091954022988505</v>
      </c>
      <c r="V102" s="127">
        <f t="shared" si="270"/>
        <v>13.091954022988505</v>
      </c>
      <c r="W102" s="127">
        <f t="shared" si="270"/>
        <v>13.091954022988505</v>
      </c>
      <c r="X102" s="127">
        <f t="shared" si="270"/>
        <v>13.091954022988505</v>
      </c>
      <c r="Y102" s="127">
        <f t="shared" si="270"/>
        <v>13.091954022988505</v>
      </c>
      <c r="Z102" s="127">
        <f t="shared" si="270"/>
        <v>13.091954022988507</v>
      </c>
      <c r="AA102" s="127">
        <f t="shared" si="270"/>
        <v>13.091954022988507</v>
      </c>
      <c r="AB102" s="127">
        <f t="shared" si="270"/>
        <v>13.091954022988507</v>
      </c>
      <c r="AC102" s="127">
        <f t="shared" si="270"/>
        <v>13.091954022988507</v>
      </c>
      <c r="AD102" s="138">
        <f t="shared" si="222"/>
        <v>0.1626379636585229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64"/>
        <v>0.64285714285714279</v>
      </c>
      <c r="H103" s="127">
        <f t="shared" si="264"/>
        <v>1.3181818181818183</v>
      </c>
      <c r="I103" s="127">
        <f t="shared" si="264"/>
        <v>1.5316000000000001</v>
      </c>
      <c r="J103" s="127">
        <f t="shared" si="264"/>
        <v>2.4011299435028248</v>
      </c>
      <c r="K103" s="127">
        <f t="shared" si="264"/>
        <v>2.4761904761904763</v>
      </c>
      <c r="L103" s="127">
        <f t="shared" si="264"/>
        <v>1.9163763066202089</v>
      </c>
      <c r="M103" s="127">
        <f t="shared" si="264"/>
        <v>7.3622047244094482</v>
      </c>
      <c r="N103" s="127">
        <f t="shared" si="264"/>
        <v>31.673422119281991</v>
      </c>
      <c r="O103" s="127">
        <f t="shared" si="264"/>
        <v>21.884289961125088</v>
      </c>
      <c r="P103" s="127">
        <f t="shared" si="264"/>
        <v>22.428430404738403</v>
      </c>
      <c r="Q103" s="127">
        <f t="shared" ref="Q103" si="271">1/Q97</f>
        <v>13.057471264367816</v>
      </c>
      <c r="R103" s="118">
        <f t="shared" si="220"/>
        <v>0.4839162088264839</v>
      </c>
      <c r="S103" s="20"/>
      <c r="T103" s="127">
        <f t="shared" ref="T103:AC103" si="272">1/T97</f>
        <v>13.057471264367816</v>
      </c>
      <c r="U103" s="127">
        <f t="shared" si="272"/>
        <v>13.057471264367816</v>
      </c>
      <c r="V103" s="127">
        <f t="shared" si="272"/>
        <v>13.057471264367816</v>
      </c>
      <c r="W103" s="127">
        <f t="shared" si="272"/>
        <v>13.057471264367816</v>
      </c>
      <c r="X103" s="127">
        <f t="shared" si="272"/>
        <v>13.057471264367816</v>
      </c>
      <c r="Y103" s="127">
        <f t="shared" si="272"/>
        <v>13.057471264367816</v>
      </c>
      <c r="Z103" s="127">
        <f t="shared" si="272"/>
        <v>13.057471264367816</v>
      </c>
      <c r="AA103" s="127">
        <f t="shared" si="272"/>
        <v>13.057471264367814</v>
      </c>
      <c r="AB103" s="127">
        <f t="shared" si="272"/>
        <v>13.057471264367816</v>
      </c>
      <c r="AC103" s="127">
        <f t="shared" si="272"/>
        <v>13.057471264367816</v>
      </c>
      <c r="AD103" s="138">
        <f t="shared" si="222"/>
        <v>0.16248465878159046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73">F10-(F12+F13)</f>
        <v>0</v>
      </c>
      <c r="G106" s="163">
        <f t="shared" si="273"/>
        <v>353.7</v>
      </c>
      <c r="H106" s="163">
        <f t="shared" si="273"/>
        <v>248.34</v>
      </c>
      <c r="I106" s="163">
        <f t="shared" si="273"/>
        <v>202</v>
      </c>
      <c r="J106" s="163">
        <f t="shared" si="273"/>
        <v>164.4</v>
      </c>
      <c r="K106" s="163">
        <f t="shared" si="273"/>
        <v>155.69999999999999</v>
      </c>
      <c r="L106" s="163">
        <f t="shared" si="273"/>
        <v>109.4</v>
      </c>
      <c r="M106" s="163">
        <f t="shared" si="273"/>
        <v>-125.6</v>
      </c>
      <c r="N106" s="163">
        <f t="shared" si="273"/>
        <v>-1102.5999999999999</v>
      </c>
      <c r="O106" s="163">
        <f t="shared" si="273"/>
        <v>-963.51</v>
      </c>
      <c r="P106" s="163">
        <f>P10-(P12+P13)</f>
        <v>-1141.9000000000001</v>
      </c>
      <c r="Q106" s="163">
        <f>Q10-(Q12+Q13)</f>
        <v>-1141.9000000000001</v>
      </c>
      <c r="R106" s="118">
        <f t="shared" si="220"/>
        <v>-2.1390814495509618</v>
      </c>
      <c r="S106" s="20"/>
      <c r="T106" s="163">
        <f>T10-(T12+T13)</f>
        <v>-1347.442</v>
      </c>
      <c r="U106" s="163">
        <f t="shared" ref="U106:AC106" si="274">U10-(U12+U13)</f>
        <v>-1589.9815599999997</v>
      </c>
      <c r="V106" s="163">
        <f t="shared" si="274"/>
        <v>-1876.1782407999999</v>
      </c>
      <c r="W106" s="163">
        <f t="shared" si="274"/>
        <v>-2213.8903241439994</v>
      </c>
      <c r="X106" s="163">
        <f t="shared" si="274"/>
        <v>-2612.3905824899189</v>
      </c>
      <c r="Y106" s="163">
        <f t="shared" si="274"/>
        <v>-3082.6208873381047</v>
      </c>
      <c r="Z106" s="163">
        <f t="shared" si="274"/>
        <v>-3637.4926470589635</v>
      </c>
      <c r="AA106" s="163">
        <f t="shared" si="274"/>
        <v>-4292.2413235295771</v>
      </c>
      <c r="AB106" s="163">
        <f t="shared" si="274"/>
        <v>-5064.8447617648999</v>
      </c>
      <c r="AC106" s="163">
        <f t="shared" si="274"/>
        <v>-5976.5168188825819</v>
      </c>
      <c r="AD106" s="138" t="e">
        <f t="shared" si="222"/>
        <v>#NUM!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5">G40/G18</f>
        <v>0.33526011560693642</v>
      </c>
      <c r="H107" s="152">
        <f t="shared" si="275"/>
        <v>0.38165680473372782</v>
      </c>
      <c r="I107" s="152">
        <f t="shared" si="275"/>
        <v>0.54696132596685088</v>
      </c>
      <c r="J107" s="152">
        <f t="shared" si="275"/>
        <v>0.43529411764705883</v>
      </c>
      <c r="K107" s="152">
        <f t="shared" si="275"/>
        <v>0.48920863309352519</v>
      </c>
      <c r="L107" s="152">
        <f t="shared" si="275"/>
        <v>0.58571428571428574</v>
      </c>
      <c r="M107" s="152">
        <f t="shared" si="275"/>
        <v>0.94007490636704116</v>
      </c>
      <c r="N107" s="152">
        <f t="shared" si="275"/>
        <v>1.5034722222222223</v>
      </c>
      <c r="O107" s="152">
        <f t="shared" si="275"/>
        <v>1.5651041666666667</v>
      </c>
      <c r="P107" s="152">
        <f t="shared" si="275"/>
        <v>1.5625</v>
      </c>
      <c r="Q107" s="152">
        <f t="shared" ref="Q107" si="276">Q40/Q18</f>
        <v>1.5818965517241379</v>
      </c>
      <c r="R107" s="118">
        <f t="shared" si="220"/>
        <v>0.18650863703118437</v>
      </c>
      <c r="S107" s="20"/>
      <c r="T107" s="152">
        <f t="shared" ref="T107:AC107" si="277">T40/T18</f>
        <v>1.5818965517241379</v>
      </c>
      <c r="U107" s="152">
        <f t="shared" si="277"/>
        <v>1.5818965517241379</v>
      </c>
      <c r="V107" s="152">
        <f t="shared" si="277"/>
        <v>1.5818965517241379</v>
      </c>
      <c r="W107" s="152">
        <f t="shared" si="277"/>
        <v>1.5818965517241377</v>
      </c>
      <c r="X107" s="152">
        <f t="shared" si="277"/>
        <v>1.5818965517241377</v>
      </c>
      <c r="Y107" s="152">
        <f t="shared" si="277"/>
        <v>1.5818965517241379</v>
      </c>
      <c r="Z107" s="152">
        <f t="shared" si="277"/>
        <v>1.5818965517241377</v>
      </c>
      <c r="AA107" s="152">
        <f t="shared" si="277"/>
        <v>1.5818965517241379</v>
      </c>
      <c r="AB107" s="152">
        <f t="shared" si="277"/>
        <v>1.5818965517241381</v>
      </c>
      <c r="AC107" s="152">
        <f t="shared" si="277"/>
        <v>1.5818965517241379</v>
      </c>
      <c r="AD107" s="138">
        <f t="shared" si="222"/>
        <v>8.0661823531101851E-2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78">G40/G25</f>
        <v>5.9670781893004114E-2</v>
      </c>
      <c r="H108" s="152">
        <f t="shared" si="278"/>
        <v>5.4707379134860054E-2</v>
      </c>
      <c r="I108" s="152">
        <f t="shared" si="278"/>
        <v>6.5737051792828682E-2</v>
      </c>
      <c r="J108" s="152">
        <f t="shared" si="278"/>
        <v>4.782421370099095E-2</v>
      </c>
      <c r="K108" s="152">
        <f t="shared" si="278"/>
        <v>4.1514041514041512E-2</v>
      </c>
      <c r="L108" s="152">
        <f t="shared" si="278"/>
        <v>4.1164658634538151E-2</v>
      </c>
      <c r="M108" s="152">
        <f t="shared" si="278"/>
        <v>5.2280774838575295E-2</v>
      </c>
      <c r="N108" s="152">
        <f t="shared" si="278"/>
        <v>6.1089164785553048E-2</v>
      </c>
      <c r="O108" s="152">
        <f t="shared" si="278"/>
        <v>6.2003507685958942E-2</v>
      </c>
      <c r="P108" s="152">
        <f t="shared" si="278"/>
        <v>6.5688139893086889E-2</v>
      </c>
      <c r="Q108" s="152">
        <f t="shared" ref="Q108" si="279">Q40/Q25</f>
        <v>6.644337829274917E-2</v>
      </c>
      <c r="R108" s="118">
        <f t="shared" si="220"/>
        <v>1.0732282735055776E-2</v>
      </c>
      <c r="S108" s="20"/>
      <c r="T108" s="152">
        <f t="shared" ref="T108:AC108" si="280">T40/T25</f>
        <v>6.644337829274917E-2</v>
      </c>
      <c r="U108" s="152">
        <f t="shared" si="280"/>
        <v>6.644337829274917E-2</v>
      </c>
      <c r="V108" s="152">
        <f t="shared" si="280"/>
        <v>6.644337829274917E-2</v>
      </c>
      <c r="W108" s="152">
        <f t="shared" si="280"/>
        <v>6.6443378292749156E-2</v>
      </c>
      <c r="X108" s="152">
        <f t="shared" si="280"/>
        <v>6.6443378292749156E-2</v>
      </c>
      <c r="Y108" s="152">
        <f t="shared" si="280"/>
        <v>6.6443378292749156E-2</v>
      </c>
      <c r="Z108" s="152">
        <f t="shared" si="280"/>
        <v>6.6443378292749142E-2</v>
      </c>
      <c r="AA108" s="152">
        <f t="shared" si="280"/>
        <v>6.6443378292749156E-2</v>
      </c>
      <c r="AB108" s="152">
        <f t="shared" si="280"/>
        <v>6.6443378292749156E-2</v>
      </c>
      <c r="AC108" s="152">
        <f t="shared" si="280"/>
        <v>6.6443378292749156E-2</v>
      </c>
      <c r="AD108" s="138">
        <f t="shared" si="222"/>
        <v>5.3898555716889174E-3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81">G25/G18</f>
        <v>5.6184971098265892</v>
      </c>
      <c r="H109" s="152">
        <f t="shared" si="281"/>
        <v>6.9763313609467454</v>
      </c>
      <c r="I109" s="152">
        <f t="shared" si="281"/>
        <v>8.320441988950277</v>
      </c>
      <c r="J109" s="152">
        <f t="shared" si="281"/>
        <v>9.1019607843137251</v>
      </c>
      <c r="K109" s="152">
        <f t="shared" si="281"/>
        <v>11.784172661870503</v>
      </c>
      <c r="L109" s="152">
        <f t="shared" si="281"/>
        <v>14.228571428571428</v>
      </c>
      <c r="M109" s="152">
        <f t="shared" si="281"/>
        <v>17.981273408239701</v>
      </c>
      <c r="N109" s="152">
        <f t="shared" si="281"/>
        <v>24.611111111111111</v>
      </c>
      <c r="O109" s="152">
        <f t="shared" si="281"/>
        <v>25.2421875</v>
      </c>
      <c r="P109" s="152">
        <f>P25/P18</f>
        <v>23.786637931034484</v>
      </c>
      <c r="Q109" s="152">
        <f>Q25/Q18</f>
        <v>23.808189655172413</v>
      </c>
      <c r="R109" s="118">
        <f t="shared" si="220"/>
        <v>0.17390990403559203</v>
      </c>
      <c r="S109" s="20"/>
      <c r="T109" s="152">
        <f>T25/T18</f>
        <v>23.808189655172413</v>
      </c>
      <c r="U109" s="152">
        <f t="shared" ref="U109:AC109" si="282">U25/U18</f>
        <v>23.808189655172413</v>
      </c>
      <c r="V109" s="152">
        <f t="shared" si="282"/>
        <v>23.808189655172413</v>
      </c>
      <c r="W109" s="152">
        <f t="shared" si="282"/>
        <v>23.808189655172413</v>
      </c>
      <c r="X109" s="152">
        <f t="shared" si="282"/>
        <v>23.808189655172413</v>
      </c>
      <c r="Y109" s="152">
        <f t="shared" si="282"/>
        <v>23.808189655172416</v>
      </c>
      <c r="Z109" s="152">
        <f t="shared" si="282"/>
        <v>23.808189655172416</v>
      </c>
      <c r="AA109" s="152">
        <f t="shared" si="282"/>
        <v>23.808189655172416</v>
      </c>
      <c r="AB109" s="152">
        <f t="shared" si="282"/>
        <v>23.80818965517242</v>
      </c>
      <c r="AC109" s="152">
        <f t="shared" si="282"/>
        <v>23.80818965517242</v>
      </c>
      <c r="AD109" s="138">
        <f t="shared" si="222"/>
        <v>7.486843789229547E-2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83">E70*E42</f>
        <v>0</v>
      </c>
      <c r="F111" s="165">
        <f t="shared" si="283"/>
        <v>0</v>
      </c>
      <c r="G111" s="165">
        <f>G70*G42</f>
        <v>4.22</v>
      </c>
      <c r="H111" s="165">
        <f t="shared" ref="H111:P111" si="284">H70*H42</f>
        <v>8.44</v>
      </c>
      <c r="I111" s="165">
        <f t="shared" si="284"/>
        <v>12.66</v>
      </c>
      <c r="J111" s="165">
        <f t="shared" si="284"/>
        <v>22.15</v>
      </c>
      <c r="K111" s="165">
        <f t="shared" si="284"/>
        <v>35.44</v>
      </c>
      <c r="L111" s="165">
        <f t="shared" si="284"/>
        <v>44.3</v>
      </c>
      <c r="M111" s="165">
        <f t="shared" si="284"/>
        <v>66.449999999999989</v>
      </c>
      <c r="N111" s="165">
        <f t="shared" si="284"/>
        <v>110.75</v>
      </c>
      <c r="O111" s="165">
        <f t="shared" si="284"/>
        <v>155.3475</v>
      </c>
      <c r="P111" s="165">
        <f t="shared" si="284"/>
        <v>186.417</v>
      </c>
      <c r="Q111" s="165">
        <f t="shared" ref="Q111" si="285">Q70*Q42</f>
        <v>186.417</v>
      </c>
      <c r="R111" s="118">
        <f t="shared" si="220"/>
        <v>0.52334056505723248</v>
      </c>
      <c r="S111" s="20"/>
      <c r="T111" s="165">
        <f t="shared" ref="T111:AC111" si="286">T70*T42</f>
        <v>199.65260700000005</v>
      </c>
      <c r="U111" s="165">
        <f t="shared" si="286"/>
        <v>213.82794209700003</v>
      </c>
      <c r="V111" s="165">
        <f t="shared" si="286"/>
        <v>229.00972598588709</v>
      </c>
      <c r="W111" s="165">
        <f t="shared" si="286"/>
        <v>245.26941653088508</v>
      </c>
      <c r="X111" s="165">
        <f t="shared" si="286"/>
        <v>262.68354510457795</v>
      </c>
      <c r="Y111" s="165">
        <f t="shared" si="286"/>
        <v>281.33407680700299</v>
      </c>
      <c r="Z111" s="165">
        <f t="shared" si="286"/>
        <v>301.3087962603002</v>
      </c>
      <c r="AA111" s="165">
        <f t="shared" si="286"/>
        <v>322.70172079478152</v>
      </c>
      <c r="AB111" s="165">
        <f t="shared" si="286"/>
        <v>345.61354297121102</v>
      </c>
      <c r="AC111" s="165">
        <f t="shared" si="286"/>
        <v>370.15210452216706</v>
      </c>
      <c r="AD111" s="138">
        <f t="shared" si="222"/>
        <v>0.25070068757022068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7">(G111*0.17)+G111</f>
        <v>4.9374000000000002</v>
      </c>
      <c r="H112" s="165">
        <f t="shared" si="287"/>
        <v>9.8748000000000005</v>
      </c>
      <c r="I112" s="165">
        <f t="shared" si="287"/>
        <v>14.812200000000001</v>
      </c>
      <c r="J112" s="165">
        <f t="shared" si="287"/>
        <v>25.915499999999998</v>
      </c>
      <c r="K112" s="165">
        <f t="shared" si="287"/>
        <v>41.464799999999997</v>
      </c>
      <c r="L112" s="165">
        <f t="shared" si="287"/>
        <v>51.830999999999996</v>
      </c>
      <c r="M112" s="165">
        <f t="shared" si="287"/>
        <v>77.746499999999983</v>
      </c>
      <c r="N112" s="165">
        <f t="shared" si="287"/>
        <v>129.57749999999999</v>
      </c>
      <c r="O112" s="165">
        <f t="shared" si="287"/>
        <v>181.756575</v>
      </c>
      <c r="P112" s="165">
        <f t="shared" si="287"/>
        <v>218.10789</v>
      </c>
      <c r="Q112" s="165">
        <f t="shared" ref="Q112" si="288">(Q111*0.17)+Q111</f>
        <v>218.10789</v>
      </c>
      <c r="R112" s="118">
        <f t="shared" si="220"/>
        <v>0.52334056505723248</v>
      </c>
      <c r="S112" s="20"/>
      <c r="T112" s="165">
        <f t="shared" ref="T112:AC112" si="289">(T111*0.17)+T111</f>
        <v>233.59355019000006</v>
      </c>
      <c r="U112" s="165">
        <f t="shared" si="289"/>
        <v>250.17869225349006</v>
      </c>
      <c r="V112" s="165">
        <f t="shared" si="289"/>
        <v>267.94137940348787</v>
      </c>
      <c r="W112" s="165">
        <f t="shared" si="289"/>
        <v>286.96521734113554</v>
      </c>
      <c r="X112" s="165">
        <f t="shared" si="289"/>
        <v>307.33974777235619</v>
      </c>
      <c r="Y112" s="165">
        <f t="shared" si="289"/>
        <v>329.1608698641935</v>
      </c>
      <c r="Z112" s="165">
        <f t="shared" si="289"/>
        <v>352.53129162455122</v>
      </c>
      <c r="AA112" s="165">
        <f t="shared" si="289"/>
        <v>377.56101332989437</v>
      </c>
      <c r="AB112" s="165">
        <f t="shared" si="289"/>
        <v>404.36784527631687</v>
      </c>
      <c r="AC112" s="165">
        <f t="shared" si="289"/>
        <v>433.07796229093549</v>
      </c>
      <c r="AD112" s="138">
        <f t="shared" si="222"/>
        <v>0.25070068757022068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290">F112/F40</f>
        <v>#DIV/0!</v>
      </c>
      <c r="G113" s="152">
        <f t="shared" si="290"/>
        <v>8.5127586206896561E-2</v>
      </c>
      <c r="H113" s="152">
        <f t="shared" si="290"/>
        <v>0.15309767441860467</v>
      </c>
      <c r="I113" s="152">
        <f t="shared" si="290"/>
        <v>0.14961818181818182</v>
      </c>
      <c r="J113" s="152">
        <f t="shared" si="290"/>
        <v>0.23347297297297295</v>
      </c>
      <c r="K113" s="152">
        <f t="shared" si="290"/>
        <v>0.30488823529411763</v>
      </c>
      <c r="L113" s="152">
        <f t="shared" si="290"/>
        <v>0.31604268292682924</v>
      </c>
      <c r="M113" s="152">
        <f t="shared" si="290"/>
        <v>0.30974701195219118</v>
      </c>
      <c r="N113" s="152">
        <f t="shared" si="290"/>
        <v>0.29925519630484987</v>
      </c>
      <c r="O113" s="152">
        <f t="shared" si="290"/>
        <v>0.30242358569051581</v>
      </c>
      <c r="P113" s="152">
        <f t="shared" si="290"/>
        <v>0.30083846896551725</v>
      </c>
      <c r="Q113" s="152">
        <f t="shared" ref="Q113" si="291">Q112/Q40</f>
        <v>0.29714971389645778</v>
      </c>
      <c r="R113" s="118">
        <f t="shared" si="220"/>
        <v>0.15058343383542327</v>
      </c>
      <c r="S113" s="20"/>
      <c r="T113" s="152">
        <f t="shared" ref="T113:AC113" si="292">T112/T40</f>
        <v>0.26970113862975115</v>
      </c>
      <c r="U113" s="152">
        <f t="shared" si="292"/>
        <v>0.24478806734954534</v>
      </c>
      <c r="V113" s="152">
        <f t="shared" si="292"/>
        <v>0.22217628824691787</v>
      </c>
      <c r="W113" s="152">
        <f t="shared" si="292"/>
        <v>0.20165322433258398</v>
      </c>
      <c r="X113" s="152">
        <f t="shared" si="292"/>
        <v>0.18302593496626904</v>
      </c>
      <c r="Y113" s="152">
        <f t="shared" si="292"/>
        <v>0.16611930199057132</v>
      </c>
      <c r="Z113" s="152">
        <f t="shared" si="292"/>
        <v>0.15077438341686603</v>
      </c>
      <c r="AA113" s="152">
        <f t="shared" si="292"/>
        <v>0.13684691918598602</v>
      </c>
      <c r="AB113" s="152">
        <f t="shared" si="292"/>
        <v>0.1242059749560941</v>
      </c>
      <c r="AC113" s="152">
        <f t="shared" si="292"/>
        <v>0.11273271116777697</v>
      </c>
      <c r="AD113" s="138">
        <f t="shared" si="222"/>
        <v>1.4142496287327333E-2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0.91487241379310347</v>
      </c>
      <c r="H114" s="152">
        <f t="shared" ref="H114:P114" si="293">1-H113</f>
        <v>0.84690232558139533</v>
      </c>
      <c r="I114" s="152">
        <f t="shared" si="293"/>
        <v>0.85038181818181813</v>
      </c>
      <c r="J114" s="152">
        <f t="shared" si="293"/>
        <v>0.76652702702702702</v>
      </c>
      <c r="K114" s="152">
        <f t="shared" si="293"/>
        <v>0.69511176470588243</v>
      </c>
      <c r="L114" s="152">
        <f t="shared" si="293"/>
        <v>0.68395731707317076</v>
      </c>
      <c r="M114" s="152">
        <f t="shared" si="293"/>
        <v>0.69025298804780877</v>
      </c>
      <c r="N114" s="152">
        <f t="shared" si="293"/>
        <v>0.70074480369515013</v>
      </c>
      <c r="O114" s="152">
        <f t="shared" si="293"/>
        <v>0.69757641430948425</v>
      </c>
      <c r="P114" s="152">
        <f t="shared" si="293"/>
        <v>0.69916153103448275</v>
      </c>
      <c r="Q114" s="152">
        <f t="shared" ref="Q114" si="294">1-Q113</f>
        <v>0.70285028610354217</v>
      </c>
      <c r="R114" s="118">
        <f t="shared" si="220"/>
        <v>-2.9436152525804005E-2</v>
      </c>
      <c r="S114" s="20"/>
      <c r="T114" s="152">
        <f t="shared" ref="T114:AC114" si="295">1-T113</f>
        <v>0.7302988613702488</v>
      </c>
      <c r="U114" s="152">
        <f t="shared" si="295"/>
        <v>0.75521193265045472</v>
      </c>
      <c r="V114" s="152">
        <f t="shared" si="295"/>
        <v>0.77782371175308218</v>
      </c>
      <c r="W114" s="152">
        <f t="shared" si="295"/>
        <v>0.79834677566741608</v>
      </c>
      <c r="X114" s="152">
        <f t="shared" si="295"/>
        <v>0.81697406503373093</v>
      </c>
      <c r="Y114" s="152">
        <f t="shared" si="295"/>
        <v>0.83388069800942866</v>
      </c>
      <c r="Z114" s="152">
        <f t="shared" si="295"/>
        <v>0.849225616583134</v>
      </c>
      <c r="AA114" s="152">
        <f t="shared" si="295"/>
        <v>0.86315308081401398</v>
      </c>
      <c r="AB114" s="152">
        <f t="shared" si="295"/>
        <v>0.87579402504390591</v>
      </c>
      <c r="AC114" s="152">
        <f t="shared" si="295"/>
        <v>0.88726728883222306</v>
      </c>
      <c r="AD114" s="138">
        <f t="shared" si="222"/>
        <v>-1.5307442078847933E-3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296">F112/F20</f>
        <v>#DIV/0!</v>
      </c>
      <c r="G115" s="152">
        <f t="shared" si="296"/>
        <v>4.293391304347826E-2</v>
      </c>
      <c r="H115" s="152">
        <f t="shared" si="296"/>
        <v>6.0212195121951223E-2</v>
      </c>
      <c r="I115" s="152">
        <f t="shared" si="296"/>
        <v>0.12141147540983607</v>
      </c>
      <c r="J115" s="152">
        <f t="shared" si="296"/>
        <v>0.20567857142857141</v>
      </c>
      <c r="K115" s="152">
        <f t="shared" si="296"/>
        <v>0.40651764705882348</v>
      </c>
      <c r="L115" s="152">
        <f t="shared" si="296"/>
        <v>0.32598113207547169</v>
      </c>
      <c r="M115" s="152">
        <f t="shared" si="296"/>
        <v>0.22732894736842099</v>
      </c>
      <c r="N115" s="152">
        <f t="shared" si="296"/>
        <v>0.1264170731707317</v>
      </c>
      <c r="O115" s="152">
        <f t="shared" si="296"/>
        <v>1.1576851910828025</v>
      </c>
      <c r="P115" s="152">
        <f t="shared" si="296"/>
        <v>0.48147437086092715</v>
      </c>
      <c r="Q115" s="152">
        <f>Q112/Q20</f>
        <v>0.48147437086092715</v>
      </c>
      <c r="R115" s="118">
        <f t="shared" si="220"/>
        <v>0.3081014026085791</v>
      </c>
      <c r="S115" s="20"/>
      <c r="T115" s="152">
        <f>T112/T20</f>
        <v>0.43699919592546876</v>
      </c>
      <c r="U115" s="152">
        <f t="shared" ref="U115:AC115" si="297">U112/U20</f>
        <v>0.39663232104760771</v>
      </c>
      <c r="V115" s="152">
        <f t="shared" si="297"/>
        <v>0.35999425071354907</v>
      </c>
      <c r="W115" s="152">
        <f t="shared" si="297"/>
        <v>0.32674054450356871</v>
      </c>
      <c r="X115" s="152">
        <f t="shared" si="297"/>
        <v>0.29655857895196791</v>
      </c>
      <c r="Y115" s="152">
        <f t="shared" si="297"/>
        <v>0.26916460852335394</v>
      </c>
      <c r="Z115" s="152">
        <f t="shared" si="297"/>
        <v>0.24430109807501021</v>
      </c>
      <c r="AA115" s="152">
        <f t="shared" si="297"/>
        <v>0.22173430172740335</v>
      </c>
      <c r="AB115" s="152">
        <f t="shared" si="297"/>
        <v>0.20125206538139745</v>
      </c>
      <c r="AC115" s="152">
        <f t="shared" si="297"/>
        <v>0.18266183222328536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298">H31/H25</f>
        <v>0</v>
      </c>
      <c r="I117" s="152">
        <f t="shared" si="298"/>
        <v>0</v>
      </c>
      <c r="J117" s="152">
        <f t="shared" si="298"/>
        <v>0</v>
      </c>
      <c r="K117" s="152">
        <f t="shared" si="298"/>
        <v>0</v>
      </c>
      <c r="L117" s="152">
        <f t="shared" si="298"/>
        <v>0</v>
      </c>
      <c r="M117" s="152">
        <f t="shared" si="298"/>
        <v>0</v>
      </c>
      <c r="N117" s="152">
        <f t="shared" si="298"/>
        <v>0</v>
      </c>
      <c r="O117" s="152">
        <f t="shared" si="298"/>
        <v>0</v>
      </c>
      <c r="P117" s="152">
        <f t="shared" si="298"/>
        <v>0</v>
      </c>
      <c r="Q117" s="152">
        <f t="shared" ref="Q117" si="299">Q31/Q25</f>
        <v>0</v>
      </c>
      <c r="R117" s="118" t="e">
        <f t="shared" si="220"/>
        <v>#DIV/0!</v>
      </c>
      <c r="S117" s="20"/>
      <c r="T117" s="152">
        <f t="shared" ref="T117:AC117" si="300">T31/T25</f>
        <v>0</v>
      </c>
      <c r="U117" s="152">
        <f t="shared" si="300"/>
        <v>0</v>
      </c>
      <c r="V117" s="152">
        <f t="shared" si="300"/>
        <v>0</v>
      </c>
      <c r="W117" s="152">
        <f t="shared" si="300"/>
        <v>0</v>
      </c>
      <c r="X117" s="152">
        <f t="shared" si="300"/>
        <v>0</v>
      </c>
      <c r="Y117" s="152">
        <f t="shared" si="300"/>
        <v>0</v>
      </c>
      <c r="Z117" s="152">
        <f t="shared" si="300"/>
        <v>0</v>
      </c>
      <c r="AA117" s="152">
        <f t="shared" si="300"/>
        <v>0</v>
      </c>
      <c r="AB117" s="152">
        <f t="shared" si="300"/>
        <v>0</v>
      </c>
      <c r="AC117" s="152">
        <f t="shared" si="300"/>
        <v>0</v>
      </c>
      <c r="AD117" s="138" t="e">
        <f t="shared" si="222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01">H32/H25</f>
        <v>0</v>
      </c>
      <c r="I118" s="152">
        <f t="shared" si="301"/>
        <v>0</v>
      </c>
      <c r="J118" s="152">
        <f t="shared" si="301"/>
        <v>0</v>
      </c>
      <c r="K118" s="152">
        <f t="shared" si="301"/>
        <v>0</v>
      </c>
      <c r="L118" s="152">
        <f t="shared" si="301"/>
        <v>0</v>
      </c>
      <c r="M118" s="152">
        <f t="shared" si="301"/>
        <v>0</v>
      </c>
      <c r="N118" s="152">
        <f t="shared" si="301"/>
        <v>0</v>
      </c>
      <c r="O118" s="152">
        <f t="shared" si="301"/>
        <v>0</v>
      </c>
      <c r="P118" s="152">
        <f t="shared" si="301"/>
        <v>0</v>
      </c>
      <c r="Q118" s="152">
        <f t="shared" ref="Q118" si="302">Q32/Q25</f>
        <v>0</v>
      </c>
      <c r="R118" s="118" t="e">
        <f t="shared" si="220"/>
        <v>#DIV/0!</v>
      </c>
      <c r="S118" s="20"/>
      <c r="T118" s="152">
        <f t="shared" ref="T118:AC118" si="303">T32/T25</f>
        <v>0</v>
      </c>
      <c r="U118" s="152">
        <f t="shared" si="303"/>
        <v>0</v>
      </c>
      <c r="V118" s="152">
        <f t="shared" si="303"/>
        <v>0</v>
      </c>
      <c r="W118" s="152">
        <f t="shared" si="303"/>
        <v>0</v>
      </c>
      <c r="X118" s="152">
        <f t="shared" si="303"/>
        <v>0</v>
      </c>
      <c r="Y118" s="152">
        <f t="shared" si="303"/>
        <v>0</v>
      </c>
      <c r="Z118" s="152">
        <f t="shared" si="303"/>
        <v>0</v>
      </c>
      <c r="AA118" s="152">
        <f t="shared" si="303"/>
        <v>0</v>
      </c>
      <c r="AB118" s="152">
        <f t="shared" si="303"/>
        <v>0</v>
      </c>
      <c r="AC118" s="152">
        <f t="shared" si="303"/>
        <v>0</v>
      </c>
      <c r="AD118" s="138" t="e">
        <f t="shared" si="222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0.86831275720164613</v>
      </c>
      <c r="H120" s="152">
        <f t="shared" ref="H120:P120" si="304">H27/H25</f>
        <v>0.88973706530958441</v>
      </c>
      <c r="I120" s="152">
        <f t="shared" si="304"/>
        <v>0.89375830013280211</v>
      </c>
      <c r="J120" s="152">
        <f t="shared" si="304"/>
        <v>0.91210685049547613</v>
      </c>
      <c r="K120" s="152">
        <f t="shared" si="304"/>
        <v>0.93131868131868134</v>
      </c>
      <c r="L120" s="152">
        <f t="shared" si="304"/>
        <v>0.92243975903614461</v>
      </c>
      <c r="M120" s="152">
        <f t="shared" si="304"/>
        <v>0.91501770464486565</v>
      </c>
      <c r="N120" s="152">
        <f t="shared" si="304"/>
        <v>0.90505079006772005</v>
      </c>
      <c r="O120" s="152">
        <f t="shared" si="304"/>
        <v>0.90405447229959768</v>
      </c>
      <c r="P120" s="152">
        <f t="shared" si="304"/>
        <v>0.89906677539186375</v>
      </c>
      <c r="Q120" s="152">
        <f t="shared" ref="Q120" si="305">Q27/Q25</f>
        <v>0.90069702181587763</v>
      </c>
      <c r="R120" s="118">
        <f t="shared" si="220"/>
        <v>3.8747474995286524E-3</v>
      </c>
      <c r="S120" s="20"/>
      <c r="T120" s="152">
        <f t="shared" ref="T120:AC120" si="306">T27/T25</f>
        <v>0.90069702181587763</v>
      </c>
      <c r="U120" s="152">
        <f t="shared" si="306"/>
        <v>0.90069702181587763</v>
      </c>
      <c r="V120" s="152">
        <f t="shared" si="306"/>
        <v>0.90069702181587774</v>
      </c>
      <c r="W120" s="152">
        <f t="shared" si="306"/>
        <v>0.90069702181587763</v>
      </c>
      <c r="X120" s="152">
        <f t="shared" si="306"/>
        <v>0.90069702181587752</v>
      </c>
      <c r="Y120" s="152">
        <f t="shared" si="306"/>
        <v>0.90069702181587763</v>
      </c>
      <c r="Z120" s="152">
        <f t="shared" si="306"/>
        <v>0.90069702181587752</v>
      </c>
      <c r="AA120" s="152">
        <f t="shared" si="306"/>
        <v>0.90069702181587752</v>
      </c>
      <c r="AB120" s="152">
        <f t="shared" si="306"/>
        <v>0.90069702181587752</v>
      </c>
      <c r="AC120" s="152">
        <f t="shared" si="306"/>
        <v>0.90069702181587741</v>
      </c>
      <c r="AD120" s="138">
        <f t="shared" si="222"/>
        <v>1.83252518303334E-3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0.61111111111111116</v>
      </c>
      <c r="H121" s="152">
        <f t="shared" ref="H121:P121" si="307">H33/H25</f>
        <v>0.63528413910093295</v>
      </c>
      <c r="I121" s="152">
        <f t="shared" si="307"/>
        <v>0.64741035856573703</v>
      </c>
      <c r="J121" s="152">
        <f t="shared" si="307"/>
        <v>0.69625161568289529</v>
      </c>
      <c r="K121" s="152">
        <f t="shared" si="307"/>
        <v>0.74053724053724057</v>
      </c>
      <c r="L121" s="152">
        <f t="shared" si="307"/>
        <v>0.73694779116465858</v>
      </c>
      <c r="M121" s="152">
        <f t="shared" si="307"/>
        <v>0.74109560508227457</v>
      </c>
      <c r="N121" s="152">
        <f t="shared" si="307"/>
        <v>0.74435665914221216</v>
      </c>
      <c r="O121" s="152">
        <f t="shared" si="307"/>
        <v>0.76044568245125344</v>
      </c>
      <c r="P121" s="152">
        <f t="shared" si="307"/>
        <v>0.75989852314940654</v>
      </c>
      <c r="Q121" s="152">
        <f t="shared" ref="Q121" si="308">Q33/Q25</f>
        <v>0.59292115506472343</v>
      </c>
      <c r="R121" s="118">
        <f t="shared" si="220"/>
        <v>2.4507275118485605E-2</v>
      </c>
      <c r="S121" s="20"/>
      <c r="T121" s="152">
        <f t="shared" ref="T121:AC121" si="309">T33/T25</f>
        <v>0.59292115506472354</v>
      </c>
      <c r="U121" s="152">
        <f t="shared" si="309"/>
        <v>0.59292115506472343</v>
      </c>
      <c r="V121" s="152">
        <f t="shared" si="309"/>
        <v>0.59292115506472343</v>
      </c>
      <c r="W121" s="152">
        <f t="shared" si="309"/>
        <v>0.59292115506472343</v>
      </c>
      <c r="X121" s="152">
        <f t="shared" si="309"/>
        <v>0.59292115506472343</v>
      </c>
      <c r="Y121" s="152">
        <f t="shared" si="309"/>
        <v>0.59292115506472343</v>
      </c>
      <c r="Z121" s="152">
        <f t="shared" si="309"/>
        <v>0.59292115506472343</v>
      </c>
      <c r="AA121" s="152">
        <f t="shared" si="309"/>
        <v>0.59292115506472332</v>
      </c>
      <c r="AB121" s="152">
        <f t="shared" si="309"/>
        <v>0.59292115506472332</v>
      </c>
      <c r="AC121" s="152">
        <f t="shared" si="309"/>
        <v>0.59292115506472332</v>
      </c>
      <c r="AD121" s="138">
        <f t="shared" si="222"/>
        <v>-1.5097273705633185E-3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9.7736625514403291E-2</v>
      </c>
      <c r="H122" s="152">
        <f t="shared" ref="H122:P122" si="310">H34/H25</f>
        <v>8.1424936386768454E-2</v>
      </c>
      <c r="I122" s="152">
        <f t="shared" si="310"/>
        <v>7.4369189907038516E-2</v>
      </c>
      <c r="J122" s="152">
        <f t="shared" si="310"/>
        <v>6.893580353295993E-2</v>
      </c>
      <c r="K122" s="152">
        <f t="shared" si="310"/>
        <v>5.8913308913308912E-2</v>
      </c>
      <c r="L122" s="152">
        <f t="shared" si="310"/>
        <v>5.9487951807228913E-2</v>
      </c>
      <c r="M122" s="152">
        <f t="shared" si="310"/>
        <v>5.8112893147260987E-2</v>
      </c>
      <c r="N122" s="152">
        <f t="shared" si="310"/>
        <v>5.2059819413092553E-2</v>
      </c>
      <c r="O122" s="152">
        <f t="shared" si="310"/>
        <v>4.0957391932322292E-2</v>
      </c>
      <c r="P122" s="152">
        <f t="shared" si="310"/>
        <v>4.430551780375102E-2</v>
      </c>
      <c r="Q122" s="152">
        <f t="shared" ref="Q122" si="311">Q34/Q25</f>
        <v>4.8882049425183309E-2</v>
      </c>
      <c r="R122" s="118">
        <f t="shared" si="220"/>
        <v>-8.4154374990236258E-2</v>
      </c>
      <c r="S122" s="20"/>
      <c r="T122" s="152">
        <f t="shared" ref="T122:AC122" si="312">T34/T25</f>
        <v>4.8882049425183309E-2</v>
      </c>
      <c r="U122" s="152">
        <f t="shared" si="312"/>
        <v>4.8882049425183302E-2</v>
      </c>
      <c r="V122" s="152">
        <f t="shared" si="312"/>
        <v>4.8882049425183302E-2</v>
      </c>
      <c r="W122" s="152">
        <f t="shared" si="312"/>
        <v>4.8882049425183302E-2</v>
      </c>
      <c r="X122" s="152">
        <f t="shared" si="312"/>
        <v>4.8882049425183302E-2</v>
      </c>
      <c r="Y122" s="152">
        <f t="shared" si="312"/>
        <v>4.8882049425183302E-2</v>
      </c>
      <c r="Z122" s="152">
        <f t="shared" si="312"/>
        <v>4.8882049425183302E-2</v>
      </c>
      <c r="AA122" s="152">
        <f t="shared" si="312"/>
        <v>4.8882049425183295E-2</v>
      </c>
      <c r="AB122" s="152">
        <f t="shared" si="312"/>
        <v>4.8882049425183295E-2</v>
      </c>
      <c r="AC122" s="152">
        <f t="shared" si="312"/>
        <v>4.8882049425183295E-2</v>
      </c>
      <c r="AD122" s="138">
        <f t="shared" si="222"/>
        <v>-3.4050096864619572E-2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1.5767441860465117</v>
      </c>
      <c r="H125" s="25">
        <f t="shared" ref="H125:AC125" si="313">H15/H9</f>
        <v>1.3715277777777777</v>
      </c>
      <c r="I125" s="25">
        <f t="shared" si="313"/>
        <v>1.3760217983651226</v>
      </c>
      <c r="J125" s="25">
        <f t="shared" si="313"/>
        <v>1.4407665505226481</v>
      </c>
      <c r="K125" s="25">
        <f t="shared" si="313"/>
        <v>1.3657142857142857</v>
      </c>
      <c r="L125" s="25">
        <f t="shared" si="313"/>
        <v>1.4159751037344399</v>
      </c>
      <c r="M125" s="25">
        <f t="shared" si="313"/>
        <v>1.2707275803722504</v>
      </c>
      <c r="N125" s="25">
        <f t="shared" si="313"/>
        <v>1.2946607788036932</v>
      </c>
      <c r="O125" s="25">
        <f t="shared" si="313"/>
        <v>1.3597560975609757</v>
      </c>
      <c r="P125" s="25">
        <f t="shared" si="313"/>
        <v>1.4022503516174403</v>
      </c>
      <c r="Q125" s="25">
        <f t="shared" ref="Q125" si="314">Q15/Q9</f>
        <v>1.4022503516174403</v>
      </c>
      <c r="R125" s="118">
        <f t="shared" si="220"/>
        <v>-1.2946983862325179E-2</v>
      </c>
      <c r="S125" s="20"/>
      <c r="T125" s="20">
        <f t="shared" si="313"/>
        <v>1.4022503516174403</v>
      </c>
      <c r="U125" s="20">
        <f t="shared" si="313"/>
        <v>1.4022503516174403</v>
      </c>
      <c r="V125" s="20">
        <f t="shared" si="313"/>
        <v>1.4022503516174403</v>
      </c>
      <c r="W125" s="20">
        <f t="shared" si="313"/>
        <v>1.4022503516174403</v>
      </c>
      <c r="X125" s="20">
        <f t="shared" si="313"/>
        <v>1.4022503516174403</v>
      </c>
      <c r="Y125" s="20">
        <f t="shared" si="313"/>
        <v>1.4022503516174403</v>
      </c>
      <c r="Z125" s="20">
        <f t="shared" si="313"/>
        <v>1.4022503516174403</v>
      </c>
      <c r="AA125" s="20">
        <f t="shared" si="313"/>
        <v>1.4022503516174405</v>
      </c>
      <c r="AB125" s="20">
        <f t="shared" si="313"/>
        <v>1.4022503516174405</v>
      </c>
      <c r="AC125" s="20">
        <f t="shared" si="313"/>
        <v>1.4022503516174405</v>
      </c>
      <c r="AD125" s="138">
        <f t="shared" si="222"/>
        <v>-5.847026171456271E-3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0.12558139534883722</v>
      </c>
      <c r="H126" s="25">
        <f t="shared" ref="H126:P126" si="315">H12/H9</f>
        <v>0.15625</v>
      </c>
      <c r="I126" s="25">
        <f t="shared" si="315"/>
        <v>0.10354223433242507</v>
      </c>
      <c r="J126" s="25">
        <f t="shared" si="315"/>
        <v>8.885017421602788E-2</v>
      </c>
      <c r="K126" s="25">
        <f t="shared" si="315"/>
        <v>5.9428571428571428E-2</v>
      </c>
      <c r="L126" s="25">
        <f t="shared" si="315"/>
        <v>5.7053941908713691E-2</v>
      </c>
      <c r="M126" s="25">
        <f t="shared" si="315"/>
        <v>0.16666666666666666</v>
      </c>
      <c r="N126" s="25">
        <f t="shared" si="315"/>
        <v>0.44560417503010841</v>
      </c>
      <c r="O126" s="25">
        <f t="shared" si="315"/>
        <v>0.32757452574525747</v>
      </c>
      <c r="P126" s="25">
        <f t="shared" si="315"/>
        <v>0.32039381153305202</v>
      </c>
      <c r="Q126" s="25">
        <f t="shared" ref="Q126" si="316">Q12/Q9</f>
        <v>0.32039381153305202</v>
      </c>
      <c r="R126" s="118">
        <f t="shared" si="220"/>
        <v>0.10967403413926702</v>
      </c>
      <c r="S126" s="128"/>
      <c r="T126" s="20">
        <f t="shared" ref="T126:AC126" si="317">T12/T9</f>
        <v>0.32039381153305208</v>
      </c>
      <c r="U126" s="20">
        <f t="shared" si="317"/>
        <v>0.32039381153305208</v>
      </c>
      <c r="V126" s="20">
        <f t="shared" si="317"/>
        <v>0.32039381153305213</v>
      </c>
      <c r="W126" s="20">
        <f t="shared" si="317"/>
        <v>0.32039381153305208</v>
      </c>
      <c r="X126" s="20">
        <f t="shared" si="317"/>
        <v>0.32039381153305208</v>
      </c>
      <c r="Y126" s="20">
        <f t="shared" si="317"/>
        <v>0.32039381153305213</v>
      </c>
      <c r="Z126" s="20">
        <f t="shared" si="317"/>
        <v>0.32039381153305213</v>
      </c>
      <c r="AA126" s="20">
        <f t="shared" si="317"/>
        <v>0.32039381153305219</v>
      </c>
      <c r="AB126" s="20">
        <f t="shared" si="317"/>
        <v>0.32039381153305219</v>
      </c>
      <c r="AC126" s="20">
        <f t="shared" si="317"/>
        <v>0.32039381153305219</v>
      </c>
      <c r="AD126" s="118">
        <f t="shared" ref="AD126" si="318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2.7</v>
      </c>
      <c r="H127" s="25">
        <f t="shared" ref="H127:P127" si="319">H25/360</f>
        <v>3.2749999999999999</v>
      </c>
      <c r="I127" s="25">
        <f t="shared" si="319"/>
        <v>4.1833333333333336</v>
      </c>
      <c r="J127" s="25">
        <f t="shared" si="319"/>
        <v>6.447222222222222</v>
      </c>
      <c r="K127" s="25">
        <f t="shared" si="319"/>
        <v>9.1</v>
      </c>
      <c r="L127" s="25">
        <f t="shared" si="319"/>
        <v>11.066666666666666</v>
      </c>
      <c r="M127" s="25">
        <f t="shared" si="319"/>
        <v>13.33611111111111</v>
      </c>
      <c r="N127" s="25">
        <f t="shared" si="319"/>
        <v>19.68888888888889</v>
      </c>
      <c r="O127" s="25">
        <f t="shared" si="319"/>
        <v>26.925000000000001</v>
      </c>
      <c r="P127" s="25">
        <f t="shared" si="319"/>
        <v>30.658333333333335</v>
      </c>
      <c r="Q127" s="25">
        <f t="shared" ref="Q127" si="320">Q25/360</f>
        <v>30.68611111111111</v>
      </c>
      <c r="R127" s="118">
        <f t="shared" si="220"/>
        <v>0.3099139073577013</v>
      </c>
      <c r="S127" s="128"/>
      <c r="T127" s="25">
        <f t="shared" ref="T127:AC127" si="321">T25/360</f>
        <v>36.209611111111109</v>
      </c>
      <c r="U127" s="25">
        <f t="shared" si="321"/>
        <v>42.727341111111109</v>
      </c>
      <c r="V127" s="25">
        <f t="shared" si="321"/>
        <v>50.418262511111102</v>
      </c>
      <c r="W127" s="25">
        <f t="shared" si="321"/>
        <v>59.493549763111098</v>
      </c>
      <c r="X127" s="25">
        <f t="shared" si="321"/>
        <v>70.202388720471092</v>
      </c>
      <c r="Y127" s="25">
        <f t="shared" si="321"/>
        <v>82.83881869015589</v>
      </c>
      <c r="Z127" s="25">
        <f t="shared" si="321"/>
        <v>97.749806054383953</v>
      </c>
      <c r="AA127" s="25">
        <f t="shared" si="321"/>
        <v>115.34477114417305</v>
      </c>
      <c r="AB127" s="25">
        <f t="shared" si="321"/>
        <v>136.10682995012419</v>
      </c>
      <c r="AC127" s="25">
        <f t="shared" si="321"/>
        <v>160.60605934114653</v>
      </c>
      <c r="AD127" s="118">
        <f t="shared" ref="AD127:AD138" si="322">((AC127/T127)^(1/($H$2-$H$1) ))-1</f>
        <v>0.17999999999999994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2.3444444444444446</v>
      </c>
      <c r="H128" s="25">
        <f t="shared" ref="H128:P128" si="323">H27/360</f>
        <v>2.9138888888888888</v>
      </c>
      <c r="I128" s="25">
        <f t="shared" si="323"/>
        <v>3.7388888888888889</v>
      </c>
      <c r="J128" s="25">
        <f t="shared" si="323"/>
        <v>5.8805555555555555</v>
      </c>
      <c r="K128" s="25">
        <f t="shared" si="323"/>
        <v>8.4749999999999996</v>
      </c>
      <c r="L128" s="25">
        <f t="shared" si="323"/>
        <v>10.208333333333334</v>
      </c>
      <c r="M128" s="25">
        <f t="shared" si="323"/>
        <v>12.202777777777778</v>
      </c>
      <c r="N128" s="25">
        <f t="shared" si="323"/>
        <v>17.819444444444443</v>
      </c>
      <c r="O128" s="25">
        <f t="shared" si="323"/>
        <v>24.341666666666665</v>
      </c>
      <c r="P128" s="25">
        <f t="shared" si="323"/>
        <v>27.56388888888889</v>
      </c>
      <c r="Q128" s="25">
        <f t="shared" ref="Q128" si="324">Q27/360</f>
        <v>27.638888888888889</v>
      </c>
      <c r="R128" s="118">
        <f t="shared" si="220"/>
        <v>0.31498949299483359</v>
      </c>
      <c r="S128" s="128"/>
      <c r="T128" s="25">
        <f t="shared" ref="T128:AC128" si="325">T27/360</f>
        <v>32.613888888888887</v>
      </c>
      <c r="U128" s="25">
        <f t="shared" si="325"/>
        <v>38.484388888888887</v>
      </c>
      <c r="V128" s="25">
        <f t="shared" si="325"/>
        <v>45.411578888888883</v>
      </c>
      <c r="W128" s="25">
        <f t="shared" si="325"/>
        <v>53.585663088888879</v>
      </c>
      <c r="X128" s="25">
        <f t="shared" si="325"/>
        <v>63.23108244488887</v>
      </c>
      <c r="Y128" s="25">
        <f t="shared" si="325"/>
        <v>74.612677284968868</v>
      </c>
      <c r="Z128" s="25">
        <f t="shared" si="325"/>
        <v>88.042959196263254</v>
      </c>
      <c r="AA128" s="25">
        <f t="shared" si="325"/>
        <v>103.89069185159065</v>
      </c>
      <c r="AB128" s="25">
        <f t="shared" si="325"/>
        <v>122.59101638487694</v>
      </c>
      <c r="AC128" s="25">
        <f t="shared" si="325"/>
        <v>144.65739933415477</v>
      </c>
      <c r="AD128" s="118">
        <f t="shared" si="322"/>
        <v>0.17999999999999994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2.4518072289156625</v>
      </c>
      <c r="H130" s="25">
        <f t="shared" ref="H130:P130" si="326">H10/H7</f>
        <v>1.8333333333333333</v>
      </c>
      <c r="I130" s="25">
        <f t="shared" si="326"/>
        <v>1.1355932203389831</v>
      </c>
      <c r="J130" s="25">
        <f t="shared" si="326"/>
        <v>0.73293768545994065</v>
      </c>
      <c r="K130" s="25">
        <f t="shared" si="326"/>
        <v>0.47191011235955055</v>
      </c>
      <c r="L130" s="25">
        <f t="shared" si="326"/>
        <v>0.29749103942652327</v>
      </c>
      <c r="M130" s="25">
        <f t="shared" si="326"/>
        <v>9.9726775956284153E-2</v>
      </c>
      <c r="N130" s="25">
        <f t="shared" si="326"/>
        <v>9.5652173913043474E-3</v>
      </c>
      <c r="O130" s="25">
        <f t="shared" si="326"/>
        <v>4.0314852840520193E-3</v>
      </c>
      <c r="P130" s="25">
        <f t="shared" si="326"/>
        <v>5.0787201625190451E-6</v>
      </c>
      <c r="Q130" s="25">
        <f t="shared" ref="Q130" si="327">Q10/Q7</f>
        <v>3.9651070578905628E-6</v>
      </c>
      <c r="R130" s="118">
        <f t="shared" si="220"/>
        <v>-0.76639925791548968</v>
      </c>
      <c r="S130" s="128"/>
      <c r="T130" s="25">
        <f t="shared" ref="T130:AC130" si="328">T10/T7</f>
        <v>3.9651070578905628E-6</v>
      </c>
      <c r="U130" s="25">
        <f t="shared" si="328"/>
        <v>3.9651070578905628E-6</v>
      </c>
      <c r="V130" s="25">
        <f t="shared" si="328"/>
        <v>3.9651070578905628E-6</v>
      </c>
      <c r="W130" s="25">
        <f t="shared" si="328"/>
        <v>3.9651070578905628E-6</v>
      </c>
      <c r="X130" s="25">
        <f t="shared" si="328"/>
        <v>3.9651070578905628E-6</v>
      </c>
      <c r="Y130" s="25">
        <f t="shared" si="328"/>
        <v>3.9651070578905628E-6</v>
      </c>
      <c r="Z130" s="25">
        <f t="shared" si="328"/>
        <v>3.9651070578905628E-6</v>
      </c>
      <c r="AA130" s="25">
        <f t="shared" si="328"/>
        <v>3.9651070578905628E-6</v>
      </c>
      <c r="AB130" s="25">
        <f t="shared" si="328"/>
        <v>3.9651070578905628E-6</v>
      </c>
      <c r="AC130" s="25">
        <f t="shared" si="328"/>
        <v>3.9651070578905628E-6</v>
      </c>
      <c r="AD130" s="118">
        <f t="shared" si="322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0.71029668411867364</v>
      </c>
      <c r="H131" s="25">
        <f t="shared" ref="H131:P131" si="329">H10/(H10+H7)</f>
        <v>0.6470588235294118</v>
      </c>
      <c r="I131" s="25">
        <f t="shared" si="329"/>
        <v>0.53174603174603174</v>
      </c>
      <c r="J131" s="25">
        <f t="shared" si="329"/>
        <v>0.42294520547945208</v>
      </c>
      <c r="K131" s="25">
        <f t="shared" si="329"/>
        <v>0.32061068702290074</v>
      </c>
      <c r="L131" s="25">
        <f t="shared" si="329"/>
        <v>0.2292817679558011</v>
      </c>
      <c r="M131" s="25">
        <f t="shared" si="329"/>
        <v>9.0683229813664598E-2</v>
      </c>
      <c r="N131" s="25">
        <f t="shared" si="329"/>
        <v>9.4745908699397068E-3</v>
      </c>
      <c r="O131" s="25">
        <f t="shared" si="329"/>
        <v>4.015297670581979E-3</v>
      </c>
      <c r="P131" s="25">
        <f t="shared" si="329"/>
        <v>5.0786943692515531E-6</v>
      </c>
      <c r="Q131" s="25">
        <f t="shared" ref="Q131" si="330">Q10/(Q10+Q7)</f>
        <v>3.965091335878922E-6</v>
      </c>
      <c r="R131" s="118">
        <f t="shared" si="220"/>
        <v>-0.73192462559365323</v>
      </c>
      <c r="S131" s="128"/>
      <c r="T131" s="25">
        <f t="shared" ref="T131:AC131" si="331">T10/(T10+T7)</f>
        <v>3.9650913358789212E-6</v>
      </c>
      <c r="U131" s="25">
        <f t="shared" si="331"/>
        <v>3.965091335878922E-6</v>
      </c>
      <c r="V131" s="25">
        <f t="shared" si="331"/>
        <v>3.965091335878922E-6</v>
      </c>
      <c r="W131" s="25">
        <f t="shared" si="331"/>
        <v>3.965091335878922E-6</v>
      </c>
      <c r="X131" s="25">
        <f t="shared" si="331"/>
        <v>3.965091335878922E-6</v>
      </c>
      <c r="Y131" s="25">
        <f t="shared" si="331"/>
        <v>3.9650913358789212E-6</v>
      </c>
      <c r="Z131" s="25">
        <f t="shared" si="331"/>
        <v>3.9650913358789212E-6</v>
      </c>
      <c r="AA131" s="25">
        <f t="shared" si="331"/>
        <v>3.9650913358789212E-6</v>
      </c>
      <c r="AB131" s="25">
        <f t="shared" si="331"/>
        <v>3.965091335878922E-6</v>
      </c>
      <c r="AC131" s="25">
        <f t="shared" si="331"/>
        <v>3.965091335878922E-6</v>
      </c>
      <c r="AD131" s="118">
        <f t="shared" si="322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323</v>
      </c>
      <c r="H133" s="25">
        <f t="shared" ref="H133:P133" si="332">H16</f>
        <v>254</v>
      </c>
      <c r="I133" s="25">
        <f t="shared" si="332"/>
        <v>255</v>
      </c>
      <c r="J133" s="25">
        <f t="shared" si="332"/>
        <v>277</v>
      </c>
      <c r="K133" s="25">
        <f t="shared" si="332"/>
        <v>366</v>
      </c>
      <c r="L133" s="25">
        <f t="shared" si="332"/>
        <v>423</v>
      </c>
      <c r="M133" s="25">
        <f t="shared" si="332"/>
        <v>523</v>
      </c>
      <c r="N133" s="25">
        <f t="shared" si="332"/>
        <v>737</v>
      </c>
      <c r="O133" s="25">
        <f t="shared" si="332"/>
        <v>1055</v>
      </c>
      <c r="P133" s="25">
        <f t="shared" si="332"/>
        <v>1461</v>
      </c>
      <c r="Q133" s="25">
        <f t="shared" ref="Q133" si="333">Q16</f>
        <v>1461</v>
      </c>
      <c r="R133" s="118">
        <f t="shared" si="220"/>
        <v>0.18257180831974607</v>
      </c>
      <c r="S133" s="128"/>
      <c r="T133" s="25">
        <f t="shared" ref="T133:AC133" si="334">T16</f>
        <v>1723.98</v>
      </c>
      <c r="U133" s="25">
        <f t="shared" si="334"/>
        <v>2034.2963999999999</v>
      </c>
      <c r="V133" s="25">
        <f t="shared" si="334"/>
        <v>2400.469752</v>
      </c>
      <c r="W133" s="25">
        <f t="shared" si="334"/>
        <v>2832.5543073599997</v>
      </c>
      <c r="X133" s="25">
        <f t="shared" si="334"/>
        <v>3342.4140826847993</v>
      </c>
      <c r="Y133" s="25">
        <f t="shared" si="334"/>
        <v>3944.048617568063</v>
      </c>
      <c r="Z133" s="25">
        <f t="shared" si="334"/>
        <v>4653.9773687303141</v>
      </c>
      <c r="AA133" s="25">
        <f t="shared" si="334"/>
        <v>5491.6932951017707</v>
      </c>
      <c r="AB133" s="25">
        <f t="shared" si="334"/>
        <v>6480.1980882200887</v>
      </c>
      <c r="AC133" s="25">
        <f t="shared" si="334"/>
        <v>7646.633744099704</v>
      </c>
      <c r="AD133" s="118">
        <f t="shared" si="322"/>
        <v>0.17999999999999994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35">G133*365/G25</f>
        <v>121.29115226337449</v>
      </c>
      <c r="H134" s="119">
        <f t="shared" si="335"/>
        <v>78.634435962680243</v>
      </c>
      <c r="I134" s="119">
        <f t="shared" si="335"/>
        <v>61.802788844621517</v>
      </c>
      <c r="J134" s="119">
        <f t="shared" si="335"/>
        <v>43.560965101249458</v>
      </c>
      <c r="K134" s="119">
        <f t="shared" si="335"/>
        <v>40.778388278388277</v>
      </c>
      <c r="L134" s="119">
        <f t="shared" si="335"/>
        <v>38.753765060240966</v>
      </c>
      <c r="M134" s="119">
        <f t="shared" si="335"/>
        <v>39.761508019162676</v>
      </c>
      <c r="N134" s="119">
        <f t="shared" si="335"/>
        <v>37.952172686230249</v>
      </c>
      <c r="O134" s="119">
        <f t="shared" si="335"/>
        <v>39.727122665841328</v>
      </c>
      <c r="P134" s="119">
        <f t="shared" si="335"/>
        <v>48.316118510464797</v>
      </c>
      <c r="Q134" s="119">
        <f t="shared" ref="Q134" si="336">Q133*365/Q25</f>
        <v>48.27238164207477</v>
      </c>
      <c r="R134" s="118">
        <f t="shared" si="220"/>
        <v>-9.7214098058416631E-2</v>
      </c>
      <c r="S134" s="128"/>
      <c r="T134" s="119">
        <f t="shared" ref="T134:AC134" si="337">T133*365/T25</f>
        <v>48.27238164207477</v>
      </c>
      <c r="U134" s="119">
        <f t="shared" si="337"/>
        <v>48.272381642074777</v>
      </c>
      <c r="V134" s="119">
        <f t="shared" si="337"/>
        <v>48.272381642074777</v>
      </c>
      <c r="W134" s="119">
        <f t="shared" si="337"/>
        <v>48.272381642074777</v>
      </c>
      <c r="X134" s="119">
        <f t="shared" si="337"/>
        <v>48.27238164207477</v>
      </c>
      <c r="Y134" s="119">
        <f t="shared" si="337"/>
        <v>48.27238164207477</v>
      </c>
      <c r="Z134" s="119">
        <f t="shared" si="337"/>
        <v>48.27238164207477</v>
      </c>
      <c r="AA134" s="119">
        <f t="shared" si="337"/>
        <v>48.27238164207477</v>
      </c>
      <c r="AB134" s="119">
        <f t="shared" si="337"/>
        <v>48.27238164207477</v>
      </c>
      <c r="AC134" s="119">
        <f t="shared" si="337"/>
        <v>48.27238164207477</v>
      </c>
      <c r="AD134" s="118">
        <f t="shared" si="322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0.51342812006319116</v>
      </c>
      <c r="H135" s="133">
        <f t="shared" ref="H135:P135" si="338">H80/H29</f>
        <v>0.99813298865431566</v>
      </c>
      <c r="I135" s="133">
        <f t="shared" si="338"/>
        <v>1.6018957345971565</v>
      </c>
      <c r="J135" s="133">
        <f t="shared" si="338"/>
        <v>2.3593628444988592</v>
      </c>
      <c r="K135" s="133">
        <f t="shared" si="338"/>
        <v>2.6271095345587447</v>
      </c>
      <c r="L135" s="133">
        <f t="shared" si="338"/>
        <v>2.4775642790287948</v>
      </c>
      <c r="M135" s="133">
        <f t="shared" si="338"/>
        <v>3.5459732319013177</v>
      </c>
      <c r="N135" s="133">
        <f t="shared" si="338"/>
        <v>4.0258227775301583</v>
      </c>
      <c r="O135" s="133">
        <f t="shared" si="338"/>
        <v>0.21510018220144655</v>
      </c>
      <c r="P135" s="133">
        <f t="shared" si="338"/>
        <v>0.22507893053256858</v>
      </c>
      <c r="Q135" s="133">
        <f t="shared" ref="Q135" si="339">Q80/Q29</f>
        <v>0.12637592435054298</v>
      </c>
      <c r="R135" s="118">
        <f t="shared" si="220"/>
        <v>-8.7556183367533014E-2</v>
      </c>
      <c r="S135" s="128"/>
      <c r="T135" s="133">
        <f t="shared" ref="T135:AC135" si="340">T80/T29</f>
        <v>0.1203580231909933</v>
      </c>
      <c r="U135" s="133">
        <f t="shared" si="340"/>
        <v>0.11462668875332695</v>
      </c>
      <c r="V135" s="133">
        <f t="shared" si="340"/>
        <v>0.10916827500316852</v>
      </c>
      <c r="W135" s="133">
        <f t="shared" si="340"/>
        <v>0.10396978571730334</v>
      </c>
      <c r="X135" s="133">
        <f t="shared" si="340"/>
        <v>9.9018843540288892E-2</v>
      </c>
      <c r="Y135" s="133">
        <f t="shared" si="340"/>
        <v>9.4303660514560836E-2</v>
      </c>
      <c r="Z135" s="133">
        <f t="shared" si="340"/>
        <v>8.9813010013867489E-2</v>
      </c>
      <c r="AA135" s="133">
        <f t="shared" si="340"/>
        <v>8.5536200013207123E-2</v>
      </c>
      <c r="AB135" s="133">
        <f t="shared" si="340"/>
        <v>8.1463047631625832E-2</v>
      </c>
      <c r="AC135" s="133">
        <f t="shared" si="340"/>
        <v>7.7583854887262688E-2</v>
      </c>
      <c r="AD135" s="118">
        <f t="shared" si="322"/>
        <v>-4.7619047619047672E-2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5.9268292682926829</v>
      </c>
      <c r="H137" s="180">
        <f t="shared" ref="H137:P137" si="341">H25/H14</f>
        <v>4.3186813186813184</v>
      </c>
      <c r="I137" s="180">
        <f t="shared" si="341"/>
        <v>4.0053191489361701</v>
      </c>
      <c r="J137" s="180">
        <f t="shared" si="341"/>
        <v>3.418262150220913</v>
      </c>
      <c r="K137" s="180">
        <f t="shared" si="341"/>
        <v>3.1379310344827585</v>
      </c>
      <c r="L137" s="180">
        <f t="shared" si="341"/>
        <v>3.308970099667774</v>
      </c>
      <c r="M137" s="180">
        <f t="shared" si="341"/>
        <v>3.5695167286245355</v>
      </c>
      <c r="N137" s="180">
        <f t="shared" si="341"/>
        <v>3.5475475475475475</v>
      </c>
      <c r="O137" s="180">
        <f t="shared" si="341"/>
        <v>3.3632893823733516</v>
      </c>
      <c r="P137" s="180">
        <f t="shared" si="341"/>
        <v>2.9991847826086957</v>
      </c>
      <c r="Q137" s="180">
        <f t="shared" ref="Q137" si="342">Q25/Q14</f>
        <v>3.0019021739130434</v>
      </c>
      <c r="R137" s="118">
        <f t="shared" si="220"/>
        <v>-7.2890138148286598E-2</v>
      </c>
      <c r="S137" s="128"/>
      <c r="T137" s="20">
        <f t="shared" ref="T137" si="343">T25/T14</f>
        <v>3.0019021739130434</v>
      </c>
      <c r="U137" s="20">
        <f t="shared" ref="U137:AC137" si="344">U25/U14</f>
        <v>3.0019021739130438</v>
      </c>
      <c r="V137" s="20">
        <f t="shared" si="344"/>
        <v>3.0019021739130434</v>
      </c>
      <c r="W137" s="20">
        <f t="shared" si="344"/>
        <v>3.0019021739130438</v>
      </c>
      <c r="X137" s="20">
        <f t="shared" si="344"/>
        <v>3.0019021739130438</v>
      </c>
      <c r="Y137" s="20">
        <f t="shared" si="344"/>
        <v>3.0019021739130438</v>
      </c>
      <c r="Z137" s="20">
        <f t="shared" si="344"/>
        <v>3.0019021739130438</v>
      </c>
      <c r="AA137" s="20">
        <f t="shared" si="344"/>
        <v>3.0019021739130438</v>
      </c>
      <c r="AB137" s="20">
        <f t="shared" si="344"/>
        <v>3.0019021739130434</v>
      </c>
      <c r="AC137" s="20">
        <f t="shared" si="344"/>
        <v>3.0019021739130438</v>
      </c>
      <c r="AD137" s="118">
        <f t="shared" si="322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5.1463414634146343</v>
      </c>
      <c r="H138" s="180">
        <f t="shared" ref="H138:P138" si="345">H27/H14</f>
        <v>3.8424908424908426</v>
      </c>
      <c r="I138" s="180">
        <f t="shared" si="345"/>
        <v>3.5797872340425534</v>
      </c>
      <c r="J138" s="180">
        <f t="shared" si="345"/>
        <v>3.117820324005891</v>
      </c>
      <c r="K138" s="180">
        <f t="shared" si="345"/>
        <v>2.9224137931034484</v>
      </c>
      <c r="L138" s="180">
        <f t="shared" si="345"/>
        <v>3.0523255813953489</v>
      </c>
      <c r="M138" s="180">
        <f t="shared" si="345"/>
        <v>3.266171003717472</v>
      </c>
      <c r="N138" s="180">
        <f t="shared" si="345"/>
        <v>3.2107107107107109</v>
      </c>
      <c r="O138" s="180">
        <f t="shared" si="345"/>
        <v>3.0405968077723804</v>
      </c>
      <c r="P138" s="180">
        <f t="shared" si="345"/>
        <v>2.6964673913043478</v>
      </c>
      <c r="Q138" s="180">
        <f t="shared" ref="Q138" si="346">Q27/Q14</f>
        <v>2.7038043478260869</v>
      </c>
      <c r="R138" s="118">
        <f t="shared" si="220"/>
        <v>-6.9297821529288317E-2</v>
      </c>
      <c r="S138" s="128"/>
      <c r="T138" s="20">
        <f t="shared" ref="T138:AC138" si="347">T27/T14</f>
        <v>2.7038043478260874</v>
      </c>
      <c r="U138" s="20">
        <f t="shared" si="347"/>
        <v>2.7038043478260874</v>
      </c>
      <c r="V138" s="20">
        <f t="shared" si="347"/>
        <v>2.7038043478260874</v>
      </c>
      <c r="W138" s="20">
        <f t="shared" si="347"/>
        <v>2.7038043478260874</v>
      </c>
      <c r="X138" s="20">
        <f t="shared" si="347"/>
        <v>2.7038043478260874</v>
      </c>
      <c r="Y138" s="20">
        <f t="shared" si="347"/>
        <v>2.7038043478260869</v>
      </c>
      <c r="Z138" s="20">
        <f t="shared" si="347"/>
        <v>2.7038043478260869</v>
      </c>
      <c r="AA138" s="20">
        <f t="shared" si="347"/>
        <v>2.7038043478260869</v>
      </c>
      <c r="AB138" s="20">
        <f t="shared" si="347"/>
        <v>2.7038043478260865</v>
      </c>
      <c r="AC138" s="20">
        <f t="shared" si="347"/>
        <v>2.7038043478260865</v>
      </c>
      <c r="AD138" s="118">
        <f t="shared" si="322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29.352047209618217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31.844127610625073</v>
      </c>
      <c r="T142" s="133">
        <f>PV($C$1, ($AC$3-$T$3), 0, -AC54)</f>
        <v>4.4372964703330018</v>
      </c>
      <c r="U142" s="133">
        <f>PV($C$1, ($AC$3-$T$3), 0, -AF54)</f>
        <v>27.40683114029207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48">T143+U143</f>
        <v>109.41538124522677</v>
      </c>
      <c r="T143" s="133">
        <f>PV($C$1, ($AC$3-$T$3), 0, -AC56)</f>
        <v>15.246405583351269</v>
      </c>
      <c r="U143" s="133">
        <f>PV($C$1, ($AC$3-$T$3), 0, -AF56)</f>
        <v>94.168975661875493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48"/>
        <v>105.55417231151335</v>
      </c>
      <c r="T144" s="133">
        <f>PV($C$1, ($AC$3-$T$3), 0, -AC57)</f>
        <v>14.708368272915795</v>
      </c>
      <c r="U144" s="133">
        <f>PV($C$1, ($AC$3-$T$3), 0, -AF57)</f>
        <v>90.845804038597564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48"/>
        <v>4.3384370041723539E-4</v>
      </c>
      <c r="T145" s="133">
        <f>PV($C$1, ($AC$3-$T$3), 0, -AC58)</f>
        <v>6.0453630386008197E-5</v>
      </c>
      <c r="U145" s="133">
        <f>PV($C$1, ($AC$3-$T$3), 0, -AF58)</f>
        <v>3.7339007003122721E-4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48"/>
        <v>49.414797477523109</v>
      </c>
      <c r="T146" s="133">
        <f>PV($C$1, ($AC$3-$T$3), 0, -AC64)</f>
        <v>6.8856685009663341</v>
      </c>
      <c r="U146" s="133">
        <f>PV($C$1, ($AC$3-$T$3), 0, -AF64)</f>
        <v>42.529128976556777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48"/>
        <v>109.41494740152635</v>
      </c>
      <c r="T148" s="133">
        <f>PV($C$1, ($AC$3-$T$3), 0, -AC60)</f>
        <v>15.246345129720885</v>
      </c>
      <c r="U148" s="133">
        <f>PV($C$1, ($AC$3-$T$3), 0, -$AF$60)</f>
        <v>94.168602271805469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48"/>
        <v>-44.816488096800761</v>
      </c>
      <c r="T149" s="133">
        <f>PV($C$1, ($AC$3-$T$3), 0, -AC61)</f>
        <v>-6.244920472505024</v>
      </c>
      <c r="U149" s="133">
        <f>PV($C$1, ($AC$3-$T$3), 0, -$AF$61)</f>
        <v>-38.571567624295739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48"/>
        <v>171.45459656119107</v>
      </c>
      <c r="T150" s="133">
        <f>PV($C$1, ($AC$3-$T$3), 0, -AC62)</f>
        <v>23.89121427492006</v>
      </c>
      <c r="U150" s="133">
        <f>PV($C$1, ($AC$3-$T$3), 0, -$AF$62)</f>
        <v>147.56338228627101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48"/>
        <v>216.27108465799179</v>
      </c>
      <c r="T152" s="133">
        <f>PV($C$1, ($AC$3-$T$3), 0, -AC67)</f>
        <v>30.136134747425086</v>
      </c>
      <c r="U152" s="133">
        <f>PV($C$1, ($AC$3-$T$3), 0, -AF67)</f>
        <v>186.13494991056672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48"/>
        <v>48.978981760285791</v>
      </c>
      <c r="T153" s="133">
        <f>PV($C$1, ($AC$3-$T$3), 0, -AC68)</f>
        <v>8.8322753993957992</v>
      </c>
      <c r="U153" s="133">
        <f>PV($C$1, ($AC$3-$T$3), 0, -AF68)</f>
        <v>40.146706360889993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49">T155+U155</f>
        <v>7145.2302858428084</v>
      </c>
      <c r="T155" s="133">
        <f>PV($C$1, ($AC$3-$T$3), 0, -AC12)</f>
        <v>995.64684310924372</v>
      </c>
      <c r="U155" s="133">
        <f>PV($C$1, ($AC$3-$T$3), 0, -AF12)</f>
        <v>6149.5834427335649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80.491498094432913</v>
      </c>
      <c r="T156" s="140">
        <f>T155/P42</f>
        <v>11.216028422994748</v>
      </c>
      <c r="U156" s="140">
        <f>U155/P42</f>
        <v>69.275469671438159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50">T159+U159</f>
        <v>14.893077994277419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12.252354593454699</v>
      </c>
      <c r="U159" s="133">
        <f>PV($C$1, ($AC$3-$T$3), 0, -AF70)</f>
        <v>2.6407234008227194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48"/>
        <v>12514.841293041571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10295.80811045729</v>
      </c>
      <c r="U161" s="133">
        <f>PV($C$1, ($AC$3-$T$3), 0, -AF72)</f>
        <v>2219.0331825842809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51">T163+U163</f>
        <v>86.54981340269677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71.20348152441332</v>
      </c>
      <c r="U163" s="133">
        <f>PV($C$1, ($AC$3-$T$3), 0, -AF74)</f>
        <v>15.346331878283443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1"/>
        <v>95.394319881804464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78.479749709389864</v>
      </c>
      <c r="U164" s="133">
        <f>PV($C$1, ($AC$3-$T$3), 0, -AF75)</f>
        <v>16.914570172414596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1"/>
        <v>-8.8445064791076948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-7.2762681849765407</v>
      </c>
      <c r="U165" s="133">
        <f>PV($C$1, ($AC$3-$T$3), 0, -AF76)</f>
        <v>-1.5682382941311543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51"/>
        <v>-49.487119585483534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-40.712452939749696</v>
      </c>
      <c r="U166" s="133">
        <f>PV($C$1, ($AC$3-$T$3), 0, -AF77)</f>
        <v>-8.7746666457338396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239.22284191110339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196.80572995555596</v>
      </c>
      <c r="U168" s="133">
        <f>PV($C$1, ($AC$3-$T$3), 0, -AF78)</f>
        <v>42.417111955547412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250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>
        <v>96</v>
      </c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360</v>
      </c>
      <c r="Q170" s="20"/>
      <c r="R170" s="20">
        <v>100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300</v>
      </c>
      <c r="H171" s="22">
        <v>200</v>
      </c>
      <c r="I171" s="22">
        <v>740</v>
      </c>
      <c r="J171" s="22">
        <v>800</v>
      </c>
      <c r="K171" s="22">
        <v>900</v>
      </c>
      <c r="L171" s="22">
        <v>720</v>
      </c>
      <c r="M171" s="22">
        <v>1760</v>
      </c>
      <c r="N171" s="22">
        <v>3350</v>
      </c>
      <c r="O171" s="22">
        <v>215</v>
      </c>
      <c r="P171" s="22">
        <v>230</v>
      </c>
      <c r="Q171" s="22">
        <v>100</v>
      </c>
      <c r="R171" s="118">
        <f t="shared" ref="R171:R176" si="352">((P171/G171)^(1/($H$2-$H$1) ))-1</f>
        <v>-2.909103987625028E-2</v>
      </c>
      <c r="S171" s="31">
        <f>L2-3%</f>
        <v>0.15</v>
      </c>
      <c r="T171" s="119">
        <f t="shared" ref="T171" si="353">P171*(1+$S171)</f>
        <v>264.5</v>
      </c>
      <c r="U171" s="119">
        <f t="shared" ref="U171:AC171" si="354">T171*(1+$S171)</f>
        <v>304.17499999999995</v>
      </c>
      <c r="V171" s="119">
        <f t="shared" si="354"/>
        <v>349.80124999999992</v>
      </c>
      <c r="W171" s="119">
        <f t="shared" si="354"/>
        <v>402.27143749999988</v>
      </c>
      <c r="X171" s="119">
        <f t="shared" si="354"/>
        <v>462.61215312499985</v>
      </c>
      <c r="Y171" s="119">
        <f t="shared" si="354"/>
        <v>532.00397609374977</v>
      </c>
      <c r="Z171" s="119">
        <f t="shared" si="354"/>
        <v>611.80457250781217</v>
      </c>
      <c r="AA171" s="119">
        <f t="shared" si="354"/>
        <v>703.57525838398396</v>
      </c>
      <c r="AB171" s="119">
        <f t="shared" si="354"/>
        <v>809.11154714158147</v>
      </c>
      <c r="AC171" s="119">
        <f t="shared" si="354"/>
        <v>930.47827921281862</v>
      </c>
      <c r="AD171" s="138">
        <f t="shared" ref="AD171:AD176" si="355">((AC171/G171)^(1/($AC$3-$H$1) ))-1</f>
        <v>5.8228001837755894E-2</v>
      </c>
      <c r="AE171" s="31">
        <v>0.08</v>
      </c>
      <c r="AF171" s="127">
        <f t="shared" ref="AF171:AF179" si="356">(AC171*(1+AD171))/($C$1-AE171)</f>
        <v>7033.2726440343895</v>
      </c>
    </row>
    <row r="172" spans="2:32" x14ac:dyDescent="0.2">
      <c r="B172" s="20" t="s">
        <v>361</v>
      </c>
      <c r="C172" s="25" t="e">
        <f t="shared" ref="C172:P172" si="357">C171/C50</f>
        <v>#DIV/0!</v>
      </c>
      <c r="D172" s="25" t="e">
        <f t="shared" si="357"/>
        <v>#DIV/0!</v>
      </c>
      <c r="E172" s="25" t="e">
        <f t="shared" si="357"/>
        <v>#DIV/0!</v>
      </c>
      <c r="F172" s="25" t="e">
        <f t="shared" si="357"/>
        <v>#DIV/0!</v>
      </c>
      <c r="G172" s="25">
        <f t="shared" si="357"/>
        <v>1.3024691358024691</v>
      </c>
      <c r="H172" s="25">
        <f t="shared" si="357"/>
        <v>0.71586089906700578</v>
      </c>
      <c r="I172" s="25">
        <f t="shared" si="357"/>
        <v>2.0735723771580341</v>
      </c>
      <c r="J172" s="25">
        <f t="shared" si="357"/>
        <v>1.5269280482550622</v>
      </c>
      <c r="K172" s="25">
        <f t="shared" si="357"/>
        <v>1.2170329670329669</v>
      </c>
      <c r="L172" s="25">
        <f t="shared" si="357"/>
        <v>0.80060240963855422</v>
      </c>
      <c r="M172" s="25">
        <f t="shared" si="357"/>
        <v>1.6239950010414497</v>
      </c>
      <c r="N172" s="25">
        <f t="shared" si="357"/>
        <v>2.09375</v>
      </c>
      <c r="O172" s="25">
        <f t="shared" si="357"/>
        <v>1.9690034045187248</v>
      </c>
      <c r="P172" s="25">
        <f t="shared" si="357"/>
        <v>1.8498776841533024</v>
      </c>
      <c r="Q172" s="25">
        <f t="shared" ref="Q172" si="358">Q171/Q50</f>
        <v>0.80356657916176333</v>
      </c>
      <c r="R172" s="118">
        <f t="shared" ref="R172" si="359">((P172/G172)^(1/($H$2-$H$1) ))-1</f>
        <v>3.975404639357949E-2</v>
      </c>
      <c r="S172" s="128"/>
      <c r="T172" s="25">
        <f t="shared" ref="T172:AC172" si="360">T171/T50</f>
        <v>1.8912756626923792</v>
      </c>
      <c r="U172" s="25">
        <f t="shared" si="360"/>
        <v>1.9353520022890236</v>
      </c>
      <c r="V172" s="25">
        <f t="shared" si="360"/>
        <v>1.980455544715251</v>
      </c>
      <c r="W172" s="25">
        <f t="shared" si="360"/>
        <v>2.0266102290200556</v>
      </c>
      <c r="X172" s="25">
        <f t="shared" si="360"/>
        <v>2.0738405521539978</v>
      </c>
      <c r="Y172" s="25">
        <f t="shared" si="360"/>
        <v>2.1221715819711457</v>
      </c>
      <c r="Z172" s="25">
        <f t="shared" si="360"/>
        <v>2.1716289705340324</v>
      </c>
      <c r="AA172" s="25">
        <f t="shared" si="360"/>
        <v>2.2222389677286816</v>
      </c>
      <c r="AB172" s="25">
        <f t="shared" si="360"/>
        <v>2.2740284351969349</v>
      </c>
      <c r="AC172" s="25">
        <f t="shared" si="360"/>
        <v>2.3270248605934736</v>
      </c>
      <c r="AD172" s="138">
        <f t="shared" ref="AD172" si="361">((AC172/G172)^(1/($AC$3-$H$1) ))-1</f>
        <v>2.9441516787646282E-2</v>
      </c>
      <c r="AE172" s="31">
        <v>0.08</v>
      </c>
      <c r="AF172" s="127">
        <f t="shared" ref="AF172" si="362">(AC172*(1+AD172))/($C$1-AE172)</f>
        <v>17.110971443513616</v>
      </c>
    </row>
    <row r="173" spans="2:32" x14ac:dyDescent="0.2">
      <c r="B173" s="20" t="s">
        <v>389</v>
      </c>
      <c r="C173" s="25" t="e">
        <f t="shared" ref="C173:P173" si="363">C171/C54</f>
        <v>#DIV/0!</v>
      </c>
      <c r="D173" s="25" t="e">
        <f t="shared" si="363"/>
        <v>#DIV/0!</v>
      </c>
      <c r="E173" s="25" t="e">
        <f t="shared" si="363"/>
        <v>#DIV/0!</v>
      </c>
      <c r="F173" s="25" t="e">
        <f t="shared" si="363"/>
        <v>#DIV/0!</v>
      </c>
      <c r="G173" s="25">
        <f t="shared" si="363"/>
        <v>21.827586206896552</v>
      </c>
      <c r="H173" s="25">
        <f t="shared" si="363"/>
        <v>13.085271317829458</v>
      </c>
      <c r="I173" s="25">
        <f t="shared" si="363"/>
        <v>31.543434343434338</v>
      </c>
      <c r="J173" s="25">
        <f t="shared" si="363"/>
        <v>31.927927927927925</v>
      </c>
      <c r="K173" s="25">
        <f t="shared" si="363"/>
        <v>29.316176470588236</v>
      </c>
      <c r="L173" s="25">
        <f t="shared" si="363"/>
        <v>19.448780487804878</v>
      </c>
      <c r="M173" s="25">
        <f t="shared" si="363"/>
        <v>31.062948207171313</v>
      </c>
      <c r="N173" s="25">
        <f t="shared" si="363"/>
        <v>34.273672055427248</v>
      </c>
      <c r="O173" s="25">
        <f t="shared" si="363"/>
        <v>31.756322795341099</v>
      </c>
      <c r="P173" s="25">
        <f t="shared" si="363"/>
        <v>28.161517241379308</v>
      </c>
      <c r="Q173" s="25">
        <f t="shared" ref="Q173" si="364">Q171/Q54</f>
        <v>12.094005449591281</v>
      </c>
      <c r="R173" s="118">
        <f t="shared" si="352"/>
        <v>2.871360117239985E-2</v>
      </c>
      <c r="S173" s="128"/>
      <c r="T173" s="119">
        <f t="shared" ref="T173:AC173" si="365">T171/T54</f>
        <v>28.464471724472361</v>
      </c>
      <c r="U173" s="119">
        <f t="shared" si="365"/>
        <v>29.127838650254553</v>
      </c>
      <c r="V173" s="119">
        <f t="shared" si="365"/>
        <v>29.806665398459639</v>
      </c>
      <c r="W173" s="119">
        <f t="shared" si="365"/>
        <v>30.501312261559342</v>
      </c>
      <c r="X173" s="119">
        <f t="shared" si="365"/>
        <v>31.212147928671953</v>
      </c>
      <c r="Y173" s="119">
        <f t="shared" si="365"/>
        <v>31.939549681246937</v>
      </c>
      <c r="Z173" s="119">
        <f t="shared" si="365"/>
        <v>32.683903593309893</v>
      </c>
      <c r="AA173" s="119">
        <f t="shared" si="365"/>
        <v>33.445604736374314</v>
      </c>
      <c r="AB173" s="119">
        <f t="shared" si="365"/>
        <v>34.2250573891288</v>
      </c>
      <c r="AC173" s="119">
        <f t="shared" si="365"/>
        <v>35.022675252011048</v>
      </c>
      <c r="AD173" s="138">
        <f t="shared" si="355"/>
        <v>2.3922721203787356E-2</v>
      </c>
      <c r="AE173" s="31">
        <v>0.08</v>
      </c>
      <c r="AF173" s="127">
        <f t="shared" si="356"/>
        <v>256.14652105625493</v>
      </c>
    </row>
    <row r="174" spans="2:32" x14ac:dyDescent="0.2">
      <c r="B174" s="20" t="s">
        <v>258</v>
      </c>
      <c r="C174" s="25" t="e">
        <f t="shared" ref="C174:P174" si="366">C171/C57</f>
        <v>#DIV/0!</v>
      </c>
      <c r="D174" s="25" t="e">
        <f t="shared" si="366"/>
        <v>#DIV/0!</v>
      </c>
      <c r="E174" s="25" t="e">
        <f t="shared" si="366"/>
        <v>#DIV/0!</v>
      </c>
      <c r="F174" s="25" t="e">
        <f t="shared" si="366"/>
        <v>#DIV/0!</v>
      </c>
      <c r="G174" s="25">
        <f t="shared" si="366"/>
        <v>15.253012048192771</v>
      </c>
      <c r="H174" s="25">
        <f t="shared" si="366"/>
        <v>9.2747252747252755</v>
      </c>
      <c r="I174" s="25">
        <f t="shared" si="366"/>
        <v>20.277922077922078</v>
      </c>
      <c r="J174" s="25">
        <f t="shared" si="366"/>
        <v>12.095563139931741</v>
      </c>
      <c r="K174" s="25">
        <f t="shared" si="366"/>
        <v>9.9426433915211962</v>
      </c>
      <c r="L174" s="25">
        <f t="shared" si="366"/>
        <v>6.2175438596491226</v>
      </c>
      <c r="M174" s="25">
        <f t="shared" si="366"/>
        <v>11.3490538573508</v>
      </c>
      <c r="N174" s="25">
        <f t="shared" si="366"/>
        <v>14.975277497477295</v>
      </c>
      <c r="O174" s="25">
        <f t="shared" si="366"/>
        <v>13.910750728862974</v>
      </c>
      <c r="P174" s="25">
        <f t="shared" si="366"/>
        <v>10.85438596491228</v>
      </c>
      <c r="Q174" s="25">
        <f t="shared" ref="Q174" si="367">Q171/Q57</f>
        <v>3.6485819975339089</v>
      </c>
      <c r="R174" s="118">
        <f t="shared" si="352"/>
        <v>-3.7095327525190958E-2</v>
      </c>
      <c r="S174" s="128"/>
      <c r="T174" s="119">
        <f t="shared" ref="T174:AC174" si="368">T171/T57</f>
        <v>8.587308773433092</v>
      </c>
      <c r="U174" s="119">
        <f t="shared" si="368"/>
        <v>8.7874367321359816</v>
      </c>
      <c r="V174" s="119">
        <f t="shared" si="368"/>
        <v>8.9922286898764394</v>
      </c>
      <c r="W174" s="119">
        <f t="shared" si="368"/>
        <v>9.2017933415472886</v>
      </c>
      <c r="X174" s="119">
        <f t="shared" si="368"/>
        <v>9.4162419151850436</v>
      </c>
      <c r="Y174" s="119">
        <f t="shared" si="368"/>
        <v>9.6356882310050338</v>
      </c>
      <c r="Z174" s="119">
        <f t="shared" si="368"/>
        <v>9.860248761812354</v>
      </c>
      <c r="AA174" s="119">
        <f t="shared" si="368"/>
        <v>10.090042694820692</v>
      </c>
      <c r="AB174" s="119">
        <f t="shared" si="368"/>
        <v>10.325191994911854</v>
      </c>
      <c r="AC174" s="119">
        <f t="shared" si="368"/>
        <v>10.565821469369547</v>
      </c>
      <c r="AD174" s="138">
        <f t="shared" si="355"/>
        <v>-1.8190154747597997E-2</v>
      </c>
      <c r="AE174" s="31">
        <v>0.08</v>
      </c>
      <c r="AF174" s="127">
        <f t="shared" si="356"/>
        <v>74.097339584330157</v>
      </c>
    </row>
    <row r="175" spans="2:32" x14ac:dyDescent="0.2">
      <c r="B175" s="20" t="s">
        <v>259</v>
      </c>
      <c r="C175" s="25" t="e">
        <f t="shared" ref="C175:P175" si="369">C171/C66</f>
        <v>#DIV/0!</v>
      </c>
      <c r="D175" s="25" t="e">
        <f t="shared" si="369"/>
        <v>#DIV/0!</v>
      </c>
      <c r="E175" s="25" t="e">
        <f t="shared" si="369"/>
        <v>#DIV/0!</v>
      </c>
      <c r="F175" s="25" t="e">
        <f t="shared" si="369"/>
        <v>#DIV/0!</v>
      </c>
      <c r="G175" s="25">
        <f t="shared" si="369"/>
        <v>23.752345215759846</v>
      </c>
      <c r="H175" s="25">
        <f t="shared" si="369"/>
        <v>11.94452306821398</v>
      </c>
      <c r="I175" s="25">
        <f t="shared" si="369"/>
        <v>47.315151515151513</v>
      </c>
      <c r="J175" s="25">
        <f t="shared" si="369"/>
        <v>42.905569007263921</v>
      </c>
      <c r="K175" s="25">
        <f t="shared" si="369"/>
        <v>73.425414364640872</v>
      </c>
      <c r="L175" s="25">
        <f t="shared" si="369"/>
        <v>56.353356890459359</v>
      </c>
      <c r="M175" s="25">
        <f t="shared" si="369"/>
        <v>39.2588116817724</v>
      </c>
      <c r="N175" s="25">
        <f t="shared" si="369"/>
        <v>13.339775280898877</v>
      </c>
      <c r="O175" s="25">
        <f t="shared" si="369"/>
        <v>19.688002888384567</v>
      </c>
      <c r="P175" s="25">
        <f t="shared" si="369"/>
        <v>17.879780367979965</v>
      </c>
      <c r="Q175" s="25">
        <f t="shared" ref="Q175" si="370">Q171/Q66</f>
        <v>7.7738175512956369</v>
      </c>
      <c r="R175" s="118">
        <f t="shared" si="352"/>
        <v>-3.1064036048125465E-2</v>
      </c>
      <c r="S175" s="128"/>
      <c r="T175" s="119">
        <f t="shared" ref="T175:AC175" si="371">T171/T66</f>
        <v>18.29647016469136</v>
      </c>
      <c r="U175" s="119">
        <f t="shared" si="371"/>
        <v>18.722870952427815</v>
      </c>
      <c r="V175" s="119">
        <f t="shared" si="371"/>
        <v>19.159209046658123</v>
      </c>
      <c r="W175" s="119">
        <f t="shared" si="371"/>
        <v>19.605716037152273</v>
      </c>
      <c r="X175" s="119">
        <f t="shared" si="371"/>
        <v>20.062628910899473</v>
      </c>
      <c r="Y175" s="119">
        <f t="shared" si="371"/>
        <v>20.53019017789077</v>
      </c>
      <c r="Z175" s="119">
        <f t="shared" si="371"/>
        <v>21.008647999833137</v>
      </c>
      <c r="AA175" s="119">
        <f t="shared" si="371"/>
        <v>21.498256321863149</v>
      </c>
      <c r="AB175" s="119">
        <f t="shared" si="371"/>
        <v>21.999275007330297</v>
      </c>
      <c r="AC175" s="119">
        <f t="shared" si="371"/>
        <v>22.511969975721474</v>
      </c>
      <c r="AD175" s="138">
        <f t="shared" si="355"/>
        <v>-2.6781126837197577E-3</v>
      </c>
      <c r="AE175" s="31">
        <v>0.08</v>
      </c>
      <c r="AF175" s="127">
        <f t="shared" si="356"/>
        <v>160.36914559567126</v>
      </c>
    </row>
    <row r="176" spans="2:32" x14ac:dyDescent="0.2">
      <c r="B176" s="20" t="s">
        <v>260</v>
      </c>
      <c r="C176" s="25" t="e">
        <f t="shared" ref="C176:P176" si="372">C171/C68</f>
        <v>#DIV/0!</v>
      </c>
      <c r="D176" s="25" t="e">
        <f t="shared" si="372"/>
        <v>#DIV/0!</v>
      </c>
      <c r="E176" s="25" t="e">
        <f t="shared" si="372"/>
        <v>#DIV/0!</v>
      </c>
      <c r="F176" s="25" t="e">
        <f t="shared" si="372"/>
        <v>#DIV/0!</v>
      </c>
      <c r="G176" s="25">
        <f t="shared" si="372"/>
        <v>3.9195046439628483</v>
      </c>
      <c r="H176" s="25">
        <f t="shared" si="372"/>
        <v>3.3228346456692908</v>
      </c>
      <c r="I176" s="25">
        <f t="shared" si="372"/>
        <v>12.246274509803921</v>
      </c>
      <c r="J176" s="25">
        <f t="shared" si="372"/>
        <v>12.7942238267148</v>
      </c>
      <c r="K176" s="25">
        <f t="shared" si="372"/>
        <v>10.893442622950818</v>
      </c>
      <c r="L176" s="25">
        <f t="shared" si="372"/>
        <v>7.5404255319148934</v>
      </c>
      <c r="M176" s="25">
        <f t="shared" si="372"/>
        <v>14.907839388145316</v>
      </c>
      <c r="N176" s="25">
        <f t="shared" si="372"/>
        <v>20.136363636363633</v>
      </c>
      <c r="O176" s="25">
        <f t="shared" si="372"/>
        <v>18.090568720379146</v>
      </c>
      <c r="P176" s="25">
        <f t="shared" si="372"/>
        <v>13.974743326488706</v>
      </c>
      <c r="Q176" s="25">
        <f t="shared" ref="Q176" si="373">Q171/Q68</f>
        <v>6.075975359342916</v>
      </c>
      <c r="R176" s="118">
        <f t="shared" si="352"/>
        <v>0.15171719469414024</v>
      </c>
      <c r="S176" s="128"/>
      <c r="T176" s="119">
        <f t="shared" ref="T176:AC176" si="374">T171/T68</f>
        <v>14.300425904012807</v>
      </c>
      <c r="U176" s="119">
        <f t="shared" si="374"/>
        <v>14.633698541606327</v>
      </c>
      <c r="V176" s="119">
        <f t="shared" si="374"/>
        <v>14.974738126262405</v>
      </c>
      <c r="W176" s="119">
        <f t="shared" si="374"/>
        <v>15.323725667340556</v>
      </c>
      <c r="X176" s="119">
        <f t="shared" si="374"/>
        <v>15.680846392638749</v>
      </c>
      <c r="Y176" s="119">
        <f t="shared" si="374"/>
        <v>16.046289846704482</v>
      </c>
      <c r="Z176" s="119">
        <f t="shared" si="374"/>
        <v>16.420249991437004</v>
      </c>
      <c r="AA176" s="119">
        <f t="shared" si="374"/>
        <v>16.802925309034048</v>
      </c>
      <c r="AB176" s="119">
        <f t="shared" si="374"/>
        <v>17.194518907337809</v>
      </c>
      <c r="AC176" s="119">
        <f t="shared" si="374"/>
        <v>17.59523862763594</v>
      </c>
      <c r="AD176" s="138">
        <f t="shared" si="355"/>
        <v>7.7973783558507703E-2</v>
      </c>
      <c r="AE176" s="31">
        <v>0.08</v>
      </c>
      <c r="AF176" s="127">
        <f t="shared" si="356"/>
        <v>135.48004254319656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375">G171/G62</f>
        <v>-10.820512820512819</v>
      </c>
      <c r="H177" s="182">
        <f t="shared" si="375"/>
        <v>-22.210526315789473</v>
      </c>
      <c r="I177" s="182">
        <f t="shared" si="375"/>
        <v>29.460377358490565</v>
      </c>
      <c r="J177" s="182">
        <f t="shared" si="375"/>
        <v>10.332361516034984</v>
      </c>
      <c r="K177" s="182">
        <f t="shared" si="375"/>
        <v>7.1837837837837837</v>
      </c>
      <c r="L177" s="182">
        <f t="shared" si="375"/>
        <v>4.022194199243379</v>
      </c>
      <c r="M177" s="182">
        <f t="shared" si="375"/>
        <v>7.9640449438202241</v>
      </c>
      <c r="N177" s="182">
        <f t="shared" si="375"/>
        <v>8.4364163492695106</v>
      </c>
      <c r="O177" s="182">
        <f t="shared" si="375"/>
        <v>7.5823265570435936</v>
      </c>
      <c r="P177" s="182">
        <f t="shared" si="375"/>
        <v>6.0068137888019679</v>
      </c>
      <c r="Q177" s="182">
        <f t="shared" ref="Q177" si="376">Q171/Q62</f>
        <v>2.2462101371713996</v>
      </c>
      <c r="R177" s="118">
        <f t="shared" ref="R177:R180" si="377">((P177/G177)^(1/($H$2-$H$1) ))-1</f>
        <v>-1.9366979972699441</v>
      </c>
      <c r="S177" s="128"/>
      <c r="T177" s="135">
        <f t="shared" ref="T177:AC177" si="378">T171/T62</f>
        <v>5.2866839859824335</v>
      </c>
      <c r="U177" s="135">
        <f t="shared" si="378"/>
        <v>5.4098906042998189</v>
      </c>
      <c r="V177" s="135">
        <f t="shared" si="378"/>
        <v>5.535968563298332</v>
      </c>
      <c r="W177" s="135">
        <f t="shared" si="378"/>
        <v>5.6649847798158781</v>
      </c>
      <c r="X177" s="135">
        <f t="shared" si="378"/>
        <v>5.7970077301929432</v>
      </c>
      <c r="Y177" s="135">
        <f t="shared" si="378"/>
        <v>5.9321074866169328</v>
      </c>
      <c r="Z177" s="135">
        <f t="shared" si="378"/>
        <v>6.0703557543135123</v>
      </c>
      <c r="AA177" s="135">
        <f t="shared" si="378"/>
        <v>6.2118259096047161</v>
      </c>
      <c r="AB177" s="135">
        <f t="shared" si="378"/>
        <v>6.3565930388539815</v>
      </c>
      <c r="AC177" s="135">
        <f t="shared" si="378"/>
        <v>6.5047339783187965</v>
      </c>
      <c r="AD177" s="138" t="e">
        <f t="shared" ref="AD177" si="379">((AC177/G177)^(1/($AC$3-$H$1) ))-1</f>
        <v>#NUM!</v>
      </c>
      <c r="AE177" s="31">
        <v>0.08</v>
      </c>
      <c r="AF177" s="127" t="e">
        <f t="shared" si="356"/>
        <v>#NUM!</v>
      </c>
    </row>
    <row r="178" spans="2:46" x14ac:dyDescent="0.2">
      <c r="B178" s="20" t="s">
        <v>371</v>
      </c>
      <c r="C178" s="161" t="e">
        <f t="shared" ref="C178:P178" si="380">C54/C171</f>
        <v>#DIV/0!</v>
      </c>
      <c r="D178" s="161" t="e">
        <f t="shared" si="380"/>
        <v>#DIV/0!</v>
      </c>
      <c r="E178" s="161" t="e">
        <f t="shared" si="380"/>
        <v>#DIV/0!</v>
      </c>
      <c r="F178" s="161" t="e">
        <f t="shared" si="380"/>
        <v>#DIV/0!</v>
      </c>
      <c r="G178" s="161">
        <f t="shared" si="380"/>
        <v>4.5813586097946286E-2</v>
      </c>
      <c r="H178" s="161">
        <f t="shared" si="380"/>
        <v>7.6421800947867297E-2</v>
      </c>
      <c r="I178" s="161">
        <f t="shared" si="380"/>
        <v>3.1702318432176253E-2</v>
      </c>
      <c r="J178" s="161">
        <f t="shared" si="380"/>
        <v>3.1320541760722354E-2</v>
      </c>
      <c r="K178" s="161">
        <f t="shared" si="380"/>
        <v>3.411086029596188E-2</v>
      </c>
      <c r="L178" s="161">
        <f t="shared" si="380"/>
        <v>5.1417105593177831E-2</v>
      </c>
      <c r="M178" s="161">
        <f t="shared" si="380"/>
        <v>3.2192694438744104E-2</v>
      </c>
      <c r="N178" s="161">
        <f t="shared" si="380"/>
        <v>2.9176914524443251E-2</v>
      </c>
      <c r="O178" s="161">
        <f t="shared" si="380"/>
        <v>3.1489792015425282E-2</v>
      </c>
      <c r="P178" s="161">
        <f t="shared" si="380"/>
        <v>3.5509450411664735E-2</v>
      </c>
      <c r="Q178" s="161">
        <f t="shared" ref="Q178" si="381">Q54/Q171</f>
        <v>8.2685591979272277E-2</v>
      </c>
      <c r="R178" s="118">
        <f t="shared" si="377"/>
        <v>-2.7912143029581338E-2</v>
      </c>
      <c r="S178" s="128"/>
      <c r="T178" s="161">
        <f t="shared" ref="T178:AC178" si="382">T54/T171</f>
        <v>3.5131514460542364E-2</v>
      </c>
      <c r="U178" s="161">
        <f t="shared" si="382"/>
        <v>3.433141785792132E-2</v>
      </c>
      <c r="V178" s="161">
        <f t="shared" si="382"/>
        <v>3.3549542917057688E-2</v>
      </c>
      <c r="W178" s="161">
        <f t="shared" si="382"/>
        <v>3.278547465186589E-2</v>
      </c>
      <c r="X178" s="161">
        <f t="shared" si="382"/>
        <v>3.2038807527289236E-2</v>
      </c>
      <c r="Y178" s="161">
        <f t="shared" si="382"/>
        <v>3.130914524405904E-2</v>
      </c>
      <c r="Z178" s="161">
        <f t="shared" si="382"/>
        <v>3.0596100528355836E-2</v>
      </c>
      <c r="AA178" s="161">
        <f t="shared" si="382"/>
        <v>2.9899294926260776E-2</v>
      </c>
      <c r="AB178" s="161">
        <f t="shared" si="382"/>
        <v>2.9218358602888378E-2</v>
      </c>
      <c r="AC178" s="161">
        <f t="shared" si="382"/>
        <v>2.8552930146093815E-2</v>
      </c>
      <c r="AD178" s="138">
        <f t="shared" ref="AD178:AD180" si="383">((AC178/G178)^(1/($AC$3-$H$1) ))-1</f>
        <v>-2.3363795634559481E-2</v>
      </c>
      <c r="AE178" s="31">
        <v>0.08</v>
      </c>
      <c r="AF178" s="127">
        <f t="shared" si="356"/>
        <v>0.1991844665813759</v>
      </c>
    </row>
    <row r="179" spans="2:46" x14ac:dyDescent="0.2">
      <c r="B179" s="20" t="s">
        <v>320</v>
      </c>
      <c r="C179" s="152" t="e">
        <f t="shared" ref="C179:P179" si="384">C44/C171</f>
        <v>#DIV/0!</v>
      </c>
      <c r="D179" s="152" t="e">
        <f t="shared" si="384"/>
        <v>#DIV/0!</v>
      </c>
      <c r="E179" s="152" t="e">
        <f t="shared" si="384"/>
        <v>#DIV/0!</v>
      </c>
      <c r="F179" s="152" t="e">
        <f t="shared" si="384"/>
        <v>#DIV/0!</v>
      </c>
      <c r="G179" s="152">
        <f t="shared" si="384"/>
        <v>3.3333333333333335E-3</v>
      </c>
      <c r="H179" s="152">
        <f t="shared" si="384"/>
        <v>0.01</v>
      </c>
      <c r="I179" s="152">
        <f t="shared" si="384"/>
        <v>4.0540540540540543E-3</v>
      </c>
      <c r="J179" s="152">
        <f t="shared" si="384"/>
        <v>6.2500000000000003E-3</v>
      </c>
      <c r="K179" s="152">
        <f t="shared" si="384"/>
        <v>8.8888888888888889E-3</v>
      </c>
      <c r="L179" s="152">
        <f t="shared" si="384"/>
        <v>1.3888888888888888E-2</v>
      </c>
      <c r="M179" s="152">
        <f t="shared" si="384"/>
        <v>8.5227272727272721E-3</v>
      </c>
      <c r="N179" s="152">
        <f t="shared" si="384"/>
        <v>7.462686567164179E-3</v>
      </c>
      <c r="O179" s="152">
        <f t="shared" si="384"/>
        <v>8.1395348837209301E-3</v>
      </c>
      <c r="P179" s="152">
        <f t="shared" si="384"/>
        <v>9.1304347826086964E-3</v>
      </c>
      <c r="Q179" s="152">
        <f t="shared" ref="Q179" si="385">Q44/Q171</f>
        <v>2.1000000000000001E-2</v>
      </c>
      <c r="R179" s="118">
        <f t="shared" si="377"/>
        <v>0.11846818446274199</v>
      </c>
      <c r="S179" s="128"/>
      <c r="T179" s="152">
        <f t="shared" ref="T179:AC179" si="386">T44/T171</f>
        <v>8.0982986767485828E-3</v>
      </c>
      <c r="U179" s="152">
        <f t="shared" si="386"/>
        <v>7.1828388263335272E-3</v>
      </c>
      <c r="V179" s="152">
        <f t="shared" si="386"/>
        <v>6.3708657416175641E-3</v>
      </c>
      <c r="W179" s="152">
        <f t="shared" si="386"/>
        <v>5.6506809186521005E-3</v>
      </c>
      <c r="X179" s="152">
        <f t="shared" si="386"/>
        <v>5.0119082930653418E-3</v>
      </c>
      <c r="Y179" s="152">
        <f t="shared" si="386"/>
        <v>4.4453447468927381E-3</v>
      </c>
      <c r="Z179" s="152">
        <f t="shared" si="386"/>
        <v>3.9428275146352982E-3</v>
      </c>
      <c r="AA179" s="152">
        <f t="shared" si="386"/>
        <v>3.4971165781982651E-3</v>
      </c>
      <c r="AB179" s="152">
        <f t="shared" si="386"/>
        <v>3.1017903563149833E-3</v>
      </c>
      <c r="AC179" s="152">
        <f t="shared" si="386"/>
        <v>2.7511531856011162E-3</v>
      </c>
      <c r="AD179" s="138">
        <f t="shared" si="383"/>
        <v>-9.5517217402518728E-3</v>
      </c>
      <c r="AE179" s="31">
        <v>0.08</v>
      </c>
      <c r="AF179" s="127">
        <f t="shared" si="356"/>
        <v>1.9463392399338905E-2</v>
      </c>
    </row>
    <row r="180" spans="2:46" x14ac:dyDescent="0.2">
      <c r="B180" s="20" t="s">
        <v>446</v>
      </c>
      <c r="C180" s="181" t="e">
        <f t="shared" ref="C180:O180" si="387">(C173)/($L$2*100)</f>
        <v>#DIV/0!</v>
      </c>
      <c r="D180" s="181" t="e">
        <f t="shared" si="387"/>
        <v>#DIV/0!</v>
      </c>
      <c r="E180" s="181" t="e">
        <f t="shared" si="387"/>
        <v>#DIV/0!</v>
      </c>
      <c r="F180" s="181" t="e">
        <f t="shared" si="387"/>
        <v>#DIV/0!</v>
      </c>
      <c r="G180" s="181">
        <f t="shared" si="387"/>
        <v>1.2126436781609196</v>
      </c>
      <c r="H180" s="181">
        <f t="shared" si="387"/>
        <v>0.72695951765719213</v>
      </c>
      <c r="I180" s="181">
        <f t="shared" si="387"/>
        <v>1.7524130190796854</v>
      </c>
      <c r="J180" s="181">
        <f t="shared" si="387"/>
        <v>1.7737737737737735</v>
      </c>
      <c r="K180" s="181">
        <f t="shared" si="387"/>
        <v>1.6286764705882353</v>
      </c>
      <c r="L180" s="181">
        <f t="shared" si="387"/>
        <v>1.0804878048780489</v>
      </c>
      <c r="M180" s="181">
        <f t="shared" si="387"/>
        <v>1.7257193448428507</v>
      </c>
      <c r="N180" s="181">
        <f t="shared" si="387"/>
        <v>1.9040928919681805</v>
      </c>
      <c r="O180" s="181">
        <f t="shared" si="387"/>
        <v>1.7642401552967277</v>
      </c>
      <c r="P180" s="181">
        <f>(P173)/($L$2*100)</f>
        <v>1.5645287356321838</v>
      </c>
      <c r="Q180" s="181">
        <f>(Q173)/($L$2*100)</f>
        <v>0.67188919164395999</v>
      </c>
      <c r="R180" s="118">
        <f t="shared" si="377"/>
        <v>2.871360117239985E-2</v>
      </c>
      <c r="S180" s="128"/>
      <c r="T180" s="181">
        <f>(T173)/($L$2*100)</f>
        <v>1.5813595402484646</v>
      </c>
      <c r="U180" s="181">
        <f t="shared" ref="U180:AC180" si="388">(U173)/($L$2*100)</f>
        <v>1.6182132583474751</v>
      </c>
      <c r="V180" s="181">
        <f t="shared" si="388"/>
        <v>1.6559258554699801</v>
      </c>
      <c r="W180" s="181">
        <f t="shared" si="388"/>
        <v>1.6945173478644078</v>
      </c>
      <c r="X180" s="181">
        <f t="shared" si="388"/>
        <v>1.7340082182595529</v>
      </c>
      <c r="Y180" s="181">
        <f t="shared" si="388"/>
        <v>1.774419426735941</v>
      </c>
      <c r="Z180" s="181">
        <f t="shared" si="388"/>
        <v>1.8157724218505495</v>
      </c>
      <c r="AA180" s="181">
        <f t="shared" si="388"/>
        <v>1.8580891520207952</v>
      </c>
      <c r="AB180" s="181">
        <f t="shared" si="388"/>
        <v>1.9013920771738222</v>
      </c>
      <c r="AC180" s="181">
        <f t="shared" si="388"/>
        <v>1.9457041806672803</v>
      </c>
      <c r="AD180" s="138">
        <f t="shared" si="383"/>
        <v>2.3922721203787356E-2</v>
      </c>
      <c r="AE180" s="31">
        <v>0.08</v>
      </c>
      <c r="AF180" s="181">
        <f>(AF173)/($L$2*100)</f>
        <v>14.230362280903051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389">G180-1</f>
        <v>0.21264367816091956</v>
      </c>
      <c r="H181" s="152">
        <f t="shared" si="389"/>
        <v>-0.27304048234280787</v>
      </c>
      <c r="I181" s="152">
        <f t="shared" si="389"/>
        <v>0.75241301907968539</v>
      </c>
      <c r="J181" s="152">
        <f t="shared" si="389"/>
        <v>0.77377377377377354</v>
      </c>
      <c r="K181" s="152">
        <f t="shared" si="389"/>
        <v>0.62867647058823528</v>
      </c>
      <c r="L181" s="152">
        <f t="shared" si="389"/>
        <v>8.0487804878048852E-2</v>
      </c>
      <c r="M181" s="152">
        <f t="shared" si="389"/>
        <v>0.72571934484285072</v>
      </c>
      <c r="N181" s="152">
        <f t="shared" si="389"/>
        <v>0.90409289196818055</v>
      </c>
      <c r="O181" s="152">
        <f t="shared" si="389"/>
        <v>0.76424015529672773</v>
      </c>
      <c r="P181" s="152">
        <f t="shared" si="389"/>
        <v>0.56452873563218375</v>
      </c>
      <c r="Q181" s="152">
        <f>Q180-1</f>
        <v>-0.32811080835604001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4" t="s">
        <v>351</v>
      </c>
      <c r="L183" s="205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0.85106922005722585</v>
      </c>
      <c r="Q184" s="128">
        <f>(Q171-T159)/Q171</f>
        <v>0.87747645406545305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0.25454523234264753</v>
      </c>
      <c r="N185" s="20"/>
      <c r="O185" s="20"/>
      <c r="P185" s="128">
        <f>(Q171-S150)/Q171</f>
        <v>-0.71454596561191064</v>
      </c>
      <c r="Q185" s="128">
        <f>(Q171-T150)/Q171</f>
        <v>0.76108785725079942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0.52428095110770967</v>
      </c>
      <c r="N186" s="20"/>
      <c r="O186" s="20"/>
      <c r="P186" s="128">
        <f>(Q171-S143)/Q171</f>
        <v>-9.4153812452267685E-2</v>
      </c>
      <c r="Q186" s="128">
        <f>(Q171-T143)/Q171</f>
        <v>0.84753594416648725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0.65003696480681339</v>
      </c>
      <c r="N187" s="20"/>
      <c r="O187" s="20"/>
      <c r="P187" s="128">
        <f>(Q171-S156)/Q171</f>
        <v>0.19508501905567088</v>
      </c>
      <c r="Q187" s="128">
        <f>(Q171-T156)/Q171</f>
        <v>0.8878397157700525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-4.0099312656971246E-2</v>
      </c>
      <c r="N188" s="20"/>
      <c r="O188" s="20"/>
      <c r="P188" s="128">
        <f>(Q171-S168)/Q171</f>
        <v>-1.3922284191110339</v>
      </c>
      <c r="Q188" s="128">
        <f>(Q171-T168)/Q171</f>
        <v>-0.96805729955555964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3.1402964220829879</v>
      </c>
      <c r="Q189" s="25">
        <f>Q171/T142</f>
        <v>22.536244911419089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0.31844127610625073</v>
      </c>
      <c r="Q190" s="152">
        <f>1/Q189</f>
        <v>4.437296470333002E-2</v>
      </c>
      <c r="R190" s="20"/>
      <c r="S190" s="20"/>
      <c r="T190" s="129">
        <f>Q171-T191</f>
        <v>69.180350429900869</v>
      </c>
      <c r="U190" s="185">
        <f>T190-U191</f>
        <v>36.819718381296781</v>
      </c>
      <c r="V190" s="185">
        <f t="shared" ref="V190:X190" si="390">U190-V191</f>
        <v>2.8410547302624849</v>
      </c>
      <c r="W190" s="185">
        <f t="shared" si="390"/>
        <v>-32.836542103323531</v>
      </c>
      <c r="X190" s="185">
        <f t="shared" si="390"/>
        <v>-70.29801877858884</v>
      </c>
      <c r="Y190" s="185">
        <f>X190-Y191</f>
        <v>-109.63256928761743</v>
      </c>
      <c r="Z190" s="185">
        <f t="shared" ref="Z190:AC190" si="391">Y190-Z191</f>
        <v>-150.93384732209745</v>
      </c>
      <c r="AA190" s="185">
        <f t="shared" si="391"/>
        <v>-194.30018925830146</v>
      </c>
      <c r="AB190" s="185">
        <f t="shared" si="391"/>
        <v>-239.83484829131567</v>
      </c>
      <c r="AC190" s="185">
        <f t="shared" si="391"/>
        <v>-287.64624027598063</v>
      </c>
      <c r="AD190" s="185">
        <f t="shared" ref="AD190" si="392">AC190-AD191</f>
        <v>-337.84820185987883</v>
      </c>
      <c r="AE190" s="185">
        <f t="shared" ref="AE190" si="393">AD190-AE191</f>
        <v>-390.56026152297193</v>
      </c>
      <c r="AF190" s="185">
        <f t="shared" ref="AF190" si="394">AE190-AF191</f>
        <v>-445.90792416921965</v>
      </c>
      <c r="AG190" s="185">
        <f t="shared" ref="AG190" si="395">AF190-AG191</f>
        <v>-504.02296994777981</v>
      </c>
      <c r="AH190" s="185">
        <f t="shared" ref="AH190" si="396">AG190-AH191</f>
        <v>-565.04376801526791</v>
      </c>
      <c r="AI190" s="185">
        <f t="shared" ref="AI190" si="397">AH190-AI191</f>
        <v>-629.1156059861305</v>
      </c>
      <c r="AJ190" s="185">
        <f t="shared" ref="AJ190" si="398">AI190-AJ191</f>
        <v>-696.39103585553619</v>
      </c>
      <c r="AK190" s="185">
        <f t="shared" ref="AK190" si="399">AJ190-AK191</f>
        <v>-767.03023721841214</v>
      </c>
      <c r="AL190" s="185">
        <f t="shared" ref="AL190" si="400">AK190-AL191</f>
        <v>-841.20139864943189</v>
      </c>
      <c r="AM190" s="185">
        <f t="shared" ref="AM190" si="401">AL190-AM191</f>
        <v>-919.08111815200266</v>
      </c>
      <c r="AN190" s="185">
        <f t="shared" ref="AN190" si="402">AM190-AN191</f>
        <v>-1000.854823629702</v>
      </c>
      <c r="AO190" s="185">
        <f t="shared" ref="AO190" si="403">AN190-AO191</f>
        <v>-1086.7172143812863</v>
      </c>
      <c r="AP190" s="185">
        <f t="shared" ref="AP190" si="404">AO190-AP191</f>
        <v>-1176.8727246704498</v>
      </c>
      <c r="AQ190" s="185">
        <f t="shared" ref="AQ190" si="405">AP190-AQ191</f>
        <v>-1271.5360104740714</v>
      </c>
      <c r="AR190" s="185">
        <f t="shared" ref="AR190" si="406">AQ190-AR191</f>
        <v>-1370.9324605678742</v>
      </c>
      <c r="AS190" s="185">
        <f t="shared" ref="AS190" si="407">AR190-AS191</f>
        <v>-1475.2987331663671</v>
      </c>
      <c r="AT190" s="185">
        <f t="shared" ref="AT190" si="408">AS190-AT191</f>
        <v>-1584.8833193947846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3.4069173875964442</v>
      </c>
      <c r="Q191" s="181">
        <f>Q171/R141</f>
        <v>3.4069173875964442</v>
      </c>
      <c r="R191" s="20"/>
      <c r="S191" s="20"/>
      <c r="T191" s="186">
        <f>R141*(1+$K$191)</f>
        <v>30.819649570099131</v>
      </c>
      <c r="U191" s="186">
        <f>T191*(1+$K$191)</f>
        <v>32.360632048604089</v>
      </c>
      <c r="V191" s="186">
        <f t="shared" ref="V191:AC191" si="409">U191*(1+$K$191)</f>
        <v>33.978663651034296</v>
      </c>
      <c r="W191" s="186">
        <f t="shared" si="409"/>
        <v>35.677596833586016</v>
      </c>
      <c r="X191" s="186">
        <f t="shared" si="409"/>
        <v>37.461476675265317</v>
      </c>
      <c r="Y191" s="186">
        <f t="shared" si="409"/>
        <v>39.334550509028581</v>
      </c>
      <c r="Z191" s="186">
        <f t="shared" si="409"/>
        <v>41.301278034480013</v>
      </c>
      <c r="AA191" s="186">
        <f t="shared" si="409"/>
        <v>43.366341936204016</v>
      </c>
      <c r="AB191" s="186">
        <f t="shared" si="409"/>
        <v>45.534659033014222</v>
      </c>
      <c r="AC191" s="186">
        <f t="shared" si="409"/>
        <v>47.811391984664937</v>
      </c>
      <c r="AD191" s="186">
        <f t="shared" ref="AD191" si="410">AC191*(1+$K$191)</f>
        <v>50.201961583898182</v>
      </c>
      <c r="AE191" s="186">
        <f t="shared" ref="AE191" si="411">AD191*(1+$K$191)</f>
        <v>52.712059663093093</v>
      </c>
      <c r="AF191" s="186">
        <f t="shared" ref="AF191" si="412">AE191*(1+$K$191)</f>
        <v>55.347662646247748</v>
      </c>
      <c r="AG191" s="186">
        <f t="shared" ref="AG191" si="413">AF191*(1+$K$191)</f>
        <v>58.115045778560138</v>
      </c>
      <c r="AH191" s="186">
        <f t="shared" ref="AH191" si="414">AG191*(1+$K$191)</f>
        <v>61.020798067488144</v>
      </c>
      <c r="AI191" s="186">
        <f t="shared" ref="AI191" si="415">AH191*(1+$K$191)</f>
        <v>64.07183797086256</v>
      </c>
      <c r="AJ191" s="186">
        <f t="shared" ref="AJ191" si="416">AI191*(1+$K$191)</f>
        <v>67.275429869405684</v>
      </c>
      <c r="AK191" s="186">
        <f t="shared" ref="AK191" si="417">AJ191*(1+$K$191)</f>
        <v>70.639201362875966</v>
      </c>
      <c r="AL191" s="186">
        <f t="shared" ref="AL191" si="418">AK191*(1+$K$191)</f>
        <v>74.171161431019769</v>
      </c>
      <c r="AM191" s="186">
        <f t="shared" ref="AM191" si="419">AL191*(1+$K$191)</f>
        <v>77.879719502570765</v>
      </c>
      <c r="AN191" s="186">
        <f t="shared" ref="AN191" si="420">AM191*(1+$K$191)</f>
        <v>81.773705477699309</v>
      </c>
      <c r="AO191" s="186">
        <f t="shared" ref="AO191" si="421">AN191*(1+$K$191)</f>
        <v>85.862390751584272</v>
      </c>
      <c r="AP191" s="186">
        <f t="shared" ref="AP191" si="422">AO191*(1+$K$191)</f>
        <v>90.155510289163487</v>
      </c>
      <c r="AQ191" s="186">
        <f t="shared" ref="AQ191" si="423">AP191*(1+$K$191)</f>
        <v>94.663285803621662</v>
      </c>
      <c r="AR191" s="186">
        <f t="shared" ref="AR191" si="424">AQ191*(1+$K$191)</f>
        <v>99.396450093802756</v>
      </c>
      <c r="AS191" s="186">
        <f t="shared" ref="AS191" si="425">AR191*(1+$K$191)</f>
        <v>104.3662725984929</v>
      </c>
      <c r="AT191" s="186">
        <f t="shared" ref="AT191" si="426">AS191*(1+$K$191)</f>
        <v>109.58458622841755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2">
        <v>100</v>
      </c>
      <c r="G192" s="191">
        <v>0</v>
      </c>
      <c r="H192" s="192">
        <v>12</v>
      </c>
      <c r="I192" s="191">
        <v>0.12</v>
      </c>
      <c r="J192" s="190">
        <v>7</v>
      </c>
      <c r="K192" s="184">
        <v>0.3</v>
      </c>
      <c r="L192" s="191">
        <v>0.2</v>
      </c>
      <c r="M192" s="190">
        <v>7</v>
      </c>
      <c r="N192" s="191">
        <v>0.3</v>
      </c>
      <c r="O192" s="190">
        <v>5</v>
      </c>
      <c r="P192" s="181">
        <f>Q171/Q54</f>
        <v>12.094005449591281</v>
      </c>
      <c r="Q192" s="181">
        <f>Q171/Q54</f>
        <v>12.094005449591281</v>
      </c>
      <c r="R192" s="20"/>
      <c r="S192" s="20"/>
      <c r="T192" s="186">
        <f>Q54*(1+$K$192)</f>
        <v>10.749126957305396</v>
      </c>
      <c r="U192" s="186">
        <f>T192*(1+$K$192)</f>
        <v>13.973865044497016</v>
      </c>
      <c r="V192" s="186">
        <f t="shared" ref="V192:AC192" si="427">U192*(1+$K$192)</f>
        <v>18.166024557846121</v>
      </c>
      <c r="W192" s="186">
        <f t="shared" si="427"/>
        <v>23.615831925199959</v>
      </c>
      <c r="X192" s="186">
        <f t="shared" si="427"/>
        <v>30.700581502759949</v>
      </c>
      <c r="Y192" s="186">
        <f t="shared" si="427"/>
        <v>39.910755953587937</v>
      </c>
      <c r="Z192" s="186">
        <f t="shared" si="427"/>
        <v>51.883982739664319</v>
      </c>
      <c r="AA192" s="186">
        <f t="shared" si="427"/>
        <v>67.449177561563616</v>
      </c>
      <c r="AB192" s="186">
        <f t="shared" si="427"/>
        <v>87.683930830032708</v>
      </c>
      <c r="AC192" s="186">
        <f t="shared" si="427"/>
        <v>113.98911007904252</v>
      </c>
      <c r="AD192" s="186">
        <f t="shared" ref="AD192" si="428">AC192*(1+$K$192)</f>
        <v>148.18584310275529</v>
      </c>
      <c r="AE192" s="186">
        <f t="shared" ref="AE192" si="429">AD192*(1+$K$192)</f>
        <v>192.64159603358189</v>
      </c>
      <c r="AF192" s="186">
        <f t="shared" ref="AF192" si="430">AE192*(1+$K$192)</f>
        <v>250.43407484365648</v>
      </c>
      <c r="AG192" s="186">
        <f t="shared" ref="AG192" si="431">AF192*(1+$K$192)</f>
        <v>325.56429729675341</v>
      </c>
      <c r="AH192" s="186">
        <f t="shared" ref="AH192" si="432">AG192*(1+$K$192)</f>
        <v>423.23358648577943</v>
      </c>
      <c r="AI192" s="186">
        <f t="shared" ref="AI192" si="433">AH192*(1+$K$192)</f>
        <v>550.20366243151329</v>
      </c>
      <c r="AJ192" s="186">
        <f t="shared" ref="AJ192" si="434">AI192*(1+$K$192)</f>
        <v>715.26476116096728</v>
      </c>
      <c r="AK192" s="186">
        <f t="shared" ref="AK192" si="435">AJ192*(1+$K$192)</f>
        <v>929.84418950925749</v>
      </c>
      <c r="AL192" s="186">
        <f t="shared" ref="AL192" si="436">AK192*(1+$K$192)</f>
        <v>1208.7974463620349</v>
      </c>
      <c r="AM192" s="186">
        <f t="shared" ref="AM192" si="437">AL192*(1+$K$192)</f>
        <v>1571.4366802706454</v>
      </c>
      <c r="AN192" s="186">
        <f t="shared" ref="AN192" si="438">AM192*(1+$K$192)</f>
        <v>2042.8676843518392</v>
      </c>
      <c r="AO192" s="186">
        <f t="shared" ref="AO192" si="439">AN192*(1+$K$192)</f>
        <v>2655.7279896573909</v>
      </c>
      <c r="AP192" s="186">
        <f t="shared" ref="AP192" si="440">AO192*(1+$K$192)</f>
        <v>3452.4463865546081</v>
      </c>
      <c r="AQ192" s="186">
        <f t="shared" ref="AQ192" si="441">AP192*(1+$K$192)</f>
        <v>4488.1803025209911</v>
      </c>
      <c r="AR192" s="186">
        <f t="shared" ref="AR192" si="442">AQ192*(1+$K$192)</f>
        <v>5834.6343932772888</v>
      </c>
      <c r="AS192" s="186">
        <f t="shared" ref="AS192" si="443">AR192*(1+$K$192)</f>
        <v>7585.0247112604757</v>
      </c>
      <c r="AT192" s="186">
        <f t="shared" ref="AT192" si="444">AS192*(1+$K$192)</f>
        <v>9860.5321246386193</v>
      </c>
    </row>
    <row r="193" spans="2:46" x14ac:dyDescent="0.2">
      <c r="B193" s="20"/>
      <c r="C193" s="20"/>
      <c r="D193" s="20"/>
      <c r="E193" s="23" t="s">
        <v>454</v>
      </c>
      <c r="F193" s="22">
        <v>300</v>
      </c>
      <c r="G193" s="191">
        <v>0</v>
      </c>
      <c r="H193" s="192">
        <v>36</v>
      </c>
      <c r="I193" s="191">
        <v>0.12</v>
      </c>
      <c r="J193" s="190">
        <v>14</v>
      </c>
      <c r="K193" s="190"/>
      <c r="L193" s="191">
        <v>0.2</v>
      </c>
      <c r="M193" s="190">
        <v>14</v>
      </c>
      <c r="N193" s="191">
        <v>0.3</v>
      </c>
      <c r="O193" s="190">
        <v>8</v>
      </c>
      <c r="P193" s="20"/>
      <c r="Q193" s="20"/>
      <c r="R193" s="20"/>
      <c r="S193" s="20"/>
      <c r="T193" s="129">
        <f>Q171-T192</f>
        <v>89.250873042694607</v>
      </c>
      <c r="U193" s="185">
        <f>T193-U192</f>
        <v>75.27700799819759</v>
      </c>
      <c r="V193" s="185">
        <f t="shared" ref="V193:AA193" si="445">U193-V192</f>
        <v>57.110983440351468</v>
      </c>
      <c r="W193" s="185">
        <f t="shared" si="445"/>
        <v>33.495151515151505</v>
      </c>
      <c r="X193" s="185">
        <f t="shared" si="445"/>
        <v>2.7945700123915564</v>
      </c>
      <c r="Y193" s="185">
        <f t="shared" si="445"/>
        <v>-37.116185941196377</v>
      </c>
      <c r="Z193" s="185">
        <f t="shared" si="445"/>
        <v>-89.000168680860696</v>
      </c>
      <c r="AA193" s="185">
        <f t="shared" si="445"/>
        <v>-156.44934624242433</v>
      </c>
      <c r="AB193" s="185">
        <f>AA193-AB192</f>
        <v>-244.13327707245702</v>
      </c>
      <c r="AC193" s="185">
        <f t="shared" ref="AC193" si="446">AB193-AC192</f>
        <v>-358.12238715149954</v>
      </c>
      <c r="AD193" s="185">
        <f t="shared" ref="AD193" si="447">AC193-AD192</f>
        <v>-506.30823025425479</v>
      </c>
      <c r="AE193" s="185">
        <f t="shared" ref="AE193" si="448">AD193-AE192</f>
        <v>-698.94982628783669</v>
      </c>
      <c r="AF193" s="185">
        <f t="shared" ref="AF193" si="449">AE193-AF192</f>
        <v>-949.38390113149319</v>
      </c>
      <c r="AG193" s="185">
        <f t="shared" ref="AG193" si="450">AF193-AG192</f>
        <v>-1274.9481984282465</v>
      </c>
      <c r="AH193" s="185">
        <f t="shared" ref="AH193" si="451">AG193-AH192</f>
        <v>-1698.1817849140259</v>
      </c>
      <c r="AI193" s="185">
        <f t="shared" ref="AI193" si="452">AH193-AI192</f>
        <v>-2248.3854473455394</v>
      </c>
      <c r="AJ193" s="185">
        <f t="shared" ref="AJ193" si="453">AI193-AJ192</f>
        <v>-2963.6502085065067</v>
      </c>
      <c r="AK193" s="185">
        <f t="shared" ref="AK193" si="454">AJ193-AK192</f>
        <v>-3893.4943980157641</v>
      </c>
      <c r="AL193" s="185">
        <f t="shared" ref="AL193" si="455">AK193-AL192</f>
        <v>-5102.291844377799</v>
      </c>
      <c r="AM193" s="185">
        <f t="shared" ref="AM193" si="456">AL193-AM192</f>
        <v>-6673.7285246484444</v>
      </c>
      <c r="AN193" s="185">
        <f t="shared" ref="AN193" si="457">AM193-AN192</f>
        <v>-8716.5962090002831</v>
      </c>
      <c r="AO193" s="185">
        <f t="shared" ref="AO193" si="458">AN193-AO192</f>
        <v>-11372.324198657674</v>
      </c>
      <c r="AP193" s="185">
        <f t="shared" ref="AP193" si="459">AO193-AP192</f>
        <v>-14824.770585212282</v>
      </c>
      <c r="AQ193" s="185">
        <f t="shared" ref="AQ193" si="460">AP193-AQ192</f>
        <v>-19312.950887733274</v>
      </c>
      <c r="AR193" s="185">
        <f t="shared" ref="AR193" si="461">AQ193-AR192</f>
        <v>-25147.585281010564</v>
      </c>
      <c r="AS193" s="185">
        <f t="shared" ref="AS193" si="462">AR193-AS192</f>
        <v>-32732.609992271042</v>
      </c>
      <c r="AT193" s="185">
        <f t="shared" ref="AT193" si="463">AS193-AT192</f>
        <v>-42593.142116909657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64">C10/C7</f>
        <v>#DIV/0!</v>
      </c>
      <c r="D195" s="25" t="e">
        <f t="shared" si="464"/>
        <v>#DIV/0!</v>
      </c>
      <c r="E195" s="25" t="e">
        <f t="shared" si="464"/>
        <v>#DIV/0!</v>
      </c>
      <c r="F195" s="25" t="e">
        <f t="shared" si="464"/>
        <v>#DIV/0!</v>
      </c>
      <c r="G195" s="25">
        <f t="shared" si="464"/>
        <v>2.4518072289156625</v>
      </c>
      <c r="H195" s="25">
        <f t="shared" si="464"/>
        <v>1.8333333333333333</v>
      </c>
      <c r="I195" s="25">
        <f t="shared" si="464"/>
        <v>1.1355932203389831</v>
      </c>
      <c r="J195" s="25">
        <f t="shared" si="464"/>
        <v>0.73293768545994065</v>
      </c>
      <c r="K195" s="25">
        <f t="shared" si="464"/>
        <v>0.47191011235955055</v>
      </c>
      <c r="L195" s="25">
        <f t="shared" si="464"/>
        <v>0.29749103942652327</v>
      </c>
      <c r="M195" s="25">
        <f t="shared" si="464"/>
        <v>9.9726775956284153E-2</v>
      </c>
      <c r="N195" s="25">
        <f t="shared" si="464"/>
        <v>9.5652173913043474E-3</v>
      </c>
      <c r="O195" s="25">
        <f t="shared" si="464"/>
        <v>4.0314852840520193E-3</v>
      </c>
      <c r="P195" s="25">
        <f t="shared" si="464"/>
        <v>5.0787201625190451E-6</v>
      </c>
      <c r="Q195" s="25">
        <f t="shared" ref="Q195" si="465">Q10/Q7</f>
        <v>3.9651070578905628E-6</v>
      </c>
      <c r="R195" s="118">
        <f t="shared" ref="R195:R197" si="466">((P195/G195)^(1/($H$2-$H$1) ))-1</f>
        <v>-0.76639925791548968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15.074074074074074</v>
      </c>
      <c r="H196" s="112">
        <f t="shared" ref="H196:P196" si="467">H10/H12</f>
        <v>7.0888888888888886</v>
      </c>
      <c r="I196" s="112">
        <f t="shared" si="467"/>
        <v>7.0526315789473681</v>
      </c>
      <c r="J196" s="112">
        <f t="shared" si="467"/>
        <v>4.8431372549019605</v>
      </c>
      <c r="K196" s="112">
        <f t="shared" si="467"/>
        <v>4.0384615384615383</v>
      </c>
      <c r="L196" s="112">
        <f t="shared" si="467"/>
        <v>3.0181818181818181</v>
      </c>
      <c r="M196" s="112">
        <f t="shared" si="467"/>
        <v>0.37055837563451777</v>
      </c>
      <c r="N196" s="112">
        <f t="shared" si="467"/>
        <v>8.9189189189189198E-3</v>
      </c>
      <c r="O196" s="112">
        <f t="shared" si="467"/>
        <v>6.0910031023784896E-3</v>
      </c>
      <c r="P196" s="112">
        <f t="shared" si="467"/>
        <v>8.7796312554872694E-6</v>
      </c>
      <c r="Q196" s="112">
        <f t="shared" ref="Q196" si="468">Q10/Q12</f>
        <v>8.7796312554872694E-6</v>
      </c>
      <c r="R196" s="118">
        <f t="shared" si="466"/>
        <v>-0.79711519843348377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7.6360225140712954</v>
      </c>
      <c r="H197" s="25">
        <f t="shared" ref="H197:P197" si="469">H10/(H12+H13)</f>
        <v>4.5145768468723464</v>
      </c>
      <c r="I197" s="25">
        <f t="shared" si="469"/>
        <v>4.0606060606060606</v>
      </c>
      <c r="J197" s="25">
        <f t="shared" si="469"/>
        <v>2.9903147699757873</v>
      </c>
      <c r="K197" s="25">
        <f t="shared" si="469"/>
        <v>3.8674033149171274</v>
      </c>
      <c r="L197" s="25">
        <f t="shared" si="469"/>
        <v>2.9328621908127208</v>
      </c>
      <c r="M197" s="25">
        <f t="shared" si="469"/>
        <v>0.36757301107754281</v>
      </c>
      <c r="N197" s="25">
        <f t="shared" si="469"/>
        <v>8.8988764044943824E-3</v>
      </c>
      <c r="O197" s="25">
        <f t="shared" si="469"/>
        <v>6.0759232514957708E-3</v>
      </c>
      <c r="P197" s="25">
        <f t="shared" si="469"/>
        <v>8.757257577217118E-6</v>
      </c>
      <c r="Q197" s="25">
        <f t="shared" ref="Q197" si="470">Q10/(Q12+Q13)</f>
        <v>8.757257577217118E-6</v>
      </c>
      <c r="R197" s="118">
        <f t="shared" si="466"/>
        <v>-0.78125177027734671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1" t="s">
        <v>337</v>
      </c>
      <c r="M200" s="202"/>
      <c r="N200" s="203"/>
      <c r="O200" s="23" t="s">
        <v>340</v>
      </c>
      <c r="P200" s="20"/>
      <c r="Q200" s="137"/>
      <c r="R200" s="201" t="s">
        <v>338</v>
      </c>
      <c r="S200" s="202"/>
      <c r="T200" s="203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96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5</v>
      </c>
      <c r="O202" s="173">
        <f>N202</f>
        <v>5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96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5</v>
      </c>
      <c r="O204" s="173">
        <f>N204</f>
        <v>5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250</v>
      </c>
      <c r="O205" s="21">
        <v>320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250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250</v>
      </c>
      <c r="O206" s="168">
        <f>O205*O203</f>
        <v>320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20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5000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50</v>
      </c>
      <c r="O209" s="170">
        <f>O206/O204</f>
        <v>64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52.083333333333336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4" t="s">
        <v>27</v>
      </c>
      <c r="E213" s="195"/>
      <c r="F213" s="195"/>
      <c r="G213" s="196"/>
      <c r="H213" s="20"/>
      <c r="I213" s="194" t="s">
        <v>392</v>
      </c>
      <c r="J213" s="195"/>
      <c r="K213" s="196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96</v>
      </c>
      <c r="H214" s="20"/>
      <c r="I214" s="20" t="s">
        <v>28</v>
      </c>
      <c r="J214" s="127"/>
      <c r="K214" s="21">
        <f>G214</f>
        <v>96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5000</v>
      </c>
      <c r="H215" s="20"/>
      <c r="I215" s="20" t="s">
        <v>29</v>
      </c>
      <c r="J215" s="20"/>
      <c r="K215" s="21">
        <f>G215</f>
        <v>5000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10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0.48480655829448072</v>
      </c>
      <c r="H217" s="20"/>
      <c r="I217" s="23" t="s">
        <v>393</v>
      </c>
      <c r="J217" s="23"/>
      <c r="K217" s="23">
        <f>(K215-K214)/K214</f>
        <v>51.083333333333336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120</v>
      </c>
      <c r="H218" s="20"/>
      <c r="I218" s="23" t="s">
        <v>394</v>
      </c>
      <c r="J218" s="23"/>
      <c r="K218" s="23">
        <f>K215/K214</f>
        <v>52.083333333333336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0.48480655829448072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6" t="s">
        <v>27</v>
      </c>
      <c r="K5" s="206"/>
      <c r="M5" s="206" t="s">
        <v>65</v>
      </c>
      <c r="N5" s="206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6" t="s">
        <v>36</v>
      </c>
      <c r="K14" s="206"/>
      <c r="L14" s="206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6" t="s">
        <v>27</v>
      </c>
      <c r="S5" s="206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6" t="s">
        <v>36</v>
      </c>
      <c r="S14" s="206"/>
      <c r="T14" s="206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6" t="s">
        <v>27</v>
      </c>
      <c r="C2" s="206"/>
      <c r="E2" s="206" t="s">
        <v>65</v>
      </c>
      <c r="F2" s="206"/>
      <c r="H2" s="210" t="s">
        <v>36</v>
      </c>
      <c r="I2" s="211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7" t="s">
        <v>68</v>
      </c>
      <c r="E10" s="208"/>
      <c r="F10" s="208"/>
      <c r="G10" s="208"/>
      <c r="H10" s="209"/>
      <c r="I10" s="207" t="s">
        <v>72</v>
      </c>
      <c r="J10" s="208"/>
      <c r="K10" s="208"/>
      <c r="L10" s="209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2" t="s">
        <v>431</v>
      </c>
      <c r="C3" s="213"/>
      <c r="F3" s="212" t="s">
        <v>432</v>
      </c>
      <c r="G3" s="213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2014-08-29T14:36:54Z</dcterms:modified>
</cp:coreProperties>
</file>
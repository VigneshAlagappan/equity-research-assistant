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209" i="18" l="1"/>
  <c r="G210" i="18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M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S42" i="18" l="1"/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AE38" i="18" l="1"/>
  <c r="AC38" i="18"/>
  <c r="K186" i="18" l="1"/>
  <c r="T201" i="18" l="1"/>
  <c r="T202" i="18" s="1"/>
  <c r="D199" i="18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Q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7" i="18" l="1"/>
  <c r="Q98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Q99" i="18" s="1"/>
  <c r="G93" i="18"/>
  <c r="G99" i="18" s="1"/>
  <c r="G90" i="18"/>
  <c r="G96" i="18" s="1"/>
  <c r="S29" i="18"/>
  <c r="Q29" i="18"/>
  <c r="Q96" i="18" l="1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T185" i="18" s="1"/>
  <c r="U185" i="18" s="1"/>
  <c r="V185" i="18" s="1"/>
  <c r="W185" i="18" s="1"/>
  <c r="X185" i="18" s="1"/>
  <c r="Y185" i="18" s="1"/>
  <c r="Z185" i="18" s="1"/>
  <c r="AA185" i="18" s="1"/>
  <c r="AB185" i="18" s="1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AC185" i="18" l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<sst xmlns="http://schemas.openxmlformats.org/spreadsheetml/2006/main" count="619" uniqueCount="430">
  <si>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</si>
  <si>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</si>
  <si>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</si>
  <si>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</si>
  <si>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</si>
  <si>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</si>
  <si>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</si>
  <si>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</si>
  <si>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</si>
  <si>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</si>
  <si>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</si>
  <si>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</si>
  <si>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</si>
  <si>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</si>
  <si>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</si>
  <si>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</si>
  <si>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</si>
  <si>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</si>
  <si>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</si>
  <si>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</si>
  <si>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</si>
  <si>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</si>
  <si>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</si>
  <si>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</si>
  <si>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</si>
  <si>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</si>
  <si>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</si>
  <si>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</si>
  <si>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</si>
  <si>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</si>
  <si>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</si>
  <si>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</si>
  <si>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</si>
  <si>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</si>
  <si>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</si>
  <si>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</si>
  <si>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</si>
  <si>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</si>
  <si>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</si>
  <si>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</si>
  <si>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</si>
  <si>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</si>
  <si>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</si>
  <si>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</si>
  <si>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</si>
  <si>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</si>
  <si>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</si>
  <si>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</si>
  <si>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</si>
  <si>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</si>
  <si>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</si>
  <si>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</si>
  <si>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</si>
  <si>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</si>
  <si>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</si>
  <si>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</si>
  <si>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</si>
  <si>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</si>
  <si>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</si>
  <si>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</si>
  <si>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</si>
  <si>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</si>
  <si>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</si>
  <si>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</si>
  <si>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</si>
  <si>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</si>
  <si>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</si>
  <si>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</si>
  <si>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</si>
  <si>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</si>
  <si>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</si>
  <si>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</si>
  <si>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</si>
  <si>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</si>
  <si>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</si>
  <si>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</si>
  <si>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</si>
  <si>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</si>
  <si>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</si>
  <si>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</si>
  <si>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</si>
  <si>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</si>
  <si>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</si>
  <si>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</si>
  <si>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</si>
  <si>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</si>
  <si>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</si>
  <si>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</si>
  <si>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</si>
  <si>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</si>
  <si>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</si>
  <si>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</si>
  <si>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</si>
  <si>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</si>
  <si>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</si>
  <si>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</si>
  <si>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</si>
  <si>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</si>
  <si>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</si>
  <si>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</si>
  <si>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</si>
  <si>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</si>
  <si>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</si>
  <si>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</si>
  <si>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</si>
  <si>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</si>
  <si>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</si>
  <si>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</si>
  <si>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</si>
  <si>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</si>
  <si>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</si>
  <si>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</si>
  <si>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</si>
  <si>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</si>
  <si>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</si>
  <si>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</si>
  <si>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</si>
  <si>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</si>
  <si>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</si>
  <si>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</si>
  <si>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</si>
  <si>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</si>
  <si>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</si>
  <si>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</si>
  <si>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</si>
  <si>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</si>
  <si>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</si>
  <si>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</si>
  <si>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</si>
  <si>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</si>
  <si>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</si>
  <si>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</si>
  <si>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</si>
  <si>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</si>
  <si>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</si>
  <si>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</si>
  <si>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</si>
  <si>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</si>
  <si>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</si>
  <si>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</si>
  <si>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</si>
  <si>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</si>
  <si>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</si>
  <si>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</si>
  <si>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</si>
  <si>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</si>
  <si>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</si>
  <si>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</si>
  <si>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</si>
  <si>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</si>
  <si>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</si>
  <si>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</si>
  <si>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</si>
  <si>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</si>
  <si>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</si>
  <si>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</si>
  <si>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</si>
  <si>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</si>
  <si>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</si>
  <si>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</si>
  <si>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</si>
  <si>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</si>
  <si>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</si>
  <si>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</si>
  <si>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</si>
  <si>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</si>
  <si>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</si>
  <si>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</si>
  <si>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</si>
  <si>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</si>
  <si>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</si>
  <si>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</si>
  <si>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</si>
  <si>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</si>
  <si>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</si>
  <si>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</si>
  <si>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</si>
  <si>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</si>
  <si>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</si>
  <si>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</si>
  <si>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</si>
  <si>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</si>
  <si>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</si>
  <si>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</si>
  <si>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</si>
  <si>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</si>
  <si>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</si>
  <si>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</si>
  <si>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</si>
  <si>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</si>
  <si>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</si>
  <si>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</si>
  <si>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</si>
  <si>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</si>
  <si>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</si>
  <si>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</si>
  <si>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</si>
  <si>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</si>
  <si>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</si>
  <si>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</si>
  <si>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</si>
  <si>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</si>
  <si>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</si>
  <si>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</si>
  <si>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</si>
  <si>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</si>
  <si>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</si>
  <si>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</si>
  <si>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</si>
  <si>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</si>
  <si>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</si>
  <si>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</si>
  <si>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</si>
  <si>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</si>
  <si>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</si>
  <si>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</si>
  <si>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</si>
  <si>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</si>
  <si>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</si>
  <si>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</si>
  <si>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</si>
  <si>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</si>
  <si>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</si>
  <si>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</si>
  <si>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</si>
  <si>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</si>
  <si>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</si>
  <si>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</si>
  <si>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</si>
  <si>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</si>
  <si>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</si>
  <si>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</si>
  <si>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</si>
  <si>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</si>
  <si>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</si>
  <si>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</si>
  <si>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</si>
  <si>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</si>
  <si>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</si>
  <si>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</si>
  <si>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</si>
  <si>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</si>
  <si>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</si>
  <si>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</si>
  <si>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</si>
  <si>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</si>
  <si>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</si>
  <si>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</si>
  <si>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</si>
  <si>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</si>
  <si>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</si>
  <si>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</si>
  <si>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</si>
  <si>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</si>
  <si>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</si>
  <si>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</si>
  <si>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</si>
  <si>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</si>
  <si>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</si>
  <si>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</si>
  <si>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</si>
  <si>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</si>
  <si>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</si>
  <si>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</si>
  <si>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</si>
  <si>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</si>
  <si>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</si>
  <si>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</si>
  <si>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</si>
  <si>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</si>
  <si>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</si>
  <si>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</si>
  <si>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</si>
  <si>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</si>
  <si>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</si>
  <si>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</si>
  <si>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</si>
  <si>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</si>
  <si>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</si>
  <si>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</si>
  <si>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</si>
  <si>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</si>
  <si>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</si>
  <si>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</si>
  <si>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</si>
  <si>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</si>
  <si>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</si>
  <si>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</si>
  <si>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</si>
  <si>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</si>
  <si>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</si>
  <si>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</si>
  <si>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</si>
  <si>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</si>
  <si>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</si>
  <si>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</si>
  <si>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</si>
  <si>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</si>
  <si>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</si>
  <si>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</si>
  <si>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</si>
  <si>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</si>
  <si>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</si>
  <si>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</si>
  <si>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</si>
  <si>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</si>
  <si>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</si>
  <si>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</si>
  <si>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</si>
  <si>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</si>
  <si>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</si>
  <si>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</si>
  <si>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</si>
  <si>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</si>
  <si>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</si>
  <si>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</si>
  <si>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</si>
  <si>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</si>
  <si>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</si>
  <si>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</si>
  <si>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</si>
  <si>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</si>
  <si>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</si>
  <si>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</si>
  <si>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</si>
  <si>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</si>
  <si>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</si>
  <si>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</si>
  <si>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</si>
  <si>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</si>
  <si>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</si>
  <si>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</si>
  <si>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</si>
  <si>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</si>
  <si>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</si>
  <si>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</si>
  <si>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</si>
  <si>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</si>
  <si>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</si>
  <si>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</si>
  <si>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</si>
  <si>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</si>
  <si>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</si>
  <si>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</si>
  <si>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</si>
  <si>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</si>
  <si>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</si>
  <si>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</si>
  <si>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</si>
  <si>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</si>
  <si>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</si>
  <si>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</si>
  <si>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</si>
  <si>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</si>
  <si>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</si>
  <si>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</si>
  <si>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</si>
  <si>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</si>
  <si>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</si>
  <si>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</si>
  <si>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</si>
  <si>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</si>
  <si>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</si>
  <si>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</si>
  <si>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</si>
  <si>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</si>
  <si>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</si>
  <si>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</si>
  <si>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</si>
  <si>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</si>
  <si>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</si>
  <si>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</si>
  <si>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</si>
  <si>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</si>
  <si>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</si>
  <si>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</si>
  <si>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</si>
  <si>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</si>
  <si>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</si>
  <si>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</si>
  <si>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</si>
  <si>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</si>
  <si>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</si>
  <si>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</si>
  <si>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</si>
  <si>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</si>
  <si>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</si>
  <si>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</si>
  <si>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</si>
  <si>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</si>
  <si>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</si>
  <si>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</si>
  <si>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</si>
  <si>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</si>
  <si>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</si>
  <si>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</si>
  <si>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</si>
  <si>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</si>
  <si>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</si>
  <si>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</si>
  <si>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</si>
  <si>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</si>
  <si>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</si>
  <si>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</si>
  <si>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</si>
  <si>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</si>
  <si>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</si>
  <si>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</si>
  <si>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</si>
  <si>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</si>
  <si>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</si>
  <si>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</si>
  <si>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</si>
  <si>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</si>
  <si>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</si>
  <si>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</si>
  <si>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</si>
  <si>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</si>
  <si>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</si>
  <si>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</si>
  <si>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</si>
  <si>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</si>
  <si>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</si>
  <si>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</si>
  <si>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</si>
  <si>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</si>
  <si>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</si>
  <si>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1x1</t>
  </si>
  <si>
    <t>1x20</t>
  </si>
  <si>
    <t>10x1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</si>
</sst>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174" fontId="8" fillId="5" borderId="1" xfId="2" applyNumberFormat="1" applyFont="1" applyFill="1" applyBorder="1"/>
    <xf numFmtId="2" fontId="4" fillId="6" borderId="1" xfId="1" applyNumberFormat="1" applyFont="1" applyFill="1" applyBorder="1"/>
    <xf numFmtId="168" fontId="5" fillId="5" borderId="1" xfId="0" applyNumberFormat="1" applyFont="1" applyFill="1" applyBorder="1"/>
    <xf numFmtId="2" fontId="5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32800"/>
        <c:axId val="101534336"/>
      </c:lineChart>
      <c:catAx>
        <c:axId val="101532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01534336"/>
        <c:crosses val="autoZero"/>
        <c:auto val="1"/>
        <c:lblAlgn val="ctr"/>
        <c:lblOffset val="100"/>
        <c:noMultiLvlLbl val="0"/>
      </c:catAx>
      <c:valAx>
        <c:axId val="10153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53280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158" activePane="bottomRight" state="frozen"/>
      <selection pane="topRight" activeCell="C1" sqref="C1"/>
      <selection pane="bottomLeft" activeCell="A5" sqref="A5"/>
      <selection pane="bottomRight" activeCell="B191" sqref="B191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0" width="10.140625" style="104" bestFit="1" customWidth="1"/>
    <col min="11" max="11" width="15.140625" style="104" bestFit="1" customWidth="1"/>
    <col min="12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7" width="11.28515625" style="104" bestFit="1" customWidth="1"/>
    <col min="28" max="28" width="11.425781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4">
        <v>0.04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7.0000000000000007E-2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4" t="s">
        <v>291</v>
      </c>
      <c r="AE2" s="195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6" t="s">
        <v>292</v>
      </c>
      <c r="AE3" s="197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83</v>
      </c>
      <c r="H6" s="147">
        <v>91</v>
      </c>
      <c r="I6" s="147">
        <v>154</v>
      </c>
      <c r="J6" s="147">
        <v>293</v>
      </c>
      <c r="K6" s="147">
        <v>401</v>
      </c>
      <c r="L6" s="147">
        <v>513</v>
      </c>
      <c r="M6" s="147">
        <v>687</v>
      </c>
      <c r="N6" s="147">
        <v>991</v>
      </c>
      <c r="O6" s="147">
        <v>1372</v>
      </c>
      <c r="P6" s="147">
        <v>1881</v>
      </c>
      <c r="Q6" s="118">
        <f>((P6/G6)^(1/($H$2-$H$1) ))-1</f>
        <v>0.41445807101743593</v>
      </c>
      <c r="R6" s="31">
        <f>$L$2</f>
        <v>7.0000000000000007E-2</v>
      </c>
      <c r="S6" s="154">
        <f>P6*(1+$R6)</f>
        <v>2012.67</v>
      </c>
      <c r="T6" s="154">
        <f>S6*(1+$R6)</f>
        <v>2153.5569</v>
      </c>
      <c r="U6" s="154">
        <f t="shared" ref="U6:AB6" si="0">T6*(1+$R6)</f>
        <v>2304.305883</v>
      </c>
      <c r="V6" s="154">
        <f t="shared" si="0"/>
        <v>2465.60729481</v>
      </c>
      <c r="W6" s="154">
        <f t="shared" si="0"/>
        <v>2638.1998054467003</v>
      </c>
      <c r="X6" s="154">
        <f t="shared" si="0"/>
        <v>2822.8737918279694</v>
      </c>
      <c r="Y6" s="154">
        <f t="shared" si="0"/>
        <v>3020.4749572559276</v>
      </c>
      <c r="Z6" s="154">
        <f t="shared" si="0"/>
        <v>3231.9082042638429</v>
      </c>
      <c r="AA6" s="154">
        <f t="shared" si="0"/>
        <v>3458.1417785623121</v>
      </c>
      <c r="AB6" s="154">
        <f t="shared" si="0"/>
        <v>3700.2117030616741</v>
      </c>
      <c r="AC6" s="138">
        <f>((AB6/G6)^(1/($AB$3-$H$1) ))-1</f>
        <v>0.2212295052264821</v>
      </c>
      <c r="AD6" s="31">
        <f>$L$1</f>
        <v>0.04</v>
      </c>
      <c r="AE6" s="146">
        <f t="shared" ref="AE6:AE43" si="1">(AB6*(1+AD6))/($C$1-AD6)</f>
        <v>34983.819738037651</v>
      </c>
    </row>
    <row r="7" spans="2:31" x14ac:dyDescent="0.2">
      <c r="B7" s="20" t="s">
        <v>240</v>
      </c>
      <c r="C7" s="141"/>
      <c r="D7" s="141"/>
      <c r="E7" s="147"/>
      <c r="F7" s="147"/>
      <c r="G7" s="147">
        <v>166</v>
      </c>
      <c r="H7" s="147">
        <v>174</v>
      </c>
      <c r="I7" s="147">
        <v>236</v>
      </c>
      <c r="J7" s="147">
        <v>337</v>
      </c>
      <c r="K7" s="147">
        <v>445</v>
      </c>
      <c r="L7" s="147">
        <v>558</v>
      </c>
      <c r="M7" s="147">
        <v>732</v>
      </c>
      <c r="N7" s="147">
        <v>1035</v>
      </c>
      <c r="O7" s="147">
        <v>1461</v>
      </c>
      <c r="P7" s="147">
        <v>1969</v>
      </c>
      <c r="Q7" s="118">
        <f>((P7/G7)^(1/($H$2-$H$1) ))-1</f>
        <v>0.31628103901635773</v>
      </c>
      <c r="R7" s="31">
        <f>$L$2</f>
        <v>7.0000000000000007E-2</v>
      </c>
      <c r="S7" s="154">
        <f t="shared" ref="S7:S16" si="2">P7*(1+$R7)</f>
        <v>2106.83</v>
      </c>
      <c r="T7" s="154">
        <f t="shared" ref="T7:AB7" si="3">S7*(1+$R7)</f>
        <v>2254.3081000000002</v>
      </c>
      <c r="U7" s="154">
        <f t="shared" si="3"/>
        <v>2412.1096670000002</v>
      </c>
      <c r="V7" s="154">
        <f t="shared" si="3"/>
        <v>2580.9573436900005</v>
      </c>
      <c r="W7" s="154">
        <f t="shared" si="3"/>
        <v>2761.6243577483006</v>
      </c>
      <c r="X7" s="154">
        <f t="shared" si="3"/>
        <v>2954.9380627906817</v>
      </c>
      <c r="Y7" s="154">
        <f t="shared" si="3"/>
        <v>3161.7837271860294</v>
      </c>
      <c r="Z7" s="154">
        <f t="shared" si="3"/>
        <v>3383.1085880890519</v>
      </c>
      <c r="AA7" s="154">
        <f t="shared" si="3"/>
        <v>3619.9261892552859</v>
      </c>
      <c r="AB7" s="154">
        <f t="shared" si="3"/>
        <v>3873.3210225031562</v>
      </c>
      <c r="AC7" s="138">
        <f>((AB7/G7)^(1/($AB$3-$H$1) ))-1</f>
        <v>0.18031711754389135</v>
      </c>
      <c r="AD7" s="31">
        <f>$L$1</f>
        <v>0.04</v>
      </c>
      <c r="AE7" s="146">
        <f t="shared" si="1"/>
        <v>36620.489667302572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4.5977011494252873E-2</v>
      </c>
      <c r="I8" s="151">
        <f t="shared" ref="I8:P8" si="4">(I7-H7)/I7</f>
        <v>0.26271186440677968</v>
      </c>
      <c r="J8" s="151">
        <f t="shared" si="4"/>
        <v>0.29970326409495551</v>
      </c>
      <c r="K8" s="151">
        <f t="shared" si="4"/>
        <v>0.24269662921348314</v>
      </c>
      <c r="L8" s="151">
        <f t="shared" si="4"/>
        <v>0.2025089605734767</v>
      </c>
      <c r="M8" s="151">
        <f t="shared" si="4"/>
        <v>0.23770491803278687</v>
      </c>
      <c r="N8" s="151">
        <f t="shared" si="4"/>
        <v>0.29275362318840581</v>
      </c>
      <c r="O8" s="151">
        <f t="shared" si="4"/>
        <v>0.29158110882956878</v>
      </c>
      <c r="P8" s="151">
        <f t="shared" si="4"/>
        <v>0.25799898425596751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215</v>
      </c>
      <c r="H9" s="147">
        <v>288</v>
      </c>
      <c r="I9" s="147">
        <v>367</v>
      </c>
      <c r="J9" s="147">
        <v>574</v>
      </c>
      <c r="K9" s="147">
        <v>875</v>
      </c>
      <c r="L9" s="147">
        <v>964</v>
      </c>
      <c r="M9" s="147">
        <v>1182</v>
      </c>
      <c r="N9" s="147">
        <v>2491</v>
      </c>
      <c r="O9" s="147">
        <v>2952</v>
      </c>
      <c r="P9" s="147">
        <v>3555</v>
      </c>
      <c r="Q9" s="118">
        <f t="shared" ref="Q9:Q16" si="5">((P9/G9)^(1/($H$2-$H$1) ))-1</f>
        <v>0.36577105691136103</v>
      </c>
      <c r="R9" s="31">
        <f t="shared" ref="R9:R40" si="6">$L$2</f>
        <v>7.0000000000000007E-2</v>
      </c>
      <c r="S9" s="154">
        <f t="shared" ref="S9" si="7">P9*(1+$R9)</f>
        <v>3803.8500000000004</v>
      </c>
      <c r="T9" s="154">
        <f t="shared" ref="T9" si="8">S9*(1+$R9)</f>
        <v>4070.1195000000007</v>
      </c>
      <c r="U9" s="154">
        <f t="shared" ref="U9" si="9">T9*(1+$R9)</f>
        <v>4355.0278650000009</v>
      </c>
      <c r="V9" s="154">
        <f t="shared" ref="V9" si="10">U9*(1+$R9)</f>
        <v>4659.8798155500017</v>
      </c>
      <c r="W9" s="154">
        <f t="shared" ref="W9" si="11">V9*(1+$R9)</f>
        <v>4986.0714026385021</v>
      </c>
      <c r="X9" s="154">
        <f t="shared" ref="X9" si="12">W9*(1+$R9)</f>
        <v>5335.0964008231977</v>
      </c>
      <c r="Y9" s="154">
        <f t="shared" ref="Y9" si="13">X9*(1+$R9)</f>
        <v>5708.5531488808219</v>
      </c>
      <c r="Z9" s="154">
        <f t="shared" ref="Z9" si="14">Y9*(1+$R9)</f>
        <v>6108.15186930248</v>
      </c>
      <c r="AA9" s="154">
        <f t="shared" ref="AA9" si="15">Z9*(1+$R9)</f>
        <v>6535.7225001536544</v>
      </c>
      <c r="AB9" s="154">
        <f t="shared" ref="AB9" si="16">AA9*(1+$R9)</f>
        <v>6993.2230751644111</v>
      </c>
      <c r="AC9" s="138">
        <f>((AB9/G9)^(1/($AB$3-$H$1) ))-1</f>
        <v>0.20113417057110561</v>
      </c>
      <c r="AD9" s="31">
        <f t="shared" ref="AD9:AD79" si="17">$L$1</f>
        <v>0.04</v>
      </c>
      <c r="AE9" s="146">
        <f t="shared" si="1"/>
        <v>66117.745437918085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407</v>
      </c>
      <c r="H10" s="147">
        <v>319</v>
      </c>
      <c r="I10" s="147">
        <v>268</v>
      </c>
      <c r="J10" s="147">
        <v>247</v>
      </c>
      <c r="K10" s="147">
        <v>210</v>
      </c>
      <c r="L10" s="147">
        <v>166</v>
      </c>
      <c r="M10" s="147">
        <v>73</v>
      </c>
      <c r="N10" s="147">
        <v>9.9</v>
      </c>
      <c r="O10" s="147">
        <v>5.89</v>
      </c>
      <c r="P10" s="147">
        <v>0.01</v>
      </c>
      <c r="Q10" s="118">
        <f t="shared" si="5"/>
        <v>-0.69251577249400853</v>
      </c>
      <c r="R10" s="31">
        <f t="shared" si="6"/>
        <v>7.0000000000000007E-2</v>
      </c>
      <c r="S10" s="154">
        <f t="shared" si="2"/>
        <v>1.0700000000000001E-2</v>
      </c>
      <c r="T10" s="154">
        <f t="shared" ref="T10:AB10" si="18">S10*(1+$R10)</f>
        <v>1.1449000000000003E-2</v>
      </c>
      <c r="U10" s="154">
        <f t="shared" si="18"/>
        <v>1.2250430000000003E-2</v>
      </c>
      <c r="V10" s="154">
        <f t="shared" si="18"/>
        <v>1.3107960100000005E-2</v>
      </c>
      <c r="W10" s="154">
        <f t="shared" si="18"/>
        <v>1.4025517307000007E-2</v>
      </c>
      <c r="X10" s="154">
        <f t="shared" si="18"/>
        <v>1.5007303518490007E-2</v>
      </c>
      <c r="Y10" s="154">
        <f t="shared" si="18"/>
        <v>1.6057814764784309E-2</v>
      </c>
      <c r="Z10" s="154">
        <f t="shared" si="18"/>
        <v>1.7181861798319212E-2</v>
      </c>
      <c r="AA10" s="154">
        <f t="shared" si="18"/>
        <v>1.8384592124201557E-2</v>
      </c>
      <c r="AB10" s="154">
        <f t="shared" si="18"/>
        <v>1.9671513572895667E-2</v>
      </c>
      <c r="AC10" s="138">
        <f t="shared" ref="AC10:AC42" si="19">((AB10/G10)^(1/($AB$3-$H$1) ))-1</f>
        <v>-0.40727272247962776</v>
      </c>
      <c r="AD10" s="31">
        <f t="shared" si="17"/>
        <v>0.04</v>
      </c>
      <c r="AE10" s="146">
        <f t="shared" si="1"/>
        <v>0.18598521923464997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-0.27586206896551724</v>
      </c>
      <c r="I11" s="148">
        <f t="shared" si="20"/>
        <v>-0.19029850746268656</v>
      </c>
      <c r="J11" s="148">
        <f t="shared" si="20"/>
        <v>-8.5020242914979755E-2</v>
      </c>
      <c r="K11" s="148">
        <f t="shared" si="20"/>
        <v>-0.1761904761904762</v>
      </c>
      <c r="L11" s="148">
        <f t="shared" si="20"/>
        <v>-0.26506024096385544</v>
      </c>
      <c r="M11" s="148">
        <f t="shared" si="20"/>
        <v>-1.273972602739726</v>
      </c>
      <c r="N11" s="148">
        <f t="shared" si="20"/>
        <v>-6.3737373737373737</v>
      </c>
      <c r="O11" s="148">
        <f t="shared" si="20"/>
        <v>-0.68081494057724967</v>
      </c>
      <c r="P11" s="148">
        <f t="shared" si="20"/>
        <v>-588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0.04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27</v>
      </c>
      <c r="H12" s="147">
        <v>45</v>
      </c>
      <c r="I12" s="147">
        <v>38</v>
      </c>
      <c r="J12" s="147">
        <v>51</v>
      </c>
      <c r="K12" s="147">
        <v>52</v>
      </c>
      <c r="L12" s="147">
        <v>55</v>
      </c>
      <c r="M12" s="147">
        <f>62+135</f>
        <v>197</v>
      </c>
      <c r="N12" s="147">
        <v>1110</v>
      </c>
      <c r="O12" s="147">
        <v>967</v>
      </c>
      <c r="P12" s="147">
        <v>1139</v>
      </c>
      <c r="Q12" s="118">
        <f t="shared" si="5"/>
        <v>0.51556067843348052</v>
      </c>
      <c r="R12" s="31">
        <f t="shared" si="6"/>
        <v>7.0000000000000007E-2</v>
      </c>
      <c r="S12" s="154">
        <f t="shared" si="2"/>
        <v>1218.73</v>
      </c>
      <c r="T12" s="154">
        <f t="shared" ref="T12:AB12" si="21">S12*(1+$R12)</f>
        <v>1304.0411000000001</v>
      </c>
      <c r="U12" s="154">
        <f t="shared" si="21"/>
        <v>1395.3239770000002</v>
      </c>
      <c r="V12" s="154">
        <f t="shared" si="21"/>
        <v>1492.9966553900003</v>
      </c>
      <c r="W12" s="154">
        <f t="shared" si="21"/>
        <v>1597.5064212673005</v>
      </c>
      <c r="X12" s="154">
        <f t="shared" si="21"/>
        <v>1709.3318707560118</v>
      </c>
      <c r="Y12" s="154">
        <f t="shared" si="21"/>
        <v>1828.9851017089327</v>
      </c>
      <c r="Z12" s="154">
        <f t="shared" si="21"/>
        <v>1957.0140588285581</v>
      </c>
      <c r="AA12" s="154">
        <f t="shared" si="21"/>
        <v>2094.0050429465573</v>
      </c>
      <c r="AB12" s="154">
        <f t="shared" si="21"/>
        <v>2240.5853959528163</v>
      </c>
      <c r="AC12" s="138">
        <f t="shared" si="19"/>
        <v>0.26182718849967879</v>
      </c>
      <c r="AD12" s="31">
        <f t="shared" si="17"/>
        <v>0.04</v>
      </c>
      <c r="AE12" s="146">
        <f t="shared" si="1"/>
        <v>21183.716470826628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26.3</v>
      </c>
      <c r="H13" s="147">
        <v>25.66</v>
      </c>
      <c r="I13" s="147">
        <v>28</v>
      </c>
      <c r="J13" s="147">
        <v>31.6</v>
      </c>
      <c r="K13" s="147">
        <v>2.2999999999999998</v>
      </c>
      <c r="L13" s="147">
        <v>1.6</v>
      </c>
      <c r="M13" s="147">
        <v>1.6</v>
      </c>
      <c r="N13" s="147">
        <v>2.5</v>
      </c>
      <c r="O13" s="147">
        <v>2.4</v>
      </c>
      <c r="P13" s="147">
        <v>2.91</v>
      </c>
      <c r="Q13" s="118">
        <f t="shared" si="5"/>
        <v>-0.21698369699409137</v>
      </c>
      <c r="R13" s="31">
        <f t="shared" si="6"/>
        <v>7.0000000000000007E-2</v>
      </c>
      <c r="S13" s="154">
        <f t="shared" si="2"/>
        <v>3.1137000000000001</v>
      </c>
      <c r="T13" s="154">
        <f t="shared" ref="T13:AB13" si="22">S13*(1+$R13)</f>
        <v>3.3316590000000001</v>
      </c>
      <c r="U13" s="154">
        <f t="shared" si="22"/>
        <v>3.5648751300000003</v>
      </c>
      <c r="V13" s="154">
        <f t="shared" si="22"/>
        <v>3.8144163891000007</v>
      </c>
      <c r="W13" s="154">
        <f t="shared" si="22"/>
        <v>4.0814255363370009</v>
      </c>
      <c r="X13" s="154">
        <f t="shared" si="22"/>
        <v>4.3671253238805914</v>
      </c>
      <c r="Y13" s="154">
        <f t="shared" si="22"/>
        <v>4.6728240965522332</v>
      </c>
      <c r="Z13" s="154">
        <f t="shared" si="22"/>
        <v>4.9999217833108895</v>
      </c>
      <c r="AA13" s="154">
        <f t="shared" si="22"/>
        <v>5.3499163081426522</v>
      </c>
      <c r="AB13" s="154">
        <f t="shared" si="22"/>
        <v>5.7244104497126385</v>
      </c>
      <c r="AC13" s="138">
        <f t="shared" si="19"/>
        <v>-7.7118259238524556E-2</v>
      </c>
      <c r="AD13" s="31">
        <f t="shared" si="17"/>
        <v>0.04</v>
      </c>
      <c r="AE13" s="146">
        <f t="shared" si="1"/>
        <v>54.12169879728313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164</v>
      </c>
      <c r="H14" s="147">
        <v>273</v>
      </c>
      <c r="I14" s="147">
        <v>376</v>
      </c>
      <c r="J14" s="147">
        <v>679</v>
      </c>
      <c r="K14" s="147">
        <v>1044</v>
      </c>
      <c r="L14" s="147">
        <v>1204</v>
      </c>
      <c r="M14" s="147">
        <v>1345</v>
      </c>
      <c r="N14" s="147">
        <v>1998</v>
      </c>
      <c r="O14" s="147">
        <v>2882</v>
      </c>
      <c r="P14" s="147">
        <v>3680</v>
      </c>
      <c r="Q14" s="118">
        <f t="shared" ref="Q14" si="23">((P14/G14)^(1/($H$2-$H$1) ))-1</f>
        <v>0.41290041370222808</v>
      </c>
      <c r="R14" s="31">
        <f t="shared" si="6"/>
        <v>7.0000000000000007E-2</v>
      </c>
      <c r="S14" s="154">
        <f t="shared" ref="S14" si="24">P14*(1+$R14)</f>
        <v>3937.6000000000004</v>
      </c>
      <c r="T14" s="154">
        <f t="shared" ref="T14" si="25">S14*(1+$R14)</f>
        <v>4213.2320000000009</v>
      </c>
      <c r="U14" s="154">
        <f t="shared" ref="U14" si="26">T14*(1+$R14)</f>
        <v>4508.1582400000016</v>
      </c>
      <c r="V14" s="154">
        <f t="shared" ref="V14" si="27">U14*(1+$R14)</f>
        <v>4823.7293168000024</v>
      </c>
      <c r="W14" s="154">
        <f t="shared" ref="W14" si="28">V14*(1+$R14)</f>
        <v>5161.3903689760027</v>
      </c>
      <c r="X14" s="154">
        <f t="shared" ref="X14" si="29">W14*(1+$R14)</f>
        <v>5522.6876948043237</v>
      </c>
      <c r="Y14" s="154">
        <f t="shared" ref="Y14" si="30">X14*(1+$R14)</f>
        <v>5909.2758334406262</v>
      </c>
      <c r="Z14" s="154">
        <f t="shared" ref="Z14" si="31">Y14*(1+$R14)</f>
        <v>6322.9251417814703</v>
      </c>
      <c r="AA14" s="154">
        <f t="shared" ref="AA14" si="32">Z14*(1+$R14)</f>
        <v>6765.5299017061734</v>
      </c>
      <c r="AB14" s="154">
        <f t="shared" ref="AB14" si="33">AA14*(1+$R14)</f>
        <v>7239.1169948256056</v>
      </c>
      <c r="AC14" s="138">
        <f t="shared" ref="AC14" si="34">((AB14/G14)^(1/($AB$3-$H$1) ))-1</f>
        <v>0.2205922785499399</v>
      </c>
      <c r="AD14" s="31">
        <f t="shared" si="17"/>
        <v>0.04</v>
      </c>
      <c r="AE14" s="146">
        <f t="shared" ref="AE14" si="35">(AB14*(1+AD14))/($C$1-AD14)</f>
        <v>68442.56067835119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339</v>
      </c>
      <c r="H15" s="147">
        <v>395</v>
      </c>
      <c r="I15" s="147">
        <v>505</v>
      </c>
      <c r="J15" s="147">
        <v>827</v>
      </c>
      <c r="K15" s="147">
        <v>1195</v>
      </c>
      <c r="L15" s="147">
        <v>1365</v>
      </c>
      <c r="M15" s="147">
        <v>1502</v>
      </c>
      <c r="N15" s="147">
        <v>3225</v>
      </c>
      <c r="O15" s="147">
        <v>4014</v>
      </c>
      <c r="P15" s="147">
        <v>4985</v>
      </c>
      <c r="Q15" s="118">
        <f t="shared" si="5"/>
        <v>0.3480884410778986</v>
      </c>
      <c r="R15" s="31">
        <f t="shared" si="6"/>
        <v>7.0000000000000007E-2</v>
      </c>
      <c r="S15" s="154">
        <f t="shared" si="2"/>
        <v>5333.9500000000007</v>
      </c>
      <c r="T15" s="154">
        <f t="shared" ref="T15:AB15" si="36">S15*(1+$R15)</f>
        <v>5707.326500000001</v>
      </c>
      <c r="U15" s="154">
        <f t="shared" si="36"/>
        <v>6106.8393550000019</v>
      </c>
      <c r="V15" s="154">
        <f t="shared" si="36"/>
        <v>6534.3181098500027</v>
      </c>
      <c r="W15" s="154">
        <f t="shared" si="36"/>
        <v>6991.7203775395028</v>
      </c>
      <c r="X15" s="154">
        <f t="shared" si="36"/>
        <v>7481.1408039672688</v>
      </c>
      <c r="Y15" s="154">
        <f t="shared" si="36"/>
        <v>8004.8206602449782</v>
      </c>
      <c r="Z15" s="154">
        <f t="shared" si="36"/>
        <v>8565.1581064621278</v>
      </c>
      <c r="AA15" s="154">
        <f t="shared" si="36"/>
        <v>9164.7191739144764</v>
      </c>
      <c r="AB15" s="154">
        <f t="shared" si="36"/>
        <v>9806.2495160884901</v>
      </c>
      <c r="AC15" s="138">
        <f t="shared" si="19"/>
        <v>0.19374261236341317</v>
      </c>
      <c r="AD15" s="31">
        <f t="shared" si="17"/>
        <v>0.04</v>
      </c>
      <c r="AE15" s="146">
        <f t="shared" si="1"/>
        <v>92713.631788473023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323</v>
      </c>
      <c r="H16" s="147">
        <v>254</v>
      </c>
      <c r="I16" s="147">
        <v>255</v>
      </c>
      <c r="J16" s="147">
        <v>277</v>
      </c>
      <c r="K16" s="147">
        <v>366</v>
      </c>
      <c r="L16" s="147">
        <v>423</v>
      </c>
      <c r="M16" s="147">
        <v>523</v>
      </c>
      <c r="N16" s="147">
        <v>737</v>
      </c>
      <c r="O16" s="147">
        <v>1055</v>
      </c>
      <c r="P16" s="147">
        <v>1461</v>
      </c>
      <c r="Q16" s="118">
        <f t="shared" si="5"/>
        <v>0.18257180831974607</v>
      </c>
      <c r="R16" s="31">
        <f t="shared" si="6"/>
        <v>7.0000000000000007E-2</v>
      </c>
      <c r="S16" s="154">
        <f t="shared" si="2"/>
        <v>1563.27</v>
      </c>
      <c r="T16" s="154">
        <f t="shared" ref="T16:AB16" si="37">S16*(1+$R16)</f>
        <v>1672.6989000000001</v>
      </c>
      <c r="U16" s="154">
        <f t="shared" si="37"/>
        <v>1789.7878230000001</v>
      </c>
      <c r="V16" s="154">
        <f t="shared" si="37"/>
        <v>1915.0729706100003</v>
      </c>
      <c r="W16" s="154">
        <f t="shared" si="37"/>
        <v>2049.1280785527006</v>
      </c>
      <c r="X16" s="154">
        <f t="shared" si="37"/>
        <v>2192.5670440513895</v>
      </c>
      <c r="Y16" s="154">
        <f t="shared" si="37"/>
        <v>2346.0467371349869</v>
      </c>
      <c r="Z16" s="154">
        <f t="shared" si="37"/>
        <v>2510.270008734436</v>
      </c>
      <c r="AA16" s="154">
        <f t="shared" si="37"/>
        <v>2685.9889093458469</v>
      </c>
      <c r="AB16" s="154">
        <f t="shared" si="37"/>
        <v>2874.0081330000562</v>
      </c>
      <c r="AC16" s="138">
        <f t="shared" si="19"/>
        <v>0.12192129967795307</v>
      </c>
      <c r="AD16" s="31">
        <f t="shared" si="17"/>
        <v>0.04</v>
      </c>
      <c r="AE16" s="146">
        <f t="shared" si="1"/>
        <v>27172.440530182357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173</v>
      </c>
      <c r="H18" s="147">
        <v>169</v>
      </c>
      <c r="I18" s="147">
        <v>181</v>
      </c>
      <c r="J18" s="147">
        <v>255</v>
      </c>
      <c r="K18" s="147">
        <v>278</v>
      </c>
      <c r="L18" s="147">
        <v>280</v>
      </c>
      <c r="M18" s="147">
        <v>267</v>
      </c>
      <c r="N18" s="147">
        <v>288</v>
      </c>
      <c r="O18" s="147">
        <v>384</v>
      </c>
      <c r="P18" s="147">
        <v>464</v>
      </c>
      <c r="Q18" s="118">
        <f>((P18/G18)^(1/($H$2-$H$1) ))-1</f>
        <v>0.1158555719264005</v>
      </c>
      <c r="R18" s="31">
        <f t="shared" si="6"/>
        <v>7.0000000000000007E-2</v>
      </c>
      <c r="S18" s="154">
        <f t="shared" ref="S18:S34" si="38">P18*(1+$R18)</f>
        <v>496.48</v>
      </c>
      <c r="T18" s="154">
        <f t="shared" ref="T18:T34" si="39">S18*(1+$R18)</f>
        <v>531.23360000000002</v>
      </c>
      <c r="U18" s="154">
        <f t="shared" ref="U18:U34" si="40">T18*(1+$R18)</f>
        <v>568.41995200000008</v>
      </c>
      <c r="V18" s="154">
        <f t="shared" ref="V18:V34" si="41">U18*(1+$R18)</f>
        <v>608.20934864000014</v>
      </c>
      <c r="W18" s="154">
        <f t="shared" ref="W18:W36" si="42">V18*(1+$R18)</f>
        <v>650.78400304480022</v>
      </c>
      <c r="X18" s="154">
        <f t="shared" ref="X18:X36" si="43">W18*(1+$R18)</f>
        <v>696.33888325793623</v>
      </c>
      <c r="Y18" s="154">
        <f t="shared" ref="Y18:Y36" si="44">X18*(1+$R18)</f>
        <v>745.08260508599176</v>
      </c>
      <c r="Z18" s="154">
        <f t="shared" ref="Z18:Z36" si="45">Y18*(1+$R18)</f>
        <v>797.23838744201123</v>
      </c>
      <c r="AA18" s="154">
        <f t="shared" ref="AA18:AA36" si="46">Z18*(1+$R18)</f>
        <v>853.0450745629521</v>
      </c>
      <c r="AB18" s="154">
        <f t="shared" ref="AB18:AB36" si="47">AA18*(1+$R18)</f>
        <v>912.75822978235874</v>
      </c>
      <c r="AC18" s="138">
        <f t="shared" si="19"/>
        <v>9.1481295257891171E-2</v>
      </c>
      <c r="AD18" s="31">
        <f t="shared" si="17"/>
        <v>0.04</v>
      </c>
      <c r="AE18" s="146">
        <f t="shared" si="1"/>
        <v>8629.7141724877565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115</v>
      </c>
      <c r="H20" s="147">
        <v>164</v>
      </c>
      <c r="I20" s="147">
        <v>122</v>
      </c>
      <c r="J20" s="147">
        <v>126</v>
      </c>
      <c r="K20" s="147">
        <v>102</v>
      </c>
      <c r="L20" s="147">
        <v>159</v>
      </c>
      <c r="M20" s="147">
        <v>342</v>
      </c>
      <c r="N20" s="147">
        <v>1025</v>
      </c>
      <c r="O20" s="147">
        <v>157</v>
      </c>
      <c r="P20" s="147">
        <v>453</v>
      </c>
      <c r="Q20" s="118">
        <f>((P20/G20)^(1/($H$2-$H$1) ))-1</f>
        <v>0.16454317839536725</v>
      </c>
      <c r="R20" s="31">
        <f t="shared" si="6"/>
        <v>7.0000000000000007E-2</v>
      </c>
      <c r="S20" s="154">
        <f t="shared" ref="S20:S22" si="48">P20*(1+$R20)</f>
        <v>484.71000000000004</v>
      </c>
      <c r="T20" s="154">
        <f t="shared" ref="T20:T22" si="49">S20*(1+$R20)</f>
        <v>518.63970000000006</v>
      </c>
      <c r="U20" s="154">
        <f t="shared" ref="U20:U22" si="50">T20*(1+$R20)</f>
        <v>554.94447900000011</v>
      </c>
      <c r="V20" s="154">
        <f t="shared" ref="V20:V22" si="51">U20*(1+$R20)</f>
        <v>593.79059253000014</v>
      </c>
      <c r="W20" s="154">
        <f t="shared" ref="W20:W22" si="52">V20*(1+$R20)</f>
        <v>635.35593400710013</v>
      </c>
      <c r="X20" s="154">
        <f t="shared" ref="X20:X22" si="53">W20*(1+$R20)</f>
        <v>679.83084938759714</v>
      </c>
      <c r="Y20" s="154">
        <f t="shared" ref="Y20:Y22" si="54">X20*(1+$R20)</f>
        <v>727.41900884472898</v>
      </c>
      <c r="Z20" s="154">
        <f t="shared" ref="Z20:Z22" si="55">Y20*(1+$R20)</f>
        <v>778.33833946386005</v>
      </c>
      <c r="AA20" s="154">
        <f t="shared" ref="AA20:AA22" si="56">Z20*(1+$R20)</f>
        <v>832.82202322633032</v>
      </c>
      <c r="AB20" s="154">
        <f t="shared" ref="AB20:AB22" si="57">AA20*(1+$R20)</f>
        <v>891.11956485217354</v>
      </c>
      <c r="AC20" s="138">
        <f t="shared" ref="AC20:AC22" si="58">((AB20/G20)^(1/($AB$3-$H$1) ))-1</f>
        <v>0.11378664799586158</v>
      </c>
      <c r="AD20" s="31">
        <f t="shared" si="17"/>
        <v>0.04</v>
      </c>
      <c r="AE20" s="146">
        <f t="shared" si="1"/>
        <v>8425.1304313296423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2.2599999999999998</v>
      </c>
      <c r="H21" s="147">
        <v>-14</v>
      </c>
      <c r="I21" s="147">
        <v>-34</v>
      </c>
      <c r="J21" s="147">
        <v>-91</v>
      </c>
      <c r="K21" s="147">
        <v>-62</v>
      </c>
      <c r="L21" s="147">
        <v>-57</v>
      </c>
      <c r="M21" s="147">
        <v>-31</v>
      </c>
      <c r="N21" s="147">
        <v>-27</v>
      </c>
      <c r="O21" s="147">
        <v>-70</v>
      </c>
      <c r="P21" s="147">
        <v>-42</v>
      </c>
      <c r="Q21" s="118">
        <f>((P21/G21)^(1/($H$2-$H$1) ))-1</f>
        <v>-2.3836162377591199</v>
      </c>
      <c r="R21" s="31">
        <f t="shared" si="6"/>
        <v>7.0000000000000007E-2</v>
      </c>
      <c r="S21" s="154">
        <f t="shared" si="48"/>
        <v>-44.940000000000005</v>
      </c>
      <c r="T21" s="154">
        <f t="shared" si="49"/>
        <v>-48.085800000000006</v>
      </c>
      <c r="U21" s="154">
        <f t="shared" si="50"/>
        <v>-51.451806000000012</v>
      </c>
      <c r="V21" s="154">
        <f t="shared" si="51"/>
        <v>-55.053432420000014</v>
      </c>
      <c r="W21" s="154">
        <f t="shared" si="52"/>
        <v>-58.907172689400021</v>
      </c>
      <c r="X21" s="154">
        <f t="shared" si="53"/>
        <v>-63.030674777658028</v>
      </c>
      <c r="Y21" s="154">
        <f t="shared" si="54"/>
        <v>-67.442822012094098</v>
      </c>
      <c r="Z21" s="154">
        <f t="shared" si="55"/>
        <v>-72.163819552940694</v>
      </c>
      <c r="AA21" s="154">
        <f t="shared" si="56"/>
        <v>-77.215286921646552</v>
      </c>
      <c r="AB21" s="154">
        <f t="shared" si="57"/>
        <v>-82.620357006161811</v>
      </c>
      <c r="AC21" s="138">
        <f t="shared" si="58"/>
        <v>-2.2085427935944981</v>
      </c>
      <c r="AD21" s="31">
        <f t="shared" si="17"/>
        <v>0.04</v>
      </c>
      <c r="AE21" s="146">
        <f t="shared" si="1"/>
        <v>-781.13792078553001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-114</v>
      </c>
      <c r="H22" s="147">
        <v>-134</v>
      </c>
      <c r="I22" s="147">
        <v>-93</v>
      </c>
      <c r="J22" s="147">
        <v>-23</v>
      </c>
      <c r="K22" s="147">
        <v>-38</v>
      </c>
      <c r="L22" s="147">
        <v>-99</v>
      </c>
      <c r="M22" s="147">
        <v>-178</v>
      </c>
      <c r="N22" s="147">
        <v>-91</v>
      </c>
      <c r="O22" s="147">
        <v>-234</v>
      </c>
      <c r="P22" s="147">
        <v>-235</v>
      </c>
      <c r="Q22" s="118">
        <f>((P22/G22)^(1/($H$2-$H$1) ))-1</f>
        <v>8.3694829345898114E-2</v>
      </c>
      <c r="R22" s="31">
        <f t="shared" si="6"/>
        <v>7.0000000000000007E-2</v>
      </c>
      <c r="S22" s="154">
        <f t="shared" si="48"/>
        <v>-251.45000000000002</v>
      </c>
      <c r="T22" s="154">
        <f t="shared" si="49"/>
        <v>-269.05150000000003</v>
      </c>
      <c r="U22" s="154">
        <f t="shared" si="50"/>
        <v>-287.88510500000007</v>
      </c>
      <c r="V22" s="154">
        <f t="shared" si="51"/>
        <v>-308.0370623500001</v>
      </c>
      <c r="W22" s="154">
        <f t="shared" si="52"/>
        <v>-329.5996567145001</v>
      </c>
      <c r="X22" s="154">
        <f t="shared" si="53"/>
        <v>-352.67163268451515</v>
      </c>
      <c r="Y22" s="154">
        <f t="shared" si="54"/>
        <v>-377.35864697243125</v>
      </c>
      <c r="Z22" s="154">
        <f t="shared" si="55"/>
        <v>-403.77375226050145</v>
      </c>
      <c r="AA22" s="154">
        <f t="shared" si="56"/>
        <v>-432.03791491873659</v>
      </c>
      <c r="AB22" s="154">
        <f t="shared" si="57"/>
        <v>-462.28056896304815</v>
      </c>
      <c r="AC22" s="138">
        <f t="shared" si="58"/>
        <v>7.6465316400961436E-2</v>
      </c>
      <c r="AD22" s="31">
        <f t="shared" si="17"/>
        <v>0.04</v>
      </c>
      <c r="AE22" s="146">
        <f t="shared" si="1"/>
        <v>-4370.6526520142743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27</v>
      </c>
      <c r="H23" s="147">
        <v>43.5</v>
      </c>
      <c r="I23" s="147">
        <v>38.29</v>
      </c>
      <c r="J23" s="147">
        <v>51</v>
      </c>
      <c r="K23" s="147">
        <v>52</v>
      </c>
      <c r="L23" s="147">
        <v>55</v>
      </c>
      <c r="M23" s="147">
        <v>187</v>
      </c>
      <c r="N23" s="147">
        <v>1094</v>
      </c>
      <c r="O23" s="147">
        <v>957</v>
      </c>
      <c r="P23" s="147">
        <v>1136</v>
      </c>
      <c r="Q23" s="118">
        <f>((P23/G23)^(1/($H$2-$H$1) ))-1</f>
        <v>0.51511662289701943</v>
      </c>
      <c r="R23" s="31">
        <f t="shared" si="6"/>
        <v>7.0000000000000007E-2</v>
      </c>
      <c r="S23" s="154">
        <f t="shared" ref="S23" si="59">P23*(1+$R23)</f>
        <v>1215.52</v>
      </c>
      <c r="T23" s="154">
        <f t="shared" ref="T23" si="60">S23*(1+$R23)</f>
        <v>1300.6064000000001</v>
      </c>
      <c r="U23" s="154">
        <f t="shared" ref="U23" si="61">T23*(1+$R23)</f>
        <v>1391.6488480000003</v>
      </c>
      <c r="V23" s="154">
        <f t="shared" ref="V23" si="62">U23*(1+$R23)</f>
        <v>1489.0642673600005</v>
      </c>
      <c r="W23" s="154">
        <f t="shared" ref="W23" si="63">V23*(1+$R23)</f>
        <v>1593.2987660752005</v>
      </c>
      <c r="X23" s="154">
        <f t="shared" ref="X23" si="64">W23*(1+$R23)</f>
        <v>1704.8296797004648</v>
      </c>
      <c r="Y23" s="154">
        <f t="shared" ref="Y23" si="65">X23*(1+$R23)</f>
        <v>1824.1677572794974</v>
      </c>
      <c r="Z23" s="154">
        <f t="shared" ref="Z23" si="66">Y23*(1+$R23)</f>
        <v>1951.8595002890625</v>
      </c>
      <c r="AA23" s="154">
        <f t="shared" ref="AA23" si="67">Z23*(1+$R23)</f>
        <v>2088.4896653092969</v>
      </c>
      <c r="AB23" s="154">
        <f t="shared" ref="AB23" si="68">AA23*(1+$R23)</f>
        <v>2234.6839418809477</v>
      </c>
      <c r="AC23" s="138">
        <f t="shared" ref="AC23" si="69">((AB23/G23)^(1/($AB$3-$H$1) ))-1</f>
        <v>0.26165204813910292</v>
      </c>
      <c r="AD23" s="31">
        <f t="shared" si="17"/>
        <v>0.04</v>
      </c>
      <c r="AE23" s="146">
        <f t="shared" si="1"/>
        <v>21127.920905056235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972</v>
      </c>
      <c r="H25" s="147">
        <v>1179</v>
      </c>
      <c r="I25" s="147">
        <v>1506</v>
      </c>
      <c r="J25" s="147">
        <v>2321</v>
      </c>
      <c r="K25" s="147">
        <v>3276</v>
      </c>
      <c r="L25" s="147">
        <v>3984</v>
      </c>
      <c r="M25" s="147">
        <v>4801</v>
      </c>
      <c r="N25" s="147">
        <v>7088</v>
      </c>
      <c r="O25" s="147">
        <v>9693</v>
      </c>
      <c r="P25" s="147">
        <v>11037</v>
      </c>
      <c r="Q25" s="118">
        <f>((P25/G25)^(1/($H$2-$H$1) ))-1</f>
        <v>0.3099139073577013</v>
      </c>
      <c r="R25" s="31">
        <f t="shared" si="6"/>
        <v>7.0000000000000007E-2</v>
      </c>
      <c r="S25" s="154">
        <f t="shared" si="38"/>
        <v>11809.59</v>
      </c>
      <c r="T25" s="154">
        <f t="shared" si="39"/>
        <v>12636.2613</v>
      </c>
      <c r="U25" s="154">
        <f t="shared" si="40"/>
        <v>13520.799591000001</v>
      </c>
      <c r="V25" s="154">
        <f t="shared" si="41"/>
        <v>14467.255562370001</v>
      </c>
      <c r="W25" s="154">
        <f t="shared" si="42"/>
        <v>15479.963451735903</v>
      </c>
      <c r="X25" s="154">
        <f t="shared" si="43"/>
        <v>16563.560893357419</v>
      </c>
      <c r="Y25" s="154">
        <f t="shared" si="44"/>
        <v>17723.01015589244</v>
      </c>
      <c r="Z25" s="154">
        <f t="shared" si="45"/>
        <v>18963.620866804911</v>
      </c>
      <c r="AA25" s="154">
        <f t="shared" si="46"/>
        <v>20291.074327481256</v>
      </c>
      <c r="AB25" s="154">
        <f t="shared" si="47"/>
        <v>21711.449530404945</v>
      </c>
      <c r="AC25" s="138">
        <f t="shared" si="19"/>
        <v>0.17760919233149597</v>
      </c>
      <c r="AD25" s="31">
        <f t="shared" si="17"/>
        <v>0.04</v>
      </c>
      <c r="AE25" s="146">
        <f t="shared" si="1"/>
        <v>205271.88646928314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0.17557251908396945</v>
      </c>
      <c r="I26" s="148">
        <f t="shared" ref="I26:P26" si="70">(I25-H25)/I25</f>
        <v>0.21713147410358566</v>
      </c>
      <c r="J26" s="148">
        <f t="shared" si="70"/>
        <v>0.35114174924601466</v>
      </c>
      <c r="K26" s="148">
        <f t="shared" si="70"/>
        <v>0.29151404151404153</v>
      </c>
      <c r="L26" s="148">
        <f t="shared" si="70"/>
        <v>0.17771084337349397</v>
      </c>
      <c r="M26" s="148">
        <f t="shared" si="70"/>
        <v>0.17017288064986461</v>
      </c>
      <c r="N26" s="148">
        <f t="shared" si="70"/>
        <v>0.32265801354401807</v>
      </c>
      <c r="O26" s="148">
        <f t="shared" si="70"/>
        <v>0.26875064479521305</v>
      </c>
      <c r="P26" s="148">
        <f t="shared" si="70"/>
        <v>0.12177222071215003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844</v>
      </c>
      <c r="H27" s="147">
        <v>1049</v>
      </c>
      <c r="I27" s="147">
        <v>1346</v>
      </c>
      <c r="J27" s="147">
        <v>2117</v>
      </c>
      <c r="K27" s="147">
        <v>3051</v>
      </c>
      <c r="L27" s="147">
        <v>3675</v>
      </c>
      <c r="M27" s="147">
        <v>4393</v>
      </c>
      <c r="N27" s="147">
        <v>6415</v>
      </c>
      <c r="O27" s="147">
        <v>8763</v>
      </c>
      <c r="P27" s="147">
        <v>9923</v>
      </c>
      <c r="Q27" s="118">
        <f>((P27/G27)^(1/($H$2-$H$1) ))-1</f>
        <v>0.31498949299483359</v>
      </c>
      <c r="R27" s="31">
        <f t="shared" si="6"/>
        <v>7.0000000000000007E-2</v>
      </c>
      <c r="S27" s="154">
        <f t="shared" si="38"/>
        <v>10617.61</v>
      </c>
      <c r="T27" s="154">
        <f t="shared" si="39"/>
        <v>11360.842700000001</v>
      </c>
      <c r="U27" s="154">
        <f t="shared" si="40"/>
        <v>12156.101689000001</v>
      </c>
      <c r="V27" s="154">
        <f t="shared" si="41"/>
        <v>13007.028807230003</v>
      </c>
      <c r="W27" s="154">
        <f t="shared" si="42"/>
        <v>13917.520823736104</v>
      </c>
      <c r="X27" s="154">
        <f t="shared" si="43"/>
        <v>14891.747281397633</v>
      </c>
      <c r="Y27" s="154">
        <f t="shared" si="44"/>
        <v>15934.169591095468</v>
      </c>
      <c r="Z27" s="154">
        <f t="shared" si="45"/>
        <v>17049.561462472153</v>
      </c>
      <c r="AA27" s="154">
        <f t="shared" si="46"/>
        <v>18243.030764845204</v>
      </c>
      <c r="AB27" s="154">
        <f t="shared" si="47"/>
        <v>19520.04291838437</v>
      </c>
      <c r="AC27" s="138">
        <f t="shared" si="19"/>
        <v>0.17976838457206945</v>
      </c>
      <c r="AD27" s="31">
        <f t="shared" si="17"/>
        <v>0.04</v>
      </c>
      <c r="AE27" s="146">
        <f t="shared" si="1"/>
        <v>184553.13304654317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0.19542421353670161</v>
      </c>
      <c r="I28" s="148">
        <f t="shared" si="71"/>
        <v>0.22065378900445765</v>
      </c>
      <c r="J28" s="148">
        <f t="shared" si="71"/>
        <v>0.3641946150212565</v>
      </c>
      <c r="K28" s="148">
        <f t="shared" si="71"/>
        <v>0.30612913798754504</v>
      </c>
      <c r="L28" s="148">
        <f t="shared" si="71"/>
        <v>0.16979591836734695</v>
      </c>
      <c r="M28" s="148">
        <f t="shared" si="71"/>
        <v>0.16344183928977921</v>
      </c>
      <c r="N28" s="148">
        <f t="shared" si="71"/>
        <v>0.31519875292283711</v>
      </c>
      <c r="O28" s="148">
        <f t="shared" si="71"/>
        <v>0.2679447677735935</v>
      </c>
      <c r="P28" s="148">
        <f t="shared" si="71"/>
        <v>0.1169001310087675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42</v>
      </c>
      <c r="H29" s="147">
        <v>33</v>
      </c>
      <c r="I29" s="147">
        <v>25</v>
      </c>
      <c r="J29" s="147">
        <v>21.24</v>
      </c>
      <c r="K29" s="147">
        <v>21</v>
      </c>
      <c r="L29" s="147">
        <v>28.7</v>
      </c>
      <c r="M29" s="147">
        <v>25.4</v>
      </c>
      <c r="N29" s="147">
        <v>34.54</v>
      </c>
      <c r="O29" s="147">
        <v>43.73</v>
      </c>
      <c r="P29" s="147">
        <v>50.65</v>
      </c>
      <c r="Q29" s="118">
        <f>((P29/G29)^(1/($H$2-$H$1) ))-1</f>
        <v>2.1025724960043179E-2</v>
      </c>
      <c r="R29" s="31">
        <f t="shared" si="6"/>
        <v>7.0000000000000007E-2</v>
      </c>
      <c r="S29" s="154">
        <f t="shared" ref="S29" si="72">P29*(1+$R29)</f>
        <v>54.195500000000003</v>
      </c>
      <c r="T29" s="154">
        <f t="shared" ref="T29" si="73">S29*(1+$R29)</f>
        <v>57.989185000000006</v>
      </c>
      <c r="U29" s="154">
        <f t="shared" ref="U29" si="74">T29*(1+$R29)</f>
        <v>62.048427950000011</v>
      </c>
      <c r="V29" s="154">
        <f t="shared" ref="V29" si="75">U29*(1+$R29)</f>
        <v>66.391817906500009</v>
      </c>
      <c r="W29" s="154">
        <f t="shared" ref="W29" si="76">V29*(1+$R29)</f>
        <v>71.039245159955016</v>
      </c>
      <c r="X29" s="154">
        <f t="shared" ref="X29" si="77">W29*(1+$R29)</f>
        <v>76.011992321151865</v>
      </c>
      <c r="Y29" s="154">
        <f t="shared" ref="Y29" si="78">X29*(1+$R29)</f>
        <v>81.3328317836325</v>
      </c>
      <c r="Z29" s="154">
        <f t="shared" ref="Z29" si="79">Y29*(1+$R29)</f>
        <v>87.026130008486774</v>
      </c>
      <c r="AA29" s="154">
        <f t="shared" ref="AA29" si="80">Z29*(1+$R29)</f>
        <v>93.117959109080857</v>
      </c>
      <c r="AB29" s="154">
        <f t="shared" ref="AB29" si="81">AA29*(1+$R29)</f>
        <v>99.636216246716529</v>
      </c>
      <c r="AC29" s="138">
        <f t="shared" ref="AC29" si="82">((AB29/G29)^(1/($AB$3-$H$1) ))-1</f>
        <v>4.6515537995185596E-2</v>
      </c>
      <c r="AD29" s="31">
        <f t="shared" si="17"/>
        <v>0.04</v>
      </c>
      <c r="AE29" s="146">
        <f t="shared" ref="AE29" si="83">(AB29*(1+AD29))/($C$1-AD29)</f>
        <v>942.01513542350187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P30" si="84">(G29-F29)/G29</f>
        <v>1</v>
      </c>
      <c r="H30" s="148">
        <f t="shared" si="84"/>
        <v>-0.27272727272727271</v>
      </c>
      <c r="I30" s="148">
        <f t="shared" si="84"/>
        <v>-0.32</v>
      </c>
      <c r="J30" s="148">
        <f t="shared" si="84"/>
        <v>-0.17702448210922797</v>
      </c>
      <c r="K30" s="148">
        <f t="shared" si="84"/>
        <v>-1.1428571428571354E-2</v>
      </c>
      <c r="L30" s="148">
        <f t="shared" si="84"/>
        <v>0.26829268292682923</v>
      </c>
      <c r="M30" s="148">
        <f t="shared" si="84"/>
        <v>-0.12992125984251973</v>
      </c>
      <c r="N30" s="148">
        <f t="shared" si="84"/>
        <v>0.2646207295888825</v>
      </c>
      <c r="O30" s="148">
        <f t="shared" si="84"/>
        <v>0.21015321289732444</v>
      </c>
      <c r="P30" s="148">
        <f t="shared" si="84"/>
        <v>0.13662388943731493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7.0000000000000007E-2</v>
      </c>
      <c r="S31" s="154">
        <f>P31*(1+$R31)</f>
        <v>0</v>
      </c>
      <c r="T31" s="154">
        <f>S31*(1+$R31)</f>
        <v>0</v>
      </c>
      <c r="U31" s="154">
        <f t="shared" ref="U31:AB32" si="85">T31*(1+$R31)</f>
        <v>0</v>
      </c>
      <c r="V31" s="154">
        <f t="shared" si="85"/>
        <v>0</v>
      </c>
      <c r="W31" s="154">
        <f t="shared" si="85"/>
        <v>0</v>
      </c>
      <c r="X31" s="154">
        <f t="shared" si="85"/>
        <v>0</v>
      </c>
      <c r="Y31" s="154">
        <f t="shared" si="85"/>
        <v>0</v>
      </c>
      <c r="Z31" s="154">
        <f t="shared" si="85"/>
        <v>0</v>
      </c>
      <c r="AA31" s="154">
        <f t="shared" si="85"/>
        <v>0</v>
      </c>
      <c r="AB31" s="154">
        <f t="shared" si="85"/>
        <v>0</v>
      </c>
      <c r="AC31" s="138" t="e">
        <f t="shared" ref="AC31" si="86">((AB31/G31)^(1/($AB$3-$H$1) ))-1</f>
        <v>#DIV/0!</v>
      </c>
      <c r="AD31" s="31">
        <f t="shared" si="17"/>
        <v>0.04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7.0000000000000007E-2</v>
      </c>
      <c r="S32" s="154">
        <f>P32*(1+$R32)</f>
        <v>0</v>
      </c>
      <c r="T32" s="154">
        <f>S32*(1+$R32)</f>
        <v>0</v>
      </c>
      <c r="U32" s="154">
        <f t="shared" si="85"/>
        <v>0</v>
      </c>
      <c r="V32" s="154">
        <f t="shared" si="85"/>
        <v>0</v>
      </c>
      <c r="W32" s="154">
        <f t="shared" si="85"/>
        <v>0</v>
      </c>
      <c r="X32" s="154">
        <f t="shared" si="85"/>
        <v>0</v>
      </c>
      <c r="Y32" s="154">
        <f t="shared" si="85"/>
        <v>0</v>
      </c>
      <c r="Z32" s="154">
        <f t="shared" si="85"/>
        <v>0</v>
      </c>
      <c r="AA32" s="154">
        <f t="shared" si="85"/>
        <v>0</v>
      </c>
      <c r="AB32" s="154">
        <f t="shared" si="85"/>
        <v>0</v>
      </c>
      <c r="AC32" s="138" t="e">
        <f t="shared" ref="AC32" si="87">((AB32/G32)^(1/($AB$3-$H$1) ))-1</f>
        <v>#DIV/0!</v>
      </c>
      <c r="AD32" s="31">
        <f t="shared" si="17"/>
        <v>0.04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594</v>
      </c>
      <c r="H33" s="147">
        <v>749</v>
      </c>
      <c r="I33" s="147">
        <v>975</v>
      </c>
      <c r="J33" s="147">
        <v>1616</v>
      </c>
      <c r="K33" s="147">
        <v>2426</v>
      </c>
      <c r="L33" s="147">
        <v>2936</v>
      </c>
      <c r="M33" s="147">
        <v>3558</v>
      </c>
      <c r="N33" s="147">
        <v>5276</v>
      </c>
      <c r="O33" s="147">
        <v>7371</v>
      </c>
      <c r="P33" s="147">
        <v>8387</v>
      </c>
      <c r="Q33" s="118">
        <f>((P33/G33)^(1/($H$2-$H$1) ))-1</f>
        <v>0.3420163278668471</v>
      </c>
      <c r="R33" s="31">
        <f t="shared" si="6"/>
        <v>7.0000000000000007E-2</v>
      </c>
      <c r="S33" s="154">
        <f t="shared" si="38"/>
        <v>8974.09</v>
      </c>
      <c r="T33" s="154">
        <f t="shared" si="39"/>
        <v>9602.2763000000014</v>
      </c>
      <c r="U33" s="154">
        <f t="shared" si="40"/>
        <v>10274.435641000002</v>
      </c>
      <c r="V33" s="154">
        <f t="shared" si="41"/>
        <v>10993.646135870003</v>
      </c>
      <c r="W33" s="154">
        <f t="shared" si="42"/>
        <v>11763.201365380904</v>
      </c>
      <c r="X33" s="154">
        <f t="shared" si="43"/>
        <v>12586.625460957568</v>
      </c>
      <c r="Y33" s="154">
        <f t="shared" si="44"/>
        <v>13467.689243224599</v>
      </c>
      <c r="Z33" s="154">
        <f t="shared" si="45"/>
        <v>14410.427490250322</v>
      </c>
      <c r="AA33" s="154">
        <f t="shared" si="46"/>
        <v>15419.157414567846</v>
      </c>
      <c r="AB33" s="154">
        <f t="shared" si="47"/>
        <v>16498.498433587596</v>
      </c>
      <c r="AC33" s="138">
        <f t="shared" si="19"/>
        <v>0.19119263257581753</v>
      </c>
      <c r="AD33" s="31">
        <f t="shared" si="17"/>
        <v>0.04</v>
      </c>
      <c r="AE33" s="146">
        <f t="shared" si="1"/>
        <v>155985.80337210093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95</v>
      </c>
      <c r="H34" s="147">
        <v>96</v>
      </c>
      <c r="I34" s="147">
        <v>112</v>
      </c>
      <c r="J34" s="147">
        <v>160</v>
      </c>
      <c r="K34" s="147">
        <v>193</v>
      </c>
      <c r="L34" s="147">
        <v>237</v>
      </c>
      <c r="M34" s="147">
        <v>279</v>
      </c>
      <c r="N34" s="147">
        <v>369</v>
      </c>
      <c r="O34" s="147">
        <v>397</v>
      </c>
      <c r="P34" s="147">
        <v>489</v>
      </c>
      <c r="Q34" s="118">
        <f>((P34/G34)^(1/($H$2-$H$1) ))-1</f>
        <v>0.19967892119299568</v>
      </c>
      <c r="R34" s="31">
        <f t="shared" si="6"/>
        <v>7.0000000000000007E-2</v>
      </c>
      <c r="S34" s="154">
        <f t="shared" si="38"/>
        <v>523.23</v>
      </c>
      <c r="T34" s="154">
        <f t="shared" si="39"/>
        <v>559.85610000000008</v>
      </c>
      <c r="U34" s="154">
        <f t="shared" si="40"/>
        <v>599.04602700000009</v>
      </c>
      <c r="V34" s="154">
        <f t="shared" si="41"/>
        <v>640.97924889000012</v>
      </c>
      <c r="W34" s="154">
        <f t="shared" si="42"/>
        <v>685.84779631230015</v>
      </c>
      <c r="X34" s="154">
        <f t="shared" si="43"/>
        <v>733.85714205416116</v>
      </c>
      <c r="Y34" s="154">
        <f t="shared" si="44"/>
        <v>785.22714199795246</v>
      </c>
      <c r="Z34" s="154">
        <f t="shared" si="45"/>
        <v>840.1930419378092</v>
      </c>
      <c r="AA34" s="154">
        <f t="shared" si="46"/>
        <v>899.00655487345591</v>
      </c>
      <c r="AB34" s="154">
        <f t="shared" si="47"/>
        <v>961.93701371459792</v>
      </c>
      <c r="AC34" s="138">
        <f t="shared" si="19"/>
        <v>0.12958001905285776</v>
      </c>
      <c r="AD34" s="31">
        <f t="shared" si="17"/>
        <v>0.04</v>
      </c>
      <c r="AE34" s="146">
        <f t="shared" si="1"/>
        <v>9094.6772205743819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91</v>
      </c>
      <c r="H36" s="147">
        <v>139</v>
      </c>
      <c r="I36" s="147">
        <v>169</v>
      </c>
      <c r="J36" s="147">
        <v>222</v>
      </c>
      <c r="K36" s="147">
        <v>244.4</v>
      </c>
      <c r="L36" s="147">
        <v>315</v>
      </c>
      <c r="M36" s="147">
        <v>399</v>
      </c>
      <c r="N36" s="147">
        <v>616</v>
      </c>
      <c r="O36" s="147">
        <v>835</v>
      </c>
      <c r="P36" s="147">
        <v>1012</v>
      </c>
      <c r="Q36" s="118">
        <f>((P36/G36)^(1/($H$2-$H$1) ))-1</f>
        <v>0.30688592298294481</v>
      </c>
      <c r="R36" s="31">
        <f t="shared" si="6"/>
        <v>7.0000000000000007E-2</v>
      </c>
      <c r="S36" s="154">
        <f t="shared" ref="S36" si="88">P36*(1+$R36)</f>
        <v>1082.8400000000001</v>
      </c>
      <c r="T36" s="154">
        <f t="shared" ref="T36" si="89">S36*(1+$R36)</f>
        <v>1158.6388000000002</v>
      </c>
      <c r="U36" s="154">
        <f t="shared" ref="U36" si="90">T36*(1+$R36)</f>
        <v>1239.7435160000002</v>
      </c>
      <c r="V36" s="154">
        <f t="shared" ref="V36" si="91">U36*(1+$R36)</f>
        <v>1326.5255621200004</v>
      </c>
      <c r="W36" s="154">
        <f t="shared" si="42"/>
        <v>1419.3823514684004</v>
      </c>
      <c r="X36" s="154">
        <f t="shared" si="43"/>
        <v>1518.7391160711886</v>
      </c>
      <c r="Y36" s="154">
        <f t="shared" si="44"/>
        <v>1625.0508541961719</v>
      </c>
      <c r="Z36" s="154">
        <f t="shared" si="45"/>
        <v>1738.8044139899041</v>
      </c>
      <c r="AA36" s="154">
        <f t="shared" si="46"/>
        <v>1860.5207229691975</v>
      </c>
      <c r="AB36" s="154">
        <f t="shared" si="47"/>
        <v>1990.7571735770414</v>
      </c>
      <c r="AC36" s="138">
        <f t="shared" si="19"/>
        <v>0.17631896751790754</v>
      </c>
      <c r="AD36" s="31">
        <f t="shared" si="17"/>
        <v>0.04</v>
      </c>
      <c r="AE36" s="146">
        <f t="shared" si="1"/>
        <v>18821.704186546576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:P37" si="92">(G36-F36)/G36</f>
        <v>1</v>
      </c>
      <c r="H37" s="148">
        <f t="shared" si="92"/>
        <v>0.34532374100719426</v>
      </c>
      <c r="I37" s="148">
        <f t="shared" si="92"/>
        <v>0.17751479289940827</v>
      </c>
      <c r="J37" s="148">
        <f t="shared" si="92"/>
        <v>0.23873873873873874</v>
      </c>
      <c r="K37" s="148">
        <f t="shared" si="92"/>
        <v>9.1653027823240613E-2</v>
      </c>
      <c r="L37" s="148">
        <f t="shared" si="92"/>
        <v>0.22412698412698412</v>
      </c>
      <c r="M37" s="148">
        <f t="shared" si="92"/>
        <v>0.21052631578947367</v>
      </c>
      <c r="N37" s="148">
        <f t="shared" si="92"/>
        <v>0.35227272727272729</v>
      </c>
      <c r="O37" s="148">
        <f t="shared" si="92"/>
        <v>0.2622754491017964</v>
      </c>
      <c r="P37" s="148">
        <f t="shared" si="92"/>
        <v>0.17490118577075098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50"/>
      <c r="G38" s="147">
        <v>62.5</v>
      </c>
      <c r="H38" s="147">
        <v>71</v>
      </c>
      <c r="I38" s="147">
        <v>112</v>
      </c>
      <c r="J38" s="147">
        <v>149</v>
      </c>
      <c r="K38" s="147">
        <v>171</v>
      </c>
      <c r="L38" s="147">
        <v>227</v>
      </c>
      <c r="M38" s="147">
        <v>319</v>
      </c>
      <c r="N38" s="147">
        <v>603</v>
      </c>
      <c r="O38" s="147">
        <v>840</v>
      </c>
      <c r="P38" s="147">
        <v>1006</v>
      </c>
      <c r="Q38" s="118">
        <f>((P38/G38)^(1/($H$2-$H$1) ))-1</f>
        <v>0.36169478342531791</v>
      </c>
      <c r="R38" s="31">
        <f t="shared" si="6"/>
        <v>7.0000000000000007E-2</v>
      </c>
      <c r="S38" s="154">
        <f t="shared" ref="S38" si="93">P38*(1+$R38)</f>
        <v>1076.42</v>
      </c>
      <c r="T38" s="154">
        <f t="shared" ref="T38" si="94">S38*(1+$R38)</f>
        <v>1151.7694000000001</v>
      </c>
      <c r="U38" s="154">
        <f t="shared" ref="U38" si="95">T38*(1+$R38)</f>
        <v>1232.3932580000003</v>
      </c>
      <c r="V38" s="154">
        <f t="shared" ref="V38" si="96">U38*(1+$R38)</f>
        <v>1318.6607860600004</v>
      </c>
      <c r="W38" s="154">
        <f t="shared" ref="W38" si="97">V38*(1+$R38)</f>
        <v>1410.9670410842004</v>
      </c>
      <c r="X38" s="154">
        <f t="shared" ref="X38" si="98">W38*(1+$R38)</f>
        <v>1509.7347339600947</v>
      </c>
      <c r="Y38" s="154">
        <f t="shared" ref="Y38" si="99">X38*(1+$R38)</f>
        <v>1615.4161653373014</v>
      </c>
      <c r="Z38" s="154">
        <f t="shared" ref="Z38" si="100">Y38*(1+$R38)</f>
        <v>1728.4952969109127</v>
      </c>
      <c r="AA38" s="154">
        <f t="shared" ref="AA38" si="101">Z38*(1+$R38)</f>
        <v>1849.4899676946766</v>
      </c>
      <c r="AB38" s="154">
        <f t="shared" ref="AB38" si="102">AA38*(1+$R38)</f>
        <v>1978.954265433304</v>
      </c>
      <c r="AC38" s="138">
        <f t="shared" ref="AC38" si="103">((AB38/G38)^(1/($AB$3-$H$1) ))-1</f>
        <v>0.19943472473369006</v>
      </c>
      <c r="AD38" s="31">
        <f t="shared" si="17"/>
        <v>0.04</v>
      </c>
      <c r="AE38" s="146">
        <f t="shared" ref="AE38" si="104">(AB38*(1+AD38))/($C$1-AD38)</f>
        <v>18710.11305500579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:P39" si="105">(G38-F38)/G38</f>
        <v>1</v>
      </c>
      <c r="H39" s="148">
        <f t="shared" si="105"/>
        <v>0.11971830985915492</v>
      </c>
      <c r="I39" s="148">
        <f t="shared" si="105"/>
        <v>0.36607142857142855</v>
      </c>
      <c r="J39" s="148">
        <f t="shared" si="105"/>
        <v>0.24832214765100671</v>
      </c>
      <c r="K39" s="148">
        <f t="shared" si="105"/>
        <v>0.12865497076023391</v>
      </c>
      <c r="L39" s="148">
        <f t="shared" si="105"/>
        <v>0.24669603524229075</v>
      </c>
      <c r="M39" s="148">
        <f t="shared" si="105"/>
        <v>0.2884012539184953</v>
      </c>
      <c r="N39" s="148">
        <f t="shared" si="105"/>
        <v>0.47097844112769488</v>
      </c>
      <c r="O39" s="148">
        <f t="shared" si="105"/>
        <v>0.28214285714285714</v>
      </c>
      <c r="P39" s="148">
        <f t="shared" si="105"/>
        <v>0.16500994035785288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/>
      <c r="G40" s="147">
        <v>58</v>
      </c>
      <c r="H40" s="147">
        <v>64.5</v>
      </c>
      <c r="I40" s="147">
        <v>99</v>
      </c>
      <c r="J40" s="147">
        <v>111</v>
      </c>
      <c r="K40" s="147">
        <v>136</v>
      </c>
      <c r="L40" s="147">
        <v>164</v>
      </c>
      <c r="M40" s="147">
        <v>251</v>
      </c>
      <c r="N40" s="147">
        <v>433</v>
      </c>
      <c r="O40" s="147">
        <v>601</v>
      </c>
      <c r="P40" s="147">
        <v>725</v>
      </c>
      <c r="Q40" s="118">
        <f>((P40/G40)^(1/($H$2-$H$1) ))-1</f>
        <v>0.32397227377004589</v>
      </c>
      <c r="R40" s="31">
        <f t="shared" si="6"/>
        <v>7.0000000000000007E-2</v>
      </c>
      <c r="S40" s="154">
        <f>P40*(1+$R40)</f>
        <v>775.75</v>
      </c>
      <c r="T40" s="154">
        <f t="shared" ref="T40:AB40" si="106">S40*(1+$R40)</f>
        <v>830.05250000000001</v>
      </c>
      <c r="U40" s="154">
        <f t="shared" si="106"/>
        <v>888.15617500000008</v>
      </c>
      <c r="V40" s="154">
        <f t="shared" si="106"/>
        <v>950.32710725000015</v>
      </c>
      <c r="W40" s="154">
        <f t="shared" si="106"/>
        <v>1016.8500047575002</v>
      </c>
      <c r="X40" s="154">
        <f t="shared" si="106"/>
        <v>1088.0295050905252</v>
      </c>
      <c r="Y40" s="154">
        <f t="shared" si="106"/>
        <v>1164.191570446862</v>
      </c>
      <c r="Z40" s="154">
        <f t="shared" si="106"/>
        <v>1245.6849803781424</v>
      </c>
      <c r="AA40" s="154">
        <f t="shared" si="106"/>
        <v>1332.8829290046124</v>
      </c>
      <c r="AB40" s="154">
        <f t="shared" si="106"/>
        <v>1426.1847340349352</v>
      </c>
      <c r="AC40" s="138">
        <f t="shared" si="19"/>
        <v>0.18357900310430053</v>
      </c>
      <c r="AD40" s="31">
        <f t="shared" si="17"/>
        <v>0.04</v>
      </c>
      <c r="AE40" s="146">
        <f t="shared" si="1"/>
        <v>13483.928394512117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7">(H40-G40)/H40</f>
        <v>0.10077519379844961</v>
      </c>
      <c r="I41" s="148">
        <f t="shared" si="107"/>
        <v>0.34848484848484851</v>
      </c>
      <c r="J41" s="148">
        <f t="shared" si="107"/>
        <v>0.10810810810810811</v>
      </c>
      <c r="K41" s="148">
        <f t="shared" si="107"/>
        <v>0.18382352941176472</v>
      </c>
      <c r="L41" s="148">
        <f t="shared" si="107"/>
        <v>0.17073170731707318</v>
      </c>
      <c r="M41" s="148">
        <f t="shared" si="107"/>
        <v>0.34661354581673309</v>
      </c>
      <c r="N41" s="148">
        <f t="shared" si="107"/>
        <v>0.42032332563510394</v>
      </c>
      <c r="O41" s="148">
        <f t="shared" si="107"/>
        <v>0.27953410981697169</v>
      </c>
      <c r="P41" s="148">
        <f t="shared" si="107"/>
        <v>0.17103448275862068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87">
        <v>4.22</v>
      </c>
      <c r="H42" s="187">
        <v>4.22</v>
      </c>
      <c r="I42" s="187">
        <v>4.22</v>
      </c>
      <c r="J42" s="187">
        <v>4.43</v>
      </c>
      <c r="K42" s="187">
        <v>4.43</v>
      </c>
      <c r="L42" s="187">
        <v>4.43</v>
      </c>
      <c r="M42" s="187">
        <v>4.43</v>
      </c>
      <c r="N42" s="187">
        <v>4.43</v>
      </c>
      <c r="O42" s="187">
        <v>88.77</v>
      </c>
      <c r="P42" s="187">
        <v>88.77</v>
      </c>
      <c r="Q42" s="118">
        <f>((P42/G42)^(1/($H$2-$H$1) ))-1</f>
        <v>0.40279711233563908</v>
      </c>
      <c r="R42" s="31">
        <v>0.03</v>
      </c>
      <c r="S42" s="154">
        <f t="shared" ref="S42:S43" si="108">P42*(1+$R42)</f>
        <v>91.433099999999996</v>
      </c>
      <c r="T42" s="154">
        <f t="shared" ref="T42:AB42" si="109">S42*(1+$R42)</f>
        <v>94.176092999999995</v>
      </c>
      <c r="U42" s="154">
        <f t="shared" si="109"/>
        <v>97.001375789999997</v>
      </c>
      <c r="V42" s="154">
        <f t="shared" si="109"/>
        <v>99.9114170637</v>
      </c>
      <c r="W42" s="154">
        <f t="shared" si="109"/>
        <v>102.908759575611</v>
      </c>
      <c r="X42" s="154">
        <f t="shared" si="109"/>
        <v>105.99602236287933</v>
      </c>
      <c r="Y42" s="154">
        <f t="shared" si="109"/>
        <v>109.17590303376571</v>
      </c>
      <c r="Z42" s="154">
        <f t="shared" si="109"/>
        <v>112.45118012477869</v>
      </c>
      <c r="AA42" s="154">
        <f t="shared" si="109"/>
        <v>115.82471552852205</v>
      </c>
      <c r="AB42" s="154">
        <f t="shared" si="109"/>
        <v>119.29945699437771</v>
      </c>
      <c r="AC42" s="138">
        <f t="shared" si="19"/>
        <v>0.19230009837596906</v>
      </c>
      <c r="AD42" s="31">
        <f t="shared" si="17"/>
        <v>0.04</v>
      </c>
      <c r="AE42" s="146">
        <f t="shared" si="1"/>
        <v>1127.9221388559349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1</v>
      </c>
      <c r="H43" s="147">
        <v>2</v>
      </c>
      <c r="I43" s="147">
        <v>3</v>
      </c>
      <c r="J43" s="147">
        <v>5</v>
      </c>
      <c r="K43" s="147">
        <v>8</v>
      </c>
      <c r="L43" s="147">
        <v>10</v>
      </c>
      <c r="M43" s="147">
        <v>15</v>
      </c>
      <c r="N43" s="147">
        <v>25</v>
      </c>
      <c r="O43" s="147">
        <v>1.75</v>
      </c>
      <c r="P43" s="147">
        <v>2.1</v>
      </c>
      <c r="Q43" s="118">
        <f>((P43/G43)^(1/($H$2-$H$1) ))-1</f>
        <v>8.5930781908219123E-2</v>
      </c>
      <c r="R43" s="31">
        <v>0.05</v>
      </c>
      <c r="S43" s="154">
        <f t="shared" si="108"/>
        <v>2.2050000000000001</v>
      </c>
      <c r="T43" s="154">
        <f t="shared" ref="T43" si="110">S43*(1+$R43)</f>
        <v>2.3152500000000003</v>
      </c>
      <c r="U43" s="154">
        <f t="shared" ref="U43" si="111">T43*(1+$R43)</f>
        <v>2.4310125000000005</v>
      </c>
      <c r="V43" s="154">
        <f t="shared" ref="V43" si="112">U43*(1+$R43)</f>
        <v>2.5525631250000007</v>
      </c>
      <c r="W43" s="154">
        <f t="shared" ref="W43" si="113">V43*(1+$R43)</f>
        <v>2.6801912812500008</v>
      </c>
      <c r="X43" s="154">
        <f t="shared" ref="X43" si="114">W43*(1+$R43)</f>
        <v>2.8142008453125009</v>
      </c>
      <c r="Y43" s="154">
        <f t="shared" ref="Y43" si="115">X43*(1+$R43)</f>
        <v>2.954910887578126</v>
      </c>
      <c r="Z43" s="154">
        <f t="shared" ref="Z43" si="116">Y43*(1+$R43)</f>
        <v>3.1026564319570324</v>
      </c>
      <c r="AA43" s="154">
        <f t="shared" ref="AA43" si="117">Z43*(1+$R43)</f>
        <v>3.257789253554884</v>
      </c>
      <c r="AB43" s="154">
        <f t="shared" ref="AB43" si="118">AA43*(1+$R43)</f>
        <v>3.4206787162326284</v>
      </c>
      <c r="AC43" s="138">
        <f t="shared" ref="AC43" si="119">((AB43/G43)^(1/($AB$3-$H$1) ))-1</f>
        <v>6.6869188897002108E-2</v>
      </c>
      <c r="AD43" s="31">
        <f t="shared" si="17"/>
        <v>0.04</v>
      </c>
      <c r="AE43" s="146">
        <f t="shared" si="1"/>
        <v>32.340962408017582</v>
      </c>
    </row>
    <row r="44" spans="2:31" x14ac:dyDescent="0.2">
      <c r="B44" s="20" t="s">
        <v>426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50">
        <v>0</v>
      </c>
      <c r="K44" s="147">
        <v>0</v>
      </c>
      <c r="L44" s="150">
        <v>0</v>
      </c>
      <c r="M44" s="150">
        <v>0</v>
      </c>
      <c r="N44" s="150">
        <v>0</v>
      </c>
      <c r="O44" s="147" t="s">
        <v>429</v>
      </c>
      <c r="P44" s="150">
        <v>0</v>
      </c>
      <c r="Q44" s="150">
        <v>0</v>
      </c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424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50">
        <v>0</v>
      </c>
      <c r="K45" s="147">
        <v>0</v>
      </c>
      <c r="L45" s="150">
        <v>0</v>
      </c>
      <c r="M45" s="150">
        <v>0</v>
      </c>
      <c r="N45" s="150">
        <v>0</v>
      </c>
      <c r="O45" s="147" t="s">
        <v>427</v>
      </c>
      <c r="P45" s="150">
        <v>0</v>
      </c>
      <c r="Q45" s="150">
        <v>0</v>
      </c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 t="s">
        <v>428</v>
      </c>
      <c r="J46" s="150">
        <v>0</v>
      </c>
      <c r="K46" s="147">
        <v>0</v>
      </c>
      <c r="L46" s="150">
        <v>0</v>
      </c>
      <c r="M46" s="150">
        <v>0</v>
      </c>
      <c r="N46" s="150">
        <v>0</v>
      </c>
      <c r="O46" s="147">
        <v>0</v>
      </c>
      <c r="P46" s="150">
        <v>0</v>
      </c>
      <c r="Q46" s="150">
        <v>0</v>
      </c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20">C25/C42</f>
        <v>0</v>
      </c>
      <c r="D49" s="133">
        <f t="shared" si="120"/>
        <v>0</v>
      </c>
      <c r="E49" s="133">
        <f t="shared" si="120"/>
        <v>0</v>
      </c>
      <c r="F49" s="133">
        <f t="shared" si="120"/>
        <v>0</v>
      </c>
      <c r="G49" s="133">
        <f t="shared" si="120"/>
        <v>230.33175355450237</v>
      </c>
      <c r="H49" s="133">
        <f t="shared" si="120"/>
        <v>279.38388625592421</v>
      </c>
      <c r="I49" s="133">
        <f t="shared" si="120"/>
        <v>356.87203791469199</v>
      </c>
      <c r="J49" s="133">
        <f t="shared" si="120"/>
        <v>523.92776523702037</v>
      </c>
      <c r="K49" s="133">
        <f t="shared" si="120"/>
        <v>739.50338600451471</v>
      </c>
      <c r="L49" s="133">
        <f t="shared" si="120"/>
        <v>899.32279909706551</v>
      </c>
      <c r="M49" s="133">
        <f t="shared" si="120"/>
        <v>1083.7471783295712</v>
      </c>
      <c r="N49" s="133">
        <f t="shared" si="120"/>
        <v>1600</v>
      </c>
      <c r="O49" s="133">
        <f t="shared" si="120"/>
        <v>109.19229469415343</v>
      </c>
      <c r="P49" s="133">
        <f t="shared" si="120"/>
        <v>124.33254477864143</v>
      </c>
      <c r="Q49" s="118">
        <f>((P49/G49)^(1/($H$2-$H$1) ))-1</f>
        <v>-6.6212857270064207E-2</v>
      </c>
      <c r="R49" s="128"/>
      <c r="S49" s="158">
        <f t="shared" ref="S49:AB49" si="121">S25/S42</f>
        <v>129.16099311955955</v>
      </c>
      <c r="T49" s="158">
        <f t="shared" si="121"/>
        <v>134.17695401740653</v>
      </c>
      <c r="U49" s="158">
        <f t="shared" si="121"/>
        <v>139.38770951322815</v>
      </c>
      <c r="V49" s="158">
        <f t="shared" si="121"/>
        <v>144.80082444578068</v>
      </c>
      <c r="W49" s="158">
        <f t="shared" si="121"/>
        <v>150.42415743396637</v>
      </c>
      <c r="X49" s="158">
        <f t="shared" si="121"/>
        <v>156.26587228577091</v>
      </c>
      <c r="Y49" s="158">
        <f t="shared" si="121"/>
        <v>162.33444985026688</v>
      </c>
      <c r="Z49" s="158">
        <f t="shared" si="121"/>
        <v>168.63870032988891</v>
      </c>
      <c r="AA49" s="158">
        <f t="shared" si="121"/>
        <v>175.18777607085545</v>
      </c>
      <c r="AB49" s="158">
        <f t="shared" si="121"/>
        <v>181.99118485030618</v>
      </c>
      <c r="AC49" s="138">
        <f t="shared" ref="AC49" si="122">((AB49/G49)^(1/($AB$3-$H$1) ))-1</f>
        <v>-1.2321483546368417E-2</v>
      </c>
      <c r="AD49" s="31">
        <f t="shared" si="17"/>
        <v>0.04</v>
      </c>
      <c r="AE49" s="146">
        <f t="shared" ref="AE49:AE50" si="123">(AB49*(1+AD49))/($C$1-AD49)</f>
        <v>1720.6439294938041</v>
      </c>
    </row>
    <row r="50" spans="2:31" x14ac:dyDescent="0.2">
      <c r="B50" s="20" t="s">
        <v>304</v>
      </c>
      <c r="C50" s="133">
        <f t="shared" ref="C50:P50" si="124">C27/C42</f>
        <v>0</v>
      </c>
      <c r="D50" s="133">
        <f t="shared" si="124"/>
        <v>0</v>
      </c>
      <c r="E50" s="133">
        <f t="shared" si="124"/>
        <v>0</v>
      </c>
      <c r="F50" s="133">
        <f t="shared" si="124"/>
        <v>0</v>
      </c>
      <c r="G50" s="133">
        <f t="shared" si="124"/>
        <v>200</v>
      </c>
      <c r="H50" s="133">
        <f t="shared" si="124"/>
        <v>248.5781990521327</v>
      </c>
      <c r="I50" s="133">
        <f t="shared" si="124"/>
        <v>318.957345971564</v>
      </c>
      <c r="J50" s="133">
        <f t="shared" si="124"/>
        <v>477.87810383747183</v>
      </c>
      <c r="K50" s="133">
        <f t="shared" si="124"/>
        <v>688.71331828442442</v>
      </c>
      <c r="L50" s="133">
        <f t="shared" si="124"/>
        <v>829.57110609480821</v>
      </c>
      <c r="M50" s="133">
        <f t="shared" si="124"/>
        <v>991.64785553047409</v>
      </c>
      <c r="N50" s="133">
        <f t="shared" si="124"/>
        <v>1448.0812641083523</v>
      </c>
      <c r="O50" s="133">
        <f t="shared" si="124"/>
        <v>98.715782358905045</v>
      </c>
      <c r="P50" s="133">
        <f t="shared" si="124"/>
        <v>111.78326011039766</v>
      </c>
      <c r="Q50" s="118">
        <f>((P50/G50)^(1/($H$2-$H$1) ))-1</f>
        <v>-6.2594667873679288E-2</v>
      </c>
      <c r="R50" s="128"/>
      <c r="S50" s="158">
        <f t="shared" ref="S50:AB50" si="125">S27/S42</f>
        <v>116.12435759041311</v>
      </c>
      <c r="T50" s="158">
        <f t="shared" si="125"/>
        <v>120.63404138033208</v>
      </c>
      <c r="U50" s="158">
        <f t="shared" si="125"/>
        <v>125.31885852131583</v>
      </c>
      <c r="V50" s="158">
        <f t="shared" si="125"/>
        <v>130.18561030855142</v>
      </c>
      <c r="W50" s="158">
        <f t="shared" si="125"/>
        <v>135.2413621651942</v>
      </c>
      <c r="X50" s="158">
        <f t="shared" si="125"/>
        <v>140.49345389976486</v>
      </c>
      <c r="Y50" s="158">
        <f t="shared" si="125"/>
        <v>145.94951036189167</v>
      </c>
      <c r="Z50" s="158">
        <f t="shared" si="125"/>
        <v>151.61745251186804</v>
      </c>
      <c r="AA50" s="158">
        <f t="shared" si="125"/>
        <v>157.50550892009593</v>
      </c>
      <c r="AB50" s="158">
        <f t="shared" si="125"/>
        <v>163.6222277131094</v>
      </c>
      <c r="AC50" s="138">
        <f t="shared" ref="AC50" si="126">((AB50/G50)^(1/($AB$3-$H$1) ))-1</f>
        <v>-1.0510536584681152E-2</v>
      </c>
      <c r="AD50" s="31">
        <f t="shared" si="17"/>
        <v>0.04</v>
      </c>
      <c r="AE50" s="146">
        <f t="shared" si="123"/>
        <v>1546.9737892875801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27">C40/C42</f>
        <v>0</v>
      </c>
      <c r="D52" s="25">
        <f t="shared" si="127"/>
        <v>0</v>
      </c>
      <c r="E52" s="25">
        <f t="shared" si="127"/>
        <v>0</v>
      </c>
      <c r="F52" s="133">
        <f t="shared" si="127"/>
        <v>0</v>
      </c>
      <c r="G52" s="133">
        <f t="shared" si="127"/>
        <v>13.744075829383887</v>
      </c>
      <c r="H52" s="133">
        <f t="shared" si="127"/>
        <v>15.28436018957346</v>
      </c>
      <c r="I52" s="133">
        <f t="shared" si="127"/>
        <v>23.45971563981043</v>
      </c>
      <c r="J52" s="133">
        <f t="shared" si="127"/>
        <v>25.056433408577881</v>
      </c>
      <c r="K52" s="133">
        <f t="shared" si="127"/>
        <v>30.69977426636569</v>
      </c>
      <c r="L52" s="133">
        <f t="shared" si="127"/>
        <v>37.020316027088036</v>
      </c>
      <c r="M52" s="133">
        <f t="shared" si="127"/>
        <v>56.659142212189622</v>
      </c>
      <c r="N52" s="133">
        <f t="shared" si="127"/>
        <v>97.742663656884886</v>
      </c>
      <c r="O52" s="133">
        <f t="shared" si="127"/>
        <v>6.7703052833164357</v>
      </c>
      <c r="P52" s="133">
        <f t="shared" si="127"/>
        <v>8.1671735946828896</v>
      </c>
      <c r="Q52" s="118">
        <f>((P52/G52)^(1/($H$2-$H$1) ))-1</f>
        <v>-5.6191189639926531E-2</v>
      </c>
      <c r="R52" s="128"/>
      <c r="S52" s="158">
        <f t="shared" ref="S52:AB52" si="128">S40/S42</f>
        <v>8.4843453847676606</v>
      </c>
      <c r="T52" s="158">
        <f t="shared" si="128"/>
        <v>8.8138345259236868</v>
      </c>
      <c r="U52" s="158">
        <f t="shared" si="128"/>
        <v>9.1561193618818884</v>
      </c>
      <c r="V52" s="158">
        <f t="shared" si="128"/>
        <v>9.5116968128287596</v>
      </c>
      <c r="W52" s="158">
        <f t="shared" si="128"/>
        <v>9.8810830968221079</v>
      </c>
      <c r="X52" s="158">
        <f t="shared" si="128"/>
        <v>10.264814479222967</v>
      </c>
      <c r="Y52" s="158">
        <f t="shared" si="128"/>
        <v>10.663448051231628</v>
      </c>
      <c r="Z52" s="158">
        <f t="shared" si="128"/>
        <v>11.077562538658098</v>
      </c>
      <c r="AA52" s="158">
        <f t="shared" si="128"/>
        <v>11.507759142101131</v>
      </c>
      <c r="AB52" s="158">
        <f t="shared" si="128"/>
        <v>11.954662409755544</v>
      </c>
      <c r="AC52" s="138">
        <f t="shared" ref="AC52:AC66" si="129">((AB52/G52)^(1/($AB$3-$H$1) ))-1</f>
        <v>-7.3145135889425283E-3</v>
      </c>
      <c r="AD52" s="31">
        <f t="shared" si="17"/>
        <v>0.04</v>
      </c>
      <c r="AE52" s="146">
        <f t="shared" ref="AE52:AE80" si="130">(AB52*(1+AD52))/($C$1-AD52)</f>
        <v>113.02589914677971</v>
      </c>
    </row>
    <row r="53" spans="2:31" x14ac:dyDescent="0.2">
      <c r="B53" s="20" t="s">
        <v>388</v>
      </c>
      <c r="C53" s="133">
        <f t="shared" ref="C53:F53" si="131">C20/C42</f>
        <v>0</v>
      </c>
      <c r="D53" s="133">
        <f t="shared" si="131"/>
        <v>0</v>
      </c>
      <c r="E53" s="133">
        <f t="shared" si="131"/>
        <v>0</v>
      </c>
      <c r="F53" s="133">
        <f t="shared" si="131"/>
        <v>0</v>
      </c>
      <c r="G53" s="133">
        <f>G20/G42</f>
        <v>27.251184834123226</v>
      </c>
      <c r="H53" s="133">
        <f t="shared" ref="H53:P53" si="132">H20/H42</f>
        <v>38.862559241706165</v>
      </c>
      <c r="I53" s="133">
        <f t="shared" si="132"/>
        <v>28.909952606635073</v>
      </c>
      <c r="J53" s="133">
        <f t="shared" si="132"/>
        <v>28.442437923250566</v>
      </c>
      <c r="K53" s="133">
        <f t="shared" si="132"/>
        <v>23.024830699774267</v>
      </c>
      <c r="L53" s="133">
        <f t="shared" si="132"/>
        <v>35.891647855530479</v>
      </c>
      <c r="M53" s="133">
        <f t="shared" si="132"/>
        <v>77.200902934537254</v>
      </c>
      <c r="N53" s="133">
        <f t="shared" si="132"/>
        <v>231.37697516930024</v>
      </c>
      <c r="O53" s="133">
        <f t="shared" si="132"/>
        <v>1.7686155232623635</v>
      </c>
      <c r="P53" s="133">
        <f t="shared" si="132"/>
        <v>5.1030753632984123</v>
      </c>
      <c r="Q53" s="118">
        <f>((P53/G53)^(1/($H$2-$H$1) ))-1</f>
        <v>-0.16984204760985167</v>
      </c>
      <c r="R53" s="128"/>
      <c r="S53" s="133">
        <f t="shared" ref="S53:AB53" si="133">S20/S42</f>
        <v>5.3012530473100012</v>
      </c>
      <c r="T53" s="133">
        <f t="shared" si="133"/>
        <v>5.5071269520599042</v>
      </c>
      <c r="U53" s="133">
        <f t="shared" si="133"/>
        <v>5.7209959599068911</v>
      </c>
      <c r="V53" s="133">
        <f t="shared" si="133"/>
        <v>5.9431705602916249</v>
      </c>
      <c r="W53" s="133">
        <f t="shared" si="133"/>
        <v>6.1739733004971242</v>
      </c>
      <c r="X53" s="133">
        <f t="shared" si="133"/>
        <v>6.4137392539144891</v>
      </c>
      <c r="Y53" s="133">
        <f t="shared" si="133"/>
        <v>6.6628165064936926</v>
      </c>
      <c r="Z53" s="133">
        <f t="shared" si="133"/>
        <v>6.9215666620856808</v>
      </c>
      <c r="AA53" s="133">
        <f t="shared" si="133"/>
        <v>7.190365367409397</v>
      </c>
      <c r="AB53" s="133">
        <f t="shared" si="133"/>
        <v>7.4696028574058797</v>
      </c>
      <c r="AC53" s="138">
        <f t="shared" ref="AC53" si="134">((AB53/G53)^(1/($AB$3-$H$1) ))-1</f>
        <v>-6.5850410049492103E-2</v>
      </c>
      <c r="AD53" s="31">
        <f t="shared" si="17"/>
        <v>0.04</v>
      </c>
      <c r="AE53" s="146">
        <f t="shared" si="130"/>
        <v>70.6216997427465</v>
      </c>
    </row>
    <row r="54" spans="2:31" x14ac:dyDescent="0.2">
      <c r="B54" s="20" t="s">
        <v>245</v>
      </c>
      <c r="C54" s="25">
        <f t="shared" ref="C54:P54" si="135">C7/C42</f>
        <v>0</v>
      </c>
      <c r="D54" s="25">
        <f t="shared" si="135"/>
        <v>0</v>
      </c>
      <c r="E54" s="25">
        <f t="shared" si="135"/>
        <v>0</v>
      </c>
      <c r="F54" s="133">
        <f t="shared" si="135"/>
        <v>0</v>
      </c>
      <c r="G54" s="133">
        <f t="shared" si="135"/>
        <v>39.33649289099526</v>
      </c>
      <c r="H54" s="133">
        <f t="shared" si="135"/>
        <v>41.232227488151658</v>
      </c>
      <c r="I54" s="133">
        <f t="shared" si="135"/>
        <v>55.924170616113749</v>
      </c>
      <c r="J54" s="133">
        <f t="shared" si="135"/>
        <v>76.07223476297969</v>
      </c>
      <c r="K54" s="133">
        <f t="shared" si="135"/>
        <v>100.45146726862303</v>
      </c>
      <c r="L54" s="133">
        <f t="shared" si="135"/>
        <v>125.95936794582394</v>
      </c>
      <c r="M54" s="133">
        <f t="shared" si="135"/>
        <v>165.2370203160271</v>
      </c>
      <c r="N54" s="133">
        <f t="shared" si="135"/>
        <v>233.63431151241537</v>
      </c>
      <c r="O54" s="133">
        <f t="shared" si="135"/>
        <v>16.458262926664414</v>
      </c>
      <c r="P54" s="133">
        <f t="shared" si="135"/>
        <v>22.180916976456011</v>
      </c>
      <c r="Q54" s="118">
        <f>((P54/G54)^(1/($H$2-$H$1) ))-1</f>
        <v>-6.1673974488893335E-2</v>
      </c>
      <c r="R54" s="128"/>
      <c r="S54" s="158">
        <f t="shared" ref="S54:AB54" si="136">S7/S42</f>
        <v>23.042311810493135</v>
      </c>
      <c r="T54" s="158">
        <f t="shared" si="136"/>
        <v>23.937158871094816</v>
      </c>
      <c r="U54" s="158">
        <f t="shared" si="136"/>
        <v>24.866757273855779</v>
      </c>
      <c r="V54" s="158">
        <f t="shared" si="136"/>
        <v>25.832456585461831</v>
      </c>
      <c r="W54" s="158">
        <f t="shared" si="136"/>
        <v>26.835658782955495</v>
      </c>
      <c r="X54" s="158">
        <f t="shared" si="136"/>
        <v>27.877820289089687</v>
      </c>
      <c r="Y54" s="158">
        <f t="shared" si="136"/>
        <v>28.960454086724241</v>
      </c>
      <c r="Z54" s="158">
        <f t="shared" si="136"/>
        <v>30.085131915334891</v>
      </c>
      <c r="AA54" s="158">
        <f t="shared" si="136"/>
        <v>31.253486552823627</v>
      </c>
      <c r="AB54" s="158">
        <f t="shared" si="136"/>
        <v>32.467214185942993</v>
      </c>
      <c r="AC54" s="138">
        <f t="shared" si="129"/>
        <v>-1.005030599963852E-2</v>
      </c>
      <c r="AD54" s="31">
        <f t="shared" si="17"/>
        <v>0.04</v>
      </c>
      <c r="AE54" s="146">
        <f t="shared" si="130"/>
        <v>306.96275230346106</v>
      </c>
    </row>
    <row r="55" spans="2:31" x14ac:dyDescent="0.2">
      <c r="B55" s="20" t="s">
        <v>246</v>
      </c>
      <c r="C55" s="127">
        <f t="shared" ref="C55:P55" si="137">C6/C42</f>
        <v>0</v>
      </c>
      <c r="D55" s="127">
        <f t="shared" si="137"/>
        <v>0</v>
      </c>
      <c r="E55" s="127">
        <f t="shared" si="137"/>
        <v>0</v>
      </c>
      <c r="F55" s="144">
        <f t="shared" si="137"/>
        <v>0</v>
      </c>
      <c r="G55" s="144">
        <f t="shared" si="137"/>
        <v>19.66824644549763</v>
      </c>
      <c r="H55" s="144">
        <f t="shared" si="137"/>
        <v>21.563981042654028</v>
      </c>
      <c r="I55" s="144">
        <f t="shared" si="137"/>
        <v>36.492890995260666</v>
      </c>
      <c r="J55" s="144">
        <f t="shared" si="137"/>
        <v>66.139954853273139</v>
      </c>
      <c r="K55" s="144">
        <f t="shared" si="137"/>
        <v>90.519187358916483</v>
      </c>
      <c r="L55" s="144">
        <f t="shared" si="137"/>
        <v>115.80135440180588</v>
      </c>
      <c r="M55" s="144">
        <f t="shared" si="137"/>
        <v>155.07900677200905</v>
      </c>
      <c r="N55" s="144">
        <f t="shared" si="137"/>
        <v>223.70203160270881</v>
      </c>
      <c r="O55" s="144">
        <f t="shared" si="137"/>
        <v>15.45567196124817</v>
      </c>
      <c r="P55" s="144">
        <f t="shared" si="137"/>
        <v>21.189591078066915</v>
      </c>
      <c r="Q55" s="118">
        <f>((P55/G55)^(1/($H$2-$H$1) ))-1</f>
        <v>8.3126480509938538E-3</v>
      </c>
      <c r="R55" s="128"/>
      <c r="S55" s="157">
        <f t="shared" ref="S55:AB55" si="138">S6/S42</f>
        <v>22.012487818962718</v>
      </c>
      <c r="T55" s="157">
        <f t="shared" si="138"/>
        <v>22.867341714844766</v>
      </c>
      <c r="U55" s="157">
        <f t="shared" si="138"/>
        <v>23.755393820275629</v>
      </c>
      <c r="V55" s="157">
        <f t="shared" si="138"/>
        <v>24.677933386111576</v>
      </c>
      <c r="W55" s="157">
        <f t="shared" si="138"/>
        <v>25.636299731203291</v>
      </c>
      <c r="X55" s="157">
        <f t="shared" si="138"/>
        <v>26.631884186784003</v>
      </c>
      <c r="Y55" s="157">
        <f t="shared" si="138"/>
        <v>27.666132116367852</v>
      </c>
      <c r="Z55" s="157">
        <f t="shared" si="138"/>
        <v>28.740545014090873</v>
      </c>
      <c r="AA55" s="157">
        <f t="shared" si="138"/>
        <v>29.856682684541006</v>
      </c>
      <c r="AB55" s="157">
        <f t="shared" si="138"/>
        <v>31.016165507241631</v>
      </c>
      <c r="AC55" s="138">
        <f t="shared" si="129"/>
        <v>2.426352802446119E-2</v>
      </c>
      <c r="AD55" s="31">
        <f t="shared" si="17"/>
        <v>0.04</v>
      </c>
      <c r="AE55" s="146">
        <f t="shared" si="130"/>
        <v>293.24374661392091</v>
      </c>
    </row>
    <row r="56" spans="2:31" x14ac:dyDescent="0.2">
      <c r="B56" s="20" t="s">
        <v>247</v>
      </c>
      <c r="C56" s="127">
        <f t="shared" ref="C56:P56" si="139">C10/C42</f>
        <v>0</v>
      </c>
      <c r="D56" s="127">
        <f t="shared" si="139"/>
        <v>0</v>
      </c>
      <c r="E56" s="127">
        <f t="shared" si="139"/>
        <v>0</v>
      </c>
      <c r="F56" s="144">
        <f t="shared" si="139"/>
        <v>0</v>
      </c>
      <c r="G56" s="144">
        <f t="shared" si="139"/>
        <v>96.445497630331758</v>
      </c>
      <c r="H56" s="144">
        <f t="shared" si="139"/>
        <v>75.592417061611386</v>
      </c>
      <c r="I56" s="144">
        <f t="shared" si="139"/>
        <v>63.507109004739341</v>
      </c>
      <c r="J56" s="144">
        <f t="shared" si="139"/>
        <v>55.756207674943568</v>
      </c>
      <c r="K56" s="144">
        <f t="shared" si="139"/>
        <v>47.404063205417607</v>
      </c>
      <c r="L56" s="144">
        <f t="shared" si="139"/>
        <v>37.471783295711063</v>
      </c>
      <c r="M56" s="144">
        <f t="shared" si="139"/>
        <v>16.478555304740407</v>
      </c>
      <c r="N56" s="144">
        <f t="shared" si="139"/>
        <v>2.234762979683973</v>
      </c>
      <c r="O56" s="144">
        <f t="shared" si="139"/>
        <v>6.6351244789906505E-2</v>
      </c>
      <c r="P56" s="144">
        <f t="shared" si="139"/>
        <v>1.1265067027148812E-4</v>
      </c>
      <c r="Q56" s="118">
        <f>((P56/G56)^(1/($H$2-$H$1) ))-1</f>
        <v>-0.78080634412339633</v>
      </c>
      <c r="R56" s="128"/>
      <c r="S56" s="157">
        <f t="shared" ref="S56:AB56" si="140">S10/S42</f>
        <v>1.1702545358300224E-4</v>
      </c>
      <c r="T56" s="157">
        <f t="shared" si="140"/>
        <v>1.2157013139205087E-4</v>
      </c>
      <c r="U56" s="157">
        <f t="shared" si="140"/>
        <v>1.2629130154319848E-4</v>
      </c>
      <c r="V56" s="157">
        <f t="shared" si="140"/>
        <v>1.3119581810798291E-4</v>
      </c>
      <c r="W56" s="157">
        <f t="shared" si="140"/>
        <v>1.362908013354774E-4</v>
      </c>
      <c r="X56" s="157">
        <f t="shared" si="140"/>
        <v>1.4158364798928235E-4</v>
      </c>
      <c r="Y56" s="157">
        <f t="shared" si="140"/>
        <v>1.4708204208595352E-4</v>
      </c>
      <c r="Z56" s="157">
        <f t="shared" si="140"/>
        <v>1.5279396605045659E-4</v>
      </c>
      <c r="AA56" s="157">
        <f t="shared" si="140"/>
        <v>1.5872771230484323E-4</v>
      </c>
      <c r="AB56" s="157">
        <f t="shared" si="140"/>
        <v>1.6489189530697308E-4</v>
      </c>
      <c r="AC56" s="138">
        <f t="shared" si="129"/>
        <v>-0.50287073000520122</v>
      </c>
      <c r="AD56" s="31">
        <f t="shared" si="17"/>
        <v>0.04</v>
      </c>
      <c r="AE56" s="146">
        <f t="shared" si="130"/>
        <v>1.5589779192659277E-3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41">(C7-C10)/C42</f>
        <v>0</v>
      </c>
      <c r="D58" s="127">
        <f t="shared" si="141"/>
        <v>0</v>
      </c>
      <c r="E58" s="127">
        <f t="shared" si="141"/>
        <v>0</v>
      </c>
      <c r="F58" s="144">
        <f t="shared" si="141"/>
        <v>0</v>
      </c>
      <c r="G58" s="144">
        <f t="shared" si="141"/>
        <v>-57.109004739336498</v>
      </c>
      <c r="H58" s="144">
        <f t="shared" si="141"/>
        <v>-34.360189573459721</v>
      </c>
      <c r="I58" s="144">
        <f t="shared" si="141"/>
        <v>-7.5829383886255926</v>
      </c>
      <c r="J58" s="144">
        <f t="shared" si="141"/>
        <v>20.316027088036119</v>
      </c>
      <c r="K58" s="144">
        <f t="shared" si="141"/>
        <v>53.04740406320542</v>
      </c>
      <c r="L58" s="144">
        <f t="shared" si="141"/>
        <v>88.487584650112879</v>
      </c>
      <c r="M58" s="144">
        <f t="shared" si="141"/>
        <v>148.75846501128669</v>
      </c>
      <c r="N58" s="144">
        <f t="shared" si="141"/>
        <v>231.39954853273136</v>
      </c>
      <c r="O58" s="144">
        <f t="shared" si="141"/>
        <v>16.391911681874507</v>
      </c>
      <c r="P58" s="144">
        <f t="shared" si="141"/>
        <v>22.18080432578574</v>
      </c>
      <c r="Q58" s="118">
        <f>((P58/G58)^(1/($H$2-$H$1) ))-1</f>
        <v>-1.9002510430364035</v>
      </c>
      <c r="R58" s="128"/>
      <c r="S58" s="157">
        <f t="shared" ref="S58:AB58" si="142">(S7-S10)/S42</f>
        <v>23.042194785039555</v>
      </c>
      <c r="T58" s="157">
        <f t="shared" si="142"/>
        <v>23.937037300963421</v>
      </c>
      <c r="U58" s="157">
        <f t="shared" si="142"/>
        <v>24.866630982554231</v>
      </c>
      <c r="V58" s="157">
        <f t="shared" si="142"/>
        <v>25.832325389643721</v>
      </c>
      <c r="W58" s="157">
        <f t="shared" si="142"/>
        <v>26.835522492154158</v>
      </c>
      <c r="X58" s="157">
        <f t="shared" si="142"/>
        <v>27.877678705441699</v>
      </c>
      <c r="Y58" s="157">
        <f t="shared" si="142"/>
        <v>28.960307004682154</v>
      </c>
      <c r="Z58" s="157">
        <f t="shared" si="142"/>
        <v>30.084979121368843</v>
      </c>
      <c r="AA58" s="157">
        <f t="shared" si="142"/>
        <v>31.253327825111324</v>
      </c>
      <c r="AB58" s="157">
        <f t="shared" si="142"/>
        <v>32.46704929404769</v>
      </c>
      <c r="AC58" s="138">
        <f t="shared" si="129"/>
        <v>-1.9707144302637556</v>
      </c>
      <c r="AD58" s="31">
        <f t="shared" si="17"/>
        <v>0.04</v>
      </c>
      <c r="AE58" s="146">
        <f t="shared" si="130"/>
        <v>306.96119332554184</v>
      </c>
    </row>
    <row r="59" spans="2:31" x14ac:dyDescent="0.2">
      <c r="B59" s="20" t="s">
        <v>271</v>
      </c>
      <c r="C59" s="127">
        <f t="shared" ref="C59:P59" si="143">(C7-C10-C9)/C42</f>
        <v>0</v>
      </c>
      <c r="D59" s="127">
        <f t="shared" si="143"/>
        <v>0</v>
      </c>
      <c r="E59" s="127">
        <f t="shared" si="143"/>
        <v>0</v>
      </c>
      <c r="F59" s="144">
        <f t="shared" si="143"/>
        <v>0</v>
      </c>
      <c r="G59" s="144">
        <f t="shared" si="143"/>
        <v>-108.0568720379147</v>
      </c>
      <c r="H59" s="144">
        <f t="shared" si="143"/>
        <v>-102.60663507109005</v>
      </c>
      <c r="I59" s="144">
        <f t="shared" si="143"/>
        <v>-94.549763033175367</v>
      </c>
      <c r="J59" s="144">
        <f t="shared" si="143"/>
        <v>-109.25507900677202</v>
      </c>
      <c r="K59" s="144">
        <f t="shared" si="143"/>
        <v>-144.46952595936796</v>
      </c>
      <c r="L59" s="144">
        <f t="shared" si="143"/>
        <v>-129.11963882618511</v>
      </c>
      <c r="M59" s="144">
        <f t="shared" si="143"/>
        <v>-118.05869074492099</v>
      </c>
      <c r="N59" s="144">
        <f t="shared" si="143"/>
        <v>-330.9029345372461</v>
      </c>
      <c r="O59" s="144">
        <f t="shared" si="143"/>
        <v>-16.862566182268786</v>
      </c>
      <c r="P59" s="144">
        <f t="shared" si="143"/>
        <v>-17.866508955728289</v>
      </c>
      <c r="Q59" s="118">
        <f>((P59/G59)^(1/($H$2-$H$1) ))-1</f>
        <v>-0.18124465999569517</v>
      </c>
      <c r="R59" s="128"/>
      <c r="S59" s="157">
        <f t="shared" ref="S59:AB59" si="144">(S7-S10-S9)/S42</f>
        <v>-18.560353963717738</v>
      </c>
      <c r="T59" s="157">
        <f t="shared" si="144"/>
        <v>-19.281144408910663</v>
      </c>
      <c r="U59" s="157">
        <f t="shared" si="144"/>
        <v>-20.029926716052827</v>
      </c>
      <c r="V59" s="157">
        <f t="shared" si="144"/>
        <v>-20.807787947744202</v>
      </c>
      <c r="W59" s="157">
        <f t="shared" si="144"/>
        <v>-21.615857382608056</v>
      </c>
      <c r="X59" s="157">
        <f t="shared" si="144"/>
        <v>-22.455308154748177</v>
      </c>
      <c r="Y59" s="157">
        <f t="shared" si="144"/>
        <v>-23.327358956874324</v>
      </c>
      <c r="Z59" s="157">
        <f t="shared" si="144"/>
        <v>-24.233275809568472</v>
      </c>
      <c r="AA59" s="157">
        <f t="shared" si="144"/>
        <v>-25.174373899260456</v>
      </c>
      <c r="AB59" s="157">
        <f t="shared" si="144"/>
        <v>-26.152019487581256</v>
      </c>
      <c r="AC59" s="138">
        <f t="shared" si="129"/>
        <v>-7.1950369680109261E-2</v>
      </c>
      <c r="AD59" s="31">
        <f t="shared" si="17"/>
        <v>0.04</v>
      </c>
      <c r="AE59" s="146">
        <f t="shared" si="130"/>
        <v>-247.25545697349557</v>
      </c>
    </row>
    <row r="60" spans="2:31" x14ac:dyDescent="0.2">
      <c r="B60" s="20" t="s">
        <v>276</v>
      </c>
      <c r="C60" s="127">
        <f t="shared" ref="C60:P60" si="145">(C7+C15-C10-C9)/C42</f>
        <v>0</v>
      </c>
      <c r="D60" s="127">
        <f t="shared" si="145"/>
        <v>0</v>
      </c>
      <c r="E60" s="127">
        <f t="shared" si="145"/>
        <v>0</v>
      </c>
      <c r="F60" s="144">
        <f t="shared" si="145"/>
        <v>0</v>
      </c>
      <c r="G60" s="144">
        <f t="shared" si="145"/>
        <v>-27.725118483412324</v>
      </c>
      <c r="H60" s="144">
        <f t="shared" si="145"/>
        <v>-9.0047393364928912</v>
      </c>
      <c r="I60" s="144">
        <f t="shared" si="145"/>
        <v>25.118483412322277</v>
      </c>
      <c r="J60" s="144">
        <f t="shared" si="145"/>
        <v>77.426636568848764</v>
      </c>
      <c r="K60" s="144">
        <f t="shared" si="145"/>
        <v>125.2821670428894</v>
      </c>
      <c r="L60" s="144">
        <f t="shared" si="145"/>
        <v>179.00677200902936</v>
      </c>
      <c r="M60" s="144">
        <f t="shared" si="145"/>
        <v>220.99322799097067</v>
      </c>
      <c r="N60" s="144">
        <f t="shared" si="145"/>
        <v>397.08803611738159</v>
      </c>
      <c r="O60" s="144">
        <f t="shared" si="145"/>
        <v>28.355412864706544</v>
      </c>
      <c r="P60" s="144">
        <f t="shared" si="145"/>
        <v>38.289850174608539</v>
      </c>
      <c r="Q60" s="118">
        <f>((P60/G60)^(1/($H$2-$H$1) ))-1</f>
        <v>-2.0365229379730874</v>
      </c>
      <c r="R60" s="128"/>
      <c r="S60" s="157">
        <f t="shared" ref="S60:AB60" si="146">(S7+S15-S10-S9)/S42</f>
        <v>39.776834647408876</v>
      </c>
      <c r="T60" s="157">
        <f t="shared" si="146"/>
        <v>41.3215660900267</v>
      </c>
      <c r="U60" s="157">
        <f t="shared" si="146"/>
        <v>42.92628710323163</v>
      </c>
      <c r="V60" s="157">
        <f t="shared" si="146"/>
        <v>44.593327379085288</v>
      </c>
      <c r="W60" s="157">
        <f t="shared" si="146"/>
        <v>46.325107083127428</v>
      </c>
      <c r="X60" s="157">
        <f t="shared" si="146"/>
        <v>48.124140367909078</v>
      </c>
      <c r="Y60" s="157">
        <f t="shared" si="146"/>
        <v>49.993039022973512</v>
      </c>
      <c r="Z60" s="157">
        <f t="shared" si="146"/>
        <v>51.934516266584133</v>
      </c>
      <c r="AA60" s="157">
        <f t="shared" si="146"/>
        <v>53.951390684703902</v>
      </c>
      <c r="AB60" s="157">
        <f t="shared" si="146"/>
        <v>56.046590322944823</v>
      </c>
      <c r="AC60" s="138">
        <f t="shared" si="129"/>
        <v>-2.0377391450319284</v>
      </c>
      <c r="AD60" s="31">
        <f t="shared" si="17"/>
        <v>0.04</v>
      </c>
      <c r="AE60" s="146">
        <f t="shared" si="130"/>
        <v>529.89503578056929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47">C12/C42</f>
        <v>0</v>
      </c>
      <c r="D62" s="127">
        <f t="shared" si="147"/>
        <v>0</v>
      </c>
      <c r="E62" s="127">
        <f t="shared" si="147"/>
        <v>0</v>
      </c>
      <c r="F62" s="144">
        <f t="shared" si="147"/>
        <v>0</v>
      </c>
      <c r="G62" s="144">
        <f t="shared" si="147"/>
        <v>6.3981042654028437</v>
      </c>
      <c r="H62" s="144">
        <f t="shared" si="147"/>
        <v>10.66350710900474</v>
      </c>
      <c r="I62" s="144">
        <f t="shared" si="147"/>
        <v>9.0047393364928912</v>
      </c>
      <c r="J62" s="144">
        <f t="shared" si="147"/>
        <v>11.512415349887133</v>
      </c>
      <c r="K62" s="144">
        <f t="shared" si="147"/>
        <v>11.738148984198647</v>
      </c>
      <c r="L62" s="144">
        <f t="shared" si="147"/>
        <v>12.415349887133184</v>
      </c>
      <c r="M62" s="144">
        <f t="shared" si="147"/>
        <v>44.469525959367949</v>
      </c>
      <c r="N62" s="144">
        <f t="shared" si="147"/>
        <v>250.5643340857788</v>
      </c>
      <c r="O62" s="144">
        <f t="shared" si="147"/>
        <v>10.893319815252902</v>
      </c>
      <c r="P62" s="144">
        <f t="shared" si="147"/>
        <v>12.830911343922496</v>
      </c>
      <c r="Q62" s="118">
        <f>((P62/G62)^(1/($H$2-$H$1) ))-1</f>
        <v>8.0384800557574243E-2</v>
      </c>
      <c r="R62" s="128"/>
      <c r="S62" s="157">
        <f t="shared" ref="S62:AB62" si="148">S12/S42</f>
        <v>13.329199163103953</v>
      </c>
      <c r="T62" s="157">
        <f t="shared" si="148"/>
        <v>13.846837965554593</v>
      </c>
      <c r="U62" s="157">
        <f t="shared" si="148"/>
        <v>14.384579245770306</v>
      </c>
      <c r="V62" s="157">
        <f t="shared" si="148"/>
        <v>14.94320368249925</v>
      </c>
      <c r="W62" s="157">
        <f t="shared" si="148"/>
        <v>15.523522272110874</v>
      </c>
      <c r="X62" s="157">
        <f t="shared" si="148"/>
        <v>16.12637750597926</v>
      </c>
      <c r="Y62" s="157">
        <f t="shared" si="148"/>
        <v>16.752644593590105</v>
      </c>
      <c r="Z62" s="157">
        <f t="shared" si="148"/>
        <v>17.403232733147004</v>
      </c>
      <c r="AA62" s="157">
        <f t="shared" si="148"/>
        <v>18.079086431521645</v>
      </c>
      <c r="AB62" s="157">
        <f t="shared" si="148"/>
        <v>18.781186875464233</v>
      </c>
      <c r="AC62" s="138">
        <f t="shared" si="129"/>
        <v>5.831341473376761E-2</v>
      </c>
      <c r="AD62" s="31">
        <f t="shared" si="17"/>
        <v>0.04</v>
      </c>
      <c r="AE62" s="146">
        <f t="shared" si="130"/>
        <v>177.56758500438914</v>
      </c>
    </row>
    <row r="63" spans="2:31" x14ac:dyDescent="0.2">
      <c r="B63" s="20" t="s">
        <v>255</v>
      </c>
      <c r="C63" s="127">
        <f t="shared" ref="C63:P63" si="149">C13/C42</f>
        <v>0</v>
      </c>
      <c r="D63" s="127">
        <f t="shared" si="149"/>
        <v>0</v>
      </c>
      <c r="E63" s="127">
        <f t="shared" si="149"/>
        <v>0</v>
      </c>
      <c r="F63" s="144">
        <f t="shared" si="149"/>
        <v>0</v>
      </c>
      <c r="G63" s="144">
        <f t="shared" si="149"/>
        <v>6.2322274881516595</v>
      </c>
      <c r="H63" s="144">
        <f t="shared" si="149"/>
        <v>6.080568720379147</v>
      </c>
      <c r="I63" s="144">
        <f t="shared" si="149"/>
        <v>6.6350710900473935</v>
      </c>
      <c r="J63" s="144">
        <f t="shared" si="149"/>
        <v>7.1331828442437928</v>
      </c>
      <c r="K63" s="144">
        <f t="shared" si="149"/>
        <v>0.5191873589164786</v>
      </c>
      <c r="L63" s="144">
        <f t="shared" si="149"/>
        <v>0.36117381489841993</v>
      </c>
      <c r="M63" s="144">
        <f t="shared" si="149"/>
        <v>0.36117381489841993</v>
      </c>
      <c r="N63" s="144">
        <f t="shared" si="149"/>
        <v>0.56433408577878108</v>
      </c>
      <c r="O63" s="144">
        <f t="shared" si="149"/>
        <v>2.7036160865157147E-2</v>
      </c>
      <c r="P63" s="144">
        <f t="shared" si="149"/>
        <v>3.2781345049003048E-2</v>
      </c>
      <c r="Q63" s="118">
        <f>((P63/G63)^(1/($H$2-$H$1) ))-1</f>
        <v>-0.44181785368648463</v>
      </c>
      <c r="R63" s="128"/>
      <c r="S63" s="157">
        <f t="shared" ref="S63:AB63" si="150">S13/S42</f>
        <v>3.4054406992653649E-2</v>
      </c>
      <c r="T63" s="157">
        <f t="shared" si="150"/>
        <v>3.5376908235086803E-2</v>
      </c>
      <c r="U63" s="157">
        <f t="shared" si="150"/>
        <v>3.6750768749070753E-2</v>
      </c>
      <c r="V63" s="157">
        <f t="shared" si="150"/>
        <v>3.8177983069423022E-2</v>
      </c>
      <c r="W63" s="157">
        <f t="shared" si="150"/>
        <v>3.9660623188623914E-2</v>
      </c>
      <c r="X63" s="157">
        <f t="shared" si="150"/>
        <v>4.1200841564881158E-2</v>
      </c>
      <c r="Y63" s="157">
        <f t="shared" si="150"/>
        <v>4.2800874247012469E-2</v>
      </c>
      <c r="Z63" s="157">
        <f t="shared" si="150"/>
        <v>4.4463044120682853E-2</v>
      </c>
      <c r="AA63" s="157">
        <f t="shared" si="150"/>
        <v>4.6189764280709374E-2</v>
      </c>
      <c r="AB63" s="157">
        <f t="shared" si="150"/>
        <v>4.7983541534329162E-2</v>
      </c>
      <c r="AC63" s="138">
        <f t="shared" si="129"/>
        <v>-0.22596522300171573</v>
      </c>
      <c r="AD63" s="31">
        <f t="shared" si="17"/>
        <v>0.04</v>
      </c>
      <c r="AE63" s="146">
        <f t="shared" si="130"/>
        <v>0.45366257450638486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51">(D62+D63)</f>
        <v>0</v>
      </c>
      <c r="E64" s="127">
        <f t="shared" si="151"/>
        <v>0</v>
      </c>
      <c r="F64" s="144">
        <f t="shared" si="151"/>
        <v>0</v>
      </c>
      <c r="G64" s="144">
        <f t="shared" si="151"/>
        <v>12.630331753554504</v>
      </c>
      <c r="H64" s="144">
        <f t="shared" si="151"/>
        <v>16.744075829383888</v>
      </c>
      <c r="I64" s="144">
        <f t="shared" si="151"/>
        <v>15.639810426540285</v>
      </c>
      <c r="J64" s="144">
        <f t="shared" si="151"/>
        <v>18.645598194130926</v>
      </c>
      <c r="K64" s="144">
        <f t="shared" si="151"/>
        <v>12.257336343115126</v>
      </c>
      <c r="L64" s="144">
        <f t="shared" si="151"/>
        <v>12.776523702031604</v>
      </c>
      <c r="M64" s="144">
        <f t="shared" si="151"/>
        <v>44.830699774266371</v>
      </c>
      <c r="N64" s="144">
        <f t="shared" si="151"/>
        <v>251.12866817155756</v>
      </c>
      <c r="O64" s="144">
        <f t="shared" ref="O64" si="152">(O62+O63)</f>
        <v>10.920355976118058</v>
      </c>
      <c r="P64" s="144">
        <f t="shared" si="151"/>
        <v>12.863692688971499</v>
      </c>
      <c r="Q64" s="118">
        <f>((P64/G64)^(1/($H$2-$H$1) ))-1</f>
        <v>2.0362503253859021E-3</v>
      </c>
      <c r="R64" s="128"/>
      <c r="S64" s="157">
        <f t="shared" ref="S64:AB64" si="153">(S62+S63)</f>
        <v>13.363253570096607</v>
      </c>
      <c r="T64" s="157">
        <f t="shared" si="153"/>
        <v>13.88221487378968</v>
      </c>
      <c r="U64" s="157">
        <f t="shared" si="153"/>
        <v>14.421330014519377</v>
      </c>
      <c r="V64" s="157">
        <f t="shared" si="153"/>
        <v>14.981381665568673</v>
      </c>
      <c r="W64" s="157">
        <f t="shared" si="153"/>
        <v>15.563182895299498</v>
      </c>
      <c r="X64" s="157">
        <f t="shared" si="153"/>
        <v>16.16757834754414</v>
      </c>
      <c r="Y64" s="157">
        <f t="shared" si="153"/>
        <v>16.795445467837119</v>
      </c>
      <c r="Z64" s="157">
        <f t="shared" si="153"/>
        <v>17.447695777267686</v>
      </c>
      <c r="AA64" s="157">
        <f t="shared" si="153"/>
        <v>18.125276195802353</v>
      </c>
      <c r="AB64" s="157">
        <f t="shared" si="153"/>
        <v>18.829170416998561</v>
      </c>
      <c r="AC64" s="138">
        <f t="shared" si="129"/>
        <v>2.1238503233869999E-2</v>
      </c>
      <c r="AD64" s="31">
        <f t="shared" si="17"/>
        <v>0.04</v>
      </c>
      <c r="AE64" s="146">
        <f t="shared" si="130"/>
        <v>178.02124757889553</v>
      </c>
    </row>
    <row r="65" spans="2:31" x14ac:dyDescent="0.2">
      <c r="B65" s="20" t="s">
        <v>249</v>
      </c>
      <c r="C65" s="127">
        <f t="shared" ref="C65:P65" si="154">C15/C42</f>
        <v>0</v>
      </c>
      <c r="D65" s="127">
        <f t="shared" si="154"/>
        <v>0</v>
      </c>
      <c r="E65" s="127">
        <f t="shared" si="154"/>
        <v>0</v>
      </c>
      <c r="F65" s="144">
        <f t="shared" si="154"/>
        <v>0</v>
      </c>
      <c r="G65" s="144">
        <f t="shared" si="154"/>
        <v>80.33175355450237</v>
      </c>
      <c r="H65" s="144">
        <f t="shared" si="154"/>
        <v>93.601895734597164</v>
      </c>
      <c r="I65" s="144">
        <f t="shared" si="154"/>
        <v>119.66824644549764</v>
      </c>
      <c r="J65" s="144">
        <f t="shared" si="154"/>
        <v>186.68171557562079</v>
      </c>
      <c r="K65" s="144">
        <f t="shared" si="154"/>
        <v>269.75169300225735</v>
      </c>
      <c r="L65" s="144">
        <f t="shared" si="154"/>
        <v>308.12641083521447</v>
      </c>
      <c r="M65" s="144">
        <f t="shared" si="154"/>
        <v>339.05191873589166</v>
      </c>
      <c r="N65" s="144">
        <f t="shared" si="154"/>
        <v>727.99097065462763</v>
      </c>
      <c r="O65" s="144">
        <f t="shared" si="154"/>
        <v>45.21797904697533</v>
      </c>
      <c r="P65" s="144">
        <f t="shared" si="154"/>
        <v>56.156359130336831</v>
      </c>
      <c r="Q65" s="118">
        <f>((P65/G65)^(1/($H$2-$H$1) ))-1</f>
        <v>-3.8999703361700777E-2</v>
      </c>
      <c r="R65" s="128"/>
      <c r="S65" s="157">
        <f t="shared" ref="S65:AB65" si="155">S15/S42</f>
        <v>58.337188611126614</v>
      </c>
      <c r="T65" s="157">
        <f t="shared" si="155"/>
        <v>60.602710498937363</v>
      </c>
      <c r="U65" s="157">
        <f t="shared" si="155"/>
        <v>62.95621381928445</v>
      </c>
      <c r="V65" s="157">
        <f t="shared" si="155"/>
        <v>65.401115326829483</v>
      </c>
      <c r="W65" s="157">
        <f t="shared" si="155"/>
        <v>67.940964465735476</v>
      </c>
      <c r="X65" s="157">
        <f t="shared" si="155"/>
        <v>70.579448522657259</v>
      </c>
      <c r="Y65" s="157">
        <f t="shared" si="155"/>
        <v>73.32039797984784</v>
      </c>
      <c r="Z65" s="157">
        <f t="shared" si="155"/>
        <v>76.167792076152608</v>
      </c>
      <c r="AA65" s="157">
        <f t="shared" si="155"/>
        <v>79.125764583964354</v>
      </c>
      <c r="AB65" s="157">
        <f t="shared" si="155"/>
        <v>82.198609810526079</v>
      </c>
      <c r="AC65" s="138">
        <f t="shared" si="129"/>
        <v>1.2098581467945291E-3</v>
      </c>
      <c r="AD65" s="31">
        <f t="shared" si="17"/>
        <v>0.04</v>
      </c>
      <c r="AE65" s="146">
        <f t="shared" si="130"/>
        <v>777.15049275406477</v>
      </c>
    </row>
    <row r="66" spans="2:31" x14ac:dyDescent="0.2">
      <c r="B66" s="20" t="s">
        <v>250</v>
      </c>
      <c r="C66" s="127">
        <f t="shared" ref="C66:P66" si="156">C16/C42</f>
        <v>0</v>
      </c>
      <c r="D66" s="127">
        <f t="shared" si="156"/>
        <v>0</v>
      </c>
      <c r="E66" s="127">
        <f t="shared" si="156"/>
        <v>0</v>
      </c>
      <c r="F66" s="144">
        <f t="shared" si="156"/>
        <v>0</v>
      </c>
      <c r="G66" s="144">
        <f t="shared" si="156"/>
        <v>76.540284360189574</v>
      </c>
      <c r="H66" s="144">
        <f t="shared" si="156"/>
        <v>60.189573459715646</v>
      </c>
      <c r="I66" s="144">
        <f t="shared" si="156"/>
        <v>60.426540284360193</v>
      </c>
      <c r="J66" s="144">
        <f t="shared" si="156"/>
        <v>62.528216704288944</v>
      </c>
      <c r="K66" s="144">
        <f t="shared" si="156"/>
        <v>82.618510158013549</v>
      </c>
      <c r="L66" s="144">
        <f t="shared" si="156"/>
        <v>95.485327313769758</v>
      </c>
      <c r="M66" s="144">
        <f t="shared" si="156"/>
        <v>118.05869074492099</v>
      </c>
      <c r="N66" s="144">
        <f t="shared" si="156"/>
        <v>166.36568848758466</v>
      </c>
      <c r="O66" s="144">
        <f t="shared" si="156"/>
        <v>11.884645713641996</v>
      </c>
      <c r="P66" s="144">
        <f t="shared" si="156"/>
        <v>16.458262926664414</v>
      </c>
      <c r="Q66" s="118">
        <f>((P66/G66)^(1/($H$2-$H$1) ))-1</f>
        <v>-0.15699013212910085</v>
      </c>
      <c r="R66" s="128"/>
      <c r="S66" s="157">
        <f t="shared" ref="S66:AB66" si="157">S16/S42</f>
        <v>17.097418768476626</v>
      </c>
      <c r="T66" s="157">
        <f t="shared" si="157"/>
        <v>17.76139619637863</v>
      </c>
      <c r="U66" s="157">
        <f t="shared" si="157"/>
        <v>18.451159155461294</v>
      </c>
      <c r="V66" s="157">
        <f t="shared" si="157"/>
        <v>19.167709025576297</v>
      </c>
      <c r="W66" s="157">
        <f t="shared" si="157"/>
        <v>19.912086075113244</v>
      </c>
      <c r="X66" s="157">
        <f t="shared" si="157"/>
        <v>20.685370971234146</v>
      </c>
      <c r="Y66" s="157">
        <f t="shared" si="157"/>
        <v>21.488686348757803</v>
      </c>
      <c r="Z66" s="157">
        <f t="shared" si="157"/>
        <v>22.323198439971698</v>
      </c>
      <c r="AA66" s="157">
        <f t="shared" si="157"/>
        <v>23.190118767737591</v>
      </c>
      <c r="AB66" s="157">
        <f t="shared" si="157"/>
        <v>24.090705904348763</v>
      </c>
      <c r="AC66" s="138">
        <f t="shared" si="129"/>
        <v>-5.902775550708983E-2</v>
      </c>
      <c r="AD66" s="137"/>
      <c r="AE66" s="146">
        <f t="shared" si="130"/>
        <v>160.60470602899176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0.04</v>
      </c>
      <c r="AE67" s="146">
        <f t="shared" si="130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58">D43</f>
        <v>0</v>
      </c>
      <c r="E68" s="159">
        <f t="shared" si="158"/>
        <v>0</v>
      </c>
      <c r="F68" s="159">
        <f t="shared" si="158"/>
        <v>0</v>
      </c>
      <c r="G68" s="159">
        <f t="shared" si="158"/>
        <v>1</v>
      </c>
      <c r="H68" s="159">
        <f t="shared" si="158"/>
        <v>2</v>
      </c>
      <c r="I68" s="159">
        <f t="shared" si="158"/>
        <v>3</v>
      </c>
      <c r="J68" s="159">
        <f t="shared" si="158"/>
        <v>5</v>
      </c>
      <c r="K68" s="159">
        <f t="shared" si="158"/>
        <v>8</v>
      </c>
      <c r="L68" s="159">
        <f t="shared" si="158"/>
        <v>10</v>
      </c>
      <c r="M68" s="159">
        <f t="shared" si="158"/>
        <v>15</v>
      </c>
      <c r="N68" s="159">
        <f t="shared" si="158"/>
        <v>25</v>
      </c>
      <c r="O68" s="159">
        <f t="shared" si="158"/>
        <v>1.75</v>
      </c>
      <c r="P68" s="159">
        <f t="shared" si="158"/>
        <v>2.1</v>
      </c>
      <c r="Q68" s="118">
        <f>((P68/G68)^(1/($H$2-$H$1) ))-1</f>
        <v>8.5930781908219123E-2</v>
      </c>
      <c r="R68" s="128"/>
      <c r="S68" s="159">
        <f t="shared" ref="S68:AB68" si="159">S43</f>
        <v>2.2050000000000001</v>
      </c>
      <c r="T68" s="159">
        <f t="shared" si="159"/>
        <v>2.3152500000000003</v>
      </c>
      <c r="U68" s="159">
        <f t="shared" si="159"/>
        <v>2.4310125000000005</v>
      </c>
      <c r="V68" s="159">
        <f t="shared" si="159"/>
        <v>2.5525631250000007</v>
      </c>
      <c r="W68" s="159">
        <f t="shared" si="159"/>
        <v>2.6801912812500008</v>
      </c>
      <c r="X68" s="159">
        <f t="shared" si="159"/>
        <v>2.8142008453125009</v>
      </c>
      <c r="Y68" s="159">
        <f t="shared" si="159"/>
        <v>2.954910887578126</v>
      </c>
      <c r="Z68" s="159">
        <f t="shared" si="159"/>
        <v>3.1026564319570324</v>
      </c>
      <c r="AA68" s="159">
        <f t="shared" si="159"/>
        <v>3.257789253554884</v>
      </c>
      <c r="AB68" s="159">
        <f t="shared" si="159"/>
        <v>3.4206787162326284</v>
      </c>
      <c r="AC68" s="138">
        <f t="shared" ref="AC68" si="160">((AB68/G68)^(1/($AB$3-$H$1) ))-1</f>
        <v>6.6869188897002108E-2</v>
      </c>
      <c r="AD68" s="31">
        <f t="shared" si="17"/>
        <v>0.04</v>
      </c>
      <c r="AE68" s="146">
        <f t="shared" si="130"/>
        <v>32.340962408017582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61">C20+C21</f>
        <v>0</v>
      </c>
      <c r="D70" s="127">
        <f t="shared" si="161"/>
        <v>0</v>
      </c>
      <c r="E70" s="127">
        <f t="shared" si="161"/>
        <v>0</v>
      </c>
      <c r="F70" s="144">
        <f t="shared" si="161"/>
        <v>0</v>
      </c>
      <c r="G70" s="144">
        <f t="shared" si="161"/>
        <v>117.26</v>
      </c>
      <c r="H70" s="144">
        <f t="shared" si="161"/>
        <v>150</v>
      </c>
      <c r="I70" s="144">
        <f t="shared" si="161"/>
        <v>88</v>
      </c>
      <c r="J70" s="144">
        <f t="shared" si="161"/>
        <v>35</v>
      </c>
      <c r="K70" s="144">
        <f t="shared" si="161"/>
        <v>40</v>
      </c>
      <c r="L70" s="144">
        <f t="shared" si="161"/>
        <v>102</v>
      </c>
      <c r="M70" s="144">
        <f t="shared" si="161"/>
        <v>311</v>
      </c>
      <c r="N70" s="144">
        <f t="shared" si="161"/>
        <v>998</v>
      </c>
      <c r="O70" s="144">
        <f t="shared" si="161"/>
        <v>87</v>
      </c>
      <c r="P70" s="144">
        <f t="shared" si="161"/>
        <v>411</v>
      </c>
      <c r="Q70" s="118">
        <f>((P70/G70)^(1/($H$2-$H$1) ))-1</f>
        <v>0.14953268917566409</v>
      </c>
      <c r="R70" s="128"/>
      <c r="S70" s="144">
        <f t="shared" ref="S70:AB70" si="162">S20+S21</f>
        <v>439.77000000000004</v>
      </c>
      <c r="T70" s="144">
        <f t="shared" si="162"/>
        <v>470.55390000000006</v>
      </c>
      <c r="U70" s="144">
        <f t="shared" si="162"/>
        <v>503.49267300000008</v>
      </c>
      <c r="V70" s="144">
        <f t="shared" si="162"/>
        <v>538.7371601100001</v>
      </c>
      <c r="W70" s="144">
        <f t="shared" si="162"/>
        <v>576.44876131770013</v>
      </c>
      <c r="X70" s="144">
        <f t="shared" si="162"/>
        <v>616.80017460993906</v>
      </c>
      <c r="Y70" s="144">
        <f t="shared" si="162"/>
        <v>659.97618683263488</v>
      </c>
      <c r="Z70" s="144">
        <f t="shared" si="162"/>
        <v>706.17451991091934</v>
      </c>
      <c r="AA70" s="144">
        <f t="shared" si="162"/>
        <v>755.60673630468375</v>
      </c>
      <c r="AB70" s="144">
        <f t="shared" si="162"/>
        <v>808.4992078460117</v>
      </c>
      <c r="AC70" s="138">
        <f t="shared" ref="AC70:AC75" si="163">((AB70/G70)^(1/($AB$3-$H$1) ))-1</f>
        <v>0.10696309596738818</v>
      </c>
      <c r="AD70" s="31">
        <f t="shared" si="17"/>
        <v>0.04</v>
      </c>
      <c r="AE70" s="146">
        <f t="shared" si="130"/>
        <v>7643.9925105441116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64">C70/C42</f>
        <v>0</v>
      </c>
      <c r="D72" s="127">
        <f t="shared" si="164"/>
        <v>0</v>
      </c>
      <c r="E72" s="127">
        <f t="shared" si="164"/>
        <v>0</v>
      </c>
      <c r="F72" s="144">
        <f t="shared" si="164"/>
        <v>0</v>
      </c>
      <c r="G72" s="144">
        <f t="shared" si="164"/>
        <v>27.786729857819907</v>
      </c>
      <c r="H72" s="144">
        <f t="shared" si="164"/>
        <v>35.545023696682463</v>
      </c>
      <c r="I72" s="144">
        <f t="shared" si="164"/>
        <v>20.85308056872038</v>
      </c>
      <c r="J72" s="144">
        <f t="shared" si="164"/>
        <v>7.9006772009029351</v>
      </c>
      <c r="K72" s="144">
        <f t="shared" si="164"/>
        <v>9.0293453724604973</v>
      </c>
      <c r="L72" s="144">
        <f t="shared" si="164"/>
        <v>23.024830699774267</v>
      </c>
      <c r="M72" s="144">
        <f t="shared" si="164"/>
        <v>70.20316027088036</v>
      </c>
      <c r="N72" s="144">
        <f t="shared" si="164"/>
        <v>225.2821670428894</v>
      </c>
      <c r="O72" s="144">
        <f t="shared" si="164"/>
        <v>0.98006083136194666</v>
      </c>
      <c r="P72" s="144">
        <f t="shared" si="164"/>
        <v>4.6299425481581613</v>
      </c>
      <c r="Q72" s="118">
        <f>((P72/G72)^(1/($H$2-$H$1) ))-1</f>
        <v>-0.18054244689618237</v>
      </c>
      <c r="R72" s="128"/>
      <c r="S72" s="146">
        <f t="shared" ref="S72:AB72" si="165">S70/S42</f>
        <v>4.8097461422613916</v>
      </c>
      <c r="T72" s="146">
        <f t="shared" si="165"/>
        <v>4.9965324002132903</v>
      </c>
      <c r="U72" s="146">
        <f t="shared" si="165"/>
        <v>5.1905724934254573</v>
      </c>
      <c r="V72" s="146">
        <f t="shared" si="165"/>
        <v>5.3921481242380969</v>
      </c>
      <c r="W72" s="146">
        <f t="shared" si="165"/>
        <v>5.6015519348881195</v>
      </c>
      <c r="X72" s="146">
        <f t="shared" si="165"/>
        <v>5.8190879323595022</v>
      </c>
      <c r="Y72" s="146">
        <f t="shared" si="165"/>
        <v>6.0450719297326883</v>
      </c>
      <c r="Z72" s="146">
        <f t="shared" si="165"/>
        <v>6.2798320046737626</v>
      </c>
      <c r="AA72" s="146">
        <f t="shared" si="165"/>
        <v>6.5237089757290549</v>
      </c>
      <c r="AB72" s="146">
        <f t="shared" si="165"/>
        <v>6.7770568971165925</v>
      </c>
      <c r="AC72" s="138">
        <f t="shared" si="163"/>
        <v>-7.1573425620628739E-2</v>
      </c>
      <c r="AD72" s="31">
        <f t="shared" si="17"/>
        <v>0.04</v>
      </c>
      <c r="AE72" s="146">
        <f t="shared" si="130"/>
        <v>64.07399248182962</v>
      </c>
    </row>
    <row r="73" spans="2:31" x14ac:dyDescent="0.2">
      <c r="B73" s="20" t="s">
        <v>287</v>
      </c>
      <c r="C73" s="127">
        <f t="shared" ref="C73:P73" si="166">C20/C42</f>
        <v>0</v>
      </c>
      <c r="D73" s="127">
        <f t="shared" si="166"/>
        <v>0</v>
      </c>
      <c r="E73" s="127">
        <f t="shared" si="166"/>
        <v>0</v>
      </c>
      <c r="F73" s="144">
        <f t="shared" si="166"/>
        <v>0</v>
      </c>
      <c r="G73" s="144">
        <f t="shared" si="166"/>
        <v>27.251184834123226</v>
      </c>
      <c r="H73" s="144">
        <f t="shared" si="166"/>
        <v>38.862559241706165</v>
      </c>
      <c r="I73" s="144">
        <f t="shared" si="166"/>
        <v>28.909952606635073</v>
      </c>
      <c r="J73" s="144">
        <f t="shared" si="166"/>
        <v>28.442437923250566</v>
      </c>
      <c r="K73" s="144">
        <f t="shared" si="166"/>
        <v>23.024830699774267</v>
      </c>
      <c r="L73" s="144">
        <f t="shared" si="166"/>
        <v>35.891647855530479</v>
      </c>
      <c r="M73" s="144">
        <f t="shared" si="166"/>
        <v>77.200902934537254</v>
      </c>
      <c r="N73" s="144">
        <f t="shared" si="166"/>
        <v>231.37697516930024</v>
      </c>
      <c r="O73" s="144">
        <f t="shared" si="166"/>
        <v>1.7686155232623635</v>
      </c>
      <c r="P73" s="144">
        <f t="shared" si="166"/>
        <v>5.1030753632984123</v>
      </c>
      <c r="Q73" s="118">
        <f>((P73/G73)^(1/($H$2-$H$1) ))-1</f>
        <v>-0.16984204760985167</v>
      </c>
      <c r="R73" s="128"/>
      <c r="S73" s="146">
        <f t="shared" ref="S73:AB73" si="167">S20/S42</f>
        <v>5.3012530473100012</v>
      </c>
      <c r="T73" s="146">
        <f t="shared" si="167"/>
        <v>5.5071269520599042</v>
      </c>
      <c r="U73" s="146">
        <f t="shared" si="167"/>
        <v>5.7209959599068911</v>
      </c>
      <c r="V73" s="146">
        <f t="shared" si="167"/>
        <v>5.9431705602916249</v>
      </c>
      <c r="W73" s="146">
        <f t="shared" si="167"/>
        <v>6.1739733004971242</v>
      </c>
      <c r="X73" s="146">
        <f t="shared" si="167"/>
        <v>6.4137392539144891</v>
      </c>
      <c r="Y73" s="146">
        <f t="shared" si="167"/>
        <v>6.6628165064936926</v>
      </c>
      <c r="Z73" s="146">
        <f t="shared" si="167"/>
        <v>6.9215666620856808</v>
      </c>
      <c r="AA73" s="146">
        <f t="shared" si="167"/>
        <v>7.190365367409397</v>
      </c>
      <c r="AB73" s="146">
        <f t="shared" si="167"/>
        <v>7.4696028574058797</v>
      </c>
      <c r="AC73" s="138">
        <f t="shared" si="163"/>
        <v>-6.5850410049492103E-2</v>
      </c>
      <c r="AD73" s="31">
        <f t="shared" si="17"/>
        <v>0.04</v>
      </c>
      <c r="AE73" s="146">
        <f t="shared" si="130"/>
        <v>70.6216997427465</v>
      </c>
    </row>
    <row r="74" spans="2:31" x14ac:dyDescent="0.2">
      <c r="B74" s="20" t="s">
        <v>288</v>
      </c>
      <c r="C74" s="127">
        <f t="shared" ref="C74:P74" si="168">C21/C42</f>
        <v>0</v>
      </c>
      <c r="D74" s="127">
        <f t="shared" si="168"/>
        <v>0</v>
      </c>
      <c r="E74" s="127">
        <f t="shared" si="168"/>
        <v>0</v>
      </c>
      <c r="F74" s="144">
        <f t="shared" si="168"/>
        <v>0</v>
      </c>
      <c r="G74" s="144">
        <f t="shared" si="168"/>
        <v>0.53554502369668244</v>
      </c>
      <c r="H74" s="144">
        <f t="shared" si="168"/>
        <v>-3.3175355450236967</v>
      </c>
      <c r="I74" s="144">
        <f t="shared" si="168"/>
        <v>-8.0568720379146921</v>
      </c>
      <c r="J74" s="144">
        <f t="shared" si="168"/>
        <v>-20.541760722347632</v>
      </c>
      <c r="K74" s="144">
        <f t="shared" si="168"/>
        <v>-13.995485327313771</v>
      </c>
      <c r="L74" s="144">
        <f t="shared" si="168"/>
        <v>-12.866817155756209</v>
      </c>
      <c r="M74" s="144">
        <f t="shared" si="168"/>
        <v>-6.9977426636568856</v>
      </c>
      <c r="N74" s="144">
        <f t="shared" si="168"/>
        <v>-6.094808126410836</v>
      </c>
      <c r="O74" s="144">
        <f t="shared" si="168"/>
        <v>-0.78855469190041683</v>
      </c>
      <c r="P74" s="144">
        <f t="shared" si="168"/>
        <v>-0.47313281514025013</v>
      </c>
      <c r="Q74" s="118">
        <f>((P74/G74)^(1/($H$2-$H$1) ))-1</f>
        <v>-1.9863266937122623</v>
      </c>
      <c r="R74" s="128"/>
      <c r="S74" s="146">
        <f t="shared" ref="S74:AB74" si="169">S21/S42</f>
        <v>-0.49150690504860939</v>
      </c>
      <c r="T74" s="146">
        <f t="shared" si="169"/>
        <v>-0.51059455184661362</v>
      </c>
      <c r="U74" s="146">
        <f t="shared" si="169"/>
        <v>-0.53042346648143368</v>
      </c>
      <c r="V74" s="146">
        <f t="shared" si="169"/>
        <v>-0.55102243605352819</v>
      </c>
      <c r="W74" s="146">
        <f t="shared" si="169"/>
        <v>-0.57242136560900503</v>
      </c>
      <c r="X74" s="146">
        <f t="shared" si="169"/>
        <v>-0.5946513215549859</v>
      </c>
      <c r="Y74" s="146">
        <f t="shared" si="169"/>
        <v>-0.6177445767610048</v>
      </c>
      <c r="Z74" s="146">
        <f t="shared" si="169"/>
        <v>-0.6417346574119176</v>
      </c>
      <c r="AA74" s="146">
        <f t="shared" si="169"/>
        <v>-0.66665639168034174</v>
      </c>
      <c r="AB74" s="146">
        <f t="shared" si="169"/>
        <v>-0.69254596028928705</v>
      </c>
      <c r="AC74" s="138">
        <f t="shared" si="163"/>
        <v>-2.0136229924334099</v>
      </c>
      <c r="AD74" s="31">
        <f t="shared" si="17"/>
        <v>0.04</v>
      </c>
      <c r="AE74" s="146">
        <f t="shared" si="130"/>
        <v>-6.5477072609168969</v>
      </c>
    </row>
    <row r="75" spans="2:31" x14ac:dyDescent="0.2">
      <c r="B75" s="20" t="s">
        <v>289</v>
      </c>
      <c r="C75" s="127">
        <f t="shared" ref="C75:P75" si="170">C22/C42</f>
        <v>0</v>
      </c>
      <c r="D75" s="127">
        <f t="shared" si="170"/>
        <v>0</v>
      </c>
      <c r="E75" s="127">
        <f t="shared" si="170"/>
        <v>0</v>
      </c>
      <c r="F75" s="144">
        <f t="shared" si="170"/>
        <v>0</v>
      </c>
      <c r="G75" s="144">
        <f t="shared" si="170"/>
        <v>-27.014218009478675</v>
      </c>
      <c r="H75" s="144">
        <f t="shared" si="170"/>
        <v>-31.753554502369671</v>
      </c>
      <c r="I75" s="144">
        <f t="shared" si="170"/>
        <v>-22.037914691943129</v>
      </c>
      <c r="J75" s="144">
        <f t="shared" si="170"/>
        <v>-5.1918735891647856</v>
      </c>
      <c r="K75" s="144">
        <f t="shared" si="170"/>
        <v>-8.5778781038374721</v>
      </c>
      <c r="L75" s="144">
        <f t="shared" si="170"/>
        <v>-22.34762979683973</v>
      </c>
      <c r="M75" s="144">
        <f t="shared" si="170"/>
        <v>-40.180586907449211</v>
      </c>
      <c r="N75" s="144">
        <f t="shared" si="170"/>
        <v>-20.541760722347632</v>
      </c>
      <c r="O75" s="144">
        <f t="shared" si="170"/>
        <v>-2.636025684352822</v>
      </c>
      <c r="P75" s="144">
        <f t="shared" si="170"/>
        <v>-2.6472907513799706</v>
      </c>
      <c r="Q75" s="118">
        <f>((P75/G75)^(1/($H$2-$H$1) ))-1</f>
        <v>-0.22747571989112514</v>
      </c>
      <c r="R75" s="128"/>
      <c r="S75" s="146">
        <f t="shared" ref="S75:AB75" si="171">S22/S42</f>
        <v>-2.7500981592005522</v>
      </c>
      <c r="T75" s="146">
        <f t="shared" si="171"/>
        <v>-2.8568980877131955</v>
      </c>
      <c r="U75" s="146">
        <f t="shared" si="171"/>
        <v>-2.9678455862651645</v>
      </c>
      <c r="V75" s="146">
        <f t="shared" si="171"/>
        <v>-3.0831017255375981</v>
      </c>
      <c r="W75" s="146">
        <f t="shared" si="171"/>
        <v>-3.2028338313837184</v>
      </c>
      <c r="X75" s="146">
        <f t="shared" si="171"/>
        <v>-3.3272157277481349</v>
      </c>
      <c r="Y75" s="146">
        <f t="shared" si="171"/>
        <v>-3.4564279890199079</v>
      </c>
      <c r="Z75" s="146">
        <f t="shared" si="171"/>
        <v>-3.5906582021857294</v>
      </c>
      <c r="AA75" s="146">
        <f t="shared" si="171"/>
        <v>-3.7301012391638162</v>
      </c>
      <c r="AB75" s="146">
        <f t="shared" si="171"/>
        <v>-3.8749595397138674</v>
      </c>
      <c r="AC75" s="138">
        <f t="shared" si="163"/>
        <v>-9.7152371397759674E-2</v>
      </c>
      <c r="AD75" s="31">
        <f t="shared" si="17"/>
        <v>0.04</v>
      </c>
      <c r="AE75" s="146">
        <f t="shared" si="130"/>
        <v>-36.635981102749298</v>
      </c>
    </row>
    <row r="76" spans="2:31" x14ac:dyDescent="0.2">
      <c r="B76" s="20" t="s">
        <v>296</v>
      </c>
      <c r="C76" s="127">
        <f t="shared" ref="C76:P76" si="172">C23/C42</f>
        <v>0</v>
      </c>
      <c r="D76" s="127">
        <f t="shared" si="172"/>
        <v>0</v>
      </c>
      <c r="E76" s="127">
        <f t="shared" si="172"/>
        <v>0</v>
      </c>
      <c r="F76" s="144">
        <f t="shared" si="172"/>
        <v>0</v>
      </c>
      <c r="G76" s="144">
        <f t="shared" si="172"/>
        <v>6.3981042654028437</v>
      </c>
      <c r="H76" s="144">
        <f t="shared" si="172"/>
        <v>10.308056872037914</v>
      </c>
      <c r="I76" s="144">
        <f t="shared" si="172"/>
        <v>9.0734597156398102</v>
      </c>
      <c r="J76" s="144">
        <f t="shared" si="172"/>
        <v>11.512415349887133</v>
      </c>
      <c r="K76" s="144">
        <f t="shared" si="172"/>
        <v>11.738148984198647</v>
      </c>
      <c r="L76" s="144">
        <f t="shared" si="172"/>
        <v>12.415349887133184</v>
      </c>
      <c r="M76" s="144">
        <f t="shared" si="172"/>
        <v>42.212189616252822</v>
      </c>
      <c r="N76" s="144">
        <f t="shared" si="172"/>
        <v>246.95259593679461</v>
      </c>
      <c r="O76" s="144">
        <f t="shared" si="172"/>
        <v>10.780669144981413</v>
      </c>
      <c r="P76" s="144">
        <f t="shared" si="172"/>
        <v>12.79711614284105</v>
      </c>
      <c r="Q76" s="118">
        <f>((P76/G76)^(1/($H$2-$H$1) ))-1</f>
        <v>8.0068250478766423E-2</v>
      </c>
      <c r="R76" s="128"/>
      <c r="S76" s="146">
        <f t="shared" ref="S76:AB76" si="173">S23/S42</f>
        <v>13.294091527029051</v>
      </c>
      <c r="T76" s="146">
        <f t="shared" si="173"/>
        <v>13.810366926136979</v>
      </c>
      <c r="U76" s="146">
        <f t="shared" si="173"/>
        <v>14.346691855307347</v>
      </c>
      <c r="V76" s="146">
        <f t="shared" si="173"/>
        <v>14.903844937066857</v>
      </c>
      <c r="W76" s="146">
        <f t="shared" si="173"/>
        <v>15.482635031710231</v>
      </c>
      <c r="X76" s="146">
        <f t="shared" si="173"/>
        <v>16.083902411582475</v>
      </c>
      <c r="Y76" s="146">
        <f t="shared" si="173"/>
        <v>16.708519980964319</v>
      </c>
      <c r="Z76" s="146">
        <f t="shared" si="173"/>
        <v>17.357394543331868</v>
      </c>
      <c r="AA76" s="146">
        <f t="shared" si="173"/>
        <v>18.031468117830194</v>
      </c>
      <c r="AB76" s="146">
        <f t="shared" si="173"/>
        <v>18.731719306872144</v>
      </c>
      <c r="AC76" s="138">
        <f t="shared" ref="AC76" si="174">((AB76/G76)^(1/($AB$3-$H$1) ))-1</f>
        <v>5.8166521882870192E-2</v>
      </c>
      <c r="AD76" s="31">
        <f t="shared" si="17"/>
        <v>0.04</v>
      </c>
      <c r="AE76" s="146">
        <f t="shared" si="130"/>
        <v>177.09989162860938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75">C36/C42</f>
        <v>0</v>
      </c>
      <c r="D78" s="144">
        <f t="shared" si="175"/>
        <v>0</v>
      </c>
      <c r="E78" s="144">
        <f t="shared" si="175"/>
        <v>0</v>
      </c>
      <c r="F78" s="144">
        <f t="shared" si="175"/>
        <v>0</v>
      </c>
      <c r="G78" s="144">
        <f t="shared" si="175"/>
        <v>21.563981042654028</v>
      </c>
      <c r="H78" s="144">
        <f t="shared" si="175"/>
        <v>32.938388625592417</v>
      </c>
      <c r="I78" s="144">
        <f t="shared" si="175"/>
        <v>40.047393364928915</v>
      </c>
      <c r="J78" s="144">
        <f t="shared" si="175"/>
        <v>50.112866817155762</v>
      </c>
      <c r="K78" s="144">
        <f t="shared" si="175"/>
        <v>55.169300225733636</v>
      </c>
      <c r="L78" s="144">
        <f t="shared" si="175"/>
        <v>71.106094808126414</v>
      </c>
      <c r="M78" s="144">
        <f t="shared" si="175"/>
        <v>90.067720090293463</v>
      </c>
      <c r="N78" s="144">
        <f t="shared" si="175"/>
        <v>139.05191873589166</v>
      </c>
      <c r="O78" s="144">
        <f t="shared" si="175"/>
        <v>9.4063309676692572</v>
      </c>
      <c r="P78" s="144">
        <f t="shared" si="175"/>
        <v>11.400247831474598</v>
      </c>
      <c r="Q78" s="118">
        <f>((P78/G78)^(1/($H$2-$H$1) ))-1</f>
        <v>-6.837139063752673E-2</v>
      </c>
      <c r="R78" s="128"/>
      <c r="S78" s="144">
        <f t="shared" ref="S78:AB78" si="176">S36/S42</f>
        <v>11.842975902599827</v>
      </c>
      <c r="T78" s="144">
        <f t="shared" si="176"/>
        <v>12.302897296875548</v>
      </c>
      <c r="U78" s="144">
        <f t="shared" si="176"/>
        <v>12.780679716171687</v>
      </c>
      <c r="V78" s="144">
        <f t="shared" si="176"/>
        <v>13.277016792527869</v>
      </c>
      <c r="W78" s="144">
        <f t="shared" si="176"/>
        <v>13.792629095150311</v>
      </c>
      <c r="X78" s="144">
        <f t="shared" si="176"/>
        <v>14.328265176515373</v>
      </c>
      <c r="Y78" s="144">
        <f t="shared" si="176"/>
        <v>14.884702659098496</v>
      </c>
      <c r="Z78" s="144">
        <f t="shared" si="176"/>
        <v>15.462749364306204</v>
      </c>
      <c r="AA78" s="144">
        <f t="shared" si="176"/>
        <v>16.063244485250134</v>
      </c>
      <c r="AB78" s="144">
        <f t="shared" si="176"/>
        <v>16.687059805065676</v>
      </c>
      <c r="AC78" s="138">
        <f t="shared" ref="AC78:AC80" si="177">((AB78/G78)^(1/($AB$3-$H$1) ))-1</f>
        <v>-1.3403614475776093E-2</v>
      </c>
      <c r="AD78" s="31">
        <f t="shared" si="17"/>
        <v>0.04</v>
      </c>
      <c r="AE78" s="146">
        <f t="shared" si="130"/>
        <v>157.76856542971188</v>
      </c>
    </row>
    <row r="79" spans="2:31" x14ac:dyDescent="0.2">
      <c r="B79" s="20" t="s">
        <v>312</v>
      </c>
      <c r="C79" s="144">
        <f t="shared" ref="C79:P79" si="178">C40/C42</f>
        <v>0</v>
      </c>
      <c r="D79" s="144">
        <f t="shared" si="178"/>
        <v>0</v>
      </c>
      <c r="E79" s="144">
        <f t="shared" si="178"/>
        <v>0</v>
      </c>
      <c r="F79" s="144">
        <f t="shared" si="178"/>
        <v>0</v>
      </c>
      <c r="G79" s="144">
        <f t="shared" si="178"/>
        <v>13.744075829383887</v>
      </c>
      <c r="H79" s="144">
        <f t="shared" si="178"/>
        <v>15.28436018957346</v>
      </c>
      <c r="I79" s="144">
        <f t="shared" si="178"/>
        <v>23.45971563981043</v>
      </c>
      <c r="J79" s="144">
        <f t="shared" si="178"/>
        <v>25.056433408577881</v>
      </c>
      <c r="K79" s="144">
        <f t="shared" si="178"/>
        <v>30.69977426636569</v>
      </c>
      <c r="L79" s="144">
        <f t="shared" si="178"/>
        <v>37.020316027088036</v>
      </c>
      <c r="M79" s="144">
        <f t="shared" si="178"/>
        <v>56.659142212189622</v>
      </c>
      <c r="N79" s="144">
        <f t="shared" si="178"/>
        <v>97.742663656884886</v>
      </c>
      <c r="O79" s="144">
        <f t="shared" si="178"/>
        <v>6.7703052833164357</v>
      </c>
      <c r="P79" s="144">
        <f t="shared" si="178"/>
        <v>8.1671735946828896</v>
      </c>
      <c r="Q79" s="118">
        <f>((P79/G79)^(1/($H$2-$H$1) ))-1</f>
        <v>-5.6191189639926531E-2</v>
      </c>
      <c r="R79" s="128"/>
      <c r="S79" s="144">
        <f t="shared" ref="S79:AB79" si="179">S40/S42</f>
        <v>8.4843453847676606</v>
      </c>
      <c r="T79" s="144">
        <f t="shared" si="179"/>
        <v>8.8138345259236868</v>
      </c>
      <c r="U79" s="144">
        <f t="shared" si="179"/>
        <v>9.1561193618818884</v>
      </c>
      <c r="V79" s="144">
        <f t="shared" si="179"/>
        <v>9.5116968128287596</v>
      </c>
      <c r="W79" s="144">
        <f t="shared" si="179"/>
        <v>9.8810830968221079</v>
      </c>
      <c r="X79" s="144">
        <f t="shared" si="179"/>
        <v>10.264814479222967</v>
      </c>
      <c r="Y79" s="144">
        <f t="shared" si="179"/>
        <v>10.663448051231628</v>
      </c>
      <c r="Z79" s="144">
        <f t="shared" si="179"/>
        <v>11.077562538658098</v>
      </c>
      <c r="AA79" s="144">
        <f t="shared" si="179"/>
        <v>11.507759142101131</v>
      </c>
      <c r="AB79" s="144">
        <f t="shared" si="179"/>
        <v>11.954662409755544</v>
      </c>
      <c r="AC79" s="138">
        <f t="shared" si="177"/>
        <v>-7.3145135889425283E-3</v>
      </c>
      <c r="AD79" s="31">
        <f t="shared" si="17"/>
        <v>0.04</v>
      </c>
      <c r="AE79" s="146">
        <f t="shared" si="130"/>
        <v>113.02589914677971</v>
      </c>
    </row>
    <row r="80" spans="2:31" x14ac:dyDescent="0.2">
      <c r="B80" s="20" t="s">
        <v>313</v>
      </c>
      <c r="C80" s="144">
        <f t="shared" ref="C80:P80" si="180">C6/C42</f>
        <v>0</v>
      </c>
      <c r="D80" s="144">
        <f t="shared" si="180"/>
        <v>0</v>
      </c>
      <c r="E80" s="144">
        <f t="shared" si="180"/>
        <v>0</v>
      </c>
      <c r="F80" s="144">
        <f t="shared" si="180"/>
        <v>0</v>
      </c>
      <c r="G80" s="144">
        <f t="shared" si="180"/>
        <v>19.66824644549763</v>
      </c>
      <c r="H80" s="144">
        <f t="shared" si="180"/>
        <v>21.563981042654028</v>
      </c>
      <c r="I80" s="144">
        <f t="shared" si="180"/>
        <v>36.492890995260666</v>
      </c>
      <c r="J80" s="144">
        <f t="shared" si="180"/>
        <v>66.139954853273139</v>
      </c>
      <c r="K80" s="144">
        <f t="shared" si="180"/>
        <v>90.519187358916483</v>
      </c>
      <c r="L80" s="144">
        <f t="shared" si="180"/>
        <v>115.80135440180588</v>
      </c>
      <c r="M80" s="144">
        <f t="shared" si="180"/>
        <v>155.07900677200905</v>
      </c>
      <c r="N80" s="144">
        <f t="shared" si="180"/>
        <v>223.70203160270881</v>
      </c>
      <c r="O80" s="144">
        <f t="shared" si="180"/>
        <v>15.45567196124817</v>
      </c>
      <c r="P80" s="144">
        <f t="shared" si="180"/>
        <v>21.189591078066915</v>
      </c>
      <c r="Q80" s="118">
        <f>((P80/G80)^(1/($H$2-$H$1) ))-1</f>
        <v>8.3126480509938538E-3</v>
      </c>
      <c r="R80" s="128"/>
      <c r="S80" s="144">
        <f t="shared" ref="S80:AB80" si="181">S6/S42</f>
        <v>22.012487818962718</v>
      </c>
      <c r="T80" s="144">
        <f t="shared" si="181"/>
        <v>22.867341714844766</v>
      </c>
      <c r="U80" s="144">
        <f t="shared" si="181"/>
        <v>23.755393820275629</v>
      </c>
      <c r="V80" s="144">
        <f t="shared" si="181"/>
        <v>24.677933386111576</v>
      </c>
      <c r="W80" s="144">
        <f t="shared" si="181"/>
        <v>25.636299731203291</v>
      </c>
      <c r="X80" s="144">
        <f t="shared" si="181"/>
        <v>26.631884186784003</v>
      </c>
      <c r="Y80" s="144">
        <f t="shared" si="181"/>
        <v>27.666132116367852</v>
      </c>
      <c r="Z80" s="144">
        <f t="shared" si="181"/>
        <v>28.740545014090873</v>
      </c>
      <c r="AA80" s="144">
        <f t="shared" si="181"/>
        <v>29.856682684541006</v>
      </c>
      <c r="AB80" s="144">
        <f t="shared" si="181"/>
        <v>31.016165507241631</v>
      </c>
      <c r="AC80" s="138">
        <f t="shared" si="177"/>
        <v>2.426352802446119E-2</v>
      </c>
      <c r="AD80" s="31">
        <f t="shared" ref="AD80" si="182">$L$1</f>
        <v>0.04</v>
      </c>
      <c r="AE80" s="146">
        <f t="shared" si="130"/>
        <v>293.24374661392091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183">E36/E25</f>
        <v>#DIV/0!</v>
      </c>
      <c r="F84" s="152" t="e">
        <f t="shared" si="183"/>
        <v>#DIV/0!</v>
      </c>
      <c r="G84" s="152">
        <f t="shared" si="183"/>
        <v>9.3621399176954737E-2</v>
      </c>
      <c r="H84" s="152">
        <f t="shared" si="183"/>
        <v>0.11789652247667515</v>
      </c>
      <c r="I84" s="152">
        <f t="shared" si="183"/>
        <v>0.11221779548472775</v>
      </c>
      <c r="J84" s="152">
        <f t="shared" si="183"/>
        <v>9.56484274019819E-2</v>
      </c>
      <c r="K84" s="152">
        <f t="shared" si="183"/>
        <v>7.4603174603174602E-2</v>
      </c>
      <c r="L84" s="152">
        <f t="shared" si="183"/>
        <v>7.9066265060240962E-2</v>
      </c>
      <c r="M84" s="152">
        <f t="shared" si="183"/>
        <v>8.3107685898771086E-2</v>
      </c>
      <c r="N84" s="152">
        <f t="shared" si="183"/>
        <v>8.6907449209932278E-2</v>
      </c>
      <c r="O84" s="152">
        <f t="shared" si="183"/>
        <v>8.6144640462189212E-2</v>
      </c>
      <c r="P84" s="152">
        <f t="shared" si="183"/>
        <v>9.1691582857660603E-2</v>
      </c>
      <c r="Q84" s="118">
        <f t="shared" ref="Q84:Q134" si="184">((P84/G84)^(1/($H$2-$H$1) ))-1</f>
        <v>-2.3115903707476848E-3</v>
      </c>
      <c r="R84" s="152"/>
      <c r="S84" s="152">
        <f t="shared" ref="S84:AB84" si="185">S36/S25</f>
        <v>9.1691582857660603E-2</v>
      </c>
      <c r="T84" s="152">
        <f t="shared" si="185"/>
        <v>9.1691582857660603E-2</v>
      </c>
      <c r="U84" s="152">
        <f t="shared" si="185"/>
        <v>9.1691582857660603E-2</v>
      </c>
      <c r="V84" s="152">
        <f t="shared" si="185"/>
        <v>9.1691582857660617E-2</v>
      </c>
      <c r="W84" s="152">
        <f t="shared" si="185"/>
        <v>9.1691582857660603E-2</v>
      </c>
      <c r="X84" s="152">
        <f t="shared" si="185"/>
        <v>9.1691582857660603E-2</v>
      </c>
      <c r="Y84" s="152">
        <f t="shared" si="185"/>
        <v>9.1691582857660603E-2</v>
      </c>
      <c r="Z84" s="152">
        <f t="shared" si="185"/>
        <v>9.1691582857660603E-2</v>
      </c>
      <c r="AA84" s="152">
        <f t="shared" si="185"/>
        <v>9.1691582857660603E-2</v>
      </c>
      <c r="AB84" s="152">
        <f t="shared" si="185"/>
        <v>9.1691582857660603E-2</v>
      </c>
      <c r="AC84" s="138">
        <f t="shared" ref="AC84:AC121" si="186">((AB84/G84)^(1/($AB$3-$H$1) ))-1</f>
        <v>-1.095630725363006E-3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187">E40/E25</f>
        <v>#DIV/0!</v>
      </c>
      <c r="F85" s="152" t="e">
        <f t="shared" si="187"/>
        <v>#DIV/0!</v>
      </c>
      <c r="G85" s="152">
        <f t="shared" si="187"/>
        <v>5.9670781893004114E-2</v>
      </c>
      <c r="H85" s="152">
        <f t="shared" si="187"/>
        <v>5.4707379134860054E-2</v>
      </c>
      <c r="I85" s="152">
        <f t="shared" si="187"/>
        <v>6.5737051792828682E-2</v>
      </c>
      <c r="J85" s="152">
        <f t="shared" si="187"/>
        <v>4.782421370099095E-2</v>
      </c>
      <c r="K85" s="152">
        <f t="shared" si="187"/>
        <v>4.1514041514041512E-2</v>
      </c>
      <c r="L85" s="152">
        <f t="shared" si="187"/>
        <v>4.1164658634538151E-2</v>
      </c>
      <c r="M85" s="152">
        <f t="shared" si="187"/>
        <v>5.2280774838575295E-2</v>
      </c>
      <c r="N85" s="152">
        <f t="shared" si="187"/>
        <v>6.1089164785553048E-2</v>
      </c>
      <c r="O85" s="152">
        <f t="shared" si="187"/>
        <v>6.2003507685958942E-2</v>
      </c>
      <c r="P85" s="152">
        <f t="shared" si="187"/>
        <v>6.5688139893086889E-2</v>
      </c>
      <c r="Q85" s="118">
        <f t="shared" si="184"/>
        <v>1.0732282735055776E-2</v>
      </c>
      <c r="R85" s="152"/>
      <c r="S85" s="152">
        <f t="shared" ref="S85:AB85" si="188">S40/S25</f>
        <v>6.5688139893086889E-2</v>
      </c>
      <c r="T85" s="152">
        <f t="shared" si="188"/>
        <v>6.5688139893086889E-2</v>
      </c>
      <c r="U85" s="152">
        <f t="shared" si="188"/>
        <v>6.5688139893086889E-2</v>
      </c>
      <c r="V85" s="152">
        <f t="shared" si="188"/>
        <v>6.5688139893086903E-2</v>
      </c>
      <c r="W85" s="152">
        <f t="shared" si="188"/>
        <v>6.5688139893086889E-2</v>
      </c>
      <c r="X85" s="152">
        <f t="shared" si="188"/>
        <v>6.5688139893086875E-2</v>
      </c>
      <c r="Y85" s="152">
        <f t="shared" si="188"/>
        <v>6.5688139893086875E-2</v>
      </c>
      <c r="Z85" s="152">
        <f t="shared" si="188"/>
        <v>6.5688139893086875E-2</v>
      </c>
      <c r="AA85" s="152">
        <f t="shared" si="188"/>
        <v>6.5688139893086875E-2</v>
      </c>
      <c r="AB85" s="152">
        <f t="shared" si="188"/>
        <v>6.5688139893086861E-2</v>
      </c>
      <c r="AC85" s="138">
        <f t="shared" si="186"/>
        <v>5.069432891386505E-3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189">E40/E7</f>
        <v>#DIV/0!</v>
      </c>
      <c r="F86" s="152" t="e">
        <f t="shared" si="189"/>
        <v>#DIV/0!</v>
      </c>
      <c r="G86" s="152">
        <f>G40/G7</f>
        <v>0.3493975903614458</v>
      </c>
      <c r="H86" s="152">
        <f t="shared" si="189"/>
        <v>0.37068965517241381</v>
      </c>
      <c r="I86" s="152">
        <f t="shared" si="189"/>
        <v>0.41949152542372881</v>
      </c>
      <c r="J86" s="152">
        <f t="shared" si="189"/>
        <v>0.32937685459940652</v>
      </c>
      <c r="K86" s="152">
        <f t="shared" si="189"/>
        <v>0.30561797752808989</v>
      </c>
      <c r="L86" s="152">
        <f t="shared" si="189"/>
        <v>0.29390681003584229</v>
      </c>
      <c r="M86" s="152">
        <f t="shared" si="189"/>
        <v>0.34289617486338797</v>
      </c>
      <c r="N86" s="152">
        <f t="shared" si="189"/>
        <v>0.41835748792270533</v>
      </c>
      <c r="O86" s="152">
        <f t="shared" si="189"/>
        <v>0.41136208076659819</v>
      </c>
      <c r="P86" s="152">
        <f t="shared" ref="P86" si="190">P40/P7</f>
        <v>0.36820721178263077</v>
      </c>
      <c r="Q86" s="118">
        <f t="shared" si="184"/>
        <v>5.8431554703817223E-3</v>
      </c>
      <c r="R86" s="20"/>
      <c r="S86" s="152">
        <f t="shared" ref="S86" si="191">S40/S7</f>
        <v>0.36820721178263077</v>
      </c>
      <c r="T86" s="152">
        <f t="shared" ref="T86:AB86" si="192">T40/T7</f>
        <v>0.36820721178263077</v>
      </c>
      <c r="U86" s="152">
        <f t="shared" si="192"/>
        <v>0.36820721178263077</v>
      </c>
      <c r="V86" s="152">
        <f t="shared" si="192"/>
        <v>0.36820721178263077</v>
      </c>
      <c r="W86" s="152">
        <f t="shared" si="192"/>
        <v>0.36820721178263077</v>
      </c>
      <c r="X86" s="152">
        <f t="shared" si="192"/>
        <v>0.36820721178263077</v>
      </c>
      <c r="Y86" s="152">
        <f t="shared" si="192"/>
        <v>0.36820721178263077</v>
      </c>
      <c r="Z86" s="152">
        <f t="shared" si="192"/>
        <v>0.36820721178263077</v>
      </c>
      <c r="AA86" s="152">
        <f t="shared" si="192"/>
        <v>0.36820721178263072</v>
      </c>
      <c r="AB86" s="152">
        <f t="shared" si="192"/>
        <v>0.36820721178263066</v>
      </c>
      <c r="AC86" s="138">
        <f t="shared" si="186"/>
        <v>2.7635671057595346E-3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193">(E40)/(E7+E10)</f>
        <v>#DIV/0!</v>
      </c>
      <c r="F87" s="152" t="e">
        <f t="shared" si="193"/>
        <v>#DIV/0!</v>
      </c>
      <c r="G87" s="152">
        <f>(G40)/(G7+G10)</f>
        <v>0.1012216404886562</v>
      </c>
      <c r="H87" s="152">
        <f t="shared" ref="H87:O87" si="194">(H40)/(H7+H10)</f>
        <v>0.1308316430020284</v>
      </c>
      <c r="I87" s="152">
        <f t="shared" si="194"/>
        <v>0.19642857142857142</v>
      </c>
      <c r="J87" s="152">
        <f t="shared" si="194"/>
        <v>0.19006849315068494</v>
      </c>
      <c r="K87" s="152">
        <f t="shared" si="194"/>
        <v>0.20763358778625954</v>
      </c>
      <c r="L87" s="152">
        <f t="shared" si="194"/>
        <v>0.22651933701657459</v>
      </c>
      <c r="M87" s="152">
        <f t="shared" si="194"/>
        <v>0.31180124223602484</v>
      </c>
      <c r="N87" s="152">
        <f t="shared" si="194"/>
        <v>0.41439372188726192</v>
      </c>
      <c r="O87" s="152">
        <f t="shared" si="194"/>
        <v>0.40971033956193031</v>
      </c>
      <c r="P87" s="152">
        <f t="shared" ref="P87" si="195">(P40)/(P7+P10)</f>
        <v>0.3682053417707376</v>
      </c>
      <c r="Q87" s="118">
        <f t="shared" si="184"/>
        <v>0.15428477705449617</v>
      </c>
      <c r="R87" s="20"/>
      <c r="S87" s="152">
        <f t="shared" ref="S87:AB87" si="196">(S40)/(S7+S10)</f>
        <v>0.3682053417707376</v>
      </c>
      <c r="T87" s="152">
        <f t="shared" si="196"/>
        <v>0.36820534177073755</v>
      </c>
      <c r="U87" s="152">
        <f t="shared" si="196"/>
        <v>0.36820534177073755</v>
      </c>
      <c r="V87" s="152">
        <f t="shared" si="196"/>
        <v>0.36820534177073755</v>
      </c>
      <c r="W87" s="152">
        <f t="shared" si="196"/>
        <v>0.3682053417707376</v>
      </c>
      <c r="X87" s="152">
        <f t="shared" si="196"/>
        <v>0.36820534177073755</v>
      </c>
      <c r="Y87" s="152">
        <f t="shared" si="196"/>
        <v>0.36820534177073755</v>
      </c>
      <c r="Z87" s="152">
        <f t="shared" si="196"/>
        <v>0.36820534177073755</v>
      </c>
      <c r="AA87" s="152">
        <f t="shared" si="196"/>
        <v>0.36820534177073749</v>
      </c>
      <c r="AB87" s="152">
        <f t="shared" si="196"/>
        <v>0.36820534177073744</v>
      </c>
      <c r="AC87" s="138">
        <f t="shared" si="186"/>
        <v>7.0327463491048459E-2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0.11831275720164609</v>
      </c>
      <c r="H88" s="152">
        <f t="shared" ref="H88:P88" si="197">H20/H25</f>
        <v>0.13910093299406276</v>
      </c>
      <c r="I88" s="152">
        <f t="shared" si="197"/>
        <v>8.1009296148738377E-2</v>
      </c>
      <c r="J88" s="152">
        <f t="shared" si="197"/>
        <v>5.4286945282205942E-2</v>
      </c>
      <c r="K88" s="152">
        <f t="shared" si="197"/>
        <v>3.1135531135531136E-2</v>
      </c>
      <c r="L88" s="152">
        <f t="shared" si="197"/>
        <v>3.9909638554216864E-2</v>
      </c>
      <c r="M88" s="152">
        <f t="shared" si="197"/>
        <v>7.1235159341803786E-2</v>
      </c>
      <c r="N88" s="152">
        <f t="shared" si="197"/>
        <v>0.14461060948081264</v>
      </c>
      <c r="O88" s="152">
        <f t="shared" si="197"/>
        <v>1.6197255751573301E-2</v>
      </c>
      <c r="P88" s="152">
        <f t="shared" si="197"/>
        <v>4.104376189181843E-2</v>
      </c>
      <c r="Q88" s="118">
        <f t="shared" si="184"/>
        <v>-0.1109773154905801</v>
      </c>
      <c r="R88" s="20"/>
      <c r="S88" s="152">
        <f t="shared" ref="S88:AB88" si="198">S20/S25</f>
        <v>4.104376189181843E-2</v>
      </c>
      <c r="T88" s="152">
        <f t="shared" si="198"/>
        <v>4.1043761891818437E-2</v>
      </c>
      <c r="U88" s="152">
        <f t="shared" si="198"/>
        <v>4.1043761891818437E-2</v>
      </c>
      <c r="V88" s="152">
        <f t="shared" si="198"/>
        <v>4.1043761891818437E-2</v>
      </c>
      <c r="W88" s="152">
        <f t="shared" si="198"/>
        <v>4.104376189181843E-2</v>
      </c>
      <c r="X88" s="152">
        <f t="shared" si="198"/>
        <v>4.1043761891818423E-2</v>
      </c>
      <c r="Y88" s="152">
        <f t="shared" si="198"/>
        <v>4.1043761891818423E-2</v>
      </c>
      <c r="Z88" s="152">
        <f t="shared" si="198"/>
        <v>4.1043761891818423E-2</v>
      </c>
      <c r="AA88" s="152">
        <f t="shared" si="198"/>
        <v>4.1043761891818423E-2</v>
      </c>
      <c r="AB88" s="152">
        <f t="shared" si="198"/>
        <v>4.1043761891818423E-2</v>
      </c>
      <c r="AC88" s="138">
        <f t="shared" si="186"/>
        <v>-5.4196710378317303E-2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4.3209876543209874E-2</v>
      </c>
      <c r="H90" s="152">
        <f t="shared" ref="H90:P90" si="199">H29/H25</f>
        <v>2.7989821882951654E-2</v>
      </c>
      <c r="I90" s="152">
        <f t="shared" si="199"/>
        <v>1.6600265604249667E-2</v>
      </c>
      <c r="J90" s="152">
        <f t="shared" si="199"/>
        <v>9.1512279190004309E-3</v>
      </c>
      <c r="K90" s="152">
        <f t="shared" si="199"/>
        <v>6.41025641025641E-3</v>
      </c>
      <c r="L90" s="152">
        <f t="shared" si="199"/>
        <v>7.2038152610441764E-3</v>
      </c>
      <c r="M90" s="152">
        <f t="shared" si="199"/>
        <v>5.2905644657363048E-3</v>
      </c>
      <c r="N90" s="152">
        <f t="shared" si="199"/>
        <v>4.8730248306997738E-3</v>
      </c>
      <c r="O90" s="152">
        <f t="shared" si="199"/>
        <v>4.5115031466006397E-3</v>
      </c>
      <c r="P90" s="152">
        <f t="shared" si="199"/>
        <v>4.5891093594273803E-3</v>
      </c>
      <c r="Q90" s="118">
        <f t="shared" si="184"/>
        <v>-0.22053982385788262</v>
      </c>
      <c r="R90" s="20"/>
      <c r="S90" s="152">
        <f t="shared" ref="S90:AB90" si="200">S29/S25</f>
        <v>4.5891093594273812E-3</v>
      </c>
      <c r="T90" s="152">
        <f t="shared" si="200"/>
        <v>4.5891093594273812E-3</v>
      </c>
      <c r="U90" s="152">
        <f t="shared" si="200"/>
        <v>4.5891093594273812E-3</v>
      </c>
      <c r="V90" s="152">
        <f t="shared" si="200"/>
        <v>4.5891093594273812E-3</v>
      </c>
      <c r="W90" s="152">
        <f t="shared" si="200"/>
        <v>4.5891093594273812E-3</v>
      </c>
      <c r="X90" s="152">
        <f t="shared" si="200"/>
        <v>4.5891093594273803E-3</v>
      </c>
      <c r="Y90" s="152">
        <f t="shared" si="200"/>
        <v>4.5891093594273794E-3</v>
      </c>
      <c r="Z90" s="152">
        <f t="shared" si="200"/>
        <v>4.5891093594273794E-3</v>
      </c>
      <c r="AA90" s="152">
        <f t="shared" si="200"/>
        <v>4.5891093594273794E-3</v>
      </c>
      <c r="AB90" s="152">
        <f t="shared" si="200"/>
        <v>4.5891093594273803E-3</v>
      </c>
      <c r="AC90" s="138">
        <f t="shared" si="186"/>
        <v>-0.11132186738179572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0.46153846153846156</v>
      </c>
      <c r="H91" s="152">
        <f t="shared" ref="H91:P91" si="201">H29/H36</f>
        <v>0.23741007194244604</v>
      </c>
      <c r="I91" s="152">
        <f t="shared" si="201"/>
        <v>0.14792899408284024</v>
      </c>
      <c r="J91" s="152">
        <f t="shared" si="201"/>
        <v>9.567567567567567E-2</v>
      </c>
      <c r="K91" s="152">
        <f t="shared" si="201"/>
        <v>8.5924713584288048E-2</v>
      </c>
      <c r="L91" s="152">
        <f t="shared" si="201"/>
        <v>9.1111111111111115E-2</v>
      </c>
      <c r="M91" s="152">
        <f t="shared" si="201"/>
        <v>6.3659147869674179E-2</v>
      </c>
      <c r="N91" s="152">
        <f t="shared" si="201"/>
        <v>5.6071428571428571E-2</v>
      </c>
      <c r="O91" s="152">
        <f t="shared" si="201"/>
        <v>5.2371257485029937E-2</v>
      </c>
      <c r="P91" s="152">
        <f t="shared" si="201"/>
        <v>5.0049407114624501E-2</v>
      </c>
      <c r="Q91" s="118">
        <f t="shared" ref="Q91" si="202">((P91/G91)^(1/($H$2-$H$1) ))-1</f>
        <v>-0.21873385656372413</v>
      </c>
      <c r="R91" s="20"/>
      <c r="S91" s="152">
        <f t="shared" ref="S91:AB91" si="203">S29/S36</f>
        <v>5.0049407114624501E-2</v>
      </c>
      <c r="T91" s="152">
        <f t="shared" si="203"/>
        <v>5.0049407114624501E-2</v>
      </c>
      <c r="U91" s="152">
        <f t="shared" si="203"/>
        <v>5.0049407114624508E-2</v>
      </c>
      <c r="V91" s="152">
        <f t="shared" si="203"/>
        <v>5.0049407114624501E-2</v>
      </c>
      <c r="W91" s="152">
        <f t="shared" si="203"/>
        <v>5.0049407114624501E-2</v>
      </c>
      <c r="X91" s="152">
        <f t="shared" si="203"/>
        <v>5.0049407114624495E-2</v>
      </c>
      <c r="Y91" s="152">
        <f t="shared" si="203"/>
        <v>5.0049407114624495E-2</v>
      </c>
      <c r="Z91" s="152">
        <f t="shared" si="203"/>
        <v>5.0049407114624488E-2</v>
      </c>
      <c r="AA91" s="152">
        <f t="shared" si="203"/>
        <v>5.0049407114624488E-2</v>
      </c>
      <c r="AB91" s="152">
        <f t="shared" si="203"/>
        <v>5.0049407114624495E-2</v>
      </c>
      <c r="AC91" s="138">
        <f t="shared" ref="AC91" si="204">((AB91/G91)^(1/($AB$3-$H$1) ))-1</f>
        <v>-0.11034713636949489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05">G29/G40</f>
        <v>0.72413793103448276</v>
      </c>
      <c r="H92" s="171">
        <f t="shared" si="205"/>
        <v>0.51162790697674421</v>
      </c>
      <c r="I92" s="171">
        <f t="shared" si="205"/>
        <v>0.25252525252525254</v>
      </c>
      <c r="J92" s="171">
        <f t="shared" si="205"/>
        <v>0.19135135135135134</v>
      </c>
      <c r="K92" s="171">
        <f t="shared" si="205"/>
        <v>0.15441176470588236</v>
      </c>
      <c r="L92" s="171">
        <f t="shared" si="205"/>
        <v>0.17499999999999999</v>
      </c>
      <c r="M92" s="171">
        <f t="shared" si="205"/>
        <v>0.10119521912350597</v>
      </c>
      <c r="N92" s="171">
        <f t="shared" si="205"/>
        <v>7.9769053117782915E-2</v>
      </c>
      <c r="O92" s="171">
        <f t="shared" si="205"/>
        <v>7.2762063227953408E-2</v>
      </c>
      <c r="P92" s="171">
        <f t="shared" si="205"/>
        <v>6.9862068965517235E-2</v>
      </c>
      <c r="Q92" s="118">
        <f t="shared" ref="Q92" si="206">((P92/G92)^(1/($H$2-$H$1) ))-1</f>
        <v>-0.22881638446049524</v>
      </c>
      <c r="R92" s="20"/>
      <c r="S92" s="171">
        <f t="shared" ref="S92:AB92" si="207">S29/S40</f>
        <v>6.9862068965517249E-2</v>
      </c>
      <c r="T92" s="171">
        <f t="shared" si="207"/>
        <v>6.9862068965517249E-2</v>
      </c>
      <c r="U92" s="171">
        <f t="shared" si="207"/>
        <v>6.9862068965517249E-2</v>
      </c>
      <c r="V92" s="171">
        <f t="shared" si="207"/>
        <v>6.9862068965517235E-2</v>
      </c>
      <c r="W92" s="171">
        <f t="shared" si="207"/>
        <v>6.9862068965517249E-2</v>
      </c>
      <c r="X92" s="171">
        <f t="shared" si="207"/>
        <v>6.9862068965517249E-2</v>
      </c>
      <c r="Y92" s="171">
        <f t="shared" si="207"/>
        <v>6.9862068965517249E-2</v>
      </c>
      <c r="Z92" s="171">
        <f t="shared" si="207"/>
        <v>6.9862068965517235E-2</v>
      </c>
      <c r="AA92" s="171">
        <f t="shared" si="207"/>
        <v>6.9862068965517249E-2</v>
      </c>
      <c r="AB92" s="171">
        <f t="shared" si="207"/>
        <v>6.9862068965517249E-2</v>
      </c>
      <c r="AC92" s="138">
        <f t="shared" ref="AC92" si="208">((AB92/G92)^(1/($AB$3-$H$1) ))-1</f>
        <v>-0.11580423845778243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09">G29/G12</f>
        <v>1.5555555555555556</v>
      </c>
      <c r="H93" s="171">
        <f t="shared" si="209"/>
        <v>0.73333333333333328</v>
      </c>
      <c r="I93" s="171">
        <f t="shared" si="209"/>
        <v>0.65789473684210531</v>
      </c>
      <c r="J93" s="171">
        <f t="shared" si="209"/>
        <v>0.41647058823529409</v>
      </c>
      <c r="K93" s="171">
        <f t="shared" si="209"/>
        <v>0.40384615384615385</v>
      </c>
      <c r="L93" s="171">
        <f t="shared" si="209"/>
        <v>0.52181818181818185</v>
      </c>
      <c r="M93" s="171">
        <f t="shared" si="209"/>
        <v>0.12893401015228426</v>
      </c>
      <c r="N93" s="171">
        <f t="shared" si="209"/>
        <v>3.1117117117117118E-2</v>
      </c>
      <c r="O93" s="171">
        <f t="shared" si="209"/>
        <v>4.5222337125129262E-2</v>
      </c>
      <c r="P93" s="171">
        <f t="shared" si="209"/>
        <v>4.446883230904302E-2</v>
      </c>
      <c r="Q93" s="118">
        <f t="shared" si="184"/>
        <v>-0.32630495136928495</v>
      </c>
      <c r="R93" s="20"/>
      <c r="S93" s="152">
        <f t="shared" ref="S93:AB93" si="210">S29/S12</f>
        <v>4.446883230904302E-2</v>
      </c>
      <c r="T93" s="152">
        <f t="shared" si="210"/>
        <v>4.446883230904302E-2</v>
      </c>
      <c r="U93" s="152">
        <f t="shared" si="210"/>
        <v>4.446883230904302E-2</v>
      </c>
      <c r="V93" s="152">
        <f t="shared" si="210"/>
        <v>4.4468832309043013E-2</v>
      </c>
      <c r="W93" s="152">
        <f t="shared" si="210"/>
        <v>4.4468832309043013E-2</v>
      </c>
      <c r="X93" s="152">
        <f t="shared" si="210"/>
        <v>4.4468832309043006E-2</v>
      </c>
      <c r="Y93" s="152">
        <f t="shared" si="210"/>
        <v>4.4468832309043006E-2</v>
      </c>
      <c r="Z93" s="152">
        <f t="shared" si="210"/>
        <v>4.4468832309043006E-2</v>
      </c>
      <c r="AA93" s="152">
        <f t="shared" si="210"/>
        <v>4.4468832309043006E-2</v>
      </c>
      <c r="AB93" s="152">
        <f t="shared" si="210"/>
        <v>4.4468832309043013E-2</v>
      </c>
      <c r="AC93" s="138">
        <f t="shared" si="186"/>
        <v>-0.1706348162940603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1.5555555555555556</v>
      </c>
      <c r="H94" s="171">
        <f t="shared" ref="H94:P94" si="211">H29/H23</f>
        <v>0.75862068965517238</v>
      </c>
      <c r="I94" s="171">
        <f t="shared" si="211"/>
        <v>0.65291198746408985</v>
      </c>
      <c r="J94" s="171">
        <f t="shared" si="211"/>
        <v>0.41647058823529409</v>
      </c>
      <c r="K94" s="171">
        <f t="shared" si="211"/>
        <v>0.40384615384615385</v>
      </c>
      <c r="L94" s="171">
        <f t="shared" si="211"/>
        <v>0.52181818181818185</v>
      </c>
      <c r="M94" s="171">
        <f t="shared" si="211"/>
        <v>0.1358288770053476</v>
      </c>
      <c r="N94" s="171">
        <f t="shared" si="211"/>
        <v>3.1572212065813531E-2</v>
      </c>
      <c r="O94" s="171">
        <f t="shared" si="211"/>
        <v>4.5694879832810863E-2</v>
      </c>
      <c r="P94" s="171">
        <f t="shared" si="211"/>
        <v>4.4586267605633799E-2</v>
      </c>
      <c r="Q94" s="118">
        <f t="shared" ref="Q94" si="212">((P94/G94)^(1/($H$2-$H$1) ))-1</f>
        <v>-0.32610750253154541</v>
      </c>
      <c r="R94" s="20"/>
      <c r="S94" s="171">
        <f t="shared" ref="S94:AB94" si="213">S29/S23</f>
        <v>4.4586267605633806E-2</v>
      </c>
      <c r="T94" s="171">
        <f t="shared" si="213"/>
        <v>4.4586267605633806E-2</v>
      </c>
      <c r="U94" s="171">
        <f t="shared" si="213"/>
        <v>4.4586267605633799E-2</v>
      </c>
      <c r="V94" s="171">
        <f t="shared" si="213"/>
        <v>4.4586267605633792E-2</v>
      </c>
      <c r="W94" s="171">
        <f t="shared" si="213"/>
        <v>4.4586267605633799E-2</v>
      </c>
      <c r="X94" s="171">
        <f t="shared" si="213"/>
        <v>4.4586267605633792E-2</v>
      </c>
      <c r="Y94" s="171">
        <f t="shared" si="213"/>
        <v>4.4586267605633792E-2</v>
      </c>
      <c r="Z94" s="171">
        <f t="shared" si="213"/>
        <v>4.4586267605633785E-2</v>
      </c>
      <c r="AA94" s="171">
        <f t="shared" si="213"/>
        <v>4.4586267605633785E-2</v>
      </c>
      <c r="AB94" s="171">
        <f t="shared" si="213"/>
        <v>4.4586267605633792E-2</v>
      </c>
      <c r="AC94" s="138">
        <f t="shared" ref="AC94" si="214">((AB94/G94)^(1/($AB$3-$H$1) ))-1</f>
        <v>-0.17051968525017414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402</v>
      </c>
      <c r="C96" s="152"/>
      <c r="D96" s="152"/>
      <c r="E96" s="152"/>
      <c r="F96" s="152"/>
      <c r="G96" s="127">
        <f>1/G90</f>
        <v>23.142857142857146</v>
      </c>
      <c r="H96" s="127">
        <f t="shared" ref="H96:P96" si="215">1/H90</f>
        <v>35.727272727272727</v>
      </c>
      <c r="I96" s="127">
        <f t="shared" si="215"/>
        <v>60.24</v>
      </c>
      <c r="J96" s="127">
        <f t="shared" si="215"/>
        <v>109.27495291902072</v>
      </c>
      <c r="K96" s="127">
        <f t="shared" si="215"/>
        <v>156</v>
      </c>
      <c r="L96" s="127">
        <f t="shared" si="215"/>
        <v>138.81533101045298</v>
      </c>
      <c r="M96" s="127">
        <f t="shared" si="215"/>
        <v>189.01574803149606</v>
      </c>
      <c r="N96" s="127">
        <f t="shared" si="215"/>
        <v>205.21134916039375</v>
      </c>
      <c r="O96" s="127">
        <f t="shared" si="215"/>
        <v>221.65561399496912</v>
      </c>
      <c r="P96" s="127">
        <f t="shared" si="215"/>
        <v>217.90720631786775</v>
      </c>
      <c r="Q96" s="118">
        <f t="shared" si="184"/>
        <v>0.2829391809975832</v>
      </c>
      <c r="R96" s="20"/>
      <c r="S96" s="127">
        <f t="shared" ref="S96:AB96" si="216">1/S90</f>
        <v>217.90720631786769</v>
      </c>
      <c r="T96" s="127">
        <f t="shared" si="216"/>
        <v>217.90720631786769</v>
      </c>
      <c r="U96" s="127">
        <f t="shared" si="216"/>
        <v>217.90720631786769</v>
      </c>
      <c r="V96" s="127">
        <f t="shared" si="216"/>
        <v>217.90720631786769</v>
      </c>
      <c r="W96" s="127">
        <f t="shared" si="216"/>
        <v>217.90720631786769</v>
      </c>
      <c r="X96" s="127">
        <f t="shared" si="216"/>
        <v>217.90720631786775</v>
      </c>
      <c r="Y96" s="127">
        <f t="shared" si="216"/>
        <v>217.90720631786778</v>
      </c>
      <c r="Z96" s="127">
        <f t="shared" si="216"/>
        <v>217.90720631786778</v>
      </c>
      <c r="AA96" s="127">
        <f t="shared" si="216"/>
        <v>217.90720631786778</v>
      </c>
      <c r="AB96" s="127">
        <f t="shared" si="216"/>
        <v>217.90720631786775</v>
      </c>
      <c r="AC96" s="138">
        <f t="shared" si="186"/>
        <v>0.12526680166397441</v>
      </c>
      <c r="AD96" s="146"/>
      <c r="AE96" s="146"/>
    </row>
    <row r="97" spans="2:31" ht="12" customHeight="1" x14ac:dyDescent="0.2">
      <c r="B97" s="20" t="s">
        <v>403</v>
      </c>
      <c r="C97" s="152"/>
      <c r="D97" s="152"/>
      <c r="E97" s="152"/>
      <c r="F97" s="152"/>
      <c r="G97" s="127">
        <f t="shared" ref="G97:P100" si="217">1/G91</f>
        <v>2.1666666666666665</v>
      </c>
      <c r="H97" s="127">
        <f t="shared" si="217"/>
        <v>4.2121212121212119</v>
      </c>
      <c r="I97" s="127">
        <f t="shared" si="217"/>
        <v>6.76</v>
      </c>
      <c r="J97" s="127">
        <f t="shared" si="217"/>
        <v>10.451977401129945</v>
      </c>
      <c r="K97" s="127">
        <f t="shared" si="217"/>
        <v>11.638095238095239</v>
      </c>
      <c r="L97" s="127">
        <f t="shared" si="217"/>
        <v>10.97560975609756</v>
      </c>
      <c r="M97" s="127">
        <f t="shared" si="217"/>
        <v>15.708661417322837</v>
      </c>
      <c r="N97" s="127">
        <f t="shared" si="217"/>
        <v>17.834394904458598</v>
      </c>
      <c r="O97" s="127">
        <f t="shared" si="217"/>
        <v>19.094443174022413</v>
      </c>
      <c r="P97" s="127">
        <f t="shared" si="217"/>
        <v>19.980256663376114</v>
      </c>
      <c r="Q97" s="118">
        <f t="shared" si="184"/>
        <v>0.27997355114053413</v>
      </c>
      <c r="R97" s="20"/>
      <c r="S97" s="127">
        <f t="shared" ref="S97:AB97" si="218">1/S91</f>
        <v>19.980256663376114</v>
      </c>
      <c r="T97" s="127">
        <f t="shared" si="218"/>
        <v>19.980256663376114</v>
      </c>
      <c r="U97" s="127">
        <f t="shared" si="218"/>
        <v>19.98025666337611</v>
      </c>
      <c r="V97" s="127">
        <f t="shared" si="218"/>
        <v>19.980256663376114</v>
      </c>
      <c r="W97" s="127">
        <f t="shared" si="218"/>
        <v>19.980256663376114</v>
      </c>
      <c r="X97" s="127">
        <f t="shared" si="218"/>
        <v>19.980256663376114</v>
      </c>
      <c r="Y97" s="127">
        <f t="shared" si="218"/>
        <v>19.980256663376114</v>
      </c>
      <c r="Z97" s="127">
        <f t="shared" si="218"/>
        <v>19.980256663376117</v>
      </c>
      <c r="AA97" s="127">
        <f t="shared" si="218"/>
        <v>19.980256663376117</v>
      </c>
      <c r="AB97" s="127">
        <f t="shared" si="218"/>
        <v>19.980256663376114</v>
      </c>
      <c r="AC97" s="138">
        <f t="shared" si="186"/>
        <v>0.12403392478184028</v>
      </c>
      <c r="AD97" s="146"/>
      <c r="AE97" s="146"/>
    </row>
    <row r="98" spans="2:31" ht="12" customHeight="1" x14ac:dyDescent="0.2">
      <c r="B98" s="20" t="s">
        <v>404</v>
      </c>
      <c r="C98" s="152"/>
      <c r="D98" s="152"/>
      <c r="E98" s="152"/>
      <c r="F98" s="152"/>
      <c r="G98" s="127">
        <f t="shared" si="217"/>
        <v>1.3809523809523809</v>
      </c>
      <c r="H98" s="127">
        <f t="shared" si="217"/>
        <v>1.9545454545454544</v>
      </c>
      <c r="I98" s="127">
        <f t="shared" si="217"/>
        <v>3.96</v>
      </c>
      <c r="J98" s="127">
        <f t="shared" si="217"/>
        <v>5.2259887005649723</v>
      </c>
      <c r="K98" s="127">
        <f t="shared" si="217"/>
        <v>6.4761904761904763</v>
      </c>
      <c r="L98" s="127">
        <f t="shared" si="217"/>
        <v>5.7142857142857144</v>
      </c>
      <c r="M98" s="127">
        <f t="shared" si="217"/>
        <v>9.8818897637795278</v>
      </c>
      <c r="N98" s="127">
        <f t="shared" si="217"/>
        <v>12.536189924724956</v>
      </c>
      <c r="O98" s="127">
        <f t="shared" si="217"/>
        <v>13.743425565973016</v>
      </c>
      <c r="P98" s="127">
        <f t="shared" si="217"/>
        <v>14.313919052319843</v>
      </c>
      <c r="Q98" s="118">
        <f t="shared" si="184"/>
        <v>0.29670804701993014</v>
      </c>
      <c r="R98" s="20"/>
      <c r="S98" s="127">
        <f t="shared" ref="S98:AB98" si="219">1/S92</f>
        <v>14.313919052319841</v>
      </c>
      <c r="T98" s="127">
        <f t="shared" si="219"/>
        <v>14.313919052319841</v>
      </c>
      <c r="U98" s="127">
        <f t="shared" si="219"/>
        <v>14.313919052319841</v>
      </c>
      <c r="V98" s="127">
        <f t="shared" si="219"/>
        <v>14.313919052319843</v>
      </c>
      <c r="W98" s="127">
        <f t="shared" si="219"/>
        <v>14.313919052319841</v>
      </c>
      <c r="X98" s="127">
        <f t="shared" si="219"/>
        <v>14.313919052319841</v>
      </c>
      <c r="Y98" s="127">
        <f t="shared" si="219"/>
        <v>14.313919052319841</v>
      </c>
      <c r="Z98" s="127">
        <f t="shared" si="219"/>
        <v>14.313919052319843</v>
      </c>
      <c r="AA98" s="127">
        <f t="shared" si="219"/>
        <v>14.313919052319841</v>
      </c>
      <c r="AB98" s="127">
        <f t="shared" si="219"/>
        <v>14.313919052319841</v>
      </c>
      <c r="AC98" s="138">
        <f t="shared" si="186"/>
        <v>0.13097126619991517</v>
      </c>
      <c r="AD98" s="146"/>
      <c r="AE98" s="146"/>
    </row>
    <row r="99" spans="2:31" ht="12" customHeight="1" x14ac:dyDescent="0.2">
      <c r="B99" s="20" t="s">
        <v>405</v>
      </c>
      <c r="C99" s="152"/>
      <c r="D99" s="152"/>
      <c r="E99" s="152"/>
      <c r="F99" s="152"/>
      <c r="G99" s="127">
        <f t="shared" si="217"/>
        <v>0.64285714285714279</v>
      </c>
      <c r="H99" s="127">
        <f t="shared" si="217"/>
        <v>1.3636363636363638</v>
      </c>
      <c r="I99" s="127">
        <f t="shared" si="217"/>
        <v>1.5199999999999998</v>
      </c>
      <c r="J99" s="127">
        <f t="shared" si="217"/>
        <v>2.4011299435028248</v>
      </c>
      <c r="K99" s="127">
        <f t="shared" si="217"/>
        <v>2.4761904761904763</v>
      </c>
      <c r="L99" s="127">
        <f t="shared" si="217"/>
        <v>1.9163763066202089</v>
      </c>
      <c r="M99" s="127">
        <f t="shared" si="217"/>
        <v>7.7559055118110241</v>
      </c>
      <c r="N99" s="127">
        <f t="shared" si="217"/>
        <v>32.136653155761437</v>
      </c>
      <c r="O99" s="127">
        <f t="shared" si="217"/>
        <v>22.112965927281046</v>
      </c>
      <c r="P99" s="127">
        <f t="shared" si="217"/>
        <v>22.487660414610069</v>
      </c>
      <c r="Q99" s="118">
        <f t="shared" si="184"/>
        <v>0.48435112003940017</v>
      </c>
      <c r="R99" s="20"/>
      <c r="S99" s="127">
        <f t="shared" ref="S99:AB99" si="220">1/S93</f>
        <v>22.487660414610069</v>
      </c>
      <c r="T99" s="127">
        <f t="shared" si="220"/>
        <v>22.487660414610069</v>
      </c>
      <c r="U99" s="127">
        <f t="shared" si="220"/>
        <v>22.487660414610069</v>
      </c>
      <c r="V99" s="127">
        <f t="shared" si="220"/>
        <v>22.487660414610072</v>
      </c>
      <c r="W99" s="127">
        <f t="shared" si="220"/>
        <v>22.487660414610072</v>
      </c>
      <c r="X99" s="127">
        <f t="shared" si="220"/>
        <v>22.487660414610076</v>
      </c>
      <c r="Y99" s="127">
        <f t="shared" si="220"/>
        <v>22.487660414610076</v>
      </c>
      <c r="Z99" s="127">
        <f t="shared" si="220"/>
        <v>22.487660414610076</v>
      </c>
      <c r="AA99" s="127">
        <f t="shared" si="220"/>
        <v>22.487660414610076</v>
      </c>
      <c r="AB99" s="127">
        <f t="shared" si="220"/>
        <v>22.487660414610072</v>
      </c>
      <c r="AC99" s="138">
        <f t="shared" si="186"/>
        <v>0.20574147510219176</v>
      </c>
      <c r="AD99" s="146"/>
      <c r="AE99" s="146"/>
    </row>
    <row r="100" spans="2:31" ht="12" customHeight="1" x14ac:dyDescent="0.2">
      <c r="B100" s="20" t="s">
        <v>406</v>
      </c>
      <c r="C100" s="152"/>
      <c r="D100" s="152"/>
      <c r="E100" s="152"/>
      <c r="F100" s="152"/>
      <c r="G100" s="127">
        <f t="shared" si="217"/>
        <v>0.64285714285714279</v>
      </c>
      <c r="H100" s="127">
        <f t="shared" si="217"/>
        <v>1.3181818181818183</v>
      </c>
      <c r="I100" s="127">
        <f t="shared" si="217"/>
        <v>1.5316000000000001</v>
      </c>
      <c r="J100" s="127">
        <f t="shared" si="217"/>
        <v>2.4011299435028248</v>
      </c>
      <c r="K100" s="127">
        <f t="shared" si="217"/>
        <v>2.4761904761904763</v>
      </c>
      <c r="L100" s="127">
        <f t="shared" si="217"/>
        <v>1.9163763066202089</v>
      </c>
      <c r="M100" s="127">
        <f t="shared" si="217"/>
        <v>7.3622047244094482</v>
      </c>
      <c r="N100" s="127">
        <f t="shared" si="217"/>
        <v>31.673422119281991</v>
      </c>
      <c r="O100" s="127">
        <f t="shared" si="217"/>
        <v>21.884289961125088</v>
      </c>
      <c r="P100" s="127">
        <f t="shared" si="217"/>
        <v>22.428430404738403</v>
      </c>
      <c r="Q100" s="118">
        <f t="shared" si="184"/>
        <v>0.4839162088264839</v>
      </c>
      <c r="R100" s="20"/>
      <c r="S100" s="127">
        <f t="shared" ref="S100:AB100" si="221">1/S94</f>
        <v>22.4284304047384</v>
      </c>
      <c r="T100" s="127">
        <f t="shared" si="221"/>
        <v>22.4284304047384</v>
      </c>
      <c r="U100" s="127">
        <f t="shared" si="221"/>
        <v>22.428430404738403</v>
      </c>
      <c r="V100" s="127">
        <f t="shared" si="221"/>
        <v>22.428430404738407</v>
      </c>
      <c r="W100" s="127">
        <f t="shared" si="221"/>
        <v>22.428430404738403</v>
      </c>
      <c r="X100" s="127">
        <f t="shared" si="221"/>
        <v>22.428430404738407</v>
      </c>
      <c r="Y100" s="127">
        <f t="shared" si="221"/>
        <v>22.428430404738407</v>
      </c>
      <c r="Z100" s="127">
        <f t="shared" si="221"/>
        <v>22.42843040473841</v>
      </c>
      <c r="AA100" s="127">
        <f t="shared" si="221"/>
        <v>22.42843040473841</v>
      </c>
      <c r="AB100" s="127">
        <f t="shared" si="221"/>
        <v>22.428430404738407</v>
      </c>
      <c r="AC100" s="138">
        <f t="shared" si="186"/>
        <v>0.20557411938293368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22">F10-(F12+F13)</f>
        <v>0</v>
      </c>
      <c r="G103" s="163">
        <f t="shared" si="222"/>
        <v>353.7</v>
      </c>
      <c r="H103" s="163">
        <f t="shared" si="222"/>
        <v>248.34</v>
      </c>
      <c r="I103" s="163">
        <f t="shared" si="222"/>
        <v>202</v>
      </c>
      <c r="J103" s="163">
        <f t="shared" si="222"/>
        <v>164.4</v>
      </c>
      <c r="K103" s="163">
        <f t="shared" si="222"/>
        <v>155.69999999999999</v>
      </c>
      <c r="L103" s="163">
        <f t="shared" si="222"/>
        <v>109.4</v>
      </c>
      <c r="M103" s="163">
        <f t="shared" si="222"/>
        <v>-125.6</v>
      </c>
      <c r="N103" s="163">
        <f t="shared" si="222"/>
        <v>-1102.5999999999999</v>
      </c>
      <c r="O103" s="163">
        <f t="shared" si="222"/>
        <v>-963.51</v>
      </c>
      <c r="P103" s="163">
        <f>P10-(P12+P13)</f>
        <v>-1141.9000000000001</v>
      </c>
      <c r="Q103" s="118">
        <f t="shared" si="184"/>
        <v>-2.1390814495509618</v>
      </c>
      <c r="R103" s="20"/>
      <c r="S103" s="163">
        <f>S10-(S12+S13)</f>
        <v>-1221.8330000000001</v>
      </c>
      <c r="T103" s="163">
        <f t="shared" ref="T103:AB103" si="223">T10-(T12+T13)</f>
        <v>-1307.36131</v>
      </c>
      <c r="U103" s="163">
        <f t="shared" si="223"/>
        <v>-1398.8766017000003</v>
      </c>
      <c r="V103" s="163">
        <f t="shared" si="223"/>
        <v>-1496.7979638190004</v>
      </c>
      <c r="W103" s="163">
        <f t="shared" si="223"/>
        <v>-1601.5738212863307</v>
      </c>
      <c r="X103" s="163">
        <f t="shared" si="223"/>
        <v>-1713.6839887763738</v>
      </c>
      <c r="Y103" s="163">
        <f t="shared" si="223"/>
        <v>-1833.6418679907201</v>
      </c>
      <c r="Z103" s="163">
        <f t="shared" si="223"/>
        <v>-1961.9967987500706</v>
      </c>
      <c r="AA103" s="163">
        <f t="shared" si="223"/>
        <v>-2099.3365746625759</v>
      </c>
      <c r="AB103" s="163">
        <f t="shared" si="223"/>
        <v>-2246.2901348889559</v>
      </c>
      <c r="AC103" s="138">
        <f t="shared" si="186"/>
        <v>-2.1021843803333446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24">G40/G18</f>
        <v>0.33526011560693642</v>
      </c>
      <c r="H104" s="152">
        <f t="shared" si="224"/>
        <v>0.38165680473372782</v>
      </c>
      <c r="I104" s="152">
        <f t="shared" si="224"/>
        <v>0.54696132596685088</v>
      </c>
      <c r="J104" s="152">
        <f t="shared" si="224"/>
        <v>0.43529411764705883</v>
      </c>
      <c r="K104" s="152">
        <f t="shared" si="224"/>
        <v>0.48920863309352519</v>
      </c>
      <c r="L104" s="152">
        <f t="shared" si="224"/>
        <v>0.58571428571428574</v>
      </c>
      <c r="M104" s="152">
        <f t="shared" si="224"/>
        <v>0.94007490636704116</v>
      </c>
      <c r="N104" s="152">
        <f t="shared" si="224"/>
        <v>1.5034722222222223</v>
      </c>
      <c r="O104" s="152">
        <f t="shared" si="224"/>
        <v>1.5651041666666667</v>
      </c>
      <c r="P104" s="152">
        <f t="shared" si="224"/>
        <v>1.5625</v>
      </c>
      <c r="Q104" s="118">
        <f t="shared" si="184"/>
        <v>0.18650863703118437</v>
      </c>
      <c r="R104" s="20"/>
      <c r="S104" s="152">
        <f t="shared" ref="S104:AB104" si="225">S40/S18</f>
        <v>1.5625</v>
      </c>
      <c r="T104" s="152">
        <f t="shared" si="225"/>
        <v>1.5625</v>
      </c>
      <c r="U104" s="152">
        <f t="shared" si="225"/>
        <v>1.5625</v>
      </c>
      <c r="V104" s="152">
        <f t="shared" si="225"/>
        <v>1.5624999999999998</v>
      </c>
      <c r="W104" s="152">
        <f t="shared" si="225"/>
        <v>1.5624999999999998</v>
      </c>
      <c r="X104" s="152">
        <f t="shared" si="225"/>
        <v>1.5624999999999998</v>
      </c>
      <c r="Y104" s="152">
        <f t="shared" si="225"/>
        <v>1.5624999999999998</v>
      </c>
      <c r="Z104" s="152">
        <f t="shared" si="225"/>
        <v>1.5624999999999998</v>
      </c>
      <c r="AA104" s="152">
        <f t="shared" si="225"/>
        <v>1.5624999999999998</v>
      </c>
      <c r="AB104" s="152">
        <f t="shared" si="225"/>
        <v>1.5624999999999996</v>
      </c>
      <c r="AC104" s="138">
        <f t="shared" si="186"/>
        <v>8.437864051957833E-2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26">G40/G25</f>
        <v>5.9670781893004114E-2</v>
      </c>
      <c r="H105" s="152">
        <f t="shared" si="226"/>
        <v>5.4707379134860054E-2</v>
      </c>
      <c r="I105" s="152">
        <f t="shared" si="226"/>
        <v>6.5737051792828682E-2</v>
      </c>
      <c r="J105" s="152">
        <f t="shared" si="226"/>
        <v>4.782421370099095E-2</v>
      </c>
      <c r="K105" s="152">
        <f t="shared" si="226"/>
        <v>4.1514041514041512E-2</v>
      </c>
      <c r="L105" s="152">
        <f t="shared" si="226"/>
        <v>4.1164658634538151E-2</v>
      </c>
      <c r="M105" s="152">
        <f t="shared" si="226"/>
        <v>5.2280774838575295E-2</v>
      </c>
      <c r="N105" s="152">
        <f t="shared" si="226"/>
        <v>6.1089164785553048E-2</v>
      </c>
      <c r="O105" s="152">
        <f t="shared" si="226"/>
        <v>6.2003507685958942E-2</v>
      </c>
      <c r="P105" s="152">
        <f t="shared" si="226"/>
        <v>6.5688139893086889E-2</v>
      </c>
      <c r="Q105" s="118">
        <f t="shared" si="184"/>
        <v>1.0732282735055776E-2</v>
      </c>
      <c r="R105" s="20"/>
      <c r="S105" s="152">
        <f t="shared" ref="S105:AB105" si="227">S40/S25</f>
        <v>6.5688139893086889E-2</v>
      </c>
      <c r="T105" s="152">
        <f t="shared" si="227"/>
        <v>6.5688139893086889E-2</v>
      </c>
      <c r="U105" s="152">
        <f t="shared" si="227"/>
        <v>6.5688139893086889E-2</v>
      </c>
      <c r="V105" s="152">
        <f t="shared" si="227"/>
        <v>6.5688139893086903E-2</v>
      </c>
      <c r="W105" s="152">
        <f t="shared" si="227"/>
        <v>6.5688139893086889E-2</v>
      </c>
      <c r="X105" s="152">
        <f t="shared" si="227"/>
        <v>6.5688139893086875E-2</v>
      </c>
      <c r="Y105" s="152">
        <f t="shared" si="227"/>
        <v>6.5688139893086875E-2</v>
      </c>
      <c r="Z105" s="152">
        <f t="shared" si="227"/>
        <v>6.5688139893086875E-2</v>
      </c>
      <c r="AA105" s="152">
        <f t="shared" si="227"/>
        <v>6.5688139893086875E-2</v>
      </c>
      <c r="AB105" s="152">
        <f t="shared" si="227"/>
        <v>6.5688139893086861E-2</v>
      </c>
      <c r="AC105" s="138">
        <f t="shared" si="186"/>
        <v>5.069432891386505E-3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28">G25/G18</f>
        <v>5.6184971098265892</v>
      </c>
      <c r="H106" s="152">
        <f t="shared" si="228"/>
        <v>6.9763313609467454</v>
      </c>
      <c r="I106" s="152">
        <f t="shared" si="228"/>
        <v>8.320441988950277</v>
      </c>
      <c r="J106" s="152">
        <f t="shared" si="228"/>
        <v>9.1019607843137251</v>
      </c>
      <c r="K106" s="152">
        <f t="shared" si="228"/>
        <v>11.784172661870503</v>
      </c>
      <c r="L106" s="152">
        <f t="shared" si="228"/>
        <v>14.228571428571428</v>
      </c>
      <c r="M106" s="152">
        <f t="shared" si="228"/>
        <v>17.981273408239701</v>
      </c>
      <c r="N106" s="152">
        <f t="shared" si="228"/>
        <v>24.611111111111111</v>
      </c>
      <c r="O106" s="152">
        <f t="shared" si="228"/>
        <v>25.2421875</v>
      </c>
      <c r="P106" s="152">
        <f>P25/P18</f>
        <v>23.786637931034484</v>
      </c>
      <c r="Q106" s="118">
        <f t="shared" si="184"/>
        <v>0.17390990403559203</v>
      </c>
      <c r="R106" s="20"/>
      <c r="S106" s="152">
        <f>S25/S18</f>
        <v>23.78663793103448</v>
      </c>
      <c r="T106" s="152">
        <f t="shared" ref="T106:AB106" si="229">T25/T18</f>
        <v>23.78663793103448</v>
      </c>
      <c r="U106" s="152">
        <f t="shared" si="229"/>
        <v>23.78663793103448</v>
      </c>
      <c r="V106" s="152">
        <f t="shared" si="229"/>
        <v>23.786637931034477</v>
      </c>
      <c r="W106" s="152">
        <f t="shared" si="229"/>
        <v>23.78663793103448</v>
      </c>
      <c r="X106" s="152">
        <f t="shared" si="229"/>
        <v>23.786637931034484</v>
      </c>
      <c r="Y106" s="152">
        <f t="shared" si="229"/>
        <v>23.786637931034484</v>
      </c>
      <c r="Z106" s="152">
        <f t="shared" si="229"/>
        <v>23.786637931034484</v>
      </c>
      <c r="AA106" s="152">
        <f t="shared" si="229"/>
        <v>23.786637931034484</v>
      </c>
      <c r="AB106" s="152">
        <f t="shared" si="229"/>
        <v>23.786637931034484</v>
      </c>
      <c r="AC106" s="138">
        <f t="shared" si="186"/>
        <v>7.890918282136461E-2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30">E68*E42</f>
        <v>0</v>
      </c>
      <c r="F108" s="165">
        <f t="shared" si="230"/>
        <v>0</v>
      </c>
      <c r="G108" s="165">
        <f>G68*G42</f>
        <v>4.22</v>
      </c>
      <c r="H108" s="165">
        <f t="shared" ref="H108:P108" si="231">H68*H42</f>
        <v>8.44</v>
      </c>
      <c r="I108" s="165">
        <f t="shared" si="231"/>
        <v>12.66</v>
      </c>
      <c r="J108" s="165">
        <f t="shared" si="231"/>
        <v>22.15</v>
      </c>
      <c r="K108" s="165">
        <f t="shared" si="231"/>
        <v>35.44</v>
      </c>
      <c r="L108" s="165">
        <f t="shared" si="231"/>
        <v>44.3</v>
      </c>
      <c r="M108" s="165">
        <f t="shared" si="231"/>
        <v>66.449999999999989</v>
      </c>
      <c r="N108" s="165">
        <f t="shared" si="231"/>
        <v>110.75</v>
      </c>
      <c r="O108" s="165">
        <f t="shared" si="231"/>
        <v>155.3475</v>
      </c>
      <c r="P108" s="165">
        <f t="shared" si="231"/>
        <v>186.417</v>
      </c>
      <c r="Q108" s="118">
        <f t="shared" si="184"/>
        <v>0.52334056505723248</v>
      </c>
      <c r="R108" s="20"/>
      <c r="S108" s="165">
        <f t="shared" ref="S108:AB108" si="232">S68*S42</f>
        <v>201.60998549999999</v>
      </c>
      <c r="T108" s="165">
        <f t="shared" si="232"/>
        <v>218.04119931825002</v>
      </c>
      <c r="U108" s="165">
        <f t="shared" si="232"/>
        <v>235.81155706268743</v>
      </c>
      <c r="V108" s="165">
        <f t="shared" si="232"/>
        <v>255.03019896329647</v>
      </c>
      <c r="W108" s="165">
        <f t="shared" si="232"/>
        <v>275.81516017880512</v>
      </c>
      <c r="X108" s="165">
        <f t="shared" si="232"/>
        <v>298.29409573337779</v>
      </c>
      <c r="Y108" s="165">
        <f t="shared" si="232"/>
        <v>322.60506453564807</v>
      </c>
      <c r="Z108" s="165">
        <f t="shared" si="232"/>
        <v>348.89737729530339</v>
      </c>
      <c r="AA108" s="165">
        <f t="shared" si="232"/>
        <v>377.33251354487061</v>
      </c>
      <c r="AB108" s="165">
        <f t="shared" si="232"/>
        <v>408.08511339877759</v>
      </c>
      <c r="AC108" s="138">
        <f t="shared" si="186"/>
        <v>0.27202823887618588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33">(G108*0.17)+G108</f>
        <v>4.9374000000000002</v>
      </c>
      <c r="H109" s="165">
        <f t="shared" si="233"/>
        <v>9.8748000000000005</v>
      </c>
      <c r="I109" s="165">
        <f t="shared" si="233"/>
        <v>14.812200000000001</v>
      </c>
      <c r="J109" s="165">
        <f t="shared" si="233"/>
        <v>25.915499999999998</v>
      </c>
      <c r="K109" s="165">
        <f t="shared" si="233"/>
        <v>41.464799999999997</v>
      </c>
      <c r="L109" s="165">
        <f t="shared" si="233"/>
        <v>51.830999999999996</v>
      </c>
      <c r="M109" s="165">
        <f t="shared" si="233"/>
        <v>77.746499999999983</v>
      </c>
      <c r="N109" s="165">
        <f t="shared" si="233"/>
        <v>129.57749999999999</v>
      </c>
      <c r="O109" s="165">
        <f t="shared" si="233"/>
        <v>181.756575</v>
      </c>
      <c r="P109" s="165">
        <f t="shared" si="233"/>
        <v>218.10789</v>
      </c>
      <c r="Q109" s="118">
        <f t="shared" si="184"/>
        <v>0.52334056505723248</v>
      </c>
      <c r="R109" s="20"/>
      <c r="S109" s="165">
        <f t="shared" ref="S109:AB109" si="234">(S108*0.17)+S108</f>
        <v>235.88368303499999</v>
      </c>
      <c r="T109" s="165">
        <f t="shared" si="234"/>
        <v>255.10820320235251</v>
      </c>
      <c r="U109" s="165">
        <f t="shared" si="234"/>
        <v>275.8995217633443</v>
      </c>
      <c r="V109" s="165">
        <f t="shared" si="234"/>
        <v>298.38533278705688</v>
      </c>
      <c r="W109" s="165">
        <f t="shared" si="234"/>
        <v>322.70373740920201</v>
      </c>
      <c r="X109" s="165">
        <f t="shared" si="234"/>
        <v>349.004092008052</v>
      </c>
      <c r="Y109" s="165">
        <f t="shared" si="234"/>
        <v>377.44792550670826</v>
      </c>
      <c r="Z109" s="165">
        <f t="shared" si="234"/>
        <v>408.20993143550498</v>
      </c>
      <c r="AA109" s="165">
        <f t="shared" si="234"/>
        <v>441.4790408474986</v>
      </c>
      <c r="AB109" s="165">
        <f t="shared" si="234"/>
        <v>477.45958267656977</v>
      </c>
      <c r="AC109" s="138">
        <f t="shared" si="186"/>
        <v>0.27202823887618588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35">F109/F40</f>
        <v>#DIV/0!</v>
      </c>
      <c r="G110" s="152">
        <f t="shared" si="235"/>
        <v>8.5127586206896561E-2</v>
      </c>
      <c r="H110" s="152">
        <f t="shared" si="235"/>
        <v>0.15309767441860467</v>
      </c>
      <c r="I110" s="152">
        <f t="shared" si="235"/>
        <v>0.14961818181818182</v>
      </c>
      <c r="J110" s="152">
        <f t="shared" si="235"/>
        <v>0.23347297297297295</v>
      </c>
      <c r="K110" s="152">
        <f t="shared" si="235"/>
        <v>0.30488823529411763</v>
      </c>
      <c r="L110" s="152">
        <f t="shared" si="235"/>
        <v>0.31604268292682924</v>
      </c>
      <c r="M110" s="152">
        <f t="shared" si="235"/>
        <v>0.30974701195219118</v>
      </c>
      <c r="N110" s="152">
        <f t="shared" si="235"/>
        <v>0.29925519630484987</v>
      </c>
      <c r="O110" s="152">
        <f t="shared" si="235"/>
        <v>0.30242358569051581</v>
      </c>
      <c r="P110" s="152">
        <f t="shared" si="235"/>
        <v>0.30083846896551725</v>
      </c>
      <c r="Q110" s="118">
        <f t="shared" si="184"/>
        <v>0.15058343383542327</v>
      </c>
      <c r="R110" s="20"/>
      <c r="S110" s="152">
        <f t="shared" ref="S110:AB110" si="236">S109/S40</f>
        <v>0.30407177961327747</v>
      </c>
      <c r="T110" s="152">
        <f t="shared" si="236"/>
        <v>0.30733984079603699</v>
      </c>
      <c r="U110" s="152">
        <f t="shared" si="236"/>
        <v>0.31064302600085425</v>
      </c>
      <c r="V110" s="152">
        <f t="shared" si="236"/>
        <v>0.31398171272890085</v>
      </c>
      <c r="W110" s="152">
        <f t="shared" si="236"/>
        <v>0.31735628253860393</v>
      </c>
      <c r="X110" s="152">
        <f t="shared" si="236"/>
        <v>0.32076712108925254</v>
      </c>
      <c r="Y110" s="152">
        <f t="shared" si="236"/>
        <v>0.32421461818507163</v>
      </c>
      <c r="Z110" s="152">
        <f t="shared" si="236"/>
        <v>0.32769916781977093</v>
      </c>
      <c r="AA110" s="152">
        <f t="shared" si="236"/>
        <v>0.33122116822157222</v>
      </c>
      <c r="AB110" s="152">
        <f t="shared" si="236"/>
        <v>0.33478102189872</v>
      </c>
      <c r="AC110" s="138">
        <f t="shared" si="186"/>
        <v>7.4730318415500818E-2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0.91487241379310347</v>
      </c>
      <c r="H111" s="152">
        <f t="shared" ref="H111:P111" si="237">1-H110</f>
        <v>0.84690232558139533</v>
      </c>
      <c r="I111" s="152">
        <f t="shared" si="237"/>
        <v>0.85038181818181813</v>
      </c>
      <c r="J111" s="152">
        <f t="shared" si="237"/>
        <v>0.76652702702702702</v>
      </c>
      <c r="K111" s="152">
        <f t="shared" si="237"/>
        <v>0.69511176470588243</v>
      </c>
      <c r="L111" s="152">
        <f t="shared" si="237"/>
        <v>0.68395731707317076</v>
      </c>
      <c r="M111" s="152">
        <f t="shared" si="237"/>
        <v>0.69025298804780877</v>
      </c>
      <c r="N111" s="152">
        <f t="shared" si="237"/>
        <v>0.70074480369515013</v>
      </c>
      <c r="O111" s="152">
        <f t="shared" si="237"/>
        <v>0.69757641430948425</v>
      </c>
      <c r="P111" s="152">
        <f t="shared" si="237"/>
        <v>0.69916153103448275</v>
      </c>
      <c r="Q111" s="118">
        <f t="shared" si="184"/>
        <v>-2.9436152525804005E-2</v>
      </c>
      <c r="R111" s="20"/>
      <c r="S111" s="152">
        <f t="shared" ref="S111:AB111" si="238">1-S110</f>
        <v>0.69592822038672253</v>
      </c>
      <c r="T111" s="152">
        <f t="shared" si="238"/>
        <v>0.69266015920396296</v>
      </c>
      <c r="U111" s="152">
        <f t="shared" si="238"/>
        <v>0.68935697399914575</v>
      </c>
      <c r="V111" s="152">
        <f t="shared" si="238"/>
        <v>0.68601828727109915</v>
      </c>
      <c r="W111" s="152">
        <f t="shared" si="238"/>
        <v>0.68264371746139607</v>
      </c>
      <c r="X111" s="152">
        <f t="shared" si="238"/>
        <v>0.67923287891074746</v>
      </c>
      <c r="Y111" s="152">
        <f t="shared" si="238"/>
        <v>0.67578538181492842</v>
      </c>
      <c r="Z111" s="152">
        <f t="shared" si="238"/>
        <v>0.67230083218022907</v>
      </c>
      <c r="AA111" s="152">
        <f t="shared" si="238"/>
        <v>0.66877883177842778</v>
      </c>
      <c r="AB111" s="152">
        <f t="shared" si="238"/>
        <v>0.66521897810128006</v>
      </c>
      <c r="AC111" s="138">
        <f t="shared" si="186"/>
        <v>-1.6632150659024347E-2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39">H31/H25</f>
        <v>0</v>
      </c>
      <c r="I113" s="152">
        <f t="shared" si="239"/>
        <v>0</v>
      </c>
      <c r="J113" s="152">
        <f t="shared" si="239"/>
        <v>0</v>
      </c>
      <c r="K113" s="152">
        <f t="shared" si="239"/>
        <v>0</v>
      </c>
      <c r="L113" s="152">
        <f t="shared" si="239"/>
        <v>0</v>
      </c>
      <c r="M113" s="152">
        <f t="shared" si="239"/>
        <v>0</v>
      </c>
      <c r="N113" s="152">
        <f t="shared" si="239"/>
        <v>0</v>
      </c>
      <c r="O113" s="152">
        <f t="shared" si="239"/>
        <v>0</v>
      </c>
      <c r="P113" s="152">
        <f t="shared" si="239"/>
        <v>0</v>
      </c>
      <c r="Q113" s="118" t="e">
        <f t="shared" si="184"/>
        <v>#DIV/0!</v>
      </c>
      <c r="R113" s="20"/>
      <c r="S113" s="152">
        <f t="shared" ref="S113:AB113" si="240">S31/S25</f>
        <v>0</v>
      </c>
      <c r="T113" s="152">
        <f t="shared" si="240"/>
        <v>0</v>
      </c>
      <c r="U113" s="152">
        <f t="shared" si="240"/>
        <v>0</v>
      </c>
      <c r="V113" s="152">
        <f t="shared" si="240"/>
        <v>0</v>
      </c>
      <c r="W113" s="152">
        <f t="shared" si="240"/>
        <v>0</v>
      </c>
      <c r="X113" s="152">
        <f t="shared" si="240"/>
        <v>0</v>
      </c>
      <c r="Y113" s="152">
        <f t="shared" si="240"/>
        <v>0</v>
      </c>
      <c r="Z113" s="152">
        <f t="shared" si="240"/>
        <v>0</v>
      </c>
      <c r="AA113" s="152">
        <f t="shared" si="240"/>
        <v>0</v>
      </c>
      <c r="AB113" s="152">
        <f t="shared" si="240"/>
        <v>0</v>
      </c>
      <c r="AC113" s="138" t="e">
        <f t="shared" si="186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41">H32/H25</f>
        <v>0</v>
      </c>
      <c r="I114" s="152">
        <f t="shared" si="241"/>
        <v>0</v>
      </c>
      <c r="J114" s="152">
        <f t="shared" si="241"/>
        <v>0</v>
      </c>
      <c r="K114" s="152">
        <f t="shared" si="241"/>
        <v>0</v>
      </c>
      <c r="L114" s="152">
        <f t="shared" si="241"/>
        <v>0</v>
      </c>
      <c r="M114" s="152">
        <f t="shared" si="241"/>
        <v>0</v>
      </c>
      <c r="N114" s="152">
        <f t="shared" si="241"/>
        <v>0</v>
      </c>
      <c r="O114" s="152">
        <f t="shared" si="241"/>
        <v>0</v>
      </c>
      <c r="P114" s="152">
        <f t="shared" si="241"/>
        <v>0</v>
      </c>
      <c r="Q114" s="118" t="e">
        <f t="shared" si="184"/>
        <v>#DIV/0!</v>
      </c>
      <c r="R114" s="20"/>
      <c r="S114" s="152">
        <f t="shared" ref="S114:AB114" si="242">S32/S25</f>
        <v>0</v>
      </c>
      <c r="T114" s="152">
        <f t="shared" si="242"/>
        <v>0</v>
      </c>
      <c r="U114" s="152">
        <f t="shared" si="242"/>
        <v>0</v>
      </c>
      <c r="V114" s="152">
        <f t="shared" si="242"/>
        <v>0</v>
      </c>
      <c r="W114" s="152">
        <f t="shared" si="242"/>
        <v>0</v>
      </c>
      <c r="X114" s="152">
        <f t="shared" si="242"/>
        <v>0</v>
      </c>
      <c r="Y114" s="152">
        <f t="shared" si="242"/>
        <v>0</v>
      </c>
      <c r="Z114" s="152">
        <f t="shared" si="242"/>
        <v>0</v>
      </c>
      <c r="AA114" s="152">
        <f t="shared" si="242"/>
        <v>0</v>
      </c>
      <c r="AB114" s="152">
        <f t="shared" si="242"/>
        <v>0</v>
      </c>
      <c r="AC114" s="138" t="e">
        <f t="shared" si="186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0.86831275720164613</v>
      </c>
      <c r="H116" s="152">
        <f t="shared" ref="H116:P116" si="243">H27/H25</f>
        <v>0.88973706530958441</v>
      </c>
      <c r="I116" s="152">
        <f t="shared" si="243"/>
        <v>0.89375830013280211</v>
      </c>
      <c r="J116" s="152">
        <f t="shared" si="243"/>
        <v>0.91210685049547613</v>
      </c>
      <c r="K116" s="152">
        <f t="shared" si="243"/>
        <v>0.93131868131868134</v>
      </c>
      <c r="L116" s="152">
        <f t="shared" si="243"/>
        <v>0.92243975903614461</v>
      </c>
      <c r="M116" s="152">
        <f t="shared" si="243"/>
        <v>0.91501770464486565</v>
      </c>
      <c r="N116" s="152">
        <f t="shared" si="243"/>
        <v>0.90505079006772005</v>
      </c>
      <c r="O116" s="152">
        <f t="shared" si="243"/>
        <v>0.90405447229959768</v>
      </c>
      <c r="P116" s="152">
        <f t="shared" si="243"/>
        <v>0.89906677539186375</v>
      </c>
      <c r="Q116" s="118">
        <f t="shared" si="184"/>
        <v>3.8747474995286524E-3</v>
      </c>
      <c r="R116" s="20"/>
      <c r="S116" s="152">
        <f t="shared" ref="S116:AB116" si="244">S27/S25</f>
        <v>0.89906677539186375</v>
      </c>
      <c r="T116" s="152">
        <f t="shared" si="244"/>
        <v>0.89906677539186386</v>
      </c>
      <c r="U116" s="152">
        <f t="shared" si="244"/>
        <v>0.89906677539186375</v>
      </c>
      <c r="V116" s="152">
        <f t="shared" si="244"/>
        <v>0.89906677539186386</v>
      </c>
      <c r="W116" s="152">
        <f t="shared" si="244"/>
        <v>0.89906677539186386</v>
      </c>
      <c r="X116" s="152">
        <f t="shared" si="244"/>
        <v>0.89906677539186375</v>
      </c>
      <c r="Y116" s="152">
        <f t="shared" si="244"/>
        <v>0.89906677539186375</v>
      </c>
      <c r="Z116" s="152">
        <f t="shared" si="244"/>
        <v>0.89906677539186386</v>
      </c>
      <c r="AA116" s="152">
        <f t="shared" si="244"/>
        <v>0.89906677539186375</v>
      </c>
      <c r="AB116" s="152">
        <f t="shared" si="244"/>
        <v>0.89906677539186386</v>
      </c>
      <c r="AC116" s="138">
        <f t="shared" si="186"/>
        <v>1.8335388808392583E-3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0.61111111111111116</v>
      </c>
      <c r="H117" s="152">
        <f t="shared" ref="H117:P117" si="245">H33/H25</f>
        <v>0.63528413910093295</v>
      </c>
      <c r="I117" s="152">
        <f t="shared" si="245"/>
        <v>0.64741035856573703</v>
      </c>
      <c r="J117" s="152">
        <f t="shared" si="245"/>
        <v>0.69625161568289529</v>
      </c>
      <c r="K117" s="152">
        <f t="shared" si="245"/>
        <v>0.74053724053724057</v>
      </c>
      <c r="L117" s="152">
        <f t="shared" si="245"/>
        <v>0.73694779116465858</v>
      </c>
      <c r="M117" s="152">
        <f t="shared" si="245"/>
        <v>0.74109560508227457</v>
      </c>
      <c r="N117" s="152">
        <f t="shared" si="245"/>
        <v>0.74435665914221216</v>
      </c>
      <c r="O117" s="152">
        <f t="shared" si="245"/>
        <v>0.76044568245125344</v>
      </c>
      <c r="P117" s="152">
        <f t="shared" si="245"/>
        <v>0.75989852314940654</v>
      </c>
      <c r="Q117" s="118">
        <f t="shared" si="184"/>
        <v>2.4507275118485605E-2</v>
      </c>
      <c r="R117" s="20"/>
      <c r="S117" s="152">
        <f t="shared" ref="S117:AB117" si="246">S33/S25</f>
        <v>0.75989852314940654</v>
      </c>
      <c r="T117" s="152">
        <f t="shared" si="246"/>
        <v>0.75989852314940665</v>
      </c>
      <c r="U117" s="152">
        <f t="shared" si="246"/>
        <v>0.75989852314940665</v>
      </c>
      <c r="V117" s="152">
        <f t="shared" si="246"/>
        <v>0.75989852314940676</v>
      </c>
      <c r="W117" s="152">
        <f t="shared" si="246"/>
        <v>0.75989852314940665</v>
      </c>
      <c r="X117" s="152">
        <f t="shared" si="246"/>
        <v>0.75989852314940665</v>
      </c>
      <c r="Y117" s="152">
        <f t="shared" si="246"/>
        <v>0.75989852314940654</v>
      </c>
      <c r="Z117" s="152">
        <f t="shared" si="246"/>
        <v>0.75989852314940665</v>
      </c>
      <c r="AA117" s="152">
        <f t="shared" si="246"/>
        <v>0.75989852314940665</v>
      </c>
      <c r="AB117" s="152">
        <f t="shared" si="246"/>
        <v>0.75989852314940665</v>
      </c>
      <c r="AC117" s="138">
        <f t="shared" si="186"/>
        <v>1.1534760710748548E-2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9.7736625514403291E-2</v>
      </c>
      <c r="H118" s="152">
        <f t="shared" ref="H118:P118" si="247">H34/H25</f>
        <v>8.1424936386768454E-2</v>
      </c>
      <c r="I118" s="152">
        <f t="shared" si="247"/>
        <v>7.4369189907038516E-2</v>
      </c>
      <c r="J118" s="152">
        <f t="shared" si="247"/>
        <v>6.893580353295993E-2</v>
      </c>
      <c r="K118" s="152">
        <f t="shared" si="247"/>
        <v>5.8913308913308912E-2</v>
      </c>
      <c r="L118" s="152">
        <f t="shared" si="247"/>
        <v>5.9487951807228913E-2</v>
      </c>
      <c r="M118" s="152">
        <f t="shared" si="247"/>
        <v>5.8112893147260987E-2</v>
      </c>
      <c r="N118" s="152">
        <f t="shared" si="247"/>
        <v>5.2059819413092553E-2</v>
      </c>
      <c r="O118" s="152">
        <f t="shared" si="247"/>
        <v>4.0957391932322292E-2</v>
      </c>
      <c r="P118" s="152">
        <f t="shared" si="247"/>
        <v>4.430551780375102E-2</v>
      </c>
      <c r="Q118" s="118">
        <f t="shared" si="184"/>
        <v>-8.4154374990236258E-2</v>
      </c>
      <c r="R118" s="20"/>
      <c r="S118" s="152">
        <f t="shared" ref="S118:AB118" si="248">S34/S25</f>
        <v>4.430551780375102E-2</v>
      </c>
      <c r="T118" s="152">
        <f t="shared" si="248"/>
        <v>4.4305517803751027E-2</v>
      </c>
      <c r="U118" s="152">
        <f t="shared" si="248"/>
        <v>4.4305517803751027E-2</v>
      </c>
      <c r="V118" s="152">
        <f t="shared" si="248"/>
        <v>4.4305517803751027E-2</v>
      </c>
      <c r="W118" s="152">
        <f t="shared" si="248"/>
        <v>4.430551780375102E-2</v>
      </c>
      <c r="X118" s="152">
        <f t="shared" si="248"/>
        <v>4.4305517803751013E-2</v>
      </c>
      <c r="Y118" s="152">
        <f t="shared" si="248"/>
        <v>4.4305517803751013E-2</v>
      </c>
      <c r="Z118" s="152">
        <f t="shared" si="248"/>
        <v>4.4305517803751013E-2</v>
      </c>
      <c r="AA118" s="152">
        <f t="shared" si="248"/>
        <v>4.4305517803751013E-2</v>
      </c>
      <c r="AB118" s="152">
        <f t="shared" si="248"/>
        <v>4.4305517803751013E-2</v>
      </c>
      <c r="AC118" s="138">
        <f t="shared" si="186"/>
        <v>-4.0785324699739611E-2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1.5767441860465117</v>
      </c>
      <c r="H121" s="25">
        <f t="shared" ref="H121:AB121" si="249">H15/H9</f>
        <v>1.3715277777777777</v>
      </c>
      <c r="I121" s="25">
        <f t="shared" si="249"/>
        <v>1.3760217983651226</v>
      </c>
      <c r="J121" s="25">
        <f t="shared" si="249"/>
        <v>1.4407665505226481</v>
      </c>
      <c r="K121" s="25">
        <f t="shared" si="249"/>
        <v>1.3657142857142857</v>
      </c>
      <c r="L121" s="25">
        <f t="shared" si="249"/>
        <v>1.4159751037344399</v>
      </c>
      <c r="M121" s="25">
        <f t="shared" si="249"/>
        <v>1.2707275803722504</v>
      </c>
      <c r="N121" s="25">
        <f t="shared" si="249"/>
        <v>1.2946607788036932</v>
      </c>
      <c r="O121" s="25">
        <f t="shared" si="249"/>
        <v>1.3597560975609757</v>
      </c>
      <c r="P121" s="25">
        <f t="shared" si="249"/>
        <v>1.4022503516174403</v>
      </c>
      <c r="Q121" s="118">
        <f t="shared" si="184"/>
        <v>-1.2946983862325179E-2</v>
      </c>
      <c r="R121" s="20"/>
      <c r="S121" s="25">
        <f t="shared" si="249"/>
        <v>1.4022503516174403</v>
      </c>
      <c r="T121" s="25">
        <f t="shared" si="249"/>
        <v>1.4022503516174403</v>
      </c>
      <c r="U121" s="25">
        <f t="shared" si="249"/>
        <v>1.4022503516174403</v>
      </c>
      <c r="V121" s="25">
        <f t="shared" si="249"/>
        <v>1.4022503516174403</v>
      </c>
      <c r="W121" s="25">
        <f t="shared" si="249"/>
        <v>1.4022503516174403</v>
      </c>
      <c r="X121" s="25">
        <f t="shared" si="249"/>
        <v>1.4022503516174403</v>
      </c>
      <c r="Y121" s="25">
        <f t="shared" si="249"/>
        <v>1.4022503516174403</v>
      </c>
      <c r="Z121" s="25">
        <f t="shared" si="249"/>
        <v>1.4022503516174403</v>
      </c>
      <c r="AA121" s="25">
        <f t="shared" si="249"/>
        <v>1.40225035161744</v>
      </c>
      <c r="AB121" s="25">
        <f t="shared" si="249"/>
        <v>1.40225035161744</v>
      </c>
      <c r="AC121" s="138">
        <f t="shared" si="186"/>
        <v>-6.1538156092736385E-3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0.12558139534883722</v>
      </c>
      <c r="H122" s="25">
        <f t="shared" ref="H122:P122" si="250">H12/H9</f>
        <v>0.15625</v>
      </c>
      <c r="I122" s="25">
        <f t="shared" si="250"/>
        <v>0.10354223433242507</v>
      </c>
      <c r="J122" s="25">
        <f t="shared" si="250"/>
        <v>8.885017421602788E-2</v>
      </c>
      <c r="K122" s="25">
        <f t="shared" si="250"/>
        <v>5.9428571428571428E-2</v>
      </c>
      <c r="L122" s="25">
        <f t="shared" si="250"/>
        <v>5.7053941908713691E-2</v>
      </c>
      <c r="M122" s="25">
        <f t="shared" si="250"/>
        <v>0.16666666666666666</v>
      </c>
      <c r="N122" s="25">
        <f t="shared" si="250"/>
        <v>0.44560417503010841</v>
      </c>
      <c r="O122" s="25">
        <f t="shared" si="250"/>
        <v>0.32757452574525747</v>
      </c>
      <c r="P122" s="25">
        <f t="shared" si="250"/>
        <v>0.32039381153305202</v>
      </c>
      <c r="Q122" s="118">
        <f t="shared" si="184"/>
        <v>0.10967403413926702</v>
      </c>
      <c r="R122" s="128"/>
      <c r="S122" s="25">
        <f t="shared" ref="S122:AB122" si="251">S12/S9</f>
        <v>0.32039381153305202</v>
      </c>
      <c r="T122" s="25">
        <f t="shared" si="251"/>
        <v>0.32039381153305202</v>
      </c>
      <c r="U122" s="25">
        <f t="shared" si="251"/>
        <v>0.32039381153305202</v>
      </c>
      <c r="V122" s="25">
        <f t="shared" si="251"/>
        <v>0.32039381153305202</v>
      </c>
      <c r="W122" s="25">
        <f t="shared" si="251"/>
        <v>0.32039381153305202</v>
      </c>
      <c r="X122" s="25">
        <f t="shared" si="251"/>
        <v>0.32039381153305202</v>
      </c>
      <c r="Y122" s="25">
        <f t="shared" si="251"/>
        <v>0.32039381153305202</v>
      </c>
      <c r="Z122" s="25">
        <f t="shared" si="251"/>
        <v>0.32039381153305202</v>
      </c>
      <c r="AA122" s="25">
        <f t="shared" si="251"/>
        <v>0.32039381153305196</v>
      </c>
      <c r="AB122" s="25">
        <f t="shared" si="251"/>
        <v>0.32039381153305196</v>
      </c>
      <c r="AC122" s="118">
        <f t="shared" ref="AC122" si="252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2.7</v>
      </c>
      <c r="H123" s="25">
        <f t="shared" ref="H123:P123" si="253">H25/360</f>
        <v>3.2749999999999999</v>
      </c>
      <c r="I123" s="25">
        <f t="shared" si="253"/>
        <v>4.1833333333333336</v>
      </c>
      <c r="J123" s="25">
        <f t="shared" si="253"/>
        <v>6.447222222222222</v>
      </c>
      <c r="K123" s="25">
        <f t="shared" si="253"/>
        <v>9.1</v>
      </c>
      <c r="L123" s="25">
        <f t="shared" si="253"/>
        <v>11.066666666666666</v>
      </c>
      <c r="M123" s="25">
        <f t="shared" si="253"/>
        <v>13.33611111111111</v>
      </c>
      <c r="N123" s="25">
        <f t="shared" si="253"/>
        <v>19.68888888888889</v>
      </c>
      <c r="O123" s="25">
        <f t="shared" si="253"/>
        <v>26.925000000000001</v>
      </c>
      <c r="P123" s="25">
        <f t="shared" si="253"/>
        <v>30.658333333333335</v>
      </c>
      <c r="Q123" s="118">
        <f t="shared" si="184"/>
        <v>0.3099139073577013</v>
      </c>
      <c r="R123" s="128"/>
      <c r="S123" s="25">
        <f t="shared" ref="S123:AB123" si="254">S25/360</f>
        <v>32.804416666666668</v>
      </c>
      <c r="T123" s="25">
        <f t="shared" si="254"/>
        <v>35.100725833333335</v>
      </c>
      <c r="U123" s="25">
        <f t="shared" si="254"/>
        <v>37.557776641666671</v>
      </c>
      <c r="V123" s="25">
        <f t="shared" si="254"/>
        <v>40.186821006583337</v>
      </c>
      <c r="W123" s="25">
        <f t="shared" si="254"/>
        <v>42.999898477044177</v>
      </c>
      <c r="X123" s="25">
        <f t="shared" si="254"/>
        <v>46.009891370437273</v>
      </c>
      <c r="Y123" s="25">
        <f t="shared" si="254"/>
        <v>49.230583766367886</v>
      </c>
      <c r="Z123" s="25">
        <f t="shared" si="254"/>
        <v>52.676724630013645</v>
      </c>
      <c r="AA123" s="25">
        <f t="shared" si="254"/>
        <v>56.364095354114596</v>
      </c>
      <c r="AB123" s="25">
        <f t="shared" si="254"/>
        <v>60.309582028902625</v>
      </c>
      <c r="AC123" s="118">
        <f t="shared" ref="AC123:AC134" si="255">((AB123/S123)^(1/($H$2-$H$1) ))-1</f>
        <v>7.0000000000000062E-2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2.3444444444444446</v>
      </c>
      <c r="H124" s="25">
        <f t="shared" ref="H124:P124" si="256">H27/360</f>
        <v>2.9138888888888888</v>
      </c>
      <c r="I124" s="25">
        <f t="shared" si="256"/>
        <v>3.7388888888888889</v>
      </c>
      <c r="J124" s="25">
        <f t="shared" si="256"/>
        <v>5.8805555555555555</v>
      </c>
      <c r="K124" s="25">
        <f t="shared" si="256"/>
        <v>8.4749999999999996</v>
      </c>
      <c r="L124" s="25">
        <f t="shared" si="256"/>
        <v>10.208333333333334</v>
      </c>
      <c r="M124" s="25">
        <f t="shared" si="256"/>
        <v>12.202777777777778</v>
      </c>
      <c r="N124" s="25">
        <f t="shared" si="256"/>
        <v>17.819444444444443</v>
      </c>
      <c r="O124" s="25">
        <f t="shared" si="256"/>
        <v>24.341666666666665</v>
      </c>
      <c r="P124" s="25">
        <f t="shared" si="256"/>
        <v>27.56388888888889</v>
      </c>
      <c r="Q124" s="118">
        <f t="shared" si="184"/>
        <v>0.31498949299483359</v>
      </c>
      <c r="R124" s="128"/>
      <c r="S124" s="25">
        <f t="shared" ref="S124:AB124" si="257">S27/360</f>
        <v>29.493361111111113</v>
      </c>
      <c r="T124" s="25">
        <f t="shared" si="257"/>
        <v>31.557896388888892</v>
      </c>
      <c r="U124" s="25">
        <f t="shared" si="257"/>
        <v>33.766949136111116</v>
      </c>
      <c r="V124" s="25">
        <f t="shared" si="257"/>
        <v>36.130635575638898</v>
      </c>
      <c r="W124" s="25">
        <f t="shared" si="257"/>
        <v>38.659780065933624</v>
      </c>
      <c r="X124" s="25">
        <f t="shared" si="257"/>
        <v>41.365964670548983</v>
      </c>
      <c r="Y124" s="25">
        <f t="shared" si="257"/>
        <v>44.261582197487414</v>
      </c>
      <c r="Z124" s="25">
        <f t="shared" si="257"/>
        <v>47.359892951311537</v>
      </c>
      <c r="AA124" s="25">
        <f t="shared" si="257"/>
        <v>50.675085457903343</v>
      </c>
      <c r="AB124" s="25">
        <f t="shared" si="257"/>
        <v>54.22234143995658</v>
      </c>
      <c r="AC124" s="118">
        <f t="shared" si="255"/>
        <v>7.0000000000000062E-2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2.4518072289156625</v>
      </c>
      <c r="H126" s="25">
        <f t="shared" ref="H126:P126" si="258">H10/H7</f>
        <v>1.8333333333333333</v>
      </c>
      <c r="I126" s="25">
        <f t="shared" si="258"/>
        <v>1.1355932203389831</v>
      </c>
      <c r="J126" s="25">
        <f t="shared" si="258"/>
        <v>0.73293768545994065</v>
      </c>
      <c r="K126" s="25">
        <f t="shared" si="258"/>
        <v>0.47191011235955055</v>
      </c>
      <c r="L126" s="25">
        <f t="shared" si="258"/>
        <v>0.29749103942652327</v>
      </c>
      <c r="M126" s="25">
        <f t="shared" si="258"/>
        <v>9.9726775956284153E-2</v>
      </c>
      <c r="N126" s="25">
        <f t="shared" si="258"/>
        <v>9.5652173913043474E-3</v>
      </c>
      <c r="O126" s="25">
        <f t="shared" si="258"/>
        <v>4.0314852840520193E-3</v>
      </c>
      <c r="P126" s="25">
        <f t="shared" si="258"/>
        <v>5.0787201625190451E-6</v>
      </c>
      <c r="Q126" s="118">
        <f t="shared" si="184"/>
        <v>-0.76639925791548968</v>
      </c>
      <c r="R126" s="128"/>
      <c r="S126" s="25">
        <f t="shared" ref="S126:AB126" si="259">S10/S7</f>
        <v>5.078720162519046E-6</v>
      </c>
      <c r="T126" s="25">
        <f t="shared" si="259"/>
        <v>5.078720162519046E-6</v>
      </c>
      <c r="U126" s="25">
        <f t="shared" si="259"/>
        <v>5.078720162519046E-6</v>
      </c>
      <c r="V126" s="25">
        <f t="shared" si="259"/>
        <v>5.078720162519046E-6</v>
      </c>
      <c r="W126" s="25">
        <f t="shared" si="259"/>
        <v>5.0787201625190468E-6</v>
      </c>
      <c r="X126" s="25">
        <f t="shared" si="259"/>
        <v>5.0787201625190468E-6</v>
      </c>
      <c r="Y126" s="25">
        <f t="shared" si="259"/>
        <v>5.0787201625190468E-6</v>
      </c>
      <c r="Z126" s="25">
        <f t="shared" si="259"/>
        <v>5.0787201625190468E-6</v>
      </c>
      <c r="AA126" s="25">
        <f t="shared" si="259"/>
        <v>5.078720162519046E-6</v>
      </c>
      <c r="AB126" s="25">
        <f t="shared" si="259"/>
        <v>5.078720162519046E-6</v>
      </c>
      <c r="AC126" s="118">
        <f t="shared" si="255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0.71029668411867364</v>
      </c>
      <c r="H127" s="25">
        <f t="shared" ref="H127:P127" si="260">H10/(H10+H7)</f>
        <v>0.6470588235294118</v>
      </c>
      <c r="I127" s="25">
        <f t="shared" si="260"/>
        <v>0.53174603174603174</v>
      </c>
      <c r="J127" s="25">
        <f t="shared" si="260"/>
        <v>0.42294520547945208</v>
      </c>
      <c r="K127" s="25">
        <f t="shared" si="260"/>
        <v>0.32061068702290074</v>
      </c>
      <c r="L127" s="25">
        <f t="shared" si="260"/>
        <v>0.2292817679558011</v>
      </c>
      <c r="M127" s="25">
        <f t="shared" si="260"/>
        <v>9.0683229813664598E-2</v>
      </c>
      <c r="N127" s="25">
        <f t="shared" si="260"/>
        <v>9.4745908699397068E-3</v>
      </c>
      <c r="O127" s="25">
        <f t="shared" si="260"/>
        <v>4.015297670581979E-3</v>
      </c>
      <c r="P127" s="25">
        <f t="shared" si="260"/>
        <v>5.0786943692515531E-6</v>
      </c>
      <c r="Q127" s="118">
        <f t="shared" si="184"/>
        <v>-0.73192462559365323</v>
      </c>
      <c r="R127" s="128"/>
      <c r="S127" s="25">
        <f t="shared" ref="S127:AB127" si="261">S10/(S10+S7)</f>
        <v>5.0786943692515539E-6</v>
      </c>
      <c r="T127" s="25">
        <f t="shared" si="261"/>
        <v>5.0786943692515531E-6</v>
      </c>
      <c r="U127" s="25">
        <f t="shared" si="261"/>
        <v>5.0786943692515531E-6</v>
      </c>
      <c r="V127" s="25">
        <f t="shared" si="261"/>
        <v>5.0786943692515539E-6</v>
      </c>
      <c r="W127" s="25">
        <f t="shared" si="261"/>
        <v>5.0786943692515539E-6</v>
      </c>
      <c r="X127" s="25">
        <f t="shared" si="261"/>
        <v>5.0786943692515548E-6</v>
      </c>
      <c r="Y127" s="25">
        <f t="shared" si="261"/>
        <v>5.0786943692515548E-6</v>
      </c>
      <c r="Z127" s="25">
        <f t="shared" si="261"/>
        <v>5.0786943692515548E-6</v>
      </c>
      <c r="AA127" s="25">
        <f t="shared" si="261"/>
        <v>5.0786943692515539E-6</v>
      </c>
      <c r="AB127" s="25">
        <f t="shared" si="261"/>
        <v>5.0786943692515531E-6</v>
      </c>
      <c r="AC127" s="118">
        <f t="shared" si="255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323</v>
      </c>
      <c r="H129" s="25">
        <f t="shared" ref="H129:P129" si="262">H16</f>
        <v>254</v>
      </c>
      <c r="I129" s="25">
        <f t="shared" si="262"/>
        <v>255</v>
      </c>
      <c r="J129" s="25">
        <f t="shared" si="262"/>
        <v>277</v>
      </c>
      <c r="K129" s="25">
        <f t="shared" si="262"/>
        <v>366</v>
      </c>
      <c r="L129" s="25">
        <f t="shared" si="262"/>
        <v>423</v>
      </c>
      <c r="M129" s="25">
        <f t="shared" si="262"/>
        <v>523</v>
      </c>
      <c r="N129" s="25">
        <f t="shared" si="262"/>
        <v>737</v>
      </c>
      <c r="O129" s="25">
        <f t="shared" si="262"/>
        <v>1055</v>
      </c>
      <c r="P129" s="25">
        <f t="shared" si="262"/>
        <v>1461</v>
      </c>
      <c r="Q129" s="118">
        <f t="shared" si="184"/>
        <v>0.18257180831974607</v>
      </c>
      <c r="R129" s="128"/>
      <c r="S129" s="25">
        <f t="shared" ref="S129:AB129" si="263">S16</f>
        <v>1563.27</v>
      </c>
      <c r="T129" s="25">
        <f t="shared" si="263"/>
        <v>1672.6989000000001</v>
      </c>
      <c r="U129" s="25">
        <f t="shared" si="263"/>
        <v>1789.7878230000001</v>
      </c>
      <c r="V129" s="25">
        <f t="shared" si="263"/>
        <v>1915.0729706100003</v>
      </c>
      <c r="W129" s="25">
        <f t="shared" si="263"/>
        <v>2049.1280785527006</v>
      </c>
      <c r="X129" s="25">
        <f t="shared" si="263"/>
        <v>2192.5670440513895</v>
      </c>
      <c r="Y129" s="25">
        <f t="shared" si="263"/>
        <v>2346.0467371349869</v>
      </c>
      <c r="Z129" s="25">
        <f t="shared" si="263"/>
        <v>2510.270008734436</v>
      </c>
      <c r="AA129" s="25">
        <f t="shared" si="263"/>
        <v>2685.9889093458469</v>
      </c>
      <c r="AB129" s="25">
        <f t="shared" si="263"/>
        <v>2874.0081330000562</v>
      </c>
      <c r="AC129" s="118">
        <f t="shared" si="255"/>
        <v>7.0000000000000062E-2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64">G129*365/G25</f>
        <v>121.29115226337449</v>
      </c>
      <c r="H130" s="119">
        <f t="shared" si="264"/>
        <v>78.634435962680243</v>
      </c>
      <c r="I130" s="119">
        <f t="shared" si="264"/>
        <v>61.802788844621517</v>
      </c>
      <c r="J130" s="119">
        <f t="shared" si="264"/>
        <v>43.560965101249458</v>
      </c>
      <c r="K130" s="119">
        <f t="shared" si="264"/>
        <v>40.778388278388277</v>
      </c>
      <c r="L130" s="119">
        <f t="shared" si="264"/>
        <v>38.753765060240966</v>
      </c>
      <c r="M130" s="119">
        <f t="shared" si="264"/>
        <v>39.761508019162676</v>
      </c>
      <c r="N130" s="119">
        <f t="shared" si="264"/>
        <v>37.952172686230249</v>
      </c>
      <c r="O130" s="119">
        <f t="shared" si="264"/>
        <v>39.727122665841328</v>
      </c>
      <c r="P130" s="119">
        <f t="shared" si="264"/>
        <v>48.316118510464797</v>
      </c>
      <c r="Q130" s="118">
        <f t="shared" si="184"/>
        <v>-9.7214098058416631E-2</v>
      </c>
      <c r="R130" s="128"/>
      <c r="S130" s="25">
        <f t="shared" ref="S130:AB130" si="265">S129*365/S25</f>
        <v>48.316118510464804</v>
      </c>
      <c r="T130" s="25">
        <f t="shared" si="265"/>
        <v>48.316118510464804</v>
      </c>
      <c r="U130" s="25">
        <f t="shared" si="265"/>
        <v>48.316118510464797</v>
      </c>
      <c r="V130" s="25">
        <f t="shared" si="265"/>
        <v>48.316118510464804</v>
      </c>
      <c r="W130" s="25">
        <f t="shared" si="265"/>
        <v>48.316118510464811</v>
      </c>
      <c r="X130" s="25">
        <f t="shared" si="265"/>
        <v>48.316118510464797</v>
      </c>
      <c r="Y130" s="25">
        <f t="shared" si="265"/>
        <v>48.31611851046479</v>
      </c>
      <c r="Z130" s="25">
        <f t="shared" si="265"/>
        <v>48.31611851046479</v>
      </c>
      <c r="AA130" s="25">
        <f t="shared" si="265"/>
        <v>48.316118510464797</v>
      </c>
      <c r="AB130" s="25">
        <f t="shared" si="265"/>
        <v>48.316118510464797</v>
      </c>
      <c r="AC130" s="118">
        <f t="shared" si="255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0.51342812006319116</v>
      </c>
      <c r="H131" s="133">
        <f t="shared" ref="H131:P131" si="266">H78/H29</f>
        <v>0.99813298865431566</v>
      </c>
      <c r="I131" s="133">
        <f t="shared" si="266"/>
        <v>1.6018957345971565</v>
      </c>
      <c r="J131" s="133">
        <f t="shared" si="266"/>
        <v>2.3593628444988592</v>
      </c>
      <c r="K131" s="133">
        <f t="shared" si="266"/>
        <v>2.6271095345587447</v>
      </c>
      <c r="L131" s="133">
        <f t="shared" si="266"/>
        <v>2.4775642790287948</v>
      </c>
      <c r="M131" s="133">
        <f t="shared" si="266"/>
        <v>3.5459732319013177</v>
      </c>
      <c r="N131" s="133">
        <f t="shared" si="266"/>
        <v>4.0258227775301583</v>
      </c>
      <c r="O131" s="133">
        <f t="shared" si="266"/>
        <v>0.21510018220144655</v>
      </c>
      <c r="P131" s="133">
        <f t="shared" si="266"/>
        <v>0.22507893053256858</v>
      </c>
      <c r="Q131" s="118">
        <f t="shared" si="184"/>
        <v>-8.7556183367533014E-2</v>
      </c>
      <c r="R131" s="128"/>
      <c r="S131" s="25">
        <f t="shared" ref="S131:AB131" si="267">S78/S29</f>
        <v>0.21852323352676561</v>
      </c>
      <c r="T131" s="25">
        <f t="shared" si="267"/>
        <v>0.21215847915219962</v>
      </c>
      <c r="U131" s="25">
        <f t="shared" si="267"/>
        <v>0.20597910597300934</v>
      </c>
      <c r="V131" s="25">
        <f t="shared" si="267"/>
        <v>0.19997971453690228</v>
      </c>
      <c r="W131" s="25">
        <f t="shared" si="267"/>
        <v>0.19415506265718666</v>
      </c>
      <c r="X131" s="25">
        <f t="shared" si="267"/>
        <v>0.1885000608322201</v>
      </c>
      <c r="Y131" s="25">
        <f t="shared" si="267"/>
        <v>0.18300976779827194</v>
      </c>
      <c r="Z131" s="25">
        <f t="shared" si="267"/>
        <v>0.17767938621191451</v>
      </c>
      <c r="AA131" s="25">
        <f t="shared" si="267"/>
        <v>0.17250425845816941</v>
      </c>
      <c r="AB131" s="25">
        <f t="shared" si="267"/>
        <v>0.16747986258074701</v>
      </c>
      <c r="AC131" s="118">
        <f t="shared" si="255"/>
        <v>-2.9126213592232997E-2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5.9268292682926829</v>
      </c>
      <c r="H133" s="180">
        <f t="shared" ref="H133:P133" si="268">H25/H14</f>
        <v>4.3186813186813184</v>
      </c>
      <c r="I133" s="180">
        <f t="shared" si="268"/>
        <v>4.0053191489361701</v>
      </c>
      <c r="J133" s="180">
        <f t="shared" si="268"/>
        <v>3.418262150220913</v>
      </c>
      <c r="K133" s="180">
        <f t="shared" si="268"/>
        <v>3.1379310344827585</v>
      </c>
      <c r="L133" s="180">
        <f t="shared" si="268"/>
        <v>3.308970099667774</v>
      </c>
      <c r="M133" s="180">
        <f t="shared" si="268"/>
        <v>3.5695167286245355</v>
      </c>
      <c r="N133" s="180">
        <f t="shared" si="268"/>
        <v>3.5475475475475475</v>
      </c>
      <c r="O133" s="180">
        <f t="shared" si="268"/>
        <v>3.3632893823733516</v>
      </c>
      <c r="P133" s="180">
        <f t="shared" si="268"/>
        <v>2.9991847826086957</v>
      </c>
      <c r="Q133" s="118">
        <f t="shared" si="184"/>
        <v>-7.2890138148286598E-2</v>
      </c>
      <c r="R133" s="128"/>
      <c r="S133" s="25">
        <f t="shared" ref="S133" si="269">S25/S14</f>
        <v>2.9991847826086953</v>
      </c>
      <c r="T133" s="25">
        <f t="shared" ref="T133:AB133" si="270">T25/T14</f>
        <v>2.9991847826086953</v>
      </c>
      <c r="U133" s="25">
        <f t="shared" si="270"/>
        <v>2.9991847826086948</v>
      </c>
      <c r="V133" s="25">
        <f t="shared" si="270"/>
        <v>2.9991847826086944</v>
      </c>
      <c r="W133" s="25">
        <f t="shared" si="270"/>
        <v>2.9991847826086948</v>
      </c>
      <c r="X133" s="25">
        <f t="shared" si="270"/>
        <v>2.9991847826086948</v>
      </c>
      <c r="Y133" s="25">
        <f t="shared" si="270"/>
        <v>2.9991847826086953</v>
      </c>
      <c r="Z133" s="25">
        <f t="shared" si="270"/>
        <v>2.9991847826086948</v>
      </c>
      <c r="AA133" s="25">
        <f t="shared" si="270"/>
        <v>2.9991847826086953</v>
      </c>
      <c r="AB133" s="25">
        <f t="shared" si="270"/>
        <v>2.9991847826086953</v>
      </c>
      <c r="AC133" s="118">
        <f t="shared" si="255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5.1463414634146343</v>
      </c>
      <c r="H134" s="180">
        <f t="shared" ref="H134:P134" si="271">H27/H14</f>
        <v>3.8424908424908426</v>
      </c>
      <c r="I134" s="180">
        <f t="shared" si="271"/>
        <v>3.5797872340425534</v>
      </c>
      <c r="J134" s="180">
        <f t="shared" si="271"/>
        <v>3.117820324005891</v>
      </c>
      <c r="K134" s="180">
        <f t="shared" si="271"/>
        <v>2.9224137931034484</v>
      </c>
      <c r="L134" s="180">
        <f t="shared" si="271"/>
        <v>3.0523255813953489</v>
      </c>
      <c r="M134" s="180">
        <f t="shared" si="271"/>
        <v>3.266171003717472</v>
      </c>
      <c r="N134" s="180">
        <f t="shared" si="271"/>
        <v>3.2107107107107109</v>
      </c>
      <c r="O134" s="180">
        <f t="shared" si="271"/>
        <v>3.0405968077723804</v>
      </c>
      <c r="P134" s="180">
        <f t="shared" si="271"/>
        <v>2.6964673913043478</v>
      </c>
      <c r="Q134" s="118">
        <f t="shared" si="184"/>
        <v>-6.9297821529288317E-2</v>
      </c>
      <c r="R134" s="128"/>
      <c r="S134" s="25">
        <f t="shared" ref="S134:AB134" si="272">S27/S14</f>
        <v>2.6964673913043478</v>
      </c>
      <c r="T134" s="25">
        <f t="shared" si="272"/>
        <v>2.6964673913043473</v>
      </c>
      <c r="U134" s="25">
        <f t="shared" si="272"/>
        <v>2.6964673913043473</v>
      </c>
      <c r="V134" s="25">
        <f t="shared" si="272"/>
        <v>2.6964673913043469</v>
      </c>
      <c r="W134" s="25">
        <f t="shared" si="272"/>
        <v>2.6964673913043473</v>
      </c>
      <c r="X134" s="25">
        <f t="shared" si="272"/>
        <v>2.6964673913043473</v>
      </c>
      <c r="Y134" s="25">
        <f t="shared" si="272"/>
        <v>2.6964673913043473</v>
      </c>
      <c r="Z134" s="25">
        <f t="shared" si="272"/>
        <v>2.6964673913043473</v>
      </c>
      <c r="AA134" s="25">
        <f t="shared" si="272"/>
        <v>2.6964673913043473</v>
      </c>
      <c r="AB134" s="25">
        <f t="shared" si="272"/>
        <v>2.6964673913043478</v>
      </c>
      <c r="AC134" s="118">
        <f t="shared" si="255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31.460396010787314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35.527275886192619</v>
      </c>
      <c r="S138" s="133">
        <f>PV($C$1, ($AB$3-$S$3), 0, -AB52)</f>
        <v>3.3982611717227718</v>
      </c>
      <c r="T138" s="133">
        <f>PV($C$1, ($AB$3-$S$3), 0, -AE52)</f>
        <v>32.129014714469847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73">S139+T139</f>
        <v>96.487180992983824</v>
      </c>
      <c r="S139" s="133">
        <f>PV($C$1, ($AB$3-$S$3), 0, -AB54)</f>
        <v>9.2292086167201912</v>
      </c>
      <c r="T139" s="133">
        <f>PV($C$1, ($AB$3-$S$3), 0, -AE54)</f>
        <v>87.257972376263638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73"/>
        <v>92.174904747487346</v>
      </c>
      <c r="S140" s="133">
        <f>PV($C$1, ($AB$3-$S$3), 0, -AB55)</f>
        <v>8.8167300193248757</v>
      </c>
      <c r="T140" s="133">
        <f>PV($C$1, ($AB$3-$S$3), 0, -AE55)</f>
        <v>83.358174728162467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73"/>
        <v>4.9003139153369157E-4</v>
      </c>
      <c r="S141" s="133">
        <f>PV($C$1, ($AB$3-$S$3), 0, -AB56)</f>
        <v>4.6872567885831351E-5</v>
      </c>
      <c r="T141" s="133">
        <f>PV($C$1, ($AB$3-$S$3), 0, -AE56)</f>
        <v>4.4315882364786018E-4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73"/>
        <v>55.814575495687464</v>
      </c>
      <c r="S142" s="133">
        <f>PV($C$1, ($AB$3-$S$3), 0, -AB62)</f>
        <v>5.3387854821961911</v>
      </c>
      <c r="T142" s="133">
        <f>PV($C$1, ($AB$3-$S$3), 0, -AE62)</f>
        <v>50.47579001349127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73"/>
        <v>96.486690961592316</v>
      </c>
      <c r="S144" s="133">
        <f>PV($C$1, ($AB$3-$S$3), 0, -AB58)</f>
        <v>9.2291617441523073</v>
      </c>
      <c r="T144" s="133">
        <f>PV($C$1, ($AB$3-$S$3), 0, -$AE$58)</f>
        <v>87.257529217440009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3"/>
        <v>-77.719468728635064</v>
      </c>
      <c r="S145" s="133">
        <f>PV($C$1, ($AB$3-$S$3), 0, -AB59)</f>
        <v>-7.4340361392607432</v>
      </c>
      <c r="T145" s="133">
        <f>PV($C$1, ($AB$3-$S$3), 0, -$AE$59)</f>
        <v>-70.285432589374324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73"/>
        <v>166.56117995091014</v>
      </c>
      <c r="S146" s="133">
        <f>PV($C$1, ($AB$3-$S$3), 0, -AB60)</f>
        <v>15.931938951826185</v>
      </c>
      <c r="T146" s="133">
        <f>PV($C$1, ($AB$3-$S$3), 0, -$AE$60)</f>
        <v>150.62924099908395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3"/>
        <v>244.28064867954518</v>
      </c>
      <c r="S148" s="133">
        <f>PV($C$1, ($AB$3-$S$3), 0, -AB65)</f>
        <v>23.365975091086927</v>
      </c>
      <c r="T148" s="133">
        <f>PV($C$1, ($AB$3-$S$3), 0, -AE65)</f>
        <v>220.91467358845824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3"/>
        <v>52.50196328891969</v>
      </c>
      <c r="S149" s="133">
        <f>PV($C$1, ($AB$3-$S$3), 0, -AB66)</f>
        <v>6.8480821681199595</v>
      </c>
      <c r="T149" s="133">
        <f>PV($C$1, ($AB$3-$S$3), 0, -AE66)</f>
        <v>45.653881120799731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74">S151+T151</f>
        <v>6658.6485490072128</v>
      </c>
      <c r="S151" s="133">
        <f>PV($C$1, ($AB$3-$S$3), 0, -AB12)</f>
        <v>636.91420903547248</v>
      </c>
      <c r="T151" s="133">
        <f>PV($C$1, ($AB$3-$S$3), 0, -AE12)</f>
        <v>6021.7343399717402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75.010122214793427</v>
      </c>
      <c r="S152" s="140">
        <f>S151/P42</f>
        <v>7.1748812553280672</v>
      </c>
      <c r="T152" s="140">
        <f>T151/P42</f>
        <v>67.835240959465366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75">S155+T155</f>
        <v>28.936054254981748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19.742734273178989</v>
      </c>
      <c r="T155" s="133">
        <f>PV($C$1, ($AB$3-$S$3), 0, -AE68)</f>
        <v>9.1933199818027571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73"/>
        <v>6839.2207757844744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4666.3210271203961</v>
      </c>
      <c r="T157" s="133">
        <f>PV($C$1, ($AB$3-$S$3), 0, -AE70)</f>
        <v>2172.8997486640783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76">S159+T159</f>
        <v>57.32818026243649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39.114352610509442</v>
      </c>
      <c r="T159" s="133">
        <f>PV($C$1, ($AB$3-$S$3), 0, -AE72)</f>
        <v>18.213827651927051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76"/>
        <v>63.18653444983876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43.111439738590704</v>
      </c>
      <c r="T160" s="133">
        <f>PV($C$1, ($AB$3-$S$3), 0, -AE73)</f>
        <v>20.07509471124806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76"/>
        <v>-5.8583541874022709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-3.9970871280812581</v>
      </c>
      <c r="T161" s="133">
        <f>PV($C$1, ($AB$3-$S$3), 0, -AE74)</f>
        <v>-1.8612670593210128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76"/>
        <v>-32.778886524750796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-22.364654169026082</v>
      </c>
      <c r="T162" s="133">
        <f>PV($C$1, ($AB$3-$S$3), 0, -AE75)</f>
        <v>-10.414232355724714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158.45453230688048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108.11168994048356</v>
      </c>
      <c r="T164" s="133">
        <f>PV($C$1, ($AB$3-$S$3), 0, -AE76)</f>
        <v>50.342842366396916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230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270</v>
      </c>
      <c r="Q166" s="20">
        <v>150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96</v>
      </c>
      <c r="H167" s="22">
        <v>200</v>
      </c>
      <c r="I167" s="22">
        <v>740</v>
      </c>
      <c r="J167" s="22">
        <v>800</v>
      </c>
      <c r="K167" s="22">
        <v>900</v>
      </c>
      <c r="L167" s="22">
        <v>720</v>
      </c>
      <c r="M167" s="22">
        <v>1760</v>
      </c>
      <c r="N167" s="22">
        <v>3350</v>
      </c>
      <c r="O167" s="22">
        <v>215</v>
      </c>
      <c r="P167" s="22">
        <v>150</v>
      </c>
      <c r="Q167" s="118">
        <f t="shared" ref="Q167:Q172" si="277">((P167/G167)^(1/($H$2-$H$1) ))-1</f>
        <v>5.0837490079649994E-2</v>
      </c>
      <c r="R167" s="31">
        <v>0.02</v>
      </c>
      <c r="S167" s="119">
        <f t="shared" ref="S167" si="278">P167*(1+$R167)</f>
        <v>153</v>
      </c>
      <c r="T167" s="119">
        <f t="shared" ref="T167:AB167" si="279">S167*(1+$R167)</f>
        <v>156.06</v>
      </c>
      <c r="U167" s="119">
        <f t="shared" si="279"/>
        <v>159.18120000000002</v>
      </c>
      <c r="V167" s="119">
        <f t="shared" si="279"/>
        <v>162.36482400000003</v>
      </c>
      <c r="W167" s="119">
        <f t="shared" si="279"/>
        <v>165.61212048000004</v>
      </c>
      <c r="X167" s="119">
        <f t="shared" si="279"/>
        <v>168.92436288960005</v>
      </c>
      <c r="Y167" s="119">
        <f t="shared" si="279"/>
        <v>172.30285014739206</v>
      </c>
      <c r="Z167" s="119">
        <f t="shared" si="279"/>
        <v>175.7489071503399</v>
      </c>
      <c r="AA167" s="119">
        <f t="shared" si="279"/>
        <v>179.2638852933467</v>
      </c>
      <c r="AB167" s="119">
        <f t="shared" si="279"/>
        <v>182.84916299921363</v>
      </c>
      <c r="AC167" s="138">
        <f t="shared" ref="AC167:AC172" si="280">((AB167/G167)^(1/($AB$3-$H$1) ))-1</f>
        <v>3.4492771033150182E-2</v>
      </c>
      <c r="AD167" s="31">
        <v>0.08</v>
      </c>
      <c r="AE167" s="127">
        <f t="shared" ref="AE167:AE175" si="281">(AB167*(1+AC167))/($C$1-AD167)</f>
        <v>2702.2305330306958</v>
      </c>
    </row>
    <row r="168" spans="2:31" x14ac:dyDescent="0.2">
      <c r="B168" s="20" t="s">
        <v>361</v>
      </c>
      <c r="C168" s="25" t="e">
        <f t="shared" ref="C168:P168" si="282">C167/C49</f>
        <v>#DIV/0!</v>
      </c>
      <c r="D168" s="25" t="e">
        <f t="shared" si="282"/>
        <v>#DIV/0!</v>
      </c>
      <c r="E168" s="25" t="e">
        <f t="shared" si="282"/>
        <v>#DIV/0!</v>
      </c>
      <c r="F168" s="25" t="e">
        <f t="shared" si="282"/>
        <v>#DIV/0!</v>
      </c>
      <c r="G168" s="25">
        <f t="shared" si="282"/>
        <v>0.41679012345679012</v>
      </c>
      <c r="H168" s="25">
        <f t="shared" si="282"/>
        <v>0.71586089906700578</v>
      </c>
      <c r="I168" s="25">
        <f t="shared" si="282"/>
        <v>2.0735723771580341</v>
      </c>
      <c r="J168" s="25">
        <f t="shared" si="282"/>
        <v>1.5269280482550622</v>
      </c>
      <c r="K168" s="25">
        <f t="shared" si="282"/>
        <v>1.2170329670329669</v>
      </c>
      <c r="L168" s="25">
        <f t="shared" si="282"/>
        <v>0.80060240963855422</v>
      </c>
      <c r="M168" s="25">
        <f t="shared" si="282"/>
        <v>1.6239950010414497</v>
      </c>
      <c r="N168" s="25">
        <f t="shared" si="282"/>
        <v>2.09375</v>
      </c>
      <c r="O168" s="25">
        <f t="shared" si="282"/>
        <v>1.9690034045187248</v>
      </c>
      <c r="P168" s="25">
        <f t="shared" si="282"/>
        <v>1.2064419679260669</v>
      </c>
      <c r="Q168" s="118">
        <f t="shared" ref="Q168" si="283">((P168/G168)^(1/($H$2-$H$1) ))-1</f>
        <v>0.12535013815623586</v>
      </c>
      <c r="R168" s="128"/>
      <c r="S168" s="25">
        <f t="shared" ref="S168:AB168" si="284">S167/S49</f>
        <v>1.1845681602832951</v>
      </c>
      <c r="T168" s="25">
        <f t="shared" si="284"/>
        <v>1.1630909431716168</v>
      </c>
      <c r="U168" s="25">
        <f t="shared" si="284"/>
        <v>1.1420031260711221</v>
      </c>
      <c r="V168" s="25">
        <f t="shared" si="284"/>
        <v>1.1212976488320758</v>
      </c>
      <c r="W168" s="25">
        <f t="shared" si="284"/>
        <v>1.100967579311195</v>
      </c>
      <c r="X168" s="25">
        <f t="shared" si="284"/>
        <v>1.0810061110507863</v>
      </c>
      <c r="Y168" s="25">
        <f t="shared" si="284"/>
        <v>1.061406560999959</v>
      </c>
      <c r="Z168" s="25">
        <f t="shared" si="284"/>
        <v>1.0421623672771558</v>
      </c>
      <c r="AA168" s="25">
        <f t="shared" si="284"/>
        <v>1.0232670869732523</v>
      </c>
      <c r="AB168" s="25">
        <f t="shared" si="284"/>
        <v>1.0047143939944847</v>
      </c>
      <c r="AC168" s="138">
        <f t="shared" ref="AC168" si="285">((AB168/G168)^(1/($AB$3-$H$1) ))-1</f>
        <v>4.7398271603203979E-2</v>
      </c>
      <c r="AD168" s="31">
        <v>0.08</v>
      </c>
      <c r="AE168" s="127">
        <f t="shared" ref="AE168" si="286">(AB168*(1+AC168))/($C$1-AD168)</f>
        <v>15.033373138924057</v>
      </c>
    </row>
    <row r="169" spans="2:31" x14ac:dyDescent="0.2">
      <c r="B169" s="20" t="s">
        <v>389</v>
      </c>
      <c r="C169" s="25" t="e">
        <f t="shared" ref="C169:P169" si="287">C167/C52</f>
        <v>#DIV/0!</v>
      </c>
      <c r="D169" s="25" t="e">
        <f t="shared" si="287"/>
        <v>#DIV/0!</v>
      </c>
      <c r="E169" s="25" t="e">
        <f t="shared" si="287"/>
        <v>#DIV/0!</v>
      </c>
      <c r="F169" s="25" t="e">
        <f t="shared" si="287"/>
        <v>#DIV/0!</v>
      </c>
      <c r="G169" s="25">
        <f t="shared" si="287"/>
        <v>6.9848275862068965</v>
      </c>
      <c r="H169" s="25">
        <f t="shared" si="287"/>
        <v>13.085271317829458</v>
      </c>
      <c r="I169" s="25">
        <f t="shared" si="287"/>
        <v>31.543434343434338</v>
      </c>
      <c r="J169" s="25">
        <f t="shared" si="287"/>
        <v>31.927927927927925</v>
      </c>
      <c r="K169" s="25">
        <f t="shared" si="287"/>
        <v>29.316176470588236</v>
      </c>
      <c r="L169" s="25">
        <f t="shared" si="287"/>
        <v>19.448780487804878</v>
      </c>
      <c r="M169" s="25">
        <f t="shared" si="287"/>
        <v>31.062948207171313</v>
      </c>
      <c r="N169" s="25">
        <f t="shared" si="287"/>
        <v>34.273672055427248</v>
      </c>
      <c r="O169" s="25">
        <f t="shared" si="287"/>
        <v>31.756322795341099</v>
      </c>
      <c r="P169" s="25">
        <f t="shared" si="287"/>
        <v>18.36620689655172</v>
      </c>
      <c r="Q169" s="118">
        <f t="shared" si="277"/>
        <v>0.11340080590977308</v>
      </c>
      <c r="R169" s="128"/>
      <c r="S169" s="119">
        <f t="shared" ref="S169:AB169" si="288">S167/S52</f>
        <v>18.033212117305833</v>
      </c>
      <c r="T169" s="119">
        <f t="shared" si="288"/>
        <v>17.706254813496738</v>
      </c>
      <c r="U169" s="119">
        <f t="shared" si="288"/>
        <v>17.385225520616515</v>
      </c>
      <c r="V169" s="119">
        <f t="shared" si="288"/>
        <v>17.07001675884085</v>
      </c>
      <c r="W169" s="119">
        <f t="shared" si="288"/>
        <v>16.760522997045047</v>
      </c>
      <c r="X169" s="119">
        <f t="shared" si="288"/>
        <v>16.456640617472456</v>
      </c>
      <c r="Y169" s="119">
        <f t="shared" si="288"/>
        <v>16.158267881043514</v>
      </c>
      <c r="Z169" s="119">
        <f t="shared" si="288"/>
        <v>15.865304893293754</v>
      </c>
      <c r="AA169" s="119">
        <f t="shared" si="288"/>
        <v>15.577653570929362</v>
      </c>
      <c r="AB169" s="119">
        <f t="shared" si="288"/>
        <v>15.295217608989148</v>
      </c>
      <c r="AC169" s="138">
        <f t="shared" si="280"/>
        <v>4.2115337832975053E-2</v>
      </c>
      <c r="AD169" s="31">
        <v>0.08</v>
      </c>
      <c r="AE169" s="127">
        <f t="shared" si="281"/>
        <v>227.70544094029424</v>
      </c>
    </row>
    <row r="170" spans="2:31" x14ac:dyDescent="0.2">
      <c r="B170" s="20" t="s">
        <v>258</v>
      </c>
      <c r="C170" s="25" t="e">
        <f t="shared" ref="C170:P170" si="289">C167/C55</f>
        <v>#DIV/0!</v>
      </c>
      <c r="D170" s="25" t="e">
        <f t="shared" si="289"/>
        <v>#DIV/0!</v>
      </c>
      <c r="E170" s="25" t="e">
        <f t="shared" si="289"/>
        <v>#DIV/0!</v>
      </c>
      <c r="F170" s="25" t="e">
        <f t="shared" si="289"/>
        <v>#DIV/0!</v>
      </c>
      <c r="G170" s="25">
        <f t="shared" si="289"/>
        <v>4.8809638554216868</v>
      </c>
      <c r="H170" s="25">
        <f t="shared" si="289"/>
        <v>9.2747252747252755</v>
      </c>
      <c r="I170" s="25">
        <f t="shared" si="289"/>
        <v>20.277922077922078</v>
      </c>
      <c r="J170" s="25">
        <f t="shared" si="289"/>
        <v>12.095563139931741</v>
      </c>
      <c r="K170" s="25">
        <f t="shared" si="289"/>
        <v>9.9426433915211962</v>
      </c>
      <c r="L170" s="25">
        <f t="shared" si="289"/>
        <v>6.2175438596491226</v>
      </c>
      <c r="M170" s="25">
        <f t="shared" si="289"/>
        <v>11.3490538573508</v>
      </c>
      <c r="N170" s="25">
        <f t="shared" si="289"/>
        <v>14.975277497477295</v>
      </c>
      <c r="O170" s="25">
        <f t="shared" si="289"/>
        <v>13.910750728862974</v>
      </c>
      <c r="P170" s="25">
        <f t="shared" si="289"/>
        <v>7.0789473684210522</v>
      </c>
      <c r="Q170" s="118">
        <f t="shared" si="277"/>
        <v>4.2174262229928372E-2</v>
      </c>
      <c r="R170" s="128"/>
      <c r="S170" s="119">
        <f t="shared" ref="S170:AB170" si="290">S167/S55</f>
        <v>6.9506000983767828</v>
      </c>
      <c r="T170" s="119">
        <f t="shared" si="290"/>
        <v>6.8245798722940636</v>
      </c>
      <c r="U170" s="119">
        <f t="shared" si="290"/>
        <v>6.7008444989085465</v>
      </c>
      <c r="V170" s="119">
        <f t="shared" si="290"/>
        <v>6.5793525519189897</v>
      </c>
      <c r="W170" s="119">
        <f t="shared" si="290"/>
        <v>6.4600633561178409</v>
      </c>
      <c r="X170" s="119">
        <f t="shared" si="290"/>
        <v>6.3429369737732744</v>
      </c>
      <c r="Y170" s="119">
        <f t="shared" si="290"/>
        <v>6.2279341912581323</v>
      </c>
      <c r="Z170" s="119">
        <f t="shared" si="290"/>
        <v>6.1150165059213029</v>
      </c>
      <c r="AA170" s="119">
        <f t="shared" si="290"/>
        <v>6.0041461131971223</v>
      </c>
      <c r="AB170" s="119">
        <f t="shared" si="290"/>
        <v>5.8952858939485004</v>
      </c>
      <c r="AC170" s="138">
        <f t="shared" si="280"/>
        <v>9.986924974687561E-3</v>
      </c>
      <c r="AD170" s="31">
        <v>0.08</v>
      </c>
      <c r="AE170" s="127">
        <f t="shared" si="281"/>
        <v>85.059452455367122</v>
      </c>
    </row>
    <row r="171" spans="2:31" x14ac:dyDescent="0.2">
      <c r="B171" s="20" t="s">
        <v>259</v>
      </c>
      <c r="C171" s="25" t="e">
        <f t="shared" ref="C171:P171" si="291">C167/C64</f>
        <v>#DIV/0!</v>
      </c>
      <c r="D171" s="25" t="e">
        <f t="shared" si="291"/>
        <v>#DIV/0!</v>
      </c>
      <c r="E171" s="25" t="e">
        <f t="shared" si="291"/>
        <v>#DIV/0!</v>
      </c>
      <c r="F171" s="25" t="e">
        <f t="shared" si="291"/>
        <v>#DIV/0!</v>
      </c>
      <c r="G171" s="25">
        <f t="shared" si="291"/>
        <v>7.6007504690431507</v>
      </c>
      <c r="H171" s="25">
        <f t="shared" si="291"/>
        <v>11.94452306821398</v>
      </c>
      <c r="I171" s="25">
        <f t="shared" si="291"/>
        <v>47.315151515151513</v>
      </c>
      <c r="J171" s="25">
        <f t="shared" si="291"/>
        <v>42.905569007263921</v>
      </c>
      <c r="K171" s="25">
        <f t="shared" si="291"/>
        <v>73.425414364640872</v>
      </c>
      <c r="L171" s="25">
        <f t="shared" si="291"/>
        <v>56.353356890459359</v>
      </c>
      <c r="M171" s="25">
        <f t="shared" si="291"/>
        <v>39.2588116817724</v>
      </c>
      <c r="N171" s="25">
        <f t="shared" si="291"/>
        <v>13.339775280898877</v>
      </c>
      <c r="O171" s="25">
        <f t="shared" si="291"/>
        <v>19.688002888384567</v>
      </c>
      <c r="P171" s="25">
        <f t="shared" si="291"/>
        <v>11.660726326943454</v>
      </c>
      <c r="Q171" s="118">
        <f t="shared" si="277"/>
        <v>4.8702070148078036E-2</v>
      </c>
      <c r="R171" s="128"/>
      <c r="S171" s="119">
        <f t="shared" ref="S171:AB171" si="292">S167/S64</f>
        <v>11.449307550548404</v>
      </c>
      <c r="T171" s="119">
        <f t="shared" si="292"/>
        <v>11.241721974398274</v>
      </c>
      <c r="U171" s="119">
        <f t="shared" si="292"/>
        <v>11.037900099348436</v>
      </c>
      <c r="V171" s="119">
        <f t="shared" si="292"/>
        <v>10.837773686332213</v>
      </c>
      <c r="W171" s="119">
        <f t="shared" si="292"/>
        <v>10.6412757335146</v>
      </c>
      <c r="X171" s="119">
        <f t="shared" si="292"/>
        <v>10.448340453860222</v>
      </c>
      <c r="Y171" s="119">
        <f t="shared" si="292"/>
        <v>10.25890325310799</v>
      </c>
      <c r="Z171" s="119">
        <f t="shared" si="292"/>
        <v>10.072900708145097</v>
      </c>
      <c r="AA171" s="119">
        <f t="shared" si="292"/>
        <v>9.8902705457731219</v>
      </c>
      <c r="AB171" s="119">
        <f t="shared" si="292"/>
        <v>9.7109516218591043</v>
      </c>
      <c r="AC171" s="138">
        <f t="shared" si="280"/>
        <v>1.2978621308645355E-2</v>
      </c>
      <c r="AD171" s="31">
        <v>0.08</v>
      </c>
      <c r="AE171" s="127">
        <f t="shared" si="281"/>
        <v>140.52837693579698</v>
      </c>
    </row>
    <row r="172" spans="2:31" x14ac:dyDescent="0.2">
      <c r="B172" s="20" t="s">
        <v>260</v>
      </c>
      <c r="C172" s="25" t="e">
        <f t="shared" ref="C172:P172" si="293">C167/C66</f>
        <v>#DIV/0!</v>
      </c>
      <c r="D172" s="25" t="e">
        <f t="shared" si="293"/>
        <v>#DIV/0!</v>
      </c>
      <c r="E172" s="25" t="e">
        <f t="shared" si="293"/>
        <v>#DIV/0!</v>
      </c>
      <c r="F172" s="25" t="e">
        <f t="shared" si="293"/>
        <v>#DIV/0!</v>
      </c>
      <c r="G172" s="25">
        <f t="shared" si="293"/>
        <v>1.2542414860681115</v>
      </c>
      <c r="H172" s="25">
        <f t="shared" si="293"/>
        <v>3.3228346456692908</v>
      </c>
      <c r="I172" s="25">
        <f t="shared" si="293"/>
        <v>12.246274509803921</v>
      </c>
      <c r="J172" s="25">
        <f t="shared" si="293"/>
        <v>12.7942238267148</v>
      </c>
      <c r="K172" s="25">
        <f t="shared" si="293"/>
        <v>10.893442622950818</v>
      </c>
      <c r="L172" s="25">
        <f t="shared" si="293"/>
        <v>7.5404255319148934</v>
      </c>
      <c r="M172" s="25">
        <f t="shared" si="293"/>
        <v>14.907839388145316</v>
      </c>
      <c r="N172" s="25">
        <f t="shared" si="293"/>
        <v>20.136363636363633</v>
      </c>
      <c r="O172" s="25">
        <f t="shared" si="293"/>
        <v>18.090568720379146</v>
      </c>
      <c r="P172" s="25">
        <f t="shared" si="293"/>
        <v>9.113963039014374</v>
      </c>
      <c r="Q172" s="118">
        <f t="shared" si="277"/>
        <v>0.24653047387646732</v>
      </c>
      <c r="R172" s="128"/>
      <c r="S172" s="119">
        <f t="shared" ref="S172:AB172" si="294">S167/S66</f>
        <v>8.9487192231668224</v>
      </c>
      <c r="T172" s="119">
        <f t="shared" si="294"/>
        <v>8.7864714166907145</v>
      </c>
      <c r="U172" s="119">
        <f t="shared" si="294"/>
        <v>8.6271652994161361</v>
      </c>
      <c r="V172" s="119">
        <f t="shared" si="294"/>
        <v>8.4707475360435449</v>
      </c>
      <c r="W172" s="119">
        <f t="shared" si="294"/>
        <v>8.3171657582872403</v>
      </c>
      <c r="X172" s="119">
        <f t="shared" si="294"/>
        <v>8.1663685473425929</v>
      </c>
      <c r="Y172" s="119">
        <f t="shared" si="294"/>
        <v>8.0183054166711489</v>
      </c>
      <c r="Z172" s="119">
        <f t="shared" si="294"/>
        <v>7.8729267950978592</v>
      </c>
      <c r="AA172" s="119">
        <f t="shared" si="294"/>
        <v>7.7301840102147761</v>
      </c>
      <c r="AB172" s="119">
        <f t="shared" si="294"/>
        <v>7.5900292720856468</v>
      </c>
      <c r="AC172" s="138">
        <f t="shared" si="280"/>
        <v>9.9387125483853422E-2</v>
      </c>
      <c r="AD172" s="31">
        <v>0.08</v>
      </c>
      <c r="AE172" s="127">
        <f t="shared" si="281"/>
        <v>119.20543519680778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295">G167/G60</f>
        <v>-3.4625641025641025</v>
      </c>
      <c r="H173" s="182">
        <f t="shared" si="295"/>
        <v>-22.210526315789473</v>
      </c>
      <c r="I173" s="182">
        <f t="shared" si="295"/>
        <v>29.460377358490565</v>
      </c>
      <c r="J173" s="182">
        <f t="shared" si="295"/>
        <v>10.332361516034984</v>
      </c>
      <c r="K173" s="182">
        <f t="shared" si="295"/>
        <v>7.1837837837837837</v>
      </c>
      <c r="L173" s="182">
        <f t="shared" si="295"/>
        <v>4.022194199243379</v>
      </c>
      <c r="M173" s="182">
        <f t="shared" si="295"/>
        <v>7.9640449438202241</v>
      </c>
      <c r="N173" s="182">
        <f t="shared" si="295"/>
        <v>8.4364163492695106</v>
      </c>
      <c r="O173" s="182">
        <f t="shared" si="295"/>
        <v>7.5823265570435936</v>
      </c>
      <c r="P173" s="182">
        <f t="shared" si="295"/>
        <v>3.9174872535665006</v>
      </c>
      <c r="Q173" s="118">
        <f t="shared" ref="Q173:Q175" si="296">((P173/G173)^(1/($H$2-$H$1) ))-1</f>
        <v>-2.0138101643312925</v>
      </c>
      <c r="R173" s="128"/>
      <c r="S173" s="135">
        <f t="shared" ref="S173:AB173" si="297">S167/S60</f>
        <v>3.8464599145766027</v>
      </c>
      <c r="T173" s="135">
        <f t="shared" si="297"/>
        <v>3.7767203609852138</v>
      </c>
      <c r="U173" s="135">
        <f t="shared" si="297"/>
        <v>3.7082452441598739</v>
      </c>
      <c r="V173" s="135">
        <f t="shared" si="297"/>
        <v>3.6410116387984703</v>
      </c>
      <c r="W173" s="135">
        <f t="shared" si="297"/>
        <v>3.5749970352539009</v>
      </c>
      <c r="X173" s="135">
        <f t="shared" si="297"/>
        <v>3.5101793319978958</v>
      </c>
      <c r="Y173" s="135">
        <f t="shared" si="297"/>
        <v>3.4465368282214852</v>
      </c>
      <c r="Z173" s="135">
        <f t="shared" si="297"/>
        <v>3.3840482165696191</v>
      </c>
      <c r="AA173" s="135">
        <f t="shared" si="297"/>
        <v>3.3226925760075159</v>
      </c>
      <c r="AB173" s="135">
        <f t="shared" si="297"/>
        <v>3.2624493648163519</v>
      </c>
      <c r="AC173" s="138">
        <f t="shared" ref="AC173" si="298">((AB173/G173)^(1/($AB$3-$H$1) ))-1</f>
        <v>-1.9968716859007201</v>
      </c>
      <c r="AD173" s="31">
        <v>0.08</v>
      </c>
      <c r="AE173" s="127">
        <f t="shared" si="281"/>
        <v>-46.460619978145864</v>
      </c>
    </row>
    <row r="174" spans="2:31" x14ac:dyDescent="0.2">
      <c r="B174" s="20" t="s">
        <v>371</v>
      </c>
      <c r="C174" s="161" t="e">
        <f t="shared" ref="C174:P174" si="299">C52/C167</f>
        <v>#DIV/0!</v>
      </c>
      <c r="D174" s="161" t="e">
        <f t="shared" si="299"/>
        <v>#DIV/0!</v>
      </c>
      <c r="E174" s="161" t="e">
        <f t="shared" si="299"/>
        <v>#DIV/0!</v>
      </c>
      <c r="F174" s="161" t="e">
        <f t="shared" si="299"/>
        <v>#DIV/0!</v>
      </c>
      <c r="G174" s="161">
        <f t="shared" si="299"/>
        <v>0.14316745655608215</v>
      </c>
      <c r="H174" s="161">
        <f t="shared" si="299"/>
        <v>7.6421800947867297E-2</v>
      </c>
      <c r="I174" s="161">
        <f t="shared" si="299"/>
        <v>3.1702318432176253E-2</v>
      </c>
      <c r="J174" s="161">
        <f t="shared" si="299"/>
        <v>3.1320541760722354E-2</v>
      </c>
      <c r="K174" s="161">
        <f t="shared" si="299"/>
        <v>3.411086029596188E-2</v>
      </c>
      <c r="L174" s="161">
        <f t="shared" si="299"/>
        <v>5.1417105593177831E-2</v>
      </c>
      <c r="M174" s="161">
        <f t="shared" si="299"/>
        <v>3.2192694438744104E-2</v>
      </c>
      <c r="N174" s="161">
        <f t="shared" si="299"/>
        <v>2.9176914524443251E-2</v>
      </c>
      <c r="O174" s="161">
        <f t="shared" si="299"/>
        <v>3.1489792015425282E-2</v>
      </c>
      <c r="P174" s="161">
        <f t="shared" si="299"/>
        <v>5.4447823964552597E-2</v>
      </c>
      <c r="Q174" s="118">
        <f t="shared" si="296"/>
        <v>-0.10185083871671163</v>
      </c>
      <c r="R174" s="128"/>
      <c r="S174" s="161">
        <f t="shared" ref="S174:AB174" si="300">S52/S167</f>
        <v>5.545323780893896E-2</v>
      </c>
      <c r="T174" s="161">
        <f t="shared" si="300"/>
        <v>5.6477217262102308E-2</v>
      </c>
      <c r="U174" s="161">
        <f t="shared" si="300"/>
        <v>5.7520105149866239E-2</v>
      </c>
      <c r="V174" s="161">
        <f t="shared" si="300"/>
        <v>5.8582250628552143E-2</v>
      </c>
      <c r="W174" s="161">
        <f t="shared" si="300"/>
        <v>5.9664009301875862E-2</v>
      </c>
      <c r="X174" s="161">
        <f t="shared" si="300"/>
        <v>6.0765743340003016E-2</v>
      </c>
      <c r="Y174" s="161">
        <f t="shared" si="300"/>
        <v>6.1887821600802619E-2</v>
      </c>
      <c r="Z174" s="161">
        <f t="shared" si="300"/>
        <v>6.3030619753339803E-2</v>
      </c>
      <c r="AA174" s="161">
        <f t="shared" si="300"/>
        <v>6.4194520403648953E-2</v>
      </c>
      <c r="AB174" s="161">
        <f t="shared" si="300"/>
        <v>6.5379913222829225E-2</v>
      </c>
      <c r="AC174" s="138">
        <f t="shared" ref="AC174:AC175" si="301">((AB174/G174)^(1/($AB$3-$H$1) ))-1</f>
        <v>-4.0413317321047804E-2</v>
      </c>
      <c r="AD174" s="31">
        <v>0.08</v>
      </c>
      <c r="AE174" s="127">
        <f t="shared" si="281"/>
        <v>0.89625277204760667</v>
      </c>
    </row>
    <row r="175" spans="2:31" x14ac:dyDescent="0.2">
      <c r="B175" s="20" t="s">
        <v>320</v>
      </c>
      <c r="C175" s="152" t="e">
        <f t="shared" ref="C175:P175" si="302">C43/C167</f>
        <v>#DIV/0!</v>
      </c>
      <c r="D175" s="152" t="e">
        <f t="shared" si="302"/>
        <v>#DIV/0!</v>
      </c>
      <c r="E175" s="152" t="e">
        <f t="shared" si="302"/>
        <v>#DIV/0!</v>
      </c>
      <c r="F175" s="152" t="e">
        <f t="shared" si="302"/>
        <v>#DIV/0!</v>
      </c>
      <c r="G175" s="152">
        <f t="shared" si="302"/>
        <v>1.0416666666666666E-2</v>
      </c>
      <c r="H175" s="152">
        <f t="shared" si="302"/>
        <v>0.01</v>
      </c>
      <c r="I175" s="152">
        <f t="shared" si="302"/>
        <v>4.0540540540540543E-3</v>
      </c>
      <c r="J175" s="152">
        <f t="shared" si="302"/>
        <v>6.2500000000000003E-3</v>
      </c>
      <c r="K175" s="152">
        <f t="shared" si="302"/>
        <v>8.8888888888888889E-3</v>
      </c>
      <c r="L175" s="152">
        <f t="shared" si="302"/>
        <v>1.3888888888888888E-2</v>
      </c>
      <c r="M175" s="152">
        <f t="shared" si="302"/>
        <v>8.5227272727272721E-3</v>
      </c>
      <c r="N175" s="152">
        <f t="shared" si="302"/>
        <v>7.462686567164179E-3</v>
      </c>
      <c r="O175" s="152">
        <f t="shared" si="302"/>
        <v>8.1395348837209301E-3</v>
      </c>
      <c r="P175" s="152">
        <f t="shared" si="302"/>
        <v>1.4E-2</v>
      </c>
      <c r="Q175" s="118">
        <f t="shared" si="296"/>
        <v>3.3395546085731365E-2</v>
      </c>
      <c r="R175" s="128"/>
      <c r="S175" s="152">
        <f t="shared" ref="S175:AB175" si="303">S43/S167</f>
        <v>1.4411764705882353E-2</v>
      </c>
      <c r="T175" s="152">
        <f t="shared" si="303"/>
        <v>1.4835640138408306E-2</v>
      </c>
      <c r="U175" s="152">
        <f t="shared" si="303"/>
        <v>1.5271982495420314E-2</v>
      </c>
      <c r="V175" s="152">
        <f t="shared" si="303"/>
        <v>1.572115845116797E-2</v>
      </c>
      <c r="W175" s="152">
        <f t="shared" si="303"/>
        <v>1.6183545464437617E-2</v>
      </c>
      <c r="X175" s="152">
        <f t="shared" si="303"/>
        <v>1.6659532095744604E-2</v>
      </c>
      <c r="Y175" s="152">
        <f t="shared" si="303"/>
        <v>1.7149518333854738E-2</v>
      </c>
      <c r="Z175" s="152">
        <f t="shared" si="303"/>
        <v>1.7653915931909292E-2</v>
      </c>
      <c r="AA175" s="152">
        <f t="shared" si="303"/>
        <v>1.8173148753436036E-2</v>
      </c>
      <c r="AB175" s="152">
        <f t="shared" si="303"/>
        <v>1.8707653128537095E-2</v>
      </c>
      <c r="AC175" s="138">
        <f t="shared" si="301"/>
        <v>3.1296901022824564E-2</v>
      </c>
      <c r="AD175" s="31">
        <v>0.08</v>
      </c>
      <c r="AE175" s="127">
        <f t="shared" si="281"/>
        <v>0.27561635281243224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201" t="s">
        <v>351</v>
      </c>
      <c r="L178" s="202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0.80709297163345506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-0.11040786633940096</v>
      </c>
      <c r="N180" s="20"/>
      <c r="O180" s="20"/>
      <c r="P180" s="128">
        <f>(P167-R146)/P167</f>
        <v>-0.11040786633940096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0.3567521267134412</v>
      </c>
      <c r="N181" s="20"/>
      <c r="O181" s="20"/>
      <c r="P181" s="128">
        <f>(P167-R139)/P167</f>
        <v>0.3567521267134412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0.49993251856804383</v>
      </c>
      <c r="N182" s="20"/>
      <c r="O182" s="20"/>
      <c r="P182" s="128">
        <f>(P167-R152)/P167</f>
        <v>0.49993251856804383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-5.6363548712536536E-2</v>
      </c>
      <c r="N183" s="20"/>
      <c r="O183" s="20"/>
      <c r="P183" s="128">
        <f>(P167-R164)/P167</f>
        <v>-5.6363548712536536E-2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4.2221081199838419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407</v>
      </c>
      <c r="AD184" s="115" t="s">
        <v>408</v>
      </c>
      <c r="AE184" s="115" t="s">
        <v>409</v>
      </c>
      <c r="AF184" s="115" t="s">
        <v>410</v>
      </c>
      <c r="AG184" s="115" t="s">
        <v>411</v>
      </c>
      <c r="AH184" s="115" t="s">
        <v>412</v>
      </c>
      <c r="AI184" s="115" t="s">
        <v>413</v>
      </c>
      <c r="AJ184" s="115" t="s">
        <v>414</v>
      </c>
      <c r="AK184" s="115" t="s">
        <v>415</v>
      </c>
      <c r="AL184" s="115" t="s">
        <v>416</v>
      </c>
      <c r="AM184" s="115" t="s">
        <v>417</v>
      </c>
      <c r="AN184" s="115" t="s">
        <v>418</v>
      </c>
      <c r="AO184" s="115" t="s">
        <v>419</v>
      </c>
      <c r="AP184" s="115" t="s">
        <v>420</v>
      </c>
      <c r="AQ184" s="115" t="s">
        <v>421</v>
      </c>
      <c r="AR184" s="115" t="s">
        <v>422</v>
      </c>
      <c r="AS184" s="115" t="s">
        <v>423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0.23684850590795078</v>
      </c>
      <c r="Q185" s="20"/>
      <c r="R185" s="20"/>
      <c r="S185" s="185">
        <f>P167-S186</f>
        <v>116.96658418867332</v>
      </c>
      <c r="T185" s="185">
        <f>S185-T186</f>
        <v>82.281497586780304</v>
      </c>
      <c r="U185" s="185">
        <f t="shared" ref="U185:W185" si="304">T185-U186</f>
        <v>45.862156654792635</v>
      </c>
      <c r="V185" s="185">
        <f t="shared" si="304"/>
        <v>7.6218486762055804</v>
      </c>
      <c r="W185" s="185">
        <f t="shared" si="304"/>
        <v>-32.53047470131083</v>
      </c>
      <c r="X185" s="185">
        <f>W185-X186</f>
        <v>-74.69041424770306</v>
      </c>
      <c r="Y185" s="185">
        <f t="shared" ref="Y185:AB185" si="305">X185-Y186</f>
        <v>-118.9583507714149</v>
      </c>
      <c r="Z185" s="185">
        <f t="shared" si="305"/>
        <v>-165.43968412131233</v>
      </c>
      <c r="AA185" s="185">
        <f t="shared" si="305"/>
        <v>-214.24508413870464</v>
      </c>
      <c r="AB185" s="185">
        <f t="shared" si="305"/>
        <v>-265.49075415696655</v>
      </c>
      <c r="AC185" s="185">
        <f t="shared" ref="AC185" si="306">AB185-AC186</f>
        <v>-319.29870767614159</v>
      </c>
      <c r="AD185" s="185">
        <f t="shared" ref="AD185" si="307">AC185-AD186</f>
        <v>-375.7970588712754</v>
      </c>
      <c r="AE185" s="185">
        <f t="shared" ref="AE185" si="308">AD185-AE186</f>
        <v>-435.12032762616587</v>
      </c>
      <c r="AF185" s="185">
        <f t="shared" ref="AF185" si="309">AE185-AF186</f>
        <v>-497.40975981880086</v>
      </c>
      <c r="AG185" s="185">
        <f t="shared" ref="AG185" si="310">AF185-AG186</f>
        <v>-562.81366362106758</v>
      </c>
      <c r="AH185" s="185">
        <f t="shared" ref="AH185" si="311">AG185-AH186</f>
        <v>-631.48776261344767</v>
      </c>
      <c r="AI185" s="185">
        <f t="shared" ref="AI185" si="312">AH185-AI186</f>
        <v>-703.59556655544679</v>
      </c>
      <c r="AJ185" s="185">
        <f t="shared" ref="AJ185" si="313">AI185-AJ186</f>
        <v>-779.30876069454587</v>
      </c>
      <c r="AK185" s="185">
        <f t="shared" ref="AK185" si="314">AJ185-AK186</f>
        <v>-858.80761454059984</v>
      </c>
      <c r="AL185" s="185">
        <f t="shared" ref="AL185" si="315">AK185-AL186</f>
        <v>-942.28141107895658</v>
      </c>
      <c r="AM185" s="185">
        <f t="shared" ref="AM185" si="316">AL185-AM186</f>
        <v>-1029.9288974442311</v>
      </c>
      <c r="AN185" s="185">
        <f t="shared" ref="AN185" si="317">AM185-AN186</f>
        <v>-1121.9587581277694</v>
      </c>
      <c r="AO185" s="185">
        <f t="shared" ref="AO185" si="318">AN185-AO186</f>
        <v>-1218.5901118454847</v>
      </c>
      <c r="AP185" s="185">
        <f t="shared" ref="AP185" si="319">AO185-AP186</f>
        <v>-1320.0530332490857</v>
      </c>
      <c r="AQ185" s="185">
        <f t="shared" ref="AQ185" si="320">AP185-AQ186</f>
        <v>-1426.5891007228668</v>
      </c>
      <c r="AR185" s="185">
        <f t="shared" ref="AR185" si="321">AQ185-AR186</f>
        <v>-1538.4519715703368</v>
      </c>
      <c r="AS185" s="185">
        <f t="shared" ref="AS185" si="322">AR185-AS186</f>
        <v>-1655.9079859601804</v>
      </c>
    </row>
    <row r="186" spans="2:45" x14ac:dyDescent="0.2">
      <c r="B186" s="20" t="s">
        <v>396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8">
        <v>5</v>
      </c>
      <c r="N186" s="20"/>
      <c r="O186" s="20"/>
      <c r="P186" s="181">
        <f>P167/Q137</f>
        <v>4.7678992962633773</v>
      </c>
      <c r="Q186" s="20"/>
      <c r="R186" s="20"/>
      <c r="S186" s="186">
        <f>Q137*(1+$K$186)</f>
        <v>33.033415811326684</v>
      </c>
      <c r="T186" s="186">
        <f>S186*(1+$K$186)</f>
        <v>34.685086601893019</v>
      </c>
      <c r="U186" s="186">
        <f t="shared" ref="U186:AB186" si="323">T186*(1+$K$186)</f>
        <v>36.419340931987669</v>
      </c>
      <c r="V186" s="186">
        <f t="shared" si="323"/>
        <v>38.240307978587055</v>
      </c>
      <c r="W186" s="186">
        <f t="shared" si="323"/>
        <v>40.15232337751641</v>
      </c>
      <c r="X186" s="186">
        <f t="shared" si="323"/>
        <v>42.159939546392231</v>
      </c>
      <c r="Y186" s="186">
        <f t="shared" si="323"/>
        <v>44.267936523711846</v>
      </c>
      <c r="Z186" s="186">
        <f t="shared" si="323"/>
        <v>46.48133334989744</v>
      </c>
      <c r="AA186" s="186">
        <f t="shared" si="323"/>
        <v>48.805400017392316</v>
      </c>
      <c r="AB186" s="186">
        <f t="shared" si="323"/>
        <v>51.245670018261933</v>
      </c>
      <c r="AC186" s="186">
        <f t="shared" ref="AC186" si="324">AB186*(1+$K$186)</f>
        <v>53.80795351917503</v>
      </c>
      <c r="AD186" s="186">
        <f t="shared" ref="AD186" si="325">AC186*(1+$K$186)</f>
        <v>56.498351195133786</v>
      </c>
      <c r="AE186" s="186">
        <f t="shared" ref="AE186" si="326">AD186*(1+$K$186)</f>
        <v>59.323268754890478</v>
      </c>
      <c r="AF186" s="186">
        <f t="shared" ref="AF186" si="327">AE186*(1+$K$186)</f>
        <v>62.289432192635005</v>
      </c>
      <c r="AG186" s="186">
        <f t="shared" ref="AG186" si="328">AF186*(1+$K$186)</f>
        <v>65.403903802266754</v>
      </c>
      <c r="AH186" s="186">
        <f t="shared" ref="AH186" si="329">AG186*(1+$K$186)</f>
        <v>68.674098992380095</v>
      </c>
      <c r="AI186" s="186">
        <f t="shared" ref="AI186" si="330">AH186*(1+$K$186)</f>
        <v>72.107803941999109</v>
      </c>
      <c r="AJ186" s="186">
        <f t="shared" ref="AJ186" si="331">AI186*(1+$K$186)</f>
        <v>75.713194139099073</v>
      </c>
      <c r="AK186" s="186">
        <f t="shared" ref="AK186" si="332">AJ186*(1+$K$186)</f>
        <v>79.498853846054033</v>
      </c>
      <c r="AL186" s="186">
        <f t="shared" ref="AL186" si="333">AK186*(1+$K$186)</f>
        <v>83.473796538356737</v>
      </c>
      <c r="AM186" s="186">
        <f t="shared" ref="AM186" si="334">AL186*(1+$K$186)</f>
        <v>87.647486365274574</v>
      </c>
      <c r="AN186" s="186">
        <f t="shared" ref="AN186" si="335">AM186*(1+$K$186)</f>
        <v>92.029860683538303</v>
      </c>
      <c r="AO186" s="186">
        <f t="shared" ref="AO186" si="336">AN186*(1+$K$186)</f>
        <v>96.631353717715228</v>
      </c>
      <c r="AP186" s="186">
        <f t="shared" ref="AP186" si="337">AO186*(1+$K$186)</f>
        <v>101.462921403601</v>
      </c>
      <c r="AQ186" s="186">
        <f t="shared" ref="AQ186" si="338">AP186*(1+$K$186)</f>
        <v>106.53606747378106</v>
      </c>
      <c r="AR186" s="186">
        <f t="shared" ref="AR186" si="339">AQ186*(1+$K$186)</f>
        <v>111.86287084747012</v>
      </c>
      <c r="AS186" s="186">
        <f t="shared" ref="AS186" si="340">AR186*(1+$K$186)</f>
        <v>117.45601438984363</v>
      </c>
    </row>
    <row r="187" spans="2:45" x14ac:dyDescent="0.2">
      <c r="B187" s="20" t="s">
        <v>395</v>
      </c>
      <c r="C187" s="20"/>
      <c r="D187" s="20"/>
      <c r="E187" s="20"/>
      <c r="F187" s="20"/>
      <c r="G187" s="20"/>
      <c r="H187" s="20"/>
      <c r="I187" s="20"/>
      <c r="J187" s="20"/>
      <c r="K187" s="184">
        <v>0.05</v>
      </c>
      <c r="L187" s="20"/>
      <c r="M187" s="188">
        <v>12</v>
      </c>
      <c r="N187" s="20"/>
      <c r="O187" s="20"/>
      <c r="P187" s="181">
        <f>P167/P52</f>
        <v>18.36620689655172</v>
      </c>
      <c r="Q187" s="20"/>
      <c r="R187" s="20"/>
      <c r="S187" s="186">
        <f>P52*(1+$K$187)</f>
        <v>8.5755322744170339</v>
      </c>
      <c r="T187" s="186">
        <f>S187*(1+$K$187)</f>
        <v>9.0043088881378868</v>
      </c>
      <c r="U187" s="186">
        <f t="shared" ref="U187:AB187" si="341">T187*(1+$K$187)</f>
        <v>9.4545243325447821</v>
      </c>
      <c r="V187" s="186">
        <f t="shared" si="341"/>
        <v>9.9272505491720224</v>
      </c>
      <c r="W187" s="186">
        <f t="shared" si="341"/>
        <v>10.423613076630623</v>
      </c>
      <c r="X187" s="186">
        <f t="shared" si="341"/>
        <v>10.944793730462155</v>
      </c>
      <c r="Y187" s="186">
        <f t="shared" si="341"/>
        <v>11.492033416985263</v>
      </c>
      <c r="Z187" s="186">
        <f t="shared" si="341"/>
        <v>12.066635087834527</v>
      </c>
      <c r="AA187" s="186">
        <f t="shared" si="341"/>
        <v>12.669966842226254</v>
      </c>
      <c r="AB187" s="186">
        <f t="shared" si="341"/>
        <v>13.303465184337567</v>
      </c>
      <c r="AC187" s="186">
        <f t="shared" ref="AC187" si="342">AB187*(1+$K$187)</f>
        <v>13.968638443554445</v>
      </c>
      <c r="AD187" s="186">
        <f t="shared" ref="AD187" si="343">AC187*(1+$K$187)</f>
        <v>14.667070365732167</v>
      </c>
      <c r="AE187" s="186">
        <f t="shared" ref="AE187" si="344">AD187*(1+$K$187)</f>
        <v>15.400423884018776</v>
      </c>
      <c r="AF187" s="186">
        <f t="shared" ref="AF187" si="345">AE187*(1+$K$187)</f>
        <v>16.170445078219714</v>
      </c>
      <c r="AG187" s="186">
        <f t="shared" ref="AG187" si="346">AF187*(1+$K$187)</f>
        <v>16.978967332130701</v>
      </c>
      <c r="AH187" s="186">
        <f t="shared" ref="AH187" si="347">AG187*(1+$K$187)</f>
        <v>17.827915698737236</v>
      </c>
      <c r="AI187" s="186">
        <f t="shared" ref="AI187" si="348">AH187*(1+$K$187)</f>
        <v>18.719311483674097</v>
      </c>
      <c r="AJ187" s="186">
        <f t="shared" ref="AJ187" si="349">AI187*(1+$K$187)</f>
        <v>19.655277057857802</v>
      </c>
      <c r="AK187" s="186">
        <f t="shared" ref="AK187" si="350">AJ187*(1+$K$187)</f>
        <v>20.638040910750693</v>
      </c>
      <c r="AL187" s="186">
        <f t="shared" ref="AL187" si="351">AK187*(1+$K$187)</f>
        <v>21.669942956288228</v>
      </c>
      <c r="AM187" s="186">
        <f t="shared" ref="AM187" si="352">AL187*(1+$K$187)</f>
        <v>22.753440104102641</v>
      </c>
      <c r="AN187" s="186">
        <f t="shared" ref="AN187" si="353">AM187*(1+$K$187)</f>
        <v>23.891112109307773</v>
      </c>
      <c r="AO187" s="186">
        <f t="shared" ref="AO187" si="354">AN187*(1+$K$187)</f>
        <v>25.085667714773162</v>
      </c>
      <c r="AP187" s="186">
        <f t="shared" ref="AP187" si="355">AO187*(1+$K$187)</f>
        <v>26.339951100511822</v>
      </c>
      <c r="AQ187" s="186">
        <f t="shared" ref="AQ187" si="356">AP187*(1+$K$187)</f>
        <v>27.656948655537413</v>
      </c>
      <c r="AR187" s="186">
        <f t="shared" ref="AR187" si="357">AQ187*(1+$K$187)</f>
        <v>29.039796088314283</v>
      </c>
      <c r="AS187" s="186">
        <f t="shared" ref="AS187" si="358">AR187*(1+$K$187)</f>
        <v>30.491785892729997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141.42446772558296</v>
      </c>
      <c r="T188" s="185">
        <f>S188-T187</f>
        <v>132.42015883744506</v>
      </c>
      <c r="U188" s="185">
        <f t="shared" ref="U188:Z188" si="359">T188-U187</f>
        <v>122.96563450490028</v>
      </c>
      <c r="V188" s="185">
        <f t="shared" si="359"/>
        <v>113.03838395572825</v>
      </c>
      <c r="W188" s="185">
        <f t="shared" si="359"/>
        <v>102.61477087909762</v>
      </c>
      <c r="X188" s="185">
        <f t="shared" si="359"/>
        <v>91.669977148635468</v>
      </c>
      <c r="Y188" s="185">
        <f t="shared" si="359"/>
        <v>80.177943731650203</v>
      </c>
      <c r="Z188" s="185">
        <f t="shared" si="359"/>
        <v>68.111308643815676</v>
      </c>
      <c r="AA188" s="185">
        <f>Z188-AA187</f>
        <v>55.441341801589424</v>
      </c>
      <c r="AB188" s="185">
        <f t="shared" ref="AB188" si="360">AA188-AB187</f>
        <v>42.137876617251855</v>
      </c>
      <c r="AC188" s="185">
        <f t="shared" ref="AC188" si="361">AB188-AC187</f>
        <v>28.169238173697408</v>
      </c>
      <c r="AD188" s="185">
        <f t="shared" ref="AD188" si="362">AC188-AD187</f>
        <v>13.502167807965241</v>
      </c>
      <c r="AE188" s="185">
        <f t="shared" ref="AE188" si="363">AD188-AE187</f>
        <v>-1.898256076053535</v>
      </c>
      <c r="AF188" s="185">
        <f t="shared" ref="AF188" si="364">AE188-AF187</f>
        <v>-18.068701154273249</v>
      </c>
      <c r="AG188" s="185">
        <f t="shared" ref="AG188" si="365">AF188-AG187</f>
        <v>-35.04766848640395</v>
      </c>
      <c r="AH188" s="185">
        <f t="shared" ref="AH188" si="366">AG188-AH187</f>
        <v>-52.875584185141186</v>
      </c>
      <c r="AI188" s="185">
        <f t="shared" ref="AI188" si="367">AH188-AI187</f>
        <v>-71.594895668815283</v>
      </c>
      <c r="AJ188" s="185">
        <f t="shared" ref="AJ188" si="368">AI188-AJ187</f>
        <v>-91.250172726673085</v>
      </c>
      <c r="AK188" s="185">
        <f t="shared" ref="AK188" si="369">AJ188-AK187</f>
        <v>-111.88821363742377</v>
      </c>
      <c r="AL188" s="185">
        <f t="shared" ref="AL188" si="370">AK188-AL187</f>
        <v>-133.558156593712</v>
      </c>
      <c r="AM188" s="185">
        <f t="shared" ref="AM188" si="371">AL188-AM187</f>
        <v>-156.31159669781465</v>
      </c>
      <c r="AN188" s="185">
        <f t="shared" ref="AN188" si="372">AM188-AN187</f>
        <v>-180.20270880712243</v>
      </c>
      <c r="AO188" s="185">
        <f t="shared" ref="AO188" si="373">AN188-AO187</f>
        <v>-205.2883765218956</v>
      </c>
      <c r="AP188" s="185">
        <f t="shared" ref="AP188" si="374">AO188-AP187</f>
        <v>-231.62832762240743</v>
      </c>
      <c r="AQ188" s="185">
        <f t="shared" ref="AQ188" si="375">AP188-AQ187</f>
        <v>-259.28527627794483</v>
      </c>
      <c r="AR188" s="185">
        <f t="shared" ref="AR188" si="376">AQ188-AR187</f>
        <v>-288.32507236625912</v>
      </c>
      <c r="AS188" s="185">
        <f t="shared" ref="AS188" si="377">AR188-AS187</f>
        <v>-318.8168582589891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378">C10/C7</f>
        <v>#DIV/0!</v>
      </c>
      <c r="D190" s="25" t="e">
        <f t="shared" si="378"/>
        <v>#DIV/0!</v>
      </c>
      <c r="E190" s="25" t="e">
        <f t="shared" si="378"/>
        <v>#DIV/0!</v>
      </c>
      <c r="F190" s="25" t="e">
        <f t="shared" si="378"/>
        <v>#DIV/0!</v>
      </c>
      <c r="G190" s="25">
        <f t="shared" si="378"/>
        <v>2.4518072289156625</v>
      </c>
      <c r="H190" s="25">
        <f t="shared" si="378"/>
        <v>1.8333333333333333</v>
      </c>
      <c r="I190" s="25">
        <f t="shared" si="378"/>
        <v>1.1355932203389831</v>
      </c>
      <c r="J190" s="25">
        <f t="shared" si="378"/>
        <v>0.73293768545994065</v>
      </c>
      <c r="K190" s="25">
        <f t="shared" si="378"/>
        <v>0.47191011235955055</v>
      </c>
      <c r="L190" s="25">
        <f t="shared" si="378"/>
        <v>0.29749103942652327</v>
      </c>
      <c r="M190" s="25">
        <f t="shared" si="378"/>
        <v>9.9726775956284153E-2</v>
      </c>
      <c r="N190" s="25">
        <f t="shared" si="378"/>
        <v>9.5652173913043474E-3</v>
      </c>
      <c r="O190" s="25">
        <f t="shared" si="378"/>
        <v>4.0314852840520193E-3</v>
      </c>
      <c r="P190" s="25">
        <f t="shared" si="378"/>
        <v>5.0787201625190451E-6</v>
      </c>
      <c r="Q190" s="118">
        <f t="shared" ref="Q190:Q192" si="379">((P190/G190)^(1/($H$2-$H$1) ))-1</f>
        <v>-0.76639925791548968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15.074074074074074</v>
      </c>
      <c r="H191" s="112">
        <f t="shared" ref="H191:P191" si="380">H10/H12</f>
        <v>7.0888888888888886</v>
      </c>
      <c r="I191" s="112">
        <f t="shared" si="380"/>
        <v>7.0526315789473681</v>
      </c>
      <c r="J191" s="112">
        <f t="shared" si="380"/>
        <v>4.8431372549019605</v>
      </c>
      <c r="K191" s="112">
        <f t="shared" si="380"/>
        <v>4.0384615384615383</v>
      </c>
      <c r="L191" s="112">
        <f t="shared" si="380"/>
        <v>3.0181818181818181</v>
      </c>
      <c r="M191" s="112">
        <f t="shared" si="380"/>
        <v>0.37055837563451777</v>
      </c>
      <c r="N191" s="112">
        <f t="shared" si="380"/>
        <v>8.9189189189189198E-3</v>
      </c>
      <c r="O191" s="112">
        <f t="shared" si="380"/>
        <v>6.0910031023784896E-3</v>
      </c>
      <c r="P191" s="112">
        <f t="shared" si="380"/>
        <v>8.7796312554872694E-6</v>
      </c>
      <c r="Q191" s="118">
        <f t="shared" si="379"/>
        <v>-0.79711519843348377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7.6360225140712954</v>
      </c>
      <c r="H192" s="25">
        <f t="shared" ref="H192:P192" si="381">H10/(H12+H13)</f>
        <v>4.5145768468723464</v>
      </c>
      <c r="I192" s="25">
        <f t="shared" si="381"/>
        <v>4.0606060606060606</v>
      </c>
      <c r="J192" s="25">
        <f t="shared" si="381"/>
        <v>2.9903147699757873</v>
      </c>
      <c r="K192" s="25">
        <f t="shared" si="381"/>
        <v>3.8674033149171274</v>
      </c>
      <c r="L192" s="25">
        <f t="shared" si="381"/>
        <v>2.9328621908127208</v>
      </c>
      <c r="M192" s="25">
        <f t="shared" si="381"/>
        <v>0.36757301107754281</v>
      </c>
      <c r="N192" s="25">
        <f t="shared" si="381"/>
        <v>8.8988764044943824E-3</v>
      </c>
      <c r="O192" s="25">
        <f t="shared" si="381"/>
        <v>6.0759232514957708E-3</v>
      </c>
      <c r="P192" s="25">
        <f t="shared" si="381"/>
        <v>8.757257577217118E-6</v>
      </c>
      <c r="Q192" s="118">
        <f t="shared" si="379"/>
        <v>-0.78125177027734671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8" t="s">
        <v>337</v>
      </c>
      <c r="M195" s="199"/>
      <c r="N195" s="200"/>
      <c r="O195" s="23" t="s">
        <v>340</v>
      </c>
      <c r="P195" s="20"/>
      <c r="Q195" s="198" t="s">
        <v>338</v>
      </c>
      <c r="R195" s="199"/>
      <c r="S195" s="200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96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5</v>
      </c>
      <c r="O197" s="173">
        <f>N197</f>
        <v>5</v>
      </c>
      <c r="P197" s="20"/>
      <c r="Q197" s="167" t="s">
        <v>341</v>
      </c>
      <c r="R197" s="167"/>
      <c r="S197" s="21">
        <v>96</v>
      </c>
      <c r="T197" s="173">
        <f>S197</f>
        <v>96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96</v>
      </c>
      <c r="E199" s="176" t="s">
        <v>397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343</v>
      </c>
      <c r="M199" s="167"/>
      <c r="N199" s="168">
        <f>N197*N198</f>
        <v>5</v>
      </c>
      <c r="O199" s="173">
        <f>N199</f>
        <v>5</v>
      </c>
      <c r="P199" s="20"/>
      <c r="Q199" s="167" t="s">
        <v>344</v>
      </c>
      <c r="R199" s="167"/>
      <c r="S199" s="168">
        <f>S197*S198</f>
        <v>96</v>
      </c>
      <c r="T199" s="173">
        <f>S199</f>
        <v>96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250</v>
      </c>
      <c r="O200" s="21">
        <v>315</v>
      </c>
      <c r="P200" s="20"/>
      <c r="Q200" s="167" t="s">
        <v>345</v>
      </c>
      <c r="R200" s="167"/>
      <c r="S200" s="21">
        <v>250</v>
      </c>
      <c r="T200" s="21">
        <v>315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250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250</v>
      </c>
      <c r="O201" s="168">
        <f>O200*O198</f>
        <v>315</v>
      </c>
      <c r="P201" s="20"/>
      <c r="Q201" s="167" t="s">
        <v>342</v>
      </c>
      <c r="R201" s="167"/>
      <c r="S201" s="21">
        <v>20</v>
      </c>
      <c r="T201" s="127">
        <f>S201</f>
        <v>20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20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5000</v>
      </c>
      <c r="T202" s="168">
        <f>T201*T200</f>
        <v>6300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5000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50</v>
      </c>
      <c r="O204" s="170">
        <f>O201/O199</f>
        <v>63</v>
      </c>
      <c r="P204" s="20"/>
      <c r="Q204" s="169" t="s">
        <v>347</v>
      </c>
      <c r="R204" s="169"/>
      <c r="S204" s="170">
        <f>S202/S199</f>
        <v>52.083333333333336</v>
      </c>
      <c r="T204" s="170">
        <f>T202/T199</f>
        <v>65.625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52.083333333333336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>
        <v>8</v>
      </c>
      <c r="N207" s="20">
        <v>12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91" t="s">
        <v>27</v>
      </c>
      <c r="E208" s="192"/>
      <c r="F208" s="192"/>
      <c r="G208" s="193"/>
      <c r="H208" s="20"/>
      <c r="I208" s="191" t="s">
        <v>392</v>
      </c>
      <c r="J208" s="192"/>
      <c r="K208" s="193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96</v>
      </c>
      <c r="H209" s="20"/>
      <c r="I209" s="20" t="s">
        <v>28</v>
      </c>
      <c r="J209" s="127"/>
      <c r="K209" s="21">
        <f>G209</f>
        <v>96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5000</v>
      </c>
      <c r="H210" s="20"/>
      <c r="I210" s="20" t="s">
        <v>29</v>
      </c>
      <c r="J210" s="20"/>
      <c r="K210" s="21">
        <f>G210</f>
        <v>5000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0.48480655829448072</v>
      </c>
      <c r="H212" s="20"/>
      <c r="I212" s="23" t="s">
        <v>393</v>
      </c>
      <c r="J212" s="23"/>
      <c r="K212" s="189">
        <f>(K210-K209)/K209</f>
        <v>51.083333333333336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394</v>
      </c>
      <c r="J213" s="23"/>
      <c r="K213" s="190">
        <f>K210/K209</f>
        <v>52.083333333333336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0.48480655829448072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3" t="s">
        <v>27</v>
      </c>
      <c r="K5" s="203"/>
      <c r="M5" s="203" t="s">
        <v>65</v>
      </c>
      <c r="N5" s="203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3" t="s">
        <v>36</v>
      </c>
      <c r="K14" s="203"/>
      <c r="L14" s="203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3" t="s">
        <v>27</v>
      </c>
      <c r="S5" s="203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3" t="s">
        <v>36</v>
      </c>
      <c r="S14" s="203"/>
      <c r="T14" s="203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3" t="s">
        <v>27</v>
      </c>
      <c r="C2" s="203"/>
      <c r="E2" s="203" t="s">
        <v>65</v>
      </c>
      <c r="F2" s="203"/>
      <c r="H2" s="207" t="s">
        <v>36</v>
      </c>
      <c r="I2" s="208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4" t="s">
        <v>68</v>
      </c>
      <c r="E10" s="205"/>
      <c r="F10" s="205"/>
      <c r="G10" s="205"/>
      <c r="H10" s="206"/>
      <c r="I10" s="204" t="s">
        <v>72</v>
      </c>
      <c r="J10" s="205"/>
      <c r="K10" s="205"/>
      <c r="L10" s="206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2014-05-10T17:04:39Z</dcterms:modified>
</cp:coreProperties>
</file>
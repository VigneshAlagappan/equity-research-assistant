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25" i="18" l="1"/>
  <c r="Q9" i="18"/>
  <c r="Q7" i="18"/>
  <c r="G44" i="18" l="1"/>
  <c r="G42" i="18"/>
  <c r="P41" i="18"/>
  <c r="O41" i="18"/>
  <c r="N41" i="18"/>
  <c r="M41" i="18"/>
  <c r="L41" i="18"/>
  <c r="K41" i="18"/>
  <c r="J41" i="18"/>
  <c r="I41" i="18"/>
  <c r="H41" i="18"/>
  <c r="G41" i="18"/>
  <c r="G40" i="18"/>
  <c r="P39" i="18"/>
  <c r="O39" i="18"/>
  <c r="N39" i="18"/>
  <c r="M39" i="18"/>
  <c r="L39" i="18"/>
  <c r="K39" i="18"/>
  <c r="J39" i="18"/>
  <c r="I39" i="18"/>
  <c r="H39" i="18"/>
  <c r="G38" i="18"/>
  <c r="G39" i="18" s="1"/>
  <c r="P37" i="18"/>
  <c r="O37" i="18"/>
  <c r="N37" i="18"/>
  <c r="M37" i="18"/>
  <c r="L37" i="18"/>
  <c r="K37" i="18"/>
  <c r="J37" i="18"/>
  <c r="I37" i="18"/>
  <c r="G37" i="18"/>
  <c r="G36" i="18"/>
  <c r="H37" i="18" s="1"/>
  <c r="G34" i="18"/>
  <c r="G33" i="18"/>
  <c r="G32" i="18"/>
  <c r="G31" i="18"/>
  <c r="P30" i="18"/>
  <c r="O30" i="18"/>
  <c r="N30" i="18"/>
  <c r="M30" i="18"/>
  <c r="L30" i="18"/>
  <c r="K30" i="18"/>
  <c r="J30" i="18"/>
  <c r="I30" i="18"/>
  <c r="G29" i="18"/>
  <c r="H30" i="18" s="1"/>
  <c r="P28" i="18"/>
  <c r="O28" i="18"/>
  <c r="N28" i="18"/>
  <c r="M28" i="18"/>
  <c r="L28" i="18"/>
  <c r="K28" i="18"/>
  <c r="J28" i="18"/>
  <c r="I28" i="18"/>
  <c r="H28" i="18"/>
  <c r="G28" i="18"/>
  <c r="G27" i="18"/>
  <c r="P26" i="18"/>
  <c r="O26" i="18"/>
  <c r="N26" i="18"/>
  <c r="M26" i="18"/>
  <c r="L26" i="18"/>
  <c r="K26" i="18"/>
  <c r="J26" i="18"/>
  <c r="I26" i="18"/>
  <c r="H26" i="18"/>
  <c r="G25" i="18"/>
  <c r="G26" i="18" s="1"/>
  <c r="G23" i="18"/>
  <c r="G22" i="18"/>
  <c r="G21" i="18"/>
  <c r="G20" i="18"/>
  <c r="G18" i="18"/>
  <c r="G16" i="18"/>
  <c r="G15" i="18"/>
  <c r="G14" i="18"/>
  <c r="G13" i="18"/>
  <c r="G12" i="18"/>
  <c r="P11" i="18"/>
  <c r="O11" i="18"/>
  <c r="N11" i="18"/>
  <c r="M11" i="18"/>
  <c r="L11" i="18"/>
  <c r="K11" i="18"/>
  <c r="J11" i="18"/>
  <c r="I11" i="18"/>
  <c r="H11" i="18"/>
  <c r="G11" i="18"/>
  <c r="G10" i="18"/>
  <c r="G9" i="18"/>
  <c r="P8" i="18"/>
  <c r="O8" i="18"/>
  <c r="N8" i="18"/>
  <c r="M8" i="18"/>
  <c r="L8" i="18"/>
  <c r="K8" i="18"/>
  <c r="J8" i="18"/>
  <c r="I8" i="18"/>
  <c r="H8" i="18"/>
  <c r="G8" i="18"/>
  <c r="G7" i="18"/>
  <c r="G6" i="18"/>
  <c r="G30" i="18" l="1"/>
  <c r="F115" i="18" l="1"/>
  <c r="F180" i="18" l="1"/>
  <c r="E180" i="18"/>
  <c r="D180" i="18"/>
  <c r="C180" i="18"/>
  <c r="Q197" i="18" l="1"/>
  <c r="Q196" i="18"/>
  <c r="Q195" i="18"/>
  <c r="Q179" i="18"/>
  <c r="Q50" i="18"/>
  <c r="Q172" i="18" s="1"/>
  <c r="Q51" i="18"/>
  <c r="Q52" i="18"/>
  <c r="Q91" i="18" s="1"/>
  <c r="Q54" i="18"/>
  <c r="P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7" i="18"/>
  <c r="Q68" i="18"/>
  <c r="Q176" i="18" s="1"/>
  <c r="Q70" i="18"/>
  <c r="Q72" i="18"/>
  <c r="Q74" i="18"/>
  <c r="Q75" i="18"/>
  <c r="Q76" i="18"/>
  <c r="Q77" i="18"/>
  <c r="Q78" i="18"/>
  <c r="Q80" i="18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102" i="18" s="1"/>
  <c r="Q97" i="18"/>
  <c r="Q103" i="18" s="1"/>
  <c r="Q100" i="18"/>
  <c r="Q106" i="18"/>
  <c r="Q107" i="18"/>
  <c r="Q108" i="18"/>
  <c r="Q109" i="18"/>
  <c r="Q111" i="18"/>
  <c r="Q112" i="18" s="1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/>
  <c r="Q135" i="18"/>
  <c r="Q137" i="18"/>
  <c r="Q138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78" i="18" l="1"/>
  <c r="Q173" i="18"/>
  <c r="T192" i="18"/>
  <c r="T193" i="18" s="1"/>
  <c r="Q192" i="18"/>
  <c r="Q66" i="18"/>
  <c r="Q175" i="18" s="1"/>
  <c r="Q180" i="18"/>
  <c r="Q181" i="18" s="1"/>
  <c r="H192" i="18"/>
  <c r="Q113" i="18"/>
  <c r="Q114" i="18" s="1"/>
  <c r="Q115" i="18"/>
  <c r="L91" i="18"/>
  <c r="G91" i="18"/>
  <c r="AE52" i="18"/>
  <c r="H52" i="18"/>
  <c r="H91" i="18" s="1"/>
  <c r="I52" i="18"/>
  <c r="I91" i="18" s="1"/>
  <c r="J52" i="18"/>
  <c r="J91" i="18" s="1"/>
  <c r="K52" i="18"/>
  <c r="K91" i="18" s="1"/>
  <c r="L52" i="18"/>
  <c r="M52" i="18"/>
  <c r="M91" i="18" s="1"/>
  <c r="N52" i="18"/>
  <c r="N91" i="18" s="1"/>
  <c r="O52" i="18"/>
  <c r="O91" i="18" s="1"/>
  <c r="P52" i="18"/>
  <c r="G52" i="18"/>
  <c r="P43" i="18"/>
  <c r="O43" i="18"/>
  <c r="N43" i="18"/>
  <c r="M43" i="18"/>
  <c r="L43" i="18"/>
  <c r="K43" i="18"/>
  <c r="J43" i="18"/>
  <c r="I43" i="18"/>
  <c r="H43" i="18"/>
  <c r="G43" i="18"/>
  <c r="R52" i="18" l="1"/>
  <c r="P91" i="18"/>
  <c r="R91" i="18" s="1"/>
  <c r="S44" i="18"/>
  <c r="S42" i="18"/>
  <c r="G215" i="18"/>
  <c r="G214" i="18"/>
  <c r="G217" i="18" l="1"/>
  <c r="K188" i="18" l="1"/>
  <c r="K187" i="18"/>
  <c r="K186" i="18"/>
  <c r="K185" i="18"/>
  <c r="AE38" i="18" l="1"/>
  <c r="S38" i="18"/>
  <c r="T38" i="18" l="1"/>
  <c r="U38" i="18" l="1"/>
  <c r="V38" i="18" s="1"/>
  <c r="W38" i="18" s="1"/>
  <c r="K192" i="18"/>
  <c r="K191" i="18"/>
  <c r="X38" i="18" l="1"/>
  <c r="U206" i="18"/>
  <c r="U207" i="18" s="1"/>
  <c r="D204" i="18"/>
  <c r="H204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G220" i="18" s="1"/>
  <c r="K215" i="18"/>
  <c r="K214" i="18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H207" i="18"/>
  <c r="I207" i="18" s="1"/>
  <c r="J207" i="18" s="1"/>
  <c r="J208" i="18" s="1"/>
  <c r="H205" i="18"/>
  <c r="H203" i="18"/>
  <c r="H202" i="18"/>
  <c r="I202" i="18" s="1"/>
  <c r="J202" i="18" s="1"/>
  <c r="Y38" i="18" l="1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R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R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T14" i="18" l="1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T94" i="18"/>
  <c r="T100" i="18" s="1"/>
  <c r="G178" i="18" l="1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R141" i="18" s="1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Q191" i="18" l="1"/>
  <c r="P191" i="18"/>
  <c r="T191" i="18"/>
  <c r="T190" i="18" s="1"/>
  <c r="T106" i="18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78" i="18"/>
  <c r="R178" i="18" s="1"/>
  <c r="K173" i="18"/>
  <c r="K180" i="18" s="1"/>
  <c r="K181" i="18" s="1"/>
  <c r="K178" i="18"/>
  <c r="F173" i="18"/>
  <c r="F177" i="18" s="1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G181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P181" i="18" l="1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<sst xmlns="http://schemas.openxmlformats.org/spreadsheetml/2006/main" count="648" uniqueCount="456">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</sst>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color theme="5" tint="-0.249977111117893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74" fontId="8" fillId="5" borderId="1" xfId="2" applyNumberFormat="1" applyFont="1" applyFill="1" applyBorder="1"/>
    <xf numFmtId="0" fontId="16" fillId="14" borderId="1" xfId="0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29600"/>
        <c:axId val="92582656"/>
      </c:lineChart>
      <c:catAx>
        <c:axId val="91929600"/>
        <c:scaling>
          <c:orientation val="minMax"/>
        </c:scaling>
        <c:delete val="0"/>
        <c:axPos val="b"/>
        <c:majorTickMark val="out"/>
        <c:minorTickMark val="none"/>
        <c:tickLblPos val="nextTo"/>
        <c:crossAx val="92582656"/>
        <c:crosses val="autoZero"/>
        <c:auto val="1"/>
        <c:lblAlgn val="ctr"/>
        <c:lblOffset val="100"/>
        <c:noMultiLvlLbl val="0"/>
      </c:catAx>
      <c:valAx>
        <c:axId val="92582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192960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C31" activePane="bottomRight" state="frozen"/>
      <selection pane="topRight" activeCell="C1" sqref="C1"/>
      <selection pane="bottomLeft" activeCell="A5" sqref="A5"/>
      <selection pane="bottomRight" activeCell="L31" sqref="L31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0.14000000000000001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8" t="s">
        <v>291</v>
      </c>
      <c r="AF2" s="199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9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200" t="s">
        <v>292</v>
      </c>
      <c r="AF3" s="201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f>O6</f>
        <v>348</v>
      </c>
      <c r="H6" s="147"/>
      <c r="I6" s="147"/>
      <c r="J6" s="147"/>
      <c r="K6" s="147"/>
      <c r="L6" s="147"/>
      <c r="M6" s="147"/>
      <c r="N6" s="147"/>
      <c r="O6" s="147">
        <v>348</v>
      </c>
      <c r="P6" s="147">
        <v>395</v>
      </c>
      <c r="Q6" s="147">
        <v>456</v>
      </c>
      <c r="R6" s="118">
        <f>((Q6/G6)^(1/($H$2-$H$1) ))-1</f>
        <v>3.0487775778222703E-2</v>
      </c>
      <c r="S6" s="31">
        <f>$L$2</f>
        <v>0.14000000000000001</v>
      </c>
      <c r="T6" s="154">
        <f>Q6*(1+$S6)</f>
        <v>519.84</v>
      </c>
      <c r="U6" s="154">
        <f>T6*(1+$S6)</f>
        <v>592.61760000000015</v>
      </c>
      <c r="V6" s="154">
        <f t="shared" ref="V6:AC6" si="0">U6*(1+$S6)</f>
        <v>675.58406400000024</v>
      </c>
      <c r="W6" s="154">
        <f t="shared" si="0"/>
        <v>770.16583296000033</v>
      </c>
      <c r="X6" s="154">
        <f t="shared" si="0"/>
        <v>877.9890495744005</v>
      </c>
      <c r="Y6" s="154">
        <f t="shared" si="0"/>
        <v>1000.9075165148166</v>
      </c>
      <c r="Z6" s="154">
        <f t="shared" si="0"/>
        <v>1141.034568826891</v>
      </c>
      <c r="AA6" s="154">
        <f t="shared" si="0"/>
        <v>1300.779408462656</v>
      </c>
      <c r="AB6" s="154">
        <f t="shared" si="0"/>
        <v>1482.888525647428</v>
      </c>
      <c r="AC6" s="154">
        <f t="shared" si="0"/>
        <v>1690.492919238068</v>
      </c>
      <c r="AD6" s="138">
        <f>((AC6/G6)^(1/($AC$3-$H$1) ))-1</f>
        <v>8.2235325168545481E-2</v>
      </c>
      <c r="AE6" s="31">
        <f>$L$1</f>
        <v>0.05</v>
      </c>
      <c r="AF6" s="146">
        <f t="shared" ref="AF6:AF44" si="1">(AC6*(1+AE6))/($C$1-AE6)</f>
        <v>10441.279795293951</v>
      </c>
    </row>
    <row r="7" spans="2:32" x14ac:dyDescent="0.2">
      <c r="B7" s="20" t="s">
        <v>240</v>
      </c>
      <c r="C7" s="141"/>
      <c r="D7" s="141"/>
      <c r="E7" s="147"/>
      <c r="F7" s="147"/>
      <c r="G7" s="147">
        <f>O7</f>
        <v>377</v>
      </c>
      <c r="H7" s="147"/>
      <c r="I7" s="147"/>
      <c r="J7" s="147"/>
      <c r="K7" s="147"/>
      <c r="L7" s="147"/>
      <c r="M7" s="147"/>
      <c r="N7" s="147"/>
      <c r="O7" s="147">
        <v>377</v>
      </c>
      <c r="P7" s="147">
        <v>424</v>
      </c>
      <c r="Q7" s="147">
        <f>456+28</f>
        <v>484</v>
      </c>
      <c r="R7" s="118">
        <f>((Q7/G7)^(1/($H$2-$H$1) ))-1</f>
        <v>2.814886700218433E-2</v>
      </c>
      <c r="S7" s="31">
        <f>$L$2</f>
        <v>0.14000000000000001</v>
      </c>
      <c r="T7" s="154">
        <f t="shared" ref="T7:T44" si="2">Q7*(1+$S7)</f>
        <v>551.7600000000001</v>
      </c>
      <c r="U7" s="154">
        <f t="shared" ref="U7:AC7" si="3">T7*(1+$S7)</f>
        <v>629.00640000000021</v>
      </c>
      <c r="V7" s="154">
        <f t="shared" si="3"/>
        <v>717.06729600000028</v>
      </c>
      <c r="W7" s="154">
        <f t="shared" si="3"/>
        <v>817.45671744000038</v>
      </c>
      <c r="X7" s="154">
        <f t="shared" si="3"/>
        <v>931.90065788160052</v>
      </c>
      <c r="Y7" s="154">
        <f t="shared" si="3"/>
        <v>1062.3667499850246</v>
      </c>
      <c r="Z7" s="154">
        <f t="shared" si="3"/>
        <v>1211.0980949829282</v>
      </c>
      <c r="AA7" s="154">
        <f t="shared" si="3"/>
        <v>1380.6518282805382</v>
      </c>
      <c r="AB7" s="154">
        <f t="shared" si="3"/>
        <v>1573.9430842398137</v>
      </c>
      <c r="AC7" s="154">
        <f t="shared" si="3"/>
        <v>1794.2951160333878</v>
      </c>
      <c r="AD7" s="138">
        <f>((AC7/G7)^(1/($AC$3-$H$1) ))-1</f>
        <v>8.1129272097764771E-2</v>
      </c>
      <c r="AE7" s="31">
        <f>$L$1</f>
        <v>0.05</v>
      </c>
      <c r="AF7" s="146">
        <f t="shared" si="1"/>
        <v>11082.411010794456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 t="e">
        <f>(H7-G7)/H7</f>
        <v>#DIV/0!</v>
      </c>
      <c r="I8" s="151" t="e">
        <f t="shared" ref="I8:P8" si="4">(I7-H7)/I7</f>
        <v>#DIV/0!</v>
      </c>
      <c r="J8" s="151" t="e">
        <f t="shared" si="4"/>
        <v>#DIV/0!</v>
      </c>
      <c r="K8" s="151" t="e">
        <f t="shared" si="4"/>
        <v>#DIV/0!</v>
      </c>
      <c r="L8" s="151" t="e">
        <f t="shared" si="4"/>
        <v>#DIV/0!</v>
      </c>
      <c r="M8" s="151" t="e">
        <f t="shared" si="4"/>
        <v>#DIV/0!</v>
      </c>
      <c r="N8" s="151" t="e">
        <f t="shared" si="4"/>
        <v>#DIV/0!</v>
      </c>
      <c r="O8" s="151">
        <f t="shared" si="4"/>
        <v>1</v>
      </c>
      <c r="P8" s="151">
        <f t="shared" si="4"/>
        <v>0.11084905660377359</v>
      </c>
      <c r="Q8" s="151">
        <f t="shared" ref="Q8" si="5">(Q7-P7)/Q7</f>
        <v>0.12396694214876033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f>O9</f>
        <v>42</v>
      </c>
      <c r="H9" s="147"/>
      <c r="I9" s="147"/>
      <c r="J9" s="147"/>
      <c r="K9" s="147"/>
      <c r="L9" s="147"/>
      <c r="M9" s="147"/>
      <c r="N9" s="147"/>
      <c r="O9" s="147">
        <v>42</v>
      </c>
      <c r="P9" s="147">
        <v>56</v>
      </c>
      <c r="Q9" s="147">
        <f>42+43</f>
        <v>85</v>
      </c>
      <c r="R9" s="118">
        <f>((Q9/G9)^(1/($H$2-$H$1) ))-1</f>
        <v>8.1480886519963436E-2</v>
      </c>
      <c r="S9" s="31">
        <f t="shared" ref="S9:S40" si="6">$L$2</f>
        <v>0.14000000000000001</v>
      </c>
      <c r="T9" s="154">
        <f t="shared" si="2"/>
        <v>96.9</v>
      </c>
      <c r="U9" s="154">
        <f t="shared" ref="U9" si="7">T9*(1+$S9)</f>
        <v>110.46600000000002</v>
      </c>
      <c r="V9" s="154">
        <f t="shared" ref="V9" si="8">U9*(1+$S9)</f>
        <v>125.93124000000005</v>
      </c>
      <c r="W9" s="154">
        <f t="shared" ref="W9" si="9">V9*(1+$S9)</f>
        <v>143.56161360000007</v>
      </c>
      <c r="X9" s="154">
        <f t="shared" ref="X9" si="10">W9*(1+$S9)</f>
        <v>163.66023950400009</v>
      </c>
      <c r="Y9" s="154">
        <f t="shared" ref="Y9" si="11">X9*(1+$S9)</f>
        <v>186.57267303456013</v>
      </c>
      <c r="Z9" s="154">
        <f t="shared" ref="Z9" si="12">Y9*(1+$S9)</f>
        <v>212.69284725939858</v>
      </c>
      <c r="AA9" s="154">
        <f t="shared" ref="AA9" si="13">Z9*(1+$S9)</f>
        <v>242.46984587571441</v>
      </c>
      <c r="AB9" s="154">
        <f t="shared" ref="AB9" si="14">AA9*(1+$S9)</f>
        <v>276.41562429831447</v>
      </c>
      <c r="AC9" s="154">
        <f t="shared" ref="AC9" si="15">AB9*(1+$S9)</f>
        <v>315.11381170007854</v>
      </c>
      <c r="AD9" s="138">
        <f>((AC9/G9)^(1/($AC$3-$H$1) ))-1</f>
        <v>0.10601472097279552</v>
      </c>
      <c r="AE9" s="31">
        <f t="shared" ref="AE9:AE81" si="16">$L$1</f>
        <v>0.05</v>
      </c>
      <c r="AF9" s="146">
        <f t="shared" si="1"/>
        <v>1946.29118991225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f>O10</f>
        <v>0</v>
      </c>
      <c r="H10" s="147"/>
      <c r="I10" s="147"/>
      <c r="J10" s="147"/>
      <c r="K10" s="147"/>
      <c r="L10" s="147"/>
      <c r="M10" s="147"/>
      <c r="N10" s="147"/>
      <c r="O10" s="147">
        <v>0</v>
      </c>
      <c r="P10" s="147">
        <v>0</v>
      </c>
      <c r="Q10" s="147">
        <v>0</v>
      </c>
      <c r="R10" s="118" t="e">
        <f>((Q10/G10)^(1/($H$2-$H$1) ))-1</f>
        <v>#DIV/0!</v>
      </c>
      <c r="S10" s="31">
        <f t="shared" si="6"/>
        <v>0.14000000000000001</v>
      </c>
      <c r="T10" s="154">
        <f t="shared" si="2"/>
        <v>0</v>
      </c>
      <c r="U10" s="154">
        <f t="shared" ref="U10:AC10" si="17">T10*(1+$S10)</f>
        <v>0</v>
      </c>
      <c r="V10" s="154">
        <f t="shared" si="17"/>
        <v>0</v>
      </c>
      <c r="W10" s="154">
        <f t="shared" si="17"/>
        <v>0</v>
      </c>
      <c r="X10" s="154">
        <f t="shared" si="17"/>
        <v>0</v>
      </c>
      <c r="Y10" s="154">
        <f t="shared" si="17"/>
        <v>0</v>
      </c>
      <c r="Z10" s="154">
        <f t="shared" si="17"/>
        <v>0</v>
      </c>
      <c r="AA10" s="154">
        <f t="shared" si="17"/>
        <v>0</v>
      </c>
      <c r="AB10" s="154">
        <f t="shared" si="17"/>
        <v>0</v>
      </c>
      <c r="AC10" s="154">
        <f t="shared" si="17"/>
        <v>0</v>
      </c>
      <c r="AD10" s="138" t="e">
        <f t="shared" ref="AD10:AD42" si="18">((AC10/G10)^(1/($AC$3-$H$1) ))-1</f>
        <v>#DIV/0!</v>
      </c>
      <c r="AE10" s="31">
        <f t="shared" si="16"/>
        <v>0.05</v>
      </c>
      <c r="AF10" s="146">
        <f t="shared" si="1"/>
        <v>0</v>
      </c>
    </row>
    <row r="11" spans="2:32" x14ac:dyDescent="0.2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P11" si="19">(H10-G10)/H10</f>
        <v>#DIV/0!</v>
      </c>
      <c r="I11" s="148" t="e">
        <f t="shared" si="19"/>
        <v>#DIV/0!</v>
      </c>
      <c r="J11" s="148" t="e">
        <f t="shared" si="19"/>
        <v>#DIV/0!</v>
      </c>
      <c r="K11" s="148" t="e">
        <f t="shared" si="19"/>
        <v>#DIV/0!</v>
      </c>
      <c r="L11" s="148" t="e">
        <f t="shared" si="19"/>
        <v>#DIV/0!</v>
      </c>
      <c r="M11" s="148" t="e">
        <f t="shared" si="19"/>
        <v>#DIV/0!</v>
      </c>
      <c r="N11" s="148" t="e">
        <f t="shared" si="19"/>
        <v>#DIV/0!</v>
      </c>
      <c r="O11" s="148" t="e">
        <f t="shared" si="19"/>
        <v>#DIV/0!</v>
      </c>
      <c r="P11" s="148" t="e">
        <f t="shared" si="19"/>
        <v>#DIV/0!</v>
      </c>
      <c r="Q11" s="148" t="e">
        <f t="shared" ref="Q11" si="20">(Q10-P10)/Q10</f>
        <v>#DIV/0!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6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f>O12</f>
        <v>70</v>
      </c>
      <c r="H12" s="147"/>
      <c r="I12" s="147"/>
      <c r="J12" s="147"/>
      <c r="K12" s="147"/>
      <c r="L12" s="147"/>
      <c r="M12" s="147"/>
      <c r="N12" s="147"/>
      <c r="O12" s="147">
        <v>70</v>
      </c>
      <c r="P12" s="147">
        <v>34</v>
      </c>
      <c r="Q12" s="147">
        <v>28</v>
      </c>
      <c r="R12" s="118">
        <f>((Q12/G12)^(1/($H$2-$H$1) ))-1</f>
        <v>-9.6798929863317729E-2</v>
      </c>
      <c r="S12" s="31">
        <f t="shared" si="6"/>
        <v>0.14000000000000001</v>
      </c>
      <c r="T12" s="154">
        <f t="shared" si="2"/>
        <v>31.92</v>
      </c>
      <c r="U12" s="154">
        <f t="shared" ref="U12:AC12" si="21">T12*(1+$S12)</f>
        <v>36.388800000000003</v>
      </c>
      <c r="V12" s="154">
        <f t="shared" si="21"/>
        <v>41.483232000000008</v>
      </c>
      <c r="W12" s="154">
        <f t="shared" si="21"/>
        <v>47.290884480000017</v>
      </c>
      <c r="X12" s="154">
        <f t="shared" si="21"/>
        <v>53.911608307200027</v>
      </c>
      <c r="Y12" s="154">
        <f t="shared" si="21"/>
        <v>61.459233470208034</v>
      </c>
      <c r="Z12" s="154">
        <f t="shared" si="21"/>
        <v>70.06352615603717</v>
      </c>
      <c r="AA12" s="154">
        <f t="shared" si="21"/>
        <v>79.872419817882388</v>
      </c>
      <c r="AB12" s="154">
        <f t="shared" si="21"/>
        <v>91.054558592385931</v>
      </c>
      <c r="AC12" s="154">
        <f t="shared" si="21"/>
        <v>103.80219679531997</v>
      </c>
      <c r="AD12" s="138">
        <f t="shared" si="18"/>
        <v>1.9894912073419535E-2</v>
      </c>
      <c r="AE12" s="31">
        <f t="shared" si="16"/>
        <v>0.05</v>
      </c>
      <c r="AF12" s="146">
        <f t="shared" si="1"/>
        <v>641.13121550050585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f t="shared" ref="G13:G25" si="22">O13</f>
        <v>266</v>
      </c>
      <c r="H13" s="147"/>
      <c r="I13" s="147"/>
      <c r="J13" s="147"/>
      <c r="K13" s="147"/>
      <c r="L13" s="147"/>
      <c r="M13" s="147"/>
      <c r="N13" s="147"/>
      <c r="O13" s="147">
        <v>266</v>
      </c>
      <c r="P13" s="147">
        <v>382</v>
      </c>
      <c r="Q13" s="147">
        <v>267</v>
      </c>
      <c r="R13" s="118">
        <f>((Q13/G13)^(1/($H$2-$H$1) ))-1</f>
        <v>4.1701466184296265E-4</v>
      </c>
      <c r="S13" s="31">
        <f t="shared" si="6"/>
        <v>0.14000000000000001</v>
      </c>
      <c r="T13" s="154">
        <f t="shared" si="2"/>
        <v>304.38000000000005</v>
      </c>
      <c r="U13" s="154">
        <f t="shared" ref="U13:AC13" si="23">T13*(1+$S13)</f>
        <v>346.99320000000012</v>
      </c>
      <c r="V13" s="154">
        <f t="shared" si="23"/>
        <v>395.57224800000017</v>
      </c>
      <c r="W13" s="154">
        <f t="shared" si="23"/>
        <v>450.95236272000022</v>
      </c>
      <c r="X13" s="154">
        <f t="shared" si="23"/>
        <v>514.08569350080029</v>
      </c>
      <c r="Y13" s="154">
        <f t="shared" si="23"/>
        <v>586.05769059091244</v>
      </c>
      <c r="Z13" s="154">
        <f t="shared" si="23"/>
        <v>668.10576727364025</v>
      </c>
      <c r="AA13" s="154">
        <f t="shared" si="23"/>
        <v>761.64057469194995</v>
      </c>
      <c r="AB13" s="154">
        <f t="shared" si="23"/>
        <v>868.27025514882303</v>
      </c>
      <c r="AC13" s="154">
        <f t="shared" si="23"/>
        <v>989.82809086965835</v>
      </c>
      <c r="AD13" s="138">
        <f t="shared" si="18"/>
        <v>6.7908164648665892E-2</v>
      </c>
      <c r="AE13" s="31">
        <f t="shared" si="16"/>
        <v>0.05</v>
      </c>
      <c r="AF13" s="146">
        <f t="shared" si="1"/>
        <v>6113.644090665538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f t="shared" si="22"/>
        <v>0</v>
      </c>
      <c r="H14" s="147"/>
      <c r="I14" s="147"/>
      <c r="J14" s="147"/>
      <c r="K14" s="147"/>
      <c r="L14" s="147"/>
      <c r="M14" s="147"/>
      <c r="N14" s="147"/>
      <c r="O14" s="147">
        <v>0</v>
      </c>
      <c r="P14" s="147">
        <v>0</v>
      </c>
      <c r="Q14" s="147"/>
      <c r="R14" s="118" t="e">
        <f>((Q14/G14)^(1/($H$2-$H$1) ))-1</f>
        <v>#DIV/0!</v>
      </c>
      <c r="S14" s="31">
        <f t="shared" si="6"/>
        <v>0.14000000000000001</v>
      </c>
      <c r="T14" s="154">
        <f t="shared" si="2"/>
        <v>0</v>
      </c>
      <c r="U14" s="154">
        <f t="shared" ref="U14" si="24">T14*(1+$S14)</f>
        <v>0</v>
      </c>
      <c r="V14" s="154">
        <f t="shared" ref="V14" si="25">U14*(1+$S14)</f>
        <v>0</v>
      </c>
      <c r="W14" s="154">
        <f t="shared" ref="W14" si="26">V14*(1+$S14)</f>
        <v>0</v>
      </c>
      <c r="X14" s="154">
        <f t="shared" ref="X14" si="27">W14*(1+$S14)</f>
        <v>0</v>
      </c>
      <c r="Y14" s="154">
        <f t="shared" ref="Y14" si="28">X14*(1+$S14)</f>
        <v>0</v>
      </c>
      <c r="Z14" s="154">
        <f t="shared" ref="Z14" si="29">Y14*(1+$S14)</f>
        <v>0</v>
      </c>
      <c r="AA14" s="154">
        <f t="shared" ref="AA14" si="30">Z14*(1+$S14)</f>
        <v>0</v>
      </c>
      <c r="AB14" s="154">
        <f t="shared" ref="AB14" si="31">AA14*(1+$S14)</f>
        <v>0</v>
      </c>
      <c r="AC14" s="154">
        <f t="shared" ref="AC14" si="32">AB14*(1+$S14)</f>
        <v>0</v>
      </c>
      <c r="AD14" s="138" t="e">
        <f t="shared" ref="AD14" si="33">((AC14/G14)^(1/($AC$3-$H$1) ))-1</f>
        <v>#DIV/0!</v>
      </c>
      <c r="AE14" s="31">
        <f t="shared" si="16"/>
        <v>0.05</v>
      </c>
      <c r="AF14" s="146">
        <f t="shared" ref="AF14" si="34">(AC14*(1+AE14))/($C$1-AE14)</f>
        <v>0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f t="shared" si="22"/>
        <v>86</v>
      </c>
      <c r="H15" s="147"/>
      <c r="I15" s="147"/>
      <c r="J15" s="147"/>
      <c r="K15" s="147"/>
      <c r="L15" s="147"/>
      <c r="M15" s="147"/>
      <c r="N15" s="147"/>
      <c r="O15" s="147">
        <v>86</v>
      </c>
      <c r="P15" s="147">
        <v>63</v>
      </c>
      <c r="Q15" s="147"/>
      <c r="R15" s="118">
        <f>((Q15/G15)^(1/($H$2-$H$1) ))-1</f>
        <v>-1</v>
      </c>
      <c r="S15" s="31">
        <f t="shared" si="6"/>
        <v>0.14000000000000001</v>
      </c>
      <c r="T15" s="154">
        <f t="shared" si="2"/>
        <v>0</v>
      </c>
      <c r="U15" s="154">
        <f t="shared" ref="U15:AC15" si="35">T15*(1+$S15)</f>
        <v>0</v>
      </c>
      <c r="V15" s="154">
        <f t="shared" si="35"/>
        <v>0</v>
      </c>
      <c r="W15" s="154">
        <f t="shared" si="35"/>
        <v>0</v>
      </c>
      <c r="X15" s="154">
        <f t="shared" si="35"/>
        <v>0</v>
      </c>
      <c r="Y15" s="154">
        <f t="shared" si="35"/>
        <v>0</v>
      </c>
      <c r="Z15" s="154">
        <f t="shared" si="35"/>
        <v>0</v>
      </c>
      <c r="AA15" s="154">
        <f t="shared" si="35"/>
        <v>0</v>
      </c>
      <c r="AB15" s="154">
        <f t="shared" si="35"/>
        <v>0</v>
      </c>
      <c r="AC15" s="154">
        <f t="shared" si="35"/>
        <v>0</v>
      </c>
      <c r="AD15" s="138">
        <f t="shared" si="18"/>
        <v>-1</v>
      </c>
      <c r="AE15" s="31">
        <f t="shared" si="16"/>
        <v>0.05</v>
      </c>
      <c r="AF15" s="146">
        <f t="shared" si="1"/>
        <v>0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f t="shared" si="22"/>
        <v>55.5</v>
      </c>
      <c r="H16" s="147"/>
      <c r="I16" s="147"/>
      <c r="J16" s="147"/>
      <c r="K16" s="147"/>
      <c r="L16" s="147"/>
      <c r="M16" s="147"/>
      <c r="N16" s="147"/>
      <c r="O16" s="147">
        <v>55.5</v>
      </c>
      <c r="P16" s="147">
        <v>-15</v>
      </c>
      <c r="Q16" s="147"/>
      <c r="R16" s="118">
        <f>((Q16/G16)^(1/($H$2-$H$1) ))-1</f>
        <v>-1</v>
      </c>
      <c r="S16" s="31">
        <f t="shared" si="6"/>
        <v>0.14000000000000001</v>
      </c>
      <c r="T16" s="154">
        <f t="shared" si="2"/>
        <v>0</v>
      </c>
      <c r="U16" s="154">
        <f t="shared" ref="U16:AC16" si="36">T16*(1+$S16)</f>
        <v>0</v>
      </c>
      <c r="V16" s="154">
        <f t="shared" si="36"/>
        <v>0</v>
      </c>
      <c r="W16" s="154">
        <f t="shared" si="36"/>
        <v>0</v>
      </c>
      <c r="X16" s="154">
        <f t="shared" si="36"/>
        <v>0</v>
      </c>
      <c r="Y16" s="154">
        <f t="shared" si="36"/>
        <v>0</v>
      </c>
      <c r="Z16" s="154">
        <f t="shared" si="36"/>
        <v>0</v>
      </c>
      <c r="AA16" s="154">
        <f t="shared" si="36"/>
        <v>0</v>
      </c>
      <c r="AB16" s="154">
        <f t="shared" si="36"/>
        <v>0</v>
      </c>
      <c r="AC16" s="154">
        <f t="shared" si="36"/>
        <v>0</v>
      </c>
      <c r="AD16" s="138">
        <f t="shared" si="18"/>
        <v>-1</v>
      </c>
      <c r="AE16" s="31">
        <f t="shared" si="16"/>
        <v>0.05</v>
      </c>
      <c r="AF16" s="146">
        <f t="shared" si="1"/>
        <v>0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f t="shared" si="22"/>
        <v>56</v>
      </c>
      <c r="H18" s="147"/>
      <c r="I18" s="147"/>
      <c r="J18" s="147"/>
      <c r="K18" s="147"/>
      <c r="L18" s="147"/>
      <c r="M18" s="147"/>
      <c r="N18" s="147"/>
      <c r="O18" s="147">
        <v>56</v>
      </c>
      <c r="P18" s="147">
        <v>58</v>
      </c>
      <c r="Q18" s="147"/>
      <c r="R18" s="118">
        <f>((Q18/G18)^(1/($H$2-$H$1) ))-1</f>
        <v>-1</v>
      </c>
      <c r="S18" s="31">
        <f t="shared" si="6"/>
        <v>0.14000000000000001</v>
      </c>
      <c r="T18" s="154">
        <f t="shared" si="2"/>
        <v>0</v>
      </c>
      <c r="U18" s="154">
        <f t="shared" ref="U18:U34" si="37">T18*(1+$S18)</f>
        <v>0</v>
      </c>
      <c r="V18" s="154">
        <f t="shared" ref="V18:V34" si="38">U18*(1+$S18)</f>
        <v>0</v>
      </c>
      <c r="W18" s="154">
        <f t="shared" ref="W18:W34" si="39">V18*(1+$S18)</f>
        <v>0</v>
      </c>
      <c r="X18" s="154">
        <f t="shared" ref="X18:X36" si="40">W18*(1+$S18)</f>
        <v>0</v>
      </c>
      <c r="Y18" s="154">
        <f t="shared" ref="Y18:Y36" si="41">X18*(1+$S18)</f>
        <v>0</v>
      </c>
      <c r="Z18" s="154">
        <f t="shared" ref="Z18:Z36" si="42">Y18*(1+$S18)</f>
        <v>0</v>
      </c>
      <c r="AA18" s="154">
        <f t="shared" ref="AA18:AA36" si="43">Z18*(1+$S18)</f>
        <v>0</v>
      </c>
      <c r="AB18" s="154">
        <f t="shared" ref="AB18:AB36" si="44">AA18*(1+$S18)</f>
        <v>0</v>
      </c>
      <c r="AC18" s="154">
        <f t="shared" ref="AC18:AC36" si="45">AB18*(1+$S18)</f>
        <v>0</v>
      </c>
      <c r="AD18" s="138">
        <f t="shared" si="18"/>
        <v>-1</v>
      </c>
      <c r="AE18" s="31">
        <f t="shared" si="16"/>
        <v>0.05</v>
      </c>
      <c r="AF18" s="146">
        <f t="shared" si="1"/>
        <v>0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f t="shared" si="22"/>
        <v>98</v>
      </c>
      <c r="H20" s="147"/>
      <c r="I20" s="147"/>
      <c r="J20" s="147"/>
      <c r="K20" s="147"/>
      <c r="L20" s="147"/>
      <c r="M20" s="147"/>
      <c r="N20" s="147"/>
      <c r="O20" s="147">
        <v>98</v>
      </c>
      <c r="P20" s="147">
        <v>90</v>
      </c>
      <c r="Q20" s="147"/>
      <c r="R20" s="118">
        <f>((Q20/G20)^(1/($H$2-$H$1) ))-1</f>
        <v>-1</v>
      </c>
      <c r="S20" s="31">
        <f t="shared" si="6"/>
        <v>0.14000000000000001</v>
      </c>
      <c r="T20" s="154">
        <f t="shared" si="2"/>
        <v>0</v>
      </c>
      <c r="U20" s="154">
        <f t="shared" ref="U20:U22" si="46">T20*(1+$S20)</f>
        <v>0</v>
      </c>
      <c r="V20" s="154">
        <f t="shared" ref="V20:V22" si="47">U20*(1+$S20)</f>
        <v>0</v>
      </c>
      <c r="W20" s="154">
        <f t="shared" ref="W20:W22" si="48">V20*(1+$S20)</f>
        <v>0</v>
      </c>
      <c r="X20" s="154">
        <f t="shared" ref="X20:X22" si="49">W20*(1+$S20)</f>
        <v>0</v>
      </c>
      <c r="Y20" s="154">
        <f t="shared" ref="Y20:Y22" si="50">X20*(1+$S20)</f>
        <v>0</v>
      </c>
      <c r="Z20" s="154">
        <f t="shared" ref="Z20:Z22" si="51">Y20*(1+$S20)</f>
        <v>0</v>
      </c>
      <c r="AA20" s="154">
        <f t="shared" ref="AA20:AA22" si="52">Z20*(1+$S20)</f>
        <v>0</v>
      </c>
      <c r="AB20" s="154">
        <f t="shared" ref="AB20:AB22" si="53">AA20*(1+$S20)</f>
        <v>0</v>
      </c>
      <c r="AC20" s="154">
        <f t="shared" ref="AC20:AC22" si="54">AB20*(1+$S20)</f>
        <v>0</v>
      </c>
      <c r="AD20" s="138">
        <f t="shared" ref="AD20:AD22" si="55">((AC20/G20)^(1/($AC$3-$H$1) ))-1</f>
        <v>-1</v>
      </c>
      <c r="AE20" s="31">
        <f t="shared" si="16"/>
        <v>0.05</v>
      </c>
      <c r="AF20" s="146">
        <f t="shared" si="1"/>
        <v>0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f t="shared" si="22"/>
        <v>-40</v>
      </c>
      <c r="H21" s="147"/>
      <c r="I21" s="147"/>
      <c r="J21" s="147"/>
      <c r="K21" s="147"/>
      <c r="L21" s="147"/>
      <c r="M21" s="147"/>
      <c r="N21" s="147"/>
      <c r="O21" s="147">
        <v>-40</v>
      </c>
      <c r="P21" s="147">
        <v>-87</v>
      </c>
      <c r="Q21" s="147"/>
      <c r="R21" s="118">
        <f>((Q21/G21)^(1/($H$2-$H$1) ))-1</f>
        <v>-1</v>
      </c>
      <c r="S21" s="31">
        <f t="shared" si="6"/>
        <v>0.14000000000000001</v>
      </c>
      <c r="T21" s="154">
        <f t="shared" si="2"/>
        <v>0</v>
      </c>
      <c r="U21" s="154">
        <f t="shared" si="46"/>
        <v>0</v>
      </c>
      <c r="V21" s="154">
        <f t="shared" si="47"/>
        <v>0</v>
      </c>
      <c r="W21" s="154">
        <f t="shared" si="48"/>
        <v>0</v>
      </c>
      <c r="X21" s="154">
        <f t="shared" si="49"/>
        <v>0</v>
      </c>
      <c r="Y21" s="154">
        <f t="shared" si="50"/>
        <v>0</v>
      </c>
      <c r="Z21" s="154">
        <f t="shared" si="51"/>
        <v>0</v>
      </c>
      <c r="AA21" s="154">
        <f t="shared" si="52"/>
        <v>0</v>
      </c>
      <c r="AB21" s="154">
        <f t="shared" si="53"/>
        <v>0</v>
      </c>
      <c r="AC21" s="154">
        <f t="shared" si="54"/>
        <v>0</v>
      </c>
      <c r="AD21" s="138">
        <f t="shared" si="55"/>
        <v>-1</v>
      </c>
      <c r="AE21" s="31">
        <f t="shared" si="16"/>
        <v>0.05</v>
      </c>
      <c r="AF21" s="146">
        <f t="shared" si="1"/>
        <v>0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f t="shared" si="22"/>
        <v>2</v>
      </c>
      <c r="H22" s="147"/>
      <c r="I22" s="147"/>
      <c r="J22" s="147"/>
      <c r="K22" s="147"/>
      <c r="L22" s="147"/>
      <c r="M22" s="147"/>
      <c r="N22" s="147"/>
      <c r="O22" s="147">
        <v>2</v>
      </c>
      <c r="P22" s="147">
        <v>-40</v>
      </c>
      <c r="Q22" s="147"/>
      <c r="R22" s="118">
        <f>((Q22/G22)^(1/($H$2-$H$1) ))-1</f>
        <v>-1</v>
      </c>
      <c r="S22" s="31">
        <f t="shared" si="6"/>
        <v>0.14000000000000001</v>
      </c>
      <c r="T22" s="154">
        <f t="shared" si="2"/>
        <v>0</v>
      </c>
      <c r="U22" s="154">
        <f t="shared" si="46"/>
        <v>0</v>
      </c>
      <c r="V22" s="154">
        <f t="shared" si="47"/>
        <v>0</v>
      </c>
      <c r="W22" s="154">
        <f t="shared" si="48"/>
        <v>0</v>
      </c>
      <c r="X22" s="154">
        <f t="shared" si="49"/>
        <v>0</v>
      </c>
      <c r="Y22" s="154">
        <f t="shared" si="50"/>
        <v>0</v>
      </c>
      <c r="Z22" s="154">
        <f t="shared" si="51"/>
        <v>0</v>
      </c>
      <c r="AA22" s="154">
        <f t="shared" si="52"/>
        <v>0</v>
      </c>
      <c r="AB22" s="154">
        <f t="shared" si="53"/>
        <v>0</v>
      </c>
      <c r="AC22" s="154">
        <f t="shared" si="54"/>
        <v>0</v>
      </c>
      <c r="AD22" s="138">
        <f t="shared" si="55"/>
        <v>-1</v>
      </c>
      <c r="AE22" s="31">
        <f t="shared" si="16"/>
        <v>0.05</v>
      </c>
      <c r="AF22" s="146">
        <f t="shared" si="1"/>
        <v>0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f t="shared" si="22"/>
        <v>69</v>
      </c>
      <c r="H23" s="147"/>
      <c r="I23" s="147"/>
      <c r="J23" s="147"/>
      <c r="K23" s="147"/>
      <c r="L23" s="147"/>
      <c r="M23" s="147"/>
      <c r="N23" s="147"/>
      <c r="O23" s="147">
        <v>69</v>
      </c>
      <c r="P23" s="147">
        <v>31</v>
      </c>
      <c r="Q23" s="147"/>
      <c r="R23" s="118">
        <f>((Q23/G23)^(1/($H$2-$H$1) ))-1</f>
        <v>-1</v>
      </c>
      <c r="S23" s="31">
        <f t="shared" si="6"/>
        <v>0.14000000000000001</v>
      </c>
      <c r="T23" s="154">
        <f t="shared" si="2"/>
        <v>0</v>
      </c>
      <c r="U23" s="154">
        <f t="shared" ref="U23" si="56">T23*(1+$S23)</f>
        <v>0</v>
      </c>
      <c r="V23" s="154">
        <f t="shared" ref="V23" si="57">U23*(1+$S23)</f>
        <v>0</v>
      </c>
      <c r="W23" s="154">
        <f t="shared" ref="W23" si="58">V23*(1+$S23)</f>
        <v>0</v>
      </c>
      <c r="X23" s="154">
        <f t="shared" ref="X23" si="59">W23*(1+$S23)</f>
        <v>0</v>
      </c>
      <c r="Y23" s="154">
        <f t="shared" ref="Y23" si="60">X23*(1+$S23)</f>
        <v>0</v>
      </c>
      <c r="Z23" s="154">
        <f t="shared" ref="Z23" si="61">Y23*(1+$S23)</f>
        <v>0</v>
      </c>
      <c r="AA23" s="154">
        <f t="shared" ref="AA23" si="62">Z23*(1+$S23)</f>
        <v>0</v>
      </c>
      <c r="AB23" s="154">
        <f t="shared" ref="AB23" si="63">AA23*(1+$S23)</f>
        <v>0</v>
      </c>
      <c r="AC23" s="154">
        <f t="shared" ref="AC23" si="64">AB23*(1+$S23)</f>
        <v>0</v>
      </c>
      <c r="AD23" s="138">
        <f t="shared" ref="AD23" si="65">((AC23/G23)^(1/($AC$3-$H$1) ))-1</f>
        <v>-1</v>
      </c>
      <c r="AE23" s="31">
        <f t="shared" si="16"/>
        <v>0.05</v>
      </c>
      <c r="AF23" s="146">
        <f t="shared" si="1"/>
        <v>0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f t="shared" si="22"/>
        <v>207</v>
      </c>
      <c r="H25" s="147"/>
      <c r="I25" s="147"/>
      <c r="J25" s="147"/>
      <c r="K25" s="147"/>
      <c r="L25" s="147"/>
      <c r="M25" s="147"/>
      <c r="N25" s="147"/>
      <c r="O25" s="147">
        <v>207</v>
      </c>
      <c r="P25" s="147">
        <v>232</v>
      </c>
      <c r="Q25" s="147">
        <f>235+35</f>
        <v>270</v>
      </c>
      <c r="R25" s="118">
        <f>((Q25/G25)^(1/($H$2-$H$1) ))-1</f>
        <v>2.9962685556576218E-2</v>
      </c>
      <c r="S25" s="31">
        <f t="shared" si="6"/>
        <v>0.14000000000000001</v>
      </c>
      <c r="T25" s="154">
        <f t="shared" si="2"/>
        <v>307.8</v>
      </c>
      <c r="U25" s="154">
        <f t="shared" si="37"/>
        <v>350.89200000000005</v>
      </c>
      <c r="V25" s="154">
        <f t="shared" si="38"/>
        <v>400.01688000000013</v>
      </c>
      <c r="W25" s="154">
        <f t="shared" si="39"/>
        <v>456.01924320000018</v>
      </c>
      <c r="X25" s="154">
        <f t="shared" si="40"/>
        <v>519.86193724800023</v>
      </c>
      <c r="Y25" s="154">
        <f t="shared" si="41"/>
        <v>592.64260846272032</v>
      </c>
      <c r="Z25" s="154">
        <f t="shared" si="42"/>
        <v>675.61257364750122</v>
      </c>
      <c r="AA25" s="154">
        <f t="shared" si="43"/>
        <v>770.19833395815147</v>
      </c>
      <c r="AB25" s="154">
        <f t="shared" si="44"/>
        <v>878.02610071229276</v>
      </c>
      <c r="AC25" s="154">
        <f t="shared" si="45"/>
        <v>1000.9497548120139</v>
      </c>
      <c r="AD25" s="138">
        <f t="shared" si="18"/>
        <v>8.1987134085432789E-2</v>
      </c>
      <c r="AE25" s="31">
        <f t="shared" si="16"/>
        <v>0.05</v>
      </c>
      <c r="AF25" s="146">
        <f t="shared" si="1"/>
        <v>6182.3367208977334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 t="e">
        <f>(H25-G25)/H25</f>
        <v>#DIV/0!</v>
      </c>
      <c r="I26" s="148" t="e">
        <f t="shared" ref="I26:P26" si="66">(I25-H25)/I25</f>
        <v>#DIV/0!</v>
      </c>
      <c r="J26" s="148" t="e">
        <f t="shared" si="66"/>
        <v>#DIV/0!</v>
      </c>
      <c r="K26" s="148" t="e">
        <f t="shared" si="66"/>
        <v>#DIV/0!</v>
      </c>
      <c r="L26" s="148" t="e">
        <f t="shared" si="66"/>
        <v>#DIV/0!</v>
      </c>
      <c r="M26" s="148" t="e">
        <f t="shared" si="66"/>
        <v>#DIV/0!</v>
      </c>
      <c r="N26" s="148" t="e">
        <f t="shared" si="66"/>
        <v>#DIV/0!</v>
      </c>
      <c r="O26" s="148">
        <f t="shared" si="66"/>
        <v>1</v>
      </c>
      <c r="P26" s="148">
        <f t="shared" si="66"/>
        <v>0.10775862068965517</v>
      </c>
      <c r="Q26" s="148">
        <f t="shared" ref="Q26" si="67">(Q25-P25)/Q25</f>
        <v>0.14074074074074075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f>O27</f>
        <v>56</v>
      </c>
      <c r="H27" s="147"/>
      <c r="I27" s="147"/>
      <c r="J27" s="147"/>
      <c r="K27" s="147"/>
      <c r="L27" s="147"/>
      <c r="M27" s="147"/>
      <c r="N27" s="147"/>
      <c r="O27" s="147">
        <v>56</v>
      </c>
      <c r="P27" s="147">
        <v>68</v>
      </c>
      <c r="Q27" s="147">
        <v>90</v>
      </c>
      <c r="R27" s="118">
        <f>((Q27/G27)^(1/($H$2-$H$1) ))-1</f>
        <v>5.4131866988628152E-2</v>
      </c>
      <c r="S27" s="31">
        <f t="shared" si="6"/>
        <v>0.14000000000000001</v>
      </c>
      <c r="T27" s="154">
        <f t="shared" si="2"/>
        <v>102.60000000000001</v>
      </c>
      <c r="U27" s="154">
        <f t="shared" si="37"/>
        <v>116.96400000000003</v>
      </c>
      <c r="V27" s="154">
        <f t="shared" si="38"/>
        <v>133.33896000000004</v>
      </c>
      <c r="W27" s="154">
        <f t="shared" si="39"/>
        <v>152.00641440000007</v>
      </c>
      <c r="X27" s="154">
        <f t="shared" si="40"/>
        <v>173.28731241600011</v>
      </c>
      <c r="Y27" s="154">
        <f t="shared" si="41"/>
        <v>197.54753615424013</v>
      </c>
      <c r="Z27" s="154">
        <f t="shared" si="42"/>
        <v>225.20419121583379</v>
      </c>
      <c r="AA27" s="154">
        <f t="shared" si="43"/>
        <v>256.73277798605056</v>
      </c>
      <c r="AB27" s="154">
        <f t="shared" si="44"/>
        <v>292.6753669040977</v>
      </c>
      <c r="AC27" s="154">
        <f t="shared" si="45"/>
        <v>333.64991827067144</v>
      </c>
      <c r="AD27" s="138">
        <f t="shared" si="18"/>
        <v>9.3339780143156581E-2</v>
      </c>
      <c r="AE27" s="31">
        <f t="shared" si="16"/>
        <v>0.05</v>
      </c>
      <c r="AF27" s="146">
        <f t="shared" si="1"/>
        <v>2060.778906965912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P28" si="68">(G27-F27)/G27</f>
        <v>1</v>
      </c>
      <c r="H28" s="148" t="e">
        <f t="shared" si="68"/>
        <v>#DIV/0!</v>
      </c>
      <c r="I28" s="148" t="e">
        <f t="shared" si="68"/>
        <v>#DIV/0!</v>
      </c>
      <c r="J28" s="148" t="e">
        <f t="shared" si="68"/>
        <v>#DIV/0!</v>
      </c>
      <c r="K28" s="148" t="e">
        <f t="shared" si="68"/>
        <v>#DIV/0!</v>
      </c>
      <c r="L28" s="148" t="e">
        <f t="shared" si="68"/>
        <v>#DIV/0!</v>
      </c>
      <c r="M28" s="148" t="e">
        <f t="shared" si="68"/>
        <v>#DIV/0!</v>
      </c>
      <c r="N28" s="148" t="e">
        <f t="shared" si="68"/>
        <v>#DIV/0!</v>
      </c>
      <c r="O28" s="148">
        <f t="shared" si="68"/>
        <v>1</v>
      </c>
      <c r="P28" s="148">
        <f t="shared" si="68"/>
        <v>0.17647058823529413</v>
      </c>
      <c r="Q28" s="148">
        <f t="shared" ref="Q28" si="69">(Q27-P27)/Q27</f>
        <v>0.24444444444444444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f>O29</f>
        <v>0</v>
      </c>
      <c r="H29" s="147"/>
      <c r="I29" s="147"/>
      <c r="J29" s="147"/>
      <c r="K29" s="147"/>
      <c r="L29" s="147"/>
      <c r="M29" s="147"/>
      <c r="N29" s="147"/>
      <c r="O29" s="147">
        <v>0</v>
      </c>
      <c r="P29" s="147">
        <v>0</v>
      </c>
      <c r="Q29" s="147">
        <v>0</v>
      </c>
      <c r="R29" s="118" t="e">
        <f>((Q29/G29)^(1/($H$2-$H$1) ))-1</f>
        <v>#DIV/0!</v>
      </c>
      <c r="S29" s="31">
        <f t="shared" si="6"/>
        <v>0.14000000000000001</v>
      </c>
      <c r="T29" s="154">
        <f t="shared" si="2"/>
        <v>0</v>
      </c>
      <c r="U29" s="154">
        <f t="shared" ref="U29" si="70">T29*(1+$S29)</f>
        <v>0</v>
      </c>
      <c r="V29" s="154">
        <f t="shared" ref="V29" si="71">U29*(1+$S29)</f>
        <v>0</v>
      </c>
      <c r="W29" s="154">
        <f t="shared" ref="W29" si="72">V29*(1+$S29)</f>
        <v>0</v>
      </c>
      <c r="X29" s="154">
        <f t="shared" ref="X29" si="73">W29*(1+$S29)</f>
        <v>0</v>
      </c>
      <c r="Y29" s="154">
        <f t="shared" ref="Y29" si="74">X29*(1+$S29)</f>
        <v>0</v>
      </c>
      <c r="Z29" s="154">
        <f t="shared" ref="Z29" si="75">Y29*(1+$S29)</f>
        <v>0</v>
      </c>
      <c r="AA29" s="154">
        <f t="shared" ref="AA29" si="76">Z29*(1+$S29)</f>
        <v>0</v>
      </c>
      <c r="AB29" s="154">
        <f t="shared" ref="AB29" si="77">AA29*(1+$S29)</f>
        <v>0</v>
      </c>
      <c r="AC29" s="154">
        <f t="shared" ref="AC29" si="78">AB29*(1+$S29)</f>
        <v>0</v>
      </c>
      <c r="AD29" s="138" t="e">
        <f t="shared" ref="AD29" si="79">((AC29/G29)^(1/($AC$3-$H$1) ))-1</f>
        <v>#DIV/0!</v>
      </c>
      <c r="AE29" s="31">
        <f t="shared" si="16"/>
        <v>0.05</v>
      </c>
      <c r="AF29" s="146">
        <f t="shared" ref="AF29" si="80">(AC29*(1+AE29))/($C$1-AE29)</f>
        <v>0</v>
      </c>
    </row>
    <row r="30" spans="2:32" s="123" customFormat="1" x14ac:dyDescent="0.2">
      <c r="B30" s="23"/>
      <c r="C30" s="149"/>
      <c r="D30" s="149"/>
      <c r="E30" s="150"/>
      <c r="F30" s="150"/>
      <c r="G30" s="148" t="e">
        <f t="shared" ref="G30:P30" si="81">(G29-F29)/G29</f>
        <v>#DIV/0!</v>
      </c>
      <c r="H30" s="148" t="e">
        <f t="shared" si="81"/>
        <v>#DIV/0!</v>
      </c>
      <c r="I30" s="148" t="e">
        <f t="shared" si="81"/>
        <v>#DIV/0!</v>
      </c>
      <c r="J30" s="148" t="e">
        <f t="shared" si="81"/>
        <v>#DIV/0!</v>
      </c>
      <c r="K30" s="148" t="e">
        <f t="shared" si="81"/>
        <v>#DIV/0!</v>
      </c>
      <c r="L30" s="148" t="e">
        <f t="shared" si="81"/>
        <v>#DIV/0!</v>
      </c>
      <c r="M30" s="148" t="e">
        <f t="shared" si="81"/>
        <v>#DIV/0!</v>
      </c>
      <c r="N30" s="148" t="e">
        <f t="shared" si="81"/>
        <v>#DIV/0!</v>
      </c>
      <c r="O30" s="148" t="e">
        <f t="shared" si="81"/>
        <v>#DIV/0!</v>
      </c>
      <c r="P30" s="148" t="e">
        <f t="shared" si="81"/>
        <v>#DIV/0!</v>
      </c>
      <c r="Q30" s="148" t="e">
        <f t="shared" ref="Q30" si="82">(Q29-P29)/Q29</f>
        <v>#DIV/0!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>
        <f>O31</f>
        <v>0</v>
      </c>
      <c r="H31" s="147"/>
      <c r="I31" s="147"/>
      <c r="J31" s="147"/>
      <c r="K31" s="147"/>
      <c r="L31" s="147"/>
      <c r="M31" s="147"/>
      <c r="N31" s="147"/>
      <c r="O31" s="147">
        <v>0</v>
      </c>
      <c r="P31" s="147"/>
      <c r="Q31" s="147"/>
      <c r="R31" s="118" t="e">
        <f>((Q31/G31)^(1/($H$2-$H$1) ))-1</f>
        <v>#DIV/0!</v>
      </c>
      <c r="S31" s="31">
        <f t="shared" si="6"/>
        <v>0.14000000000000001</v>
      </c>
      <c r="T31" s="154">
        <f t="shared" si="2"/>
        <v>0</v>
      </c>
      <c r="U31" s="154">
        <f>T31*(1+$S31)</f>
        <v>0</v>
      </c>
      <c r="V31" s="154">
        <f t="shared" ref="V31:AC32" si="83">U31*(1+$S31)</f>
        <v>0</v>
      </c>
      <c r="W31" s="154">
        <f t="shared" si="83"/>
        <v>0</v>
      </c>
      <c r="X31" s="154">
        <f t="shared" si="83"/>
        <v>0</v>
      </c>
      <c r="Y31" s="154">
        <f t="shared" si="83"/>
        <v>0</v>
      </c>
      <c r="Z31" s="154">
        <f t="shared" si="83"/>
        <v>0</v>
      </c>
      <c r="AA31" s="154">
        <f t="shared" si="83"/>
        <v>0</v>
      </c>
      <c r="AB31" s="154">
        <f t="shared" si="83"/>
        <v>0</v>
      </c>
      <c r="AC31" s="154">
        <f t="shared" si="83"/>
        <v>0</v>
      </c>
      <c r="AD31" s="138" t="e">
        <f t="shared" ref="AD31" si="84">((AC31/G31)^(1/($AC$3-$H$1) ))-1</f>
        <v>#DIV/0!</v>
      </c>
      <c r="AE31" s="31">
        <f t="shared" si="16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>
        <f>O32</f>
        <v>0</v>
      </c>
      <c r="H32" s="147"/>
      <c r="I32" s="147"/>
      <c r="J32" s="147"/>
      <c r="K32" s="147"/>
      <c r="L32" s="147"/>
      <c r="M32" s="147"/>
      <c r="N32" s="147">
        <v>0</v>
      </c>
      <c r="O32" s="147"/>
      <c r="P32" s="147"/>
      <c r="Q32" s="147"/>
      <c r="R32" s="118" t="e">
        <f>((Q32/G32)^(1/($H$2-$H$1) ))-1</f>
        <v>#DIV/0!</v>
      </c>
      <c r="S32" s="31">
        <f t="shared" si="6"/>
        <v>0.14000000000000001</v>
      </c>
      <c r="T32" s="154">
        <f t="shared" si="2"/>
        <v>0</v>
      </c>
      <c r="U32" s="154">
        <f>T32*(1+$S32)</f>
        <v>0</v>
      </c>
      <c r="V32" s="154">
        <f t="shared" si="83"/>
        <v>0</v>
      </c>
      <c r="W32" s="154">
        <f t="shared" si="83"/>
        <v>0</v>
      </c>
      <c r="X32" s="154">
        <f t="shared" si="83"/>
        <v>0</v>
      </c>
      <c r="Y32" s="154">
        <f t="shared" si="83"/>
        <v>0</v>
      </c>
      <c r="Z32" s="154">
        <f t="shared" si="83"/>
        <v>0</v>
      </c>
      <c r="AA32" s="154">
        <f t="shared" si="83"/>
        <v>0</v>
      </c>
      <c r="AB32" s="154">
        <f t="shared" si="83"/>
        <v>0</v>
      </c>
      <c r="AC32" s="154">
        <f t="shared" si="83"/>
        <v>0</v>
      </c>
      <c r="AD32" s="138" t="e">
        <f t="shared" ref="AD32" si="85">((AC32/G32)^(1/($AC$3-$H$1) ))-1</f>
        <v>#DIV/0!</v>
      </c>
      <c r="AE32" s="31">
        <f t="shared" si="16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f>O33</f>
        <v>0</v>
      </c>
      <c r="H33" s="147"/>
      <c r="I33" s="147"/>
      <c r="J33" s="147"/>
      <c r="K33" s="147"/>
      <c r="L33" s="147"/>
      <c r="M33" s="147"/>
      <c r="N33" s="147"/>
      <c r="O33" s="147">
        <v>0</v>
      </c>
      <c r="P33" s="147"/>
      <c r="Q33" s="147"/>
      <c r="R33" s="118" t="e">
        <f>((Q33/G33)^(1/($H$2-$H$1) ))-1</f>
        <v>#DIV/0!</v>
      </c>
      <c r="S33" s="31">
        <f t="shared" si="6"/>
        <v>0.14000000000000001</v>
      </c>
      <c r="T33" s="154">
        <f t="shared" si="2"/>
        <v>0</v>
      </c>
      <c r="U33" s="154">
        <f t="shared" si="37"/>
        <v>0</v>
      </c>
      <c r="V33" s="154">
        <f t="shared" si="38"/>
        <v>0</v>
      </c>
      <c r="W33" s="154">
        <f t="shared" si="39"/>
        <v>0</v>
      </c>
      <c r="X33" s="154">
        <f t="shared" si="40"/>
        <v>0</v>
      </c>
      <c r="Y33" s="154">
        <f t="shared" si="41"/>
        <v>0</v>
      </c>
      <c r="Z33" s="154">
        <f t="shared" si="42"/>
        <v>0</v>
      </c>
      <c r="AA33" s="154">
        <f t="shared" si="43"/>
        <v>0</v>
      </c>
      <c r="AB33" s="154">
        <f t="shared" si="44"/>
        <v>0</v>
      </c>
      <c r="AC33" s="154">
        <f t="shared" si="45"/>
        <v>0</v>
      </c>
      <c r="AD33" s="138" t="e">
        <f t="shared" si="18"/>
        <v>#DIV/0!</v>
      </c>
      <c r="AE33" s="31">
        <f t="shared" si="16"/>
        <v>0.05</v>
      </c>
      <c r="AF33" s="146">
        <f t="shared" si="1"/>
        <v>0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f>O34</f>
        <v>43</v>
      </c>
      <c r="H34" s="147"/>
      <c r="I34" s="147"/>
      <c r="J34" s="147"/>
      <c r="K34" s="147"/>
      <c r="L34" s="147"/>
      <c r="M34" s="147"/>
      <c r="N34" s="147"/>
      <c r="O34" s="147">
        <v>43</v>
      </c>
      <c r="P34" s="147">
        <v>52</v>
      </c>
      <c r="Q34" s="147">
        <v>63</v>
      </c>
      <c r="R34" s="118">
        <f>((Q34/G34)^(1/($H$2-$H$1) ))-1</f>
        <v>4.3350509957453154E-2</v>
      </c>
      <c r="S34" s="31">
        <f t="shared" si="6"/>
        <v>0.14000000000000001</v>
      </c>
      <c r="T34" s="154">
        <f t="shared" si="2"/>
        <v>71.820000000000007</v>
      </c>
      <c r="U34" s="154">
        <f t="shared" si="37"/>
        <v>81.874800000000022</v>
      </c>
      <c r="V34" s="154">
        <f t="shared" si="38"/>
        <v>93.337272000000041</v>
      </c>
      <c r="W34" s="154">
        <f t="shared" si="39"/>
        <v>106.40449008000006</v>
      </c>
      <c r="X34" s="154">
        <f t="shared" si="40"/>
        <v>121.30111869120007</v>
      </c>
      <c r="Y34" s="154">
        <f t="shared" si="41"/>
        <v>138.2832753079681</v>
      </c>
      <c r="Z34" s="154">
        <f t="shared" si="42"/>
        <v>157.64293385108365</v>
      </c>
      <c r="AA34" s="154">
        <f t="shared" si="43"/>
        <v>179.7129445902354</v>
      </c>
      <c r="AB34" s="154">
        <f t="shared" si="44"/>
        <v>204.87275683286836</v>
      </c>
      <c r="AC34" s="154">
        <f t="shared" si="45"/>
        <v>233.55494278946995</v>
      </c>
      <c r="AD34" s="138">
        <f t="shared" si="18"/>
        <v>8.8293487652115532E-2</v>
      </c>
      <c r="AE34" s="31">
        <f t="shared" si="16"/>
        <v>0.05</v>
      </c>
      <c r="AF34" s="146">
        <f t="shared" si="1"/>
        <v>1442.545234876138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f>O36</f>
        <v>123</v>
      </c>
      <c r="H36" s="147"/>
      <c r="I36" s="147"/>
      <c r="J36" s="147"/>
      <c r="K36" s="147"/>
      <c r="L36" s="147"/>
      <c r="M36" s="147"/>
      <c r="N36" s="147"/>
      <c r="O36" s="147">
        <v>123</v>
      </c>
      <c r="P36" s="147">
        <v>134</v>
      </c>
      <c r="Q36" s="147">
        <v>144</v>
      </c>
      <c r="R36" s="118">
        <f>((Q36/G36)^(1/($H$2-$H$1) ))-1</f>
        <v>1.7668602320475291E-2</v>
      </c>
      <c r="S36" s="31">
        <f t="shared" si="6"/>
        <v>0.14000000000000001</v>
      </c>
      <c r="T36" s="154">
        <f t="shared" si="2"/>
        <v>164.16000000000003</v>
      </c>
      <c r="U36" s="154">
        <f t="shared" ref="U36" si="86">T36*(1+$S36)</f>
        <v>187.14240000000004</v>
      </c>
      <c r="V36" s="154">
        <f t="shared" ref="V36" si="87">U36*(1+$S36)</f>
        <v>213.34233600000007</v>
      </c>
      <c r="W36" s="154">
        <f t="shared" ref="W36" si="88">V36*(1+$S36)</f>
        <v>243.21026304000011</v>
      </c>
      <c r="X36" s="154">
        <f t="shared" si="40"/>
        <v>277.25969986560017</v>
      </c>
      <c r="Y36" s="154">
        <f t="shared" si="41"/>
        <v>316.07605784678424</v>
      </c>
      <c r="Z36" s="154">
        <f t="shared" si="42"/>
        <v>360.32670594533408</v>
      </c>
      <c r="AA36" s="154">
        <f t="shared" si="43"/>
        <v>410.7724447776809</v>
      </c>
      <c r="AB36" s="154">
        <f t="shared" si="44"/>
        <v>468.28058704655626</v>
      </c>
      <c r="AC36" s="154">
        <f t="shared" si="45"/>
        <v>533.83986923307418</v>
      </c>
      <c r="AD36" s="138">
        <f t="shared" si="18"/>
        <v>7.6156156871205472E-2</v>
      </c>
      <c r="AE36" s="31">
        <f t="shared" si="16"/>
        <v>0.05</v>
      </c>
      <c r="AF36" s="146">
        <f t="shared" si="1"/>
        <v>3297.2462511454587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:P37" si="89">(G36-F36)/G36</f>
        <v>1</v>
      </c>
      <c r="H37" s="148" t="e">
        <f t="shared" si="89"/>
        <v>#DIV/0!</v>
      </c>
      <c r="I37" s="148" t="e">
        <f t="shared" si="89"/>
        <v>#DIV/0!</v>
      </c>
      <c r="J37" s="148" t="e">
        <f t="shared" si="89"/>
        <v>#DIV/0!</v>
      </c>
      <c r="K37" s="148" t="e">
        <f t="shared" si="89"/>
        <v>#DIV/0!</v>
      </c>
      <c r="L37" s="148" t="e">
        <f t="shared" si="89"/>
        <v>#DIV/0!</v>
      </c>
      <c r="M37" s="148" t="e">
        <f t="shared" si="89"/>
        <v>#DIV/0!</v>
      </c>
      <c r="N37" s="148" t="e">
        <f t="shared" si="89"/>
        <v>#DIV/0!</v>
      </c>
      <c r="O37" s="148">
        <f t="shared" si="89"/>
        <v>1</v>
      </c>
      <c r="P37" s="148">
        <f t="shared" si="89"/>
        <v>8.2089552238805971E-2</v>
      </c>
      <c r="Q37" s="148">
        <f t="shared" ref="Q37" si="90">(Q36-P36)/Q36</f>
        <v>6.9444444444444448E-2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401</v>
      </c>
      <c r="C38" s="149"/>
      <c r="D38" s="149"/>
      <c r="E38" s="150"/>
      <c r="F38" s="150"/>
      <c r="G38" s="147">
        <f>O38</f>
        <v>149</v>
      </c>
      <c r="H38" s="147"/>
      <c r="I38" s="147"/>
      <c r="J38" s="147"/>
      <c r="K38" s="147"/>
      <c r="L38" s="147"/>
      <c r="M38" s="147"/>
      <c r="N38" s="147"/>
      <c r="O38" s="147">
        <v>149</v>
      </c>
      <c r="P38" s="147">
        <v>160</v>
      </c>
      <c r="Q38" s="147">
        <v>180.75139999999999</v>
      </c>
      <c r="R38" s="118">
        <f>((Q38/G38)^(1/($H$2-$H$1) ))-1</f>
        <v>2.1696042740048771E-2</v>
      </c>
      <c r="S38" s="31">
        <f t="shared" si="6"/>
        <v>0.14000000000000001</v>
      </c>
      <c r="T38" s="154">
        <f t="shared" si="2"/>
        <v>206.05659600000001</v>
      </c>
      <c r="U38" s="154">
        <f t="shared" ref="U38" si="91">T38*(1+$S38)</f>
        <v>234.90451944000003</v>
      </c>
      <c r="V38" s="154">
        <f t="shared" ref="V38" si="92">U38*(1+$S38)</f>
        <v>267.79115216160005</v>
      </c>
      <c r="W38" s="154">
        <f t="shared" ref="W38" si="93">V38*(1+$S38)</f>
        <v>305.28191346422409</v>
      </c>
      <c r="X38" s="154">
        <f t="shared" ref="X38" si="94">W38*(1+$S38)</f>
        <v>348.02138134921552</v>
      </c>
      <c r="Y38" s="154">
        <f t="shared" ref="Y38" si="95">X38*(1+$S38)</f>
        <v>396.74437473810571</v>
      </c>
      <c r="Z38" s="154">
        <f t="shared" ref="Z38" si="96">Y38*(1+$S38)</f>
        <v>452.28858720144058</v>
      </c>
      <c r="AA38" s="154">
        <f t="shared" ref="AA38" si="97">Z38*(1+$S38)</f>
        <v>515.60898940964228</v>
      </c>
      <c r="AB38" s="154">
        <f t="shared" ref="AB38" si="98">AA38*(1+$S38)</f>
        <v>587.79424792699228</v>
      </c>
      <c r="AC38" s="154">
        <f t="shared" ref="AC38" si="99">AB38*(1+$S38)</f>
        <v>670.08544263677129</v>
      </c>
      <c r="AD38" s="138">
        <f t="shared" ref="AD38" si="100">((AC38/G38)^(1/($AC$3-$H$1) ))-1</f>
        <v>7.8070583007546546E-2</v>
      </c>
      <c r="AE38" s="31">
        <f t="shared" si="16"/>
        <v>0.05</v>
      </c>
      <c r="AF38" s="146">
        <f t="shared" ref="AF38" si="101">(AC38*(1+AE38))/($C$1-AE38)</f>
        <v>4138.7630280506464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:P39" si="102">(G38-F38)/G38</f>
        <v>1</v>
      </c>
      <c r="H39" s="148" t="e">
        <f t="shared" si="102"/>
        <v>#DIV/0!</v>
      </c>
      <c r="I39" s="148" t="e">
        <f t="shared" si="102"/>
        <v>#DIV/0!</v>
      </c>
      <c r="J39" s="148" t="e">
        <f t="shared" si="102"/>
        <v>#DIV/0!</v>
      </c>
      <c r="K39" s="148" t="e">
        <f t="shared" si="102"/>
        <v>#DIV/0!</v>
      </c>
      <c r="L39" s="148" t="e">
        <f t="shared" si="102"/>
        <v>#DIV/0!</v>
      </c>
      <c r="M39" s="148" t="e">
        <f t="shared" si="102"/>
        <v>#DIV/0!</v>
      </c>
      <c r="N39" s="148" t="e">
        <f t="shared" si="102"/>
        <v>#DIV/0!</v>
      </c>
      <c r="O39" s="148">
        <f t="shared" si="102"/>
        <v>1</v>
      </c>
      <c r="P39" s="148">
        <f t="shared" si="102"/>
        <v>6.8750000000000006E-2</v>
      </c>
      <c r="Q39" s="148">
        <f t="shared" ref="Q39" si="103">(Q38-P38)/Q38</f>
        <v>0.11480630302171928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402</v>
      </c>
      <c r="C40" s="141"/>
      <c r="D40" s="141"/>
      <c r="E40" s="147"/>
      <c r="F40" s="147"/>
      <c r="G40" s="147">
        <f>O40</f>
        <v>107</v>
      </c>
      <c r="H40" s="147"/>
      <c r="I40" s="147"/>
      <c r="J40" s="147"/>
      <c r="K40" s="147"/>
      <c r="L40" s="147"/>
      <c r="M40" s="147"/>
      <c r="N40" s="147"/>
      <c r="O40" s="147">
        <v>107</v>
      </c>
      <c r="P40" s="147">
        <v>114</v>
      </c>
      <c r="Q40" s="147">
        <v>129.65</v>
      </c>
      <c r="R40" s="118">
        <f>((Q40/G40)^(1/($H$2-$H$1) ))-1</f>
        <v>2.1563614195583947E-2</v>
      </c>
      <c r="S40" s="31">
        <f t="shared" si="6"/>
        <v>0.14000000000000001</v>
      </c>
      <c r="T40" s="154">
        <f t="shared" si="2"/>
        <v>147.80100000000002</v>
      </c>
      <c r="U40" s="154">
        <f t="shared" ref="U40:AC40" si="104">T40*(1+$S40)</f>
        <v>168.49314000000004</v>
      </c>
      <c r="V40" s="154">
        <f t="shared" si="104"/>
        <v>192.08217960000007</v>
      </c>
      <c r="W40" s="154">
        <f t="shared" si="104"/>
        <v>218.97368474400011</v>
      </c>
      <c r="X40" s="154">
        <f t="shared" si="104"/>
        <v>249.63000060816015</v>
      </c>
      <c r="Y40" s="154">
        <f t="shared" si="104"/>
        <v>284.57820069330262</v>
      </c>
      <c r="Z40" s="154">
        <f t="shared" si="104"/>
        <v>324.419148790365</v>
      </c>
      <c r="AA40" s="154">
        <f t="shared" si="104"/>
        <v>369.83782962101611</v>
      </c>
      <c r="AB40" s="154">
        <f t="shared" si="104"/>
        <v>421.61512576795843</v>
      </c>
      <c r="AC40" s="154">
        <f t="shared" si="104"/>
        <v>480.64124337547264</v>
      </c>
      <c r="AD40" s="138">
        <f t="shared" si="18"/>
        <v>7.8007699742250747E-2</v>
      </c>
      <c r="AE40" s="31">
        <f t="shared" si="16"/>
        <v>0.05</v>
      </c>
      <c r="AF40" s="146">
        <f t="shared" si="1"/>
        <v>2968.6665032014494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 t="e">
        <f t="shared" ref="H41:P41" si="105">(H40-G40)/H40</f>
        <v>#DIV/0!</v>
      </c>
      <c r="I41" s="148" t="e">
        <f t="shared" si="105"/>
        <v>#DIV/0!</v>
      </c>
      <c r="J41" s="148" t="e">
        <f t="shared" si="105"/>
        <v>#DIV/0!</v>
      </c>
      <c r="K41" s="148" t="e">
        <f t="shared" si="105"/>
        <v>#DIV/0!</v>
      </c>
      <c r="L41" s="148" t="e">
        <f t="shared" si="105"/>
        <v>#DIV/0!</v>
      </c>
      <c r="M41" s="148" t="e">
        <f t="shared" si="105"/>
        <v>#DIV/0!</v>
      </c>
      <c r="N41" s="148" t="e">
        <f t="shared" si="105"/>
        <v>#DIV/0!</v>
      </c>
      <c r="O41" s="148">
        <f t="shared" si="105"/>
        <v>1</v>
      </c>
      <c r="P41" s="148">
        <f t="shared" si="105"/>
        <v>6.1403508771929821E-2</v>
      </c>
      <c r="Q41" s="148">
        <f t="shared" ref="Q41" si="106">(Q40-P40)/Q40</f>
        <v>0.12070960277670656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7">
        <f>O42</f>
        <v>2.85</v>
      </c>
      <c r="H42" s="193"/>
      <c r="I42" s="193"/>
      <c r="J42" s="193"/>
      <c r="K42" s="193"/>
      <c r="L42" s="193"/>
      <c r="M42" s="193"/>
      <c r="N42" s="193"/>
      <c r="O42" s="193">
        <v>2.85</v>
      </c>
      <c r="P42" s="193">
        <v>2.85</v>
      </c>
      <c r="Q42" s="145">
        <v>2.899</v>
      </c>
      <c r="R42" s="118">
        <f>((Q42/G42)^(1/($H$2-$H$1) ))-1</f>
        <v>1.8958900043688498E-3</v>
      </c>
      <c r="S42" s="31">
        <f>P1</f>
        <v>0.05</v>
      </c>
      <c r="T42" s="154">
        <f t="shared" si="2"/>
        <v>3.0439500000000002</v>
      </c>
      <c r="U42" s="154">
        <f t="shared" ref="U42:AC42" si="107">T42*(1+$S42)</f>
        <v>3.1961475000000004</v>
      </c>
      <c r="V42" s="154">
        <f t="shared" si="107"/>
        <v>3.3559548750000006</v>
      </c>
      <c r="W42" s="154">
        <f t="shared" si="107"/>
        <v>3.5237526187500006</v>
      </c>
      <c r="X42" s="154">
        <f t="shared" si="107"/>
        <v>3.6999402496875007</v>
      </c>
      <c r="Y42" s="154">
        <f t="shared" si="107"/>
        <v>3.8849372621718761</v>
      </c>
      <c r="Z42" s="154">
        <f t="shared" si="107"/>
        <v>4.0791841252804701</v>
      </c>
      <c r="AA42" s="154">
        <f t="shared" si="107"/>
        <v>4.283143331544494</v>
      </c>
      <c r="AB42" s="154">
        <f t="shared" si="107"/>
        <v>4.4973004981217191</v>
      </c>
      <c r="AC42" s="154">
        <f t="shared" si="107"/>
        <v>4.7221655230278055</v>
      </c>
      <c r="AD42" s="138">
        <f t="shared" si="18"/>
        <v>2.5568840369443624E-2</v>
      </c>
      <c r="AE42" s="31">
        <f t="shared" si="16"/>
        <v>0.05</v>
      </c>
      <c r="AF42" s="146">
        <f t="shared" si="1"/>
        <v>29.16631646575998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0.64912280701754388</v>
      </c>
      <c r="H43" s="148" t="e">
        <f t="shared" ref="H43" si="108">(H42-G42)/H42</f>
        <v>#DIV/0!</v>
      </c>
      <c r="I43" s="148" t="e">
        <f t="shared" ref="I43" si="109">(I42-H42)/I42</f>
        <v>#DIV/0!</v>
      </c>
      <c r="J43" s="148" t="e">
        <f t="shared" ref="J43" si="110">(J42-I42)/J42</f>
        <v>#DIV/0!</v>
      </c>
      <c r="K43" s="148" t="e">
        <f t="shared" ref="K43" si="111">(K42-J42)/K42</f>
        <v>#DIV/0!</v>
      </c>
      <c r="L43" s="148" t="e">
        <f t="shared" ref="L43" si="112">(L42-K42)/L42</f>
        <v>#DIV/0!</v>
      </c>
      <c r="M43" s="148" t="e">
        <f t="shared" ref="M43" si="113">(M42-L42)/M42</f>
        <v>#DIV/0!</v>
      </c>
      <c r="N43" s="148" t="e">
        <f t="shared" ref="N43" si="114">(N42-M42)/N42</f>
        <v>#DIV/0!</v>
      </c>
      <c r="O43" s="148">
        <f t="shared" ref="O43" si="115">(O42-N42)/O42</f>
        <v>1</v>
      </c>
      <c r="P43" s="148">
        <f t="shared" ref="P43:Q43" si="116">(P42-O42)/P42</f>
        <v>0</v>
      </c>
      <c r="Q43" s="148">
        <f t="shared" si="116"/>
        <v>1.6902380131079659E-2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7">
        <f>O44</f>
        <v>0</v>
      </c>
      <c r="H44" s="147"/>
      <c r="I44" s="147"/>
      <c r="J44" s="147"/>
      <c r="K44" s="147"/>
      <c r="L44" s="147"/>
      <c r="M44" s="147"/>
      <c r="N44" s="147"/>
      <c r="O44" s="147">
        <v>0</v>
      </c>
      <c r="P44" s="147">
        <v>20</v>
      </c>
      <c r="Q44" s="145">
        <v>6</v>
      </c>
      <c r="R44" s="118" t="e">
        <f>((Q44/G44)^(1/($H$2-$H$1) ))-1</f>
        <v>#DIV/0!</v>
      </c>
      <c r="S44" s="31">
        <f>P1</f>
        <v>0.05</v>
      </c>
      <c r="T44" s="154">
        <f t="shared" si="2"/>
        <v>6.3000000000000007</v>
      </c>
      <c r="U44" s="154">
        <f t="shared" ref="U44" si="117">T44*(1+$S44)</f>
        <v>6.6150000000000011</v>
      </c>
      <c r="V44" s="154">
        <f t="shared" ref="V44" si="118">U44*(1+$S44)</f>
        <v>6.9457500000000012</v>
      </c>
      <c r="W44" s="154">
        <f t="shared" ref="W44" si="119">V44*(1+$S44)</f>
        <v>7.2930375000000014</v>
      </c>
      <c r="X44" s="154">
        <f t="shared" ref="X44" si="120">W44*(1+$S44)</f>
        <v>7.6576893750000021</v>
      </c>
      <c r="Y44" s="154">
        <f t="shared" ref="Y44" si="121">X44*(1+$S44)</f>
        <v>8.0405738437500034</v>
      </c>
      <c r="Z44" s="154">
        <f t="shared" ref="Z44" si="122">Y44*(1+$S44)</f>
        <v>8.4426025359375032</v>
      </c>
      <c r="AA44" s="154">
        <f t="shared" ref="AA44" si="123">Z44*(1+$S44)</f>
        <v>8.8647326627343794</v>
      </c>
      <c r="AB44" s="154">
        <f t="shared" ref="AB44" si="124">AA44*(1+$S44)</f>
        <v>9.3079692958710982</v>
      </c>
      <c r="AC44" s="154">
        <f t="shared" ref="AC44" si="125">AB44*(1+$S44)</f>
        <v>9.7733677606646534</v>
      </c>
      <c r="AD44" s="138" t="e">
        <f t="shared" ref="AD44" si="126">((AC44/G44)^(1/($AC$3-$H$1) ))-1</f>
        <v>#DIV/0!</v>
      </c>
      <c r="AE44" s="31">
        <f t="shared" si="16"/>
        <v>0.05</v>
      </c>
      <c r="AF44" s="146">
        <f t="shared" si="1"/>
        <v>60.36491852175228</v>
      </c>
    </row>
    <row r="45" spans="2:32" x14ac:dyDescent="0.2">
      <c r="B45" s="20" t="s">
        <v>427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425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426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27">C25/C42</f>
        <v>0</v>
      </c>
      <c r="D50" s="133">
        <f t="shared" si="127"/>
        <v>0</v>
      </c>
      <c r="E50" s="133">
        <f t="shared" si="127"/>
        <v>0</v>
      </c>
      <c r="F50" s="133">
        <f t="shared" si="127"/>
        <v>0</v>
      </c>
      <c r="G50" s="133">
        <f t="shared" si="127"/>
        <v>72.631578947368425</v>
      </c>
      <c r="H50" s="133" t="e">
        <f t="shared" si="127"/>
        <v>#DIV/0!</v>
      </c>
      <c r="I50" s="133" t="e">
        <f t="shared" si="127"/>
        <v>#DIV/0!</v>
      </c>
      <c r="J50" s="133" t="e">
        <f t="shared" si="127"/>
        <v>#DIV/0!</v>
      </c>
      <c r="K50" s="133" t="e">
        <f t="shared" si="127"/>
        <v>#DIV/0!</v>
      </c>
      <c r="L50" s="133" t="e">
        <f t="shared" si="127"/>
        <v>#DIV/0!</v>
      </c>
      <c r="M50" s="133" t="e">
        <f t="shared" si="127"/>
        <v>#DIV/0!</v>
      </c>
      <c r="N50" s="133" t="e">
        <f t="shared" si="127"/>
        <v>#DIV/0!</v>
      </c>
      <c r="O50" s="133">
        <f t="shared" si="127"/>
        <v>72.631578947368425</v>
      </c>
      <c r="P50" s="133">
        <f t="shared" si="127"/>
        <v>81.403508771929822</v>
      </c>
      <c r="Q50" s="133">
        <f t="shared" ref="Q50" si="128">Q25/Q42</f>
        <v>93.135563987581918</v>
      </c>
      <c r="R50" s="118">
        <f>((P50/G50)^(1/($H$2-$H$1) ))-1</f>
        <v>1.2749319262871595E-2</v>
      </c>
      <c r="S50" s="128"/>
      <c r="T50" s="158">
        <f t="shared" ref="T50:AC50" si="129">T25/T42</f>
        <v>101.11861232937466</v>
      </c>
      <c r="U50" s="158">
        <f t="shared" si="129"/>
        <v>109.78592195760677</v>
      </c>
      <c r="V50" s="158">
        <f t="shared" si="129"/>
        <v>119.19614383968738</v>
      </c>
      <c r="W50" s="158">
        <f t="shared" si="129"/>
        <v>129.41295616880345</v>
      </c>
      <c r="X50" s="158">
        <f t="shared" si="129"/>
        <v>140.50549526898661</v>
      </c>
      <c r="Y50" s="158">
        <f t="shared" si="129"/>
        <v>152.54882343489973</v>
      </c>
      <c r="Z50" s="158">
        <f t="shared" si="129"/>
        <v>165.62443687217686</v>
      </c>
      <c r="AA50" s="158">
        <f t="shared" si="129"/>
        <v>179.82081717550631</v>
      </c>
      <c r="AB50" s="158">
        <f t="shared" si="129"/>
        <v>195.23403007626399</v>
      </c>
      <c r="AC50" s="158">
        <f t="shared" si="129"/>
        <v>211.96837551137236</v>
      </c>
      <c r="AD50" s="138">
        <f t="shared" ref="AD50" si="130">((AC50/G50)^(1/($AC$3-$H$1) ))-1</f>
        <v>5.5011708132303827E-2</v>
      </c>
      <c r="AE50" s="31">
        <f t="shared" si="16"/>
        <v>0.05</v>
      </c>
      <c r="AF50" s="146">
        <f t="shared" ref="AF50:AF51" si="131">(AC50*(1+AE50))/($C$1-AE50)</f>
        <v>1309.2164369820059</v>
      </c>
    </row>
    <row r="51" spans="2:32" x14ac:dyDescent="0.2">
      <c r="B51" s="20" t="s">
        <v>304</v>
      </c>
      <c r="C51" s="133">
        <f t="shared" ref="C51:P51" si="132">C27/C42</f>
        <v>0</v>
      </c>
      <c r="D51" s="133">
        <f t="shared" si="132"/>
        <v>0</v>
      </c>
      <c r="E51" s="133">
        <f t="shared" si="132"/>
        <v>0</v>
      </c>
      <c r="F51" s="133">
        <f t="shared" si="132"/>
        <v>0</v>
      </c>
      <c r="G51" s="133">
        <f t="shared" si="132"/>
        <v>19.649122807017545</v>
      </c>
      <c r="H51" s="133" t="e">
        <f t="shared" si="132"/>
        <v>#DIV/0!</v>
      </c>
      <c r="I51" s="133" t="e">
        <f t="shared" si="132"/>
        <v>#DIV/0!</v>
      </c>
      <c r="J51" s="133" t="e">
        <f t="shared" si="132"/>
        <v>#DIV/0!</v>
      </c>
      <c r="K51" s="133" t="e">
        <f t="shared" si="132"/>
        <v>#DIV/0!</v>
      </c>
      <c r="L51" s="133" t="e">
        <f t="shared" si="132"/>
        <v>#DIV/0!</v>
      </c>
      <c r="M51" s="133" t="e">
        <f t="shared" si="132"/>
        <v>#DIV/0!</v>
      </c>
      <c r="N51" s="133" t="e">
        <f t="shared" si="132"/>
        <v>#DIV/0!</v>
      </c>
      <c r="O51" s="133">
        <f t="shared" si="132"/>
        <v>19.649122807017545</v>
      </c>
      <c r="P51" s="133">
        <f t="shared" si="132"/>
        <v>23.859649122807017</v>
      </c>
      <c r="Q51" s="133">
        <f t="shared" ref="Q51" si="133">Q27/Q42</f>
        <v>31.04518799586064</v>
      </c>
      <c r="R51" s="118">
        <f>((P51/G51)^(1/($H$2-$H$1) ))-1</f>
        <v>2.1807267658944696E-2</v>
      </c>
      <c r="S51" s="128"/>
      <c r="T51" s="158">
        <f t="shared" ref="T51:AC51" si="134">T27/T42</f>
        <v>33.706204109791557</v>
      </c>
      <c r="U51" s="158">
        <f t="shared" si="134"/>
        <v>36.595307319202263</v>
      </c>
      <c r="V51" s="158">
        <f t="shared" si="134"/>
        <v>39.73204794656246</v>
      </c>
      <c r="W51" s="158">
        <f t="shared" si="134"/>
        <v>43.137652056267818</v>
      </c>
      <c r="X51" s="158">
        <f t="shared" si="134"/>
        <v>46.835165089662205</v>
      </c>
      <c r="Y51" s="158">
        <f t="shared" si="134"/>
        <v>50.849607811633255</v>
      </c>
      <c r="Z51" s="158">
        <f t="shared" si="134"/>
        <v>55.208145624058965</v>
      </c>
      <c r="AA51" s="158">
        <f t="shared" si="134"/>
        <v>59.940272391835457</v>
      </c>
      <c r="AB51" s="158">
        <f t="shared" si="134"/>
        <v>65.078010025421364</v>
      </c>
      <c r="AC51" s="158">
        <f t="shared" si="134"/>
        <v>70.656125170457486</v>
      </c>
      <c r="AD51" s="138">
        <f t="shared" ref="AD51" si="135">((AC51/G51)^(1/($AC$3-$H$1) ))-1</f>
        <v>6.6081317124747629E-2</v>
      </c>
      <c r="AE51" s="31">
        <f t="shared" si="16"/>
        <v>0.05</v>
      </c>
      <c r="AF51" s="146">
        <f t="shared" si="131"/>
        <v>436.40547899400218</v>
      </c>
    </row>
    <row r="52" spans="2:32" x14ac:dyDescent="0.2">
      <c r="B52" s="20" t="s">
        <v>428</v>
      </c>
      <c r="C52" s="133"/>
      <c r="D52" s="133"/>
      <c r="E52" s="133"/>
      <c r="F52" s="133"/>
      <c r="G52" s="133">
        <f>G38-G40</f>
        <v>42</v>
      </c>
      <c r="H52" s="133">
        <f t="shared" ref="H52:P52" si="136">H38-H40</f>
        <v>0</v>
      </c>
      <c r="I52" s="133">
        <f t="shared" si="136"/>
        <v>0</v>
      </c>
      <c r="J52" s="133">
        <f t="shared" si="136"/>
        <v>0</v>
      </c>
      <c r="K52" s="133">
        <f t="shared" si="136"/>
        <v>0</v>
      </c>
      <c r="L52" s="133">
        <f t="shared" si="136"/>
        <v>0</v>
      </c>
      <c r="M52" s="133">
        <f t="shared" si="136"/>
        <v>0</v>
      </c>
      <c r="N52" s="133">
        <f t="shared" si="136"/>
        <v>0</v>
      </c>
      <c r="O52" s="133">
        <f t="shared" si="136"/>
        <v>42</v>
      </c>
      <c r="P52" s="133">
        <f t="shared" si="136"/>
        <v>46</v>
      </c>
      <c r="Q52" s="133">
        <f t="shared" ref="Q52" si="137">Q38-Q40</f>
        <v>51.101399999999984</v>
      </c>
      <c r="R52" s="118">
        <f>((P52/G52)^(1/($H$2-$H$1) ))-1</f>
        <v>1.015923349886716E-2</v>
      </c>
      <c r="S52" s="128"/>
      <c r="T52" s="133">
        <f t="shared" ref="T52:AC52" si="138">T38-T40</f>
        <v>58.255595999999997</v>
      </c>
      <c r="U52" s="133">
        <f t="shared" si="138"/>
        <v>66.41137943999999</v>
      </c>
      <c r="V52" s="133">
        <f t="shared" si="138"/>
        <v>75.708972561599978</v>
      </c>
      <c r="W52" s="133">
        <f t="shared" si="138"/>
        <v>86.30822872022398</v>
      </c>
      <c r="X52" s="133">
        <f t="shared" si="138"/>
        <v>98.391380741055372</v>
      </c>
      <c r="Y52" s="133">
        <f t="shared" si="138"/>
        <v>112.16617404480309</v>
      </c>
      <c r="Z52" s="133">
        <f t="shared" si="138"/>
        <v>127.86943841107558</v>
      </c>
      <c r="AA52" s="133">
        <f t="shared" si="138"/>
        <v>145.77115978862616</v>
      </c>
      <c r="AB52" s="133">
        <f t="shared" si="138"/>
        <v>166.17912215903385</v>
      </c>
      <c r="AC52" s="133">
        <f t="shared" si="138"/>
        <v>189.44419926129865</v>
      </c>
      <c r="AD52" s="138">
        <f t="shared" ref="AD52" si="139">((AC52/G52)^(1/($AC$3-$H$1) ))-1</f>
        <v>7.8230471395849266E-2</v>
      </c>
      <c r="AE52" s="31">
        <f t="shared" si="16"/>
        <v>0.05</v>
      </c>
      <c r="AF52" s="146">
        <f t="shared" ref="AF52" si="140">(AC52*(1+AE52))/($C$1-AE52)</f>
        <v>1170.0965248491975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41">C40/C42</f>
        <v>0</v>
      </c>
      <c r="D54" s="25">
        <f t="shared" si="141"/>
        <v>0</v>
      </c>
      <c r="E54" s="25">
        <f t="shared" si="141"/>
        <v>0</v>
      </c>
      <c r="F54" s="133">
        <f t="shared" si="141"/>
        <v>0</v>
      </c>
      <c r="G54" s="133">
        <f t="shared" si="141"/>
        <v>37.543859649122808</v>
      </c>
      <c r="H54" s="133" t="e">
        <f t="shared" si="141"/>
        <v>#DIV/0!</v>
      </c>
      <c r="I54" s="133" t="e">
        <f t="shared" si="141"/>
        <v>#DIV/0!</v>
      </c>
      <c r="J54" s="133" t="e">
        <f t="shared" si="141"/>
        <v>#DIV/0!</v>
      </c>
      <c r="K54" s="133" t="e">
        <f t="shared" si="141"/>
        <v>#DIV/0!</v>
      </c>
      <c r="L54" s="133" t="e">
        <f t="shared" si="141"/>
        <v>#DIV/0!</v>
      </c>
      <c r="M54" s="133" t="e">
        <f t="shared" si="141"/>
        <v>#DIV/0!</v>
      </c>
      <c r="N54" s="133" t="e">
        <f t="shared" si="141"/>
        <v>#DIV/0!</v>
      </c>
      <c r="O54" s="133">
        <f t="shared" si="141"/>
        <v>37.543859649122808</v>
      </c>
      <c r="P54" s="133">
        <f t="shared" si="141"/>
        <v>40</v>
      </c>
      <c r="Q54" s="133">
        <f t="shared" ref="Q54" si="142">Q40/Q42</f>
        <v>44.722318040703691</v>
      </c>
      <c r="R54" s="118">
        <f>((P54/G54)^(1/($H$2-$H$1) ))-1</f>
        <v>7.0659148168414898E-3</v>
      </c>
      <c r="S54" s="128"/>
      <c r="T54" s="158">
        <f t="shared" ref="T54:AC54" si="143">T40/T42</f>
        <v>48.555659587049725</v>
      </c>
      <c r="U54" s="158">
        <f t="shared" si="143"/>
        <v>52.717573265939706</v>
      </c>
      <c r="V54" s="158">
        <f t="shared" si="143"/>
        <v>57.236222403020257</v>
      </c>
      <c r="W54" s="158">
        <f t="shared" si="143"/>
        <v>62.142184323279146</v>
      </c>
      <c r="X54" s="158">
        <f t="shared" si="143"/>
        <v>67.468657265274501</v>
      </c>
      <c r="Y54" s="158">
        <f t="shared" si="143"/>
        <v>73.251685030869467</v>
      </c>
      <c r="Z54" s="158">
        <f t="shared" si="143"/>
        <v>79.530400890658271</v>
      </c>
      <c r="AA54" s="158">
        <f t="shared" si="143"/>
        <v>86.347292395571841</v>
      </c>
      <c r="AB54" s="158">
        <f t="shared" si="143"/>
        <v>93.748488886620862</v>
      </c>
      <c r="AC54" s="158">
        <f t="shared" si="143"/>
        <v>101.78407364833122</v>
      </c>
      <c r="AD54" s="138">
        <f t="shared" ref="AD54:AD68" si="144">((AC54/G54)^(1/($AC$3-$H$1) ))-1</f>
        <v>5.113148655522437E-2</v>
      </c>
      <c r="AE54" s="31">
        <f t="shared" si="16"/>
        <v>0.05</v>
      </c>
      <c r="AF54" s="146">
        <f t="shared" ref="AF54:AF82" si="145">(AC54*(1+AE54))/($C$1-AE54)</f>
        <v>628.66633723969289</v>
      </c>
    </row>
    <row r="55" spans="2:32" x14ac:dyDescent="0.2">
      <c r="B55" s="20" t="s">
        <v>388</v>
      </c>
      <c r="C55" s="133">
        <f t="shared" ref="C55:F55" si="146">C20/C42</f>
        <v>0</v>
      </c>
      <c r="D55" s="133">
        <f t="shared" si="146"/>
        <v>0</v>
      </c>
      <c r="E55" s="133">
        <f t="shared" si="146"/>
        <v>0</v>
      </c>
      <c r="F55" s="133">
        <f t="shared" si="146"/>
        <v>0</v>
      </c>
      <c r="G55" s="133">
        <f>G20/G42</f>
        <v>34.385964912280699</v>
      </c>
      <c r="H55" s="133" t="e">
        <f t="shared" ref="H55:P55" si="147">H20/H42</f>
        <v>#DIV/0!</v>
      </c>
      <c r="I55" s="133" t="e">
        <f t="shared" si="147"/>
        <v>#DIV/0!</v>
      </c>
      <c r="J55" s="133" t="e">
        <f t="shared" si="147"/>
        <v>#DIV/0!</v>
      </c>
      <c r="K55" s="133" t="e">
        <f t="shared" si="147"/>
        <v>#DIV/0!</v>
      </c>
      <c r="L55" s="133" t="e">
        <f t="shared" si="147"/>
        <v>#DIV/0!</v>
      </c>
      <c r="M55" s="133" t="e">
        <f t="shared" si="147"/>
        <v>#DIV/0!</v>
      </c>
      <c r="N55" s="133" t="e">
        <f t="shared" si="147"/>
        <v>#DIV/0!</v>
      </c>
      <c r="O55" s="133">
        <f t="shared" si="147"/>
        <v>34.385964912280699</v>
      </c>
      <c r="P55" s="133">
        <f t="shared" si="147"/>
        <v>31.578947368421051</v>
      </c>
      <c r="Q55" s="133">
        <f t="shared" ref="Q55" si="148">Q20/Q42</f>
        <v>0</v>
      </c>
      <c r="R55" s="118">
        <f>((P55/G55)^(1/($H$2-$H$1) ))-1</f>
        <v>-9.4173550376104309E-3</v>
      </c>
      <c r="S55" s="128"/>
      <c r="T55" s="133">
        <f t="shared" ref="T55:AC55" si="149">T20/T42</f>
        <v>0</v>
      </c>
      <c r="U55" s="133">
        <f t="shared" si="149"/>
        <v>0</v>
      </c>
      <c r="V55" s="133">
        <f t="shared" si="149"/>
        <v>0</v>
      </c>
      <c r="W55" s="133">
        <f t="shared" si="149"/>
        <v>0</v>
      </c>
      <c r="X55" s="133">
        <f t="shared" si="149"/>
        <v>0</v>
      </c>
      <c r="Y55" s="133">
        <f t="shared" si="149"/>
        <v>0</v>
      </c>
      <c r="Z55" s="133">
        <f t="shared" si="149"/>
        <v>0</v>
      </c>
      <c r="AA55" s="133">
        <f t="shared" si="149"/>
        <v>0</v>
      </c>
      <c r="AB55" s="133">
        <f t="shared" si="149"/>
        <v>0</v>
      </c>
      <c r="AC55" s="133">
        <f t="shared" si="149"/>
        <v>0</v>
      </c>
      <c r="AD55" s="138">
        <f t="shared" ref="AD55" si="150">((AC55/G55)^(1/($AC$3-$H$1) ))-1</f>
        <v>-1</v>
      </c>
      <c r="AE55" s="31">
        <f t="shared" si="16"/>
        <v>0.05</v>
      </c>
      <c r="AF55" s="146">
        <f t="shared" si="145"/>
        <v>0</v>
      </c>
    </row>
    <row r="56" spans="2:32" x14ac:dyDescent="0.2">
      <c r="B56" s="20" t="s">
        <v>245</v>
      </c>
      <c r="C56" s="25">
        <f t="shared" ref="C56:P56" si="151">C7/C42</f>
        <v>0</v>
      </c>
      <c r="D56" s="25">
        <f t="shared" si="151"/>
        <v>0</v>
      </c>
      <c r="E56" s="25">
        <f t="shared" si="151"/>
        <v>0</v>
      </c>
      <c r="F56" s="133">
        <f t="shared" si="151"/>
        <v>0</v>
      </c>
      <c r="G56" s="133">
        <f t="shared" si="151"/>
        <v>132.28070175438597</v>
      </c>
      <c r="H56" s="133" t="e">
        <f t="shared" si="151"/>
        <v>#DIV/0!</v>
      </c>
      <c r="I56" s="133" t="e">
        <f t="shared" si="151"/>
        <v>#DIV/0!</v>
      </c>
      <c r="J56" s="133" t="e">
        <f t="shared" si="151"/>
        <v>#DIV/0!</v>
      </c>
      <c r="K56" s="133" t="e">
        <f t="shared" si="151"/>
        <v>#DIV/0!</v>
      </c>
      <c r="L56" s="133" t="e">
        <f t="shared" si="151"/>
        <v>#DIV/0!</v>
      </c>
      <c r="M56" s="133" t="e">
        <f t="shared" si="151"/>
        <v>#DIV/0!</v>
      </c>
      <c r="N56" s="133" t="e">
        <f t="shared" si="151"/>
        <v>#DIV/0!</v>
      </c>
      <c r="O56" s="133">
        <f t="shared" si="151"/>
        <v>132.28070175438597</v>
      </c>
      <c r="P56" s="133">
        <f t="shared" si="151"/>
        <v>148.7719298245614</v>
      </c>
      <c r="Q56" s="133">
        <f t="shared" ref="Q56" si="152">Q7/Q42</f>
        <v>166.95412211107279</v>
      </c>
      <c r="R56" s="118">
        <f>((P56/G56)^(1/($H$2-$H$1) ))-1</f>
        <v>1.3139830706634825E-2</v>
      </c>
      <c r="S56" s="128"/>
      <c r="T56" s="158">
        <f t="shared" ref="T56:AC56" si="153">T7/T42</f>
        <v>181.26447543487905</v>
      </c>
      <c r="U56" s="158">
        <f t="shared" si="153"/>
        <v>196.80143047215441</v>
      </c>
      <c r="V56" s="158">
        <f t="shared" si="153"/>
        <v>213.6701245126248</v>
      </c>
      <c r="W56" s="158">
        <f t="shared" si="153"/>
        <v>231.98470661370692</v>
      </c>
      <c r="X56" s="158">
        <f t="shared" si="153"/>
        <v>251.86911003773898</v>
      </c>
      <c r="Y56" s="158">
        <f t="shared" si="153"/>
        <v>273.4578908981166</v>
      </c>
      <c r="Z56" s="158">
        <f t="shared" si="153"/>
        <v>296.89713868938372</v>
      </c>
      <c r="AA56" s="158">
        <f t="shared" si="153"/>
        <v>322.34546486275946</v>
      </c>
      <c r="AB56" s="158">
        <f t="shared" si="153"/>
        <v>349.9750761367103</v>
      </c>
      <c r="AC56" s="158">
        <f t="shared" si="153"/>
        <v>379.97293980557117</v>
      </c>
      <c r="AD56" s="138">
        <f t="shared" si="144"/>
        <v>5.4175233822730373E-2</v>
      </c>
      <c r="AE56" s="31">
        <f t="shared" si="16"/>
        <v>0.05</v>
      </c>
      <c r="AF56" s="146">
        <f t="shared" si="145"/>
        <v>2346.8916870344106</v>
      </c>
    </row>
    <row r="57" spans="2:32" x14ac:dyDescent="0.2">
      <c r="B57" s="20" t="s">
        <v>246</v>
      </c>
      <c r="C57" s="127">
        <f t="shared" ref="C57:P57" si="154">C6/C42</f>
        <v>0</v>
      </c>
      <c r="D57" s="127">
        <f t="shared" si="154"/>
        <v>0</v>
      </c>
      <c r="E57" s="127">
        <f t="shared" si="154"/>
        <v>0</v>
      </c>
      <c r="F57" s="144">
        <f t="shared" si="154"/>
        <v>0</v>
      </c>
      <c r="G57" s="144">
        <f t="shared" si="154"/>
        <v>122.10526315789474</v>
      </c>
      <c r="H57" s="144" t="e">
        <f t="shared" si="154"/>
        <v>#DIV/0!</v>
      </c>
      <c r="I57" s="144" t="e">
        <f t="shared" si="154"/>
        <v>#DIV/0!</v>
      </c>
      <c r="J57" s="144" t="e">
        <f t="shared" si="154"/>
        <v>#DIV/0!</v>
      </c>
      <c r="K57" s="144" t="e">
        <f t="shared" si="154"/>
        <v>#DIV/0!</v>
      </c>
      <c r="L57" s="144" t="e">
        <f t="shared" si="154"/>
        <v>#DIV/0!</v>
      </c>
      <c r="M57" s="144" t="e">
        <f t="shared" si="154"/>
        <v>#DIV/0!</v>
      </c>
      <c r="N57" s="144" t="e">
        <f t="shared" si="154"/>
        <v>#DIV/0!</v>
      </c>
      <c r="O57" s="144">
        <f t="shared" si="154"/>
        <v>122.10526315789474</v>
      </c>
      <c r="P57" s="144">
        <f t="shared" si="154"/>
        <v>138.59649122807016</v>
      </c>
      <c r="Q57" s="144">
        <f t="shared" ref="Q57" si="155">Q6/Q42</f>
        <v>157.29561917902726</v>
      </c>
      <c r="R57" s="118">
        <f>((P57/G57)^(1/($H$2-$H$1) ))-1</f>
        <v>1.4175452793824928E-2</v>
      </c>
      <c r="S57" s="128"/>
      <c r="T57" s="157">
        <f t="shared" ref="T57:AC57" si="156">T6/T42</f>
        <v>170.77810082294388</v>
      </c>
      <c r="U57" s="157">
        <f t="shared" si="156"/>
        <v>185.41622375062479</v>
      </c>
      <c r="V57" s="157">
        <f t="shared" si="156"/>
        <v>201.30904292924978</v>
      </c>
      <c r="W57" s="157">
        <f t="shared" si="156"/>
        <v>218.56410375175693</v>
      </c>
      <c r="X57" s="157">
        <f t="shared" si="156"/>
        <v>237.29816978762184</v>
      </c>
      <c r="Y57" s="157">
        <f t="shared" si="156"/>
        <v>257.63801291227514</v>
      </c>
      <c r="Z57" s="157">
        <f t="shared" si="156"/>
        <v>279.7212711618987</v>
      </c>
      <c r="AA57" s="157">
        <f t="shared" si="156"/>
        <v>303.69738011863291</v>
      </c>
      <c r="AB57" s="157">
        <f t="shared" si="156"/>
        <v>329.72858412880146</v>
      </c>
      <c r="AC57" s="157">
        <f t="shared" si="156"/>
        <v>357.99103419698446</v>
      </c>
      <c r="AD57" s="138">
        <f t="shared" si="144"/>
        <v>5.525371147068836E-2</v>
      </c>
      <c r="AE57" s="31">
        <f t="shared" si="16"/>
        <v>0.05</v>
      </c>
      <c r="AF57" s="146">
        <f t="shared" si="145"/>
        <v>2211.1210935696099</v>
      </c>
    </row>
    <row r="58" spans="2:32" x14ac:dyDescent="0.2">
      <c r="B58" s="20" t="s">
        <v>247</v>
      </c>
      <c r="C58" s="127">
        <f t="shared" ref="C58:P58" si="157">C10/C42</f>
        <v>0</v>
      </c>
      <c r="D58" s="127">
        <f t="shared" si="157"/>
        <v>0</v>
      </c>
      <c r="E58" s="127">
        <f t="shared" si="157"/>
        <v>0</v>
      </c>
      <c r="F58" s="144">
        <f t="shared" si="157"/>
        <v>0</v>
      </c>
      <c r="G58" s="144">
        <f t="shared" si="157"/>
        <v>0</v>
      </c>
      <c r="H58" s="144" t="e">
        <f t="shared" si="157"/>
        <v>#DIV/0!</v>
      </c>
      <c r="I58" s="144" t="e">
        <f t="shared" si="157"/>
        <v>#DIV/0!</v>
      </c>
      <c r="J58" s="144" t="e">
        <f t="shared" si="157"/>
        <v>#DIV/0!</v>
      </c>
      <c r="K58" s="144" t="e">
        <f t="shared" si="157"/>
        <v>#DIV/0!</v>
      </c>
      <c r="L58" s="144" t="e">
        <f t="shared" si="157"/>
        <v>#DIV/0!</v>
      </c>
      <c r="M58" s="144" t="e">
        <f t="shared" si="157"/>
        <v>#DIV/0!</v>
      </c>
      <c r="N58" s="144" t="e">
        <f t="shared" si="157"/>
        <v>#DIV/0!</v>
      </c>
      <c r="O58" s="144">
        <f t="shared" si="157"/>
        <v>0</v>
      </c>
      <c r="P58" s="144">
        <f t="shared" si="157"/>
        <v>0</v>
      </c>
      <c r="Q58" s="144">
        <f t="shared" ref="Q58" si="158">Q10/Q42</f>
        <v>0</v>
      </c>
      <c r="R58" s="118" t="e">
        <f>((P58/G58)^(1/($H$2-$H$1) ))-1</f>
        <v>#DIV/0!</v>
      </c>
      <c r="S58" s="128"/>
      <c r="T58" s="157">
        <f t="shared" ref="T58:AC58" si="159">T10/T42</f>
        <v>0</v>
      </c>
      <c r="U58" s="157">
        <f t="shared" si="159"/>
        <v>0</v>
      </c>
      <c r="V58" s="157">
        <f t="shared" si="159"/>
        <v>0</v>
      </c>
      <c r="W58" s="157">
        <f t="shared" si="159"/>
        <v>0</v>
      </c>
      <c r="X58" s="157">
        <f t="shared" si="159"/>
        <v>0</v>
      </c>
      <c r="Y58" s="157">
        <f t="shared" si="159"/>
        <v>0</v>
      </c>
      <c r="Z58" s="157">
        <f t="shared" si="159"/>
        <v>0</v>
      </c>
      <c r="AA58" s="157">
        <f t="shared" si="159"/>
        <v>0</v>
      </c>
      <c r="AB58" s="157">
        <f t="shared" si="159"/>
        <v>0</v>
      </c>
      <c r="AC58" s="157">
        <f t="shared" si="159"/>
        <v>0</v>
      </c>
      <c r="AD58" s="138" t="e">
        <f t="shared" si="144"/>
        <v>#DIV/0!</v>
      </c>
      <c r="AE58" s="31">
        <f t="shared" si="16"/>
        <v>0.05</v>
      </c>
      <c r="AF58" s="146">
        <f t="shared" si="145"/>
        <v>0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60">(C7-C10)/C42</f>
        <v>0</v>
      </c>
      <c r="D60" s="127">
        <f t="shared" si="160"/>
        <v>0</v>
      </c>
      <c r="E60" s="127">
        <f t="shared" si="160"/>
        <v>0</v>
      </c>
      <c r="F60" s="144">
        <f t="shared" si="160"/>
        <v>0</v>
      </c>
      <c r="G60" s="144">
        <f t="shared" si="160"/>
        <v>132.28070175438597</v>
      </c>
      <c r="H60" s="144" t="e">
        <f t="shared" si="160"/>
        <v>#DIV/0!</v>
      </c>
      <c r="I60" s="144" t="e">
        <f t="shared" si="160"/>
        <v>#DIV/0!</v>
      </c>
      <c r="J60" s="144" t="e">
        <f t="shared" si="160"/>
        <v>#DIV/0!</v>
      </c>
      <c r="K60" s="144" t="e">
        <f t="shared" si="160"/>
        <v>#DIV/0!</v>
      </c>
      <c r="L60" s="144" t="e">
        <f t="shared" si="160"/>
        <v>#DIV/0!</v>
      </c>
      <c r="M60" s="144" t="e">
        <f t="shared" si="160"/>
        <v>#DIV/0!</v>
      </c>
      <c r="N60" s="144" t="e">
        <f t="shared" si="160"/>
        <v>#DIV/0!</v>
      </c>
      <c r="O60" s="144">
        <f t="shared" si="160"/>
        <v>132.28070175438597</v>
      </c>
      <c r="P60" s="144">
        <f t="shared" si="160"/>
        <v>148.7719298245614</v>
      </c>
      <c r="Q60" s="144">
        <f t="shared" ref="Q60" si="161">(Q7-Q10)/Q42</f>
        <v>166.95412211107279</v>
      </c>
      <c r="R60" s="118">
        <f>((P60/G60)^(1/($H$2-$H$1) ))-1</f>
        <v>1.3139830706634825E-2</v>
      </c>
      <c r="S60" s="128"/>
      <c r="T60" s="157">
        <f t="shared" ref="T60:AC60" si="162">(T7-T10)/T42</f>
        <v>181.26447543487905</v>
      </c>
      <c r="U60" s="157">
        <f t="shared" si="162"/>
        <v>196.80143047215441</v>
      </c>
      <c r="V60" s="157">
        <f t="shared" si="162"/>
        <v>213.6701245126248</v>
      </c>
      <c r="W60" s="157">
        <f t="shared" si="162"/>
        <v>231.98470661370692</v>
      </c>
      <c r="X60" s="157">
        <f t="shared" si="162"/>
        <v>251.86911003773898</v>
      </c>
      <c r="Y60" s="157">
        <f t="shared" si="162"/>
        <v>273.4578908981166</v>
      </c>
      <c r="Z60" s="157">
        <f t="shared" si="162"/>
        <v>296.89713868938372</v>
      </c>
      <c r="AA60" s="157">
        <f t="shared" si="162"/>
        <v>322.34546486275946</v>
      </c>
      <c r="AB60" s="157">
        <f t="shared" si="162"/>
        <v>349.9750761367103</v>
      </c>
      <c r="AC60" s="157">
        <f t="shared" si="162"/>
        <v>379.97293980557117</v>
      </c>
      <c r="AD60" s="138">
        <f t="shared" si="144"/>
        <v>5.4175233822730373E-2</v>
      </c>
      <c r="AE60" s="31">
        <f t="shared" si="16"/>
        <v>0.05</v>
      </c>
      <c r="AF60" s="146">
        <f t="shared" si="145"/>
        <v>2346.8916870344106</v>
      </c>
    </row>
    <row r="61" spans="2:32" x14ac:dyDescent="0.2">
      <c r="B61" s="20" t="s">
        <v>271</v>
      </c>
      <c r="C61" s="127">
        <f t="shared" ref="C61:P61" si="163">(C7-C10-C9)/C42</f>
        <v>0</v>
      </c>
      <c r="D61" s="127">
        <f t="shared" si="163"/>
        <v>0</v>
      </c>
      <c r="E61" s="127">
        <f t="shared" si="163"/>
        <v>0</v>
      </c>
      <c r="F61" s="144">
        <f t="shared" si="163"/>
        <v>0</v>
      </c>
      <c r="G61" s="144">
        <f t="shared" si="163"/>
        <v>117.54385964912281</v>
      </c>
      <c r="H61" s="144" t="e">
        <f t="shared" si="163"/>
        <v>#DIV/0!</v>
      </c>
      <c r="I61" s="144" t="e">
        <f t="shared" si="163"/>
        <v>#DIV/0!</v>
      </c>
      <c r="J61" s="144" t="e">
        <f t="shared" si="163"/>
        <v>#DIV/0!</v>
      </c>
      <c r="K61" s="144" t="e">
        <f t="shared" si="163"/>
        <v>#DIV/0!</v>
      </c>
      <c r="L61" s="144" t="e">
        <f t="shared" si="163"/>
        <v>#DIV/0!</v>
      </c>
      <c r="M61" s="144" t="e">
        <f t="shared" si="163"/>
        <v>#DIV/0!</v>
      </c>
      <c r="N61" s="144" t="e">
        <f t="shared" si="163"/>
        <v>#DIV/0!</v>
      </c>
      <c r="O61" s="144">
        <f t="shared" si="163"/>
        <v>117.54385964912281</v>
      </c>
      <c r="P61" s="144">
        <f t="shared" si="163"/>
        <v>129.12280701754386</v>
      </c>
      <c r="Q61" s="144">
        <f t="shared" ref="Q61" si="164">(Q7-Q10-Q9)/Q42</f>
        <v>137.63366678164886</v>
      </c>
      <c r="R61" s="118">
        <f>((P61/G61)^(1/($H$2-$H$1) ))-1</f>
        <v>1.0493834350889353E-2</v>
      </c>
      <c r="S61" s="128"/>
      <c r="T61" s="157">
        <f t="shared" ref="T61:AC61" si="165">(T7-T10-T9)/T42</f>
        <v>149.43083822007591</v>
      </c>
      <c r="U61" s="157">
        <f t="shared" si="165"/>
        <v>162.23919578179672</v>
      </c>
      <c r="V61" s="157">
        <f t="shared" si="165"/>
        <v>176.1454125630936</v>
      </c>
      <c r="W61" s="157">
        <f t="shared" si="165"/>
        <v>191.24359078278732</v>
      </c>
      <c r="X61" s="157">
        <f t="shared" si="165"/>
        <v>207.63589856416911</v>
      </c>
      <c r="Y61" s="157">
        <f t="shared" si="165"/>
        <v>225.43326129824072</v>
      </c>
      <c r="Z61" s="157">
        <f t="shared" si="165"/>
        <v>244.75611226666135</v>
      </c>
      <c r="AA61" s="157">
        <f t="shared" si="165"/>
        <v>265.73520760380376</v>
      </c>
      <c r="AB61" s="157">
        <f t="shared" si="165"/>
        <v>288.51251111270125</v>
      </c>
      <c r="AC61" s="157">
        <f t="shared" si="165"/>
        <v>313.24215492236135</v>
      </c>
      <c r="AD61" s="138">
        <f t="shared" si="144"/>
        <v>5.0229015712013769E-2</v>
      </c>
      <c r="AE61" s="31">
        <f t="shared" si="16"/>
        <v>0.05</v>
      </c>
      <c r="AF61" s="146">
        <f t="shared" si="145"/>
        <v>1934.7309568734086</v>
      </c>
    </row>
    <row r="62" spans="2:32" x14ac:dyDescent="0.2">
      <c r="B62" s="20" t="s">
        <v>276</v>
      </c>
      <c r="C62" s="127">
        <f t="shared" ref="C62:P62" si="166">(C7+C15-C10-C9)/C42</f>
        <v>0</v>
      </c>
      <c r="D62" s="127">
        <f t="shared" si="166"/>
        <v>0</v>
      </c>
      <c r="E62" s="127">
        <f t="shared" si="166"/>
        <v>0</v>
      </c>
      <c r="F62" s="144">
        <f t="shared" si="166"/>
        <v>0</v>
      </c>
      <c r="G62" s="144">
        <f t="shared" si="166"/>
        <v>147.71929824561403</v>
      </c>
      <c r="H62" s="144" t="e">
        <f t="shared" si="166"/>
        <v>#DIV/0!</v>
      </c>
      <c r="I62" s="144" t="e">
        <f t="shared" si="166"/>
        <v>#DIV/0!</v>
      </c>
      <c r="J62" s="144" t="e">
        <f t="shared" si="166"/>
        <v>#DIV/0!</v>
      </c>
      <c r="K62" s="144" t="e">
        <f t="shared" si="166"/>
        <v>#DIV/0!</v>
      </c>
      <c r="L62" s="144" t="e">
        <f t="shared" si="166"/>
        <v>#DIV/0!</v>
      </c>
      <c r="M62" s="144" t="e">
        <f t="shared" si="166"/>
        <v>#DIV/0!</v>
      </c>
      <c r="N62" s="144" t="e">
        <f t="shared" si="166"/>
        <v>#DIV/0!</v>
      </c>
      <c r="O62" s="144">
        <f t="shared" si="166"/>
        <v>147.71929824561403</v>
      </c>
      <c r="P62" s="144">
        <f t="shared" si="166"/>
        <v>151.2280701754386</v>
      </c>
      <c r="Q62" s="144">
        <f t="shared" ref="Q62" si="167">(Q7+Q15-Q10-Q9)/Q42</f>
        <v>137.63366678164886</v>
      </c>
      <c r="R62" s="118">
        <f>((P62/G62)^(1/($H$2-$H$1) ))-1</f>
        <v>2.6117665599172391E-3</v>
      </c>
      <c r="S62" s="128"/>
      <c r="T62" s="157">
        <f t="shared" ref="T62:AC62" si="168">(T7+T15-T10-T9)/T42</f>
        <v>149.43083822007591</v>
      </c>
      <c r="U62" s="157">
        <f t="shared" si="168"/>
        <v>162.23919578179672</v>
      </c>
      <c r="V62" s="157">
        <f t="shared" si="168"/>
        <v>176.1454125630936</v>
      </c>
      <c r="W62" s="157">
        <f t="shared" si="168"/>
        <v>191.24359078278732</v>
      </c>
      <c r="X62" s="157">
        <f t="shared" si="168"/>
        <v>207.63589856416911</v>
      </c>
      <c r="Y62" s="157">
        <f t="shared" si="168"/>
        <v>225.43326129824072</v>
      </c>
      <c r="Z62" s="157">
        <f t="shared" si="168"/>
        <v>244.75611226666135</v>
      </c>
      <c r="AA62" s="157">
        <f t="shared" si="168"/>
        <v>265.73520760380376</v>
      </c>
      <c r="AB62" s="157">
        <f t="shared" si="168"/>
        <v>288.51251111270125</v>
      </c>
      <c r="AC62" s="157">
        <f t="shared" si="168"/>
        <v>313.24215492236135</v>
      </c>
      <c r="AD62" s="138">
        <f t="shared" si="144"/>
        <v>3.8298312938970458E-2</v>
      </c>
      <c r="AE62" s="31">
        <f t="shared" si="16"/>
        <v>0.05</v>
      </c>
      <c r="AF62" s="146">
        <f t="shared" si="145"/>
        <v>1934.7309568734086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69">C12/C42</f>
        <v>0</v>
      </c>
      <c r="D64" s="127">
        <f t="shared" si="169"/>
        <v>0</v>
      </c>
      <c r="E64" s="127">
        <f t="shared" si="169"/>
        <v>0</v>
      </c>
      <c r="F64" s="144">
        <f t="shared" si="169"/>
        <v>0</v>
      </c>
      <c r="G64" s="144">
        <f t="shared" si="169"/>
        <v>24.561403508771928</v>
      </c>
      <c r="H64" s="144" t="e">
        <f t="shared" si="169"/>
        <v>#DIV/0!</v>
      </c>
      <c r="I64" s="144" t="e">
        <f t="shared" si="169"/>
        <v>#DIV/0!</v>
      </c>
      <c r="J64" s="144" t="e">
        <f t="shared" si="169"/>
        <v>#DIV/0!</v>
      </c>
      <c r="K64" s="144" t="e">
        <f t="shared" si="169"/>
        <v>#DIV/0!</v>
      </c>
      <c r="L64" s="144" t="e">
        <f t="shared" si="169"/>
        <v>#DIV/0!</v>
      </c>
      <c r="M64" s="144" t="e">
        <f t="shared" si="169"/>
        <v>#DIV/0!</v>
      </c>
      <c r="N64" s="144" t="e">
        <f t="shared" si="169"/>
        <v>#DIV/0!</v>
      </c>
      <c r="O64" s="144">
        <f t="shared" si="169"/>
        <v>24.561403508771928</v>
      </c>
      <c r="P64" s="144">
        <f t="shared" si="169"/>
        <v>11.929824561403509</v>
      </c>
      <c r="Q64" s="144">
        <f t="shared" ref="Q64" si="170">Q12/Q42</f>
        <v>9.6585029320455327</v>
      </c>
      <c r="R64" s="118">
        <f>((P64/G64)^(1/($H$2-$H$1) ))-1</f>
        <v>-7.710258237700196E-2</v>
      </c>
      <c r="S64" s="128"/>
      <c r="T64" s="157">
        <f t="shared" ref="T64:AC64" si="171">T12/T42</f>
        <v>10.486374611935149</v>
      </c>
      <c r="U64" s="157">
        <f t="shared" si="171"/>
        <v>11.385206721529592</v>
      </c>
      <c r="V64" s="157">
        <f t="shared" si="171"/>
        <v>12.361081583374986</v>
      </c>
      <c r="W64" s="157">
        <f t="shared" si="171"/>
        <v>13.420602861949986</v>
      </c>
      <c r="X64" s="157">
        <f t="shared" si="171"/>
        <v>14.570940250117129</v>
      </c>
      <c r="Y64" s="157">
        <f t="shared" si="171"/>
        <v>15.819877985841455</v>
      </c>
      <c r="Z64" s="157">
        <f t="shared" si="171"/>
        <v>17.175867527485011</v>
      </c>
      <c r="AA64" s="157">
        <f t="shared" si="171"/>
        <v>18.648084744126585</v>
      </c>
      <c r="AB64" s="157">
        <f t="shared" si="171"/>
        <v>20.246492007908863</v>
      </c>
      <c r="AC64" s="157">
        <f t="shared" si="171"/>
        <v>21.981905608586764</v>
      </c>
      <c r="AD64" s="138">
        <f t="shared" si="144"/>
        <v>-5.5324694673641872E-3</v>
      </c>
      <c r="AE64" s="31">
        <f t="shared" si="16"/>
        <v>0.05</v>
      </c>
      <c r="AF64" s="146">
        <f t="shared" si="145"/>
        <v>135.77059346480061</v>
      </c>
    </row>
    <row r="65" spans="2:32" x14ac:dyDescent="0.2">
      <c r="B65" s="20" t="s">
        <v>255</v>
      </c>
      <c r="C65" s="127">
        <f t="shared" ref="C65:P65" si="172">C13/C42</f>
        <v>0</v>
      </c>
      <c r="D65" s="127">
        <f t="shared" si="172"/>
        <v>0</v>
      </c>
      <c r="E65" s="127">
        <f t="shared" si="172"/>
        <v>0</v>
      </c>
      <c r="F65" s="144">
        <f t="shared" si="172"/>
        <v>0</v>
      </c>
      <c r="G65" s="144">
        <f t="shared" si="172"/>
        <v>93.333333333333329</v>
      </c>
      <c r="H65" s="144" t="e">
        <f t="shared" si="172"/>
        <v>#DIV/0!</v>
      </c>
      <c r="I65" s="144" t="e">
        <f t="shared" si="172"/>
        <v>#DIV/0!</v>
      </c>
      <c r="J65" s="144" t="e">
        <f t="shared" si="172"/>
        <v>#DIV/0!</v>
      </c>
      <c r="K65" s="144" t="e">
        <f t="shared" si="172"/>
        <v>#DIV/0!</v>
      </c>
      <c r="L65" s="144" t="e">
        <f t="shared" si="172"/>
        <v>#DIV/0!</v>
      </c>
      <c r="M65" s="144" t="e">
        <f t="shared" si="172"/>
        <v>#DIV/0!</v>
      </c>
      <c r="N65" s="144" t="e">
        <f t="shared" si="172"/>
        <v>#DIV/0!</v>
      </c>
      <c r="O65" s="144">
        <f t="shared" si="172"/>
        <v>93.333333333333329</v>
      </c>
      <c r="P65" s="144">
        <f t="shared" si="172"/>
        <v>134.03508771929825</v>
      </c>
      <c r="Q65" s="144">
        <f t="shared" ref="Q65" si="173">Q13/Q42</f>
        <v>92.100724387719907</v>
      </c>
      <c r="R65" s="118">
        <f>((P65/G65)^(1/($H$2-$H$1) ))-1</f>
        <v>4.1033334872345506E-2</v>
      </c>
      <c r="S65" s="128"/>
      <c r="T65" s="157">
        <f t="shared" ref="T65:AC65" si="174">T13/T42</f>
        <v>99.995072192381627</v>
      </c>
      <c r="U65" s="157">
        <f t="shared" si="174"/>
        <v>108.56607838030006</v>
      </c>
      <c r="V65" s="157">
        <f t="shared" si="174"/>
        <v>117.87174224146864</v>
      </c>
      <c r="W65" s="157">
        <f t="shared" si="174"/>
        <v>127.97503443359453</v>
      </c>
      <c r="X65" s="157">
        <f t="shared" si="174"/>
        <v>138.9443230993312</v>
      </c>
      <c r="Y65" s="157">
        <f t="shared" si="174"/>
        <v>150.85383650784533</v>
      </c>
      <c r="Z65" s="157">
        <f t="shared" si="174"/>
        <v>163.78416535137492</v>
      </c>
      <c r="AA65" s="157">
        <f t="shared" si="174"/>
        <v>177.8228080957785</v>
      </c>
      <c r="AB65" s="157">
        <f t="shared" si="174"/>
        <v>193.06476307541666</v>
      </c>
      <c r="AC65" s="157">
        <f t="shared" si="174"/>
        <v>209.61317133902381</v>
      </c>
      <c r="AD65" s="138">
        <f t="shared" si="144"/>
        <v>4.1283746748750794E-2</v>
      </c>
      <c r="AE65" s="31">
        <f t="shared" si="16"/>
        <v>0.05</v>
      </c>
      <c r="AF65" s="146">
        <f t="shared" si="145"/>
        <v>1294.6695876822062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75">(D64+D65)</f>
        <v>0</v>
      </c>
      <c r="E66" s="127">
        <f t="shared" si="175"/>
        <v>0</v>
      </c>
      <c r="F66" s="144">
        <f t="shared" si="175"/>
        <v>0</v>
      </c>
      <c r="G66" s="144">
        <f t="shared" si="175"/>
        <v>117.89473684210526</v>
      </c>
      <c r="H66" s="144" t="e">
        <f t="shared" si="175"/>
        <v>#DIV/0!</v>
      </c>
      <c r="I66" s="144" t="e">
        <f t="shared" si="175"/>
        <v>#DIV/0!</v>
      </c>
      <c r="J66" s="144" t="e">
        <f t="shared" si="175"/>
        <v>#DIV/0!</v>
      </c>
      <c r="K66" s="144" t="e">
        <f t="shared" si="175"/>
        <v>#DIV/0!</v>
      </c>
      <c r="L66" s="144" t="e">
        <f t="shared" si="175"/>
        <v>#DIV/0!</v>
      </c>
      <c r="M66" s="144" t="e">
        <f t="shared" si="175"/>
        <v>#DIV/0!</v>
      </c>
      <c r="N66" s="144" t="e">
        <f t="shared" si="175"/>
        <v>#DIV/0!</v>
      </c>
      <c r="O66" s="144">
        <f t="shared" ref="O66" si="176">(O64+O65)</f>
        <v>117.89473684210526</v>
      </c>
      <c r="P66" s="144">
        <f t="shared" si="175"/>
        <v>145.96491228070175</v>
      </c>
      <c r="Q66" s="144">
        <f t="shared" ref="Q66" si="177">(Q64+Q65)</f>
        <v>101.75922731976544</v>
      </c>
      <c r="R66" s="118">
        <f>((P66/G66)^(1/($H$2-$H$1) ))-1</f>
        <v>2.4014263366006539E-2</v>
      </c>
      <c r="S66" s="128"/>
      <c r="T66" s="157">
        <f t="shared" ref="T66:AC66" si="178">(T64+T65)</f>
        <v>110.48144680431678</v>
      </c>
      <c r="U66" s="157">
        <f t="shared" si="178"/>
        <v>119.95128510182965</v>
      </c>
      <c r="V66" s="157">
        <f t="shared" si="178"/>
        <v>130.23282382484362</v>
      </c>
      <c r="W66" s="157">
        <f t="shared" si="178"/>
        <v>141.3956372955445</v>
      </c>
      <c r="X66" s="157">
        <f t="shared" si="178"/>
        <v>153.51526334944833</v>
      </c>
      <c r="Y66" s="157">
        <f t="shared" si="178"/>
        <v>166.67371449368679</v>
      </c>
      <c r="Z66" s="157">
        <f t="shared" si="178"/>
        <v>180.96003287885992</v>
      </c>
      <c r="AA66" s="157">
        <f t="shared" si="178"/>
        <v>196.47089283990508</v>
      </c>
      <c r="AB66" s="157">
        <f t="shared" si="178"/>
        <v>213.31125508332553</v>
      </c>
      <c r="AC66" s="157">
        <f t="shared" si="178"/>
        <v>231.59507694761058</v>
      </c>
      <c r="AD66" s="138">
        <f t="shared" si="144"/>
        <v>3.4336249491577098E-2</v>
      </c>
      <c r="AE66" s="31">
        <f t="shared" si="16"/>
        <v>0.05</v>
      </c>
      <c r="AF66" s="146">
        <f t="shared" si="145"/>
        <v>1430.4401811470068</v>
      </c>
    </row>
    <row r="67" spans="2:32" x14ac:dyDescent="0.2">
      <c r="B67" s="20" t="s">
        <v>249</v>
      </c>
      <c r="C67" s="127">
        <f t="shared" ref="C67:P67" si="179">C15/C42</f>
        <v>0</v>
      </c>
      <c r="D67" s="127">
        <f t="shared" si="179"/>
        <v>0</v>
      </c>
      <c r="E67" s="127">
        <f t="shared" si="179"/>
        <v>0</v>
      </c>
      <c r="F67" s="144">
        <f t="shared" si="179"/>
        <v>0</v>
      </c>
      <c r="G67" s="144">
        <f t="shared" si="179"/>
        <v>30.175438596491226</v>
      </c>
      <c r="H67" s="144" t="e">
        <f t="shared" si="179"/>
        <v>#DIV/0!</v>
      </c>
      <c r="I67" s="144" t="e">
        <f t="shared" si="179"/>
        <v>#DIV/0!</v>
      </c>
      <c r="J67" s="144" t="e">
        <f t="shared" si="179"/>
        <v>#DIV/0!</v>
      </c>
      <c r="K67" s="144" t="e">
        <f t="shared" si="179"/>
        <v>#DIV/0!</v>
      </c>
      <c r="L67" s="144" t="e">
        <f t="shared" si="179"/>
        <v>#DIV/0!</v>
      </c>
      <c r="M67" s="144" t="e">
        <f t="shared" si="179"/>
        <v>#DIV/0!</v>
      </c>
      <c r="N67" s="144" t="e">
        <f t="shared" si="179"/>
        <v>#DIV/0!</v>
      </c>
      <c r="O67" s="144">
        <f t="shared" si="179"/>
        <v>30.175438596491226</v>
      </c>
      <c r="P67" s="144">
        <f t="shared" si="179"/>
        <v>22.105263157894736</v>
      </c>
      <c r="Q67" s="144">
        <f t="shared" ref="Q67" si="180">Q15/Q42</f>
        <v>0</v>
      </c>
      <c r="R67" s="118">
        <f>((P67/G67)^(1/($H$2-$H$1) ))-1</f>
        <v>-3.3988146778345274E-2</v>
      </c>
      <c r="S67" s="128"/>
      <c r="T67" s="157">
        <f t="shared" ref="T67:AC67" si="181">T15/T42</f>
        <v>0</v>
      </c>
      <c r="U67" s="157">
        <f t="shared" si="181"/>
        <v>0</v>
      </c>
      <c r="V67" s="157">
        <f t="shared" si="181"/>
        <v>0</v>
      </c>
      <c r="W67" s="157">
        <f t="shared" si="181"/>
        <v>0</v>
      </c>
      <c r="X67" s="157">
        <f t="shared" si="181"/>
        <v>0</v>
      </c>
      <c r="Y67" s="157">
        <f t="shared" si="181"/>
        <v>0</v>
      </c>
      <c r="Z67" s="157">
        <f t="shared" si="181"/>
        <v>0</v>
      </c>
      <c r="AA67" s="157">
        <f t="shared" si="181"/>
        <v>0</v>
      </c>
      <c r="AB67" s="157">
        <f t="shared" si="181"/>
        <v>0</v>
      </c>
      <c r="AC67" s="157">
        <f t="shared" si="181"/>
        <v>0</v>
      </c>
      <c r="AD67" s="138">
        <f t="shared" si="144"/>
        <v>-1</v>
      </c>
      <c r="AE67" s="31">
        <f t="shared" si="16"/>
        <v>0.05</v>
      </c>
      <c r="AF67" s="146">
        <f t="shared" si="145"/>
        <v>0</v>
      </c>
    </row>
    <row r="68" spans="2:32" x14ac:dyDescent="0.2">
      <c r="B68" s="20" t="s">
        <v>250</v>
      </c>
      <c r="C68" s="127">
        <f t="shared" ref="C68:P68" si="182">C16/C42</f>
        <v>0</v>
      </c>
      <c r="D68" s="127">
        <f t="shared" si="182"/>
        <v>0</v>
      </c>
      <c r="E68" s="127">
        <f t="shared" si="182"/>
        <v>0</v>
      </c>
      <c r="F68" s="144">
        <f t="shared" si="182"/>
        <v>0</v>
      </c>
      <c r="G68" s="144">
        <f t="shared" si="182"/>
        <v>19.473684210526315</v>
      </c>
      <c r="H68" s="144" t="e">
        <f t="shared" si="182"/>
        <v>#DIV/0!</v>
      </c>
      <c r="I68" s="144" t="e">
        <f t="shared" si="182"/>
        <v>#DIV/0!</v>
      </c>
      <c r="J68" s="144" t="e">
        <f t="shared" si="182"/>
        <v>#DIV/0!</v>
      </c>
      <c r="K68" s="144" t="e">
        <f t="shared" si="182"/>
        <v>#DIV/0!</v>
      </c>
      <c r="L68" s="144" t="e">
        <f t="shared" si="182"/>
        <v>#DIV/0!</v>
      </c>
      <c r="M68" s="144" t="e">
        <f t="shared" si="182"/>
        <v>#DIV/0!</v>
      </c>
      <c r="N68" s="144" t="e">
        <f t="shared" si="182"/>
        <v>#DIV/0!</v>
      </c>
      <c r="O68" s="144">
        <f t="shared" si="182"/>
        <v>19.473684210526315</v>
      </c>
      <c r="P68" s="144">
        <f t="shared" si="182"/>
        <v>-5.2631578947368416</v>
      </c>
      <c r="Q68" s="144">
        <f t="shared" ref="Q68" si="183">Q16/Q42</f>
        <v>0</v>
      </c>
      <c r="R68" s="118">
        <f>((P68/G68)^(1/($H$2-$H$1) ))-1</f>
        <v>-1.8647020231593647</v>
      </c>
      <c r="S68" s="128"/>
      <c r="T68" s="157">
        <f t="shared" ref="T68:AC68" si="184">T16/T42</f>
        <v>0</v>
      </c>
      <c r="U68" s="157">
        <f t="shared" si="184"/>
        <v>0</v>
      </c>
      <c r="V68" s="157">
        <f t="shared" si="184"/>
        <v>0</v>
      </c>
      <c r="W68" s="157">
        <f t="shared" si="184"/>
        <v>0</v>
      </c>
      <c r="X68" s="157">
        <f t="shared" si="184"/>
        <v>0</v>
      </c>
      <c r="Y68" s="157">
        <f t="shared" si="184"/>
        <v>0</v>
      </c>
      <c r="Z68" s="157">
        <f t="shared" si="184"/>
        <v>0</v>
      </c>
      <c r="AA68" s="157">
        <f t="shared" si="184"/>
        <v>0</v>
      </c>
      <c r="AB68" s="157">
        <f t="shared" si="184"/>
        <v>0</v>
      </c>
      <c r="AC68" s="157">
        <f t="shared" si="184"/>
        <v>0</v>
      </c>
      <c r="AD68" s="138">
        <f t="shared" si="144"/>
        <v>-1</v>
      </c>
      <c r="AE68" s="137"/>
      <c r="AF68" s="146">
        <f t="shared" si="145"/>
        <v>0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6"/>
        <v>0.05</v>
      </c>
      <c r="AF69" s="146">
        <f t="shared" si="145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185">D44</f>
        <v>0</v>
      </c>
      <c r="E70" s="159">
        <f t="shared" si="185"/>
        <v>0</v>
      </c>
      <c r="F70" s="159">
        <f t="shared" si="185"/>
        <v>0</v>
      </c>
      <c r="G70" s="159">
        <f t="shared" si="185"/>
        <v>0</v>
      </c>
      <c r="H70" s="159">
        <f t="shared" si="185"/>
        <v>0</v>
      </c>
      <c r="I70" s="159">
        <f t="shared" si="185"/>
        <v>0</v>
      </c>
      <c r="J70" s="159">
        <f t="shared" si="185"/>
        <v>0</v>
      </c>
      <c r="K70" s="159">
        <f t="shared" si="185"/>
        <v>0</v>
      </c>
      <c r="L70" s="159">
        <f t="shared" si="185"/>
        <v>0</v>
      </c>
      <c r="M70" s="159">
        <f t="shared" si="185"/>
        <v>0</v>
      </c>
      <c r="N70" s="159">
        <f t="shared" si="185"/>
        <v>0</v>
      </c>
      <c r="O70" s="159">
        <f t="shared" si="185"/>
        <v>0</v>
      </c>
      <c r="P70" s="159">
        <f t="shared" si="185"/>
        <v>20</v>
      </c>
      <c r="Q70" s="159">
        <f t="shared" ref="Q70" si="186">Q44</f>
        <v>6</v>
      </c>
      <c r="R70" s="118" t="e">
        <f>((P70/G70)^(1/($H$2-$H$1) ))-1</f>
        <v>#DIV/0!</v>
      </c>
      <c r="S70" s="128"/>
      <c r="T70" s="159">
        <f t="shared" ref="T70:AC70" si="187">T44</f>
        <v>6.3000000000000007</v>
      </c>
      <c r="U70" s="159">
        <f t="shared" si="187"/>
        <v>6.6150000000000011</v>
      </c>
      <c r="V70" s="159">
        <f t="shared" si="187"/>
        <v>6.9457500000000012</v>
      </c>
      <c r="W70" s="159">
        <f t="shared" si="187"/>
        <v>7.2930375000000014</v>
      </c>
      <c r="X70" s="159">
        <f t="shared" si="187"/>
        <v>7.6576893750000021</v>
      </c>
      <c r="Y70" s="159">
        <f t="shared" si="187"/>
        <v>8.0405738437500034</v>
      </c>
      <c r="Z70" s="159">
        <f t="shared" si="187"/>
        <v>8.4426025359375032</v>
      </c>
      <c r="AA70" s="159">
        <f t="shared" si="187"/>
        <v>8.8647326627343794</v>
      </c>
      <c r="AB70" s="159">
        <f t="shared" si="187"/>
        <v>9.3079692958710982</v>
      </c>
      <c r="AC70" s="159">
        <f t="shared" si="187"/>
        <v>9.7733677606646534</v>
      </c>
      <c r="AD70" s="138" t="e">
        <f t="shared" ref="AD70" si="188">((AC70/G70)^(1/($AC$3-$H$1) ))-1</f>
        <v>#DIV/0!</v>
      </c>
      <c r="AE70" s="31">
        <f t="shared" si="16"/>
        <v>0.05</v>
      </c>
      <c r="AF70" s="146">
        <f t="shared" si="145"/>
        <v>60.36491852175228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189">C20+C21</f>
        <v>0</v>
      </c>
      <c r="D72" s="127">
        <f t="shared" si="189"/>
        <v>0</v>
      </c>
      <c r="E72" s="127">
        <f t="shared" si="189"/>
        <v>0</v>
      </c>
      <c r="F72" s="144">
        <f t="shared" si="189"/>
        <v>0</v>
      </c>
      <c r="G72" s="144">
        <f t="shared" si="189"/>
        <v>58</v>
      </c>
      <c r="H72" s="144">
        <f t="shared" si="189"/>
        <v>0</v>
      </c>
      <c r="I72" s="144">
        <f t="shared" si="189"/>
        <v>0</v>
      </c>
      <c r="J72" s="144">
        <f t="shared" si="189"/>
        <v>0</v>
      </c>
      <c r="K72" s="144">
        <f t="shared" si="189"/>
        <v>0</v>
      </c>
      <c r="L72" s="144">
        <f t="shared" si="189"/>
        <v>0</v>
      </c>
      <c r="M72" s="144">
        <f t="shared" si="189"/>
        <v>0</v>
      </c>
      <c r="N72" s="144">
        <f t="shared" si="189"/>
        <v>0</v>
      </c>
      <c r="O72" s="144">
        <f t="shared" si="189"/>
        <v>58</v>
      </c>
      <c r="P72" s="144">
        <f t="shared" si="189"/>
        <v>3</v>
      </c>
      <c r="Q72" s="144">
        <f t="shared" ref="Q72" si="190">Q20+Q21</f>
        <v>0</v>
      </c>
      <c r="R72" s="118">
        <f>((P72/G72)^(1/($H$2-$H$1) ))-1</f>
        <v>-0.28042340498727636</v>
      </c>
      <c r="S72" s="128"/>
      <c r="T72" s="144">
        <f t="shared" ref="T72:AC72" si="191">T20+T21</f>
        <v>0</v>
      </c>
      <c r="U72" s="144">
        <f t="shared" si="191"/>
        <v>0</v>
      </c>
      <c r="V72" s="144">
        <f t="shared" si="191"/>
        <v>0</v>
      </c>
      <c r="W72" s="144">
        <f t="shared" si="191"/>
        <v>0</v>
      </c>
      <c r="X72" s="144">
        <f t="shared" si="191"/>
        <v>0</v>
      </c>
      <c r="Y72" s="144">
        <f t="shared" si="191"/>
        <v>0</v>
      </c>
      <c r="Z72" s="144">
        <f t="shared" si="191"/>
        <v>0</v>
      </c>
      <c r="AA72" s="144">
        <f t="shared" si="191"/>
        <v>0</v>
      </c>
      <c r="AB72" s="144">
        <f t="shared" si="191"/>
        <v>0</v>
      </c>
      <c r="AC72" s="144">
        <f t="shared" si="191"/>
        <v>0</v>
      </c>
      <c r="AD72" s="138">
        <f t="shared" ref="AD72:AD77" si="192">((AC72/G72)^(1/($AC$3-$H$1) ))-1</f>
        <v>-1</v>
      </c>
      <c r="AE72" s="31">
        <f t="shared" si="16"/>
        <v>0.05</v>
      </c>
      <c r="AF72" s="146">
        <f t="shared" si="145"/>
        <v>0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193">C72/C42</f>
        <v>0</v>
      </c>
      <c r="D74" s="127">
        <f t="shared" si="193"/>
        <v>0</v>
      </c>
      <c r="E74" s="127">
        <f t="shared" si="193"/>
        <v>0</v>
      </c>
      <c r="F74" s="144">
        <f t="shared" si="193"/>
        <v>0</v>
      </c>
      <c r="G74" s="144">
        <f t="shared" si="193"/>
        <v>20.350877192982455</v>
      </c>
      <c r="H74" s="144" t="e">
        <f t="shared" si="193"/>
        <v>#DIV/0!</v>
      </c>
      <c r="I74" s="144" t="e">
        <f t="shared" si="193"/>
        <v>#DIV/0!</v>
      </c>
      <c r="J74" s="144" t="e">
        <f t="shared" si="193"/>
        <v>#DIV/0!</v>
      </c>
      <c r="K74" s="144" t="e">
        <f t="shared" si="193"/>
        <v>#DIV/0!</v>
      </c>
      <c r="L74" s="144" t="e">
        <f t="shared" si="193"/>
        <v>#DIV/0!</v>
      </c>
      <c r="M74" s="144" t="e">
        <f t="shared" si="193"/>
        <v>#DIV/0!</v>
      </c>
      <c r="N74" s="144" t="e">
        <f t="shared" si="193"/>
        <v>#DIV/0!</v>
      </c>
      <c r="O74" s="144">
        <f t="shared" si="193"/>
        <v>20.350877192982455</v>
      </c>
      <c r="P74" s="144">
        <f t="shared" si="193"/>
        <v>1.0526315789473684</v>
      </c>
      <c r="Q74" s="144">
        <f t="shared" ref="Q74" si="194">Q72/Q42</f>
        <v>0</v>
      </c>
      <c r="R74" s="118">
        <f>((P74/G74)^(1/($H$2-$H$1) ))-1</f>
        <v>-0.28042340498727636</v>
      </c>
      <c r="S74" s="128"/>
      <c r="T74" s="146">
        <f t="shared" ref="T74:AC74" si="195">T72/T42</f>
        <v>0</v>
      </c>
      <c r="U74" s="146">
        <f t="shared" si="195"/>
        <v>0</v>
      </c>
      <c r="V74" s="146">
        <f t="shared" si="195"/>
        <v>0</v>
      </c>
      <c r="W74" s="146">
        <f t="shared" si="195"/>
        <v>0</v>
      </c>
      <c r="X74" s="146">
        <f t="shared" si="195"/>
        <v>0</v>
      </c>
      <c r="Y74" s="146">
        <f t="shared" si="195"/>
        <v>0</v>
      </c>
      <c r="Z74" s="146">
        <f t="shared" si="195"/>
        <v>0</v>
      </c>
      <c r="AA74" s="146">
        <f t="shared" si="195"/>
        <v>0</v>
      </c>
      <c r="AB74" s="146">
        <f t="shared" si="195"/>
        <v>0</v>
      </c>
      <c r="AC74" s="146">
        <f t="shared" si="195"/>
        <v>0</v>
      </c>
      <c r="AD74" s="138">
        <f t="shared" si="192"/>
        <v>-1</v>
      </c>
      <c r="AE74" s="31">
        <f t="shared" si="16"/>
        <v>0.05</v>
      </c>
      <c r="AF74" s="146">
        <f t="shared" si="145"/>
        <v>0</v>
      </c>
    </row>
    <row r="75" spans="2:32" x14ac:dyDescent="0.2">
      <c r="B75" s="20" t="s">
        <v>287</v>
      </c>
      <c r="C75" s="127">
        <f t="shared" ref="C75:P75" si="196">C20/C42</f>
        <v>0</v>
      </c>
      <c r="D75" s="127">
        <f t="shared" si="196"/>
        <v>0</v>
      </c>
      <c r="E75" s="127">
        <f t="shared" si="196"/>
        <v>0</v>
      </c>
      <c r="F75" s="144">
        <f t="shared" si="196"/>
        <v>0</v>
      </c>
      <c r="G75" s="144">
        <f t="shared" si="196"/>
        <v>34.385964912280699</v>
      </c>
      <c r="H75" s="144" t="e">
        <f t="shared" si="196"/>
        <v>#DIV/0!</v>
      </c>
      <c r="I75" s="144" t="e">
        <f t="shared" si="196"/>
        <v>#DIV/0!</v>
      </c>
      <c r="J75" s="144" t="e">
        <f t="shared" si="196"/>
        <v>#DIV/0!</v>
      </c>
      <c r="K75" s="144" t="e">
        <f t="shared" si="196"/>
        <v>#DIV/0!</v>
      </c>
      <c r="L75" s="144" t="e">
        <f t="shared" si="196"/>
        <v>#DIV/0!</v>
      </c>
      <c r="M75" s="144" t="e">
        <f t="shared" si="196"/>
        <v>#DIV/0!</v>
      </c>
      <c r="N75" s="144" t="e">
        <f t="shared" si="196"/>
        <v>#DIV/0!</v>
      </c>
      <c r="O75" s="144">
        <f t="shared" si="196"/>
        <v>34.385964912280699</v>
      </c>
      <c r="P75" s="144">
        <f t="shared" si="196"/>
        <v>31.578947368421051</v>
      </c>
      <c r="Q75" s="144">
        <f t="shared" ref="Q75" si="197">Q20/Q42</f>
        <v>0</v>
      </c>
      <c r="R75" s="118">
        <f>((P75/G75)^(1/($H$2-$H$1) ))-1</f>
        <v>-9.4173550376104309E-3</v>
      </c>
      <c r="S75" s="128"/>
      <c r="T75" s="146">
        <f t="shared" ref="T75:AC75" si="198">T20/T42</f>
        <v>0</v>
      </c>
      <c r="U75" s="146">
        <f t="shared" si="198"/>
        <v>0</v>
      </c>
      <c r="V75" s="146">
        <f t="shared" si="198"/>
        <v>0</v>
      </c>
      <c r="W75" s="146">
        <f t="shared" si="198"/>
        <v>0</v>
      </c>
      <c r="X75" s="146">
        <f t="shared" si="198"/>
        <v>0</v>
      </c>
      <c r="Y75" s="146">
        <f t="shared" si="198"/>
        <v>0</v>
      </c>
      <c r="Z75" s="146">
        <f t="shared" si="198"/>
        <v>0</v>
      </c>
      <c r="AA75" s="146">
        <f t="shared" si="198"/>
        <v>0</v>
      </c>
      <c r="AB75" s="146">
        <f t="shared" si="198"/>
        <v>0</v>
      </c>
      <c r="AC75" s="146">
        <f t="shared" si="198"/>
        <v>0</v>
      </c>
      <c r="AD75" s="138">
        <f t="shared" si="192"/>
        <v>-1</v>
      </c>
      <c r="AE75" s="31">
        <f t="shared" si="16"/>
        <v>0.05</v>
      </c>
      <c r="AF75" s="146">
        <f t="shared" si="145"/>
        <v>0</v>
      </c>
    </row>
    <row r="76" spans="2:32" x14ac:dyDescent="0.2">
      <c r="B76" s="20" t="s">
        <v>288</v>
      </c>
      <c r="C76" s="127">
        <f t="shared" ref="C76:P76" si="199">C21/C42</f>
        <v>0</v>
      </c>
      <c r="D76" s="127">
        <f t="shared" si="199"/>
        <v>0</v>
      </c>
      <c r="E76" s="127">
        <f t="shared" si="199"/>
        <v>0</v>
      </c>
      <c r="F76" s="144">
        <f t="shared" si="199"/>
        <v>0</v>
      </c>
      <c r="G76" s="144">
        <f t="shared" si="199"/>
        <v>-14.035087719298245</v>
      </c>
      <c r="H76" s="144" t="e">
        <f t="shared" si="199"/>
        <v>#DIV/0!</v>
      </c>
      <c r="I76" s="144" t="e">
        <f t="shared" si="199"/>
        <v>#DIV/0!</v>
      </c>
      <c r="J76" s="144" t="e">
        <f t="shared" si="199"/>
        <v>#DIV/0!</v>
      </c>
      <c r="K76" s="144" t="e">
        <f t="shared" si="199"/>
        <v>#DIV/0!</v>
      </c>
      <c r="L76" s="144" t="e">
        <f t="shared" si="199"/>
        <v>#DIV/0!</v>
      </c>
      <c r="M76" s="144" t="e">
        <f t="shared" si="199"/>
        <v>#DIV/0!</v>
      </c>
      <c r="N76" s="144" t="e">
        <f t="shared" si="199"/>
        <v>#DIV/0!</v>
      </c>
      <c r="O76" s="144">
        <f t="shared" si="199"/>
        <v>-14.035087719298245</v>
      </c>
      <c r="P76" s="144">
        <f t="shared" si="199"/>
        <v>-30.526315789473685</v>
      </c>
      <c r="Q76" s="144">
        <f t="shared" ref="Q76" si="200">Q21/Q42</f>
        <v>0</v>
      </c>
      <c r="R76" s="118">
        <f>((P76/G76)^(1/($H$2-$H$1) ))-1</f>
        <v>9.0173129773001737E-2</v>
      </c>
      <c r="S76" s="128"/>
      <c r="T76" s="146">
        <f t="shared" ref="T76:AC76" si="201">T21/T42</f>
        <v>0</v>
      </c>
      <c r="U76" s="146">
        <f t="shared" si="201"/>
        <v>0</v>
      </c>
      <c r="V76" s="146">
        <f t="shared" si="201"/>
        <v>0</v>
      </c>
      <c r="W76" s="146">
        <f t="shared" si="201"/>
        <v>0</v>
      </c>
      <c r="X76" s="146">
        <f t="shared" si="201"/>
        <v>0</v>
      </c>
      <c r="Y76" s="146">
        <f t="shared" si="201"/>
        <v>0</v>
      </c>
      <c r="Z76" s="146">
        <f t="shared" si="201"/>
        <v>0</v>
      </c>
      <c r="AA76" s="146">
        <f t="shared" si="201"/>
        <v>0</v>
      </c>
      <c r="AB76" s="146">
        <f t="shared" si="201"/>
        <v>0</v>
      </c>
      <c r="AC76" s="146">
        <f t="shared" si="201"/>
        <v>0</v>
      </c>
      <c r="AD76" s="138">
        <f t="shared" si="192"/>
        <v>-1</v>
      </c>
      <c r="AE76" s="31">
        <f t="shared" si="16"/>
        <v>0.05</v>
      </c>
      <c r="AF76" s="146">
        <f t="shared" si="145"/>
        <v>0</v>
      </c>
    </row>
    <row r="77" spans="2:32" x14ac:dyDescent="0.2">
      <c r="B77" s="20" t="s">
        <v>289</v>
      </c>
      <c r="C77" s="127">
        <f t="shared" ref="C77:P77" si="202">C22/C42</f>
        <v>0</v>
      </c>
      <c r="D77" s="127">
        <f t="shared" si="202"/>
        <v>0</v>
      </c>
      <c r="E77" s="127">
        <f t="shared" si="202"/>
        <v>0</v>
      </c>
      <c r="F77" s="144">
        <f t="shared" si="202"/>
        <v>0</v>
      </c>
      <c r="G77" s="144">
        <f t="shared" si="202"/>
        <v>0.70175438596491224</v>
      </c>
      <c r="H77" s="144" t="e">
        <f t="shared" si="202"/>
        <v>#DIV/0!</v>
      </c>
      <c r="I77" s="144" t="e">
        <f t="shared" si="202"/>
        <v>#DIV/0!</v>
      </c>
      <c r="J77" s="144" t="e">
        <f t="shared" si="202"/>
        <v>#DIV/0!</v>
      </c>
      <c r="K77" s="144" t="e">
        <f t="shared" si="202"/>
        <v>#DIV/0!</v>
      </c>
      <c r="L77" s="144" t="e">
        <f t="shared" si="202"/>
        <v>#DIV/0!</v>
      </c>
      <c r="M77" s="144" t="e">
        <f t="shared" si="202"/>
        <v>#DIV/0!</v>
      </c>
      <c r="N77" s="144" t="e">
        <f t="shared" si="202"/>
        <v>#DIV/0!</v>
      </c>
      <c r="O77" s="144">
        <f t="shared" si="202"/>
        <v>0.70175438596491224</v>
      </c>
      <c r="P77" s="144">
        <f t="shared" si="202"/>
        <v>-14.035087719298245</v>
      </c>
      <c r="Q77" s="144">
        <f t="shared" ref="Q77" si="203">Q22/Q42</f>
        <v>0</v>
      </c>
      <c r="R77" s="118">
        <f>((P77/G77)^(1/($H$2-$H$1) ))-1</f>
        <v>-2.3949507939624208</v>
      </c>
      <c r="S77" s="128"/>
      <c r="T77" s="146">
        <f t="shared" ref="T77:AC77" si="204">T22/T42</f>
        <v>0</v>
      </c>
      <c r="U77" s="146">
        <f t="shared" si="204"/>
        <v>0</v>
      </c>
      <c r="V77" s="146">
        <f t="shared" si="204"/>
        <v>0</v>
      </c>
      <c r="W77" s="146">
        <f t="shared" si="204"/>
        <v>0</v>
      </c>
      <c r="X77" s="146">
        <f t="shared" si="204"/>
        <v>0</v>
      </c>
      <c r="Y77" s="146">
        <f t="shared" si="204"/>
        <v>0</v>
      </c>
      <c r="Z77" s="146">
        <f t="shared" si="204"/>
        <v>0</v>
      </c>
      <c r="AA77" s="146">
        <f t="shared" si="204"/>
        <v>0</v>
      </c>
      <c r="AB77" s="146">
        <f t="shared" si="204"/>
        <v>0</v>
      </c>
      <c r="AC77" s="146">
        <f t="shared" si="204"/>
        <v>0</v>
      </c>
      <c r="AD77" s="138">
        <f t="shared" si="192"/>
        <v>-1</v>
      </c>
      <c r="AE77" s="31">
        <f t="shared" si="16"/>
        <v>0.05</v>
      </c>
      <c r="AF77" s="146">
        <f t="shared" si="145"/>
        <v>0</v>
      </c>
    </row>
    <row r="78" spans="2:32" x14ac:dyDescent="0.2">
      <c r="B78" s="20" t="s">
        <v>296</v>
      </c>
      <c r="C78" s="127">
        <f t="shared" ref="C78:P78" si="205">C23/C42</f>
        <v>0</v>
      </c>
      <c r="D78" s="127">
        <f t="shared" si="205"/>
        <v>0</v>
      </c>
      <c r="E78" s="127">
        <f t="shared" si="205"/>
        <v>0</v>
      </c>
      <c r="F78" s="144">
        <f t="shared" si="205"/>
        <v>0</v>
      </c>
      <c r="G78" s="144">
        <f t="shared" si="205"/>
        <v>24.210526315789473</v>
      </c>
      <c r="H78" s="144" t="e">
        <f t="shared" si="205"/>
        <v>#DIV/0!</v>
      </c>
      <c r="I78" s="144" t="e">
        <f t="shared" si="205"/>
        <v>#DIV/0!</v>
      </c>
      <c r="J78" s="144" t="e">
        <f t="shared" si="205"/>
        <v>#DIV/0!</v>
      </c>
      <c r="K78" s="144" t="e">
        <f t="shared" si="205"/>
        <v>#DIV/0!</v>
      </c>
      <c r="L78" s="144" t="e">
        <f t="shared" si="205"/>
        <v>#DIV/0!</v>
      </c>
      <c r="M78" s="144" t="e">
        <f t="shared" si="205"/>
        <v>#DIV/0!</v>
      </c>
      <c r="N78" s="144" t="e">
        <f t="shared" si="205"/>
        <v>#DIV/0!</v>
      </c>
      <c r="O78" s="144">
        <f t="shared" si="205"/>
        <v>24.210526315789473</v>
      </c>
      <c r="P78" s="144">
        <f t="shared" si="205"/>
        <v>10.87719298245614</v>
      </c>
      <c r="Q78" s="144">
        <f t="shared" ref="Q78" si="206">Q23/Q42</f>
        <v>0</v>
      </c>
      <c r="R78" s="118">
        <f>((P78/G78)^(1/($H$2-$H$1) ))-1</f>
        <v>-8.5064899334804989E-2</v>
      </c>
      <c r="S78" s="128"/>
      <c r="T78" s="146">
        <f t="shared" ref="T78:AC78" si="207">T23/T42</f>
        <v>0</v>
      </c>
      <c r="U78" s="146">
        <f t="shared" si="207"/>
        <v>0</v>
      </c>
      <c r="V78" s="146">
        <f t="shared" si="207"/>
        <v>0</v>
      </c>
      <c r="W78" s="146">
        <f t="shared" si="207"/>
        <v>0</v>
      </c>
      <c r="X78" s="146">
        <f t="shared" si="207"/>
        <v>0</v>
      </c>
      <c r="Y78" s="146">
        <f t="shared" si="207"/>
        <v>0</v>
      </c>
      <c r="Z78" s="146">
        <f t="shared" si="207"/>
        <v>0</v>
      </c>
      <c r="AA78" s="146">
        <f t="shared" si="207"/>
        <v>0</v>
      </c>
      <c r="AB78" s="146">
        <f t="shared" si="207"/>
        <v>0</v>
      </c>
      <c r="AC78" s="146">
        <f t="shared" si="207"/>
        <v>0</v>
      </c>
      <c r="AD78" s="138">
        <f t="shared" ref="AD78" si="208">((AC78/G78)^(1/($AC$3-$H$1) ))-1</f>
        <v>-1</v>
      </c>
      <c r="AE78" s="31">
        <f t="shared" si="16"/>
        <v>0.05</v>
      </c>
      <c r="AF78" s="146">
        <f t="shared" si="145"/>
        <v>0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09">C36/C42</f>
        <v>0</v>
      </c>
      <c r="D80" s="144">
        <f t="shared" si="209"/>
        <v>0</v>
      </c>
      <c r="E80" s="144">
        <f t="shared" si="209"/>
        <v>0</v>
      </c>
      <c r="F80" s="144">
        <f t="shared" si="209"/>
        <v>0</v>
      </c>
      <c r="G80" s="144">
        <f t="shared" si="209"/>
        <v>43.157894736842103</v>
      </c>
      <c r="H80" s="144" t="e">
        <f t="shared" si="209"/>
        <v>#DIV/0!</v>
      </c>
      <c r="I80" s="144" t="e">
        <f t="shared" si="209"/>
        <v>#DIV/0!</v>
      </c>
      <c r="J80" s="144" t="e">
        <f t="shared" si="209"/>
        <v>#DIV/0!</v>
      </c>
      <c r="K80" s="144" t="e">
        <f t="shared" si="209"/>
        <v>#DIV/0!</v>
      </c>
      <c r="L80" s="144" t="e">
        <f t="shared" si="209"/>
        <v>#DIV/0!</v>
      </c>
      <c r="M80" s="144" t="e">
        <f t="shared" si="209"/>
        <v>#DIV/0!</v>
      </c>
      <c r="N80" s="144" t="e">
        <f t="shared" si="209"/>
        <v>#DIV/0!</v>
      </c>
      <c r="O80" s="144">
        <f t="shared" si="209"/>
        <v>43.157894736842103</v>
      </c>
      <c r="P80" s="144">
        <f t="shared" si="209"/>
        <v>47.017543859649123</v>
      </c>
      <c r="Q80" s="144">
        <f t="shared" ref="Q80" si="210">Q36/Q42</f>
        <v>49.672300793377026</v>
      </c>
      <c r="R80" s="118">
        <f>((P80/G80)^(1/($H$2-$H$1) ))-1</f>
        <v>9.5627048685125171E-3</v>
      </c>
      <c r="S80" s="128"/>
      <c r="T80" s="144">
        <f t="shared" ref="T80:AC80" si="211">T36/T42</f>
        <v>53.929926575666492</v>
      </c>
      <c r="U80" s="144">
        <f t="shared" si="211"/>
        <v>58.552491710723615</v>
      </c>
      <c r="V80" s="144">
        <f t="shared" si="211"/>
        <v>63.571276714499938</v>
      </c>
      <c r="W80" s="144">
        <f t="shared" si="211"/>
        <v>69.020243290028503</v>
      </c>
      <c r="X80" s="144">
        <f t="shared" si="211"/>
        <v>74.936264143459539</v>
      </c>
      <c r="Y80" s="144">
        <f t="shared" si="211"/>
        <v>81.359372498613212</v>
      </c>
      <c r="Z80" s="144">
        <f t="shared" si="211"/>
        <v>88.333032998494346</v>
      </c>
      <c r="AA80" s="144">
        <f t="shared" si="211"/>
        <v>95.904435826936734</v>
      </c>
      <c r="AB80" s="144">
        <f t="shared" si="211"/>
        <v>104.12481604067416</v>
      </c>
      <c r="AC80" s="144">
        <f t="shared" si="211"/>
        <v>113.04980027273194</v>
      </c>
      <c r="AD80" s="138">
        <f t="shared" ref="AD80:AD82" si="212">((AC80/G80)^(1/($AC$3-$H$1) ))-1</f>
        <v>4.9326105192059488E-2</v>
      </c>
      <c r="AE80" s="31">
        <f t="shared" si="16"/>
        <v>0.05</v>
      </c>
      <c r="AF80" s="146">
        <f t="shared" si="145"/>
        <v>698.24876639040326</v>
      </c>
    </row>
    <row r="81" spans="2:32" x14ac:dyDescent="0.2">
      <c r="B81" s="20" t="s">
        <v>312</v>
      </c>
      <c r="C81" s="144">
        <f t="shared" ref="C81:P81" si="213">C40/C42</f>
        <v>0</v>
      </c>
      <c r="D81" s="144">
        <f t="shared" si="213"/>
        <v>0</v>
      </c>
      <c r="E81" s="144">
        <f t="shared" si="213"/>
        <v>0</v>
      </c>
      <c r="F81" s="144">
        <f t="shared" si="213"/>
        <v>0</v>
      </c>
      <c r="G81" s="144">
        <f t="shared" si="213"/>
        <v>37.543859649122808</v>
      </c>
      <c r="H81" s="144" t="e">
        <f t="shared" si="213"/>
        <v>#DIV/0!</v>
      </c>
      <c r="I81" s="144" t="e">
        <f t="shared" si="213"/>
        <v>#DIV/0!</v>
      </c>
      <c r="J81" s="144" t="e">
        <f t="shared" si="213"/>
        <v>#DIV/0!</v>
      </c>
      <c r="K81" s="144" t="e">
        <f t="shared" si="213"/>
        <v>#DIV/0!</v>
      </c>
      <c r="L81" s="144" t="e">
        <f t="shared" si="213"/>
        <v>#DIV/0!</v>
      </c>
      <c r="M81" s="144" t="e">
        <f t="shared" si="213"/>
        <v>#DIV/0!</v>
      </c>
      <c r="N81" s="144" t="e">
        <f t="shared" si="213"/>
        <v>#DIV/0!</v>
      </c>
      <c r="O81" s="144">
        <f t="shared" si="213"/>
        <v>37.543859649122808</v>
      </c>
      <c r="P81" s="144">
        <f t="shared" si="213"/>
        <v>40</v>
      </c>
      <c r="Q81" s="144">
        <f t="shared" ref="Q81" si="214">Q40/Q42</f>
        <v>44.722318040703691</v>
      </c>
      <c r="R81" s="118">
        <f>((P81/G81)^(1/($H$2-$H$1) ))-1</f>
        <v>7.0659148168414898E-3</v>
      </c>
      <c r="S81" s="128"/>
      <c r="T81" s="144">
        <f t="shared" ref="T81:AC81" si="215">T40/T42</f>
        <v>48.555659587049725</v>
      </c>
      <c r="U81" s="144">
        <f t="shared" si="215"/>
        <v>52.717573265939706</v>
      </c>
      <c r="V81" s="144">
        <f t="shared" si="215"/>
        <v>57.236222403020257</v>
      </c>
      <c r="W81" s="144">
        <f t="shared" si="215"/>
        <v>62.142184323279146</v>
      </c>
      <c r="X81" s="144">
        <f t="shared" si="215"/>
        <v>67.468657265274501</v>
      </c>
      <c r="Y81" s="144">
        <f t="shared" si="215"/>
        <v>73.251685030869467</v>
      </c>
      <c r="Z81" s="144">
        <f t="shared" si="215"/>
        <v>79.530400890658271</v>
      </c>
      <c r="AA81" s="144">
        <f t="shared" si="215"/>
        <v>86.347292395571841</v>
      </c>
      <c r="AB81" s="144">
        <f t="shared" si="215"/>
        <v>93.748488886620862</v>
      </c>
      <c r="AC81" s="144">
        <f t="shared" si="215"/>
        <v>101.78407364833122</v>
      </c>
      <c r="AD81" s="138">
        <f t="shared" si="212"/>
        <v>5.113148655522437E-2</v>
      </c>
      <c r="AE81" s="31">
        <f t="shared" si="16"/>
        <v>0.05</v>
      </c>
      <c r="AF81" s="146">
        <f t="shared" si="145"/>
        <v>628.66633723969289</v>
      </c>
    </row>
    <row r="82" spans="2:32" x14ac:dyDescent="0.2">
      <c r="B82" s="20" t="s">
        <v>313</v>
      </c>
      <c r="C82" s="144">
        <f t="shared" ref="C82:P82" si="216">C6/C42</f>
        <v>0</v>
      </c>
      <c r="D82" s="144">
        <f t="shared" si="216"/>
        <v>0</v>
      </c>
      <c r="E82" s="144">
        <f t="shared" si="216"/>
        <v>0</v>
      </c>
      <c r="F82" s="144">
        <f t="shared" si="216"/>
        <v>0</v>
      </c>
      <c r="G82" s="144">
        <f t="shared" si="216"/>
        <v>122.10526315789474</v>
      </c>
      <c r="H82" s="144" t="e">
        <f t="shared" si="216"/>
        <v>#DIV/0!</v>
      </c>
      <c r="I82" s="144" t="e">
        <f t="shared" si="216"/>
        <v>#DIV/0!</v>
      </c>
      <c r="J82" s="144" t="e">
        <f t="shared" si="216"/>
        <v>#DIV/0!</v>
      </c>
      <c r="K82" s="144" t="e">
        <f t="shared" si="216"/>
        <v>#DIV/0!</v>
      </c>
      <c r="L82" s="144" t="e">
        <f t="shared" si="216"/>
        <v>#DIV/0!</v>
      </c>
      <c r="M82" s="144" t="e">
        <f t="shared" si="216"/>
        <v>#DIV/0!</v>
      </c>
      <c r="N82" s="144" t="e">
        <f t="shared" si="216"/>
        <v>#DIV/0!</v>
      </c>
      <c r="O82" s="144">
        <f t="shared" si="216"/>
        <v>122.10526315789474</v>
      </c>
      <c r="P82" s="144">
        <f t="shared" si="216"/>
        <v>138.59649122807016</v>
      </c>
      <c r="Q82" s="144">
        <f t="shared" ref="Q82" si="217">Q6/Q42</f>
        <v>157.29561917902726</v>
      </c>
      <c r="R82" s="118">
        <f>((P82/G82)^(1/($H$2-$H$1) ))-1</f>
        <v>1.4175452793824928E-2</v>
      </c>
      <c r="S82" s="128"/>
      <c r="T82" s="144">
        <f t="shared" ref="T82:AC82" si="218">T6/T42</f>
        <v>170.77810082294388</v>
      </c>
      <c r="U82" s="144">
        <f t="shared" si="218"/>
        <v>185.41622375062479</v>
      </c>
      <c r="V82" s="144">
        <f t="shared" si="218"/>
        <v>201.30904292924978</v>
      </c>
      <c r="W82" s="144">
        <f t="shared" si="218"/>
        <v>218.56410375175693</v>
      </c>
      <c r="X82" s="144">
        <f t="shared" si="218"/>
        <v>237.29816978762184</v>
      </c>
      <c r="Y82" s="144">
        <f t="shared" si="218"/>
        <v>257.63801291227514</v>
      </c>
      <c r="Z82" s="144">
        <f t="shared" si="218"/>
        <v>279.7212711618987</v>
      </c>
      <c r="AA82" s="144">
        <f t="shared" si="218"/>
        <v>303.69738011863291</v>
      </c>
      <c r="AB82" s="144">
        <f t="shared" si="218"/>
        <v>329.72858412880146</v>
      </c>
      <c r="AC82" s="144">
        <f t="shared" si="218"/>
        <v>357.99103419698446</v>
      </c>
      <c r="AD82" s="138">
        <f t="shared" si="212"/>
        <v>5.525371147068836E-2</v>
      </c>
      <c r="AE82" s="31">
        <f t="shared" ref="AE82" si="219">$L$1</f>
        <v>0.05</v>
      </c>
      <c r="AF82" s="146">
        <f t="shared" si="145"/>
        <v>2211.1210935696099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20">E36/E25</f>
        <v>#DIV/0!</v>
      </c>
      <c r="F86" s="152" t="e">
        <f t="shared" si="220"/>
        <v>#DIV/0!</v>
      </c>
      <c r="G86" s="152">
        <f t="shared" si="220"/>
        <v>0.59420289855072461</v>
      </c>
      <c r="H86" s="152" t="e">
        <f t="shared" si="220"/>
        <v>#DIV/0!</v>
      </c>
      <c r="I86" s="152" t="e">
        <f t="shared" si="220"/>
        <v>#DIV/0!</v>
      </c>
      <c r="J86" s="152" t="e">
        <f t="shared" si="220"/>
        <v>#DIV/0!</v>
      </c>
      <c r="K86" s="152" t="e">
        <f t="shared" si="220"/>
        <v>#DIV/0!</v>
      </c>
      <c r="L86" s="152" t="e">
        <f t="shared" si="220"/>
        <v>#DIV/0!</v>
      </c>
      <c r="M86" s="152" t="e">
        <f t="shared" si="220"/>
        <v>#DIV/0!</v>
      </c>
      <c r="N86" s="152" t="e">
        <f t="shared" si="220"/>
        <v>#DIV/0!</v>
      </c>
      <c r="O86" s="152">
        <f t="shared" si="220"/>
        <v>0.59420289855072461</v>
      </c>
      <c r="P86" s="152">
        <f t="shared" si="220"/>
        <v>0.57758620689655171</v>
      </c>
      <c r="Q86" s="152">
        <f t="shared" ref="Q86" si="221">Q36/Q25</f>
        <v>0.53333333333333333</v>
      </c>
      <c r="R86" s="118">
        <f t="shared" ref="R86:R138" si="222">((P86/G86)^(1/($H$2-$H$1) ))-1</f>
        <v>-3.1464986781510884E-3</v>
      </c>
      <c r="S86" s="152"/>
      <c r="T86" s="152">
        <f t="shared" ref="T86:AC86" si="223">T36/T25</f>
        <v>0.53333333333333344</v>
      </c>
      <c r="U86" s="152">
        <f t="shared" si="223"/>
        <v>0.53333333333333333</v>
      </c>
      <c r="V86" s="152">
        <f t="shared" si="223"/>
        <v>0.53333333333333333</v>
      </c>
      <c r="W86" s="152">
        <f t="shared" si="223"/>
        <v>0.53333333333333333</v>
      </c>
      <c r="X86" s="152">
        <f t="shared" si="223"/>
        <v>0.53333333333333344</v>
      </c>
      <c r="Y86" s="152">
        <f t="shared" si="223"/>
        <v>0.53333333333333344</v>
      </c>
      <c r="Z86" s="152">
        <f t="shared" si="223"/>
        <v>0.53333333333333344</v>
      </c>
      <c r="AA86" s="152">
        <f t="shared" si="223"/>
        <v>0.53333333333333344</v>
      </c>
      <c r="AB86" s="152">
        <f t="shared" si="223"/>
        <v>0.53333333333333344</v>
      </c>
      <c r="AC86" s="152">
        <f t="shared" si="223"/>
        <v>0.53333333333333344</v>
      </c>
      <c r="AD86" s="138">
        <f t="shared" ref="AD86:AD125" si="224">((AC86/G86)^(1/($AC$3-$H$1) ))-1</f>
        <v>-5.3891372924282921E-3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25">E40/E25</f>
        <v>#DIV/0!</v>
      </c>
      <c r="F87" s="152" t="e">
        <f t="shared" si="225"/>
        <v>#DIV/0!</v>
      </c>
      <c r="G87" s="152">
        <f t="shared" si="225"/>
        <v>0.51690821256038644</v>
      </c>
      <c r="H87" s="152" t="e">
        <f t="shared" si="225"/>
        <v>#DIV/0!</v>
      </c>
      <c r="I87" s="152" t="e">
        <f t="shared" si="225"/>
        <v>#DIV/0!</v>
      </c>
      <c r="J87" s="152" t="e">
        <f t="shared" si="225"/>
        <v>#DIV/0!</v>
      </c>
      <c r="K87" s="152" t="e">
        <f t="shared" si="225"/>
        <v>#DIV/0!</v>
      </c>
      <c r="L87" s="152" t="e">
        <f t="shared" si="225"/>
        <v>#DIV/0!</v>
      </c>
      <c r="M87" s="152" t="e">
        <f t="shared" si="225"/>
        <v>#DIV/0!</v>
      </c>
      <c r="N87" s="152" t="e">
        <f t="shared" si="225"/>
        <v>#DIV/0!</v>
      </c>
      <c r="O87" s="152">
        <f t="shared" si="225"/>
        <v>0.51690821256038644</v>
      </c>
      <c r="P87" s="152">
        <f t="shared" si="225"/>
        <v>0.49137931034482757</v>
      </c>
      <c r="Q87" s="152">
        <f t="shared" ref="Q87" si="226">Q40/Q25</f>
        <v>0.48018518518518521</v>
      </c>
      <c r="R87" s="118">
        <f t="shared" si="222"/>
        <v>-5.6118570883531005E-3</v>
      </c>
      <c r="S87" s="152"/>
      <c r="T87" s="152">
        <f t="shared" ref="T87:AC87" si="227">T40/T25</f>
        <v>0.48018518518518521</v>
      </c>
      <c r="U87" s="152">
        <f t="shared" si="227"/>
        <v>0.48018518518518521</v>
      </c>
      <c r="V87" s="152">
        <f t="shared" si="227"/>
        <v>0.48018518518518521</v>
      </c>
      <c r="W87" s="152">
        <f t="shared" si="227"/>
        <v>0.48018518518518521</v>
      </c>
      <c r="X87" s="152">
        <f t="shared" si="227"/>
        <v>0.48018518518518527</v>
      </c>
      <c r="Y87" s="152">
        <f t="shared" si="227"/>
        <v>0.48018518518518527</v>
      </c>
      <c r="Z87" s="152">
        <f t="shared" si="227"/>
        <v>0.48018518518518527</v>
      </c>
      <c r="AA87" s="152">
        <f t="shared" si="227"/>
        <v>0.48018518518518527</v>
      </c>
      <c r="AB87" s="152">
        <f t="shared" si="227"/>
        <v>0.48018518518518527</v>
      </c>
      <c r="AC87" s="152">
        <f t="shared" si="227"/>
        <v>0.48018518518518521</v>
      </c>
      <c r="AD87" s="138">
        <f t="shared" si="224"/>
        <v>-3.6778943277783194E-3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28">E40/E7</f>
        <v>#DIV/0!</v>
      </c>
      <c r="F88" s="152" t="e">
        <f t="shared" si="228"/>
        <v>#DIV/0!</v>
      </c>
      <c r="G88" s="152">
        <f>G40/G7</f>
        <v>0.28381962864721483</v>
      </c>
      <c r="H88" s="152" t="e">
        <f t="shared" si="228"/>
        <v>#DIV/0!</v>
      </c>
      <c r="I88" s="152" t="e">
        <f t="shared" si="228"/>
        <v>#DIV/0!</v>
      </c>
      <c r="J88" s="152" t="e">
        <f t="shared" si="228"/>
        <v>#DIV/0!</v>
      </c>
      <c r="K88" s="152" t="e">
        <f t="shared" si="228"/>
        <v>#DIV/0!</v>
      </c>
      <c r="L88" s="152" t="e">
        <f t="shared" si="228"/>
        <v>#DIV/0!</v>
      </c>
      <c r="M88" s="152" t="e">
        <f t="shared" si="228"/>
        <v>#DIV/0!</v>
      </c>
      <c r="N88" s="152" t="e">
        <f t="shared" si="228"/>
        <v>#DIV/0!</v>
      </c>
      <c r="O88" s="152">
        <f t="shared" si="228"/>
        <v>0.28381962864721483</v>
      </c>
      <c r="P88" s="152">
        <f t="shared" ref="P88:Q88" si="229">P40/P7</f>
        <v>0.26886792452830188</v>
      </c>
      <c r="Q88" s="152">
        <f t="shared" si="229"/>
        <v>0.2678719008264463</v>
      </c>
      <c r="R88" s="118">
        <f t="shared" si="222"/>
        <v>-5.995140755207351E-3</v>
      </c>
      <c r="S88" s="20"/>
      <c r="T88" s="152">
        <f t="shared" ref="T88" si="230">T40/T7</f>
        <v>0.26787190082644624</v>
      </c>
      <c r="U88" s="152">
        <f t="shared" ref="U88:AC88" si="231">U40/U7</f>
        <v>0.26787190082644624</v>
      </c>
      <c r="V88" s="152">
        <f t="shared" si="231"/>
        <v>0.2678719008264463</v>
      </c>
      <c r="W88" s="152">
        <f t="shared" si="231"/>
        <v>0.2678719008264463</v>
      </c>
      <c r="X88" s="152">
        <f t="shared" si="231"/>
        <v>0.2678719008264463</v>
      </c>
      <c r="Y88" s="152">
        <f t="shared" si="231"/>
        <v>0.26787190082644635</v>
      </c>
      <c r="Z88" s="152">
        <f t="shared" si="231"/>
        <v>0.2678719008264463</v>
      </c>
      <c r="AA88" s="152">
        <f t="shared" si="231"/>
        <v>0.2678719008264463</v>
      </c>
      <c r="AB88" s="152">
        <f t="shared" si="231"/>
        <v>0.2678719008264463</v>
      </c>
      <c r="AC88" s="152">
        <f t="shared" si="231"/>
        <v>0.2678719008264463</v>
      </c>
      <c r="AD88" s="138">
        <f t="shared" si="224"/>
        <v>-2.8873257214255821E-3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32">(E40)/(E7+E10)</f>
        <v>#DIV/0!</v>
      </c>
      <c r="F89" s="152" t="e">
        <f t="shared" si="232"/>
        <v>#DIV/0!</v>
      </c>
      <c r="G89" s="152">
        <f>(G40)/(G7+G10)</f>
        <v>0.28381962864721483</v>
      </c>
      <c r="H89" s="152" t="e">
        <f t="shared" ref="H89:O89" si="233">(H40)/(H7+H10)</f>
        <v>#DIV/0!</v>
      </c>
      <c r="I89" s="152" t="e">
        <f t="shared" si="233"/>
        <v>#DIV/0!</v>
      </c>
      <c r="J89" s="152" t="e">
        <f t="shared" si="233"/>
        <v>#DIV/0!</v>
      </c>
      <c r="K89" s="152" t="e">
        <f t="shared" si="233"/>
        <v>#DIV/0!</v>
      </c>
      <c r="L89" s="152" t="e">
        <f t="shared" si="233"/>
        <v>#DIV/0!</v>
      </c>
      <c r="M89" s="152" t="e">
        <f t="shared" si="233"/>
        <v>#DIV/0!</v>
      </c>
      <c r="N89" s="152" t="e">
        <f t="shared" si="233"/>
        <v>#DIV/0!</v>
      </c>
      <c r="O89" s="152">
        <f t="shared" si="233"/>
        <v>0.28381962864721483</v>
      </c>
      <c r="P89" s="152">
        <f t="shared" ref="P89:Q89" si="234">(P40)/(P7+P10)</f>
        <v>0.26886792452830188</v>
      </c>
      <c r="Q89" s="152">
        <f t="shared" si="234"/>
        <v>0.2678719008264463</v>
      </c>
      <c r="R89" s="118">
        <f t="shared" si="222"/>
        <v>-5.995140755207351E-3</v>
      </c>
      <c r="S89" s="20"/>
      <c r="T89" s="152">
        <f t="shared" ref="T89:AC89" si="235">(T40)/(T7+T10)</f>
        <v>0.26787190082644624</v>
      </c>
      <c r="U89" s="152">
        <f t="shared" si="235"/>
        <v>0.26787190082644624</v>
      </c>
      <c r="V89" s="152">
        <f t="shared" si="235"/>
        <v>0.2678719008264463</v>
      </c>
      <c r="W89" s="152">
        <f t="shared" si="235"/>
        <v>0.2678719008264463</v>
      </c>
      <c r="X89" s="152">
        <f t="shared" si="235"/>
        <v>0.2678719008264463</v>
      </c>
      <c r="Y89" s="152">
        <f t="shared" si="235"/>
        <v>0.26787190082644635</v>
      </c>
      <c r="Z89" s="152">
        <f t="shared" si="235"/>
        <v>0.2678719008264463</v>
      </c>
      <c r="AA89" s="152">
        <f t="shared" si="235"/>
        <v>0.2678719008264463</v>
      </c>
      <c r="AB89" s="152">
        <f t="shared" si="235"/>
        <v>0.2678719008264463</v>
      </c>
      <c r="AC89" s="152">
        <f t="shared" si="235"/>
        <v>0.2678719008264463</v>
      </c>
      <c r="AD89" s="138">
        <f t="shared" si="224"/>
        <v>-2.8873257214255821E-3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0.47342995169082125</v>
      </c>
      <c r="H90" s="152" t="e">
        <f t="shared" ref="H90:P90" si="236">H20/H25</f>
        <v>#DIV/0!</v>
      </c>
      <c r="I90" s="152" t="e">
        <f t="shared" si="236"/>
        <v>#DIV/0!</v>
      </c>
      <c r="J90" s="152" t="e">
        <f t="shared" si="236"/>
        <v>#DIV/0!</v>
      </c>
      <c r="K90" s="152" t="e">
        <f t="shared" si="236"/>
        <v>#DIV/0!</v>
      </c>
      <c r="L90" s="152" t="e">
        <f t="shared" si="236"/>
        <v>#DIV/0!</v>
      </c>
      <c r="M90" s="152" t="e">
        <f t="shared" si="236"/>
        <v>#DIV/0!</v>
      </c>
      <c r="N90" s="152" t="e">
        <f t="shared" si="236"/>
        <v>#DIV/0!</v>
      </c>
      <c r="O90" s="152">
        <f t="shared" si="236"/>
        <v>0.47342995169082125</v>
      </c>
      <c r="P90" s="152">
        <f t="shared" si="236"/>
        <v>0.38793103448275862</v>
      </c>
      <c r="Q90" s="152">
        <f t="shared" ref="Q90" si="237">Q20/Q25</f>
        <v>0</v>
      </c>
      <c r="R90" s="118">
        <f t="shared" si="222"/>
        <v>-2.1887622019451047E-2</v>
      </c>
      <c r="S90" s="20"/>
      <c r="T90" s="152">
        <f t="shared" ref="T90:AC90" si="238">T20/T25</f>
        <v>0</v>
      </c>
      <c r="U90" s="152">
        <f t="shared" si="238"/>
        <v>0</v>
      </c>
      <c r="V90" s="152">
        <f t="shared" si="238"/>
        <v>0</v>
      </c>
      <c r="W90" s="152">
        <f t="shared" si="238"/>
        <v>0</v>
      </c>
      <c r="X90" s="152">
        <f t="shared" si="238"/>
        <v>0</v>
      </c>
      <c r="Y90" s="152">
        <f t="shared" si="238"/>
        <v>0</v>
      </c>
      <c r="Z90" s="152">
        <f t="shared" si="238"/>
        <v>0</v>
      </c>
      <c r="AA90" s="152">
        <f t="shared" si="238"/>
        <v>0</v>
      </c>
      <c r="AB90" s="152">
        <f t="shared" si="238"/>
        <v>0</v>
      </c>
      <c r="AC90" s="152">
        <f t="shared" si="238"/>
        <v>0</v>
      </c>
      <c r="AD90" s="138">
        <f t="shared" si="224"/>
        <v>-1</v>
      </c>
      <c r="AE90" s="146"/>
      <c r="AF90" s="146"/>
    </row>
    <row r="91" spans="2:32" x14ac:dyDescent="0.2">
      <c r="B91" s="20" t="s">
        <v>429</v>
      </c>
      <c r="C91" s="152"/>
      <c r="D91" s="152"/>
      <c r="E91" s="152"/>
      <c r="F91" s="152"/>
      <c r="G91" s="152">
        <f>G52/G25</f>
        <v>0.20289855072463769</v>
      </c>
      <c r="H91" s="152" t="e">
        <f t="shared" ref="H91:P91" si="239">H52/H25</f>
        <v>#DIV/0!</v>
      </c>
      <c r="I91" s="152" t="e">
        <f t="shared" si="239"/>
        <v>#DIV/0!</v>
      </c>
      <c r="J91" s="152" t="e">
        <f t="shared" si="239"/>
        <v>#DIV/0!</v>
      </c>
      <c r="K91" s="152" t="e">
        <f t="shared" si="239"/>
        <v>#DIV/0!</v>
      </c>
      <c r="L91" s="152" t="e">
        <f t="shared" si="239"/>
        <v>#DIV/0!</v>
      </c>
      <c r="M91" s="152" t="e">
        <f t="shared" si="239"/>
        <v>#DIV/0!</v>
      </c>
      <c r="N91" s="152" t="e">
        <f t="shared" si="239"/>
        <v>#DIV/0!</v>
      </c>
      <c r="O91" s="152">
        <f t="shared" si="239"/>
        <v>0.20289855072463769</v>
      </c>
      <c r="P91" s="152">
        <f t="shared" si="239"/>
        <v>0.19827586206896552</v>
      </c>
      <c r="Q91" s="152">
        <f t="shared" ref="Q91" si="240">Q52/Q25</f>
        <v>0.18926444444444437</v>
      </c>
      <c r="R91" s="118">
        <f t="shared" si="222"/>
        <v>-2.557479639571314E-3</v>
      </c>
      <c r="S91" s="20"/>
      <c r="T91" s="152">
        <f t="shared" ref="T91:AC91" si="241">T52/T25</f>
        <v>0.18926444444444443</v>
      </c>
      <c r="U91" s="152">
        <f t="shared" si="241"/>
        <v>0.1892644444444444</v>
      </c>
      <c r="V91" s="152">
        <f t="shared" si="241"/>
        <v>0.18926444444444432</v>
      </c>
      <c r="W91" s="152">
        <f t="shared" si="241"/>
        <v>0.18926444444444432</v>
      </c>
      <c r="X91" s="152">
        <f t="shared" si="241"/>
        <v>0.18926444444444437</v>
      </c>
      <c r="Y91" s="152">
        <f t="shared" si="241"/>
        <v>0.18926444444444429</v>
      </c>
      <c r="Z91" s="152">
        <f t="shared" si="241"/>
        <v>0.18926444444444437</v>
      </c>
      <c r="AA91" s="152">
        <f t="shared" si="241"/>
        <v>0.18926444444444437</v>
      </c>
      <c r="AB91" s="152">
        <f t="shared" si="241"/>
        <v>0.18926444444444437</v>
      </c>
      <c r="AC91" s="152">
        <f t="shared" si="241"/>
        <v>0.1892644444444444</v>
      </c>
      <c r="AD91" s="138">
        <f t="shared" si="224"/>
        <v>-3.4720031054333855E-3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0</v>
      </c>
      <c r="H93" s="152" t="e">
        <f t="shared" ref="H93:P93" si="242">H29/H25</f>
        <v>#DIV/0!</v>
      </c>
      <c r="I93" s="152" t="e">
        <f t="shared" si="242"/>
        <v>#DIV/0!</v>
      </c>
      <c r="J93" s="152" t="e">
        <f t="shared" si="242"/>
        <v>#DIV/0!</v>
      </c>
      <c r="K93" s="152" t="e">
        <f t="shared" si="242"/>
        <v>#DIV/0!</v>
      </c>
      <c r="L93" s="152" t="e">
        <f t="shared" si="242"/>
        <v>#DIV/0!</v>
      </c>
      <c r="M93" s="152" t="e">
        <f t="shared" si="242"/>
        <v>#DIV/0!</v>
      </c>
      <c r="N93" s="152" t="e">
        <f t="shared" si="242"/>
        <v>#DIV/0!</v>
      </c>
      <c r="O93" s="152">
        <f t="shared" si="242"/>
        <v>0</v>
      </c>
      <c r="P93" s="152">
        <f t="shared" si="242"/>
        <v>0</v>
      </c>
      <c r="Q93" s="152">
        <f t="shared" ref="Q93" si="243">Q29/Q25</f>
        <v>0</v>
      </c>
      <c r="R93" s="118" t="e">
        <f t="shared" si="222"/>
        <v>#DIV/0!</v>
      </c>
      <c r="S93" s="20"/>
      <c r="T93" s="152">
        <f t="shared" ref="T93:AC93" si="244">T29/T25</f>
        <v>0</v>
      </c>
      <c r="U93" s="152">
        <f t="shared" si="244"/>
        <v>0</v>
      </c>
      <c r="V93" s="152">
        <f t="shared" si="244"/>
        <v>0</v>
      </c>
      <c r="W93" s="152">
        <f t="shared" si="244"/>
        <v>0</v>
      </c>
      <c r="X93" s="152">
        <f t="shared" si="244"/>
        <v>0</v>
      </c>
      <c r="Y93" s="152">
        <f t="shared" si="244"/>
        <v>0</v>
      </c>
      <c r="Z93" s="152">
        <f t="shared" si="244"/>
        <v>0</v>
      </c>
      <c r="AA93" s="152">
        <f t="shared" si="244"/>
        <v>0</v>
      </c>
      <c r="AB93" s="152">
        <f t="shared" si="244"/>
        <v>0</v>
      </c>
      <c r="AC93" s="152">
        <f t="shared" si="244"/>
        <v>0</v>
      </c>
      <c r="AD93" s="138" t="e">
        <f t="shared" si="224"/>
        <v>#DIV/0!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</v>
      </c>
      <c r="H94" s="152" t="e">
        <f t="shared" ref="H94:P94" si="245">H29/H36</f>
        <v>#DIV/0!</v>
      </c>
      <c r="I94" s="152" t="e">
        <f t="shared" si="245"/>
        <v>#DIV/0!</v>
      </c>
      <c r="J94" s="152" t="e">
        <f t="shared" si="245"/>
        <v>#DIV/0!</v>
      </c>
      <c r="K94" s="152" t="e">
        <f t="shared" si="245"/>
        <v>#DIV/0!</v>
      </c>
      <c r="L94" s="152" t="e">
        <f t="shared" si="245"/>
        <v>#DIV/0!</v>
      </c>
      <c r="M94" s="152" t="e">
        <f t="shared" si="245"/>
        <v>#DIV/0!</v>
      </c>
      <c r="N94" s="152" t="e">
        <f t="shared" si="245"/>
        <v>#DIV/0!</v>
      </c>
      <c r="O94" s="152">
        <f t="shared" si="245"/>
        <v>0</v>
      </c>
      <c r="P94" s="152">
        <f t="shared" si="245"/>
        <v>0</v>
      </c>
      <c r="Q94" s="152">
        <f t="shared" ref="Q94" si="246">Q29/Q36</f>
        <v>0</v>
      </c>
      <c r="R94" s="118" t="e">
        <f t="shared" ref="R94" si="247">((P94/G94)^(1/($H$2-$H$1) ))-1</f>
        <v>#DIV/0!</v>
      </c>
      <c r="S94" s="20"/>
      <c r="T94" s="152">
        <f t="shared" ref="T94:AC94" si="248">T29/T36</f>
        <v>0</v>
      </c>
      <c r="U94" s="152">
        <f t="shared" si="248"/>
        <v>0</v>
      </c>
      <c r="V94" s="152">
        <f t="shared" si="248"/>
        <v>0</v>
      </c>
      <c r="W94" s="152">
        <f t="shared" si="248"/>
        <v>0</v>
      </c>
      <c r="X94" s="152">
        <f t="shared" si="248"/>
        <v>0</v>
      </c>
      <c r="Y94" s="152">
        <f t="shared" si="248"/>
        <v>0</v>
      </c>
      <c r="Z94" s="152">
        <f t="shared" si="248"/>
        <v>0</v>
      </c>
      <c r="AA94" s="152">
        <f t="shared" si="248"/>
        <v>0</v>
      </c>
      <c r="AB94" s="152">
        <f t="shared" si="248"/>
        <v>0</v>
      </c>
      <c r="AC94" s="152">
        <f t="shared" si="248"/>
        <v>0</v>
      </c>
      <c r="AD94" s="138" t="e">
        <f t="shared" ref="AD94" si="249">((AC94/G94)^(1/($AC$3-$H$1) ))-1</f>
        <v>#DIV/0!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50">G29/G40</f>
        <v>0</v>
      </c>
      <c r="H95" s="171" t="e">
        <f t="shared" si="250"/>
        <v>#DIV/0!</v>
      </c>
      <c r="I95" s="171" t="e">
        <f t="shared" si="250"/>
        <v>#DIV/0!</v>
      </c>
      <c r="J95" s="171" t="e">
        <f t="shared" si="250"/>
        <v>#DIV/0!</v>
      </c>
      <c r="K95" s="171" t="e">
        <f t="shared" si="250"/>
        <v>#DIV/0!</v>
      </c>
      <c r="L95" s="171" t="e">
        <f t="shared" si="250"/>
        <v>#DIV/0!</v>
      </c>
      <c r="M95" s="171" t="e">
        <f t="shared" si="250"/>
        <v>#DIV/0!</v>
      </c>
      <c r="N95" s="171" t="e">
        <f t="shared" si="250"/>
        <v>#DIV/0!</v>
      </c>
      <c r="O95" s="171">
        <f t="shared" si="250"/>
        <v>0</v>
      </c>
      <c r="P95" s="171">
        <f t="shared" si="250"/>
        <v>0</v>
      </c>
      <c r="Q95" s="171">
        <f t="shared" ref="Q95" si="251">Q29/Q40</f>
        <v>0</v>
      </c>
      <c r="R95" s="118" t="e">
        <f t="shared" ref="R95" si="252">((P95/G95)^(1/($H$2-$H$1) ))-1</f>
        <v>#DIV/0!</v>
      </c>
      <c r="S95" s="20"/>
      <c r="T95" s="171">
        <f t="shared" ref="T95:AC95" si="253">T29/T40</f>
        <v>0</v>
      </c>
      <c r="U95" s="171">
        <f t="shared" si="253"/>
        <v>0</v>
      </c>
      <c r="V95" s="171">
        <f t="shared" si="253"/>
        <v>0</v>
      </c>
      <c r="W95" s="171">
        <f t="shared" si="253"/>
        <v>0</v>
      </c>
      <c r="X95" s="171">
        <f t="shared" si="253"/>
        <v>0</v>
      </c>
      <c r="Y95" s="171">
        <f t="shared" si="253"/>
        <v>0</v>
      </c>
      <c r="Z95" s="171">
        <f t="shared" si="253"/>
        <v>0</v>
      </c>
      <c r="AA95" s="171">
        <f t="shared" si="253"/>
        <v>0</v>
      </c>
      <c r="AB95" s="171">
        <f t="shared" si="253"/>
        <v>0</v>
      </c>
      <c r="AC95" s="171">
        <f t="shared" si="253"/>
        <v>0</v>
      </c>
      <c r="AD95" s="138" t="e">
        <f t="shared" ref="AD95" si="254">((AC95/G95)^(1/($AC$3-$H$1) ))-1</f>
        <v>#DIV/0!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55">G29/G12</f>
        <v>0</v>
      </c>
      <c r="H96" s="171" t="e">
        <f t="shared" si="255"/>
        <v>#DIV/0!</v>
      </c>
      <c r="I96" s="171" t="e">
        <f t="shared" si="255"/>
        <v>#DIV/0!</v>
      </c>
      <c r="J96" s="171" t="e">
        <f t="shared" si="255"/>
        <v>#DIV/0!</v>
      </c>
      <c r="K96" s="171" t="e">
        <f t="shared" si="255"/>
        <v>#DIV/0!</v>
      </c>
      <c r="L96" s="171" t="e">
        <f t="shared" si="255"/>
        <v>#DIV/0!</v>
      </c>
      <c r="M96" s="171" t="e">
        <f t="shared" si="255"/>
        <v>#DIV/0!</v>
      </c>
      <c r="N96" s="171" t="e">
        <f t="shared" si="255"/>
        <v>#DIV/0!</v>
      </c>
      <c r="O96" s="171">
        <f t="shared" si="255"/>
        <v>0</v>
      </c>
      <c r="P96" s="171">
        <f t="shared" si="255"/>
        <v>0</v>
      </c>
      <c r="Q96" s="171">
        <f t="shared" ref="Q96" si="256">Q29/Q12</f>
        <v>0</v>
      </c>
      <c r="R96" s="118" t="e">
        <f t="shared" si="222"/>
        <v>#DIV/0!</v>
      </c>
      <c r="S96" s="20"/>
      <c r="T96" s="152">
        <f t="shared" ref="T96:AC96" si="257">T29/T12</f>
        <v>0</v>
      </c>
      <c r="U96" s="152">
        <f t="shared" si="257"/>
        <v>0</v>
      </c>
      <c r="V96" s="152">
        <f t="shared" si="257"/>
        <v>0</v>
      </c>
      <c r="W96" s="152">
        <f t="shared" si="257"/>
        <v>0</v>
      </c>
      <c r="X96" s="152">
        <f t="shared" si="257"/>
        <v>0</v>
      </c>
      <c r="Y96" s="152">
        <f t="shared" si="257"/>
        <v>0</v>
      </c>
      <c r="Z96" s="152">
        <f t="shared" si="257"/>
        <v>0</v>
      </c>
      <c r="AA96" s="152">
        <f t="shared" si="257"/>
        <v>0</v>
      </c>
      <c r="AB96" s="152">
        <f t="shared" si="257"/>
        <v>0</v>
      </c>
      <c r="AC96" s="152">
        <f t="shared" si="257"/>
        <v>0</v>
      </c>
      <c r="AD96" s="138" t="e">
        <f t="shared" si="224"/>
        <v>#DIV/0!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0</v>
      </c>
      <c r="H97" s="171" t="e">
        <f t="shared" ref="H97:P97" si="258">H29/H23</f>
        <v>#DIV/0!</v>
      </c>
      <c r="I97" s="171" t="e">
        <f t="shared" si="258"/>
        <v>#DIV/0!</v>
      </c>
      <c r="J97" s="171" t="e">
        <f t="shared" si="258"/>
        <v>#DIV/0!</v>
      </c>
      <c r="K97" s="171" t="e">
        <f t="shared" si="258"/>
        <v>#DIV/0!</v>
      </c>
      <c r="L97" s="171" t="e">
        <f t="shared" si="258"/>
        <v>#DIV/0!</v>
      </c>
      <c r="M97" s="171" t="e">
        <f t="shared" si="258"/>
        <v>#DIV/0!</v>
      </c>
      <c r="N97" s="171" t="e">
        <f t="shared" si="258"/>
        <v>#DIV/0!</v>
      </c>
      <c r="O97" s="171">
        <f t="shared" si="258"/>
        <v>0</v>
      </c>
      <c r="P97" s="171">
        <f t="shared" si="258"/>
        <v>0</v>
      </c>
      <c r="Q97" s="171" t="e">
        <f t="shared" ref="Q97" si="259">Q29/Q23</f>
        <v>#DIV/0!</v>
      </c>
      <c r="R97" s="118" t="e">
        <f t="shared" ref="R97" si="260">((P97/G97)^(1/($H$2-$H$1) ))-1</f>
        <v>#DIV/0!</v>
      </c>
      <c r="S97" s="20"/>
      <c r="T97" s="171" t="e">
        <f t="shared" ref="T97:AC97" si="261">T29/T23</f>
        <v>#DIV/0!</v>
      </c>
      <c r="U97" s="171" t="e">
        <f t="shared" si="261"/>
        <v>#DIV/0!</v>
      </c>
      <c r="V97" s="171" t="e">
        <f t="shared" si="261"/>
        <v>#DIV/0!</v>
      </c>
      <c r="W97" s="171" t="e">
        <f t="shared" si="261"/>
        <v>#DIV/0!</v>
      </c>
      <c r="X97" s="171" t="e">
        <f t="shared" si="261"/>
        <v>#DIV/0!</v>
      </c>
      <c r="Y97" s="171" t="e">
        <f t="shared" si="261"/>
        <v>#DIV/0!</v>
      </c>
      <c r="Z97" s="171" t="e">
        <f t="shared" si="261"/>
        <v>#DIV/0!</v>
      </c>
      <c r="AA97" s="171" t="e">
        <f t="shared" si="261"/>
        <v>#DIV/0!</v>
      </c>
      <c r="AB97" s="171" t="e">
        <f t="shared" si="261"/>
        <v>#DIV/0!</v>
      </c>
      <c r="AC97" s="171" t="e">
        <f t="shared" si="261"/>
        <v>#DIV/0!</v>
      </c>
      <c r="AD97" s="138" t="e">
        <f t="shared" ref="AD97" si="262">((AC97/G97)^(1/($AC$3-$H$1) ))-1</f>
        <v>#DIV/0!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403</v>
      </c>
      <c r="C99" s="152"/>
      <c r="D99" s="152"/>
      <c r="E99" s="152"/>
      <c r="F99" s="152"/>
      <c r="G99" s="127" t="e">
        <f>1/G93</f>
        <v>#DIV/0!</v>
      </c>
      <c r="H99" s="127" t="e">
        <f t="shared" ref="H99:P99" si="263">1/H93</f>
        <v>#DIV/0!</v>
      </c>
      <c r="I99" s="127" t="e">
        <f t="shared" si="263"/>
        <v>#DIV/0!</v>
      </c>
      <c r="J99" s="127" t="e">
        <f t="shared" si="263"/>
        <v>#DIV/0!</v>
      </c>
      <c r="K99" s="127" t="e">
        <f t="shared" si="263"/>
        <v>#DIV/0!</v>
      </c>
      <c r="L99" s="127" t="e">
        <f t="shared" si="263"/>
        <v>#DIV/0!</v>
      </c>
      <c r="M99" s="127" t="e">
        <f t="shared" si="263"/>
        <v>#DIV/0!</v>
      </c>
      <c r="N99" s="127" t="e">
        <f t="shared" si="263"/>
        <v>#DIV/0!</v>
      </c>
      <c r="O99" s="127" t="e">
        <f t="shared" si="263"/>
        <v>#DIV/0!</v>
      </c>
      <c r="P99" s="127" t="e">
        <f t="shared" si="263"/>
        <v>#DIV/0!</v>
      </c>
      <c r="Q99" s="127" t="e">
        <f t="shared" ref="Q99" si="264">1/Q93</f>
        <v>#DIV/0!</v>
      </c>
      <c r="R99" s="118" t="e">
        <f t="shared" si="222"/>
        <v>#DIV/0!</v>
      </c>
      <c r="S99" s="20"/>
      <c r="T99" s="127" t="e">
        <f t="shared" ref="T99:AC99" si="265">1/T93</f>
        <v>#DIV/0!</v>
      </c>
      <c r="U99" s="127" t="e">
        <f t="shared" si="265"/>
        <v>#DIV/0!</v>
      </c>
      <c r="V99" s="127" t="e">
        <f t="shared" si="265"/>
        <v>#DIV/0!</v>
      </c>
      <c r="W99" s="127" t="e">
        <f t="shared" si="265"/>
        <v>#DIV/0!</v>
      </c>
      <c r="X99" s="127" t="e">
        <f t="shared" si="265"/>
        <v>#DIV/0!</v>
      </c>
      <c r="Y99" s="127" t="e">
        <f t="shared" si="265"/>
        <v>#DIV/0!</v>
      </c>
      <c r="Z99" s="127" t="e">
        <f t="shared" si="265"/>
        <v>#DIV/0!</v>
      </c>
      <c r="AA99" s="127" t="e">
        <f t="shared" si="265"/>
        <v>#DIV/0!</v>
      </c>
      <c r="AB99" s="127" t="e">
        <f t="shared" si="265"/>
        <v>#DIV/0!</v>
      </c>
      <c r="AC99" s="127" t="e">
        <f t="shared" si="265"/>
        <v>#DIV/0!</v>
      </c>
      <c r="AD99" s="138" t="e">
        <f t="shared" si="224"/>
        <v>#DIV/0!</v>
      </c>
      <c r="AE99" s="146"/>
      <c r="AF99" s="146"/>
    </row>
    <row r="100" spans="2:32" ht="12" customHeight="1" x14ac:dyDescent="0.2">
      <c r="B100" s="20" t="s">
        <v>404</v>
      </c>
      <c r="C100" s="152"/>
      <c r="D100" s="152"/>
      <c r="E100" s="152"/>
      <c r="F100" s="152"/>
      <c r="G100" s="127" t="e">
        <f t="shared" ref="G100:P103" si="266">1/G94</f>
        <v>#DIV/0!</v>
      </c>
      <c r="H100" s="127" t="e">
        <f t="shared" si="266"/>
        <v>#DIV/0!</v>
      </c>
      <c r="I100" s="127" t="e">
        <f t="shared" si="266"/>
        <v>#DIV/0!</v>
      </c>
      <c r="J100" s="127" t="e">
        <f t="shared" si="266"/>
        <v>#DIV/0!</v>
      </c>
      <c r="K100" s="127" t="e">
        <f t="shared" si="266"/>
        <v>#DIV/0!</v>
      </c>
      <c r="L100" s="127" t="e">
        <f t="shared" si="266"/>
        <v>#DIV/0!</v>
      </c>
      <c r="M100" s="127" t="e">
        <f t="shared" si="266"/>
        <v>#DIV/0!</v>
      </c>
      <c r="N100" s="127" t="e">
        <f t="shared" si="266"/>
        <v>#DIV/0!</v>
      </c>
      <c r="O100" s="127" t="e">
        <f t="shared" si="266"/>
        <v>#DIV/0!</v>
      </c>
      <c r="P100" s="127" t="e">
        <f t="shared" si="266"/>
        <v>#DIV/0!</v>
      </c>
      <c r="Q100" s="127" t="e">
        <f t="shared" ref="Q100" si="267">1/Q94</f>
        <v>#DIV/0!</v>
      </c>
      <c r="R100" s="118" t="e">
        <f t="shared" si="222"/>
        <v>#DIV/0!</v>
      </c>
      <c r="S100" s="20"/>
      <c r="T100" s="127" t="e">
        <f t="shared" ref="T100:AC100" si="268">1/T94</f>
        <v>#DIV/0!</v>
      </c>
      <c r="U100" s="127" t="e">
        <f t="shared" si="268"/>
        <v>#DIV/0!</v>
      </c>
      <c r="V100" s="127" t="e">
        <f t="shared" si="268"/>
        <v>#DIV/0!</v>
      </c>
      <c r="W100" s="127" t="e">
        <f t="shared" si="268"/>
        <v>#DIV/0!</v>
      </c>
      <c r="X100" s="127" t="e">
        <f t="shared" si="268"/>
        <v>#DIV/0!</v>
      </c>
      <c r="Y100" s="127" t="e">
        <f t="shared" si="268"/>
        <v>#DIV/0!</v>
      </c>
      <c r="Z100" s="127" t="e">
        <f t="shared" si="268"/>
        <v>#DIV/0!</v>
      </c>
      <c r="AA100" s="127" t="e">
        <f t="shared" si="268"/>
        <v>#DIV/0!</v>
      </c>
      <c r="AB100" s="127" t="e">
        <f t="shared" si="268"/>
        <v>#DIV/0!</v>
      </c>
      <c r="AC100" s="127" t="e">
        <f t="shared" si="268"/>
        <v>#DIV/0!</v>
      </c>
      <c r="AD100" s="138" t="e">
        <f t="shared" si="224"/>
        <v>#DIV/0!</v>
      </c>
      <c r="AE100" s="146"/>
      <c r="AF100" s="146"/>
    </row>
    <row r="101" spans="2:32" ht="12" customHeight="1" x14ac:dyDescent="0.2">
      <c r="B101" s="20" t="s">
        <v>405</v>
      </c>
      <c r="C101" s="152"/>
      <c r="D101" s="152"/>
      <c r="E101" s="152"/>
      <c r="F101" s="152"/>
      <c r="G101" s="127" t="e">
        <f t="shared" si="266"/>
        <v>#DIV/0!</v>
      </c>
      <c r="H101" s="127" t="e">
        <f t="shared" si="266"/>
        <v>#DIV/0!</v>
      </c>
      <c r="I101" s="127" t="e">
        <f t="shared" si="266"/>
        <v>#DIV/0!</v>
      </c>
      <c r="J101" s="127" t="e">
        <f t="shared" si="266"/>
        <v>#DIV/0!</v>
      </c>
      <c r="K101" s="127" t="e">
        <f t="shared" si="266"/>
        <v>#DIV/0!</v>
      </c>
      <c r="L101" s="127" t="e">
        <f t="shared" si="266"/>
        <v>#DIV/0!</v>
      </c>
      <c r="M101" s="127" t="e">
        <f t="shared" si="266"/>
        <v>#DIV/0!</v>
      </c>
      <c r="N101" s="127" t="e">
        <f t="shared" si="266"/>
        <v>#DIV/0!</v>
      </c>
      <c r="O101" s="127" t="e">
        <f t="shared" si="266"/>
        <v>#DIV/0!</v>
      </c>
      <c r="P101" s="127" t="e">
        <f t="shared" si="266"/>
        <v>#DIV/0!</v>
      </c>
      <c r="Q101" s="127" t="e">
        <f t="shared" ref="Q101" si="269">1/Q95</f>
        <v>#DIV/0!</v>
      </c>
      <c r="R101" s="118" t="e">
        <f t="shared" si="222"/>
        <v>#DIV/0!</v>
      </c>
      <c r="S101" s="20"/>
      <c r="T101" s="127" t="e">
        <f t="shared" ref="T101:AC101" si="270">1/T95</f>
        <v>#DIV/0!</v>
      </c>
      <c r="U101" s="127" t="e">
        <f t="shared" si="270"/>
        <v>#DIV/0!</v>
      </c>
      <c r="V101" s="127" t="e">
        <f t="shared" si="270"/>
        <v>#DIV/0!</v>
      </c>
      <c r="W101" s="127" t="e">
        <f t="shared" si="270"/>
        <v>#DIV/0!</v>
      </c>
      <c r="X101" s="127" t="e">
        <f t="shared" si="270"/>
        <v>#DIV/0!</v>
      </c>
      <c r="Y101" s="127" t="e">
        <f t="shared" si="270"/>
        <v>#DIV/0!</v>
      </c>
      <c r="Z101" s="127" t="e">
        <f t="shared" si="270"/>
        <v>#DIV/0!</v>
      </c>
      <c r="AA101" s="127" t="e">
        <f t="shared" si="270"/>
        <v>#DIV/0!</v>
      </c>
      <c r="AB101" s="127" t="e">
        <f t="shared" si="270"/>
        <v>#DIV/0!</v>
      </c>
      <c r="AC101" s="127" t="e">
        <f t="shared" si="270"/>
        <v>#DIV/0!</v>
      </c>
      <c r="AD101" s="138" t="e">
        <f t="shared" si="224"/>
        <v>#DIV/0!</v>
      </c>
      <c r="AE101" s="146"/>
      <c r="AF101" s="146"/>
    </row>
    <row r="102" spans="2:32" ht="12" customHeight="1" x14ac:dyDescent="0.2">
      <c r="B102" s="20" t="s">
        <v>406</v>
      </c>
      <c r="C102" s="152"/>
      <c r="D102" s="152"/>
      <c r="E102" s="152"/>
      <c r="F102" s="152"/>
      <c r="G102" s="127" t="e">
        <f t="shared" si="266"/>
        <v>#DIV/0!</v>
      </c>
      <c r="H102" s="127" t="e">
        <f t="shared" si="266"/>
        <v>#DIV/0!</v>
      </c>
      <c r="I102" s="127" t="e">
        <f t="shared" si="266"/>
        <v>#DIV/0!</v>
      </c>
      <c r="J102" s="127" t="e">
        <f t="shared" si="266"/>
        <v>#DIV/0!</v>
      </c>
      <c r="K102" s="127" t="e">
        <f t="shared" si="266"/>
        <v>#DIV/0!</v>
      </c>
      <c r="L102" s="127" t="e">
        <f t="shared" si="266"/>
        <v>#DIV/0!</v>
      </c>
      <c r="M102" s="127" t="e">
        <f t="shared" si="266"/>
        <v>#DIV/0!</v>
      </c>
      <c r="N102" s="127" t="e">
        <f t="shared" si="266"/>
        <v>#DIV/0!</v>
      </c>
      <c r="O102" s="127" t="e">
        <f t="shared" si="266"/>
        <v>#DIV/0!</v>
      </c>
      <c r="P102" s="127" t="e">
        <f t="shared" si="266"/>
        <v>#DIV/0!</v>
      </c>
      <c r="Q102" s="127" t="e">
        <f t="shared" ref="Q102" si="271">1/Q96</f>
        <v>#DIV/0!</v>
      </c>
      <c r="R102" s="118" t="e">
        <f t="shared" si="222"/>
        <v>#DIV/0!</v>
      </c>
      <c r="S102" s="20"/>
      <c r="T102" s="127" t="e">
        <f t="shared" ref="T102:AC102" si="272">1/T96</f>
        <v>#DIV/0!</v>
      </c>
      <c r="U102" s="127" t="e">
        <f t="shared" si="272"/>
        <v>#DIV/0!</v>
      </c>
      <c r="V102" s="127" t="e">
        <f t="shared" si="272"/>
        <v>#DIV/0!</v>
      </c>
      <c r="W102" s="127" t="e">
        <f t="shared" si="272"/>
        <v>#DIV/0!</v>
      </c>
      <c r="X102" s="127" t="e">
        <f t="shared" si="272"/>
        <v>#DIV/0!</v>
      </c>
      <c r="Y102" s="127" t="e">
        <f t="shared" si="272"/>
        <v>#DIV/0!</v>
      </c>
      <c r="Z102" s="127" t="e">
        <f t="shared" si="272"/>
        <v>#DIV/0!</v>
      </c>
      <c r="AA102" s="127" t="e">
        <f t="shared" si="272"/>
        <v>#DIV/0!</v>
      </c>
      <c r="AB102" s="127" t="e">
        <f t="shared" si="272"/>
        <v>#DIV/0!</v>
      </c>
      <c r="AC102" s="127" t="e">
        <f t="shared" si="272"/>
        <v>#DIV/0!</v>
      </c>
      <c r="AD102" s="138" t="e">
        <f t="shared" si="224"/>
        <v>#DIV/0!</v>
      </c>
      <c r="AE102" s="146"/>
      <c r="AF102" s="146"/>
    </row>
    <row r="103" spans="2:32" ht="12" customHeight="1" x14ac:dyDescent="0.2">
      <c r="B103" s="20" t="s">
        <v>407</v>
      </c>
      <c r="C103" s="152"/>
      <c r="D103" s="152"/>
      <c r="E103" s="152"/>
      <c r="F103" s="152"/>
      <c r="G103" s="127" t="e">
        <f t="shared" si="266"/>
        <v>#DIV/0!</v>
      </c>
      <c r="H103" s="127" t="e">
        <f t="shared" si="266"/>
        <v>#DIV/0!</v>
      </c>
      <c r="I103" s="127" t="e">
        <f t="shared" si="266"/>
        <v>#DIV/0!</v>
      </c>
      <c r="J103" s="127" t="e">
        <f t="shared" si="266"/>
        <v>#DIV/0!</v>
      </c>
      <c r="K103" s="127" t="e">
        <f t="shared" si="266"/>
        <v>#DIV/0!</v>
      </c>
      <c r="L103" s="127" t="e">
        <f t="shared" si="266"/>
        <v>#DIV/0!</v>
      </c>
      <c r="M103" s="127" t="e">
        <f t="shared" si="266"/>
        <v>#DIV/0!</v>
      </c>
      <c r="N103" s="127" t="e">
        <f t="shared" si="266"/>
        <v>#DIV/0!</v>
      </c>
      <c r="O103" s="127" t="e">
        <f t="shared" si="266"/>
        <v>#DIV/0!</v>
      </c>
      <c r="P103" s="127" t="e">
        <f t="shared" si="266"/>
        <v>#DIV/0!</v>
      </c>
      <c r="Q103" s="127" t="e">
        <f t="shared" ref="Q103" si="273">1/Q97</f>
        <v>#DIV/0!</v>
      </c>
      <c r="R103" s="118" t="e">
        <f t="shared" si="222"/>
        <v>#DIV/0!</v>
      </c>
      <c r="S103" s="20"/>
      <c r="T103" s="127" t="e">
        <f t="shared" ref="T103:AC103" si="274">1/T97</f>
        <v>#DIV/0!</v>
      </c>
      <c r="U103" s="127" t="e">
        <f t="shared" si="274"/>
        <v>#DIV/0!</v>
      </c>
      <c r="V103" s="127" t="e">
        <f t="shared" si="274"/>
        <v>#DIV/0!</v>
      </c>
      <c r="W103" s="127" t="e">
        <f t="shared" si="274"/>
        <v>#DIV/0!</v>
      </c>
      <c r="X103" s="127" t="e">
        <f t="shared" si="274"/>
        <v>#DIV/0!</v>
      </c>
      <c r="Y103" s="127" t="e">
        <f t="shared" si="274"/>
        <v>#DIV/0!</v>
      </c>
      <c r="Z103" s="127" t="e">
        <f t="shared" si="274"/>
        <v>#DIV/0!</v>
      </c>
      <c r="AA103" s="127" t="e">
        <f t="shared" si="274"/>
        <v>#DIV/0!</v>
      </c>
      <c r="AB103" s="127" t="e">
        <f t="shared" si="274"/>
        <v>#DIV/0!</v>
      </c>
      <c r="AC103" s="127" t="e">
        <f t="shared" si="274"/>
        <v>#DIV/0!</v>
      </c>
      <c r="AD103" s="138" t="e">
        <f t="shared" si="224"/>
        <v>#DIV/0!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75">F10-(F12+F13)</f>
        <v>0</v>
      </c>
      <c r="G106" s="163">
        <f t="shared" si="275"/>
        <v>-336</v>
      </c>
      <c r="H106" s="163">
        <f t="shared" si="275"/>
        <v>0</v>
      </c>
      <c r="I106" s="163">
        <f t="shared" si="275"/>
        <v>0</v>
      </c>
      <c r="J106" s="163">
        <f t="shared" si="275"/>
        <v>0</v>
      </c>
      <c r="K106" s="163">
        <f t="shared" si="275"/>
        <v>0</v>
      </c>
      <c r="L106" s="163">
        <f t="shared" si="275"/>
        <v>0</v>
      </c>
      <c r="M106" s="163">
        <f t="shared" si="275"/>
        <v>0</v>
      </c>
      <c r="N106" s="163">
        <f t="shared" si="275"/>
        <v>0</v>
      </c>
      <c r="O106" s="163">
        <f t="shared" si="275"/>
        <v>-336</v>
      </c>
      <c r="P106" s="163">
        <f>P10-(P12+P13)</f>
        <v>-416</v>
      </c>
      <c r="Q106" s="163">
        <f>Q10-(Q12+Q13)</f>
        <v>-295</v>
      </c>
      <c r="R106" s="118">
        <f t="shared" si="222"/>
        <v>2.4014263366006539E-2</v>
      </c>
      <c r="S106" s="20"/>
      <c r="T106" s="163">
        <f>T10-(T12+T13)</f>
        <v>-336.30000000000007</v>
      </c>
      <c r="U106" s="163">
        <f t="shared" ref="U106:AC106" si="276">U10-(U12+U13)</f>
        <v>-383.38200000000012</v>
      </c>
      <c r="V106" s="163">
        <f t="shared" si="276"/>
        <v>-437.05548000000016</v>
      </c>
      <c r="W106" s="163">
        <f t="shared" si="276"/>
        <v>-498.24324720000027</v>
      </c>
      <c r="X106" s="163">
        <f t="shared" si="276"/>
        <v>-567.99730180800032</v>
      </c>
      <c r="Y106" s="163">
        <f t="shared" si="276"/>
        <v>-647.51692406112045</v>
      </c>
      <c r="Z106" s="163">
        <f t="shared" si="276"/>
        <v>-738.1692934296774</v>
      </c>
      <c r="AA106" s="163">
        <f t="shared" si="276"/>
        <v>-841.51299450983231</v>
      </c>
      <c r="AB106" s="163">
        <f t="shared" si="276"/>
        <v>-959.32481374120891</v>
      </c>
      <c r="AC106" s="163">
        <f t="shared" si="276"/>
        <v>-1093.6302876649784</v>
      </c>
      <c r="AD106" s="138">
        <f t="shared" si="224"/>
        <v>6.0783027943156265E-2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277">G40/G18</f>
        <v>1.9107142857142858</v>
      </c>
      <c r="H107" s="152" t="e">
        <f t="shared" si="277"/>
        <v>#DIV/0!</v>
      </c>
      <c r="I107" s="152" t="e">
        <f t="shared" si="277"/>
        <v>#DIV/0!</v>
      </c>
      <c r="J107" s="152" t="e">
        <f t="shared" si="277"/>
        <v>#DIV/0!</v>
      </c>
      <c r="K107" s="152" t="e">
        <f t="shared" si="277"/>
        <v>#DIV/0!</v>
      </c>
      <c r="L107" s="152" t="e">
        <f t="shared" si="277"/>
        <v>#DIV/0!</v>
      </c>
      <c r="M107" s="152" t="e">
        <f t="shared" si="277"/>
        <v>#DIV/0!</v>
      </c>
      <c r="N107" s="152" t="e">
        <f t="shared" si="277"/>
        <v>#DIV/0!</v>
      </c>
      <c r="O107" s="152">
        <f t="shared" si="277"/>
        <v>1.9107142857142858</v>
      </c>
      <c r="P107" s="152">
        <f t="shared" si="277"/>
        <v>1.9655172413793103</v>
      </c>
      <c r="Q107" s="152" t="e">
        <f t="shared" ref="Q107" si="278">Q40/Q18</f>
        <v>#DIV/0!</v>
      </c>
      <c r="R107" s="118">
        <f t="shared" si="222"/>
        <v>3.1469740387761735E-3</v>
      </c>
      <c r="S107" s="20"/>
      <c r="T107" s="152" t="e">
        <f t="shared" ref="T107:AC107" si="279">T40/T18</f>
        <v>#DIV/0!</v>
      </c>
      <c r="U107" s="152" t="e">
        <f t="shared" si="279"/>
        <v>#DIV/0!</v>
      </c>
      <c r="V107" s="152" t="e">
        <f t="shared" si="279"/>
        <v>#DIV/0!</v>
      </c>
      <c r="W107" s="152" t="e">
        <f t="shared" si="279"/>
        <v>#DIV/0!</v>
      </c>
      <c r="X107" s="152" t="e">
        <f t="shared" si="279"/>
        <v>#DIV/0!</v>
      </c>
      <c r="Y107" s="152" t="e">
        <f t="shared" si="279"/>
        <v>#DIV/0!</v>
      </c>
      <c r="Z107" s="152" t="e">
        <f t="shared" si="279"/>
        <v>#DIV/0!</v>
      </c>
      <c r="AA107" s="152" t="e">
        <f t="shared" si="279"/>
        <v>#DIV/0!</v>
      </c>
      <c r="AB107" s="152" t="e">
        <f t="shared" si="279"/>
        <v>#DIV/0!</v>
      </c>
      <c r="AC107" s="152" t="e">
        <f t="shared" si="279"/>
        <v>#DIV/0!</v>
      </c>
      <c r="AD107" s="138" t="e">
        <f t="shared" si="224"/>
        <v>#DIV/0!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280">G40/G25</f>
        <v>0.51690821256038644</v>
      </c>
      <c r="H108" s="152" t="e">
        <f t="shared" si="280"/>
        <v>#DIV/0!</v>
      </c>
      <c r="I108" s="152" t="e">
        <f t="shared" si="280"/>
        <v>#DIV/0!</v>
      </c>
      <c r="J108" s="152" t="e">
        <f t="shared" si="280"/>
        <v>#DIV/0!</v>
      </c>
      <c r="K108" s="152" t="e">
        <f t="shared" si="280"/>
        <v>#DIV/0!</v>
      </c>
      <c r="L108" s="152" t="e">
        <f t="shared" si="280"/>
        <v>#DIV/0!</v>
      </c>
      <c r="M108" s="152" t="e">
        <f t="shared" si="280"/>
        <v>#DIV/0!</v>
      </c>
      <c r="N108" s="152" t="e">
        <f t="shared" si="280"/>
        <v>#DIV/0!</v>
      </c>
      <c r="O108" s="152">
        <f t="shared" si="280"/>
        <v>0.51690821256038644</v>
      </c>
      <c r="P108" s="152">
        <f t="shared" si="280"/>
        <v>0.49137931034482757</v>
      </c>
      <c r="Q108" s="152">
        <f t="shared" ref="Q108" si="281">Q40/Q25</f>
        <v>0.48018518518518521</v>
      </c>
      <c r="R108" s="118">
        <f t="shared" si="222"/>
        <v>-5.6118570883531005E-3</v>
      </c>
      <c r="S108" s="20"/>
      <c r="T108" s="152">
        <f t="shared" ref="T108:AC108" si="282">T40/T25</f>
        <v>0.48018518518518521</v>
      </c>
      <c r="U108" s="152">
        <f t="shared" si="282"/>
        <v>0.48018518518518521</v>
      </c>
      <c r="V108" s="152">
        <f t="shared" si="282"/>
        <v>0.48018518518518521</v>
      </c>
      <c r="W108" s="152">
        <f t="shared" si="282"/>
        <v>0.48018518518518521</v>
      </c>
      <c r="X108" s="152">
        <f t="shared" si="282"/>
        <v>0.48018518518518527</v>
      </c>
      <c r="Y108" s="152">
        <f t="shared" si="282"/>
        <v>0.48018518518518527</v>
      </c>
      <c r="Z108" s="152">
        <f t="shared" si="282"/>
        <v>0.48018518518518527</v>
      </c>
      <c r="AA108" s="152">
        <f t="shared" si="282"/>
        <v>0.48018518518518527</v>
      </c>
      <c r="AB108" s="152">
        <f t="shared" si="282"/>
        <v>0.48018518518518527</v>
      </c>
      <c r="AC108" s="152">
        <f t="shared" si="282"/>
        <v>0.48018518518518521</v>
      </c>
      <c r="AD108" s="138">
        <f t="shared" si="224"/>
        <v>-3.6778943277783194E-3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283">G25/G18</f>
        <v>3.6964285714285716</v>
      </c>
      <c r="H109" s="152" t="e">
        <f t="shared" si="283"/>
        <v>#DIV/0!</v>
      </c>
      <c r="I109" s="152" t="e">
        <f t="shared" si="283"/>
        <v>#DIV/0!</v>
      </c>
      <c r="J109" s="152" t="e">
        <f t="shared" si="283"/>
        <v>#DIV/0!</v>
      </c>
      <c r="K109" s="152" t="e">
        <f t="shared" si="283"/>
        <v>#DIV/0!</v>
      </c>
      <c r="L109" s="152" t="e">
        <f t="shared" si="283"/>
        <v>#DIV/0!</v>
      </c>
      <c r="M109" s="152" t="e">
        <f t="shared" si="283"/>
        <v>#DIV/0!</v>
      </c>
      <c r="N109" s="152" t="e">
        <f t="shared" si="283"/>
        <v>#DIV/0!</v>
      </c>
      <c r="O109" s="152">
        <f t="shared" si="283"/>
        <v>3.6964285714285716</v>
      </c>
      <c r="P109" s="152">
        <f>P25/P18</f>
        <v>4</v>
      </c>
      <c r="Q109" s="152" t="e">
        <f>Q25/Q18</f>
        <v>#DIV/0!</v>
      </c>
      <c r="R109" s="118">
        <f t="shared" si="222"/>
        <v>8.8082618337370633E-3</v>
      </c>
      <c r="S109" s="20"/>
      <c r="T109" s="152" t="e">
        <f>T25/T18</f>
        <v>#DIV/0!</v>
      </c>
      <c r="U109" s="152" t="e">
        <f t="shared" ref="U109:AC109" si="284">U25/U18</f>
        <v>#DIV/0!</v>
      </c>
      <c r="V109" s="152" t="e">
        <f t="shared" si="284"/>
        <v>#DIV/0!</v>
      </c>
      <c r="W109" s="152" t="e">
        <f t="shared" si="284"/>
        <v>#DIV/0!</v>
      </c>
      <c r="X109" s="152" t="e">
        <f t="shared" si="284"/>
        <v>#DIV/0!</v>
      </c>
      <c r="Y109" s="152" t="e">
        <f t="shared" si="284"/>
        <v>#DIV/0!</v>
      </c>
      <c r="Z109" s="152" t="e">
        <f t="shared" si="284"/>
        <v>#DIV/0!</v>
      </c>
      <c r="AA109" s="152" t="e">
        <f t="shared" si="284"/>
        <v>#DIV/0!</v>
      </c>
      <c r="AB109" s="152" t="e">
        <f t="shared" si="284"/>
        <v>#DIV/0!</v>
      </c>
      <c r="AC109" s="152" t="e">
        <f t="shared" si="284"/>
        <v>#DIV/0!</v>
      </c>
      <c r="AD109" s="138" t="e">
        <f t="shared" si="224"/>
        <v>#DIV/0!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285">E70*E42</f>
        <v>0</v>
      </c>
      <c r="F111" s="165">
        <f t="shared" si="285"/>
        <v>0</v>
      </c>
      <c r="G111" s="165">
        <f>G70*G42</f>
        <v>0</v>
      </c>
      <c r="H111" s="165">
        <f t="shared" ref="H111:P111" si="286">H70*H42</f>
        <v>0</v>
      </c>
      <c r="I111" s="165">
        <f t="shared" si="286"/>
        <v>0</v>
      </c>
      <c r="J111" s="165">
        <f t="shared" si="286"/>
        <v>0</v>
      </c>
      <c r="K111" s="165">
        <f t="shared" si="286"/>
        <v>0</v>
      </c>
      <c r="L111" s="165">
        <f t="shared" si="286"/>
        <v>0</v>
      </c>
      <c r="M111" s="165">
        <f t="shared" si="286"/>
        <v>0</v>
      </c>
      <c r="N111" s="165">
        <f t="shared" si="286"/>
        <v>0</v>
      </c>
      <c r="O111" s="165">
        <f t="shared" si="286"/>
        <v>0</v>
      </c>
      <c r="P111" s="165">
        <f t="shared" si="286"/>
        <v>57</v>
      </c>
      <c r="Q111" s="165">
        <f t="shared" ref="Q111" si="287">Q70*Q42</f>
        <v>17.393999999999998</v>
      </c>
      <c r="R111" s="118" t="e">
        <f t="shared" si="222"/>
        <v>#DIV/0!</v>
      </c>
      <c r="S111" s="20"/>
      <c r="T111" s="165">
        <f t="shared" ref="T111:AC111" si="288">T70*T42</f>
        <v>19.176885000000002</v>
      </c>
      <c r="U111" s="165">
        <f t="shared" si="288"/>
        <v>21.142515712500007</v>
      </c>
      <c r="V111" s="165">
        <f t="shared" si="288"/>
        <v>23.309623573031256</v>
      </c>
      <c r="W111" s="165">
        <f t="shared" si="288"/>
        <v>25.69885998926696</v>
      </c>
      <c r="X111" s="165">
        <f t="shared" si="288"/>
        <v>28.332993138166827</v>
      </c>
      <c r="Y111" s="165">
        <f t="shared" si="288"/>
        <v>31.237124934828937</v>
      </c>
      <c r="Z111" s="165">
        <f t="shared" si="288"/>
        <v>34.438930240648901</v>
      </c>
      <c r="AA111" s="165">
        <f t="shared" si="288"/>
        <v>37.96892059031542</v>
      </c>
      <c r="AB111" s="165">
        <f t="shared" si="288"/>
        <v>41.86073495082276</v>
      </c>
      <c r="AC111" s="165">
        <f t="shared" si="288"/>
        <v>46.151460283282091</v>
      </c>
      <c r="AD111" s="138" t="e">
        <f t="shared" si="224"/>
        <v>#DIV/0!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289">(G111*0.17)+G111</f>
        <v>0</v>
      </c>
      <c r="H112" s="165">
        <f t="shared" si="289"/>
        <v>0</v>
      </c>
      <c r="I112" s="165">
        <f t="shared" si="289"/>
        <v>0</v>
      </c>
      <c r="J112" s="165">
        <f t="shared" si="289"/>
        <v>0</v>
      </c>
      <c r="K112" s="165">
        <f t="shared" si="289"/>
        <v>0</v>
      </c>
      <c r="L112" s="165">
        <f t="shared" si="289"/>
        <v>0</v>
      </c>
      <c r="M112" s="165">
        <f t="shared" si="289"/>
        <v>0</v>
      </c>
      <c r="N112" s="165">
        <f t="shared" si="289"/>
        <v>0</v>
      </c>
      <c r="O112" s="165">
        <f t="shared" si="289"/>
        <v>0</v>
      </c>
      <c r="P112" s="165">
        <f t="shared" si="289"/>
        <v>66.69</v>
      </c>
      <c r="Q112" s="165">
        <f t="shared" ref="Q112" si="290">(Q111*0.17)+Q111</f>
        <v>20.35098</v>
      </c>
      <c r="R112" s="118" t="e">
        <f t="shared" si="222"/>
        <v>#DIV/0!</v>
      </c>
      <c r="S112" s="20"/>
      <c r="T112" s="165">
        <f t="shared" ref="T112:AC112" si="291">(T111*0.17)+T111</f>
        <v>22.436955450000003</v>
      </c>
      <c r="U112" s="165">
        <f t="shared" si="291"/>
        <v>24.736743383625008</v>
      </c>
      <c r="V112" s="165">
        <f t="shared" si="291"/>
        <v>27.272259580446569</v>
      </c>
      <c r="W112" s="165">
        <f t="shared" si="291"/>
        <v>30.067666187442345</v>
      </c>
      <c r="X112" s="165">
        <f t="shared" si="291"/>
        <v>33.149601971655187</v>
      </c>
      <c r="Y112" s="165">
        <f t="shared" si="291"/>
        <v>36.547436173749858</v>
      </c>
      <c r="Z112" s="165">
        <f t="shared" si="291"/>
        <v>40.293548381559212</v>
      </c>
      <c r="AA112" s="165">
        <f t="shared" si="291"/>
        <v>44.42363709066904</v>
      </c>
      <c r="AB112" s="165">
        <f t="shared" si="291"/>
        <v>48.977059892462627</v>
      </c>
      <c r="AC112" s="165">
        <f t="shared" si="291"/>
        <v>53.997208531440045</v>
      </c>
      <c r="AD112" s="138" t="e">
        <f t="shared" si="224"/>
        <v>#DIV/0!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292">F112/F40</f>
        <v>#DIV/0!</v>
      </c>
      <c r="G113" s="152">
        <f t="shared" si="292"/>
        <v>0</v>
      </c>
      <c r="H113" s="152" t="e">
        <f t="shared" si="292"/>
        <v>#DIV/0!</v>
      </c>
      <c r="I113" s="152" t="e">
        <f t="shared" si="292"/>
        <v>#DIV/0!</v>
      </c>
      <c r="J113" s="152" t="e">
        <f t="shared" si="292"/>
        <v>#DIV/0!</v>
      </c>
      <c r="K113" s="152" t="e">
        <f t="shared" si="292"/>
        <v>#DIV/0!</v>
      </c>
      <c r="L113" s="152" t="e">
        <f t="shared" si="292"/>
        <v>#DIV/0!</v>
      </c>
      <c r="M113" s="152" t="e">
        <f t="shared" si="292"/>
        <v>#DIV/0!</v>
      </c>
      <c r="N113" s="152" t="e">
        <f t="shared" si="292"/>
        <v>#DIV/0!</v>
      </c>
      <c r="O113" s="152">
        <f t="shared" si="292"/>
        <v>0</v>
      </c>
      <c r="P113" s="152">
        <f t="shared" si="292"/>
        <v>0.58499999999999996</v>
      </c>
      <c r="Q113" s="152">
        <f t="shared" ref="Q113" si="293">Q112/Q40</f>
        <v>0.15696860779020438</v>
      </c>
      <c r="R113" s="118" t="e">
        <f t="shared" si="222"/>
        <v>#DIV/0!</v>
      </c>
      <c r="S113" s="20"/>
      <c r="T113" s="152">
        <f t="shared" ref="T113:AC113" si="294">T112/T40</f>
        <v>0.151805166744474</v>
      </c>
      <c r="U113" s="152">
        <f t="shared" si="294"/>
        <v>0.14681157573314263</v>
      </c>
      <c r="V113" s="152">
        <f t="shared" si="294"/>
        <v>0.14198224758402606</v>
      </c>
      <c r="W113" s="152">
        <f t="shared" si="294"/>
        <v>0.13731177891349888</v>
      </c>
      <c r="X113" s="152">
        <f t="shared" si="294"/>
        <v>0.13279494408081799</v>
      </c>
      <c r="Y113" s="152">
        <f t="shared" si="294"/>
        <v>0.12842668934131743</v>
      </c>
      <c r="Z113" s="152">
        <f t="shared" si="294"/>
        <v>0.12420212719193195</v>
      </c>
      <c r="AA113" s="152">
        <f t="shared" si="294"/>
        <v>0.12011653090272369</v>
      </c>
      <c r="AB113" s="152">
        <f t="shared" si="294"/>
        <v>0.11616532922829199</v>
      </c>
      <c r="AC113" s="152">
        <f t="shared" si="294"/>
        <v>0.1123441012931508</v>
      </c>
      <c r="AD113" s="138" t="e">
        <f t="shared" si="224"/>
        <v>#DIV/0!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1</v>
      </c>
      <c r="H114" s="152" t="e">
        <f t="shared" ref="H114:P114" si="295">1-H113</f>
        <v>#DIV/0!</v>
      </c>
      <c r="I114" s="152" t="e">
        <f t="shared" si="295"/>
        <v>#DIV/0!</v>
      </c>
      <c r="J114" s="152" t="e">
        <f t="shared" si="295"/>
        <v>#DIV/0!</v>
      </c>
      <c r="K114" s="152" t="e">
        <f t="shared" si="295"/>
        <v>#DIV/0!</v>
      </c>
      <c r="L114" s="152" t="e">
        <f t="shared" si="295"/>
        <v>#DIV/0!</v>
      </c>
      <c r="M114" s="152" t="e">
        <f t="shared" si="295"/>
        <v>#DIV/0!</v>
      </c>
      <c r="N114" s="152" t="e">
        <f t="shared" si="295"/>
        <v>#DIV/0!</v>
      </c>
      <c r="O114" s="152">
        <f t="shared" si="295"/>
        <v>1</v>
      </c>
      <c r="P114" s="152">
        <f t="shared" si="295"/>
        <v>0.41500000000000004</v>
      </c>
      <c r="Q114" s="152">
        <f t="shared" ref="Q114" si="296">1-Q113</f>
        <v>0.84303139220979562</v>
      </c>
      <c r="R114" s="118">
        <f t="shared" si="222"/>
        <v>-9.3096872398192643E-2</v>
      </c>
      <c r="S114" s="20"/>
      <c r="T114" s="152">
        <f t="shared" ref="T114:AC114" si="297">1-T113</f>
        <v>0.84819483325552603</v>
      </c>
      <c r="U114" s="152">
        <f t="shared" si="297"/>
        <v>0.85318842426685737</v>
      </c>
      <c r="V114" s="152">
        <f t="shared" si="297"/>
        <v>0.858017752415974</v>
      </c>
      <c r="W114" s="152">
        <f t="shared" si="297"/>
        <v>0.86268822108650112</v>
      </c>
      <c r="X114" s="152">
        <f t="shared" si="297"/>
        <v>0.86720505591918196</v>
      </c>
      <c r="Y114" s="152">
        <f t="shared" si="297"/>
        <v>0.8715733106586826</v>
      </c>
      <c r="Z114" s="152">
        <f t="shared" si="297"/>
        <v>0.87579787280806809</v>
      </c>
      <c r="AA114" s="152">
        <f t="shared" si="297"/>
        <v>0.87988346909727633</v>
      </c>
      <c r="AB114" s="152">
        <f t="shared" si="297"/>
        <v>0.88383467077170796</v>
      </c>
      <c r="AC114" s="152">
        <f t="shared" si="297"/>
        <v>0.88765589870684924</v>
      </c>
      <c r="AD114" s="138">
        <f t="shared" si="224"/>
        <v>-5.9408386413155601E-3</v>
      </c>
      <c r="AE114" s="20"/>
      <c r="AF114" s="20"/>
    </row>
    <row r="115" spans="2:32" x14ac:dyDescent="0.2">
      <c r="B115" s="20" t="s">
        <v>453</v>
      </c>
      <c r="C115" s="20"/>
      <c r="D115" s="20"/>
      <c r="E115" s="20"/>
      <c r="F115" s="152" t="e">
        <f t="shared" ref="F115:P115" si="298">F112/F20</f>
        <v>#DIV/0!</v>
      </c>
      <c r="G115" s="152">
        <f t="shared" si="298"/>
        <v>0</v>
      </c>
      <c r="H115" s="152" t="e">
        <f t="shared" si="298"/>
        <v>#DIV/0!</v>
      </c>
      <c r="I115" s="152" t="e">
        <f t="shared" si="298"/>
        <v>#DIV/0!</v>
      </c>
      <c r="J115" s="152" t="e">
        <f t="shared" si="298"/>
        <v>#DIV/0!</v>
      </c>
      <c r="K115" s="152" t="e">
        <f t="shared" si="298"/>
        <v>#DIV/0!</v>
      </c>
      <c r="L115" s="152" t="e">
        <f t="shared" si="298"/>
        <v>#DIV/0!</v>
      </c>
      <c r="M115" s="152" t="e">
        <f t="shared" si="298"/>
        <v>#DIV/0!</v>
      </c>
      <c r="N115" s="152" t="e">
        <f t="shared" si="298"/>
        <v>#DIV/0!</v>
      </c>
      <c r="O115" s="152">
        <f t="shared" si="298"/>
        <v>0</v>
      </c>
      <c r="P115" s="152">
        <f t="shared" si="298"/>
        <v>0.74099999999999999</v>
      </c>
      <c r="Q115" s="152" t="e">
        <f>Q112/Q20</f>
        <v>#DIV/0!</v>
      </c>
      <c r="R115" s="118" t="e">
        <f t="shared" si="222"/>
        <v>#DIV/0!</v>
      </c>
      <c r="S115" s="20"/>
      <c r="T115" s="152" t="e">
        <f>T112/T20</f>
        <v>#DIV/0!</v>
      </c>
      <c r="U115" s="152" t="e">
        <f t="shared" ref="U115:AC115" si="299">U112/U20</f>
        <v>#DIV/0!</v>
      </c>
      <c r="V115" s="152" t="e">
        <f t="shared" si="299"/>
        <v>#DIV/0!</v>
      </c>
      <c r="W115" s="152" t="e">
        <f t="shared" si="299"/>
        <v>#DIV/0!</v>
      </c>
      <c r="X115" s="152" t="e">
        <f t="shared" si="299"/>
        <v>#DIV/0!</v>
      </c>
      <c r="Y115" s="152" t="e">
        <f t="shared" si="299"/>
        <v>#DIV/0!</v>
      </c>
      <c r="Z115" s="152" t="e">
        <f t="shared" si="299"/>
        <v>#DIV/0!</v>
      </c>
      <c r="AA115" s="152" t="e">
        <f t="shared" si="299"/>
        <v>#DIV/0!</v>
      </c>
      <c r="AB115" s="152" t="e">
        <f t="shared" si="299"/>
        <v>#DIV/0!</v>
      </c>
      <c r="AC115" s="152" t="e">
        <f t="shared" si="299"/>
        <v>#DIV/0!</v>
      </c>
      <c r="AD115" s="138" t="s">
        <v>454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 t="e">
        <f t="shared" ref="H117:P117" si="300">H31/H25</f>
        <v>#DIV/0!</v>
      </c>
      <c r="I117" s="152" t="e">
        <f t="shared" si="300"/>
        <v>#DIV/0!</v>
      </c>
      <c r="J117" s="152" t="e">
        <f t="shared" si="300"/>
        <v>#DIV/0!</v>
      </c>
      <c r="K117" s="152" t="e">
        <f t="shared" si="300"/>
        <v>#DIV/0!</v>
      </c>
      <c r="L117" s="152" t="e">
        <f t="shared" si="300"/>
        <v>#DIV/0!</v>
      </c>
      <c r="M117" s="152" t="e">
        <f t="shared" si="300"/>
        <v>#DIV/0!</v>
      </c>
      <c r="N117" s="152" t="e">
        <f t="shared" si="300"/>
        <v>#DIV/0!</v>
      </c>
      <c r="O117" s="152">
        <f t="shared" si="300"/>
        <v>0</v>
      </c>
      <c r="P117" s="152">
        <f t="shared" si="300"/>
        <v>0</v>
      </c>
      <c r="Q117" s="152">
        <f t="shared" ref="Q117" si="301">Q31/Q25</f>
        <v>0</v>
      </c>
      <c r="R117" s="118" t="e">
        <f t="shared" si="222"/>
        <v>#DIV/0!</v>
      </c>
      <c r="S117" s="20"/>
      <c r="T117" s="152">
        <f t="shared" ref="T117:AC117" si="302">T31/T25</f>
        <v>0</v>
      </c>
      <c r="U117" s="152">
        <f t="shared" si="302"/>
        <v>0</v>
      </c>
      <c r="V117" s="152">
        <f t="shared" si="302"/>
        <v>0</v>
      </c>
      <c r="W117" s="152">
        <f t="shared" si="302"/>
        <v>0</v>
      </c>
      <c r="X117" s="152">
        <f t="shared" si="302"/>
        <v>0</v>
      </c>
      <c r="Y117" s="152">
        <f t="shared" si="302"/>
        <v>0</v>
      </c>
      <c r="Z117" s="152">
        <f t="shared" si="302"/>
        <v>0</v>
      </c>
      <c r="AA117" s="152">
        <f t="shared" si="302"/>
        <v>0</v>
      </c>
      <c r="AB117" s="152">
        <f t="shared" si="302"/>
        <v>0</v>
      </c>
      <c r="AC117" s="152">
        <f t="shared" si="302"/>
        <v>0</v>
      </c>
      <c r="AD117" s="138" t="e">
        <f t="shared" si="224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 t="e">
        <f t="shared" ref="H118:P118" si="303">H32/H25</f>
        <v>#DIV/0!</v>
      </c>
      <c r="I118" s="152" t="e">
        <f t="shared" si="303"/>
        <v>#DIV/0!</v>
      </c>
      <c r="J118" s="152" t="e">
        <f t="shared" si="303"/>
        <v>#DIV/0!</v>
      </c>
      <c r="K118" s="152" t="e">
        <f t="shared" si="303"/>
        <v>#DIV/0!</v>
      </c>
      <c r="L118" s="152" t="e">
        <f t="shared" si="303"/>
        <v>#DIV/0!</v>
      </c>
      <c r="M118" s="152" t="e">
        <f t="shared" si="303"/>
        <v>#DIV/0!</v>
      </c>
      <c r="N118" s="152" t="e">
        <f t="shared" si="303"/>
        <v>#DIV/0!</v>
      </c>
      <c r="O118" s="152">
        <f t="shared" si="303"/>
        <v>0</v>
      </c>
      <c r="P118" s="152">
        <f t="shared" si="303"/>
        <v>0</v>
      </c>
      <c r="Q118" s="152">
        <f t="shared" ref="Q118" si="304">Q32/Q25</f>
        <v>0</v>
      </c>
      <c r="R118" s="118" t="e">
        <f t="shared" si="222"/>
        <v>#DIV/0!</v>
      </c>
      <c r="S118" s="20"/>
      <c r="T118" s="152">
        <f t="shared" ref="T118:AC118" si="305">T32/T25</f>
        <v>0</v>
      </c>
      <c r="U118" s="152">
        <f t="shared" si="305"/>
        <v>0</v>
      </c>
      <c r="V118" s="152">
        <f t="shared" si="305"/>
        <v>0</v>
      </c>
      <c r="W118" s="152">
        <f t="shared" si="305"/>
        <v>0</v>
      </c>
      <c r="X118" s="152">
        <f t="shared" si="305"/>
        <v>0</v>
      </c>
      <c r="Y118" s="152">
        <f t="shared" si="305"/>
        <v>0</v>
      </c>
      <c r="Z118" s="152">
        <f t="shared" si="305"/>
        <v>0</v>
      </c>
      <c r="AA118" s="152">
        <f t="shared" si="305"/>
        <v>0</v>
      </c>
      <c r="AB118" s="152">
        <f t="shared" si="305"/>
        <v>0</v>
      </c>
      <c r="AC118" s="152">
        <f t="shared" si="305"/>
        <v>0</v>
      </c>
      <c r="AD118" s="138" t="e">
        <f t="shared" si="224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0.27053140096618356</v>
      </c>
      <c r="H120" s="152" t="e">
        <f t="shared" ref="H120:P120" si="306">H27/H25</f>
        <v>#DIV/0!</v>
      </c>
      <c r="I120" s="152" t="e">
        <f t="shared" si="306"/>
        <v>#DIV/0!</v>
      </c>
      <c r="J120" s="152" t="e">
        <f t="shared" si="306"/>
        <v>#DIV/0!</v>
      </c>
      <c r="K120" s="152" t="e">
        <f t="shared" si="306"/>
        <v>#DIV/0!</v>
      </c>
      <c r="L120" s="152" t="e">
        <f t="shared" si="306"/>
        <v>#DIV/0!</v>
      </c>
      <c r="M120" s="152" t="e">
        <f t="shared" si="306"/>
        <v>#DIV/0!</v>
      </c>
      <c r="N120" s="152" t="e">
        <f t="shared" si="306"/>
        <v>#DIV/0!</v>
      </c>
      <c r="O120" s="152">
        <f t="shared" si="306"/>
        <v>0.27053140096618356</v>
      </c>
      <c r="P120" s="152">
        <f t="shared" si="306"/>
        <v>0.29310344827586204</v>
      </c>
      <c r="Q120" s="152">
        <f t="shared" ref="Q120" si="307">Q27/Q25</f>
        <v>0.33333333333333331</v>
      </c>
      <c r="R120" s="118">
        <f t="shared" si="222"/>
        <v>8.943919510768783E-3</v>
      </c>
      <c r="S120" s="20"/>
      <c r="T120" s="152">
        <f t="shared" ref="T120:AC120" si="308">T27/T25</f>
        <v>0.33333333333333337</v>
      </c>
      <c r="U120" s="152">
        <f t="shared" si="308"/>
        <v>0.33333333333333337</v>
      </c>
      <c r="V120" s="152">
        <f t="shared" si="308"/>
        <v>0.33333333333333331</v>
      </c>
      <c r="W120" s="152">
        <f t="shared" si="308"/>
        <v>0.33333333333333337</v>
      </c>
      <c r="X120" s="152">
        <f t="shared" si="308"/>
        <v>0.33333333333333337</v>
      </c>
      <c r="Y120" s="152">
        <f t="shared" si="308"/>
        <v>0.33333333333333337</v>
      </c>
      <c r="Z120" s="152">
        <f t="shared" si="308"/>
        <v>0.33333333333333343</v>
      </c>
      <c r="AA120" s="152">
        <f t="shared" si="308"/>
        <v>0.33333333333333343</v>
      </c>
      <c r="AB120" s="152">
        <f t="shared" si="308"/>
        <v>0.33333333333333348</v>
      </c>
      <c r="AC120" s="152">
        <f t="shared" si="308"/>
        <v>0.33333333333333348</v>
      </c>
      <c r="AD120" s="138">
        <f t="shared" si="224"/>
        <v>1.0492403929848848E-2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</v>
      </c>
      <c r="H121" s="152" t="e">
        <f t="shared" ref="H121:P121" si="309">H33/H25</f>
        <v>#DIV/0!</v>
      </c>
      <c r="I121" s="152" t="e">
        <f t="shared" si="309"/>
        <v>#DIV/0!</v>
      </c>
      <c r="J121" s="152" t="e">
        <f t="shared" si="309"/>
        <v>#DIV/0!</v>
      </c>
      <c r="K121" s="152" t="e">
        <f t="shared" si="309"/>
        <v>#DIV/0!</v>
      </c>
      <c r="L121" s="152" t="e">
        <f t="shared" si="309"/>
        <v>#DIV/0!</v>
      </c>
      <c r="M121" s="152" t="e">
        <f t="shared" si="309"/>
        <v>#DIV/0!</v>
      </c>
      <c r="N121" s="152" t="e">
        <f t="shared" si="309"/>
        <v>#DIV/0!</v>
      </c>
      <c r="O121" s="152">
        <f t="shared" si="309"/>
        <v>0</v>
      </c>
      <c r="P121" s="152">
        <f t="shared" si="309"/>
        <v>0</v>
      </c>
      <c r="Q121" s="152">
        <f t="shared" ref="Q121" si="310">Q33/Q25</f>
        <v>0</v>
      </c>
      <c r="R121" s="118" t="e">
        <f t="shared" si="222"/>
        <v>#DIV/0!</v>
      </c>
      <c r="S121" s="20"/>
      <c r="T121" s="152">
        <f t="shared" ref="T121:AC121" si="311">T33/T25</f>
        <v>0</v>
      </c>
      <c r="U121" s="152">
        <f t="shared" si="311"/>
        <v>0</v>
      </c>
      <c r="V121" s="152">
        <f t="shared" si="311"/>
        <v>0</v>
      </c>
      <c r="W121" s="152">
        <f t="shared" si="311"/>
        <v>0</v>
      </c>
      <c r="X121" s="152">
        <f t="shared" si="311"/>
        <v>0</v>
      </c>
      <c r="Y121" s="152">
        <f t="shared" si="311"/>
        <v>0</v>
      </c>
      <c r="Z121" s="152">
        <f t="shared" si="311"/>
        <v>0</v>
      </c>
      <c r="AA121" s="152">
        <f t="shared" si="311"/>
        <v>0</v>
      </c>
      <c r="AB121" s="152">
        <f t="shared" si="311"/>
        <v>0</v>
      </c>
      <c r="AC121" s="152">
        <f t="shared" si="311"/>
        <v>0</v>
      </c>
      <c r="AD121" s="138" t="e">
        <f t="shared" si="224"/>
        <v>#DIV/0!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0.20772946859903382</v>
      </c>
      <c r="H122" s="152" t="e">
        <f t="shared" ref="H122:P122" si="312">H34/H25</f>
        <v>#DIV/0!</v>
      </c>
      <c r="I122" s="152" t="e">
        <f t="shared" si="312"/>
        <v>#DIV/0!</v>
      </c>
      <c r="J122" s="152" t="e">
        <f t="shared" si="312"/>
        <v>#DIV/0!</v>
      </c>
      <c r="K122" s="152" t="e">
        <f t="shared" si="312"/>
        <v>#DIV/0!</v>
      </c>
      <c r="L122" s="152" t="e">
        <f t="shared" si="312"/>
        <v>#DIV/0!</v>
      </c>
      <c r="M122" s="152" t="e">
        <f t="shared" si="312"/>
        <v>#DIV/0!</v>
      </c>
      <c r="N122" s="152" t="e">
        <f t="shared" si="312"/>
        <v>#DIV/0!</v>
      </c>
      <c r="O122" s="152">
        <f t="shared" si="312"/>
        <v>0.20772946859903382</v>
      </c>
      <c r="P122" s="152">
        <f t="shared" si="312"/>
        <v>0.22413793103448276</v>
      </c>
      <c r="Q122" s="152">
        <f t="shared" ref="Q122" si="313">Q34/Q25</f>
        <v>0.23333333333333334</v>
      </c>
      <c r="R122" s="118">
        <f t="shared" si="222"/>
        <v>8.483003419600621E-3</v>
      </c>
      <c r="S122" s="20"/>
      <c r="T122" s="152">
        <f t="shared" ref="T122:AC122" si="314">T34/T25</f>
        <v>0.23333333333333334</v>
      </c>
      <c r="U122" s="152">
        <f t="shared" si="314"/>
        <v>0.23333333333333336</v>
      </c>
      <c r="V122" s="152">
        <f t="shared" si="314"/>
        <v>0.23333333333333336</v>
      </c>
      <c r="W122" s="152">
        <f t="shared" si="314"/>
        <v>0.23333333333333336</v>
      </c>
      <c r="X122" s="152">
        <f t="shared" si="314"/>
        <v>0.23333333333333336</v>
      </c>
      <c r="Y122" s="152">
        <f t="shared" si="314"/>
        <v>0.23333333333333336</v>
      </c>
      <c r="Z122" s="152">
        <f t="shared" si="314"/>
        <v>0.23333333333333339</v>
      </c>
      <c r="AA122" s="152">
        <f t="shared" si="314"/>
        <v>0.23333333333333339</v>
      </c>
      <c r="AB122" s="152">
        <f t="shared" si="314"/>
        <v>0.23333333333333339</v>
      </c>
      <c r="AC122" s="152">
        <f t="shared" si="314"/>
        <v>0.23333333333333336</v>
      </c>
      <c r="AD122" s="138">
        <f t="shared" si="224"/>
        <v>5.8284921955318314E-3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2.0476190476190474</v>
      </c>
      <c r="H125" s="25" t="e">
        <f t="shared" ref="H125:AC125" si="315">H15/H9</f>
        <v>#DIV/0!</v>
      </c>
      <c r="I125" s="25" t="e">
        <f t="shared" si="315"/>
        <v>#DIV/0!</v>
      </c>
      <c r="J125" s="25" t="e">
        <f t="shared" si="315"/>
        <v>#DIV/0!</v>
      </c>
      <c r="K125" s="25" t="e">
        <f t="shared" si="315"/>
        <v>#DIV/0!</v>
      </c>
      <c r="L125" s="25" t="e">
        <f t="shared" si="315"/>
        <v>#DIV/0!</v>
      </c>
      <c r="M125" s="25" t="e">
        <f t="shared" si="315"/>
        <v>#DIV/0!</v>
      </c>
      <c r="N125" s="25" t="e">
        <f t="shared" si="315"/>
        <v>#DIV/0!</v>
      </c>
      <c r="O125" s="25">
        <f t="shared" si="315"/>
        <v>2.0476190476190474</v>
      </c>
      <c r="P125" s="25">
        <f t="shared" si="315"/>
        <v>1.125</v>
      </c>
      <c r="Q125" s="25">
        <f t="shared" ref="Q125" si="316">Q15/Q9</f>
        <v>0</v>
      </c>
      <c r="R125" s="118">
        <f t="shared" si="222"/>
        <v>-6.437811126393933E-2</v>
      </c>
      <c r="S125" s="20"/>
      <c r="T125" s="20">
        <f t="shared" si="315"/>
        <v>0</v>
      </c>
      <c r="U125" s="20">
        <f t="shared" si="315"/>
        <v>0</v>
      </c>
      <c r="V125" s="20">
        <f t="shared" si="315"/>
        <v>0</v>
      </c>
      <c r="W125" s="20">
        <f t="shared" si="315"/>
        <v>0</v>
      </c>
      <c r="X125" s="20">
        <f t="shared" si="315"/>
        <v>0</v>
      </c>
      <c r="Y125" s="20">
        <f t="shared" si="315"/>
        <v>0</v>
      </c>
      <c r="Z125" s="20">
        <f t="shared" si="315"/>
        <v>0</v>
      </c>
      <c r="AA125" s="20">
        <f t="shared" si="315"/>
        <v>0</v>
      </c>
      <c r="AB125" s="20">
        <f t="shared" si="315"/>
        <v>0</v>
      </c>
      <c r="AC125" s="20">
        <f t="shared" si="315"/>
        <v>0</v>
      </c>
      <c r="AD125" s="138">
        <f t="shared" si="224"/>
        <v>-1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1.6666666666666667</v>
      </c>
      <c r="H126" s="25" t="e">
        <f t="shared" ref="H126:P126" si="317">H12/H9</f>
        <v>#DIV/0!</v>
      </c>
      <c r="I126" s="25" t="e">
        <f t="shared" si="317"/>
        <v>#DIV/0!</v>
      </c>
      <c r="J126" s="25" t="e">
        <f t="shared" si="317"/>
        <v>#DIV/0!</v>
      </c>
      <c r="K126" s="25" t="e">
        <f t="shared" si="317"/>
        <v>#DIV/0!</v>
      </c>
      <c r="L126" s="25" t="e">
        <f t="shared" si="317"/>
        <v>#DIV/0!</v>
      </c>
      <c r="M126" s="25" t="e">
        <f t="shared" si="317"/>
        <v>#DIV/0!</v>
      </c>
      <c r="N126" s="25" t="e">
        <f t="shared" si="317"/>
        <v>#DIV/0!</v>
      </c>
      <c r="O126" s="25">
        <f t="shared" si="317"/>
        <v>1.6666666666666667</v>
      </c>
      <c r="P126" s="25">
        <f t="shared" si="317"/>
        <v>0.6071428571428571</v>
      </c>
      <c r="Q126" s="25">
        <f t="shared" ref="Q126" si="318">Q12/Q9</f>
        <v>0.32941176470588235</v>
      </c>
      <c r="R126" s="118">
        <f t="shared" si="222"/>
        <v>-0.10613620101415744</v>
      </c>
      <c r="S126" s="128"/>
      <c r="T126" s="20">
        <f t="shared" ref="T126:AC126" si="319">T12/T9</f>
        <v>0.32941176470588235</v>
      </c>
      <c r="U126" s="20">
        <f t="shared" si="319"/>
        <v>0.32941176470588229</v>
      </c>
      <c r="V126" s="20">
        <f t="shared" si="319"/>
        <v>0.32941176470588229</v>
      </c>
      <c r="W126" s="20">
        <f t="shared" si="319"/>
        <v>0.32941176470588229</v>
      </c>
      <c r="X126" s="20">
        <f t="shared" si="319"/>
        <v>0.32941176470588235</v>
      </c>
      <c r="Y126" s="20">
        <f t="shared" si="319"/>
        <v>0.32941176470588229</v>
      </c>
      <c r="Z126" s="20">
        <f t="shared" si="319"/>
        <v>0.32941176470588229</v>
      </c>
      <c r="AA126" s="20">
        <f t="shared" si="319"/>
        <v>0.32941176470588235</v>
      </c>
      <c r="AB126" s="20">
        <f t="shared" si="319"/>
        <v>0.32941176470588229</v>
      </c>
      <c r="AC126" s="20">
        <f t="shared" si="319"/>
        <v>0.32941176470588229</v>
      </c>
      <c r="AD126" s="118">
        <f t="shared" ref="AD126" si="320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0.57499999999999996</v>
      </c>
      <c r="H127" s="25">
        <f t="shared" ref="H127:P127" si="321">H25/360</f>
        <v>0</v>
      </c>
      <c r="I127" s="25">
        <f t="shared" si="321"/>
        <v>0</v>
      </c>
      <c r="J127" s="25">
        <f t="shared" si="321"/>
        <v>0</v>
      </c>
      <c r="K127" s="25">
        <f t="shared" si="321"/>
        <v>0</v>
      </c>
      <c r="L127" s="25">
        <f t="shared" si="321"/>
        <v>0</v>
      </c>
      <c r="M127" s="25">
        <f t="shared" si="321"/>
        <v>0</v>
      </c>
      <c r="N127" s="25">
        <f t="shared" si="321"/>
        <v>0</v>
      </c>
      <c r="O127" s="25">
        <f t="shared" si="321"/>
        <v>0.57499999999999996</v>
      </c>
      <c r="P127" s="25">
        <f t="shared" si="321"/>
        <v>0.64444444444444449</v>
      </c>
      <c r="Q127" s="25">
        <f t="shared" ref="Q127" si="322">Q25/360</f>
        <v>0.75</v>
      </c>
      <c r="R127" s="118">
        <f t="shared" si="222"/>
        <v>1.2749319262871595E-2</v>
      </c>
      <c r="S127" s="128"/>
      <c r="T127" s="25">
        <f t="shared" ref="T127:AC127" si="323">T25/360</f>
        <v>0.85499999999999998</v>
      </c>
      <c r="U127" s="25">
        <f t="shared" si="323"/>
        <v>0.97470000000000012</v>
      </c>
      <c r="V127" s="25">
        <f t="shared" si="323"/>
        <v>1.1111580000000003</v>
      </c>
      <c r="W127" s="25">
        <f t="shared" si="323"/>
        <v>1.2667201200000004</v>
      </c>
      <c r="X127" s="25">
        <f t="shared" si="323"/>
        <v>1.4440609368000006</v>
      </c>
      <c r="Y127" s="25">
        <f t="shared" si="323"/>
        <v>1.6462294679520009</v>
      </c>
      <c r="Z127" s="25">
        <f t="shared" si="323"/>
        <v>1.8767015934652811</v>
      </c>
      <c r="AA127" s="25">
        <f t="shared" si="323"/>
        <v>2.1394398165504209</v>
      </c>
      <c r="AB127" s="25">
        <f t="shared" si="323"/>
        <v>2.4389613908674801</v>
      </c>
      <c r="AC127" s="25">
        <f t="shared" si="323"/>
        <v>2.7804159855889274</v>
      </c>
      <c r="AD127" s="118">
        <f t="shared" ref="AD127:AD138" si="324">((AC127/T127)^(1/($H$2-$H$1) ))-1</f>
        <v>0.14000000000000012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0.15555555555555556</v>
      </c>
      <c r="H128" s="25">
        <f t="shared" ref="H128:P128" si="325">H27/360</f>
        <v>0</v>
      </c>
      <c r="I128" s="25">
        <f t="shared" si="325"/>
        <v>0</v>
      </c>
      <c r="J128" s="25">
        <f t="shared" si="325"/>
        <v>0</v>
      </c>
      <c r="K128" s="25">
        <f t="shared" si="325"/>
        <v>0</v>
      </c>
      <c r="L128" s="25">
        <f t="shared" si="325"/>
        <v>0</v>
      </c>
      <c r="M128" s="25">
        <f t="shared" si="325"/>
        <v>0</v>
      </c>
      <c r="N128" s="25">
        <f t="shared" si="325"/>
        <v>0</v>
      </c>
      <c r="O128" s="25">
        <f t="shared" si="325"/>
        <v>0.15555555555555556</v>
      </c>
      <c r="P128" s="25">
        <f t="shared" si="325"/>
        <v>0.18888888888888888</v>
      </c>
      <c r="Q128" s="25">
        <f t="shared" ref="Q128" si="326">Q27/360</f>
        <v>0.25</v>
      </c>
      <c r="R128" s="118">
        <f t="shared" si="222"/>
        <v>2.1807267658944696E-2</v>
      </c>
      <c r="S128" s="128"/>
      <c r="T128" s="25">
        <f t="shared" ref="T128:AC128" si="327">T27/360</f>
        <v>0.28500000000000003</v>
      </c>
      <c r="U128" s="25">
        <f t="shared" si="327"/>
        <v>0.32490000000000008</v>
      </c>
      <c r="V128" s="25">
        <f t="shared" si="327"/>
        <v>0.3703860000000001</v>
      </c>
      <c r="W128" s="25">
        <f t="shared" si="327"/>
        <v>0.42224004000000021</v>
      </c>
      <c r="X128" s="25">
        <f t="shared" si="327"/>
        <v>0.48135364560000027</v>
      </c>
      <c r="Y128" s="25">
        <f t="shared" si="327"/>
        <v>0.54874315598400036</v>
      </c>
      <c r="Z128" s="25">
        <f t="shared" si="327"/>
        <v>0.62556719782176051</v>
      </c>
      <c r="AA128" s="25">
        <f t="shared" si="327"/>
        <v>0.71314660551680709</v>
      </c>
      <c r="AB128" s="25">
        <f t="shared" si="327"/>
        <v>0.81298713028916025</v>
      </c>
      <c r="AC128" s="25">
        <f t="shared" si="327"/>
        <v>0.92680532852964292</v>
      </c>
      <c r="AD128" s="118">
        <f t="shared" si="324"/>
        <v>0.14000000000000012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0</v>
      </c>
      <c r="H130" s="25" t="e">
        <f t="shared" ref="H130:P130" si="328">H10/H7</f>
        <v>#DIV/0!</v>
      </c>
      <c r="I130" s="25" t="e">
        <f t="shared" si="328"/>
        <v>#DIV/0!</v>
      </c>
      <c r="J130" s="25" t="e">
        <f t="shared" si="328"/>
        <v>#DIV/0!</v>
      </c>
      <c r="K130" s="25" t="e">
        <f t="shared" si="328"/>
        <v>#DIV/0!</v>
      </c>
      <c r="L130" s="25" t="e">
        <f t="shared" si="328"/>
        <v>#DIV/0!</v>
      </c>
      <c r="M130" s="25" t="e">
        <f t="shared" si="328"/>
        <v>#DIV/0!</v>
      </c>
      <c r="N130" s="25" t="e">
        <f t="shared" si="328"/>
        <v>#DIV/0!</v>
      </c>
      <c r="O130" s="25">
        <f t="shared" si="328"/>
        <v>0</v>
      </c>
      <c r="P130" s="25">
        <f t="shared" si="328"/>
        <v>0</v>
      </c>
      <c r="Q130" s="25">
        <f t="shared" ref="Q130" si="329">Q10/Q7</f>
        <v>0</v>
      </c>
      <c r="R130" s="118" t="e">
        <f t="shared" si="222"/>
        <v>#DIV/0!</v>
      </c>
      <c r="S130" s="128"/>
      <c r="T130" s="25">
        <f t="shared" ref="T130:AC130" si="330">T10/T7</f>
        <v>0</v>
      </c>
      <c r="U130" s="25">
        <f t="shared" si="330"/>
        <v>0</v>
      </c>
      <c r="V130" s="25">
        <f t="shared" si="330"/>
        <v>0</v>
      </c>
      <c r="W130" s="25">
        <f t="shared" si="330"/>
        <v>0</v>
      </c>
      <c r="X130" s="25">
        <f t="shared" si="330"/>
        <v>0</v>
      </c>
      <c r="Y130" s="25">
        <f t="shared" si="330"/>
        <v>0</v>
      </c>
      <c r="Z130" s="25">
        <f t="shared" si="330"/>
        <v>0</v>
      </c>
      <c r="AA130" s="25">
        <f t="shared" si="330"/>
        <v>0</v>
      </c>
      <c r="AB130" s="25">
        <f t="shared" si="330"/>
        <v>0</v>
      </c>
      <c r="AC130" s="25">
        <f t="shared" si="330"/>
        <v>0</v>
      </c>
      <c r="AD130" s="118" t="e">
        <f t="shared" si="324"/>
        <v>#DIV/0!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</v>
      </c>
      <c r="H131" s="25" t="e">
        <f t="shared" ref="H131:P131" si="331">H10/(H10+H7)</f>
        <v>#DIV/0!</v>
      </c>
      <c r="I131" s="25" t="e">
        <f t="shared" si="331"/>
        <v>#DIV/0!</v>
      </c>
      <c r="J131" s="25" t="e">
        <f t="shared" si="331"/>
        <v>#DIV/0!</v>
      </c>
      <c r="K131" s="25" t="e">
        <f t="shared" si="331"/>
        <v>#DIV/0!</v>
      </c>
      <c r="L131" s="25" t="e">
        <f t="shared" si="331"/>
        <v>#DIV/0!</v>
      </c>
      <c r="M131" s="25" t="e">
        <f t="shared" si="331"/>
        <v>#DIV/0!</v>
      </c>
      <c r="N131" s="25" t="e">
        <f t="shared" si="331"/>
        <v>#DIV/0!</v>
      </c>
      <c r="O131" s="25">
        <f t="shared" si="331"/>
        <v>0</v>
      </c>
      <c r="P131" s="25">
        <f t="shared" si="331"/>
        <v>0</v>
      </c>
      <c r="Q131" s="25">
        <f t="shared" ref="Q131" si="332">Q10/(Q10+Q7)</f>
        <v>0</v>
      </c>
      <c r="R131" s="118" t="e">
        <f t="shared" si="222"/>
        <v>#DIV/0!</v>
      </c>
      <c r="S131" s="128"/>
      <c r="T131" s="25">
        <f t="shared" ref="T131:AC131" si="333">T10/(T10+T7)</f>
        <v>0</v>
      </c>
      <c r="U131" s="25">
        <f t="shared" si="333"/>
        <v>0</v>
      </c>
      <c r="V131" s="25">
        <f t="shared" si="333"/>
        <v>0</v>
      </c>
      <c r="W131" s="25">
        <f t="shared" si="333"/>
        <v>0</v>
      </c>
      <c r="X131" s="25">
        <f t="shared" si="333"/>
        <v>0</v>
      </c>
      <c r="Y131" s="25">
        <f t="shared" si="333"/>
        <v>0</v>
      </c>
      <c r="Z131" s="25">
        <f t="shared" si="333"/>
        <v>0</v>
      </c>
      <c r="AA131" s="25">
        <f t="shared" si="333"/>
        <v>0</v>
      </c>
      <c r="AB131" s="25">
        <f t="shared" si="333"/>
        <v>0</v>
      </c>
      <c r="AC131" s="25">
        <f t="shared" si="333"/>
        <v>0</v>
      </c>
      <c r="AD131" s="118" t="e">
        <f t="shared" si="324"/>
        <v>#DIV/0!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55.5</v>
      </c>
      <c r="H133" s="25">
        <f t="shared" ref="H133:P133" si="334">H16</f>
        <v>0</v>
      </c>
      <c r="I133" s="25">
        <f t="shared" si="334"/>
        <v>0</v>
      </c>
      <c r="J133" s="25">
        <f t="shared" si="334"/>
        <v>0</v>
      </c>
      <c r="K133" s="25">
        <f t="shared" si="334"/>
        <v>0</v>
      </c>
      <c r="L133" s="25">
        <f t="shared" si="334"/>
        <v>0</v>
      </c>
      <c r="M133" s="25">
        <f t="shared" si="334"/>
        <v>0</v>
      </c>
      <c r="N133" s="25">
        <f t="shared" si="334"/>
        <v>0</v>
      </c>
      <c r="O133" s="25">
        <f t="shared" si="334"/>
        <v>55.5</v>
      </c>
      <c r="P133" s="25">
        <f t="shared" si="334"/>
        <v>-15</v>
      </c>
      <c r="Q133" s="25">
        <f t="shared" ref="Q133" si="335">Q16</f>
        <v>0</v>
      </c>
      <c r="R133" s="118">
        <f t="shared" si="222"/>
        <v>-1.8647020231593647</v>
      </c>
      <c r="S133" s="128"/>
      <c r="T133" s="25">
        <f t="shared" ref="T133:AC133" si="336">T16</f>
        <v>0</v>
      </c>
      <c r="U133" s="25">
        <f t="shared" si="336"/>
        <v>0</v>
      </c>
      <c r="V133" s="25">
        <f t="shared" si="336"/>
        <v>0</v>
      </c>
      <c r="W133" s="25">
        <f t="shared" si="336"/>
        <v>0</v>
      </c>
      <c r="X133" s="25">
        <f t="shared" si="336"/>
        <v>0</v>
      </c>
      <c r="Y133" s="25">
        <f t="shared" si="336"/>
        <v>0</v>
      </c>
      <c r="Z133" s="25">
        <f t="shared" si="336"/>
        <v>0</v>
      </c>
      <c r="AA133" s="25">
        <f t="shared" si="336"/>
        <v>0</v>
      </c>
      <c r="AB133" s="25">
        <f t="shared" si="336"/>
        <v>0</v>
      </c>
      <c r="AC133" s="25">
        <f t="shared" si="336"/>
        <v>0</v>
      </c>
      <c r="AD133" s="118" t="e">
        <f t="shared" si="324"/>
        <v>#DIV/0!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37">G133*365/G25</f>
        <v>97.862318840579704</v>
      </c>
      <c r="H134" s="119" t="e">
        <f t="shared" si="337"/>
        <v>#DIV/0!</v>
      </c>
      <c r="I134" s="119" t="e">
        <f t="shared" si="337"/>
        <v>#DIV/0!</v>
      </c>
      <c r="J134" s="119" t="e">
        <f t="shared" si="337"/>
        <v>#DIV/0!</v>
      </c>
      <c r="K134" s="119" t="e">
        <f t="shared" si="337"/>
        <v>#DIV/0!</v>
      </c>
      <c r="L134" s="119" t="e">
        <f t="shared" si="337"/>
        <v>#DIV/0!</v>
      </c>
      <c r="M134" s="119" t="e">
        <f t="shared" si="337"/>
        <v>#DIV/0!</v>
      </c>
      <c r="N134" s="119" t="e">
        <f t="shared" si="337"/>
        <v>#DIV/0!</v>
      </c>
      <c r="O134" s="119">
        <f t="shared" si="337"/>
        <v>97.862318840579704</v>
      </c>
      <c r="P134" s="119">
        <f t="shared" si="337"/>
        <v>-23.599137931034484</v>
      </c>
      <c r="Q134" s="119">
        <f t="shared" ref="Q134" si="338">Q133*365/Q25</f>
        <v>0</v>
      </c>
      <c r="R134" s="118">
        <f t="shared" si="222"/>
        <v>-1.8538164447138183</v>
      </c>
      <c r="S134" s="128"/>
      <c r="T134" s="119">
        <f t="shared" ref="T134:AC134" si="339">T133*365/T25</f>
        <v>0</v>
      </c>
      <c r="U134" s="119">
        <f t="shared" si="339"/>
        <v>0</v>
      </c>
      <c r="V134" s="119">
        <f t="shared" si="339"/>
        <v>0</v>
      </c>
      <c r="W134" s="119">
        <f t="shared" si="339"/>
        <v>0</v>
      </c>
      <c r="X134" s="119">
        <f t="shared" si="339"/>
        <v>0</v>
      </c>
      <c r="Y134" s="119">
        <f t="shared" si="339"/>
        <v>0</v>
      </c>
      <c r="Z134" s="119">
        <f t="shared" si="339"/>
        <v>0</v>
      </c>
      <c r="AA134" s="119">
        <f t="shared" si="339"/>
        <v>0</v>
      </c>
      <c r="AB134" s="119">
        <f t="shared" si="339"/>
        <v>0</v>
      </c>
      <c r="AC134" s="119">
        <f t="shared" si="339"/>
        <v>0</v>
      </c>
      <c r="AD134" s="118" t="e">
        <f t="shared" si="324"/>
        <v>#DIV/0!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 t="e">
        <f>G80/G29</f>
        <v>#DIV/0!</v>
      </c>
      <c r="H135" s="133" t="e">
        <f t="shared" ref="H135:P135" si="340">H80/H29</f>
        <v>#DIV/0!</v>
      </c>
      <c r="I135" s="133" t="e">
        <f t="shared" si="340"/>
        <v>#DIV/0!</v>
      </c>
      <c r="J135" s="133" t="e">
        <f t="shared" si="340"/>
        <v>#DIV/0!</v>
      </c>
      <c r="K135" s="133" t="e">
        <f t="shared" si="340"/>
        <v>#DIV/0!</v>
      </c>
      <c r="L135" s="133" t="e">
        <f t="shared" si="340"/>
        <v>#DIV/0!</v>
      </c>
      <c r="M135" s="133" t="e">
        <f t="shared" si="340"/>
        <v>#DIV/0!</v>
      </c>
      <c r="N135" s="133" t="e">
        <f t="shared" si="340"/>
        <v>#DIV/0!</v>
      </c>
      <c r="O135" s="133" t="e">
        <f t="shared" si="340"/>
        <v>#DIV/0!</v>
      </c>
      <c r="P135" s="133" t="e">
        <f t="shared" si="340"/>
        <v>#DIV/0!</v>
      </c>
      <c r="Q135" s="133" t="e">
        <f t="shared" ref="Q135" si="341">Q80/Q29</f>
        <v>#DIV/0!</v>
      </c>
      <c r="R135" s="118" t="e">
        <f t="shared" si="222"/>
        <v>#DIV/0!</v>
      </c>
      <c r="S135" s="128"/>
      <c r="T135" s="133" t="e">
        <f t="shared" ref="T135:AC135" si="342">T80/T29</f>
        <v>#DIV/0!</v>
      </c>
      <c r="U135" s="133" t="e">
        <f t="shared" si="342"/>
        <v>#DIV/0!</v>
      </c>
      <c r="V135" s="133" t="e">
        <f t="shared" si="342"/>
        <v>#DIV/0!</v>
      </c>
      <c r="W135" s="133" t="e">
        <f t="shared" si="342"/>
        <v>#DIV/0!</v>
      </c>
      <c r="X135" s="133" t="e">
        <f t="shared" si="342"/>
        <v>#DIV/0!</v>
      </c>
      <c r="Y135" s="133" t="e">
        <f t="shared" si="342"/>
        <v>#DIV/0!</v>
      </c>
      <c r="Z135" s="133" t="e">
        <f t="shared" si="342"/>
        <v>#DIV/0!</v>
      </c>
      <c r="AA135" s="133" t="e">
        <f t="shared" si="342"/>
        <v>#DIV/0!</v>
      </c>
      <c r="AB135" s="133" t="e">
        <f t="shared" si="342"/>
        <v>#DIV/0!</v>
      </c>
      <c r="AC135" s="133" t="e">
        <f t="shared" si="342"/>
        <v>#DIV/0!</v>
      </c>
      <c r="AD135" s="118" t="e">
        <f t="shared" si="324"/>
        <v>#DIV/0!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 t="e">
        <f>G25/G14</f>
        <v>#DIV/0!</v>
      </c>
      <c r="H137" s="180" t="e">
        <f t="shared" ref="H137:P137" si="343">H25/H14</f>
        <v>#DIV/0!</v>
      </c>
      <c r="I137" s="180" t="e">
        <f t="shared" si="343"/>
        <v>#DIV/0!</v>
      </c>
      <c r="J137" s="180" t="e">
        <f t="shared" si="343"/>
        <v>#DIV/0!</v>
      </c>
      <c r="K137" s="180" t="e">
        <f t="shared" si="343"/>
        <v>#DIV/0!</v>
      </c>
      <c r="L137" s="180" t="e">
        <f t="shared" si="343"/>
        <v>#DIV/0!</v>
      </c>
      <c r="M137" s="180" t="e">
        <f t="shared" si="343"/>
        <v>#DIV/0!</v>
      </c>
      <c r="N137" s="180" t="e">
        <f t="shared" si="343"/>
        <v>#DIV/0!</v>
      </c>
      <c r="O137" s="180" t="e">
        <f t="shared" si="343"/>
        <v>#DIV/0!</v>
      </c>
      <c r="P137" s="180" t="e">
        <f t="shared" si="343"/>
        <v>#DIV/0!</v>
      </c>
      <c r="Q137" s="180" t="e">
        <f t="shared" ref="Q137" si="344">Q25/Q14</f>
        <v>#DIV/0!</v>
      </c>
      <c r="R137" s="118" t="e">
        <f t="shared" si="222"/>
        <v>#DIV/0!</v>
      </c>
      <c r="S137" s="128"/>
      <c r="T137" s="20" t="e">
        <f t="shared" ref="T137" si="345">T25/T14</f>
        <v>#DIV/0!</v>
      </c>
      <c r="U137" s="20" t="e">
        <f t="shared" ref="U137:AC137" si="346">U25/U14</f>
        <v>#DIV/0!</v>
      </c>
      <c r="V137" s="20" t="e">
        <f t="shared" si="346"/>
        <v>#DIV/0!</v>
      </c>
      <c r="W137" s="20" t="e">
        <f t="shared" si="346"/>
        <v>#DIV/0!</v>
      </c>
      <c r="X137" s="20" t="e">
        <f t="shared" si="346"/>
        <v>#DIV/0!</v>
      </c>
      <c r="Y137" s="20" t="e">
        <f t="shared" si="346"/>
        <v>#DIV/0!</v>
      </c>
      <c r="Z137" s="20" t="e">
        <f t="shared" si="346"/>
        <v>#DIV/0!</v>
      </c>
      <c r="AA137" s="20" t="e">
        <f t="shared" si="346"/>
        <v>#DIV/0!</v>
      </c>
      <c r="AB137" s="20" t="e">
        <f t="shared" si="346"/>
        <v>#DIV/0!</v>
      </c>
      <c r="AC137" s="20" t="e">
        <f t="shared" si="346"/>
        <v>#DIV/0!</v>
      </c>
      <c r="AD137" s="118" t="e">
        <f t="shared" si="324"/>
        <v>#DIV/0!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 t="e">
        <f>G27/G14</f>
        <v>#DIV/0!</v>
      </c>
      <c r="H138" s="180" t="e">
        <f t="shared" ref="H138:P138" si="347">H27/H14</f>
        <v>#DIV/0!</v>
      </c>
      <c r="I138" s="180" t="e">
        <f t="shared" si="347"/>
        <v>#DIV/0!</v>
      </c>
      <c r="J138" s="180" t="e">
        <f t="shared" si="347"/>
        <v>#DIV/0!</v>
      </c>
      <c r="K138" s="180" t="e">
        <f t="shared" si="347"/>
        <v>#DIV/0!</v>
      </c>
      <c r="L138" s="180" t="e">
        <f t="shared" si="347"/>
        <v>#DIV/0!</v>
      </c>
      <c r="M138" s="180" t="e">
        <f t="shared" si="347"/>
        <v>#DIV/0!</v>
      </c>
      <c r="N138" s="180" t="e">
        <f t="shared" si="347"/>
        <v>#DIV/0!</v>
      </c>
      <c r="O138" s="180" t="e">
        <f t="shared" si="347"/>
        <v>#DIV/0!</v>
      </c>
      <c r="P138" s="180" t="e">
        <f t="shared" si="347"/>
        <v>#DIV/0!</v>
      </c>
      <c r="Q138" s="180" t="e">
        <f t="shared" ref="Q138" si="348">Q27/Q14</f>
        <v>#DIV/0!</v>
      </c>
      <c r="R138" s="118" t="e">
        <f t="shared" si="222"/>
        <v>#DIV/0!</v>
      </c>
      <c r="S138" s="128"/>
      <c r="T138" s="20" t="e">
        <f t="shared" ref="T138:AC138" si="349">T27/T14</f>
        <v>#DIV/0!</v>
      </c>
      <c r="U138" s="20" t="e">
        <f t="shared" si="349"/>
        <v>#DIV/0!</v>
      </c>
      <c r="V138" s="20" t="e">
        <f t="shared" si="349"/>
        <v>#DIV/0!</v>
      </c>
      <c r="W138" s="20" t="e">
        <f t="shared" si="349"/>
        <v>#DIV/0!</v>
      </c>
      <c r="X138" s="20" t="e">
        <f t="shared" si="349"/>
        <v>#DIV/0!</v>
      </c>
      <c r="Y138" s="20" t="e">
        <f t="shared" si="349"/>
        <v>#DIV/0!</v>
      </c>
      <c r="Z138" s="20" t="e">
        <f t="shared" si="349"/>
        <v>#DIV/0!</v>
      </c>
      <c r="AA138" s="20" t="e">
        <f t="shared" si="349"/>
        <v>#DIV/0!</v>
      </c>
      <c r="AB138" s="20" t="e">
        <f t="shared" si="349"/>
        <v>#DIV/0!</v>
      </c>
      <c r="AC138" s="20" t="e">
        <f t="shared" si="349"/>
        <v>#DIV/0!</v>
      </c>
      <c r="AD138" s="118" t="e">
        <f t="shared" si="324"/>
        <v>#DIV/0!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 t="e">
        <f>AVERAGE(G54:Q54)</f>
        <v>#DIV/0!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121.9978737600937</v>
      </c>
      <c r="T142" s="133">
        <f>PV($C$1, ($AC$3-$T$3), 0, -AC54)</f>
        <v>16.999703720668794</v>
      </c>
      <c r="U142" s="133">
        <f>PV($C$1, ($AC$3-$T$3), 0, -AF54)</f>
        <v>104.99817003942491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50">T143+U143</f>
        <v>455.43363594203896</v>
      </c>
      <c r="T143" s="133">
        <f>PV($C$1, ($AC$3-$T$3), 0, -AC56)</f>
        <v>63.462064024710337</v>
      </c>
      <c r="U143" s="133">
        <f>PV($C$1, ($AC$3-$T$3), 0, -AF56)</f>
        <v>391.97157191732862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50"/>
        <v>429.08623551564</v>
      </c>
      <c r="T144" s="133">
        <f>PV($C$1, ($AC$3-$T$3), 0, -AC57)</f>
        <v>59.790704948900654</v>
      </c>
      <c r="U144" s="133">
        <f>PV($C$1, ($AC$3-$T$3), 0, -AF57)</f>
        <v>369.29553056673933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50"/>
        <v>0</v>
      </c>
      <c r="T145" s="133">
        <f>PV($C$1, ($AC$3-$T$3), 0, -AC58)</f>
        <v>0</v>
      </c>
      <c r="U145" s="133">
        <f>PV($C$1, ($AC$3-$T$3), 0, -AF58)</f>
        <v>0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50"/>
        <v>26.347400426398949</v>
      </c>
      <c r="T146" s="133">
        <f>PV($C$1, ($AC$3-$T$3), 0, -AC64)</f>
        <v>3.671359075809689</v>
      </c>
      <c r="U146" s="133">
        <f>PV($C$1, ($AC$3-$T$3), 0, -AF64)</f>
        <v>22.676041350589259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50"/>
        <v>455.43363594203896</v>
      </c>
      <c r="T148" s="133">
        <f>PV($C$1, ($AC$3-$T$3), 0, -AC60)</f>
        <v>63.462064024710337</v>
      </c>
      <c r="U148" s="133">
        <f>PV($C$1, ($AC$3-$T$3), 0, -$AF$60)</f>
        <v>391.97157191732862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50"/>
        <v>375.45045607618493</v>
      </c>
      <c r="T149" s="133">
        <f>PV($C$1, ($AC$3-$T$3), 0, -AC61)</f>
        <v>52.316866830288063</v>
      </c>
      <c r="U149" s="133">
        <f>PV($C$1, ($AC$3-$T$3), 0, -$AF$61)</f>
        <v>323.13358924589687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50"/>
        <v>375.45045607618493</v>
      </c>
      <c r="T150" s="133">
        <f>PV($C$1, ($AC$3-$T$3), 0, -AC62)</f>
        <v>52.316866830288063</v>
      </c>
      <c r="U150" s="133">
        <f>PV($C$1, ($AC$3-$T$3), 0, -$AF$62)</f>
        <v>323.13358924589687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50"/>
        <v>0</v>
      </c>
      <c r="T152" s="133">
        <f>PV($C$1, ($AC$3-$T$3), 0, -AC67)</f>
        <v>0</v>
      </c>
      <c r="U152" s="133">
        <f>PV($C$1, ($AC$3-$T$3), 0, -AF67)</f>
        <v>0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50"/>
        <v>0</v>
      </c>
      <c r="T153" s="133">
        <f>PV($C$1, ($AC$3-$T$3), 0, -AC68)</f>
        <v>0</v>
      </c>
      <c r="U153" s="133">
        <f>PV($C$1, ($AC$3-$T$3), 0, -AF68)</f>
        <v>0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51">T155+U155</f>
        <v>124.41678591494923</v>
      </c>
      <c r="T155" s="133">
        <f>PV($C$1, ($AC$3-$T$3), 0, -AC12)</f>
        <v>17.33676525044374</v>
      </c>
      <c r="U155" s="133">
        <f>PV($C$1, ($AC$3-$T$3), 0, -AF12)</f>
        <v>107.08002066450548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43.655012601736573</v>
      </c>
      <c r="T156" s="140">
        <f>T155/P42</f>
        <v>6.0830755264714877</v>
      </c>
      <c r="U156" s="140">
        <f>U155/P42</f>
        <v>37.571937075265083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52">T159+U159</f>
        <v>56.860109619018559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46.778122396365035</v>
      </c>
      <c r="U159" s="133">
        <f>PV($C$1, ($AC$3-$T$3), 0, -AF70)</f>
        <v>10.081987222653526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50"/>
        <v>0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0</v>
      </c>
      <c r="U161" s="133">
        <f>PV($C$1, ($AC$3-$T$3), 0, -AF72)</f>
        <v>0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53">T163+U163</f>
        <v>0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0</v>
      </c>
      <c r="U163" s="133">
        <f>PV($C$1, ($AC$3-$T$3), 0, -AF74)</f>
        <v>0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53"/>
        <v>0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0</v>
      </c>
      <c r="U164" s="133">
        <f>PV($C$1, ($AC$3-$T$3), 0, -AF75)</f>
        <v>0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53"/>
        <v>0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0</v>
      </c>
      <c r="U165" s="133">
        <f>PV($C$1, ($AC$3-$T$3), 0, -AF76)</f>
        <v>0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53"/>
        <v>0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0</v>
      </c>
      <c r="U166" s="133">
        <f>PV($C$1, ($AC$3-$T$3), 0, -AF77)</f>
        <v>0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0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0</v>
      </c>
      <c r="U168" s="133">
        <f>PV($C$1, ($AC$3-$T$3), 0, -AF78)</f>
        <v>0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700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1200</v>
      </c>
      <c r="Q170" s="20"/>
      <c r="R170" s="20" t="s">
        <v>392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740</v>
      </c>
      <c r="Q171" s="22">
        <v>700</v>
      </c>
      <c r="R171" s="118" t="e">
        <f t="shared" ref="R171:R176" si="354">((P171/G171)^(1/($H$2-$H$1) ))-1</f>
        <v>#DIV/0!</v>
      </c>
      <c r="S171" s="31">
        <f>L2-3%</f>
        <v>0.11000000000000001</v>
      </c>
      <c r="T171" s="119">
        <f t="shared" ref="T171" si="355">P171*(1+$S171)</f>
        <v>821.40000000000009</v>
      </c>
      <c r="U171" s="119">
        <f t="shared" ref="U171:AC171" si="356">T171*(1+$S171)</f>
        <v>911.75400000000013</v>
      </c>
      <c r="V171" s="119">
        <f t="shared" si="356"/>
        <v>1012.0469400000003</v>
      </c>
      <c r="W171" s="119">
        <f t="shared" si="356"/>
        <v>1123.3721034000005</v>
      </c>
      <c r="X171" s="119">
        <f t="shared" si="356"/>
        <v>1246.9430347740006</v>
      </c>
      <c r="Y171" s="119">
        <f t="shared" si="356"/>
        <v>1384.1067685991409</v>
      </c>
      <c r="Z171" s="119">
        <f t="shared" si="356"/>
        <v>1536.3585131450466</v>
      </c>
      <c r="AA171" s="119">
        <f t="shared" si="356"/>
        <v>1705.3579495910019</v>
      </c>
      <c r="AB171" s="119">
        <f t="shared" si="356"/>
        <v>1892.9473240460122</v>
      </c>
      <c r="AC171" s="119">
        <f t="shared" si="356"/>
        <v>2101.1715296910738</v>
      </c>
      <c r="AD171" s="138" t="e">
        <f t="shared" ref="AD171:AD176" si="357">((AC171/G171)^(1/($AC$3-$H$1) ))-1</f>
        <v>#DIV/0!</v>
      </c>
      <c r="AE171" s="31">
        <v>0.08</v>
      </c>
      <c r="AF171" s="127" t="e">
        <f t="shared" ref="AF171:AF179" si="358">(AC171*(1+AD171))/($C$1-AE171)</f>
        <v>#DIV/0!</v>
      </c>
    </row>
    <row r="172" spans="2:32" x14ac:dyDescent="0.2">
      <c r="B172" s="20" t="s">
        <v>361</v>
      </c>
      <c r="C172" s="25" t="e">
        <f t="shared" ref="C172:P172" si="359">C171/C50</f>
        <v>#DIV/0!</v>
      </c>
      <c r="D172" s="25" t="e">
        <f t="shared" si="359"/>
        <v>#DIV/0!</v>
      </c>
      <c r="E172" s="25" t="e">
        <f t="shared" si="359"/>
        <v>#DIV/0!</v>
      </c>
      <c r="F172" s="25" t="e">
        <f t="shared" si="359"/>
        <v>#DIV/0!</v>
      </c>
      <c r="G172" s="25">
        <f t="shared" si="359"/>
        <v>0</v>
      </c>
      <c r="H172" s="25" t="e">
        <f t="shared" si="359"/>
        <v>#DIV/0!</v>
      </c>
      <c r="I172" s="25" t="e">
        <f t="shared" si="359"/>
        <v>#DIV/0!</v>
      </c>
      <c r="J172" s="25" t="e">
        <f t="shared" si="359"/>
        <v>#DIV/0!</v>
      </c>
      <c r="K172" s="25" t="e">
        <f t="shared" si="359"/>
        <v>#DIV/0!</v>
      </c>
      <c r="L172" s="25" t="e">
        <f t="shared" si="359"/>
        <v>#DIV/0!</v>
      </c>
      <c r="M172" s="25" t="e">
        <f t="shared" si="359"/>
        <v>#DIV/0!</v>
      </c>
      <c r="N172" s="25" t="e">
        <f t="shared" si="359"/>
        <v>#DIV/0!</v>
      </c>
      <c r="O172" s="25">
        <f t="shared" si="359"/>
        <v>0</v>
      </c>
      <c r="P172" s="25">
        <f t="shared" si="359"/>
        <v>9.0905172413793114</v>
      </c>
      <c r="Q172" s="25">
        <f t="shared" ref="Q172" si="360">Q171/Q50</f>
        <v>7.5159259259259263</v>
      </c>
      <c r="R172" s="118" t="e">
        <f t="shared" ref="R172" si="361">((P172/G172)^(1/($H$2-$H$1) ))-1</f>
        <v>#DIV/0!</v>
      </c>
      <c r="S172" s="128"/>
      <c r="T172" s="25">
        <f t="shared" ref="T172:AC172" si="362">T171/T50</f>
        <v>8.1231336257309952</v>
      </c>
      <c r="U172" s="25">
        <f t="shared" si="362"/>
        <v>8.3048352989381353</v>
      </c>
      <c r="V172" s="25">
        <f t="shared" si="362"/>
        <v>8.4906013516775403</v>
      </c>
      <c r="W172" s="25">
        <f t="shared" si="362"/>
        <v>8.6805226977019085</v>
      </c>
      <c r="X172" s="25">
        <f t="shared" si="362"/>
        <v>8.8746922843610303</v>
      </c>
      <c r="Y172" s="25">
        <f t="shared" si="362"/>
        <v>9.0732051380901595</v>
      </c>
      <c r="Z172" s="25">
        <f t="shared" si="362"/>
        <v>9.2761584109158619</v>
      </c>
      <c r="AA172" s="25">
        <f t="shared" si="362"/>
        <v>9.4836514280021387</v>
      </c>
      <c r="AB172" s="25">
        <f t="shared" si="362"/>
        <v>9.6957857362600812</v>
      </c>
      <c r="AC172" s="25">
        <f t="shared" si="362"/>
        <v>9.9126651540448467</v>
      </c>
      <c r="AD172" s="138" t="e">
        <f t="shared" ref="AD172" si="363">((AC172/G172)^(1/($AC$3-$H$1) ))-1</f>
        <v>#DIV/0!</v>
      </c>
      <c r="AE172" s="31">
        <v>0.08</v>
      </c>
      <c r="AF172" s="127" t="e">
        <f t="shared" ref="AF172" si="364">(AC172*(1+AD172))/($C$1-AE172)</f>
        <v>#DIV/0!</v>
      </c>
    </row>
    <row r="173" spans="2:32" x14ac:dyDescent="0.2">
      <c r="B173" s="20" t="s">
        <v>389</v>
      </c>
      <c r="C173" s="25" t="e">
        <f t="shared" ref="C173:P173" si="365">C171/C54</f>
        <v>#DIV/0!</v>
      </c>
      <c r="D173" s="25" t="e">
        <f t="shared" si="365"/>
        <v>#DIV/0!</v>
      </c>
      <c r="E173" s="25" t="e">
        <f t="shared" si="365"/>
        <v>#DIV/0!</v>
      </c>
      <c r="F173" s="25" t="e">
        <f t="shared" si="365"/>
        <v>#DIV/0!</v>
      </c>
      <c r="G173" s="25">
        <f t="shared" si="365"/>
        <v>0</v>
      </c>
      <c r="H173" s="25" t="e">
        <f t="shared" si="365"/>
        <v>#DIV/0!</v>
      </c>
      <c r="I173" s="25" t="e">
        <f t="shared" si="365"/>
        <v>#DIV/0!</v>
      </c>
      <c r="J173" s="25" t="e">
        <f t="shared" si="365"/>
        <v>#DIV/0!</v>
      </c>
      <c r="K173" s="25" t="e">
        <f t="shared" si="365"/>
        <v>#DIV/0!</v>
      </c>
      <c r="L173" s="25" t="e">
        <f t="shared" si="365"/>
        <v>#DIV/0!</v>
      </c>
      <c r="M173" s="25" t="e">
        <f t="shared" si="365"/>
        <v>#DIV/0!</v>
      </c>
      <c r="N173" s="25" t="e">
        <f t="shared" si="365"/>
        <v>#DIV/0!</v>
      </c>
      <c r="O173" s="25">
        <f t="shared" si="365"/>
        <v>0</v>
      </c>
      <c r="P173" s="25">
        <f t="shared" si="365"/>
        <v>18.5</v>
      </c>
      <c r="Q173" s="25">
        <f t="shared" ref="Q173" si="366">Q171/Q54</f>
        <v>15.65214037794061</v>
      </c>
      <c r="R173" s="118" t="e">
        <f t="shared" si="354"/>
        <v>#DIV/0!</v>
      </c>
      <c r="S173" s="128"/>
      <c r="T173" s="119">
        <f t="shared" ref="T173:AC173" si="367">T171/T54</f>
        <v>16.916668561105812</v>
      </c>
      <c r="U173" s="119">
        <f t="shared" si="367"/>
        <v>17.29506772628844</v>
      </c>
      <c r="V173" s="119">
        <f t="shared" si="367"/>
        <v>17.681931083323843</v>
      </c>
      <c r="W173" s="119">
        <f t="shared" si="367"/>
        <v>18.077447962819242</v>
      </c>
      <c r="X173" s="119">
        <f t="shared" si="367"/>
        <v>18.481811930408622</v>
      </c>
      <c r="Y173" s="119">
        <f t="shared" si="367"/>
        <v>18.895220881483553</v>
      </c>
      <c r="Z173" s="119">
        <f t="shared" si="367"/>
        <v>19.317877138043055</v>
      </c>
      <c r="AA173" s="119">
        <f t="shared" si="367"/>
        <v>19.749987547709811</v>
      </c>
      <c r="AB173" s="119">
        <f t="shared" si="367"/>
        <v>20.191763584961215</v>
      </c>
      <c r="AC173" s="119">
        <f t="shared" si="367"/>
        <v>20.643421454624825</v>
      </c>
      <c r="AD173" s="138" t="e">
        <f t="shared" si="357"/>
        <v>#DIV/0!</v>
      </c>
      <c r="AE173" s="31">
        <v>0.08</v>
      </c>
      <c r="AF173" s="127" t="e">
        <f t="shared" si="358"/>
        <v>#DIV/0!</v>
      </c>
    </row>
    <row r="174" spans="2:32" x14ac:dyDescent="0.2">
      <c r="B174" s="20" t="s">
        <v>258</v>
      </c>
      <c r="C174" s="25" t="e">
        <f t="shared" ref="C174:P174" si="368">C171/C57</f>
        <v>#DIV/0!</v>
      </c>
      <c r="D174" s="25" t="e">
        <f t="shared" si="368"/>
        <v>#DIV/0!</v>
      </c>
      <c r="E174" s="25" t="e">
        <f t="shared" si="368"/>
        <v>#DIV/0!</v>
      </c>
      <c r="F174" s="25" t="e">
        <f t="shared" si="368"/>
        <v>#DIV/0!</v>
      </c>
      <c r="G174" s="25">
        <f t="shared" si="368"/>
        <v>0</v>
      </c>
      <c r="H174" s="25" t="e">
        <f t="shared" si="368"/>
        <v>#DIV/0!</v>
      </c>
      <c r="I174" s="25" t="e">
        <f t="shared" si="368"/>
        <v>#DIV/0!</v>
      </c>
      <c r="J174" s="25" t="e">
        <f t="shared" si="368"/>
        <v>#DIV/0!</v>
      </c>
      <c r="K174" s="25" t="e">
        <f t="shared" si="368"/>
        <v>#DIV/0!</v>
      </c>
      <c r="L174" s="25" t="e">
        <f t="shared" si="368"/>
        <v>#DIV/0!</v>
      </c>
      <c r="M174" s="25" t="e">
        <f t="shared" si="368"/>
        <v>#DIV/0!</v>
      </c>
      <c r="N174" s="25" t="e">
        <f t="shared" si="368"/>
        <v>#DIV/0!</v>
      </c>
      <c r="O174" s="25">
        <f t="shared" si="368"/>
        <v>0</v>
      </c>
      <c r="P174" s="25">
        <f t="shared" si="368"/>
        <v>5.339240506329114</v>
      </c>
      <c r="Q174" s="25">
        <f t="shared" ref="Q174" si="369">Q171/Q57</f>
        <v>4.4502192982456137</v>
      </c>
      <c r="R174" s="118" t="e">
        <f t="shared" si="354"/>
        <v>#DIV/0!</v>
      </c>
      <c r="S174" s="128"/>
      <c r="T174" s="119">
        <f t="shared" ref="T174:AC174" si="370">T171/T57</f>
        <v>4.8097501731301939</v>
      </c>
      <c r="U174" s="119">
        <f t="shared" si="370"/>
        <v>4.917336690160738</v>
      </c>
      <c r="V174" s="119">
        <f t="shared" si="370"/>
        <v>5.0273297477038073</v>
      </c>
      <c r="W174" s="119">
        <f t="shared" si="370"/>
        <v>5.1397831762708668</v>
      </c>
      <c r="X174" s="119">
        <f t="shared" si="370"/>
        <v>5.254752010476925</v>
      </c>
      <c r="Y174" s="119">
        <f t="shared" si="370"/>
        <v>5.3722925159744364</v>
      </c>
      <c r="Z174" s="119">
        <f t="shared" si="370"/>
        <v>5.4924622169896553</v>
      </c>
      <c r="AA174" s="119">
        <f t="shared" si="370"/>
        <v>5.6153199244749503</v>
      </c>
      <c r="AB174" s="119">
        <f t="shared" si="370"/>
        <v>5.7409257648908367</v>
      </c>
      <c r="AC174" s="119">
        <f t="shared" si="370"/>
        <v>5.8693412096318172</v>
      </c>
      <c r="AD174" s="138" t="e">
        <f t="shared" si="357"/>
        <v>#DIV/0!</v>
      </c>
      <c r="AE174" s="31">
        <v>0.08</v>
      </c>
      <c r="AF174" s="127" t="e">
        <f t="shared" si="358"/>
        <v>#DIV/0!</v>
      </c>
    </row>
    <row r="175" spans="2:32" x14ac:dyDescent="0.2">
      <c r="B175" s="20" t="s">
        <v>259</v>
      </c>
      <c r="C175" s="25" t="e">
        <f t="shared" ref="C175:P175" si="371">C171/C66</f>
        <v>#DIV/0!</v>
      </c>
      <c r="D175" s="25" t="e">
        <f t="shared" si="371"/>
        <v>#DIV/0!</v>
      </c>
      <c r="E175" s="25" t="e">
        <f t="shared" si="371"/>
        <v>#DIV/0!</v>
      </c>
      <c r="F175" s="25" t="e">
        <f t="shared" si="371"/>
        <v>#DIV/0!</v>
      </c>
      <c r="G175" s="25">
        <f t="shared" si="371"/>
        <v>0</v>
      </c>
      <c r="H175" s="25" t="e">
        <f t="shared" si="371"/>
        <v>#DIV/0!</v>
      </c>
      <c r="I175" s="25" t="e">
        <f t="shared" si="371"/>
        <v>#DIV/0!</v>
      </c>
      <c r="J175" s="25" t="e">
        <f t="shared" si="371"/>
        <v>#DIV/0!</v>
      </c>
      <c r="K175" s="25" t="e">
        <f t="shared" si="371"/>
        <v>#DIV/0!</v>
      </c>
      <c r="L175" s="25" t="e">
        <f t="shared" si="371"/>
        <v>#DIV/0!</v>
      </c>
      <c r="M175" s="25" t="e">
        <f t="shared" si="371"/>
        <v>#DIV/0!</v>
      </c>
      <c r="N175" s="25" t="e">
        <f t="shared" si="371"/>
        <v>#DIV/0!</v>
      </c>
      <c r="O175" s="25">
        <f t="shared" si="371"/>
        <v>0</v>
      </c>
      <c r="P175" s="25">
        <f t="shared" si="371"/>
        <v>5.0697115384615383</v>
      </c>
      <c r="Q175" s="25">
        <f t="shared" ref="Q175" si="372">Q171/Q66</f>
        <v>6.8789830508474568</v>
      </c>
      <c r="R175" s="118" t="e">
        <f t="shared" si="354"/>
        <v>#DIV/0!</v>
      </c>
      <c r="S175" s="128"/>
      <c r="T175" s="119">
        <f t="shared" ref="T175:AC175" si="373">T171/T66</f>
        <v>7.4347324710080285</v>
      </c>
      <c r="U175" s="119">
        <f t="shared" si="373"/>
        <v>7.6010356973332076</v>
      </c>
      <c r="V175" s="119">
        <f t="shared" si="373"/>
        <v>7.7710588642472409</v>
      </c>
      <c r="W175" s="119">
        <f t="shared" si="373"/>
        <v>7.9448851809475096</v>
      </c>
      <c r="X175" s="119">
        <f t="shared" si="373"/>
        <v>8.1225997178897558</v>
      </c>
      <c r="Y175" s="119">
        <f t="shared" si="373"/>
        <v>8.3042894484214997</v>
      </c>
      <c r="Z175" s="119">
        <f t="shared" si="373"/>
        <v>8.490043291346721</v>
      </c>
      <c r="AA175" s="119">
        <f t="shared" si="373"/>
        <v>8.679952154442633</v>
      </c>
      <c r="AB175" s="119">
        <f t="shared" si="373"/>
        <v>8.8741089789499021</v>
      </c>
      <c r="AC175" s="119">
        <f t="shared" si="373"/>
        <v>9.0726087850579944</v>
      </c>
      <c r="AD175" s="138" t="e">
        <f t="shared" si="357"/>
        <v>#DIV/0!</v>
      </c>
      <c r="AE175" s="31">
        <v>0.08</v>
      </c>
      <c r="AF175" s="127" t="e">
        <f t="shared" si="358"/>
        <v>#DIV/0!</v>
      </c>
    </row>
    <row r="176" spans="2:32" x14ac:dyDescent="0.2">
      <c r="B176" s="20" t="s">
        <v>260</v>
      </c>
      <c r="C176" s="25" t="e">
        <f t="shared" ref="C176:P176" si="374">C171/C68</f>
        <v>#DIV/0!</v>
      </c>
      <c r="D176" s="25" t="e">
        <f t="shared" si="374"/>
        <v>#DIV/0!</v>
      </c>
      <c r="E176" s="25" t="e">
        <f t="shared" si="374"/>
        <v>#DIV/0!</v>
      </c>
      <c r="F176" s="25" t="e">
        <f t="shared" si="374"/>
        <v>#DIV/0!</v>
      </c>
      <c r="G176" s="25">
        <f t="shared" si="374"/>
        <v>0</v>
      </c>
      <c r="H176" s="25" t="e">
        <f t="shared" si="374"/>
        <v>#DIV/0!</v>
      </c>
      <c r="I176" s="25" t="e">
        <f t="shared" si="374"/>
        <v>#DIV/0!</v>
      </c>
      <c r="J176" s="25" t="e">
        <f t="shared" si="374"/>
        <v>#DIV/0!</v>
      </c>
      <c r="K176" s="25" t="e">
        <f t="shared" si="374"/>
        <v>#DIV/0!</v>
      </c>
      <c r="L176" s="25" t="e">
        <f t="shared" si="374"/>
        <v>#DIV/0!</v>
      </c>
      <c r="M176" s="25" t="e">
        <f t="shared" si="374"/>
        <v>#DIV/0!</v>
      </c>
      <c r="N176" s="25" t="e">
        <f t="shared" si="374"/>
        <v>#DIV/0!</v>
      </c>
      <c r="O176" s="25">
        <f t="shared" si="374"/>
        <v>0</v>
      </c>
      <c r="P176" s="25">
        <f t="shared" si="374"/>
        <v>-140.60000000000002</v>
      </c>
      <c r="Q176" s="25" t="e">
        <f t="shared" ref="Q176" si="375">Q171/Q68</f>
        <v>#DIV/0!</v>
      </c>
      <c r="R176" s="118" t="e">
        <f t="shared" si="354"/>
        <v>#DIV/0!</v>
      </c>
      <c r="S176" s="128"/>
      <c r="T176" s="119" t="e">
        <f t="shared" ref="T176:AC176" si="376">T171/T68</f>
        <v>#DIV/0!</v>
      </c>
      <c r="U176" s="119" t="e">
        <f t="shared" si="376"/>
        <v>#DIV/0!</v>
      </c>
      <c r="V176" s="119" t="e">
        <f t="shared" si="376"/>
        <v>#DIV/0!</v>
      </c>
      <c r="W176" s="119" t="e">
        <f t="shared" si="376"/>
        <v>#DIV/0!</v>
      </c>
      <c r="X176" s="119" t="e">
        <f t="shared" si="376"/>
        <v>#DIV/0!</v>
      </c>
      <c r="Y176" s="119" t="e">
        <f t="shared" si="376"/>
        <v>#DIV/0!</v>
      </c>
      <c r="Z176" s="119" t="e">
        <f t="shared" si="376"/>
        <v>#DIV/0!</v>
      </c>
      <c r="AA176" s="119" t="e">
        <f t="shared" si="376"/>
        <v>#DIV/0!</v>
      </c>
      <c r="AB176" s="119" t="e">
        <f t="shared" si="376"/>
        <v>#DIV/0!</v>
      </c>
      <c r="AC176" s="119" t="e">
        <f t="shared" si="376"/>
        <v>#DIV/0!</v>
      </c>
      <c r="AD176" s="138" t="e">
        <f t="shared" si="357"/>
        <v>#DIV/0!</v>
      </c>
      <c r="AE176" s="31">
        <v>0.08</v>
      </c>
      <c r="AF176" s="127" t="e">
        <f t="shared" si="358"/>
        <v>#DIV/0!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377">G171/G62</f>
        <v>0</v>
      </c>
      <c r="H177" s="182" t="e">
        <f t="shared" si="377"/>
        <v>#DIV/0!</v>
      </c>
      <c r="I177" s="182" t="e">
        <f t="shared" si="377"/>
        <v>#DIV/0!</v>
      </c>
      <c r="J177" s="182" t="e">
        <f t="shared" si="377"/>
        <v>#DIV/0!</v>
      </c>
      <c r="K177" s="182" t="e">
        <f t="shared" si="377"/>
        <v>#DIV/0!</v>
      </c>
      <c r="L177" s="182" t="e">
        <f t="shared" si="377"/>
        <v>#DIV/0!</v>
      </c>
      <c r="M177" s="182" t="e">
        <f t="shared" si="377"/>
        <v>#DIV/0!</v>
      </c>
      <c r="N177" s="182" t="e">
        <f t="shared" si="377"/>
        <v>#DIV/0!</v>
      </c>
      <c r="O177" s="182">
        <f t="shared" si="377"/>
        <v>0</v>
      </c>
      <c r="P177" s="182">
        <f t="shared" si="377"/>
        <v>4.8932714617169371</v>
      </c>
      <c r="Q177" s="182">
        <f t="shared" ref="Q177" si="378">Q171/Q62</f>
        <v>5.0859649122807014</v>
      </c>
      <c r="R177" s="118" t="e">
        <f t="shared" ref="R177:R180" si="379">((P177/G177)^(1/($H$2-$H$1) ))-1</f>
        <v>#DIV/0!</v>
      </c>
      <c r="S177" s="128"/>
      <c r="T177" s="135">
        <f t="shared" ref="T177:AC177" si="380">T171/T62</f>
        <v>5.4968573407202213</v>
      </c>
      <c r="U177" s="135">
        <f t="shared" si="380"/>
        <v>5.6198133601836995</v>
      </c>
      <c r="V177" s="135">
        <f t="shared" si="380"/>
        <v>5.7455197116614931</v>
      </c>
      <c r="W177" s="135">
        <f t="shared" si="380"/>
        <v>5.8740379157381328</v>
      </c>
      <c r="X177" s="135">
        <f t="shared" si="380"/>
        <v>6.0054308691164859</v>
      </c>
      <c r="Y177" s="135">
        <f t="shared" si="380"/>
        <v>6.1397628753993558</v>
      </c>
      <c r="Z177" s="135">
        <f t="shared" si="380"/>
        <v>6.2770996765596063</v>
      </c>
      <c r="AA177" s="135">
        <f t="shared" si="380"/>
        <v>6.4175084851142294</v>
      </c>
      <c r="AB177" s="135">
        <f t="shared" si="380"/>
        <v>6.5610580170180999</v>
      </c>
      <c r="AC177" s="135">
        <f t="shared" si="380"/>
        <v>6.7078185252935061</v>
      </c>
      <c r="AD177" s="138" t="e">
        <f t="shared" ref="AD177" si="381">((AC177/G177)^(1/($AC$3-$H$1) ))-1</f>
        <v>#DIV/0!</v>
      </c>
      <c r="AE177" s="31">
        <v>0.08</v>
      </c>
      <c r="AF177" s="127" t="e">
        <f t="shared" si="358"/>
        <v>#DIV/0!</v>
      </c>
    </row>
    <row r="178" spans="2:46" x14ac:dyDescent="0.2">
      <c r="B178" s="20" t="s">
        <v>371</v>
      </c>
      <c r="C178" s="161" t="e">
        <f t="shared" ref="C178:P178" si="382">C54/C171</f>
        <v>#DIV/0!</v>
      </c>
      <c r="D178" s="161" t="e">
        <f t="shared" si="382"/>
        <v>#DIV/0!</v>
      </c>
      <c r="E178" s="161" t="e">
        <f t="shared" si="382"/>
        <v>#DIV/0!</v>
      </c>
      <c r="F178" s="161" t="e">
        <f t="shared" si="382"/>
        <v>#DIV/0!</v>
      </c>
      <c r="G178" s="161" t="e">
        <f t="shared" si="382"/>
        <v>#DIV/0!</v>
      </c>
      <c r="H178" s="161" t="e">
        <f t="shared" si="382"/>
        <v>#DIV/0!</v>
      </c>
      <c r="I178" s="161" t="e">
        <f t="shared" si="382"/>
        <v>#DIV/0!</v>
      </c>
      <c r="J178" s="161" t="e">
        <f t="shared" si="382"/>
        <v>#DIV/0!</v>
      </c>
      <c r="K178" s="161" t="e">
        <f t="shared" si="382"/>
        <v>#DIV/0!</v>
      </c>
      <c r="L178" s="161" t="e">
        <f t="shared" si="382"/>
        <v>#DIV/0!</v>
      </c>
      <c r="M178" s="161" t="e">
        <f t="shared" si="382"/>
        <v>#DIV/0!</v>
      </c>
      <c r="N178" s="161" t="e">
        <f t="shared" si="382"/>
        <v>#DIV/0!</v>
      </c>
      <c r="O178" s="161" t="e">
        <f t="shared" si="382"/>
        <v>#DIV/0!</v>
      </c>
      <c r="P178" s="161">
        <f t="shared" si="382"/>
        <v>5.4054054054054057E-2</v>
      </c>
      <c r="Q178" s="161">
        <f t="shared" ref="Q178" si="383">Q54/Q171</f>
        <v>6.3889025772433841E-2</v>
      </c>
      <c r="R178" s="118" t="e">
        <f t="shared" si="379"/>
        <v>#DIV/0!</v>
      </c>
      <c r="S178" s="128"/>
      <c r="T178" s="161">
        <f t="shared" ref="T178:AC178" si="384">T54/T171</f>
        <v>5.9113293872716972E-2</v>
      </c>
      <c r="U178" s="161">
        <f t="shared" si="384"/>
        <v>5.7819952822734749E-2</v>
      </c>
      <c r="V178" s="161">
        <f t="shared" si="384"/>
        <v>5.6554908809882121E-2</v>
      </c>
      <c r="W178" s="161">
        <f t="shared" si="384"/>
        <v>5.531754272266462E-2</v>
      </c>
      <c r="X178" s="161">
        <f t="shared" si="384"/>
        <v>5.4107248995141716E-2</v>
      </c>
      <c r="Y178" s="161">
        <f t="shared" si="384"/>
        <v>5.2923435310563323E-2</v>
      </c>
      <c r="Z178" s="161">
        <f t="shared" si="384"/>
        <v>5.1765522311490494E-2</v>
      </c>
      <c r="AA178" s="161">
        <f t="shared" si="384"/>
        <v>5.0632943316258394E-2</v>
      </c>
      <c r="AB178" s="161">
        <f t="shared" si="384"/>
        <v>4.9525144041642703E-2</v>
      </c>
      <c r="AC178" s="161">
        <f t="shared" si="384"/>
        <v>4.8441582331593881E-2</v>
      </c>
      <c r="AD178" s="138" t="e">
        <f t="shared" ref="AD178:AD180" si="385">((AC178/G178)^(1/($AC$3-$H$1) ))-1</f>
        <v>#DIV/0!</v>
      </c>
      <c r="AE178" s="31">
        <v>0.08</v>
      </c>
      <c r="AF178" s="127" t="e">
        <f t="shared" si="358"/>
        <v>#DIV/0!</v>
      </c>
    </row>
    <row r="179" spans="2:46" x14ac:dyDescent="0.2">
      <c r="B179" s="20" t="s">
        <v>320</v>
      </c>
      <c r="C179" s="152" t="e">
        <f t="shared" ref="C179:P179" si="386">C44/C171</f>
        <v>#DIV/0!</v>
      </c>
      <c r="D179" s="152" t="e">
        <f t="shared" si="386"/>
        <v>#DIV/0!</v>
      </c>
      <c r="E179" s="152" t="e">
        <f t="shared" si="386"/>
        <v>#DIV/0!</v>
      </c>
      <c r="F179" s="152" t="e">
        <f t="shared" si="386"/>
        <v>#DIV/0!</v>
      </c>
      <c r="G179" s="152" t="e">
        <f t="shared" si="386"/>
        <v>#DIV/0!</v>
      </c>
      <c r="H179" s="152" t="e">
        <f t="shared" si="386"/>
        <v>#DIV/0!</v>
      </c>
      <c r="I179" s="152" t="e">
        <f t="shared" si="386"/>
        <v>#DIV/0!</v>
      </c>
      <c r="J179" s="152" t="e">
        <f t="shared" si="386"/>
        <v>#DIV/0!</v>
      </c>
      <c r="K179" s="152" t="e">
        <f t="shared" si="386"/>
        <v>#DIV/0!</v>
      </c>
      <c r="L179" s="152" t="e">
        <f t="shared" si="386"/>
        <v>#DIV/0!</v>
      </c>
      <c r="M179" s="152" t="e">
        <f t="shared" si="386"/>
        <v>#DIV/0!</v>
      </c>
      <c r="N179" s="152" t="e">
        <f t="shared" si="386"/>
        <v>#DIV/0!</v>
      </c>
      <c r="O179" s="152" t="e">
        <f t="shared" si="386"/>
        <v>#DIV/0!</v>
      </c>
      <c r="P179" s="152">
        <f t="shared" si="386"/>
        <v>2.7027027027027029E-2</v>
      </c>
      <c r="Q179" s="152">
        <f t="shared" ref="Q179" si="387">Q44/Q171</f>
        <v>8.5714285714285719E-3</v>
      </c>
      <c r="R179" s="118" t="e">
        <f t="shared" si="379"/>
        <v>#DIV/0!</v>
      </c>
      <c r="S179" s="128"/>
      <c r="T179" s="152">
        <f t="shared" ref="T179:AC179" si="388">T44/T171</f>
        <v>7.6698319941563183E-3</v>
      </c>
      <c r="U179" s="152">
        <f t="shared" si="388"/>
        <v>7.2552464809586799E-3</v>
      </c>
      <c r="V179" s="152">
        <f t="shared" si="388"/>
        <v>6.8630709955014527E-3</v>
      </c>
      <c r="W179" s="152">
        <f t="shared" si="388"/>
        <v>6.4920941849338065E-3</v>
      </c>
      <c r="X179" s="152">
        <f t="shared" si="388"/>
        <v>6.1411701749373845E-3</v>
      </c>
      <c r="Y179" s="152">
        <f t="shared" si="388"/>
        <v>5.8092150303461739E-3</v>
      </c>
      <c r="Z179" s="152">
        <f t="shared" si="388"/>
        <v>5.4952034070842176E-3</v>
      </c>
      <c r="AA179" s="152">
        <f t="shared" si="388"/>
        <v>5.1981653850796655E-3</v>
      </c>
      <c r="AB179" s="152">
        <f t="shared" si="388"/>
        <v>4.9171834723726561E-3</v>
      </c>
      <c r="AC179" s="152">
        <f t="shared" si="388"/>
        <v>4.651389771163323E-3</v>
      </c>
      <c r="AD179" s="138" t="e">
        <f t="shared" si="385"/>
        <v>#DIV/0!</v>
      </c>
      <c r="AE179" s="31">
        <v>0.08</v>
      </c>
      <c r="AF179" s="127" t="e">
        <f t="shared" si="358"/>
        <v>#DIV/0!</v>
      </c>
    </row>
    <row r="180" spans="2:46" x14ac:dyDescent="0.2">
      <c r="B180" s="20" t="s">
        <v>447</v>
      </c>
      <c r="C180" s="181" t="e">
        <f t="shared" ref="C180:O180" si="389">(C173)/($L$2*100)</f>
        <v>#DIV/0!</v>
      </c>
      <c r="D180" s="181" t="e">
        <f t="shared" si="389"/>
        <v>#DIV/0!</v>
      </c>
      <c r="E180" s="181" t="e">
        <f t="shared" si="389"/>
        <v>#DIV/0!</v>
      </c>
      <c r="F180" s="181" t="e">
        <f t="shared" si="389"/>
        <v>#DIV/0!</v>
      </c>
      <c r="G180" s="181">
        <f t="shared" si="389"/>
        <v>0</v>
      </c>
      <c r="H180" s="181" t="e">
        <f t="shared" si="389"/>
        <v>#DIV/0!</v>
      </c>
      <c r="I180" s="181" t="e">
        <f t="shared" si="389"/>
        <v>#DIV/0!</v>
      </c>
      <c r="J180" s="181" t="e">
        <f t="shared" si="389"/>
        <v>#DIV/0!</v>
      </c>
      <c r="K180" s="181" t="e">
        <f t="shared" si="389"/>
        <v>#DIV/0!</v>
      </c>
      <c r="L180" s="181" t="e">
        <f t="shared" si="389"/>
        <v>#DIV/0!</v>
      </c>
      <c r="M180" s="181" t="e">
        <f t="shared" si="389"/>
        <v>#DIV/0!</v>
      </c>
      <c r="N180" s="181" t="e">
        <f t="shared" si="389"/>
        <v>#DIV/0!</v>
      </c>
      <c r="O180" s="181">
        <f t="shared" si="389"/>
        <v>0</v>
      </c>
      <c r="P180" s="181">
        <f>(P173)/($L$2*100)</f>
        <v>1.3214285714285712</v>
      </c>
      <c r="Q180" s="181">
        <f>(Q173)/($L$2*100)</f>
        <v>1.1180100269957578</v>
      </c>
      <c r="R180" s="118" t="e">
        <f t="shared" si="379"/>
        <v>#DIV/0!</v>
      </c>
      <c r="S180" s="128"/>
      <c r="T180" s="181">
        <f>(T173)/($L$2*100)</f>
        <v>1.208333468650415</v>
      </c>
      <c r="U180" s="181">
        <f t="shared" ref="U180:AC180" si="390">(U173)/($L$2*100)</f>
        <v>1.2353619804491742</v>
      </c>
      <c r="V180" s="181">
        <f t="shared" si="390"/>
        <v>1.2629950773802743</v>
      </c>
      <c r="W180" s="181">
        <f t="shared" si="390"/>
        <v>1.2912462830585172</v>
      </c>
      <c r="X180" s="181">
        <f t="shared" si="390"/>
        <v>1.3201294236006156</v>
      </c>
      <c r="Y180" s="181">
        <f t="shared" si="390"/>
        <v>1.3496586343916821</v>
      </c>
      <c r="Z180" s="181">
        <f t="shared" si="390"/>
        <v>1.3798483670030752</v>
      </c>
      <c r="AA180" s="181">
        <f t="shared" si="390"/>
        <v>1.4107133962649863</v>
      </c>
      <c r="AB180" s="181">
        <f t="shared" si="390"/>
        <v>1.4422688274972295</v>
      </c>
      <c r="AC180" s="181">
        <f t="shared" si="390"/>
        <v>1.4745301039017731</v>
      </c>
      <c r="AD180" s="138" t="e">
        <f t="shared" si="385"/>
        <v>#DIV/0!</v>
      </c>
      <c r="AE180" s="31">
        <v>0.08</v>
      </c>
      <c r="AF180" s="181" t="e">
        <f>(AF173)/($L$2*100)</f>
        <v>#DIV/0!</v>
      </c>
    </row>
    <row r="181" spans="2:46" x14ac:dyDescent="0.2">
      <c r="B181" s="20" t="s">
        <v>448</v>
      </c>
      <c r="C181" s="152"/>
      <c r="D181" s="152"/>
      <c r="E181" s="152"/>
      <c r="F181" s="152"/>
      <c r="G181" s="152">
        <f t="shared" ref="G181:P181" si="391">G180-1</f>
        <v>-1</v>
      </c>
      <c r="H181" s="152" t="e">
        <f t="shared" si="391"/>
        <v>#DIV/0!</v>
      </c>
      <c r="I181" s="152" t="e">
        <f t="shared" si="391"/>
        <v>#DIV/0!</v>
      </c>
      <c r="J181" s="152" t="e">
        <f t="shared" si="391"/>
        <v>#DIV/0!</v>
      </c>
      <c r="K181" s="152" t="e">
        <f t="shared" si="391"/>
        <v>#DIV/0!</v>
      </c>
      <c r="L181" s="152" t="e">
        <f t="shared" si="391"/>
        <v>#DIV/0!</v>
      </c>
      <c r="M181" s="152" t="e">
        <f t="shared" si="391"/>
        <v>#DIV/0!</v>
      </c>
      <c r="N181" s="152" t="e">
        <f t="shared" si="391"/>
        <v>#DIV/0!</v>
      </c>
      <c r="O181" s="152">
        <f t="shared" si="391"/>
        <v>-1</v>
      </c>
      <c r="P181" s="152">
        <f t="shared" si="391"/>
        <v>0.32142857142857117</v>
      </c>
      <c r="Q181" s="152">
        <f>Q180-1</f>
        <v>0.1180100269957578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5" t="s">
        <v>351</v>
      </c>
      <c r="L183" s="206"/>
      <c r="M183" s="20"/>
      <c r="N183" s="20"/>
      <c r="O183" s="20"/>
      <c r="P183" s="108" t="s">
        <v>431</v>
      </c>
      <c r="Q183" s="108" t="s">
        <v>430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0.91877127197283071</v>
      </c>
      <c r="Q184" s="128">
        <f>(Q171-T159)/Q171</f>
        <v>0.9331741108623357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0.49263451881596632</v>
      </c>
      <c r="N185" s="20"/>
      <c r="O185" s="20"/>
      <c r="P185" s="128">
        <f>(Q171-S150)/Q171</f>
        <v>0.46364220560545011</v>
      </c>
      <c r="Q185" s="128">
        <f>(Q171-T150)/Q171</f>
        <v>0.92526161881387414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0.38454914061886625</v>
      </c>
      <c r="N186" s="20"/>
      <c r="O186" s="20"/>
      <c r="P186" s="128">
        <f>(Q171-S143)/Q171</f>
        <v>0.34938052008280146</v>
      </c>
      <c r="Q186" s="128">
        <f>(Q171-T143)/Q171</f>
        <v>0.90933990853612812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0.94100673972738302</v>
      </c>
      <c r="N187" s="20"/>
      <c r="O187" s="20"/>
      <c r="P187" s="128">
        <f>(Q171-S156)/Q171</f>
        <v>0.93763569628323351</v>
      </c>
      <c r="Q187" s="128">
        <f>(Q171-T156)/Q171</f>
        <v>0.99130989210504072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400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1</v>
      </c>
      <c r="N188" s="20"/>
      <c r="O188" s="20"/>
      <c r="P188" s="128">
        <f>(Q171-S168)/Q171</f>
        <v>1</v>
      </c>
      <c r="Q188" s="128">
        <f>(Q171-T168)/Q171</f>
        <v>1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5.7378049176212329</v>
      </c>
      <c r="Q189" s="25">
        <f>Q171/T142</f>
        <v>41.177188232340612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408</v>
      </c>
      <c r="AE189" s="115" t="s">
        <v>409</v>
      </c>
      <c r="AF189" s="115" t="s">
        <v>410</v>
      </c>
      <c r="AG189" s="115" t="s">
        <v>411</v>
      </c>
      <c r="AH189" s="115" t="s">
        <v>412</v>
      </c>
      <c r="AI189" s="115" t="s">
        <v>413</v>
      </c>
      <c r="AJ189" s="115" t="s">
        <v>414</v>
      </c>
      <c r="AK189" s="115" t="s">
        <v>415</v>
      </c>
      <c r="AL189" s="115" t="s">
        <v>416</v>
      </c>
      <c r="AM189" s="115" t="s">
        <v>417</v>
      </c>
      <c r="AN189" s="115" t="s">
        <v>418</v>
      </c>
      <c r="AO189" s="115" t="s">
        <v>419</v>
      </c>
      <c r="AP189" s="115" t="s">
        <v>420</v>
      </c>
      <c r="AQ189" s="115" t="s">
        <v>421</v>
      </c>
      <c r="AR189" s="115" t="s">
        <v>422</v>
      </c>
      <c r="AS189" s="115" t="s">
        <v>423</v>
      </c>
      <c r="AT189" s="115" t="s">
        <v>424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449</v>
      </c>
      <c r="H190" s="190"/>
      <c r="I190" s="189" t="s">
        <v>450</v>
      </c>
      <c r="J190" s="190"/>
      <c r="K190" s="20"/>
      <c r="L190" s="189" t="s">
        <v>451</v>
      </c>
      <c r="M190" s="190"/>
      <c r="N190" s="189" t="s">
        <v>452</v>
      </c>
      <c r="O190" s="190"/>
      <c r="P190" s="152">
        <f>1/P189</f>
        <v>0.17428267680013385</v>
      </c>
      <c r="Q190" s="152">
        <f>1/Q189</f>
        <v>2.428529102952685E-2</v>
      </c>
      <c r="R190" s="20"/>
      <c r="S190" s="20"/>
      <c r="T190" s="129" t="e">
        <f>Q171-T191</f>
        <v>#DIV/0!</v>
      </c>
      <c r="U190" s="185" t="e">
        <f>T190-U191</f>
        <v>#DIV/0!</v>
      </c>
      <c r="V190" s="185" t="e">
        <f t="shared" ref="V190:X190" si="392">U190-V191</f>
        <v>#DIV/0!</v>
      </c>
      <c r="W190" s="185" t="e">
        <f t="shared" si="392"/>
        <v>#DIV/0!</v>
      </c>
      <c r="X190" s="185" t="e">
        <f t="shared" si="392"/>
        <v>#DIV/0!</v>
      </c>
      <c r="Y190" s="185" t="e">
        <f>X190-Y191</f>
        <v>#DIV/0!</v>
      </c>
      <c r="Z190" s="185" t="e">
        <f t="shared" ref="Z190:AC190" si="393">Y190-Z191</f>
        <v>#DIV/0!</v>
      </c>
      <c r="AA190" s="185" t="e">
        <f t="shared" si="393"/>
        <v>#DIV/0!</v>
      </c>
      <c r="AB190" s="185" t="e">
        <f t="shared" si="393"/>
        <v>#DIV/0!</v>
      </c>
      <c r="AC190" s="185" t="e">
        <f t="shared" si="393"/>
        <v>#DIV/0!</v>
      </c>
      <c r="AD190" s="185" t="e">
        <f t="shared" ref="AD190" si="394">AC190-AD191</f>
        <v>#DIV/0!</v>
      </c>
      <c r="AE190" s="185" t="e">
        <f t="shared" ref="AE190" si="395">AD190-AE191</f>
        <v>#DIV/0!</v>
      </c>
      <c r="AF190" s="185" t="e">
        <f t="shared" ref="AF190" si="396">AE190-AF191</f>
        <v>#DIV/0!</v>
      </c>
      <c r="AG190" s="185" t="e">
        <f t="shared" ref="AG190" si="397">AF190-AG191</f>
        <v>#DIV/0!</v>
      </c>
      <c r="AH190" s="185" t="e">
        <f t="shared" ref="AH190" si="398">AG190-AH191</f>
        <v>#DIV/0!</v>
      </c>
      <c r="AI190" s="185" t="e">
        <f t="shared" ref="AI190" si="399">AH190-AI191</f>
        <v>#DIV/0!</v>
      </c>
      <c r="AJ190" s="185" t="e">
        <f t="shared" ref="AJ190" si="400">AI190-AJ191</f>
        <v>#DIV/0!</v>
      </c>
      <c r="AK190" s="185" t="e">
        <f t="shared" ref="AK190" si="401">AJ190-AK191</f>
        <v>#DIV/0!</v>
      </c>
      <c r="AL190" s="185" t="e">
        <f t="shared" ref="AL190" si="402">AK190-AL191</f>
        <v>#DIV/0!</v>
      </c>
      <c r="AM190" s="185" t="e">
        <f t="shared" ref="AM190" si="403">AL190-AM191</f>
        <v>#DIV/0!</v>
      </c>
      <c r="AN190" s="185" t="e">
        <f t="shared" ref="AN190" si="404">AM190-AN191</f>
        <v>#DIV/0!</v>
      </c>
      <c r="AO190" s="185" t="e">
        <f t="shared" ref="AO190" si="405">AN190-AO191</f>
        <v>#DIV/0!</v>
      </c>
      <c r="AP190" s="185" t="e">
        <f t="shared" ref="AP190" si="406">AO190-AP191</f>
        <v>#DIV/0!</v>
      </c>
      <c r="AQ190" s="185" t="e">
        <f t="shared" ref="AQ190" si="407">AP190-AQ191</f>
        <v>#DIV/0!</v>
      </c>
      <c r="AR190" s="185" t="e">
        <f t="shared" ref="AR190" si="408">AQ190-AR191</f>
        <v>#DIV/0!</v>
      </c>
      <c r="AS190" s="185" t="e">
        <f t="shared" ref="AS190" si="409">AR190-AS191</f>
        <v>#DIV/0!</v>
      </c>
      <c r="AT190" s="185" t="e">
        <f t="shared" ref="AT190" si="410">AS190-AT191</f>
        <v>#DIV/0!</v>
      </c>
    </row>
    <row r="191" spans="2:46" x14ac:dyDescent="0.2">
      <c r="B191" s="20" t="s">
        <v>397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 t="e">
        <f>Q171/R141</f>
        <v>#DIV/0!</v>
      </c>
      <c r="Q191" s="181" t="e">
        <f>Q171/R141</f>
        <v>#DIV/0!</v>
      </c>
      <c r="R191" s="20"/>
      <c r="S191" s="20"/>
      <c r="T191" s="186" t="e">
        <f>R141*(1+$K$191)</f>
        <v>#DIV/0!</v>
      </c>
      <c r="U191" s="186" t="e">
        <f>T191*(1+$K$191)</f>
        <v>#DIV/0!</v>
      </c>
      <c r="V191" s="186" t="e">
        <f t="shared" ref="V191:AC191" si="411">U191*(1+$K$191)</f>
        <v>#DIV/0!</v>
      </c>
      <c r="W191" s="186" t="e">
        <f t="shared" si="411"/>
        <v>#DIV/0!</v>
      </c>
      <c r="X191" s="186" t="e">
        <f t="shared" si="411"/>
        <v>#DIV/0!</v>
      </c>
      <c r="Y191" s="186" t="e">
        <f t="shared" si="411"/>
        <v>#DIV/0!</v>
      </c>
      <c r="Z191" s="186" t="e">
        <f t="shared" si="411"/>
        <v>#DIV/0!</v>
      </c>
      <c r="AA191" s="186" t="e">
        <f t="shared" si="411"/>
        <v>#DIV/0!</v>
      </c>
      <c r="AB191" s="186" t="e">
        <f t="shared" si="411"/>
        <v>#DIV/0!</v>
      </c>
      <c r="AC191" s="186" t="e">
        <f t="shared" si="411"/>
        <v>#DIV/0!</v>
      </c>
      <c r="AD191" s="186" t="e">
        <f t="shared" ref="AD191" si="412">AC191*(1+$K$191)</f>
        <v>#DIV/0!</v>
      </c>
      <c r="AE191" s="186" t="e">
        <f t="shared" ref="AE191" si="413">AD191*(1+$K$191)</f>
        <v>#DIV/0!</v>
      </c>
      <c r="AF191" s="186" t="e">
        <f t="shared" ref="AF191" si="414">AE191*(1+$K$191)</f>
        <v>#DIV/0!</v>
      </c>
      <c r="AG191" s="186" t="e">
        <f t="shared" ref="AG191" si="415">AF191*(1+$K$191)</f>
        <v>#DIV/0!</v>
      </c>
      <c r="AH191" s="186" t="e">
        <f t="shared" ref="AH191" si="416">AG191*(1+$K$191)</f>
        <v>#DIV/0!</v>
      </c>
      <c r="AI191" s="186" t="e">
        <f t="shared" ref="AI191" si="417">AH191*(1+$K$191)</f>
        <v>#DIV/0!</v>
      </c>
      <c r="AJ191" s="186" t="e">
        <f t="shared" ref="AJ191" si="418">AI191*(1+$K$191)</f>
        <v>#DIV/0!</v>
      </c>
      <c r="AK191" s="186" t="e">
        <f t="shared" ref="AK191" si="419">AJ191*(1+$K$191)</f>
        <v>#DIV/0!</v>
      </c>
      <c r="AL191" s="186" t="e">
        <f t="shared" ref="AL191" si="420">AK191*(1+$K$191)</f>
        <v>#DIV/0!</v>
      </c>
      <c r="AM191" s="186" t="e">
        <f t="shared" ref="AM191" si="421">AL191*(1+$K$191)</f>
        <v>#DIV/0!</v>
      </c>
      <c r="AN191" s="186" t="e">
        <f t="shared" ref="AN191" si="422">AM191*(1+$K$191)</f>
        <v>#DIV/0!</v>
      </c>
      <c r="AO191" s="186" t="e">
        <f t="shared" ref="AO191" si="423">AN191*(1+$K$191)</f>
        <v>#DIV/0!</v>
      </c>
      <c r="AP191" s="186" t="e">
        <f t="shared" ref="AP191" si="424">AO191*(1+$K$191)</f>
        <v>#DIV/0!</v>
      </c>
      <c r="AQ191" s="186" t="e">
        <f t="shared" ref="AQ191" si="425">AP191*(1+$K$191)</f>
        <v>#DIV/0!</v>
      </c>
      <c r="AR191" s="186" t="e">
        <f t="shared" ref="AR191" si="426">AQ191*(1+$K$191)</f>
        <v>#DIV/0!</v>
      </c>
      <c r="AS191" s="186" t="e">
        <f t="shared" ref="AS191" si="427">AR191*(1+$K$191)</f>
        <v>#DIV/0!</v>
      </c>
      <c r="AT191" s="186" t="e">
        <f t="shared" ref="AT191" si="428">AS191*(1+$K$191)</f>
        <v>#DIV/0!</v>
      </c>
    </row>
    <row r="192" spans="2:46" x14ac:dyDescent="0.2">
      <c r="B192" s="20" t="s">
        <v>396</v>
      </c>
      <c r="C192" s="20"/>
      <c r="D192" s="20"/>
      <c r="E192" s="23" t="s">
        <v>391</v>
      </c>
      <c r="F192" s="22"/>
      <c r="G192" s="191">
        <v>0</v>
      </c>
      <c r="H192" s="192">
        <f>Q173</f>
        <v>15.65214037794061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Q171/Q54</f>
        <v>15.65214037794061</v>
      </c>
      <c r="Q192" s="181">
        <f>Q171/Q54</f>
        <v>15.65214037794061</v>
      </c>
      <c r="R192" s="20"/>
      <c r="S192" s="20"/>
      <c r="T192" s="186">
        <f>Q54*(1+$K$192)</f>
        <v>46.958433942738878</v>
      </c>
      <c r="U192" s="186">
        <f>T192*(1+$K$192)</f>
        <v>49.306355639875825</v>
      </c>
      <c r="V192" s="186">
        <f t="shared" ref="V192:AC192" si="429">U192*(1+$K$192)</f>
        <v>51.771673421869622</v>
      </c>
      <c r="W192" s="186">
        <f t="shared" si="429"/>
        <v>54.360257092963103</v>
      </c>
      <c r="X192" s="186">
        <f t="shared" si="429"/>
        <v>57.078269947611261</v>
      </c>
      <c r="Y192" s="186">
        <f t="shared" si="429"/>
        <v>59.932183444991828</v>
      </c>
      <c r="Z192" s="186">
        <f t="shared" si="429"/>
        <v>62.92879261724142</v>
      </c>
      <c r="AA192" s="186">
        <f t="shared" si="429"/>
        <v>66.075232248103489</v>
      </c>
      <c r="AB192" s="186">
        <f t="shared" si="429"/>
        <v>69.378993860508672</v>
      </c>
      <c r="AC192" s="186">
        <f t="shared" si="429"/>
        <v>72.847943553534108</v>
      </c>
      <c r="AD192" s="186">
        <f t="shared" ref="AD192" si="430">AC192*(1+$K$192)</f>
        <v>76.490340731210821</v>
      </c>
      <c r="AE192" s="186">
        <f t="shared" ref="AE192" si="431">AD192*(1+$K$192)</f>
        <v>80.314857767771372</v>
      </c>
      <c r="AF192" s="186">
        <f t="shared" ref="AF192" si="432">AE192*(1+$K$192)</f>
        <v>84.330600656159945</v>
      </c>
      <c r="AG192" s="186">
        <f t="shared" ref="AG192" si="433">AF192*(1+$K$192)</f>
        <v>88.54713068896794</v>
      </c>
      <c r="AH192" s="186">
        <f t="shared" ref="AH192" si="434">AG192*(1+$K$192)</f>
        <v>92.974487223416347</v>
      </c>
      <c r="AI192" s="186">
        <f t="shared" ref="AI192" si="435">AH192*(1+$K$192)</f>
        <v>97.623211584587168</v>
      </c>
      <c r="AJ192" s="186">
        <f t="shared" ref="AJ192" si="436">AI192*(1+$K$192)</f>
        <v>102.50437216381653</v>
      </c>
      <c r="AK192" s="186">
        <f t="shared" ref="AK192" si="437">AJ192*(1+$K$192)</f>
        <v>107.62959077200736</v>
      </c>
      <c r="AL192" s="186">
        <f t="shared" ref="AL192" si="438">AK192*(1+$K$192)</f>
        <v>113.01107031060774</v>
      </c>
      <c r="AM192" s="186">
        <f t="shared" ref="AM192" si="439">AL192*(1+$K$192)</f>
        <v>118.66162382613813</v>
      </c>
      <c r="AN192" s="186">
        <f t="shared" ref="AN192" si="440">AM192*(1+$K$192)</f>
        <v>124.59470501744504</v>
      </c>
      <c r="AO192" s="186">
        <f t="shared" ref="AO192" si="441">AN192*(1+$K$192)</f>
        <v>130.82444026831729</v>
      </c>
      <c r="AP192" s="186">
        <f t="shared" ref="AP192" si="442">AO192*(1+$K$192)</f>
        <v>137.36566228173317</v>
      </c>
      <c r="AQ192" s="186">
        <f t="shared" ref="AQ192" si="443">AP192*(1+$K$192)</f>
        <v>144.23394539581983</v>
      </c>
      <c r="AR192" s="186">
        <f t="shared" ref="AR192" si="444">AQ192*(1+$K$192)</f>
        <v>151.44564266561082</v>
      </c>
      <c r="AS192" s="186">
        <f t="shared" ref="AS192" si="445">AR192*(1+$K$192)</f>
        <v>159.01792479889136</v>
      </c>
      <c r="AT192" s="186">
        <f t="shared" ref="AT192" si="446">AS192*(1+$K$192)</f>
        <v>166.96882103883593</v>
      </c>
    </row>
    <row r="193" spans="2:46" x14ac:dyDescent="0.2">
      <c r="B193" s="20"/>
      <c r="C193" s="20"/>
      <c r="D193" s="20"/>
      <c r="E193" s="23" t="s">
        <v>455</v>
      </c>
      <c r="F193" s="22"/>
      <c r="G193" s="191">
        <v>0</v>
      </c>
      <c r="H193" s="192"/>
      <c r="I193" s="191">
        <v>0.05</v>
      </c>
      <c r="J193" s="190"/>
      <c r="K193" s="190"/>
      <c r="L193" s="191">
        <v>0.12</v>
      </c>
      <c r="M193" s="190"/>
      <c r="N193" s="191">
        <v>0.2</v>
      </c>
      <c r="O193" s="20"/>
      <c r="P193" s="20"/>
      <c r="Q193" s="20"/>
      <c r="R193" s="20"/>
      <c r="S193" s="20"/>
      <c r="T193" s="129">
        <f>Q171-T192</f>
        <v>653.04156605726109</v>
      </c>
      <c r="U193" s="185">
        <f>T193-U192</f>
        <v>603.73521041738525</v>
      </c>
      <c r="V193" s="185">
        <f t="shared" ref="V193:AA193" si="447">U193-V192</f>
        <v>551.9635369955156</v>
      </c>
      <c r="W193" s="185">
        <f t="shared" si="447"/>
        <v>497.60327990255252</v>
      </c>
      <c r="X193" s="185">
        <f t="shared" si="447"/>
        <v>440.52500995494125</v>
      </c>
      <c r="Y193" s="185">
        <f t="shared" si="447"/>
        <v>380.59282650994942</v>
      </c>
      <c r="Z193" s="185">
        <f t="shared" si="447"/>
        <v>317.66403389270801</v>
      </c>
      <c r="AA193" s="185">
        <f t="shared" si="447"/>
        <v>251.58880164460453</v>
      </c>
      <c r="AB193" s="185">
        <f>AA193-AB192</f>
        <v>182.20980778409586</v>
      </c>
      <c r="AC193" s="185">
        <f t="shared" ref="AC193" si="448">AB193-AC192</f>
        <v>109.36186423056175</v>
      </c>
      <c r="AD193" s="185">
        <f t="shared" ref="AD193" si="449">AC193-AD192</f>
        <v>32.871523499350928</v>
      </c>
      <c r="AE193" s="185">
        <f t="shared" ref="AE193" si="450">AD193-AE192</f>
        <v>-47.443334268420443</v>
      </c>
      <c r="AF193" s="185">
        <f t="shared" ref="AF193" si="451">AE193-AF192</f>
        <v>-131.77393492458037</v>
      </c>
      <c r="AG193" s="185">
        <f t="shared" ref="AG193" si="452">AF193-AG192</f>
        <v>-220.32106561354831</v>
      </c>
      <c r="AH193" s="185">
        <f t="shared" ref="AH193" si="453">AG193-AH192</f>
        <v>-313.29555283696465</v>
      </c>
      <c r="AI193" s="185">
        <f t="shared" ref="AI193" si="454">AH193-AI192</f>
        <v>-410.91876442155183</v>
      </c>
      <c r="AJ193" s="185">
        <f t="shared" ref="AJ193" si="455">AI193-AJ192</f>
        <v>-513.42313658536841</v>
      </c>
      <c r="AK193" s="185">
        <f t="shared" ref="AK193" si="456">AJ193-AK192</f>
        <v>-621.05272735737572</v>
      </c>
      <c r="AL193" s="185">
        <f t="shared" ref="AL193" si="457">AK193-AL192</f>
        <v>-734.06379766798341</v>
      </c>
      <c r="AM193" s="185">
        <f t="shared" ref="AM193" si="458">AL193-AM192</f>
        <v>-852.72542149412152</v>
      </c>
      <c r="AN193" s="185">
        <f t="shared" ref="AN193" si="459">AM193-AN192</f>
        <v>-977.32012651156651</v>
      </c>
      <c r="AO193" s="185">
        <f t="shared" ref="AO193" si="460">AN193-AO192</f>
        <v>-1108.1445667798839</v>
      </c>
      <c r="AP193" s="185">
        <f t="shared" ref="AP193" si="461">AO193-AP192</f>
        <v>-1245.5102290616171</v>
      </c>
      <c r="AQ193" s="185">
        <f t="shared" ref="AQ193" si="462">AP193-AQ192</f>
        <v>-1389.7441744574369</v>
      </c>
      <c r="AR193" s="185">
        <f t="shared" ref="AR193" si="463">AQ193-AR192</f>
        <v>-1541.1898171230478</v>
      </c>
      <c r="AS193" s="185">
        <f t="shared" ref="AS193" si="464">AR193-AS192</f>
        <v>-1700.207741921939</v>
      </c>
      <c r="AT193" s="185">
        <f t="shared" ref="AT193" si="465">AS193-AT192</f>
        <v>-1867.1765629607748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66">C10/C7</f>
        <v>#DIV/0!</v>
      </c>
      <c r="D195" s="25" t="e">
        <f t="shared" si="466"/>
        <v>#DIV/0!</v>
      </c>
      <c r="E195" s="25" t="e">
        <f t="shared" si="466"/>
        <v>#DIV/0!</v>
      </c>
      <c r="F195" s="25" t="e">
        <f t="shared" si="466"/>
        <v>#DIV/0!</v>
      </c>
      <c r="G195" s="25">
        <f t="shared" si="466"/>
        <v>0</v>
      </c>
      <c r="H195" s="25" t="e">
        <f t="shared" si="466"/>
        <v>#DIV/0!</v>
      </c>
      <c r="I195" s="25" t="e">
        <f t="shared" si="466"/>
        <v>#DIV/0!</v>
      </c>
      <c r="J195" s="25" t="e">
        <f t="shared" si="466"/>
        <v>#DIV/0!</v>
      </c>
      <c r="K195" s="25" t="e">
        <f t="shared" si="466"/>
        <v>#DIV/0!</v>
      </c>
      <c r="L195" s="25" t="e">
        <f t="shared" si="466"/>
        <v>#DIV/0!</v>
      </c>
      <c r="M195" s="25" t="e">
        <f t="shared" si="466"/>
        <v>#DIV/0!</v>
      </c>
      <c r="N195" s="25" t="e">
        <f t="shared" si="466"/>
        <v>#DIV/0!</v>
      </c>
      <c r="O195" s="25">
        <f t="shared" si="466"/>
        <v>0</v>
      </c>
      <c r="P195" s="25">
        <f t="shared" si="466"/>
        <v>0</v>
      </c>
      <c r="Q195" s="25">
        <f t="shared" ref="Q195" si="467">Q10/Q7</f>
        <v>0</v>
      </c>
      <c r="R195" s="118" t="e">
        <f t="shared" ref="R195:R197" si="468">((P195/G195)^(1/($H$2-$H$1) ))-1</f>
        <v>#DIV/0!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0</v>
      </c>
      <c r="H196" s="112" t="e">
        <f t="shared" ref="H196:P196" si="469">H10/H12</f>
        <v>#DIV/0!</v>
      </c>
      <c r="I196" s="112" t="e">
        <f t="shared" si="469"/>
        <v>#DIV/0!</v>
      </c>
      <c r="J196" s="112" t="e">
        <f t="shared" si="469"/>
        <v>#DIV/0!</v>
      </c>
      <c r="K196" s="112" t="e">
        <f t="shared" si="469"/>
        <v>#DIV/0!</v>
      </c>
      <c r="L196" s="112" t="e">
        <f t="shared" si="469"/>
        <v>#DIV/0!</v>
      </c>
      <c r="M196" s="112" t="e">
        <f t="shared" si="469"/>
        <v>#DIV/0!</v>
      </c>
      <c r="N196" s="112" t="e">
        <f t="shared" si="469"/>
        <v>#DIV/0!</v>
      </c>
      <c r="O196" s="112">
        <f t="shared" si="469"/>
        <v>0</v>
      </c>
      <c r="P196" s="112">
        <f t="shared" si="469"/>
        <v>0</v>
      </c>
      <c r="Q196" s="112">
        <f t="shared" ref="Q196" si="470">Q10/Q12</f>
        <v>0</v>
      </c>
      <c r="R196" s="118" t="e">
        <f t="shared" si="468"/>
        <v>#DIV/0!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0</v>
      </c>
      <c r="H197" s="25" t="e">
        <f t="shared" ref="H197:P197" si="471">H10/(H12+H13)</f>
        <v>#DIV/0!</v>
      </c>
      <c r="I197" s="25" t="e">
        <f t="shared" si="471"/>
        <v>#DIV/0!</v>
      </c>
      <c r="J197" s="25" t="e">
        <f t="shared" si="471"/>
        <v>#DIV/0!</v>
      </c>
      <c r="K197" s="25" t="e">
        <f t="shared" si="471"/>
        <v>#DIV/0!</v>
      </c>
      <c r="L197" s="25" t="e">
        <f t="shared" si="471"/>
        <v>#DIV/0!</v>
      </c>
      <c r="M197" s="25" t="e">
        <f t="shared" si="471"/>
        <v>#DIV/0!</v>
      </c>
      <c r="N197" s="25" t="e">
        <f t="shared" si="471"/>
        <v>#DIV/0!</v>
      </c>
      <c r="O197" s="25">
        <f t="shared" si="471"/>
        <v>0</v>
      </c>
      <c r="P197" s="25">
        <f t="shared" si="471"/>
        <v>0</v>
      </c>
      <c r="Q197" s="25">
        <f t="shared" ref="Q197" si="472">Q10/(Q12+Q13)</f>
        <v>0</v>
      </c>
      <c r="R197" s="118" t="e">
        <f t="shared" si="468"/>
        <v>#DIV/0!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2" t="s">
        <v>337</v>
      </c>
      <c r="M200" s="203"/>
      <c r="N200" s="204"/>
      <c r="O200" s="23" t="s">
        <v>340</v>
      </c>
      <c r="P200" s="20"/>
      <c r="Q200" s="137"/>
      <c r="R200" s="202" t="s">
        <v>338</v>
      </c>
      <c r="S200" s="203"/>
      <c r="T200" s="204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1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1</v>
      </c>
      <c r="O202" s="173">
        <f>N202</f>
        <v>1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1</v>
      </c>
      <c r="E204" s="176" t="s">
        <v>398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1</v>
      </c>
      <c r="O204" s="173">
        <f>N204</f>
        <v>1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1</v>
      </c>
      <c r="O205" s="21">
        <v>1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1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1</v>
      </c>
      <c r="O206" s="168">
        <f>O205*O203</f>
        <v>1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1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1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1</v>
      </c>
      <c r="O209" s="170">
        <f>O206/O204</f>
        <v>1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1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5" t="s">
        <v>27</v>
      </c>
      <c r="E213" s="196"/>
      <c r="F213" s="196"/>
      <c r="G213" s="197"/>
      <c r="H213" s="20"/>
      <c r="I213" s="195" t="s">
        <v>393</v>
      </c>
      <c r="J213" s="196"/>
      <c r="K213" s="197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1</v>
      </c>
      <c r="H214" s="20"/>
      <c r="I214" s="20" t="s">
        <v>28</v>
      </c>
      <c r="J214" s="127"/>
      <c r="K214" s="21">
        <f>G214</f>
        <v>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1</v>
      </c>
      <c r="H215" s="20"/>
      <c r="I215" s="20" t="s">
        <v>29</v>
      </c>
      <c r="J215" s="20"/>
      <c r="K215" s="21">
        <f>G215</f>
        <v>1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</v>
      </c>
      <c r="H217" s="20"/>
      <c r="I217" s="23" t="s">
        <v>394</v>
      </c>
      <c r="J217" s="23"/>
      <c r="K217" s="23">
        <f>(K215-K214)/K214</f>
        <v>0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</v>
      </c>
      <c r="H218" s="20"/>
      <c r="I218" s="23" t="s">
        <v>395</v>
      </c>
      <c r="J218" s="23"/>
      <c r="K218" s="23">
        <f>K215/K214</f>
        <v>1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7" t="s">
        <v>27</v>
      </c>
      <c r="K5" s="207"/>
      <c r="M5" s="207" t="s">
        <v>65</v>
      </c>
      <c r="N5" s="207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7" t="s">
        <v>36</v>
      </c>
      <c r="K14" s="207"/>
      <c r="L14" s="207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7" t="s">
        <v>27</v>
      </c>
      <c r="S5" s="207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7" t="s">
        <v>36</v>
      </c>
      <c r="S14" s="207"/>
      <c r="T14" s="207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7" t="s">
        <v>27</v>
      </c>
      <c r="C2" s="207"/>
      <c r="E2" s="207" t="s">
        <v>65</v>
      </c>
      <c r="F2" s="207"/>
      <c r="H2" s="211" t="s">
        <v>36</v>
      </c>
      <c r="I2" s="212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8" t="s">
        <v>68</v>
      </c>
      <c r="E10" s="209"/>
      <c r="F10" s="209"/>
      <c r="G10" s="209"/>
      <c r="H10" s="210"/>
      <c r="I10" s="208" t="s">
        <v>72</v>
      </c>
      <c r="J10" s="209"/>
      <c r="K10" s="209"/>
      <c r="L10" s="210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3" t="s">
        <v>432</v>
      </c>
      <c r="C3" s="214"/>
      <c r="F3" s="213" t="s">
        <v>433</v>
      </c>
      <c r="G3" s="214"/>
    </row>
    <row r="4" spans="2:7" x14ac:dyDescent="0.2">
      <c r="B4" s="188" t="s">
        <v>434</v>
      </c>
      <c r="C4" s="188"/>
      <c r="F4" s="188" t="s">
        <v>435</v>
      </c>
      <c r="G4" s="188"/>
    </row>
    <row r="5" spans="2:7" x14ac:dyDescent="0.2">
      <c r="B5" s="188" t="s">
        <v>436</v>
      </c>
      <c r="C5" s="188"/>
      <c r="F5" s="188" t="s">
        <v>292</v>
      </c>
      <c r="G5" s="188"/>
    </row>
    <row r="6" spans="2:7" x14ac:dyDescent="0.2">
      <c r="B6" s="188" t="s">
        <v>437</v>
      </c>
      <c r="C6" s="188"/>
      <c r="F6" s="188" t="s">
        <v>438</v>
      </c>
      <c r="G6" s="188"/>
    </row>
    <row r="7" spans="2:7" x14ac:dyDescent="0.2">
      <c r="B7" s="188" t="s">
        <v>439</v>
      </c>
      <c r="C7" s="188"/>
      <c r="F7" s="188" t="s">
        <v>440</v>
      </c>
      <c r="G7" s="188"/>
    </row>
    <row r="8" spans="2:7" x14ac:dyDescent="0.2">
      <c r="B8" s="188" t="s">
        <v>441</v>
      </c>
      <c r="C8" s="188"/>
      <c r="F8" s="188" t="s">
        <v>442</v>
      </c>
      <c r="G8" s="188"/>
    </row>
    <row r="9" spans="2:7" x14ac:dyDescent="0.2">
      <c r="B9" s="188" t="s">
        <v>443</v>
      </c>
      <c r="C9" s="188"/>
      <c r="F9" s="188" t="s">
        <v>444</v>
      </c>
      <c r="G9" s="188"/>
    </row>
    <row r="10" spans="2:7" x14ac:dyDescent="0.2">
      <c r="B10" s="188" t="s">
        <v>442</v>
      </c>
      <c r="C10" s="188"/>
      <c r="F10" s="188"/>
      <c r="G10" s="188"/>
    </row>
    <row r="11" spans="2:7" x14ac:dyDescent="0.2">
      <c r="B11" s="188" t="s">
        <v>445</v>
      </c>
      <c r="C11" s="188"/>
      <c r="F11" s="188"/>
      <c r="G11" s="188"/>
    </row>
    <row r="12" spans="2:7" x14ac:dyDescent="0.2">
      <c r="B12" s="188" t="s">
        <v>446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2014-08-09T17:13:00Z</dcterms:modified>
</cp:coreProperties>
</file>
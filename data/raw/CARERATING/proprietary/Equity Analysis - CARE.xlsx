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G13" i="18" l="1"/>
  <c r="G14" i="18"/>
  <c r="G15" i="18"/>
  <c r="G16" i="18"/>
  <c r="G18" i="18"/>
  <c r="G20" i="18"/>
  <c r="G21" i="18"/>
  <c r="G22" i="18"/>
  <c r="G23" i="18"/>
  <c r="G25" i="18"/>
  <c r="G12" i="18"/>
  <c r="G10" i="18"/>
  <c r="G9" i="18"/>
  <c r="G7" i="18"/>
  <c r="G6" i="18"/>
  <c r="G43" i="18"/>
  <c r="G42" i="18"/>
  <c r="G40" i="18"/>
  <c r="G38" i="18"/>
  <c r="G36" i="18"/>
  <c r="G34" i="18"/>
  <c r="G33" i="18"/>
  <c r="G32" i="18"/>
  <c r="G31" i="18"/>
  <c r="G29" i="18"/>
  <c r="G27" i="18"/>
  <c r="R43" i="18" l="1"/>
  <c r="R42" i="18"/>
  <c r="G210" i="18"/>
  <c r="G209" i="18"/>
  <c r="S42" i="18" l="1"/>
  <c r="G212" i="18" l="1"/>
  <c r="K183" i="18" l="1"/>
  <c r="K182" i="18"/>
  <c r="K181" i="18"/>
  <c r="K180" i="18"/>
  <c r="H96" i="18" l="1"/>
  <c r="I96" i="18"/>
  <c r="J96" i="18"/>
  <c r="K96" i="18"/>
  <c r="L96" i="18"/>
  <c r="M96" i="18"/>
  <c r="H97" i="18"/>
  <c r="I97" i="18"/>
  <c r="J97" i="18"/>
  <c r="K97" i="18"/>
  <c r="L97" i="18"/>
  <c r="M97" i="18"/>
  <c r="N97" i="18"/>
  <c r="H98" i="18"/>
  <c r="I98" i="18"/>
  <c r="J98" i="18"/>
  <c r="K98" i="18"/>
  <c r="L98" i="18"/>
  <c r="M98" i="18"/>
  <c r="N98" i="18"/>
  <c r="H99" i="18"/>
  <c r="I99" i="18"/>
  <c r="J99" i="18"/>
  <c r="K99" i="18"/>
  <c r="L99" i="18"/>
  <c r="M99" i="18"/>
  <c r="N99" i="18"/>
  <c r="H100" i="18"/>
  <c r="I100" i="18"/>
  <c r="J100" i="18"/>
  <c r="K100" i="18"/>
  <c r="L100" i="18"/>
  <c r="M100" i="18"/>
  <c r="N100" i="18"/>
  <c r="AD38" i="18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G215" i="18" s="1"/>
  <c r="K210" i="18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H202" i="18"/>
  <c r="I202" i="18" s="1"/>
  <c r="J202" i="18" s="1"/>
  <c r="J203" i="18" s="1"/>
  <c r="H200" i="18"/>
  <c r="H198" i="18"/>
  <c r="H197" i="18"/>
  <c r="I197" i="18" s="1"/>
  <c r="J197" i="18" s="1"/>
  <c r="D205" i="18" l="1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I94" i="18"/>
  <c r="J94" i="18"/>
  <c r="K94" i="18"/>
  <c r="L94" i="18"/>
  <c r="M94" i="18"/>
  <c r="N94" i="18"/>
  <c r="O94" i="18"/>
  <c r="O100" i="18" s="1"/>
  <c r="P94" i="18"/>
  <c r="P100" i="18" s="1"/>
  <c r="G94" i="18"/>
  <c r="G100" i="18" s="1"/>
  <c r="H91" i="18"/>
  <c r="I91" i="18"/>
  <c r="J91" i="18"/>
  <c r="K91" i="18"/>
  <c r="L91" i="18"/>
  <c r="M91" i="18"/>
  <c r="N91" i="18"/>
  <c r="O91" i="18"/>
  <c r="O97" i="18" s="1"/>
  <c r="P91" i="18"/>
  <c r="P97" i="18" s="1"/>
  <c r="G91" i="18"/>
  <c r="G97" i="18" s="1"/>
  <c r="H92" i="18"/>
  <c r="I92" i="18"/>
  <c r="J92" i="18"/>
  <c r="K92" i="18"/>
  <c r="L92" i="18"/>
  <c r="M92" i="18"/>
  <c r="N92" i="18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Q100" i="18"/>
  <c r="Q97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I90" i="18"/>
  <c r="J90" i="18"/>
  <c r="K90" i="18"/>
  <c r="L90" i="18"/>
  <c r="M90" i="18"/>
  <c r="N90" i="18"/>
  <c r="N96" i="18" s="1"/>
  <c r="O90" i="18"/>
  <c r="O96" i="18" s="1"/>
  <c r="P90" i="18"/>
  <c r="P96" i="18" s="1"/>
  <c r="H93" i="18"/>
  <c r="I93" i="18"/>
  <c r="J93" i="18"/>
  <c r="K93" i="18"/>
  <c r="L93" i="18"/>
  <c r="M93" i="18"/>
  <c r="N93" i="18"/>
  <c r="O93" i="18"/>
  <c r="O99" i="18" s="1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9" i="18" l="1"/>
  <c r="Q96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8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4" i="18" l="1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03" i="18" s="1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<sst xmlns="http://schemas.openxmlformats.org/spreadsheetml/2006/main" count="617" uniqueCount="428">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</sst>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174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15584"/>
        <c:axId val="32517120"/>
      </c:lineChart>
      <c:catAx>
        <c:axId val="32515584"/>
        <c:scaling>
          <c:orientation val="minMax"/>
        </c:scaling>
        <c:delete val="0"/>
        <c:axPos val="b"/>
        <c:majorTickMark val="out"/>
        <c:minorTickMark val="none"/>
        <c:tickLblPos val="nextTo"/>
        <c:crossAx val="32517120"/>
        <c:crosses val="autoZero"/>
        <c:auto val="1"/>
        <c:lblAlgn val="ctr"/>
        <c:lblOffset val="100"/>
        <c:noMultiLvlLbl val="0"/>
      </c:catAx>
      <c:valAx>
        <c:axId val="32517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51558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2" t="s">
        <v>291</v>
      </c>
      <c r="AE2" s="193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4" t="s">
        <v>292</v>
      </c>
      <c r="AE3" s="195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f>O6</f>
        <v>348</v>
      </c>
      <c r="H6" s="147"/>
      <c r="I6" s="147"/>
      <c r="J6" s="147"/>
      <c r="K6" s="147"/>
      <c r="L6" s="147"/>
      <c r="M6" s="147"/>
      <c r="N6" s="147"/>
      <c r="O6" s="147">
        <v>348</v>
      </c>
      <c r="P6" s="147">
        <v>395</v>
      </c>
      <c r="Q6" s="118">
        <f>((P6/G6)^(1/($H$2-$H$1) ))-1</f>
        <v>1.4175452793824928E-2</v>
      </c>
      <c r="R6" s="31">
        <f>$L$2</f>
        <v>0.12</v>
      </c>
      <c r="S6" s="154">
        <f>P6*(1+$R6)</f>
        <v>442.40000000000003</v>
      </c>
      <c r="T6" s="154">
        <f>S6*(1+$R6)</f>
        <v>495.48800000000011</v>
      </c>
      <c r="U6" s="154">
        <f t="shared" ref="U6:AB6" si="0">T6*(1+$R6)</f>
        <v>554.9465600000002</v>
      </c>
      <c r="V6" s="154">
        <f t="shared" si="0"/>
        <v>621.54014720000032</v>
      </c>
      <c r="W6" s="154">
        <f t="shared" si="0"/>
        <v>696.12496486400039</v>
      </c>
      <c r="X6" s="154">
        <f t="shared" si="0"/>
        <v>779.65996064768046</v>
      </c>
      <c r="Y6" s="154">
        <f t="shared" si="0"/>
        <v>873.21915592540222</v>
      </c>
      <c r="Z6" s="154">
        <f t="shared" si="0"/>
        <v>978.00545463645062</v>
      </c>
      <c r="AA6" s="154">
        <f t="shared" si="0"/>
        <v>1095.3661091928248</v>
      </c>
      <c r="AB6" s="154">
        <f t="shared" si="0"/>
        <v>1226.8100422959637</v>
      </c>
      <c r="AC6" s="138">
        <f>((AB6/G6)^(1/($AB$3-$H$1) ))-1</f>
        <v>6.8562425754820744E-2</v>
      </c>
      <c r="AD6" s="31">
        <f>$L$1</f>
        <v>0.05</v>
      </c>
      <c r="AE6" s="146">
        <f t="shared" ref="AE6:AE43" si="1">(AB6*(1+AD6))/($C$1-AD6)</f>
        <v>7577.3561435927186</v>
      </c>
    </row>
    <row r="7" spans="2:31" x14ac:dyDescent="0.2">
      <c r="B7" s="20" t="s">
        <v>240</v>
      </c>
      <c r="C7" s="141"/>
      <c r="D7" s="141"/>
      <c r="E7" s="147"/>
      <c r="F7" s="147"/>
      <c r="G7" s="147">
        <f>O7</f>
        <v>377</v>
      </c>
      <c r="H7" s="147"/>
      <c r="I7" s="147"/>
      <c r="J7" s="147"/>
      <c r="K7" s="147"/>
      <c r="L7" s="147"/>
      <c r="M7" s="147"/>
      <c r="N7" s="147"/>
      <c r="O7" s="147">
        <v>377</v>
      </c>
      <c r="P7" s="147">
        <v>424</v>
      </c>
      <c r="Q7" s="118">
        <f>((P7/G7)^(1/($H$2-$H$1) ))-1</f>
        <v>1.3139830706634825E-2</v>
      </c>
      <c r="R7" s="31">
        <f>$L$2</f>
        <v>0.12</v>
      </c>
      <c r="S7" s="154">
        <f t="shared" ref="S7:S16" si="2">P7*(1+$R7)</f>
        <v>474.88000000000005</v>
      </c>
      <c r="T7" s="154">
        <f t="shared" ref="T7:AB7" si="3">S7*(1+$R7)</f>
        <v>531.86560000000009</v>
      </c>
      <c r="U7" s="154">
        <f t="shared" si="3"/>
        <v>595.68947200000014</v>
      </c>
      <c r="V7" s="154">
        <f t="shared" si="3"/>
        <v>667.17220864000024</v>
      </c>
      <c r="W7" s="154">
        <f t="shared" si="3"/>
        <v>747.2328736768003</v>
      </c>
      <c r="X7" s="154">
        <f t="shared" si="3"/>
        <v>836.90081851801642</v>
      </c>
      <c r="Y7" s="154">
        <f t="shared" si="3"/>
        <v>937.32891674017844</v>
      </c>
      <c r="Z7" s="154">
        <f t="shared" si="3"/>
        <v>1049.808386749</v>
      </c>
      <c r="AA7" s="154">
        <f t="shared" si="3"/>
        <v>1175.78539315888</v>
      </c>
      <c r="AB7" s="154">
        <f t="shared" si="3"/>
        <v>1316.8796403379456</v>
      </c>
      <c r="AC7" s="138">
        <f>((AB7/G7)^(1/($AB$3-$H$1) ))-1</f>
        <v>6.8045421917177107E-2</v>
      </c>
      <c r="AD7" s="31">
        <f>$L$1</f>
        <v>0.05</v>
      </c>
      <c r="AE7" s="146">
        <f t="shared" si="1"/>
        <v>8133.6683667931948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 t="e">
        <f>(H7-G7)/H7</f>
        <v>#DIV/0!</v>
      </c>
      <c r="I8" s="151" t="e">
        <f t="shared" ref="I8:P8" si="4">(I7-H7)/I7</f>
        <v>#DIV/0!</v>
      </c>
      <c r="J8" s="151" t="e">
        <f t="shared" si="4"/>
        <v>#DIV/0!</v>
      </c>
      <c r="K8" s="151" t="e">
        <f t="shared" si="4"/>
        <v>#DIV/0!</v>
      </c>
      <c r="L8" s="151" t="e">
        <f t="shared" si="4"/>
        <v>#DIV/0!</v>
      </c>
      <c r="M8" s="151" t="e">
        <f t="shared" si="4"/>
        <v>#DIV/0!</v>
      </c>
      <c r="N8" s="151" t="e">
        <f t="shared" si="4"/>
        <v>#DIV/0!</v>
      </c>
      <c r="O8" s="151">
        <f t="shared" si="4"/>
        <v>1</v>
      </c>
      <c r="P8" s="151">
        <f t="shared" si="4"/>
        <v>0.11084905660377359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f>O9</f>
        <v>42</v>
      </c>
      <c r="H9" s="147"/>
      <c r="I9" s="147"/>
      <c r="J9" s="147"/>
      <c r="K9" s="147"/>
      <c r="L9" s="147"/>
      <c r="M9" s="147"/>
      <c r="N9" s="147"/>
      <c r="O9" s="147">
        <v>42</v>
      </c>
      <c r="P9" s="147">
        <v>56</v>
      </c>
      <c r="Q9" s="118">
        <f t="shared" ref="Q9:Q16" si="5">((P9/G9)^(1/($H$2-$H$1) ))-1</f>
        <v>3.24810319761204E-2</v>
      </c>
      <c r="R9" s="31">
        <f t="shared" ref="R9:R40" si="6">$L$2</f>
        <v>0.12</v>
      </c>
      <c r="S9" s="154">
        <f t="shared" ref="S9" si="7">P9*(1+$R9)</f>
        <v>62.720000000000006</v>
      </c>
      <c r="T9" s="154">
        <f t="shared" ref="T9" si="8">S9*(1+$R9)</f>
        <v>70.246400000000008</v>
      </c>
      <c r="U9" s="154">
        <f t="shared" ref="U9" si="9">T9*(1+$R9)</f>
        <v>78.675968000000012</v>
      </c>
      <c r="V9" s="154">
        <f t="shared" ref="V9" si="10">U9*(1+$R9)</f>
        <v>88.117084160000019</v>
      </c>
      <c r="W9" s="154">
        <f t="shared" ref="W9" si="11">V9*(1+$R9)</f>
        <v>98.691134259200027</v>
      </c>
      <c r="X9" s="154">
        <f t="shared" ref="X9" si="12">W9*(1+$R9)</f>
        <v>110.53407037030404</v>
      </c>
      <c r="Y9" s="154">
        <f t="shared" ref="Y9" si="13">X9*(1+$R9)</f>
        <v>123.79815881474053</v>
      </c>
      <c r="Z9" s="154">
        <f t="shared" ref="Z9" si="14">Y9*(1+$R9)</f>
        <v>138.6539378725094</v>
      </c>
      <c r="AA9" s="154">
        <f t="shared" ref="AA9" si="15">Z9*(1+$R9)</f>
        <v>155.29241041721053</v>
      </c>
      <c r="AB9" s="154">
        <f t="shared" ref="AB9" si="16">AA9*(1+$R9)</f>
        <v>173.92749966727581</v>
      </c>
      <c r="AC9" s="138">
        <f>((AB9/G9)^(1/($AB$3-$H$1) ))-1</f>
        <v>7.7655489284694346E-2</v>
      </c>
      <c r="AD9" s="31">
        <f t="shared" ref="AD9:AD79" si="17">$L$1</f>
        <v>0.05</v>
      </c>
      <c r="AE9" s="146">
        <f t="shared" si="1"/>
        <v>1074.258086180233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f>O10</f>
        <v>0</v>
      </c>
      <c r="H10" s="147"/>
      <c r="I10" s="147"/>
      <c r="J10" s="147"/>
      <c r="K10" s="147"/>
      <c r="L10" s="147"/>
      <c r="M10" s="147"/>
      <c r="N10" s="147"/>
      <c r="O10" s="147">
        <v>0</v>
      </c>
      <c r="P10" s="147">
        <v>0</v>
      </c>
      <c r="Q10" s="118" t="e">
        <f t="shared" si="5"/>
        <v>#DIV/0!</v>
      </c>
      <c r="R10" s="31">
        <f t="shared" si="6"/>
        <v>0.12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 t="e">
        <f t="shared" ref="AC10:AC42" si="19">((AB10/G10)^(1/($AB$3-$H$1) ))-1</f>
        <v>#DIV/0!</v>
      </c>
      <c r="AD10" s="31">
        <f t="shared" si="17"/>
        <v>0.05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20">(H10-G10)/H10</f>
        <v>#DIV/0!</v>
      </c>
      <c r="I11" s="148" t="e">
        <f t="shared" si="20"/>
        <v>#DIV/0!</v>
      </c>
      <c r="J11" s="148" t="e">
        <f t="shared" si="20"/>
        <v>#DIV/0!</v>
      </c>
      <c r="K11" s="148" t="e">
        <f t="shared" si="20"/>
        <v>#DIV/0!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f>O12</f>
        <v>70</v>
      </c>
      <c r="H12" s="147"/>
      <c r="I12" s="147"/>
      <c r="J12" s="147"/>
      <c r="K12" s="147"/>
      <c r="L12" s="147"/>
      <c r="M12" s="147"/>
      <c r="N12" s="147"/>
      <c r="O12" s="147">
        <v>70</v>
      </c>
      <c r="P12" s="147">
        <v>34</v>
      </c>
      <c r="Q12" s="118">
        <f t="shared" si="5"/>
        <v>-7.710258237700196E-2</v>
      </c>
      <c r="R12" s="31">
        <f t="shared" si="6"/>
        <v>0.12</v>
      </c>
      <c r="S12" s="154">
        <f t="shared" si="2"/>
        <v>38.080000000000005</v>
      </c>
      <c r="T12" s="154">
        <f t="shared" ref="T12:AB12" si="21">S12*(1+$R12)</f>
        <v>42.649600000000007</v>
      </c>
      <c r="U12" s="154">
        <f t="shared" si="21"/>
        <v>47.767552000000009</v>
      </c>
      <c r="V12" s="154">
        <f t="shared" si="21"/>
        <v>53.499658240000016</v>
      </c>
      <c r="W12" s="154">
        <f t="shared" si="21"/>
        <v>59.919617228800021</v>
      </c>
      <c r="X12" s="154">
        <f t="shared" si="21"/>
        <v>67.109971296256035</v>
      </c>
      <c r="Y12" s="154">
        <f t="shared" si="21"/>
        <v>75.163167851806762</v>
      </c>
      <c r="Z12" s="154">
        <f t="shared" si="21"/>
        <v>84.182747994023586</v>
      </c>
      <c r="AA12" s="154">
        <f t="shared" si="21"/>
        <v>94.284677753306426</v>
      </c>
      <c r="AB12" s="154">
        <f t="shared" si="21"/>
        <v>105.59883908370321</v>
      </c>
      <c r="AC12" s="138">
        <f t="shared" si="19"/>
        <v>2.1875419973000243E-2</v>
      </c>
      <c r="AD12" s="31">
        <f t="shared" si="17"/>
        <v>0.05</v>
      </c>
      <c r="AE12" s="146">
        <f t="shared" si="1"/>
        <v>652.22812375228466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f t="shared" ref="G13:G25" si="22">O13</f>
        <v>266</v>
      </c>
      <c r="H13" s="147"/>
      <c r="I13" s="147"/>
      <c r="J13" s="147"/>
      <c r="K13" s="147"/>
      <c r="L13" s="147"/>
      <c r="M13" s="147"/>
      <c r="N13" s="147"/>
      <c r="O13" s="147">
        <v>266</v>
      </c>
      <c r="P13" s="147">
        <v>382</v>
      </c>
      <c r="Q13" s="118">
        <f t="shared" si="5"/>
        <v>4.1033334872345506E-2</v>
      </c>
      <c r="R13" s="31">
        <f t="shared" si="6"/>
        <v>0.12</v>
      </c>
      <c r="S13" s="154">
        <f t="shared" si="2"/>
        <v>427.84000000000003</v>
      </c>
      <c r="T13" s="154">
        <f t="shared" ref="T13:AB13" si="23">S13*(1+$R13)</f>
        <v>479.18080000000009</v>
      </c>
      <c r="U13" s="154">
        <f t="shared" si="23"/>
        <v>536.68249600000013</v>
      </c>
      <c r="V13" s="154">
        <f t="shared" si="23"/>
        <v>601.08439552000016</v>
      </c>
      <c r="W13" s="154">
        <f t="shared" si="23"/>
        <v>673.21452298240024</v>
      </c>
      <c r="X13" s="154">
        <f t="shared" si="23"/>
        <v>754.00026574028834</v>
      </c>
      <c r="Y13" s="154">
        <f t="shared" si="23"/>
        <v>844.48029762912302</v>
      </c>
      <c r="Z13" s="154">
        <f t="shared" si="23"/>
        <v>945.81793334461781</v>
      </c>
      <c r="AA13" s="154">
        <f t="shared" si="23"/>
        <v>1059.3160853459719</v>
      </c>
      <c r="AB13" s="154">
        <f t="shared" si="23"/>
        <v>1186.4340155874886</v>
      </c>
      <c r="AC13" s="138">
        <f t="shared" si="19"/>
        <v>8.1874650433518381E-2</v>
      </c>
      <c r="AD13" s="31">
        <f t="shared" si="17"/>
        <v>0.05</v>
      </c>
      <c r="AE13" s="146">
        <f t="shared" si="1"/>
        <v>7327.9748021580181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f t="shared" si="22"/>
        <v>0</v>
      </c>
      <c r="H14" s="147"/>
      <c r="I14" s="147"/>
      <c r="J14" s="147"/>
      <c r="K14" s="147"/>
      <c r="L14" s="147"/>
      <c r="M14" s="147"/>
      <c r="N14" s="147"/>
      <c r="O14" s="147">
        <v>0</v>
      </c>
      <c r="P14" s="147">
        <v>0</v>
      </c>
      <c r="Q14" s="118" t="e">
        <f t="shared" ref="Q14" si="24">((P14/G14)^(1/($H$2-$H$1) ))-1</f>
        <v>#DIV/0!</v>
      </c>
      <c r="R14" s="31">
        <f t="shared" si="6"/>
        <v>0.12</v>
      </c>
      <c r="S14" s="154">
        <f t="shared" ref="S14" si="25">P14*(1+$R14)</f>
        <v>0</v>
      </c>
      <c r="T14" s="154">
        <f t="shared" ref="T14" si="26">S14*(1+$R14)</f>
        <v>0</v>
      </c>
      <c r="U14" s="154">
        <f t="shared" ref="U14" si="27">T14*(1+$R14)</f>
        <v>0</v>
      </c>
      <c r="V14" s="154">
        <f t="shared" ref="V14" si="28">U14*(1+$R14)</f>
        <v>0</v>
      </c>
      <c r="W14" s="154">
        <f t="shared" ref="W14" si="29">V14*(1+$R14)</f>
        <v>0</v>
      </c>
      <c r="X14" s="154">
        <f t="shared" ref="X14" si="30">W14*(1+$R14)</f>
        <v>0</v>
      </c>
      <c r="Y14" s="154">
        <f t="shared" ref="Y14" si="31">X14*(1+$R14)</f>
        <v>0</v>
      </c>
      <c r="Z14" s="154">
        <f t="shared" ref="Z14" si="32">Y14*(1+$R14)</f>
        <v>0</v>
      </c>
      <c r="AA14" s="154">
        <f t="shared" ref="AA14" si="33">Z14*(1+$R14)</f>
        <v>0</v>
      </c>
      <c r="AB14" s="154">
        <f t="shared" ref="AB14" si="34">AA14*(1+$R14)</f>
        <v>0</v>
      </c>
      <c r="AC14" s="138" t="e">
        <f t="shared" ref="AC14" si="35">((AB14/G14)^(1/($AB$3-$H$1) ))-1</f>
        <v>#DIV/0!</v>
      </c>
      <c r="AD14" s="31">
        <f t="shared" si="17"/>
        <v>0.05</v>
      </c>
      <c r="AE14" s="146">
        <f t="shared" ref="AE14" si="36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f t="shared" si="22"/>
        <v>86</v>
      </c>
      <c r="H15" s="147"/>
      <c r="I15" s="147"/>
      <c r="J15" s="147"/>
      <c r="K15" s="147"/>
      <c r="L15" s="147"/>
      <c r="M15" s="147"/>
      <c r="N15" s="147"/>
      <c r="O15" s="147">
        <v>86</v>
      </c>
      <c r="P15" s="147">
        <v>63</v>
      </c>
      <c r="Q15" s="118">
        <f t="shared" si="5"/>
        <v>-3.3988146778345274E-2</v>
      </c>
      <c r="R15" s="31">
        <f t="shared" si="6"/>
        <v>0.12</v>
      </c>
      <c r="S15" s="154">
        <f t="shared" si="2"/>
        <v>70.56</v>
      </c>
      <c r="T15" s="154">
        <f t="shared" ref="T15:AB15" si="37">S15*(1+$R15)</f>
        <v>79.027200000000008</v>
      </c>
      <c r="U15" s="154">
        <f t="shared" si="37"/>
        <v>88.510464000000013</v>
      </c>
      <c r="V15" s="154">
        <f t="shared" si="37"/>
        <v>99.131719680000018</v>
      </c>
      <c r="W15" s="154">
        <f t="shared" si="37"/>
        <v>111.02752604160003</v>
      </c>
      <c r="X15" s="154">
        <f t="shared" si="37"/>
        <v>124.35082916659204</v>
      </c>
      <c r="Y15" s="154">
        <f t="shared" si="37"/>
        <v>139.27292866658308</v>
      </c>
      <c r="Z15" s="154">
        <f t="shared" si="37"/>
        <v>155.98568010657306</v>
      </c>
      <c r="AA15" s="154">
        <f t="shared" si="37"/>
        <v>174.70396171936184</v>
      </c>
      <c r="AB15" s="154">
        <f t="shared" si="37"/>
        <v>195.66843712568527</v>
      </c>
      <c r="AC15" s="138">
        <f t="shared" si="19"/>
        <v>4.4216734006035097E-2</v>
      </c>
      <c r="AD15" s="31">
        <f t="shared" si="17"/>
        <v>0.05</v>
      </c>
      <c r="AE15" s="146">
        <f t="shared" si="1"/>
        <v>1208.5403469527621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f t="shared" si="22"/>
        <v>55.5</v>
      </c>
      <c r="H16" s="147"/>
      <c r="I16" s="147"/>
      <c r="J16" s="147"/>
      <c r="K16" s="147"/>
      <c r="L16" s="147"/>
      <c r="M16" s="147"/>
      <c r="N16" s="147"/>
      <c r="O16" s="147">
        <v>55.5</v>
      </c>
      <c r="P16" s="147">
        <v>-15</v>
      </c>
      <c r="Q16" s="118">
        <f t="shared" si="5"/>
        <v>-1.8647020231593647</v>
      </c>
      <c r="R16" s="31">
        <f t="shared" si="6"/>
        <v>0.12</v>
      </c>
      <c r="S16" s="154">
        <f t="shared" si="2"/>
        <v>-16.8</v>
      </c>
      <c r="T16" s="154">
        <f t="shared" ref="T16:AB16" si="38">S16*(1+$R16)</f>
        <v>-18.816000000000003</v>
      </c>
      <c r="U16" s="154">
        <f t="shared" si="38"/>
        <v>-21.073920000000005</v>
      </c>
      <c r="V16" s="154">
        <f t="shared" si="38"/>
        <v>-23.602790400000007</v>
      </c>
      <c r="W16" s="154">
        <f t="shared" si="38"/>
        <v>-26.435125248000009</v>
      </c>
      <c r="X16" s="154">
        <f t="shared" si="38"/>
        <v>-29.607340277760013</v>
      </c>
      <c r="Y16" s="154">
        <f t="shared" si="38"/>
        <v>-33.160221111091218</v>
      </c>
      <c r="Z16" s="154">
        <f t="shared" si="38"/>
        <v>-37.13944764442217</v>
      </c>
      <c r="AA16" s="154">
        <f t="shared" si="38"/>
        <v>-41.596181361752834</v>
      </c>
      <c r="AB16" s="154">
        <f t="shared" si="38"/>
        <v>-46.58772312516318</v>
      </c>
      <c r="AC16" s="138">
        <f t="shared" si="19"/>
        <v>-1.9908293635435859</v>
      </c>
      <c r="AD16" s="31">
        <f t="shared" si="17"/>
        <v>0.05</v>
      </c>
      <c r="AE16" s="146">
        <f t="shared" si="1"/>
        <v>-287.74770165541969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f t="shared" si="22"/>
        <v>56</v>
      </c>
      <c r="H18" s="147"/>
      <c r="I18" s="147"/>
      <c r="J18" s="147"/>
      <c r="K18" s="147"/>
      <c r="L18" s="147"/>
      <c r="M18" s="147"/>
      <c r="N18" s="147"/>
      <c r="O18" s="147">
        <v>56</v>
      </c>
      <c r="P18" s="147">
        <v>58</v>
      </c>
      <c r="Q18" s="118">
        <f>((P18/G18)^(1/($H$2-$H$1) ))-1</f>
        <v>3.9066466624400054E-3</v>
      </c>
      <c r="R18" s="31">
        <f t="shared" si="6"/>
        <v>0.12</v>
      </c>
      <c r="S18" s="154">
        <f t="shared" ref="S18:S33" si="39">P18*(1+$R18)</f>
        <v>64.960000000000008</v>
      </c>
      <c r="T18" s="154">
        <f t="shared" ref="T18:T34" si="40">S18*(1+$R18)</f>
        <v>72.755200000000016</v>
      </c>
      <c r="U18" s="154">
        <f t="shared" ref="U18:U34" si="41">T18*(1+$R18)</f>
        <v>81.485824000000022</v>
      </c>
      <c r="V18" s="154">
        <f t="shared" ref="V18:V34" si="42">U18*(1+$R18)</f>
        <v>91.264122880000031</v>
      </c>
      <c r="W18" s="154">
        <f t="shared" ref="W18:W36" si="43">V18*(1+$R18)</f>
        <v>102.21581762560004</v>
      </c>
      <c r="X18" s="154">
        <f t="shared" ref="X18:X36" si="44">W18*(1+$R18)</f>
        <v>114.48171574067206</v>
      </c>
      <c r="Y18" s="154">
        <f t="shared" ref="Y18:Y36" si="45">X18*(1+$R18)</f>
        <v>128.21952162955273</v>
      </c>
      <c r="Z18" s="154">
        <f t="shared" ref="Z18:Z36" si="46">Y18*(1+$R18)</f>
        <v>143.60586422509908</v>
      </c>
      <c r="AA18" s="154">
        <f t="shared" ref="AA18:AA36" si="47">Z18*(1+$R18)</f>
        <v>160.83856793211098</v>
      </c>
      <c r="AB18" s="154">
        <f t="shared" ref="AB18:AB36" si="48">AA18*(1+$R18)</f>
        <v>180.13919608396432</v>
      </c>
      <c r="AC18" s="138">
        <f t="shared" si="19"/>
        <v>6.3423677883642782E-2</v>
      </c>
      <c r="AD18" s="31">
        <f t="shared" si="17"/>
        <v>0.05</v>
      </c>
      <c r="AE18" s="146">
        <f t="shared" si="1"/>
        <v>1112.6244464009562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f t="shared" si="22"/>
        <v>98</v>
      </c>
      <c r="H20" s="147"/>
      <c r="I20" s="147"/>
      <c r="J20" s="147"/>
      <c r="K20" s="147"/>
      <c r="L20" s="147"/>
      <c r="M20" s="147"/>
      <c r="N20" s="147"/>
      <c r="O20" s="147">
        <v>98</v>
      </c>
      <c r="P20" s="147">
        <v>90</v>
      </c>
      <c r="Q20" s="118">
        <f>((P20/G20)^(1/($H$2-$H$1) ))-1</f>
        <v>-9.4173550376104309E-3</v>
      </c>
      <c r="R20" s="31">
        <f t="shared" si="6"/>
        <v>0.12</v>
      </c>
      <c r="S20" s="154">
        <f t="shared" ref="S20:S22" si="49">P20*(1+$R20)</f>
        <v>100.80000000000001</v>
      </c>
      <c r="T20" s="154">
        <f t="shared" ref="T20:T22" si="50">S20*(1+$R20)</f>
        <v>112.89600000000003</v>
      </c>
      <c r="U20" s="154">
        <f t="shared" ref="U20:U22" si="51">T20*(1+$R20)</f>
        <v>126.44352000000005</v>
      </c>
      <c r="V20" s="154">
        <f t="shared" ref="V20:V22" si="52">U20*(1+$R20)</f>
        <v>141.61674240000008</v>
      </c>
      <c r="W20" s="154">
        <f t="shared" ref="W20:W22" si="53">V20*(1+$R20)</f>
        <v>158.61075148800009</v>
      </c>
      <c r="X20" s="154">
        <f t="shared" ref="X20:X22" si="54">W20*(1+$R20)</f>
        <v>177.64404166656013</v>
      </c>
      <c r="Y20" s="154">
        <f t="shared" ref="Y20:Y22" si="55">X20*(1+$R20)</f>
        <v>198.96132666654736</v>
      </c>
      <c r="Z20" s="154">
        <f t="shared" ref="Z20:Z22" si="56">Y20*(1+$R20)</f>
        <v>222.83668586653306</v>
      </c>
      <c r="AA20" s="154">
        <f t="shared" ref="AA20:AA22" si="57">Z20*(1+$R20)</f>
        <v>249.57708817051704</v>
      </c>
      <c r="AB20" s="154">
        <f t="shared" ref="AB20:AB22" si="58">AA20*(1+$R20)</f>
        <v>279.52633875097911</v>
      </c>
      <c r="AC20" s="138">
        <f t="shared" ref="AC20:AC22" si="59">((AB20/G20)^(1/($AB$3-$H$1) ))-1</f>
        <v>5.671462704817154E-2</v>
      </c>
      <c r="AD20" s="31">
        <f t="shared" si="17"/>
        <v>0.05</v>
      </c>
      <c r="AE20" s="146">
        <f t="shared" si="1"/>
        <v>1726.4862099325182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f t="shared" si="22"/>
        <v>-40</v>
      </c>
      <c r="H21" s="147"/>
      <c r="I21" s="147"/>
      <c r="J21" s="147"/>
      <c r="K21" s="147"/>
      <c r="L21" s="147"/>
      <c r="M21" s="147"/>
      <c r="N21" s="147"/>
      <c r="O21" s="147">
        <v>-40</v>
      </c>
      <c r="P21" s="147">
        <v>-87</v>
      </c>
      <c r="Q21" s="118">
        <f>((P21/G21)^(1/($H$2-$H$1) ))-1</f>
        <v>9.0173129773001737E-2</v>
      </c>
      <c r="R21" s="31">
        <f t="shared" si="6"/>
        <v>0.12</v>
      </c>
      <c r="S21" s="154">
        <f t="shared" si="49"/>
        <v>-97.440000000000012</v>
      </c>
      <c r="T21" s="154">
        <f t="shared" si="50"/>
        <v>-109.13280000000002</v>
      </c>
      <c r="U21" s="154">
        <f t="shared" si="51"/>
        <v>-122.22873600000003</v>
      </c>
      <c r="V21" s="154">
        <f t="shared" si="52"/>
        <v>-136.89618432000003</v>
      </c>
      <c r="W21" s="154">
        <f t="shared" si="53"/>
        <v>-153.32372643840006</v>
      </c>
      <c r="X21" s="154">
        <f t="shared" si="54"/>
        <v>-171.72257361100807</v>
      </c>
      <c r="Y21" s="154">
        <f t="shared" si="55"/>
        <v>-192.32928244432907</v>
      </c>
      <c r="Z21" s="154">
        <f t="shared" si="56"/>
        <v>-215.40879633764857</v>
      </c>
      <c r="AA21" s="154">
        <f t="shared" si="57"/>
        <v>-241.25785189816642</v>
      </c>
      <c r="AB21" s="154">
        <f t="shared" si="58"/>
        <v>-270.20879412594644</v>
      </c>
      <c r="AC21" s="138">
        <f t="shared" si="59"/>
        <v>0.10577110257011979</v>
      </c>
      <c r="AD21" s="31">
        <f t="shared" si="17"/>
        <v>0.05</v>
      </c>
      <c r="AE21" s="146">
        <f t="shared" si="1"/>
        <v>-1668.9366696014342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f t="shared" si="22"/>
        <v>2</v>
      </c>
      <c r="H22" s="147"/>
      <c r="I22" s="147"/>
      <c r="J22" s="147"/>
      <c r="K22" s="147"/>
      <c r="L22" s="147"/>
      <c r="M22" s="147"/>
      <c r="N22" s="147"/>
      <c r="O22" s="147">
        <v>2</v>
      </c>
      <c r="P22" s="147">
        <v>-40</v>
      </c>
      <c r="Q22" s="118">
        <f>((P22/G22)^(1/($H$2-$H$1) ))-1</f>
        <v>-2.3949507939624208</v>
      </c>
      <c r="R22" s="31">
        <f t="shared" si="6"/>
        <v>0.12</v>
      </c>
      <c r="S22" s="154">
        <f t="shared" si="49"/>
        <v>-44.800000000000004</v>
      </c>
      <c r="T22" s="154">
        <f t="shared" si="50"/>
        <v>-50.176000000000009</v>
      </c>
      <c r="U22" s="154">
        <f t="shared" si="51"/>
        <v>-56.197120000000012</v>
      </c>
      <c r="V22" s="154">
        <f t="shared" si="52"/>
        <v>-62.940774400000016</v>
      </c>
      <c r="W22" s="154">
        <f t="shared" si="53"/>
        <v>-70.493667328000029</v>
      </c>
      <c r="X22" s="154">
        <f t="shared" si="54"/>
        <v>-78.952907407360044</v>
      </c>
      <c r="Y22" s="154">
        <f t="shared" si="55"/>
        <v>-88.427256296243257</v>
      </c>
      <c r="Z22" s="154">
        <f t="shared" si="56"/>
        <v>-99.038527051792457</v>
      </c>
      <c r="AA22" s="154">
        <f t="shared" si="57"/>
        <v>-110.92315029800756</v>
      </c>
      <c r="AB22" s="154">
        <f t="shared" si="58"/>
        <v>-124.23392833376847</v>
      </c>
      <c r="AC22" s="138">
        <f t="shared" si="59"/>
        <v>-2.2427377342988031</v>
      </c>
      <c r="AD22" s="31">
        <f t="shared" si="17"/>
        <v>0.05</v>
      </c>
      <c r="AE22" s="146">
        <f t="shared" si="1"/>
        <v>-767.32720441445247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f t="shared" si="22"/>
        <v>69</v>
      </c>
      <c r="H23" s="147"/>
      <c r="I23" s="147"/>
      <c r="J23" s="147"/>
      <c r="K23" s="147"/>
      <c r="L23" s="147"/>
      <c r="M23" s="147"/>
      <c r="N23" s="147"/>
      <c r="O23" s="147">
        <v>69</v>
      </c>
      <c r="P23" s="147">
        <v>31</v>
      </c>
      <c r="Q23" s="118">
        <f>((P23/G23)^(1/($H$2-$H$1) ))-1</f>
        <v>-8.5064899334804989E-2</v>
      </c>
      <c r="R23" s="31">
        <f t="shared" si="6"/>
        <v>0.12</v>
      </c>
      <c r="S23" s="154">
        <f t="shared" ref="S23" si="60">P23*(1+$R23)</f>
        <v>34.720000000000006</v>
      </c>
      <c r="T23" s="154">
        <f t="shared" ref="T23" si="61">S23*(1+$R23)</f>
        <v>38.886400000000009</v>
      </c>
      <c r="U23" s="154">
        <f t="shared" ref="U23" si="62">T23*(1+$R23)</f>
        <v>43.552768000000015</v>
      </c>
      <c r="V23" s="154">
        <f t="shared" ref="V23" si="63">U23*(1+$R23)</f>
        <v>48.77910016000002</v>
      </c>
      <c r="W23" s="154">
        <f t="shared" ref="W23" si="64">V23*(1+$R23)</f>
        <v>54.632592179200024</v>
      </c>
      <c r="X23" s="154">
        <f t="shared" ref="X23" si="65">W23*(1+$R23)</f>
        <v>61.18850324070403</v>
      </c>
      <c r="Y23" s="154">
        <f t="shared" ref="Y23" si="66">X23*(1+$R23)</f>
        <v>68.531123629588521</v>
      </c>
      <c r="Z23" s="154">
        <f t="shared" ref="Z23" si="67">Y23*(1+$R23)</f>
        <v>76.754858465139151</v>
      </c>
      <c r="AA23" s="154">
        <f t="shared" ref="AA23" si="68">Z23*(1+$R23)</f>
        <v>85.96544148095586</v>
      </c>
      <c r="AB23" s="154">
        <f t="shared" ref="AB23" si="69">AA23*(1+$R23)</f>
        <v>96.281294458670573</v>
      </c>
      <c r="AC23" s="138">
        <f t="shared" ref="AC23" si="70">((AB23/G23)^(1/($AB$3-$H$1) ))-1</f>
        <v>1.7689777407962959E-2</v>
      </c>
      <c r="AD23" s="31">
        <f t="shared" si="17"/>
        <v>0.05</v>
      </c>
      <c r="AE23" s="146">
        <f t="shared" si="1"/>
        <v>594.67858342120076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f t="shared" si="22"/>
        <v>207</v>
      </c>
      <c r="H25" s="147"/>
      <c r="I25" s="147"/>
      <c r="J25" s="147"/>
      <c r="K25" s="147"/>
      <c r="L25" s="147"/>
      <c r="M25" s="147"/>
      <c r="N25" s="147"/>
      <c r="O25" s="147">
        <v>207</v>
      </c>
      <c r="P25" s="147">
        <v>232</v>
      </c>
      <c r="Q25" s="118">
        <f>((P25/G25)^(1/($H$2-$H$1) ))-1</f>
        <v>1.2749319262871595E-2</v>
      </c>
      <c r="R25" s="31">
        <f t="shared" si="6"/>
        <v>0.12</v>
      </c>
      <c r="S25" s="154">
        <f t="shared" si="39"/>
        <v>259.84000000000003</v>
      </c>
      <c r="T25" s="154">
        <f t="shared" si="40"/>
        <v>291.02080000000007</v>
      </c>
      <c r="U25" s="154">
        <f t="shared" si="41"/>
        <v>325.94329600000009</v>
      </c>
      <c r="V25" s="154">
        <f t="shared" si="42"/>
        <v>365.05649152000012</v>
      </c>
      <c r="W25" s="154">
        <f t="shared" si="43"/>
        <v>408.86327050240016</v>
      </c>
      <c r="X25" s="154">
        <f t="shared" si="44"/>
        <v>457.92686296268823</v>
      </c>
      <c r="Y25" s="154">
        <f t="shared" si="45"/>
        <v>512.87808651821092</v>
      </c>
      <c r="Z25" s="154">
        <f t="shared" si="46"/>
        <v>574.42345690039633</v>
      </c>
      <c r="AA25" s="154">
        <f t="shared" si="47"/>
        <v>643.3542717284439</v>
      </c>
      <c r="AB25" s="154">
        <f t="shared" si="48"/>
        <v>720.55678433585729</v>
      </c>
      <c r="AC25" s="138">
        <f t="shared" si="19"/>
        <v>6.7850398363749731E-2</v>
      </c>
      <c r="AD25" s="31">
        <f t="shared" si="17"/>
        <v>0.05</v>
      </c>
      <c r="AE25" s="146">
        <f t="shared" si="1"/>
        <v>4450.4977856038249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 t="e">
        <f>(H25-G25)/H25</f>
        <v>#DIV/0!</v>
      </c>
      <c r="I26" s="148" t="e">
        <f t="shared" ref="I26" si="71">(I25-H25)/I25</f>
        <v>#DIV/0!</v>
      </c>
      <c r="J26" s="148" t="e">
        <f t="shared" ref="J26" si="72">(J25-I25)/J25</f>
        <v>#DIV/0!</v>
      </c>
      <c r="K26" s="148" t="e">
        <f t="shared" ref="K26" si="73">(K25-J25)/K25</f>
        <v>#DIV/0!</v>
      </c>
      <c r="L26" s="148" t="e">
        <f t="shared" ref="L26" si="74">(L25-K25)/L25</f>
        <v>#DIV/0!</v>
      </c>
      <c r="M26" s="148" t="e">
        <f t="shared" ref="M26" si="75">(M25-L25)/M25</f>
        <v>#DIV/0!</v>
      </c>
      <c r="N26" s="148" t="e">
        <f t="shared" ref="N26" si="76">(N25-M25)/N25</f>
        <v>#DIV/0!</v>
      </c>
      <c r="O26" s="148">
        <f t="shared" ref="O26" si="77">(O25-N25)/O25</f>
        <v>1</v>
      </c>
      <c r="P26" s="148">
        <f t="shared" ref="P26" si="78">(P25-O25)/P25</f>
        <v>0.10775862068965517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f>O27</f>
        <v>56</v>
      </c>
      <c r="H27" s="147"/>
      <c r="I27" s="147"/>
      <c r="J27" s="147"/>
      <c r="K27" s="147"/>
      <c r="L27" s="147"/>
      <c r="M27" s="147"/>
      <c r="N27" s="147"/>
      <c r="O27" s="147">
        <v>56</v>
      </c>
      <c r="P27" s="147">
        <v>68</v>
      </c>
      <c r="Q27" s="118">
        <f>((P27/G27)^(1/($H$2-$H$1) ))-1</f>
        <v>2.1807267658944696E-2</v>
      </c>
      <c r="R27" s="31">
        <f t="shared" si="6"/>
        <v>0.12</v>
      </c>
      <c r="S27" s="154">
        <f t="shared" si="39"/>
        <v>76.160000000000011</v>
      </c>
      <c r="T27" s="154">
        <f t="shared" si="40"/>
        <v>85.299200000000013</v>
      </c>
      <c r="U27" s="154">
        <f t="shared" si="41"/>
        <v>95.535104000000018</v>
      </c>
      <c r="V27" s="154">
        <f t="shared" si="42"/>
        <v>106.99931648000003</v>
      </c>
      <c r="W27" s="154">
        <f t="shared" si="43"/>
        <v>119.83923445760004</v>
      </c>
      <c r="X27" s="154">
        <f t="shared" si="44"/>
        <v>134.21994259251207</v>
      </c>
      <c r="Y27" s="154">
        <f t="shared" si="45"/>
        <v>150.32633570361352</v>
      </c>
      <c r="Z27" s="154">
        <f t="shared" si="46"/>
        <v>168.36549598804717</v>
      </c>
      <c r="AA27" s="154">
        <f t="shared" si="47"/>
        <v>188.56935550661285</v>
      </c>
      <c r="AB27" s="154">
        <f t="shared" si="48"/>
        <v>211.19767816740642</v>
      </c>
      <c r="AC27" s="138">
        <f t="shared" si="19"/>
        <v>7.2363846466359183E-2</v>
      </c>
      <c r="AD27" s="31">
        <f t="shared" si="17"/>
        <v>0.05</v>
      </c>
      <c r="AE27" s="146">
        <f t="shared" si="1"/>
        <v>1304.4562475045693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9">(G27-F27)/G27</f>
        <v>1</v>
      </c>
      <c r="H28" s="148" t="e">
        <f t="shared" si="79"/>
        <v>#DIV/0!</v>
      </c>
      <c r="I28" s="148" t="e">
        <f t="shared" si="79"/>
        <v>#DIV/0!</v>
      </c>
      <c r="J28" s="148" t="e">
        <f t="shared" si="79"/>
        <v>#DIV/0!</v>
      </c>
      <c r="K28" s="148" t="e">
        <f t="shared" si="79"/>
        <v>#DIV/0!</v>
      </c>
      <c r="L28" s="148" t="e">
        <f t="shared" si="79"/>
        <v>#DIV/0!</v>
      </c>
      <c r="M28" s="148" t="e">
        <f t="shared" si="79"/>
        <v>#DIV/0!</v>
      </c>
      <c r="N28" s="148" t="e">
        <f t="shared" ref="N28" si="80">(N27-M27)/N27</f>
        <v>#DIV/0!</v>
      </c>
      <c r="O28" s="148">
        <f t="shared" ref="O28" si="81">(O27-N27)/O27</f>
        <v>1</v>
      </c>
      <c r="P28" s="148">
        <f t="shared" ref="P28" si="82">(P27-O27)/P27</f>
        <v>0.17647058823529413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f>O29</f>
        <v>0</v>
      </c>
      <c r="H29" s="147"/>
      <c r="I29" s="147"/>
      <c r="J29" s="147"/>
      <c r="K29" s="147"/>
      <c r="L29" s="147"/>
      <c r="M29" s="147"/>
      <c r="N29" s="147"/>
      <c r="O29" s="147">
        <v>0</v>
      </c>
      <c r="P29" s="147">
        <v>0</v>
      </c>
      <c r="Q29" s="118" t="e">
        <f>((P29/G29)^(1/($H$2-$H$1) ))-1</f>
        <v>#DIV/0!</v>
      </c>
      <c r="R29" s="31">
        <f t="shared" si="6"/>
        <v>0.12</v>
      </c>
      <c r="S29" s="154">
        <f t="shared" ref="S29" si="83">P29*(1+$R29)</f>
        <v>0</v>
      </c>
      <c r="T29" s="154">
        <f t="shared" ref="T29" si="84">S29*(1+$R29)</f>
        <v>0</v>
      </c>
      <c r="U29" s="154">
        <f t="shared" ref="U29" si="85">T29*(1+$R29)</f>
        <v>0</v>
      </c>
      <c r="V29" s="154">
        <f t="shared" ref="V29" si="86">U29*(1+$R29)</f>
        <v>0</v>
      </c>
      <c r="W29" s="154">
        <f t="shared" ref="W29" si="87">V29*(1+$R29)</f>
        <v>0</v>
      </c>
      <c r="X29" s="154">
        <f t="shared" ref="X29" si="88">W29*(1+$R29)</f>
        <v>0</v>
      </c>
      <c r="Y29" s="154">
        <f t="shared" ref="Y29" si="89">X29*(1+$R29)</f>
        <v>0</v>
      </c>
      <c r="Z29" s="154">
        <f t="shared" ref="Z29" si="90">Y29*(1+$R29)</f>
        <v>0</v>
      </c>
      <c r="AA29" s="154">
        <f t="shared" ref="AA29" si="91">Z29*(1+$R29)</f>
        <v>0</v>
      </c>
      <c r="AB29" s="154">
        <f t="shared" ref="AB29" si="92">AA29*(1+$R29)</f>
        <v>0</v>
      </c>
      <c r="AC29" s="138" t="e">
        <f t="shared" ref="AC29" si="93">((AB29/G29)^(1/($AB$3-$H$1) ))-1</f>
        <v>#DIV/0!</v>
      </c>
      <c r="AD29" s="31">
        <f t="shared" si="17"/>
        <v>0.05</v>
      </c>
      <c r="AE29" s="146">
        <f t="shared" ref="AE29" si="94">(AB29*(1+AD29))/($C$1-AD29)</f>
        <v>0</v>
      </c>
    </row>
    <row r="30" spans="2:31" s="123" customFormat="1" x14ac:dyDescent="0.2">
      <c r="B30" s="23"/>
      <c r="C30" s="149"/>
      <c r="D30" s="149"/>
      <c r="E30" s="150"/>
      <c r="F30" s="150"/>
      <c r="G30" s="148" t="e">
        <f t="shared" ref="G30:L30" si="95">(G29-F29)/G29</f>
        <v>#DIV/0!</v>
      </c>
      <c r="H30" s="148" t="e">
        <f t="shared" si="95"/>
        <v>#DIV/0!</v>
      </c>
      <c r="I30" s="148" t="e">
        <f t="shared" si="95"/>
        <v>#DIV/0!</v>
      </c>
      <c r="J30" s="148" t="e">
        <f t="shared" si="95"/>
        <v>#DIV/0!</v>
      </c>
      <c r="K30" s="148" t="e">
        <f t="shared" si="95"/>
        <v>#DIV/0!</v>
      </c>
      <c r="L30" s="148" t="e">
        <f t="shared" si="95"/>
        <v>#DIV/0!</v>
      </c>
      <c r="M30" s="148" t="e">
        <f t="shared" ref="M30" si="96">(M29-L29)/M29</f>
        <v>#DIV/0!</v>
      </c>
      <c r="N30" s="148" t="e">
        <f t="shared" ref="N30" si="97">(N29-M29)/N29</f>
        <v>#DIV/0!</v>
      </c>
      <c r="O30" s="148" t="e">
        <f t="shared" ref="O30" si="98">(O29-N29)/O29</f>
        <v>#DIV/0!</v>
      </c>
      <c r="P30" s="148" t="e">
        <f t="shared" ref="P30" si="99">(P29-O29)/P29</f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>
        <f>O31</f>
        <v>0</v>
      </c>
      <c r="H31" s="147"/>
      <c r="I31" s="147"/>
      <c r="J31" s="147"/>
      <c r="K31" s="147"/>
      <c r="L31" s="147"/>
      <c r="M31" s="147"/>
      <c r="N31" s="147"/>
      <c r="O31" s="147">
        <v>0</v>
      </c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100">T31*(1+$R31)</f>
        <v>0</v>
      </c>
      <c r="V31" s="154">
        <f t="shared" si="100"/>
        <v>0</v>
      </c>
      <c r="W31" s="154">
        <f t="shared" si="100"/>
        <v>0</v>
      </c>
      <c r="X31" s="154">
        <f t="shared" si="100"/>
        <v>0</v>
      </c>
      <c r="Y31" s="154">
        <f t="shared" si="100"/>
        <v>0</v>
      </c>
      <c r="Z31" s="154">
        <f t="shared" si="100"/>
        <v>0</v>
      </c>
      <c r="AA31" s="154">
        <f t="shared" si="100"/>
        <v>0</v>
      </c>
      <c r="AB31" s="154">
        <f t="shared" si="100"/>
        <v>0</v>
      </c>
      <c r="AC31" s="138" t="e">
        <f t="shared" ref="AC31" si="101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>
        <f>O32</f>
        <v>0</v>
      </c>
      <c r="H32" s="147"/>
      <c r="I32" s="147"/>
      <c r="J32" s="147"/>
      <c r="K32" s="147"/>
      <c r="L32" s="147"/>
      <c r="M32" s="147"/>
      <c r="N32" s="147">
        <v>0</v>
      </c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100"/>
        <v>0</v>
      </c>
      <c r="V32" s="154">
        <f t="shared" si="100"/>
        <v>0</v>
      </c>
      <c r="W32" s="154">
        <f t="shared" si="100"/>
        <v>0</v>
      </c>
      <c r="X32" s="154">
        <f t="shared" si="100"/>
        <v>0</v>
      </c>
      <c r="Y32" s="154">
        <f t="shared" si="100"/>
        <v>0</v>
      </c>
      <c r="Z32" s="154">
        <f t="shared" si="100"/>
        <v>0</v>
      </c>
      <c r="AA32" s="154">
        <f t="shared" si="100"/>
        <v>0</v>
      </c>
      <c r="AB32" s="154">
        <f t="shared" si="100"/>
        <v>0</v>
      </c>
      <c r="AC32" s="138" t="e">
        <f t="shared" ref="AC32" si="102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f>O33</f>
        <v>0</v>
      </c>
      <c r="H33" s="147"/>
      <c r="I33" s="147"/>
      <c r="J33" s="147"/>
      <c r="K33" s="147"/>
      <c r="L33" s="147"/>
      <c r="M33" s="147"/>
      <c r="N33" s="147"/>
      <c r="O33" s="147">
        <v>0</v>
      </c>
      <c r="P33" s="147"/>
      <c r="Q33" s="118" t="e">
        <f>((P33/G33)^(1/($H$2-$H$1) ))-1</f>
        <v>#DIV/0!</v>
      </c>
      <c r="R33" s="31">
        <f t="shared" si="6"/>
        <v>0.12</v>
      </c>
      <c r="S33" s="154">
        <f t="shared" si="39"/>
        <v>0</v>
      </c>
      <c r="T33" s="154">
        <f t="shared" si="40"/>
        <v>0</v>
      </c>
      <c r="U33" s="154">
        <f t="shared" si="41"/>
        <v>0</v>
      </c>
      <c r="V33" s="154">
        <f t="shared" si="42"/>
        <v>0</v>
      </c>
      <c r="W33" s="154">
        <f t="shared" si="43"/>
        <v>0</v>
      </c>
      <c r="X33" s="154">
        <f t="shared" si="44"/>
        <v>0</v>
      </c>
      <c r="Y33" s="154">
        <f t="shared" si="45"/>
        <v>0</v>
      </c>
      <c r="Z33" s="154">
        <f t="shared" si="46"/>
        <v>0</v>
      </c>
      <c r="AA33" s="154">
        <f t="shared" si="47"/>
        <v>0</v>
      </c>
      <c r="AB33" s="154">
        <f t="shared" si="48"/>
        <v>0</v>
      </c>
      <c r="AC33" s="138" t="e">
        <f t="shared" si="19"/>
        <v>#DIV/0!</v>
      </c>
      <c r="AD33" s="31">
        <f t="shared" si="17"/>
        <v>0.05</v>
      </c>
      <c r="AE33" s="146">
        <f t="shared" si="1"/>
        <v>0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f>O34</f>
        <v>43</v>
      </c>
      <c r="H34" s="147"/>
      <c r="I34" s="147"/>
      <c r="J34" s="147"/>
      <c r="K34" s="147"/>
      <c r="L34" s="147"/>
      <c r="M34" s="147"/>
      <c r="N34" s="147"/>
      <c r="O34" s="147">
        <v>43</v>
      </c>
      <c r="P34" s="147">
        <v>52</v>
      </c>
      <c r="Q34" s="118" t="e">
        <f>((#REF!/G34)^(1/($H$2-$H$1) ))-1</f>
        <v>#REF!</v>
      </c>
      <c r="R34" s="31">
        <f t="shared" si="6"/>
        <v>0.12</v>
      </c>
      <c r="S34" s="154" t="e">
        <f>#REF!*(1+$R34)</f>
        <v>#REF!</v>
      </c>
      <c r="T34" s="154" t="e">
        <f t="shared" si="40"/>
        <v>#REF!</v>
      </c>
      <c r="U34" s="154" t="e">
        <f t="shared" si="41"/>
        <v>#REF!</v>
      </c>
      <c r="V34" s="154" t="e">
        <f t="shared" si="42"/>
        <v>#REF!</v>
      </c>
      <c r="W34" s="154" t="e">
        <f t="shared" si="43"/>
        <v>#REF!</v>
      </c>
      <c r="X34" s="154" t="e">
        <f t="shared" si="44"/>
        <v>#REF!</v>
      </c>
      <c r="Y34" s="154" t="e">
        <f t="shared" si="45"/>
        <v>#REF!</v>
      </c>
      <c r="Z34" s="154" t="e">
        <f t="shared" si="46"/>
        <v>#REF!</v>
      </c>
      <c r="AA34" s="154" t="e">
        <f t="shared" si="47"/>
        <v>#REF!</v>
      </c>
      <c r="AB34" s="154" t="e">
        <f t="shared" si="48"/>
        <v>#REF!</v>
      </c>
      <c r="AC34" s="138" t="e">
        <f t="shared" si="19"/>
        <v>#REF!</v>
      </c>
      <c r="AD34" s="31">
        <f t="shared" si="17"/>
        <v>0.05</v>
      </c>
      <c r="AE34" s="146" t="e">
        <f t="shared" si="1"/>
        <v>#REF!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f>O36</f>
        <v>123</v>
      </c>
      <c r="H36" s="147"/>
      <c r="I36" s="147"/>
      <c r="J36" s="147"/>
      <c r="K36" s="147"/>
      <c r="L36" s="147"/>
      <c r="M36" s="147"/>
      <c r="N36" s="147"/>
      <c r="O36" s="147">
        <v>123</v>
      </c>
      <c r="P36" s="147">
        <v>134</v>
      </c>
      <c r="Q36" s="118">
        <f>((P36/G36)^(1/($H$2-$H$1) ))-1</f>
        <v>9.5627048685125171E-3</v>
      </c>
      <c r="R36" s="31">
        <f t="shared" si="6"/>
        <v>0.12</v>
      </c>
      <c r="S36" s="154">
        <f t="shared" ref="S36" si="103">P36*(1+$R36)</f>
        <v>150.08000000000001</v>
      </c>
      <c r="T36" s="154">
        <f t="shared" ref="T36" si="104">S36*(1+$R36)</f>
        <v>168.08960000000002</v>
      </c>
      <c r="U36" s="154">
        <f t="shared" ref="U36" si="105">T36*(1+$R36)</f>
        <v>188.26035200000004</v>
      </c>
      <c r="V36" s="154">
        <f t="shared" ref="V36" si="106">U36*(1+$R36)</f>
        <v>210.85159424000005</v>
      </c>
      <c r="W36" s="154">
        <f t="shared" si="43"/>
        <v>236.15378554880007</v>
      </c>
      <c r="X36" s="154">
        <f t="shared" si="44"/>
        <v>264.4922398146561</v>
      </c>
      <c r="Y36" s="154">
        <f t="shared" si="45"/>
        <v>296.23130859241485</v>
      </c>
      <c r="Z36" s="154">
        <f t="shared" si="46"/>
        <v>331.77906562350466</v>
      </c>
      <c r="AA36" s="154">
        <f t="shared" si="47"/>
        <v>371.59255349832529</v>
      </c>
      <c r="AB36" s="154">
        <f t="shared" si="48"/>
        <v>416.18365991812436</v>
      </c>
      <c r="AC36" s="138">
        <f t="shared" si="19"/>
        <v>6.625750423763388E-2</v>
      </c>
      <c r="AD36" s="31">
        <f t="shared" si="17"/>
        <v>0.05</v>
      </c>
      <c r="AE36" s="146">
        <f t="shared" si="1"/>
        <v>2570.5461347884152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7">(G36-F36)/G36</f>
        <v>1</v>
      </c>
      <c r="H37" s="148" t="e">
        <f t="shared" ref="H37" si="108">(H36-G36)/H36</f>
        <v>#DIV/0!</v>
      </c>
      <c r="I37" s="148" t="e">
        <f t="shared" ref="I37" si="109">(I36-H36)/I36</f>
        <v>#DIV/0!</v>
      </c>
      <c r="J37" s="148" t="e">
        <f t="shared" ref="J37" si="110">(J36-I36)/J36</f>
        <v>#DIV/0!</v>
      </c>
      <c r="K37" s="148" t="e">
        <f t="shared" ref="K37" si="111">(K36-J36)/K36</f>
        <v>#DIV/0!</v>
      </c>
      <c r="L37" s="148" t="e">
        <f t="shared" ref="L37" si="112">(L36-K36)/L36</f>
        <v>#DIV/0!</v>
      </c>
      <c r="M37" s="148" t="e">
        <f t="shared" ref="M37" si="113">(M36-L36)/M36</f>
        <v>#DIV/0!</v>
      </c>
      <c r="N37" s="148" t="e">
        <f t="shared" ref="N37" si="114">(N36-M36)/N36</f>
        <v>#DIV/0!</v>
      </c>
      <c r="O37" s="148">
        <f t="shared" ref="O37" si="115">(O36-N36)/O36</f>
        <v>1</v>
      </c>
      <c r="P37" s="148">
        <f t="shared" ref="P37" si="116">(P36-O36)/P36</f>
        <v>8.2089552238805971E-2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>
        <f>O38</f>
        <v>149</v>
      </c>
      <c r="H38" s="147"/>
      <c r="I38" s="147"/>
      <c r="J38" s="147"/>
      <c r="K38" s="147"/>
      <c r="L38" s="147"/>
      <c r="M38" s="147"/>
      <c r="N38" s="147"/>
      <c r="O38" s="147">
        <v>149</v>
      </c>
      <c r="P38" s="147">
        <v>160</v>
      </c>
      <c r="Q38" s="118">
        <f>((P38/G38)^(1/($H$2-$H$1) ))-1</f>
        <v>7.9455675036705919E-3</v>
      </c>
      <c r="R38" s="31">
        <f t="shared" si="6"/>
        <v>0.12</v>
      </c>
      <c r="S38" s="154">
        <f t="shared" ref="S38" si="117">P38*(1+$R38)</f>
        <v>179.20000000000002</v>
      </c>
      <c r="T38" s="154">
        <f t="shared" ref="T38" si="118">S38*(1+$R38)</f>
        <v>200.70400000000004</v>
      </c>
      <c r="U38" s="154">
        <f t="shared" ref="U38" si="119">T38*(1+$R38)</f>
        <v>224.78848000000005</v>
      </c>
      <c r="V38" s="154">
        <f t="shared" ref="V38" si="120">U38*(1+$R38)</f>
        <v>251.76309760000007</v>
      </c>
      <c r="W38" s="154">
        <f t="shared" ref="W38" si="121">V38*(1+$R38)</f>
        <v>281.97466931200012</v>
      </c>
      <c r="X38" s="154">
        <f t="shared" ref="X38" si="122">W38*(1+$R38)</f>
        <v>315.81162962944018</v>
      </c>
      <c r="Y38" s="154">
        <f t="shared" ref="Y38" si="123">X38*(1+$R38)</f>
        <v>353.70902518497303</v>
      </c>
      <c r="Z38" s="154">
        <f t="shared" ref="Z38" si="124">Y38*(1+$R38)</f>
        <v>396.15410820716983</v>
      </c>
      <c r="AA38" s="154">
        <f t="shared" ref="AA38" si="125">Z38*(1+$R38)</f>
        <v>443.69260119203022</v>
      </c>
      <c r="AB38" s="154">
        <f t="shared" ref="AB38" si="126">AA38*(1+$R38)</f>
        <v>496.9357133350739</v>
      </c>
      <c r="AC38" s="138">
        <f t="shared" ref="AC38" si="127">((AB38/G38)^(1/($AB$3-$H$1) ))-1</f>
        <v>6.544813293466567E-2</v>
      </c>
      <c r="AD38" s="31">
        <f t="shared" si="17"/>
        <v>0.05</v>
      </c>
      <c r="AE38" s="146">
        <f t="shared" ref="AE38" si="128">(AB38*(1+AD38))/($C$1-AD38)</f>
        <v>3069.3088176578099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9">(G38-F38)/G38</f>
        <v>1</v>
      </c>
      <c r="H39" s="148" t="e">
        <f t="shared" ref="H39" si="130">(H38-G38)/H38</f>
        <v>#DIV/0!</v>
      </c>
      <c r="I39" s="148" t="e">
        <f t="shared" ref="I39" si="131">(I38-H38)/I38</f>
        <v>#DIV/0!</v>
      </c>
      <c r="J39" s="148" t="e">
        <f t="shared" ref="J39" si="132">(J38-I38)/J38</f>
        <v>#DIV/0!</v>
      </c>
      <c r="K39" s="148" t="e">
        <f t="shared" ref="K39" si="133">(K38-J38)/K38</f>
        <v>#DIV/0!</v>
      </c>
      <c r="L39" s="148" t="e">
        <f t="shared" ref="L39" si="134">(L38-K38)/L38</f>
        <v>#DIV/0!</v>
      </c>
      <c r="M39" s="148" t="e">
        <f t="shared" ref="M39" si="135">(M38-L38)/M38</f>
        <v>#DIV/0!</v>
      </c>
      <c r="N39" s="148" t="e">
        <f t="shared" ref="N39" si="136">(N38-M38)/N38</f>
        <v>#DIV/0!</v>
      </c>
      <c r="O39" s="148">
        <f t="shared" ref="O39" si="137">(O38-N38)/O38</f>
        <v>1</v>
      </c>
      <c r="P39" s="148">
        <f t="shared" ref="P39" si="138">(P38-O38)/P38</f>
        <v>6.8750000000000006E-2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f>O40</f>
        <v>107</v>
      </c>
      <c r="H40" s="147"/>
      <c r="I40" s="147"/>
      <c r="J40" s="147"/>
      <c r="K40" s="147"/>
      <c r="L40" s="147"/>
      <c r="M40" s="147"/>
      <c r="N40" s="147"/>
      <c r="O40" s="147">
        <v>107</v>
      </c>
      <c r="P40" s="147">
        <v>114</v>
      </c>
      <c r="Q40" s="118">
        <f>((P40/G40)^(1/($H$2-$H$1) ))-1</f>
        <v>7.0659148168414898E-3</v>
      </c>
      <c r="R40" s="31">
        <f t="shared" si="6"/>
        <v>0.12</v>
      </c>
      <c r="S40" s="154">
        <f>P40*(1+$R40)</f>
        <v>127.68</v>
      </c>
      <c r="T40" s="154">
        <f t="shared" ref="T40:AB40" si="139">S40*(1+$R40)</f>
        <v>143.00160000000002</v>
      </c>
      <c r="U40" s="154">
        <f t="shared" si="139"/>
        <v>160.16179200000005</v>
      </c>
      <c r="V40" s="154">
        <f t="shared" si="139"/>
        <v>179.38120704000008</v>
      </c>
      <c r="W40" s="154">
        <f t="shared" si="139"/>
        <v>200.90695188480009</v>
      </c>
      <c r="X40" s="154">
        <f t="shared" si="139"/>
        <v>225.01578611097614</v>
      </c>
      <c r="Y40" s="154">
        <f t="shared" si="139"/>
        <v>252.01768044429329</v>
      </c>
      <c r="Z40" s="154">
        <f t="shared" si="139"/>
        <v>282.25980209760849</v>
      </c>
      <c r="AA40" s="154">
        <f t="shared" si="139"/>
        <v>316.13097834932154</v>
      </c>
      <c r="AB40" s="154">
        <f t="shared" si="139"/>
        <v>354.06669575124016</v>
      </c>
      <c r="AC40" s="138">
        <f t="shared" si="19"/>
        <v>6.500758299158016E-2</v>
      </c>
      <c r="AD40" s="31">
        <f t="shared" si="17"/>
        <v>0.05</v>
      </c>
      <c r="AE40" s="146">
        <f t="shared" si="1"/>
        <v>2186.8825325811895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 t="e">
        <f t="shared" ref="H41:P41" si="140">(H40-G40)/H40</f>
        <v>#DIV/0!</v>
      </c>
      <c r="I41" s="148" t="e">
        <f t="shared" si="140"/>
        <v>#DIV/0!</v>
      </c>
      <c r="J41" s="148" t="e">
        <f t="shared" si="140"/>
        <v>#DIV/0!</v>
      </c>
      <c r="K41" s="148" t="e">
        <f t="shared" si="140"/>
        <v>#DIV/0!</v>
      </c>
      <c r="L41" s="148" t="e">
        <f t="shared" si="140"/>
        <v>#DIV/0!</v>
      </c>
      <c r="M41" s="148" t="e">
        <f t="shared" si="140"/>
        <v>#DIV/0!</v>
      </c>
      <c r="N41" s="148" t="e">
        <f t="shared" si="140"/>
        <v>#DIV/0!</v>
      </c>
      <c r="O41" s="148">
        <f t="shared" si="140"/>
        <v>1</v>
      </c>
      <c r="P41" s="148">
        <f t="shared" si="140"/>
        <v>6.1403508771929821E-2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47">
        <f>O42</f>
        <v>2.85</v>
      </c>
      <c r="H42" s="188"/>
      <c r="I42" s="188"/>
      <c r="J42" s="188"/>
      <c r="K42" s="188"/>
      <c r="L42" s="188"/>
      <c r="M42" s="188"/>
      <c r="N42" s="188"/>
      <c r="O42" s="188">
        <v>2.85</v>
      </c>
      <c r="P42" s="188">
        <v>2.85</v>
      </c>
      <c r="Q42" s="118">
        <f>((P42/G42)^(1/($H$2-$H$1) ))-1</f>
        <v>0</v>
      </c>
      <c r="R42" s="31">
        <f>P1</f>
        <v>0.05</v>
      </c>
      <c r="S42" s="154">
        <f t="shared" ref="S42:S43" si="141">P42*(1+$R42)</f>
        <v>2.9925000000000002</v>
      </c>
      <c r="T42" s="154">
        <f t="shared" ref="T42:AB42" si="142">S42*(1+$R42)</f>
        <v>3.1421250000000005</v>
      </c>
      <c r="U42" s="154">
        <f t="shared" si="142"/>
        <v>3.2992312500000005</v>
      </c>
      <c r="V42" s="154">
        <f t="shared" si="142"/>
        <v>3.4641928125000008</v>
      </c>
      <c r="W42" s="154">
        <f t="shared" si="142"/>
        <v>3.6374024531250009</v>
      </c>
      <c r="X42" s="154">
        <f t="shared" si="142"/>
        <v>3.8192725757812509</v>
      </c>
      <c r="Y42" s="154">
        <f t="shared" si="142"/>
        <v>4.0102362045703135</v>
      </c>
      <c r="Z42" s="154">
        <f t="shared" si="142"/>
        <v>4.2107480147988294</v>
      </c>
      <c r="AA42" s="154">
        <f t="shared" si="142"/>
        <v>4.4212854155387715</v>
      </c>
      <c r="AB42" s="154">
        <f t="shared" si="142"/>
        <v>4.6423496863157103</v>
      </c>
      <c r="AC42" s="138">
        <f t="shared" si="19"/>
        <v>2.601158055280739E-2</v>
      </c>
      <c r="AD42" s="31">
        <f t="shared" si="17"/>
        <v>0.05</v>
      </c>
      <c r="AE42" s="146">
        <f t="shared" si="1"/>
        <v>28.673336297832332</v>
      </c>
    </row>
    <row r="43" spans="2:31" x14ac:dyDescent="0.2">
      <c r="B43" s="20" t="s">
        <v>282</v>
      </c>
      <c r="C43" s="145"/>
      <c r="D43" s="145"/>
      <c r="E43" s="145"/>
      <c r="F43" s="147"/>
      <c r="G43" s="147">
        <f>O43</f>
        <v>0</v>
      </c>
      <c r="H43" s="147"/>
      <c r="I43" s="147"/>
      <c r="J43" s="147"/>
      <c r="K43" s="147"/>
      <c r="L43" s="147"/>
      <c r="M43" s="147"/>
      <c r="N43" s="147"/>
      <c r="O43" s="147">
        <v>0</v>
      </c>
      <c r="P43" s="147">
        <v>20</v>
      </c>
      <c r="Q43" s="118" t="e">
        <f>((P43/G43)^(1/($H$2-$H$1) ))-1</f>
        <v>#DIV/0!</v>
      </c>
      <c r="R43" s="31">
        <f>P1</f>
        <v>0.05</v>
      </c>
      <c r="S43" s="154">
        <f t="shared" si="141"/>
        <v>21</v>
      </c>
      <c r="T43" s="154">
        <f t="shared" ref="T43" si="143">S43*(1+$R43)</f>
        <v>22.05</v>
      </c>
      <c r="U43" s="154">
        <f t="shared" ref="U43" si="144">T43*(1+$R43)</f>
        <v>23.152500000000003</v>
      </c>
      <c r="V43" s="154">
        <f t="shared" ref="V43" si="145">U43*(1+$R43)</f>
        <v>24.310125000000003</v>
      </c>
      <c r="W43" s="154">
        <f t="shared" ref="W43" si="146">V43*(1+$R43)</f>
        <v>25.525631250000004</v>
      </c>
      <c r="X43" s="154">
        <f t="shared" ref="X43" si="147">W43*(1+$R43)</f>
        <v>26.801912812500007</v>
      </c>
      <c r="Y43" s="154">
        <f t="shared" ref="Y43" si="148">X43*(1+$R43)</f>
        <v>28.142008453125008</v>
      </c>
      <c r="Z43" s="154">
        <f t="shared" ref="Z43" si="149">Y43*(1+$R43)</f>
        <v>29.549108875781261</v>
      </c>
      <c r="AA43" s="154">
        <f t="shared" ref="AA43" si="150">Z43*(1+$R43)</f>
        <v>31.026564319570326</v>
      </c>
      <c r="AB43" s="154">
        <f t="shared" ref="AB43" si="151">AA43*(1+$R43)</f>
        <v>32.577892535548841</v>
      </c>
      <c r="AC43" s="138" t="e">
        <f t="shared" ref="AC43" si="152">((AB43/G43)^(1/($AB$3-$H$1) ))-1</f>
        <v>#DIV/0!</v>
      </c>
      <c r="AD43" s="31">
        <f t="shared" si="17"/>
        <v>0.05</v>
      </c>
      <c r="AE43" s="146">
        <f t="shared" si="1"/>
        <v>201.21639507250759</v>
      </c>
    </row>
    <row r="44" spans="2:31" x14ac:dyDescent="0.2">
      <c r="B44" s="20" t="s">
        <v>427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47">
        <v>0</v>
      </c>
      <c r="O44" s="147">
        <v>0</v>
      </c>
      <c r="P44" s="147">
        <v>0</v>
      </c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3">C25/C42</f>
        <v>0</v>
      </c>
      <c r="D49" s="133">
        <f t="shared" si="153"/>
        <v>0</v>
      </c>
      <c r="E49" s="133">
        <f t="shared" si="153"/>
        <v>0</v>
      </c>
      <c r="F49" s="133">
        <f t="shared" si="153"/>
        <v>0</v>
      </c>
      <c r="G49" s="133">
        <f t="shared" si="153"/>
        <v>72.631578947368425</v>
      </c>
      <c r="H49" s="133" t="e">
        <f t="shared" si="153"/>
        <v>#DIV/0!</v>
      </c>
      <c r="I49" s="133" t="e">
        <f t="shared" si="153"/>
        <v>#DIV/0!</v>
      </c>
      <c r="J49" s="133" t="e">
        <f t="shared" si="153"/>
        <v>#DIV/0!</v>
      </c>
      <c r="K49" s="133" t="e">
        <f t="shared" si="153"/>
        <v>#DIV/0!</v>
      </c>
      <c r="L49" s="133" t="e">
        <f t="shared" si="153"/>
        <v>#DIV/0!</v>
      </c>
      <c r="M49" s="133" t="e">
        <f t="shared" si="153"/>
        <v>#DIV/0!</v>
      </c>
      <c r="N49" s="133" t="e">
        <f t="shared" si="153"/>
        <v>#DIV/0!</v>
      </c>
      <c r="O49" s="133">
        <f t="shared" si="153"/>
        <v>72.631578947368425</v>
      </c>
      <c r="P49" s="133">
        <f t="shared" si="153"/>
        <v>81.403508771929822</v>
      </c>
      <c r="Q49" s="118">
        <f>((P49/G49)^(1/($H$2-$H$1) ))-1</f>
        <v>1.2749319262871595E-2</v>
      </c>
      <c r="R49" s="128"/>
      <c r="S49" s="158">
        <f t="shared" ref="S49:AB49" si="154">S25/S42</f>
        <v>86.830409356725156</v>
      </c>
      <c r="T49" s="158">
        <f t="shared" si="154"/>
        <v>92.619103313840156</v>
      </c>
      <c r="U49" s="158">
        <f t="shared" si="154"/>
        <v>98.793710201429505</v>
      </c>
      <c r="V49" s="158">
        <f t="shared" si="154"/>
        <v>105.37995754819148</v>
      </c>
      <c r="W49" s="158">
        <f t="shared" si="154"/>
        <v>112.40528805140424</v>
      </c>
      <c r="X49" s="158">
        <f t="shared" si="154"/>
        <v>119.89897392149788</v>
      </c>
      <c r="Y49" s="158">
        <f t="shared" si="154"/>
        <v>127.89223884959776</v>
      </c>
      <c r="Z49" s="158">
        <f t="shared" si="154"/>
        <v>136.41838810623761</v>
      </c>
      <c r="AA49" s="158">
        <f t="shared" si="154"/>
        <v>145.51294731332013</v>
      </c>
      <c r="AB49" s="158">
        <f t="shared" si="154"/>
        <v>155.21381046754146</v>
      </c>
      <c r="AC49" s="138">
        <f t="shared" ref="AC49" si="155">((AB49/G49)^(1/($AB$3-$H$1) ))-1</f>
        <v>4.0778114598277737E-2</v>
      </c>
      <c r="AD49" s="31">
        <f t="shared" si="17"/>
        <v>0.05</v>
      </c>
      <c r="AE49" s="146">
        <f t="shared" ref="AE49:AE50" si="156">(AB49*(1+AD49))/($C$1-AD49)</f>
        <v>958.67353524069745</v>
      </c>
    </row>
    <row r="50" spans="2:31" x14ac:dyDescent="0.2">
      <c r="B50" s="20" t="s">
        <v>304</v>
      </c>
      <c r="C50" s="133">
        <f t="shared" ref="C50:P50" si="157">C27/C42</f>
        <v>0</v>
      </c>
      <c r="D50" s="133">
        <f t="shared" si="157"/>
        <v>0</v>
      </c>
      <c r="E50" s="133">
        <f t="shared" si="157"/>
        <v>0</v>
      </c>
      <c r="F50" s="133">
        <f t="shared" si="157"/>
        <v>0</v>
      </c>
      <c r="G50" s="133">
        <f t="shared" si="157"/>
        <v>19.649122807017545</v>
      </c>
      <c r="H50" s="133" t="e">
        <f t="shared" si="157"/>
        <v>#DIV/0!</v>
      </c>
      <c r="I50" s="133" t="e">
        <f t="shared" si="157"/>
        <v>#DIV/0!</v>
      </c>
      <c r="J50" s="133" t="e">
        <f t="shared" si="157"/>
        <v>#DIV/0!</v>
      </c>
      <c r="K50" s="133" t="e">
        <f t="shared" si="157"/>
        <v>#DIV/0!</v>
      </c>
      <c r="L50" s="133" t="e">
        <f t="shared" si="157"/>
        <v>#DIV/0!</v>
      </c>
      <c r="M50" s="133" t="e">
        <f t="shared" si="157"/>
        <v>#DIV/0!</v>
      </c>
      <c r="N50" s="133" t="e">
        <f t="shared" si="157"/>
        <v>#DIV/0!</v>
      </c>
      <c r="O50" s="133">
        <f t="shared" si="157"/>
        <v>19.649122807017545</v>
      </c>
      <c r="P50" s="133">
        <f t="shared" si="157"/>
        <v>23.859649122807017</v>
      </c>
      <c r="Q50" s="118">
        <f>((P50/G50)^(1/($H$2-$H$1) ))-1</f>
        <v>2.1807267658944696E-2</v>
      </c>
      <c r="R50" s="128"/>
      <c r="S50" s="158">
        <f t="shared" ref="S50:AB50" si="158">S27/S42</f>
        <v>25.450292397660821</v>
      </c>
      <c r="T50" s="158">
        <f t="shared" si="158"/>
        <v>27.146978557504873</v>
      </c>
      <c r="U50" s="158">
        <f t="shared" si="158"/>
        <v>28.9567771280052</v>
      </c>
      <c r="V50" s="158">
        <f t="shared" si="158"/>
        <v>30.887228936538882</v>
      </c>
      <c r="W50" s="158">
        <f t="shared" si="158"/>
        <v>32.946377532308141</v>
      </c>
      <c r="X50" s="158">
        <f t="shared" si="158"/>
        <v>35.142802701128687</v>
      </c>
      <c r="Y50" s="158">
        <f t="shared" si="158"/>
        <v>37.485656214537272</v>
      </c>
      <c r="Z50" s="158">
        <f t="shared" si="158"/>
        <v>39.984699962173089</v>
      </c>
      <c r="AA50" s="158">
        <f t="shared" si="158"/>
        <v>42.650346626317962</v>
      </c>
      <c r="AB50" s="158">
        <f t="shared" si="158"/>
        <v>45.493703068072499</v>
      </c>
      <c r="AC50" s="138">
        <f t="shared" ref="AC50" si="159">((AB50/G50)^(1/($AB$3-$H$1) ))-1</f>
        <v>4.5177137170886228E-2</v>
      </c>
      <c r="AD50" s="31">
        <f t="shared" si="17"/>
        <v>0.05</v>
      </c>
      <c r="AE50" s="146">
        <f t="shared" si="156"/>
        <v>280.99051894985956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60">C40/C42</f>
        <v>0</v>
      </c>
      <c r="D52" s="25">
        <f t="shared" si="160"/>
        <v>0</v>
      </c>
      <c r="E52" s="25">
        <f t="shared" si="160"/>
        <v>0</v>
      </c>
      <c r="F52" s="133">
        <f t="shared" si="160"/>
        <v>0</v>
      </c>
      <c r="G52" s="133">
        <f t="shared" si="160"/>
        <v>37.543859649122808</v>
      </c>
      <c r="H52" s="133" t="e">
        <f t="shared" si="160"/>
        <v>#DIV/0!</v>
      </c>
      <c r="I52" s="133" t="e">
        <f t="shared" si="160"/>
        <v>#DIV/0!</v>
      </c>
      <c r="J52" s="133" t="e">
        <f t="shared" si="160"/>
        <v>#DIV/0!</v>
      </c>
      <c r="K52" s="133" t="e">
        <f t="shared" si="160"/>
        <v>#DIV/0!</v>
      </c>
      <c r="L52" s="133" t="e">
        <f t="shared" si="160"/>
        <v>#DIV/0!</v>
      </c>
      <c r="M52" s="133" t="e">
        <f t="shared" si="160"/>
        <v>#DIV/0!</v>
      </c>
      <c r="N52" s="133" t="e">
        <f t="shared" si="160"/>
        <v>#DIV/0!</v>
      </c>
      <c r="O52" s="133">
        <f t="shared" si="160"/>
        <v>37.543859649122808</v>
      </c>
      <c r="P52" s="133">
        <f t="shared" si="160"/>
        <v>40</v>
      </c>
      <c r="Q52" s="118">
        <f>((P52/G52)^(1/($H$2-$H$1) ))-1</f>
        <v>7.0659148168414898E-3</v>
      </c>
      <c r="R52" s="128"/>
      <c r="S52" s="158">
        <f t="shared" ref="S52:AB52" si="161">S40/S42</f>
        <v>42.666666666666664</v>
      </c>
      <c r="T52" s="158">
        <f t="shared" si="161"/>
        <v>45.511111111111113</v>
      </c>
      <c r="U52" s="158">
        <f t="shared" si="161"/>
        <v>48.54518518518519</v>
      </c>
      <c r="V52" s="158">
        <f t="shared" si="161"/>
        <v>51.781530864197542</v>
      </c>
      <c r="W52" s="158">
        <f t="shared" si="161"/>
        <v>55.23363292181071</v>
      </c>
      <c r="X52" s="158">
        <f t="shared" si="161"/>
        <v>58.915875116598102</v>
      </c>
      <c r="Y52" s="158">
        <f t="shared" si="161"/>
        <v>62.843600124371314</v>
      </c>
      <c r="Z52" s="158">
        <f t="shared" si="161"/>
        <v>67.033173465996057</v>
      </c>
      <c r="AA52" s="158">
        <f t="shared" si="161"/>
        <v>71.50205169706247</v>
      </c>
      <c r="AB52" s="158">
        <f t="shared" si="161"/>
        <v>76.268855143533301</v>
      </c>
      <c r="AC52" s="138">
        <f t="shared" ref="AC52:AC66" si="162">((AB52/G52)^(1/($AB$3-$H$1) ))-1</f>
        <v>3.8007370655370076E-2</v>
      </c>
      <c r="AD52" s="31">
        <f t="shared" si="17"/>
        <v>0.05</v>
      </c>
      <c r="AE52" s="146">
        <f t="shared" ref="AE52:AE80" si="163">(AB52*(1+AD52))/($C$1-AD52)</f>
        <v>471.07234059241165</v>
      </c>
    </row>
    <row r="53" spans="2:31" x14ac:dyDescent="0.2">
      <c r="B53" s="20" t="s">
        <v>388</v>
      </c>
      <c r="C53" s="133">
        <f t="shared" ref="C53:F53" si="164">C20/C42</f>
        <v>0</v>
      </c>
      <c r="D53" s="133">
        <f t="shared" si="164"/>
        <v>0</v>
      </c>
      <c r="E53" s="133">
        <f t="shared" si="164"/>
        <v>0</v>
      </c>
      <c r="F53" s="133">
        <f t="shared" si="164"/>
        <v>0</v>
      </c>
      <c r="G53" s="133">
        <f>G20/G42</f>
        <v>34.385964912280699</v>
      </c>
      <c r="H53" s="133" t="e">
        <f t="shared" ref="H53:P53" si="165">H20/H42</f>
        <v>#DIV/0!</v>
      </c>
      <c r="I53" s="133" t="e">
        <f t="shared" si="165"/>
        <v>#DIV/0!</v>
      </c>
      <c r="J53" s="133" t="e">
        <f t="shared" si="165"/>
        <v>#DIV/0!</v>
      </c>
      <c r="K53" s="133" t="e">
        <f t="shared" si="165"/>
        <v>#DIV/0!</v>
      </c>
      <c r="L53" s="133" t="e">
        <f t="shared" si="165"/>
        <v>#DIV/0!</v>
      </c>
      <c r="M53" s="133" t="e">
        <f t="shared" si="165"/>
        <v>#DIV/0!</v>
      </c>
      <c r="N53" s="133" t="e">
        <f t="shared" si="165"/>
        <v>#DIV/0!</v>
      </c>
      <c r="O53" s="133">
        <f t="shared" si="165"/>
        <v>34.385964912280699</v>
      </c>
      <c r="P53" s="133">
        <f t="shared" si="165"/>
        <v>31.578947368421051</v>
      </c>
      <c r="Q53" s="118">
        <f>((P53/G53)^(1/($H$2-$H$1) ))-1</f>
        <v>-9.4173550376104309E-3</v>
      </c>
      <c r="R53" s="128"/>
      <c r="S53" s="133">
        <f t="shared" ref="S53:AB53" si="166">S20/S42</f>
        <v>33.684210526315795</v>
      </c>
      <c r="T53" s="133">
        <f t="shared" si="166"/>
        <v>35.929824561403514</v>
      </c>
      <c r="U53" s="133">
        <f t="shared" si="166"/>
        <v>38.325146198830417</v>
      </c>
      <c r="V53" s="133">
        <f t="shared" si="166"/>
        <v>40.880155945419119</v>
      </c>
      <c r="W53" s="133">
        <f t="shared" si="166"/>
        <v>43.605499675113727</v>
      </c>
      <c r="X53" s="133">
        <f t="shared" si="166"/>
        <v>46.512532986787981</v>
      </c>
      <c r="Y53" s="133">
        <f t="shared" si="166"/>
        <v>49.613368519240517</v>
      </c>
      <c r="Z53" s="133">
        <f t="shared" si="166"/>
        <v>52.920926420523216</v>
      </c>
      <c r="AA53" s="133">
        <f t="shared" si="166"/>
        <v>56.44898818189143</v>
      </c>
      <c r="AB53" s="133">
        <f t="shared" si="166"/>
        <v>60.212254060684188</v>
      </c>
      <c r="AC53" s="138">
        <f t="shared" ref="AC53" si="167">((AB53/G53)^(1/($AB$3-$H$1) ))-1</f>
        <v>2.9924658821902872E-2</v>
      </c>
      <c r="AD53" s="31">
        <f t="shared" si="17"/>
        <v>0.05</v>
      </c>
      <c r="AE53" s="146">
        <f t="shared" si="163"/>
        <v>371.8992162571671</v>
      </c>
    </row>
    <row r="54" spans="2:31" x14ac:dyDescent="0.2">
      <c r="B54" s="20" t="s">
        <v>245</v>
      </c>
      <c r="C54" s="25">
        <f t="shared" ref="C54:P54" si="168">C7/C42</f>
        <v>0</v>
      </c>
      <c r="D54" s="25">
        <f t="shared" si="168"/>
        <v>0</v>
      </c>
      <c r="E54" s="25">
        <f t="shared" si="168"/>
        <v>0</v>
      </c>
      <c r="F54" s="133">
        <f t="shared" si="168"/>
        <v>0</v>
      </c>
      <c r="G54" s="133">
        <f t="shared" si="168"/>
        <v>132.28070175438597</v>
      </c>
      <c r="H54" s="133" t="e">
        <f t="shared" si="168"/>
        <v>#DIV/0!</v>
      </c>
      <c r="I54" s="133" t="e">
        <f t="shared" si="168"/>
        <v>#DIV/0!</v>
      </c>
      <c r="J54" s="133" t="e">
        <f t="shared" si="168"/>
        <v>#DIV/0!</v>
      </c>
      <c r="K54" s="133" t="e">
        <f t="shared" si="168"/>
        <v>#DIV/0!</v>
      </c>
      <c r="L54" s="133" t="e">
        <f t="shared" si="168"/>
        <v>#DIV/0!</v>
      </c>
      <c r="M54" s="133" t="e">
        <f t="shared" si="168"/>
        <v>#DIV/0!</v>
      </c>
      <c r="N54" s="133" t="e">
        <f t="shared" si="168"/>
        <v>#DIV/0!</v>
      </c>
      <c r="O54" s="133">
        <f t="shared" si="168"/>
        <v>132.28070175438597</v>
      </c>
      <c r="P54" s="133">
        <f t="shared" si="168"/>
        <v>148.7719298245614</v>
      </c>
      <c r="Q54" s="118">
        <f>((P54/G54)^(1/($H$2-$H$1) ))-1</f>
        <v>1.3139830706634825E-2</v>
      </c>
      <c r="R54" s="128"/>
      <c r="S54" s="158">
        <f t="shared" ref="S54:AB54" si="169">S7/S42</f>
        <v>158.69005847953218</v>
      </c>
      <c r="T54" s="158">
        <f t="shared" si="169"/>
        <v>169.26939571150098</v>
      </c>
      <c r="U54" s="158">
        <f t="shared" si="169"/>
        <v>180.55402209226773</v>
      </c>
      <c r="V54" s="158">
        <f t="shared" si="169"/>
        <v>192.59095689841891</v>
      </c>
      <c r="W54" s="158">
        <f t="shared" si="169"/>
        <v>205.43035402498018</v>
      </c>
      <c r="X54" s="158">
        <f t="shared" si="169"/>
        <v>219.12571095997887</v>
      </c>
      <c r="Y54" s="158">
        <f t="shared" si="169"/>
        <v>233.73409169064416</v>
      </c>
      <c r="Z54" s="158">
        <f t="shared" si="169"/>
        <v>249.31636447002043</v>
      </c>
      <c r="AA54" s="158">
        <f t="shared" si="169"/>
        <v>265.93745543468845</v>
      </c>
      <c r="AB54" s="158">
        <f t="shared" si="169"/>
        <v>283.66661913033431</v>
      </c>
      <c r="AC54" s="138">
        <f t="shared" si="162"/>
        <v>4.0968193888925031E-2</v>
      </c>
      <c r="AD54" s="31">
        <f t="shared" si="17"/>
        <v>0.05</v>
      </c>
      <c r="AE54" s="146">
        <f t="shared" si="163"/>
        <v>1752.0585299226534</v>
      </c>
    </row>
    <row r="55" spans="2:31" x14ac:dyDescent="0.2">
      <c r="B55" s="20" t="s">
        <v>246</v>
      </c>
      <c r="C55" s="127">
        <f t="shared" ref="C55:P55" si="170">C6/C42</f>
        <v>0</v>
      </c>
      <c r="D55" s="127">
        <f t="shared" si="170"/>
        <v>0</v>
      </c>
      <c r="E55" s="127">
        <f t="shared" si="170"/>
        <v>0</v>
      </c>
      <c r="F55" s="144">
        <f t="shared" si="170"/>
        <v>0</v>
      </c>
      <c r="G55" s="144">
        <f t="shared" si="170"/>
        <v>122.10526315789474</v>
      </c>
      <c r="H55" s="144" t="e">
        <f t="shared" si="170"/>
        <v>#DIV/0!</v>
      </c>
      <c r="I55" s="144" t="e">
        <f t="shared" si="170"/>
        <v>#DIV/0!</v>
      </c>
      <c r="J55" s="144" t="e">
        <f t="shared" si="170"/>
        <v>#DIV/0!</v>
      </c>
      <c r="K55" s="144" t="e">
        <f t="shared" si="170"/>
        <v>#DIV/0!</v>
      </c>
      <c r="L55" s="144" t="e">
        <f t="shared" si="170"/>
        <v>#DIV/0!</v>
      </c>
      <c r="M55" s="144" t="e">
        <f t="shared" si="170"/>
        <v>#DIV/0!</v>
      </c>
      <c r="N55" s="144" t="e">
        <f t="shared" si="170"/>
        <v>#DIV/0!</v>
      </c>
      <c r="O55" s="144">
        <f t="shared" si="170"/>
        <v>122.10526315789474</v>
      </c>
      <c r="P55" s="144">
        <f t="shared" si="170"/>
        <v>138.59649122807016</v>
      </c>
      <c r="Q55" s="118">
        <f>((P55/G55)^(1/($H$2-$H$1) ))-1</f>
        <v>1.4175452793824928E-2</v>
      </c>
      <c r="R55" s="128"/>
      <c r="S55" s="157">
        <f t="shared" ref="S55:AB55" si="171">S6/S42</f>
        <v>147.83625730994152</v>
      </c>
      <c r="T55" s="157">
        <f t="shared" si="171"/>
        <v>157.69200779727097</v>
      </c>
      <c r="U55" s="157">
        <f t="shared" si="171"/>
        <v>168.20480831708906</v>
      </c>
      <c r="V55" s="157">
        <f t="shared" si="171"/>
        <v>179.41846220489501</v>
      </c>
      <c r="W55" s="157">
        <f t="shared" si="171"/>
        <v>191.37969301855469</v>
      </c>
      <c r="X55" s="157">
        <f t="shared" si="171"/>
        <v>204.13833921979167</v>
      </c>
      <c r="Y55" s="157">
        <f t="shared" si="171"/>
        <v>217.74756183444447</v>
      </c>
      <c r="Z55" s="157">
        <f t="shared" si="171"/>
        <v>232.26406595674078</v>
      </c>
      <c r="AA55" s="157">
        <f t="shared" si="171"/>
        <v>247.74833702052348</v>
      </c>
      <c r="AB55" s="157">
        <f t="shared" si="171"/>
        <v>264.26489282189169</v>
      </c>
      <c r="AC55" s="138">
        <f t="shared" si="162"/>
        <v>4.1472090577269416E-2</v>
      </c>
      <c r="AD55" s="31">
        <f t="shared" si="17"/>
        <v>0.05</v>
      </c>
      <c r="AE55" s="146">
        <f t="shared" si="163"/>
        <v>1632.2243380175667</v>
      </c>
    </row>
    <row r="56" spans="2:31" x14ac:dyDescent="0.2">
      <c r="B56" s="20" t="s">
        <v>247</v>
      </c>
      <c r="C56" s="127">
        <f t="shared" ref="C56:P56" si="172">C10/C42</f>
        <v>0</v>
      </c>
      <c r="D56" s="127">
        <f t="shared" si="172"/>
        <v>0</v>
      </c>
      <c r="E56" s="127">
        <f t="shared" si="172"/>
        <v>0</v>
      </c>
      <c r="F56" s="144">
        <f t="shared" si="172"/>
        <v>0</v>
      </c>
      <c r="G56" s="144">
        <f t="shared" si="172"/>
        <v>0</v>
      </c>
      <c r="H56" s="144" t="e">
        <f t="shared" si="172"/>
        <v>#DIV/0!</v>
      </c>
      <c r="I56" s="144" t="e">
        <f t="shared" si="172"/>
        <v>#DIV/0!</v>
      </c>
      <c r="J56" s="144" t="e">
        <f t="shared" si="172"/>
        <v>#DIV/0!</v>
      </c>
      <c r="K56" s="144" t="e">
        <f t="shared" si="172"/>
        <v>#DIV/0!</v>
      </c>
      <c r="L56" s="144" t="e">
        <f t="shared" si="172"/>
        <v>#DIV/0!</v>
      </c>
      <c r="M56" s="144" t="e">
        <f t="shared" si="172"/>
        <v>#DIV/0!</v>
      </c>
      <c r="N56" s="144" t="e">
        <f t="shared" si="172"/>
        <v>#DIV/0!</v>
      </c>
      <c r="O56" s="144">
        <f t="shared" si="172"/>
        <v>0</v>
      </c>
      <c r="P56" s="144">
        <f t="shared" si="172"/>
        <v>0</v>
      </c>
      <c r="Q56" s="118" t="e">
        <f>((P56/G56)^(1/($H$2-$H$1) ))-1</f>
        <v>#DIV/0!</v>
      </c>
      <c r="R56" s="128"/>
      <c r="S56" s="157">
        <f t="shared" ref="S56:AB56" si="173">S10/S42</f>
        <v>0</v>
      </c>
      <c r="T56" s="157">
        <f t="shared" si="173"/>
        <v>0</v>
      </c>
      <c r="U56" s="157">
        <f t="shared" si="173"/>
        <v>0</v>
      </c>
      <c r="V56" s="157">
        <f t="shared" si="173"/>
        <v>0</v>
      </c>
      <c r="W56" s="157">
        <f t="shared" si="173"/>
        <v>0</v>
      </c>
      <c r="X56" s="157">
        <f t="shared" si="173"/>
        <v>0</v>
      </c>
      <c r="Y56" s="157">
        <f t="shared" si="173"/>
        <v>0</v>
      </c>
      <c r="Z56" s="157">
        <f t="shared" si="173"/>
        <v>0</v>
      </c>
      <c r="AA56" s="157">
        <f t="shared" si="173"/>
        <v>0</v>
      </c>
      <c r="AB56" s="157">
        <f t="shared" si="173"/>
        <v>0</v>
      </c>
      <c r="AC56" s="138" t="e">
        <f t="shared" si="162"/>
        <v>#DIV/0!</v>
      </c>
      <c r="AD56" s="31">
        <f t="shared" si="17"/>
        <v>0.05</v>
      </c>
      <c r="AE56" s="146">
        <f t="shared" si="163"/>
        <v>0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4">(C7-C10)/C42</f>
        <v>0</v>
      </c>
      <c r="D58" s="127">
        <f t="shared" si="174"/>
        <v>0</v>
      </c>
      <c r="E58" s="127">
        <f t="shared" si="174"/>
        <v>0</v>
      </c>
      <c r="F58" s="144">
        <f t="shared" si="174"/>
        <v>0</v>
      </c>
      <c r="G58" s="144">
        <f t="shared" si="174"/>
        <v>132.28070175438597</v>
      </c>
      <c r="H58" s="144" t="e">
        <f t="shared" si="174"/>
        <v>#DIV/0!</v>
      </c>
      <c r="I58" s="144" t="e">
        <f t="shared" si="174"/>
        <v>#DIV/0!</v>
      </c>
      <c r="J58" s="144" t="e">
        <f t="shared" si="174"/>
        <v>#DIV/0!</v>
      </c>
      <c r="K58" s="144" t="e">
        <f t="shared" si="174"/>
        <v>#DIV/0!</v>
      </c>
      <c r="L58" s="144" t="e">
        <f t="shared" si="174"/>
        <v>#DIV/0!</v>
      </c>
      <c r="M58" s="144" t="e">
        <f t="shared" si="174"/>
        <v>#DIV/0!</v>
      </c>
      <c r="N58" s="144" t="e">
        <f t="shared" si="174"/>
        <v>#DIV/0!</v>
      </c>
      <c r="O58" s="144">
        <f t="shared" si="174"/>
        <v>132.28070175438597</v>
      </c>
      <c r="P58" s="144">
        <f t="shared" si="174"/>
        <v>148.7719298245614</v>
      </c>
      <c r="Q58" s="118">
        <f>((P58/G58)^(1/($H$2-$H$1) ))-1</f>
        <v>1.3139830706634825E-2</v>
      </c>
      <c r="R58" s="128"/>
      <c r="S58" s="157">
        <f t="shared" ref="S58:AB58" si="175">(S7-S10)/S42</f>
        <v>158.69005847953218</v>
      </c>
      <c r="T58" s="157">
        <f t="shared" si="175"/>
        <v>169.26939571150098</v>
      </c>
      <c r="U58" s="157">
        <f t="shared" si="175"/>
        <v>180.55402209226773</v>
      </c>
      <c r="V58" s="157">
        <f t="shared" si="175"/>
        <v>192.59095689841891</v>
      </c>
      <c r="W58" s="157">
        <f t="shared" si="175"/>
        <v>205.43035402498018</v>
      </c>
      <c r="X58" s="157">
        <f t="shared" si="175"/>
        <v>219.12571095997887</v>
      </c>
      <c r="Y58" s="157">
        <f t="shared" si="175"/>
        <v>233.73409169064416</v>
      </c>
      <c r="Z58" s="157">
        <f t="shared" si="175"/>
        <v>249.31636447002043</v>
      </c>
      <c r="AA58" s="157">
        <f t="shared" si="175"/>
        <v>265.93745543468845</v>
      </c>
      <c r="AB58" s="157">
        <f t="shared" si="175"/>
        <v>283.66661913033431</v>
      </c>
      <c r="AC58" s="138">
        <f t="shared" si="162"/>
        <v>4.0968193888925031E-2</v>
      </c>
      <c r="AD58" s="31">
        <f t="shared" si="17"/>
        <v>0.05</v>
      </c>
      <c r="AE58" s="146">
        <f t="shared" si="163"/>
        <v>1752.0585299226534</v>
      </c>
    </row>
    <row r="59" spans="2:31" x14ac:dyDescent="0.2">
      <c r="B59" s="20" t="s">
        <v>271</v>
      </c>
      <c r="C59" s="127">
        <f t="shared" ref="C59:P59" si="176">(C7-C10-C9)/C42</f>
        <v>0</v>
      </c>
      <c r="D59" s="127">
        <f t="shared" si="176"/>
        <v>0</v>
      </c>
      <c r="E59" s="127">
        <f t="shared" si="176"/>
        <v>0</v>
      </c>
      <c r="F59" s="144">
        <f t="shared" si="176"/>
        <v>0</v>
      </c>
      <c r="G59" s="144">
        <f t="shared" si="176"/>
        <v>117.54385964912281</v>
      </c>
      <c r="H59" s="144" t="e">
        <f t="shared" si="176"/>
        <v>#DIV/0!</v>
      </c>
      <c r="I59" s="144" t="e">
        <f t="shared" si="176"/>
        <v>#DIV/0!</v>
      </c>
      <c r="J59" s="144" t="e">
        <f t="shared" si="176"/>
        <v>#DIV/0!</v>
      </c>
      <c r="K59" s="144" t="e">
        <f t="shared" si="176"/>
        <v>#DIV/0!</v>
      </c>
      <c r="L59" s="144" t="e">
        <f t="shared" si="176"/>
        <v>#DIV/0!</v>
      </c>
      <c r="M59" s="144" t="e">
        <f t="shared" si="176"/>
        <v>#DIV/0!</v>
      </c>
      <c r="N59" s="144" t="e">
        <f t="shared" si="176"/>
        <v>#DIV/0!</v>
      </c>
      <c r="O59" s="144">
        <f t="shared" si="176"/>
        <v>117.54385964912281</v>
      </c>
      <c r="P59" s="144">
        <f t="shared" si="176"/>
        <v>129.12280701754386</v>
      </c>
      <c r="Q59" s="118">
        <f>((P59/G59)^(1/($H$2-$H$1) ))-1</f>
        <v>1.0493834350889353E-2</v>
      </c>
      <c r="R59" s="128"/>
      <c r="S59" s="157">
        <f t="shared" ref="S59:AB59" si="177">(S7-S10-S9)/S42</f>
        <v>137.73099415204678</v>
      </c>
      <c r="T59" s="157">
        <f t="shared" si="177"/>
        <v>146.91306042884992</v>
      </c>
      <c r="U59" s="157">
        <f t="shared" si="177"/>
        <v>156.70726445743992</v>
      </c>
      <c r="V59" s="157">
        <f t="shared" si="177"/>
        <v>167.15441542126925</v>
      </c>
      <c r="W59" s="157">
        <f t="shared" si="177"/>
        <v>178.29804311602055</v>
      </c>
      <c r="X59" s="157">
        <f t="shared" si="177"/>
        <v>190.18457932375526</v>
      </c>
      <c r="Y59" s="157">
        <f t="shared" si="177"/>
        <v>202.86355127867228</v>
      </c>
      <c r="Z59" s="157">
        <f t="shared" si="177"/>
        <v>216.38778803058378</v>
      </c>
      <c r="AA59" s="157">
        <f t="shared" si="177"/>
        <v>230.81364056595601</v>
      </c>
      <c r="AB59" s="157">
        <f t="shared" si="177"/>
        <v>246.20121660368642</v>
      </c>
      <c r="AC59" s="138">
        <f t="shared" si="162"/>
        <v>3.9679514154705942E-2</v>
      </c>
      <c r="AD59" s="31">
        <f t="shared" si="17"/>
        <v>0.05</v>
      </c>
      <c r="AE59" s="146">
        <f t="shared" si="163"/>
        <v>1520.6545731404165</v>
      </c>
    </row>
    <row r="60" spans="2:31" x14ac:dyDescent="0.2">
      <c r="B60" s="20" t="s">
        <v>276</v>
      </c>
      <c r="C60" s="127">
        <f t="shared" ref="C60:P60" si="178">(C7+C15-C10-C9)/C42</f>
        <v>0</v>
      </c>
      <c r="D60" s="127">
        <f t="shared" si="178"/>
        <v>0</v>
      </c>
      <c r="E60" s="127">
        <f t="shared" si="178"/>
        <v>0</v>
      </c>
      <c r="F60" s="144">
        <f t="shared" si="178"/>
        <v>0</v>
      </c>
      <c r="G60" s="144">
        <f t="shared" si="178"/>
        <v>147.71929824561403</v>
      </c>
      <c r="H60" s="144" t="e">
        <f t="shared" si="178"/>
        <v>#DIV/0!</v>
      </c>
      <c r="I60" s="144" t="e">
        <f t="shared" si="178"/>
        <v>#DIV/0!</v>
      </c>
      <c r="J60" s="144" t="e">
        <f t="shared" si="178"/>
        <v>#DIV/0!</v>
      </c>
      <c r="K60" s="144" t="e">
        <f t="shared" si="178"/>
        <v>#DIV/0!</v>
      </c>
      <c r="L60" s="144" t="e">
        <f t="shared" si="178"/>
        <v>#DIV/0!</v>
      </c>
      <c r="M60" s="144" t="e">
        <f t="shared" si="178"/>
        <v>#DIV/0!</v>
      </c>
      <c r="N60" s="144" t="e">
        <f t="shared" si="178"/>
        <v>#DIV/0!</v>
      </c>
      <c r="O60" s="144">
        <f t="shared" si="178"/>
        <v>147.71929824561403</v>
      </c>
      <c r="P60" s="144">
        <f t="shared" si="178"/>
        <v>151.2280701754386</v>
      </c>
      <c r="Q60" s="118">
        <f>((P60/G60)^(1/($H$2-$H$1) ))-1</f>
        <v>2.6117665599172391E-3</v>
      </c>
      <c r="R60" s="128"/>
      <c r="S60" s="157">
        <f t="shared" ref="S60:AB60" si="179">(S7+S15-S10-S9)/S42</f>
        <v>161.30994152046785</v>
      </c>
      <c r="T60" s="157">
        <f t="shared" si="179"/>
        <v>172.06393762183237</v>
      </c>
      <c r="U60" s="157">
        <f t="shared" si="179"/>
        <v>183.5348667966212</v>
      </c>
      <c r="V60" s="157">
        <f t="shared" si="179"/>
        <v>195.77052458306264</v>
      </c>
      <c r="W60" s="157">
        <f t="shared" si="179"/>
        <v>208.82189288860013</v>
      </c>
      <c r="X60" s="157">
        <f t="shared" si="179"/>
        <v>222.74335241450683</v>
      </c>
      <c r="Y60" s="157">
        <f t="shared" si="179"/>
        <v>237.59290924214065</v>
      </c>
      <c r="Z60" s="157">
        <f t="shared" si="179"/>
        <v>253.43243652494999</v>
      </c>
      <c r="AA60" s="157">
        <f t="shared" si="179"/>
        <v>270.32793229328001</v>
      </c>
      <c r="AB60" s="157">
        <f t="shared" si="179"/>
        <v>288.34979444616533</v>
      </c>
      <c r="AC60" s="138">
        <f t="shared" si="162"/>
        <v>3.5830149995560889E-2</v>
      </c>
      <c r="AD60" s="31">
        <f t="shared" si="17"/>
        <v>0.05</v>
      </c>
      <c r="AE60" s="146">
        <f t="shared" si="163"/>
        <v>1780.9840245204332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80">C12/C42</f>
        <v>0</v>
      </c>
      <c r="D62" s="127">
        <f t="shared" si="180"/>
        <v>0</v>
      </c>
      <c r="E62" s="127">
        <f t="shared" si="180"/>
        <v>0</v>
      </c>
      <c r="F62" s="144">
        <f t="shared" si="180"/>
        <v>0</v>
      </c>
      <c r="G62" s="144">
        <f t="shared" si="180"/>
        <v>24.561403508771928</v>
      </c>
      <c r="H62" s="144" t="e">
        <f t="shared" si="180"/>
        <v>#DIV/0!</v>
      </c>
      <c r="I62" s="144" t="e">
        <f t="shared" si="180"/>
        <v>#DIV/0!</v>
      </c>
      <c r="J62" s="144" t="e">
        <f t="shared" si="180"/>
        <v>#DIV/0!</v>
      </c>
      <c r="K62" s="144" t="e">
        <f t="shared" si="180"/>
        <v>#DIV/0!</v>
      </c>
      <c r="L62" s="144" t="e">
        <f t="shared" si="180"/>
        <v>#DIV/0!</v>
      </c>
      <c r="M62" s="144" t="e">
        <f t="shared" si="180"/>
        <v>#DIV/0!</v>
      </c>
      <c r="N62" s="144" t="e">
        <f t="shared" si="180"/>
        <v>#DIV/0!</v>
      </c>
      <c r="O62" s="144">
        <f t="shared" si="180"/>
        <v>24.561403508771928</v>
      </c>
      <c r="P62" s="144">
        <f t="shared" si="180"/>
        <v>11.929824561403509</v>
      </c>
      <c r="Q62" s="118">
        <f>((P62/G62)^(1/($H$2-$H$1) ))-1</f>
        <v>-7.710258237700196E-2</v>
      </c>
      <c r="R62" s="128"/>
      <c r="S62" s="157">
        <f t="shared" ref="S62:AB62" si="181">S12/S42</f>
        <v>12.72514619883041</v>
      </c>
      <c r="T62" s="157">
        <f t="shared" si="181"/>
        <v>13.573489278752437</v>
      </c>
      <c r="U62" s="157">
        <f t="shared" si="181"/>
        <v>14.4783885640026</v>
      </c>
      <c r="V62" s="157">
        <f t="shared" si="181"/>
        <v>15.443614468269441</v>
      </c>
      <c r="W62" s="157">
        <f t="shared" si="181"/>
        <v>16.47318876615407</v>
      </c>
      <c r="X62" s="157">
        <f t="shared" si="181"/>
        <v>17.571401350564344</v>
      </c>
      <c r="Y62" s="157">
        <f t="shared" si="181"/>
        <v>18.742828107268636</v>
      </c>
      <c r="Z62" s="157">
        <f t="shared" si="181"/>
        <v>19.992349981086544</v>
      </c>
      <c r="AA62" s="157">
        <f t="shared" si="181"/>
        <v>21.325173313158981</v>
      </c>
      <c r="AB62" s="157">
        <f t="shared" si="181"/>
        <v>22.746851534036249</v>
      </c>
      <c r="AC62" s="138">
        <f t="shared" si="162"/>
        <v>-4.0313000927130194E-3</v>
      </c>
      <c r="AD62" s="31">
        <f t="shared" si="17"/>
        <v>0.05</v>
      </c>
      <c r="AE62" s="146">
        <f t="shared" si="163"/>
        <v>140.49525947492978</v>
      </c>
    </row>
    <row r="63" spans="2:31" x14ac:dyDescent="0.2">
      <c r="B63" s="20" t="s">
        <v>255</v>
      </c>
      <c r="C63" s="127">
        <f t="shared" ref="C63:P63" si="182">C13/C42</f>
        <v>0</v>
      </c>
      <c r="D63" s="127">
        <f t="shared" si="182"/>
        <v>0</v>
      </c>
      <c r="E63" s="127">
        <f t="shared" si="182"/>
        <v>0</v>
      </c>
      <c r="F63" s="144">
        <f t="shared" si="182"/>
        <v>0</v>
      </c>
      <c r="G63" s="144">
        <f t="shared" si="182"/>
        <v>93.333333333333329</v>
      </c>
      <c r="H63" s="144" t="e">
        <f t="shared" si="182"/>
        <v>#DIV/0!</v>
      </c>
      <c r="I63" s="144" t="e">
        <f t="shared" si="182"/>
        <v>#DIV/0!</v>
      </c>
      <c r="J63" s="144" t="e">
        <f t="shared" si="182"/>
        <v>#DIV/0!</v>
      </c>
      <c r="K63" s="144" t="e">
        <f t="shared" si="182"/>
        <v>#DIV/0!</v>
      </c>
      <c r="L63" s="144" t="e">
        <f t="shared" si="182"/>
        <v>#DIV/0!</v>
      </c>
      <c r="M63" s="144" t="e">
        <f t="shared" si="182"/>
        <v>#DIV/0!</v>
      </c>
      <c r="N63" s="144" t="e">
        <f t="shared" si="182"/>
        <v>#DIV/0!</v>
      </c>
      <c r="O63" s="144">
        <f t="shared" si="182"/>
        <v>93.333333333333329</v>
      </c>
      <c r="P63" s="144">
        <f t="shared" si="182"/>
        <v>134.03508771929825</v>
      </c>
      <c r="Q63" s="118">
        <f>((P63/G63)^(1/($H$2-$H$1) ))-1</f>
        <v>4.1033334872345506E-2</v>
      </c>
      <c r="R63" s="128"/>
      <c r="S63" s="157">
        <f t="shared" ref="S63:AB63" si="183">S13/S42</f>
        <v>142.97076023391813</v>
      </c>
      <c r="T63" s="157">
        <f t="shared" si="183"/>
        <v>152.50214424951267</v>
      </c>
      <c r="U63" s="157">
        <f t="shared" si="183"/>
        <v>162.66895386614686</v>
      </c>
      <c r="V63" s="157">
        <f t="shared" si="183"/>
        <v>173.51355079055665</v>
      </c>
      <c r="W63" s="157">
        <f t="shared" si="183"/>
        <v>185.08112084326044</v>
      </c>
      <c r="X63" s="157">
        <f t="shared" si="183"/>
        <v>197.41986223281114</v>
      </c>
      <c r="Y63" s="157">
        <f t="shared" si="183"/>
        <v>210.58118638166525</v>
      </c>
      <c r="Z63" s="157">
        <f t="shared" si="183"/>
        <v>224.61993214044293</v>
      </c>
      <c r="AA63" s="157">
        <f t="shared" si="183"/>
        <v>239.59459428313909</v>
      </c>
      <c r="AB63" s="157">
        <f t="shared" si="183"/>
        <v>255.56756723534835</v>
      </c>
      <c r="AC63" s="138">
        <f t="shared" si="162"/>
        <v>5.444682198480888E-2</v>
      </c>
      <c r="AD63" s="31">
        <f t="shared" si="17"/>
        <v>0.05</v>
      </c>
      <c r="AE63" s="146">
        <f t="shared" si="163"/>
        <v>1578.5055623359751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4">(D62+D63)</f>
        <v>0</v>
      </c>
      <c r="E64" s="127">
        <f t="shared" si="184"/>
        <v>0</v>
      </c>
      <c r="F64" s="144">
        <f t="shared" si="184"/>
        <v>0</v>
      </c>
      <c r="G64" s="144">
        <f t="shared" si="184"/>
        <v>117.89473684210526</v>
      </c>
      <c r="H64" s="144" t="e">
        <f t="shared" si="184"/>
        <v>#DIV/0!</v>
      </c>
      <c r="I64" s="144" t="e">
        <f t="shared" si="184"/>
        <v>#DIV/0!</v>
      </c>
      <c r="J64" s="144" t="e">
        <f t="shared" si="184"/>
        <v>#DIV/0!</v>
      </c>
      <c r="K64" s="144" t="e">
        <f t="shared" si="184"/>
        <v>#DIV/0!</v>
      </c>
      <c r="L64" s="144" t="e">
        <f t="shared" si="184"/>
        <v>#DIV/0!</v>
      </c>
      <c r="M64" s="144" t="e">
        <f t="shared" si="184"/>
        <v>#DIV/0!</v>
      </c>
      <c r="N64" s="144" t="e">
        <f t="shared" si="184"/>
        <v>#DIV/0!</v>
      </c>
      <c r="O64" s="144">
        <f t="shared" ref="O64" si="185">(O62+O63)</f>
        <v>117.89473684210526</v>
      </c>
      <c r="P64" s="144">
        <f t="shared" si="184"/>
        <v>145.96491228070175</v>
      </c>
      <c r="Q64" s="118">
        <f>((P64/G64)^(1/($H$2-$H$1) ))-1</f>
        <v>2.4014263366006539E-2</v>
      </c>
      <c r="R64" s="128"/>
      <c r="S64" s="157">
        <f t="shared" ref="S64:AB64" si="186">(S62+S63)</f>
        <v>155.69590643274853</v>
      </c>
      <c r="T64" s="157">
        <f t="shared" si="186"/>
        <v>166.07563352826512</v>
      </c>
      <c r="U64" s="157">
        <f t="shared" si="186"/>
        <v>177.14734243014948</v>
      </c>
      <c r="V64" s="157">
        <f t="shared" si="186"/>
        <v>188.95716525882608</v>
      </c>
      <c r="W64" s="157">
        <f t="shared" si="186"/>
        <v>201.5543096094145</v>
      </c>
      <c r="X64" s="157">
        <f t="shared" si="186"/>
        <v>214.99126358337548</v>
      </c>
      <c r="Y64" s="157">
        <f t="shared" si="186"/>
        <v>229.32401448893387</v>
      </c>
      <c r="Z64" s="157">
        <f t="shared" si="186"/>
        <v>244.61228212152946</v>
      </c>
      <c r="AA64" s="157">
        <f t="shared" si="186"/>
        <v>260.91976759629807</v>
      </c>
      <c r="AB64" s="157">
        <f t="shared" si="186"/>
        <v>278.31441876938459</v>
      </c>
      <c r="AC64" s="138">
        <f t="shared" si="162"/>
        <v>4.6245858954239161E-2</v>
      </c>
      <c r="AD64" s="31">
        <f t="shared" si="17"/>
        <v>0.05</v>
      </c>
      <c r="AE64" s="146">
        <f t="shared" si="163"/>
        <v>1719.0008218109051</v>
      </c>
    </row>
    <row r="65" spans="2:31" x14ac:dyDescent="0.2">
      <c r="B65" s="20" t="s">
        <v>249</v>
      </c>
      <c r="C65" s="127">
        <f t="shared" ref="C65:P65" si="187">C15/C42</f>
        <v>0</v>
      </c>
      <c r="D65" s="127">
        <f t="shared" si="187"/>
        <v>0</v>
      </c>
      <c r="E65" s="127">
        <f t="shared" si="187"/>
        <v>0</v>
      </c>
      <c r="F65" s="144">
        <f t="shared" si="187"/>
        <v>0</v>
      </c>
      <c r="G65" s="144">
        <f t="shared" si="187"/>
        <v>30.175438596491226</v>
      </c>
      <c r="H65" s="144" t="e">
        <f t="shared" si="187"/>
        <v>#DIV/0!</v>
      </c>
      <c r="I65" s="144" t="e">
        <f t="shared" si="187"/>
        <v>#DIV/0!</v>
      </c>
      <c r="J65" s="144" t="e">
        <f t="shared" si="187"/>
        <v>#DIV/0!</v>
      </c>
      <c r="K65" s="144" t="e">
        <f t="shared" si="187"/>
        <v>#DIV/0!</v>
      </c>
      <c r="L65" s="144" t="e">
        <f t="shared" si="187"/>
        <v>#DIV/0!</v>
      </c>
      <c r="M65" s="144" t="e">
        <f t="shared" si="187"/>
        <v>#DIV/0!</v>
      </c>
      <c r="N65" s="144" t="e">
        <f t="shared" si="187"/>
        <v>#DIV/0!</v>
      </c>
      <c r="O65" s="144">
        <f t="shared" si="187"/>
        <v>30.175438596491226</v>
      </c>
      <c r="P65" s="144">
        <f t="shared" si="187"/>
        <v>22.105263157894736</v>
      </c>
      <c r="Q65" s="118">
        <f>((P65/G65)^(1/($H$2-$H$1) ))-1</f>
        <v>-3.3988146778345274E-2</v>
      </c>
      <c r="R65" s="128"/>
      <c r="S65" s="157">
        <f t="shared" ref="S65:AB65" si="188">S15/S42</f>
        <v>23.578947368421051</v>
      </c>
      <c r="T65" s="157">
        <f t="shared" si="188"/>
        <v>25.150877192982456</v>
      </c>
      <c r="U65" s="157">
        <f t="shared" si="188"/>
        <v>26.827602339181286</v>
      </c>
      <c r="V65" s="157">
        <f t="shared" si="188"/>
        <v>28.616109161793371</v>
      </c>
      <c r="W65" s="157">
        <f t="shared" si="188"/>
        <v>30.523849772579599</v>
      </c>
      <c r="X65" s="157">
        <f t="shared" si="188"/>
        <v>32.558773090751572</v>
      </c>
      <c r="Y65" s="157">
        <f t="shared" si="188"/>
        <v>34.729357963468345</v>
      </c>
      <c r="Z65" s="157">
        <f t="shared" si="188"/>
        <v>37.044648494366228</v>
      </c>
      <c r="AA65" s="157">
        <f t="shared" si="188"/>
        <v>39.514291727323979</v>
      </c>
      <c r="AB65" s="157">
        <f t="shared" si="188"/>
        <v>42.148577842478915</v>
      </c>
      <c r="AC65" s="138">
        <f t="shared" si="162"/>
        <v>1.7743614008156605E-2</v>
      </c>
      <c r="AD65" s="31">
        <f t="shared" si="17"/>
        <v>0.05</v>
      </c>
      <c r="AE65" s="146">
        <f t="shared" si="163"/>
        <v>260.32945138001685</v>
      </c>
    </row>
    <row r="66" spans="2:31" x14ac:dyDescent="0.2">
      <c r="B66" s="20" t="s">
        <v>250</v>
      </c>
      <c r="C66" s="127">
        <f t="shared" ref="C66:P66" si="189">C16/C42</f>
        <v>0</v>
      </c>
      <c r="D66" s="127">
        <f t="shared" si="189"/>
        <v>0</v>
      </c>
      <c r="E66" s="127">
        <f t="shared" si="189"/>
        <v>0</v>
      </c>
      <c r="F66" s="144">
        <f t="shared" si="189"/>
        <v>0</v>
      </c>
      <c r="G66" s="144">
        <f t="shared" si="189"/>
        <v>19.473684210526315</v>
      </c>
      <c r="H66" s="144" t="e">
        <f t="shared" si="189"/>
        <v>#DIV/0!</v>
      </c>
      <c r="I66" s="144" t="e">
        <f t="shared" si="189"/>
        <v>#DIV/0!</v>
      </c>
      <c r="J66" s="144" t="e">
        <f t="shared" si="189"/>
        <v>#DIV/0!</v>
      </c>
      <c r="K66" s="144" t="e">
        <f t="shared" si="189"/>
        <v>#DIV/0!</v>
      </c>
      <c r="L66" s="144" t="e">
        <f t="shared" si="189"/>
        <v>#DIV/0!</v>
      </c>
      <c r="M66" s="144" t="e">
        <f t="shared" si="189"/>
        <v>#DIV/0!</v>
      </c>
      <c r="N66" s="144" t="e">
        <f t="shared" si="189"/>
        <v>#DIV/0!</v>
      </c>
      <c r="O66" s="144">
        <f t="shared" si="189"/>
        <v>19.473684210526315</v>
      </c>
      <c r="P66" s="144">
        <f t="shared" si="189"/>
        <v>-5.2631578947368416</v>
      </c>
      <c r="Q66" s="118">
        <f>((P66/G66)^(1/($H$2-$H$1) ))-1</f>
        <v>-1.8647020231593647</v>
      </c>
      <c r="R66" s="128"/>
      <c r="S66" s="157">
        <f t="shared" ref="S66:AB66" si="190">S16/S42</f>
        <v>-5.6140350877192979</v>
      </c>
      <c r="T66" s="157">
        <f t="shared" si="190"/>
        <v>-5.9883040935672511</v>
      </c>
      <c r="U66" s="157">
        <f t="shared" si="190"/>
        <v>-6.3875243664717356</v>
      </c>
      <c r="V66" s="157">
        <f t="shared" si="190"/>
        <v>-6.8133593242365178</v>
      </c>
      <c r="W66" s="157">
        <f t="shared" si="190"/>
        <v>-7.2675832791856187</v>
      </c>
      <c r="X66" s="157">
        <f t="shared" si="190"/>
        <v>-7.7520888311313279</v>
      </c>
      <c r="Y66" s="157">
        <f t="shared" si="190"/>
        <v>-8.2688947532067498</v>
      </c>
      <c r="Z66" s="157">
        <f t="shared" si="190"/>
        <v>-8.8201544034205348</v>
      </c>
      <c r="AA66" s="157">
        <f t="shared" si="190"/>
        <v>-9.4081646969819026</v>
      </c>
      <c r="AB66" s="157">
        <f t="shared" si="190"/>
        <v>-10.035375676780697</v>
      </c>
      <c r="AC66" s="138">
        <f t="shared" si="162"/>
        <v>-1.9657097271843018</v>
      </c>
      <c r="AD66" s="137"/>
      <c r="AE66" s="146">
        <f t="shared" si="163"/>
        <v>-45.615343985366806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3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1">D43</f>
        <v>0</v>
      </c>
      <c r="E68" s="159">
        <f t="shared" si="191"/>
        <v>0</v>
      </c>
      <c r="F68" s="159">
        <f t="shared" si="191"/>
        <v>0</v>
      </c>
      <c r="G68" s="159">
        <f t="shared" si="191"/>
        <v>0</v>
      </c>
      <c r="H68" s="159">
        <f t="shared" si="191"/>
        <v>0</v>
      </c>
      <c r="I68" s="159">
        <f t="shared" si="191"/>
        <v>0</v>
      </c>
      <c r="J68" s="159">
        <f t="shared" si="191"/>
        <v>0</v>
      </c>
      <c r="K68" s="159">
        <f t="shared" si="191"/>
        <v>0</v>
      </c>
      <c r="L68" s="159">
        <f t="shared" si="191"/>
        <v>0</v>
      </c>
      <c r="M68" s="159">
        <f t="shared" si="191"/>
        <v>0</v>
      </c>
      <c r="N68" s="159">
        <f t="shared" si="191"/>
        <v>0</v>
      </c>
      <c r="O68" s="159">
        <f t="shared" si="191"/>
        <v>0</v>
      </c>
      <c r="P68" s="159">
        <f t="shared" si="191"/>
        <v>20</v>
      </c>
      <c r="Q68" s="118" t="e">
        <f>((P68/G68)^(1/($H$2-$H$1) ))-1</f>
        <v>#DIV/0!</v>
      </c>
      <c r="R68" s="128"/>
      <c r="S68" s="159">
        <f t="shared" ref="S68:AB68" si="192">S43</f>
        <v>21</v>
      </c>
      <c r="T68" s="159">
        <f t="shared" si="192"/>
        <v>22.05</v>
      </c>
      <c r="U68" s="159">
        <f t="shared" si="192"/>
        <v>23.152500000000003</v>
      </c>
      <c r="V68" s="159">
        <f t="shared" si="192"/>
        <v>24.310125000000003</v>
      </c>
      <c r="W68" s="159">
        <f t="shared" si="192"/>
        <v>25.525631250000004</v>
      </c>
      <c r="X68" s="159">
        <f t="shared" si="192"/>
        <v>26.801912812500007</v>
      </c>
      <c r="Y68" s="159">
        <f t="shared" si="192"/>
        <v>28.142008453125008</v>
      </c>
      <c r="Z68" s="159">
        <f t="shared" si="192"/>
        <v>29.549108875781261</v>
      </c>
      <c r="AA68" s="159">
        <f t="shared" si="192"/>
        <v>31.026564319570326</v>
      </c>
      <c r="AB68" s="159">
        <f t="shared" si="192"/>
        <v>32.577892535548841</v>
      </c>
      <c r="AC68" s="138" t="e">
        <f t="shared" ref="AC68" si="193">((AB68/G68)^(1/($AB$3-$H$1) ))-1</f>
        <v>#DIV/0!</v>
      </c>
      <c r="AD68" s="31">
        <f t="shared" si="17"/>
        <v>0.05</v>
      </c>
      <c r="AE68" s="146">
        <f t="shared" si="163"/>
        <v>201.21639507250759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94">C20+C21</f>
        <v>0</v>
      </c>
      <c r="D70" s="127">
        <f t="shared" si="194"/>
        <v>0</v>
      </c>
      <c r="E70" s="127">
        <f t="shared" si="194"/>
        <v>0</v>
      </c>
      <c r="F70" s="144">
        <f t="shared" si="194"/>
        <v>0</v>
      </c>
      <c r="G70" s="144">
        <f t="shared" si="194"/>
        <v>58</v>
      </c>
      <c r="H70" s="144">
        <f t="shared" si="194"/>
        <v>0</v>
      </c>
      <c r="I70" s="144">
        <f t="shared" si="194"/>
        <v>0</v>
      </c>
      <c r="J70" s="144">
        <f t="shared" si="194"/>
        <v>0</v>
      </c>
      <c r="K70" s="144">
        <f t="shared" si="194"/>
        <v>0</v>
      </c>
      <c r="L70" s="144">
        <f t="shared" si="194"/>
        <v>0</v>
      </c>
      <c r="M70" s="144">
        <f t="shared" si="194"/>
        <v>0</v>
      </c>
      <c r="N70" s="144">
        <f t="shared" si="194"/>
        <v>0</v>
      </c>
      <c r="O70" s="144">
        <f t="shared" si="194"/>
        <v>58</v>
      </c>
      <c r="P70" s="144">
        <f t="shared" si="194"/>
        <v>3</v>
      </c>
      <c r="Q70" s="118">
        <f>((P70/G70)^(1/($H$2-$H$1) ))-1</f>
        <v>-0.28042340498727636</v>
      </c>
      <c r="R70" s="128"/>
      <c r="S70" s="144">
        <f t="shared" ref="S70:AB70" si="195">S20+S21</f>
        <v>3.3599999999999994</v>
      </c>
      <c r="T70" s="144">
        <f t="shared" si="195"/>
        <v>3.7632000000000119</v>
      </c>
      <c r="U70" s="144">
        <f t="shared" si="195"/>
        <v>4.214784000000023</v>
      </c>
      <c r="V70" s="144">
        <f t="shared" si="195"/>
        <v>4.7205580800000462</v>
      </c>
      <c r="W70" s="144">
        <f t="shared" si="195"/>
        <v>5.2870250496000324</v>
      </c>
      <c r="X70" s="144">
        <f t="shared" si="195"/>
        <v>5.9214680555520545</v>
      </c>
      <c r="Y70" s="144">
        <f t="shared" si="195"/>
        <v>6.6320442222182976</v>
      </c>
      <c r="Z70" s="144">
        <f t="shared" si="195"/>
        <v>7.4278895288844922</v>
      </c>
      <c r="AA70" s="144">
        <f t="shared" si="195"/>
        <v>8.3192362723506221</v>
      </c>
      <c r="AB70" s="144">
        <f t="shared" si="195"/>
        <v>9.3175446250326672</v>
      </c>
      <c r="AC70" s="138">
        <f t="shared" ref="AC70:AC75" si="196">((AB70/G70)^(1/($AB$3-$H$1) ))-1</f>
        <v>-9.1753218023124083E-2</v>
      </c>
      <c r="AD70" s="31">
        <f t="shared" si="17"/>
        <v>0.05</v>
      </c>
      <c r="AE70" s="146">
        <f t="shared" si="163"/>
        <v>57.549540331084131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97">C70/C42</f>
        <v>0</v>
      </c>
      <c r="D72" s="127">
        <f t="shared" si="197"/>
        <v>0</v>
      </c>
      <c r="E72" s="127">
        <f t="shared" si="197"/>
        <v>0</v>
      </c>
      <c r="F72" s="144">
        <f t="shared" si="197"/>
        <v>0</v>
      </c>
      <c r="G72" s="144">
        <f t="shared" si="197"/>
        <v>20.350877192982455</v>
      </c>
      <c r="H72" s="144" t="e">
        <f t="shared" si="197"/>
        <v>#DIV/0!</v>
      </c>
      <c r="I72" s="144" t="e">
        <f t="shared" si="197"/>
        <v>#DIV/0!</v>
      </c>
      <c r="J72" s="144" t="e">
        <f t="shared" si="197"/>
        <v>#DIV/0!</v>
      </c>
      <c r="K72" s="144" t="e">
        <f t="shared" si="197"/>
        <v>#DIV/0!</v>
      </c>
      <c r="L72" s="144" t="e">
        <f t="shared" si="197"/>
        <v>#DIV/0!</v>
      </c>
      <c r="M72" s="144" t="e">
        <f t="shared" si="197"/>
        <v>#DIV/0!</v>
      </c>
      <c r="N72" s="144" t="e">
        <f t="shared" si="197"/>
        <v>#DIV/0!</v>
      </c>
      <c r="O72" s="144">
        <f t="shared" si="197"/>
        <v>20.350877192982455</v>
      </c>
      <c r="P72" s="144">
        <f t="shared" si="197"/>
        <v>1.0526315789473684</v>
      </c>
      <c r="Q72" s="118">
        <f>((P72/G72)^(1/($H$2-$H$1) ))-1</f>
        <v>-0.28042340498727636</v>
      </c>
      <c r="R72" s="128"/>
      <c r="S72" s="146">
        <f t="shared" ref="S72:AB72" si="198">S70/S42</f>
        <v>1.1228070175438594</v>
      </c>
      <c r="T72" s="146">
        <f t="shared" si="198"/>
        <v>1.1976608187134539</v>
      </c>
      <c r="U72" s="146">
        <f t="shared" si="198"/>
        <v>1.2775048732943537</v>
      </c>
      <c r="V72" s="146">
        <f t="shared" si="198"/>
        <v>1.3626718648473164</v>
      </c>
      <c r="W72" s="146">
        <f t="shared" si="198"/>
        <v>1.4535166558371322</v>
      </c>
      <c r="X72" s="146">
        <f t="shared" si="198"/>
        <v>1.5504177662262792</v>
      </c>
      <c r="Y72" s="146">
        <f t="shared" si="198"/>
        <v>1.6537789506413636</v>
      </c>
      <c r="Z72" s="146">
        <f t="shared" si="198"/>
        <v>1.7640308806841207</v>
      </c>
      <c r="AA72" s="146">
        <f t="shared" si="198"/>
        <v>1.8816329393963931</v>
      </c>
      <c r="AB72" s="146">
        <f t="shared" si="198"/>
        <v>2.0070751353561462</v>
      </c>
      <c r="AC72" s="138">
        <f t="shared" si="196"/>
        <v>-0.11477920991153012</v>
      </c>
      <c r="AD72" s="31">
        <f t="shared" si="17"/>
        <v>0.05</v>
      </c>
      <c r="AE72" s="146">
        <f t="shared" si="163"/>
        <v>12.39664054190561</v>
      </c>
    </row>
    <row r="73" spans="2:31" x14ac:dyDescent="0.2">
      <c r="B73" s="20" t="s">
        <v>287</v>
      </c>
      <c r="C73" s="127">
        <f t="shared" ref="C73:P73" si="199">C20/C42</f>
        <v>0</v>
      </c>
      <c r="D73" s="127">
        <f t="shared" si="199"/>
        <v>0</v>
      </c>
      <c r="E73" s="127">
        <f t="shared" si="199"/>
        <v>0</v>
      </c>
      <c r="F73" s="144">
        <f t="shared" si="199"/>
        <v>0</v>
      </c>
      <c r="G73" s="144">
        <f t="shared" si="199"/>
        <v>34.385964912280699</v>
      </c>
      <c r="H73" s="144" t="e">
        <f t="shared" si="199"/>
        <v>#DIV/0!</v>
      </c>
      <c r="I73" s="144" t="e">
        <f t="shared" si="199"/>
        <v>#DIV/0!</v>
      </c>
      <c r="J73" s="144" t="e">
        <f t="shared" si="199"/>
        <v>#DIV/0!</v>
      </c>
      <c r="K73" s="144" t="e">
        <f t="shared" si="199"/>
        <v>#DIV/0!</v>
      </c>
      <c r="L73" s="144" t="e">
        <f t="shared" si="199"/>
        <v>#DIV/0!</v>
      </c>
      <c r="M73" s="144" t="e">
        <f t="shared" si="199"/>
        <v>#DIV/0!</v>
      </c>
      <c r="N73" s="144" t="e">
        <f t="shared" si="199"/>
        <v>#DIV/0!</v>
      </c>
      <c r="O73" s="144">
        <f t="shared" si="199"/>
        <v>34.385964912280699</v>
      </c>
      <c r="P73" s="144">
        <f t="shared" si="199"/>
        <v>31.578947368421051</v>
      </c>
      <c r="Q73" s="118">
        <f>((P73/G73)^(1/($H$2-$H$1) ))-1</f>
        <v>-9.4173550376104309E-3</v>
      </c>
      <c r="R73" s="128"/>
      <c r="S73" s="146">
        <f t="shared" ref="S73:AB73" si="200">S20/S42</f>
        <v>33.684210526315795</v>
      </c>
      <c r="T73" s="146">
        <f t="shared" si="200"/>
        <v>35.929824561403514</v>
      </c>
      <c r="U73" s="146">
        <f t="shared" si="200"/>
        <v>38.325146198830417</v>
      </c>
      <c r="V73" s="146">
        <f t="shared" si="200"/>
        <v>40.880155945419119</v>
      </c>
      <c r="W73" s="146">
        <f t="shared" si="200"/>
        <v>43.605499675113727</v>
      </c>
      <c r="X73" s="146">
        <f t="shared" si="200"/>
        <v>46.512532986787981</v>
      </c>
      <c r="Y73" s="146">
        <f t="shared" si="200"/>
        <v>49.613368519240517</v>
      </c>
      <c r="Z73" s="146">
        <f t="shared" si="200"/>
        <v>52.920926420523216</v>
      </c>
      <c r="AA73" s="146">
        <f t="shared" si="200"/>
        <v>56.44898818189143</v>
      </c>
      <c r="AB73" s="146">
        <f t="shared" si="200"/>
        <v>60.212254060684188</v>
      </c>
      <c r="AC73" s="138">
        <f t="shared" si="196"/>
        <v>2.9924658821902872E-2</v>
      </c>
      <c r="AD73" s="31">
        <f t="shared" si="17"/>
        <v>0.05</v>
      </c>
      <c r="AE73" s="146">
        <f t="shared" si="163"/>
        <v>371.8992162571671</v>
      </c>
    </row>
    <row r="74" spans="2:31" x14ac:dyDescent="0.2">
      <c r="B74" s="20" t="s">
        <v>288</v>
      </c>
      <c r="C74" s="127">
        <f t="shared" ref="C74:P74" si="201">C21/C42</f>
        <v>0</v>
      </c>
      <c r="D74" s="127">
        <f t="shared" si="201"/>
        <v>0</v>
      </c>
      <c r="E74" s="127">
        <f t="shared" si="201"/>
        <v>0</v>
      </c>
      <c r="F74" s="144">
        <f t="shared" si="201"/>
        <v>0</v>
      </c>
      <c r="G74" s="144">
        <f t="shared" si="201"/>
        <v>-14.035087719298245</v>
      </c>
      <c r="H74" s="144" t="e">
        <f t="shared" si="201"/>
        <v>#DIV/0!</v>
      </c>
      <c r="I74" s="144" t="e">
        <f t="shared" si="201"/>
        <v>#DIV/0!</v>
      </c>
      <c r="J74" s="144" t="e">
        <f t="shared" si="201"/>
        <v>#DIV/0!</v>
      </c>
      <c r="K74" s="144" t="e">
        <f t="shared" si="201"/>
        <v>#DIV/0!</v>
      </c>
      <c r="L74" s="144" t="e">
        <f t="shared" si="201"/>
        <v>#DIV/0!</v>
      </c>
      <c r="M74" s="144" t="e">
        <f t="shared" si="201"/>
        <v>#DIV/0!</v>
      </c>
      <c r="N74" s="144" t="e">
        <f t="shared" si="201"/>
        <v>#DIV/0!</v>
      </c>
      <c r="O74" s="144">
        <f t="shared" si="201"/>
        <v>-14.035087719298245</v>
      </c>
      <c r="P74" s="144">
        <f t="shared" si="201"/>
        <v>-30.526315789473685</v>
      </c>
      <c r="Q74" s="118">
        <f>((P74/G74)^(1/($H$2-$H$1) ))-1</f>
        <v>9.0173129773001737E-2</v>
      </c>
      <c r="R74" s="128"/>
      <c r="S74" s="146">
        <f t="shared" ref="S74:AB74" si="202">S21/S42</f>
        <v>-32.561403508771932</v>
      </c>
      <c r="T74" s="146">
        <f t="shared" si="202"/>
        <v>-34.732163742690055</v>
      </c>
      <c r="U74" s="146">
        <f t="shared" si="202"/>
        <v>-37.047641325536063</v>
      </c>
      <c r="V74" s="146">
        <f t="shared" si="202"/>
        <v>-39.517484080571798</v>
      </c>
      <c r="W74" s="146">
        <f t="shared" si="202"/>
        <v>-42.151983019276592</v>
      </c>
      <c r="X74" s="146">
        <f t="shared" si="202"/>
        <v>-44.962115220561699</v>
      </c>
      <c r="Y74" s="146">
        <f t="shared" si="202"/>
        <v>-47.959589568599156</v>
      </c>
      <c r="Z74" s="146">
        <f t="shared" si="202"/>
        <v>-51.156895539839098</v>
      </c>
      <c r="AA74" s="146">
        <f t="shared" si="202"/>
        <v>-54.567355242495033</v>
      </c>
      <c r="AB74" s="146">
        <f t="shared" si="202"/>
        <v>-58.205178925328042</v>
      </c>
      <c r="AC74" s="138">
        <f t="shared" si="196"/>
        <v>7.7737448123478714E-2</v>
      </c>
      <c r="AD74" s="31">
        <f t="shared" si="17"/>
        <v>0.05</v>
      </c>
      <c r="AE74" s="146">
        <f t="shared" si="163"/>
        <v>-359.50257571526146</v>
      </c>
    </row>
    <row r="75" spans="2:31" x14ac:dyDescent="0.2">
      <c r="B75" s="20" t="s">
        <v>289</v>
      </c>
      <c r="C75" s="127">
        <f t="shared" ref="C75:P75" si="203">C22/C42</f>
        <v>0</v>
      </c>
      <c r="D75" s="127">
        <f t="shared" si="203"/>
        <v>0</v>
      </c>
      <c r="E75" s="127">
        <f t="shared" si="203"/>
        <v>0</v>
      </c>
      <c r="F75" s="144">
        <f t="shared" si="203"/>
        <v>0</v>
      </c>
      <c r="G75" s="144">
        <f t="shared" si="203"/>
        <v>0.70175438596491224</v>
      </c>
      <c r="H75" s="144" t="e">
        <f t="shared" si="203"/>
        <v>#DIV/0!</v>
      </c>
      <c r="I75" s="144" t="e">
        <f t="shared" si="203"/>
        <v>#DIV/0!</v>
      </c>
      <c r="J75" s="144" t="e">
        <f t="shared" si="203"/>
        <v>#DIV/0!</v>
      </c>
      <c r="K75" s="144" t="e">
        <f t="shared" si="203"/>
        <v>#DIV/0!</v>
      </c>
      <c r="L75" s="144" t="e">
        <f t="shared" si="203"/>
        <v>#DIV/0!</v>
      </c>
      <c r="M75" s="144" t="e">
        <f t="shared" si="203"/>
        <v>#DIV/0!</v>
      </c>
      <c r="N75" s="144" t="e">
        <f t="shared" si="203"/>
        <v>#DIV/0!</v>
      </c>
      <c r="O75" s="144">
        <f t="shared" si="203"/>
        <v>0.70175438596491224</v>
      </c>
      <c r="P75" s="144">
        <f t="shared" si="203"/>
        <v>-14.035087719298245</v>
      </c>
      <c r="Q75" s="118">
        <f>((P75/G75)^(1/($H$2-$H$1) ))-1</f>
        <v>-2.3949507939624208</v>
      </c>
      <c r="R75" s="128"/>
      <c r="S75" s="146">
        <f t="shared" ref="S75:AB75" si="204">S22/S42</f>
        <v>-14.97076023391813</v>
      </c>
      <c r="T75" s="146">
        <f t="shared" si="204"/>
        <v>-15.968810916179338</v>
      </c>
      <c r="U75" s="146">
        <f t="shared" si="204"/>
        <v>-17.033398310591295</v>
      </c>
      <c r="V75" s="146">
        <f t="shared" si="204"/>
        <v>-18.168958197964045</v>
      </c>
      <c r="W75" s="146">
        <f t="shared" si="204"/>
        <v>-19.380222077828318</v>
      </c>
      <c r="X75" s="146">
        <f t="shared" si="204"/>
        <v>-20.672236883016875</v>
      </c>
      <c r="Y75" s="146">
        <f t="shared" si="204"/>
        <v>-22.050386008551335</v>
      </c>
      <c r="Z75" s="146">
        <f t="shared" si="204"/>
        <v>-23.520411742454758</v>
      </c>
      <c r="AA75" s="146">
        <f t="shared" si="204"/>
        <v>-25.088439191951743</v>
      </c>
      <c r="AB75" s="146">
        <f t="shared" si="204"/>
        <v>-26.761001804748524</v>
      </c>
      <c r="AC75" s="138">
        <f t="shared" si="196"/>
        <v>-2.211231683787843</v>
      </c>
      <c r="AD75" s="31">
        <f t="shared" si="17"/>
        <v>0.05</v>
      </c>
      <c r="AE75" s="146">
        <f t="shared" si="163"/>
        <v>-165.28854055874092</v>
      </c>
    </row>
    <row r="76" spans="2:31" x14ac:dyDescent="0.2">
      <c r="B76" s="20" t="s">
        <v>296</v>
      </c>
      <c r="C76" s="127">
        <f t="shared" ref="C76:P76" si="205">C23/C42</f>
        <v>0</v>
      </c>
      <c r="D76" s="127">
        <f t="shared" si="205"/>
        <v>0</v>
      </c>
      <c r="E76" s="127">
        <f t="shared" si="205"/>
        <v>0</v>
      </c>
      <c r="F76" s="144">
        <f t="shared" si="205"/>
        <v>0</v>
      </c>
      <c r="G76" s="144">
        <f t="shared" si="205"/>
        <v>24.210526315789473</v>
      </c>
      <c r="H76" s="144" t="e">
        <f t="shared" si="205"/>
        <v>#DIV/0!</v>
      </c>
      <c r="I76" s="144" t="e">
        <f t="shared" si="205"/>
        <v>#DIV/0!</v>
      </c>
      <c r="J76" s="144" t="e">
        <f t="shared" si="205"/>
        <v>#DIV/0!</v>
      </c>
      <c r="K76" s="144" t="e">
        <f t="shared" si="205"/>
        <v>#DIV/0!</v>
      </c>
      <c r="L76" s="144" t="e">
        <f t="shared" si="205"/>
        <v>#DIV/0!</v>
      </c>
      <c r="M76" s="144" t="e">
        <f t="shared" si="205"/>
        <v>#DIV/0!</v>
      </c>
      <c r="N76" s="144" t="e">
        <f t="shared" si="205"/>
        <v>#DIV/0!</v>
      </c>
      <c r="O76" s="144">
        <f t="shared" si="205"/>
        <v>24.210526315789473</v>
      </c>
      <c r="P76" s="144">
        <f t="shared" si="205"/>
        <v>10.87719298245614</v>
      </c>
      <c r="Q76" s="118">
        <f>((P76/G76)^(1/($H$2-$H$1) ))-1</f>
        <v>-8.5064899334804989E-2</v>
      </c>
      <c r="R76" s="128"/>
      <c r="S76" s="146">
        <f t="shared" ref="S76:AB76" si="206">S23/S42</f>
        <v>11.602339181286551</v>
      </c>
      <c r="T76" s="146">
        <f t="shared" si="206"/>
        <v>12.375828460038987</v>
      </c>
      <c r="U76" s="146">
        <f t="shared" si="206"/>
        <v>13.200883690708254</v>
      </c>
      <c r="V76" s="146">
        <f t="shared" si="206"/>
        <v>14.080942603422137</v>
      </c>
      <c r="W76" s="146">
        <f t="shared" si="206"/>
        <v>15.019672110316948</v>
      </c>
      <c r="X76" s="146">
        <f t="shared" si="206"/>
        <v>16.020983584338079</v>
      </c>
      <c r="Y76" s="146">
        <f t="shared" si="206"/>
        <v>17.089049156627286</v>
      </c>
      <c r="Z76" s="146">
        <f t="shared" si="206"/>
        <v>18.228319100402437</v>
      </c>
      <c r="AA76" s="146">
        <f t="shared" si="206"/>
        <v>19.443540373762602</v>
      </c>
      <c r="AB76" s="146">
        <f t="shared" si="206"/>
        <v>20.739776398680107</v>
      </c>
      <c r="AC76" s="138">
        <f t="shared" ref="AC76" si="207">((AB76/G76)^(1/($AB$3-$H$1) ))-1</f>
        <v>-8.1108276968577808E-3</v>
      </c>
      <c r="AD76" s="31">
        <f t="shared" si="17"/>
        <v>0.05</v>
      </c>
      <c r="AE76" s="146">
        <f t="shared" si="163"/>
        <v>128.0986189330242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8">C36/C42</f>
        <v>0</v>
      </c>
      <c r="D78" s="144">
        <f t="shared" si="208"/>
        <v>0</v>
      </c>
      <c r="E78" s="144">
        <f t="shared" si="208"/>
        <v>0</v>
      </c>
      <c r="F78" s="144">
        <f t="shared" si="208"/>
        <v>0</v>
      </c>
      <c r="G78" s="144">
        <f t="shared" si="208"/>
        <v>43.157894736842103</v>
      </c>
      <c r="H78" s="144" t="e">
        <f t="shared" si="208"/>
        <v>#DIV/0!</v>
      </c>
      <c r="I78" s="144" t="e">
        <f t="shared" si="208"/>
        <v>#DIV/0!</v>
      </c>
      <c r="J78" s="144" t="e">
        <f t="shared" si="208"/>
        <v>#DIV/0!</v>
      </c>
      <c r="K78" s="144" t="e">
        <f t="shared" si="208"/>
        <v>#DIV/0!</v>
      </c>
      <c r="L78" s="144" t="e">
        <f t="shared" si="208"/>
        <v>#DIV/0!</v>
      </c>
      <c r="M78" s="144" t="e">
        <f t="shared" si="208"/>
        <v>#DIV/0!</v>
      </c>
      <c r="N78" s="144" t="e">
        <f t="shared" si="208"/>
        <v>#DIV/0!</v>
      </c>
      <c r="O78" s="144">
        <f t="shared" si="208"/>
        <v>43.157894736842103</v>
      </c>
      <c r="P78" s="144">
        <f t="shared" si="208"/>
        <v>47.017543859649123</v>
      </c>
      <c r="Q78" s="118">
        <f>((P78/G78)^(1/($H$2-$H$1) ))-1</f>
        <v>9.5627048685125171E-3</v>
      </c>
      <c r="R78" s="128"/>
      <c r="S78" s="144">
        <f t="shared" ref="S78:AB78" si="209">S36/S42</f>
        <v>50.152046783625735</v>
      </c>
      <c r="T78" s="144">
        <f t="shared" si="209"/>
        <v>53.495516569200774</v>
      </c>
      <c r="U78" s="144">
        <f t="shared" si="209"/>
        <v>57.061884340480837</v>
      </c>
      <c r="V78" s="144">
        <f t="shared" si="209"/>
        <v>60.866009963179557</v>
      </c>
      <c r="W78" s="144">
        <f t="shared" si="209"/>
        <v>64.923743960724863</v>
      </c>
      <c r="X78" s="144">
        <f t="shared" si="209"/>
        <v>69.25199355810652</v>
      </c>
      <c r="Y78" s="144">
        <f t="shared" si="209"/>
        <v>73.868793128646956</v>
      </c>
      <c r="Z78" s="144">
        <f t="shared" si="209"/>
        <v>78.793379337223428</v>
      </c>
      <c r="AA78" s="144">
        <f t="shared" si="209"/>
        <v>84.04627129303833</v>
      </c>
      <c r="AB78" s="144">
        <f t="shared" si="209"/>
        <v>89.649356045907552</v>
      </c>
      <c r="AC78" s="138">
        <f t="shared" ref="AC78:AC80" si="210">((AB78/G78)^(1/($AB$3-$H$1) ))-1</f>
        <v>3.9225603733578085E-2</v>
      </c>
      <c r="AD78" s="31">
        <f t="shared" si="17"/>
        <v>0.05</v>
      </c>
      <c r="AE78" s="146">
        <f t="shared" si="163"/>
        <v>553.716610871782</v>
      </c>
    </row>
    <row r="79" spans="2:31" x14ac:dyDescent="0.2">
      <c r="B79" s="20" t="s">
        <v>312</v>
      </c>
      <c r="C79" s="144">
        <f t="shared" ref="C79:P79" si="211">C40/C42</f>
        <v>0</v>
      </c>
      <c r="D79" s="144">
        <f t="shared" si="211"/>
        <v>0</v>
      </c>
      <c r="E79" s="144">
        <f t="shared" si="211"/>
        <v>0</v>
      </c>
      <c r="F79" s="144">
        <f t="shared" si="211"/>
        <v>0</v>
      </c>
      <c r="G79" s="144">
        <f t="shared" si="211"/>
        <v>37.543859649122808</v>
      </c>
      <c r="H79" s="144" t="e">
        <f t="shared" si="211"/>
        <v>#DIV/0!</v>
      </c>
      <c r="I79" s="144" t="e">
        <f t="shared" si="211"/>
        <v>#DIV/0!</v>
      </c>
      <c r="J79" s="144" t="e">
        <f t="shared" si="211"/>
        <v>#DIV/0!</v>
      </c>
      <c r="K79" s="144" t="e">
        <f t="shared" si="211"/>
        <v>#DIV/0!</v>
      </c>
      <c r="L79" s="144" t="e">
        <f t="shared" si="211"/>
        <v>#DIV/0!</v>
      </c>
      <c r="M79" s="144" t="e">
        <f t="shared" si="211"/>
        <v>#DIV/0!</v>
      </c>
      <c r="N79" s="144" t="e">
        <f t="shared" si="211"/>
        <v>#DIV/0!</v>
      </c>
      <c r="O79" s="144">
        <f t="shared" si="211"/>
        <v>37.543859649122808</v>
      </c>
      <c r="P79" s="144">
        <f t="shared" si="211"/>
        <v>40</v>
      </c>
      <c r="Q79" s="118">
        <f>((P79/G79)^(1/($H$2-$H$1) ))-1</f>
        <v>7.0659148168414898E-3</v>
      </c>
      <c r="R79" s="128"/>
      <c r="S79" s="144">
        <f t="shared" ref="S79:AB79" si="212">S40/S42</f>
        <v>42.666666666666664</v>
      </c>
      <c r="T79" s="144">
        <f t="shared" si="212"/>
        <v>45.511111111111113</v>
      </c>
      <c r="U79" s="144">
        <f t="shared" si="212"/>
        <v>48.54518518518519</v>
      </c>
      <c r="V79" s="144">
        <f t="shared" si="212"/>
        <v>51.781530864197542</v>
      </c>
      <c r="W79" s="144">
        <f t="shared" si="212"/>
        <v>55.23363292181071</v>
      </c>
      <c r="X79" s="144">
        <f t="shared" si="212"/>
        <v>58.915875116598102</v>
      </c>
      <c r="Y79" s="144">
        <f t="shared" si="212"/>
        <v>62.843600124371314</v>
      </c>
      <c r="Z79" s="144">
        <f t="shared" si="212"/>
        <v>67.033173465996057</v>
      </c>
      <c r="AA79" s="144">
        <f t="shared" si="212"/>
        <v>71.50205169706247</v>
      </c>
      <c r="AB79" s="144">
        <f t="shared" si="212"/>
        <v>76.268855143533301</v>
      </c>
      <c r="AC79" s="138">
        <f t="shared" si="210"/>
        <v>3.8007370655370076E-2</v>
      </c>
      <c r="AD79" s="31">
        <f t="shared" si="17"/>
        <v>0.05</v>
      </c>
      <c r="AE79" s="146">
        <f t="shared" si="163"/>
        <v>471.07234059241165</v>
      </c>
    </row>
    <row r="80" spans="2:31" x14ac:dyDescent="0.2">
      <c r="B80" s="20" t="s">
        <v>313</v>
      </c>
      <c r="C80" s="144">
        <f t="shared" ref="C80:P80" si="213">C6/C42</f>
        <v>0</v>
      </c>
      <c r="D80" s="144">
        <f t="shared" si="213"/>
        <v>0</v>
      </c>
      <c r="E80" s="144">
        <f t="shared" si="213"/>
        <v>0</v>
      </c>
      <c r="F80" s="144">
        <f t="shared" si="213"/>
        <v>0</v>
      </c>
      <c r="G80" s="144">
        <f t="shared" si="213"/>
        <v>122.10526315789474</v>
      </c>
      <c r="H80" s="144" t="e">
        <f t="shared" si="213"/>
        <v>#DIV/0!</v>
      </c>
      <c r="I80" s="144" t="e">
        <f t="shared" si="213"/>
        <v>#DIV/0!</v>
      </c>
      <c r="J80" s="144" t="e">
        <f t="shared" si="213"/>
        <v>#DIV/0!</v>
      </c>
      <c r="K80" s="144" t="e">
        <f t="shared" si="213"/>
        <v>#DIV/0!</v>
      </c>
      <c r="L80" s="144" t="e">
        <f t="shared" si="213"/>
        <v>#DIV/0!</v>
      </c>
      <c r="M80" s="144" t="e">
        <f t="shared" si="213"/>
        <v>#DIV/0!</v>
      </c>
      <c r="N80" s="144" t="e">
        <f t="shared" si="213"/>
        <v>#DIV/0!</v>
      </c>
      <c r="O80" s="144">
        <f t="shared" si="213"/>
        <v>122.10526315789474</v>
      </c>
      <c r="P80" s="144">
        <f t="shared" si="213"/>
        <v>138.59649122807016</v>
      </c>
      <c r="Q80" s="118">
        <f>((P80/G80)^(1/($H$2-$H$1) ))-1</f>
        <v>1.4175452793824928E-2</v>
      </c>
      <c r="R80" s="128"/>
      <c r="S80" s="144">
        <f t="shared" ref="S80:AB80" si="214">S6/S42</f>
        <v>147.83625730994152</v>
      </c>
      <c r="T80" s="144">
        <f t="shared" si="214"/>
        <v>157.69200779727097</v>
      </c>
      <c r="U80" s="144">
        <f t="shared" si="214"/>
        <v>168.20480831708906</v>
      </c>
      <c r="V80" s="144">
        <f t="shared" si="214"/>
        <v>179.41846220489501</v>
      </c>
      <c r="W80" s="144">
        <f t="shared" si="214"/>
        <v>191.37969301855469</v>
      </c>
      <c r="X80" s="144">
        <f t="shared" si="214"/>
        <v>204.13833921979167</v>
      </c>
      <c r="Y80" s="144">
        <f t="shared" si="214"/>
        <v>217.74756183444447</v>
      </c>
      <c r="Z80" s="144">
        <f t="shared" si="214"/>
        <v>232.26406595674078</v>
      </c>
      <c r="AA80" s="144">
        <f t="shared" si="214"/>
        <v>247.74833702052348</v>
      </c>
      <c r="AB80" s="144">
        <f t="shared" si="214"/>
        <v>264.26489282189169</v>
      </c>
      <c r="AC80" s="138">
        <f t="shared" si="210"/>
        <v>4.1472090577269416E-2</v>
      </c>
      <c r="AD80" s="31">
        <f t="shared" ref="AD80" si="215">$L$1</f>
        <v>0.05</v>
      </c>
      <c r="AE80" s="146">
        <f t="shared" si="163"/>
        <v>1632.2243380175667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6">E36/E25</f>
        <v>#DIV/0!</v>
      </c>
      <c r="F84" s="152" t="e">
        <f t="shared" si="216"/>
        <v>#DIV/0!</v>
      </c>
      <c r="G84" s="152">
        <f t="shared" si="216"/>
        <v>0.59420289855072461</v>
      </c>
      <c r="H84" s="152" t="e">
        <f t="shared" si="216"/>
        <v>#DIV/0!</v>
      </c>
      <c r="I84" s="152" t="e">
        <f t="shared" si="216"/>
        <v>#DIV/0!</v>
      </c>
      <c r="J84" s="152" t="e">
        <f t="shared" si="216"/>
        <v>#DIV/0!</v>
      </c>
      <c r="K84" s="152" t="e">
        <f t="shared" si="216"/>
        <v>#DIV/0!</v>
      </c>
      <c r="L84" s="152" t="e">
        <f t="shared" si="216"/>
        <v>#DIV/0!</v>
      </c>
      <c r="M84" s="152" t="e">
        <f t="shared" si="216"/>
        <v>#DIV/0!</v>
      </c>
      <c r="N84" s="152" t="e">
        <f t="shared" si="216"/>
        <v>#DIV/0!</v>
      </c>
      <c r="O84" s="152">
        <f t="shared" si="216"/>
        <v>0.59420289855072461</v>
      </c>
      <c r="P84" s="152">
        <f t="shared" si="216"/>
        <v>0.57758620689655171</v>
      </c>
      <c r="Q84" s="118">
        <f t="shared" ref="Q84:Q134" si="217">((P84/G84)^(1/($H$2-$H$1) ))-1</f>
        <v>-3.1464986781510884E-3</v>
      </c>
      <c r="R84" s="152"/>
      <c r="S84" s="152">
        <f t="shared" ref="S84:AB84" si="218">S36/S25</f>
        <v>0.57758620689655171</v>
      </c>
      <c r="T84" s="152">
        <f t="shared" si="218"/>
        <v>0.57758620689655171</v>
      </c>
      <c r="U84" s="152">
        <f t="shared" si="218"/>
        <v>0.57758620689655171</v>
      </c>
      <c r="V84" s="152">
        <f t="shared" si="218"/>
        <v>0.57758620689655171</v>
      </c>
      <c r="W84" s="152">
        <f t="shared" si="218"/>
        <v>0.57758620689655171</v>
      </c>
      <c r="X84" s="152">
        <f t="shared" si="218"/>
        <v>0.5775862068965516</v>
      </c>
      <c r="Y84" s="152">
        <f t="shared" si="218"/>
        <v>0.5775862068965516</v>
      </c>
      <c r="Z84" s="152">
        <f t="shared" si="218"/>
        <v>0.57758620689655149</v>
      </c>
      <c r="AA84" s="152">
        <f t="shared" si="218"/>
        <v>0.5775862068965516</v>
      </c>
      <c r="AB84" s="152">
        <f t="shared" si="218"/>
        <v>0.5775862068965516</v>
      </c>
      <c r="AC84" s="138">
        <f t="shared" ref="AC84:AC121" si="219">((AB84/G84)^(1/($AB$3-$H$1) ))-1</f>
        <v>-1.4916828504784041E-3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20">E40/E25</f>
        <v>#DIV/0!</v>
      </c>
      <c r="F85" s="152" t="e">
        <f t="shared" si="220"/>
        <v>#DIV/0!</v>
      </c>
      <c r="G85" s="152">
        <f t="shared" si="220"/>
        <v>0.51690821256038644</v>
      </c>
      <c r="H85" s="152" t="e">
        <f t="shared" si="220"/>
        <v>#DIV/0!</v>
      </c>
      <c r="I85" s="152" t="e">
        <f t="shared" si="220"/>
        <v>#DIV/0!</v>
      </c>
      <c r="J85" s="152" t="e">
        <f t="shared" si="220"/>
        <v>#DIV/0!</v>
      </c>
      <c r="K85" s="152" t="e">
        <f t="shared" si="220"/>
        <v>#DIV/0!</v>
      </c>
      <c r="L85" s="152" t="e">
        <f t="shared" si="220"/>
        <v>#DIV/0!</v>
      </c>
      <c r="M85" s="152" t="e">
        <f t="shared" si="220"/>
        <v>#DIV/0!</v>
      </c>
      <c r="N85" s="152" t="e">
        <f t="shared" si="220"/>
        <v>#DIV/0!</v>
      </c>
      <c r="O85" s="152">
        <f t="shared" si="220"/>
        <v>0.51690821256038644</v>
      </c>
      <c r="P85" s="152">
        <f t="shared" si="220"/>
        <v>0.49137931034482757</v>
      </c>
      <c r="Q85" s="118">
        <f t="shared" si="217"/>
        <v>-5.6118570883531005E-3</v>
      </c>
      <c r="R85" s="152"/>
      <c r="S85" s="152">
        <f t="shared" ref="S85:AB85" si="221">S40/S25</f>
        <v>0.49137931034482757</v>
      </c>
      <c r="T85" s="152">
        <f t="shared" si="221"/>
        <v>0.49137931034482757</v>
      </c>
      <c r="U85" s="152">
        <f t="shared" si="221"/>
        <v>0.49137931034482762</v>
      </c>
      <c r="V85" s="152">
        <f t="shared" si="221"/>
        <v>0.49137931034482762</v>
      </c>
      <c r="W85" s="152">
        <f t="shared" si="221"/>
        <v>0.49137931034482762</v>
      </c>
      <c r="X85" s="152">
        <f t="shared" si="221"/>
        <v>0.49137931034482762</v>
      </c>
      <c r="Y85" s="152">
        <f t="shared" si="221"/>
        <v>0.49137931034482757</v>
      </c>
      <c r="Z85" s="152">
        <f t="shared" si="221"/>
        <v>0.49137931034482751</v>
      </c>
      <c r="AA85" s="152">
        <f t="shared" si="221"/>
        <v>0.49137931034482751</v>
      </c>
      <c r="AB85" s="152">
        <f t="shared" si="221"/>
        <v>0.49137931034482751</v>
      </c>
      <c r="AC85" s="138">
        <f t="shared" si="219"/>
        <v>-2.6621850556273197E-3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22">E40/E7</f>
        <v>#DIV/0!</v>
      </c>
      <c r="F86" s="152" t="e">
        <f t="shared" si="222"/>
        <v>#DIV/0!</v>
      </c>
      <c r="G86" s="152">
        <f>G40/G7</f>
        <v>0.28381962864721483</v>
      </c>
      <c r="H86" s="152" t="e">
        <f t="shared" si="222"/>
        <v>#DIV/0!</v>
      </c>
      <c r="I86" s="152" t="e">
        <f t="shared" si="222"/>
        <v>#DIV/0!</v>
      </c>
      <c r="J86" s="152" t="e">
        <f t="shared" si="222"/>
        <v>#DIV/0!</v>
      </c>
      <c r="K86" s="152" t="e">
        <f t="shared" si="222"/>
        <v>#DIV/0!</v>
      </c>
      <c r="L86" s="152" t="e">
        <f t="shared" si="222"/>
        <v>#DIV/0!</v>
      </c>
      <c r="M86" s="152" t="e">
        <f t="shared" si="222"/>
        <v>#DIV/0!</v>
      </c>
      <c r="N86" s="152" t="e">
        <f t="shared" si="222"/>
        <v>#DIV/0!</v>
      </c>
      <c r="O86" s="152">
        <f t="shared" si="222"/>
        <v>0.28381962864721483</v>
      </c>
      <c r="P86" s="152">
        <f t="shared" ref="P86" si="223">P40/P7</f>
        <v>0.26886792452830188</v>
      </c>
      <c r="Q86" s="118">
        <f t="shared" si="217"/>
        <v>-5.995140755207351E-3</v>
      </c>
      <c r="R86" s="20"/>
      <c r="S86" s="152">
        <f t="shared" ref="S86" si="224">S40/S7</f>
        <v>0.26886792452830188</v>
      </c>
      <c r="T86" s="152">
        <f t="shared" ref="T86:AB86" si="225">T40/T7</f>
        <v>0.26886792452830188</v>
      </c>
      <c r="U86" s="152">
        <f t="shared" si="225"/>
        <v>0.26886792452830188</v>
      </c>
      <c r="V86" s="152">
        <f t="shared" si="225"/>
        <v>0.26886792452830188</v>
      </c>
      <c r="W86" s="152">
        <f t="shared" si="225"/>
        <v>0.26886792452830188</v>
      </c>
      <c r="X86" s="152">
        <f t="shared" si="225"/>
        <v>0.26886792452830194</v>
      </c>
      <c r="Y86" s="152">
        <f t="shared" si="225"/>
        <v>0.26886792452830194</v>
      </c>
      <c r="Z86" s="152">
        <f t="shared" si="225"/>
        <v>0.26886792452830188</v>
      </c>
      <c r="AA86" s="152">
        <f t="shared" si="225"/>
        <v>0.26886792452830194</v>
      </c>
      <c r="AB86" s="152">
        <f t="shared" si="225"/>
        <v>0.26886792452830194</v>
      </c>
      <c r="AC86" s="138">
        <f t="shared" si="219"/>
        <v>-2.8442975020145367E-3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26">(E40)/(E7+E10)</f>
        <v>#DIV/0!</v>
      </c>
      <c r="F87" s="152" t="e">
        <f t="shared" si="226"/>
        <v>#DIV/0!</v>
      </c>
      <c r="G87" s="152">
        <f>(G40)/(G7+G10)</f>
        <v>0.28381962864721483</v>
      </c>
      <c r="H87" s="152" t="e">
        <f t="shared" ref="H87:O87" si="227">(H40)/(H7+H10)</f>
        <v>#DIV/0!</v>
      </c>
      <c r="I87" s="152" t="e">
        <f t="shared" si="227"/>
        <v>#DIV/0!</v>
      </c>
      <c r="J87" s="152" t="e">
        <f t="shared" si="227"/>
        <v>#DIV/0!</v>
      </c>
      <c r="K87" s="152" t="e">
        <f t="shared" si="227"/>
        <v>#DIV/0!</v>
      </c>
      <c r="L87" s="152" t="e">
        <f t="shared" si="227"/>
        <v>#DIV/0!</v>
      </c>
      <c r="M87" s="152" t="e">
        <f t="shared" si="227"/>
        <v>#DIV/0!</v>
      </c>
      <c r="N87" s="152" t="e">
        <f t="shared" si="227"/>
        <v>#DIV/0!</v>
      </c>
      <c r="O87" s="152">
        <f t="shared" si="227"/>
        <v>0.28381962864721483</v>
      </c>
      <c r="P87" s="152">
        <f t="shared" ref="P87" si="228">(P40)/(P7+P10)</f>
        <v>0.26886792452830188</v>
      </c>
      <c r="Q87" s="118">
        <f t="shared" si="217"/>
        <v>-5.995140755207351E-3</v>
      </c>
      <c r="R87" s="20"/>
      <c r="S87" s="152">
        <f t="shared" ref="S87:AB87" si="229">(S40)/(S7+S10)</f>
        <v>0.26886792452830188</v>
      </c>
      <c r="T87" s="152">
        <f t="shared" si="229"/>
        <v>0.26886792452830188</v>
      </c>
      <c r="U87" s="152">
        <f t="shared" si="229"/>
        <v>0.26886792452830188</v>
      </c>
      <c r="V87" s="152">
        <f t="shared" si="229"/>
        <v>0.26886792452830188</v>
      </c>
      <c r="W87" s="152">
        <f t="shared" si="229"/>
        <v>0.26886792452830188</v>
      </c>
      <c r="X87" s="152">
        <f t="shared" si="229"/>
        <v>0.26886792452830194</v>
      </c>
      <c r="Y87" s="152">
        <f t="shared" si="229"/>
        <v>0.26886792452830194</v>
      </c>
      <c r="Z87" s="152">
        <f t="shared" si="229"/>
        <v>0.26886792452830188</v>
      </c>
      <c r="AA87" s="152">
        <f t="shared" si="229"/>
        <v>0.26886792452830194</v>
      </c>
      <c r="AB87" s="152">
        <f t="shared" si="229"/>
        <v>0.26886792452830194</v>
      </c>
      <c r="AC87" s="138">
        <f t="shared" si="219"/>
        <v>-2.8442975020145367E-3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0.47342995169082125</v>
      </c>
      <c r="H88" s="152" t="e">
        <f t="shared" ref="H88:P88" si="230">H20/H25</f>
        <v>#DIV/0!</v>
      </c>
      <c r="I88" s="152" t="e">
        <f t="shared" si="230"/>
        <v>#DIV/0!</v>
      </c>
      <c r="J88" s="152" t="e">
        <f t="shared" si="230"/>
        <v>#DIV/0!</v>
      </c>
      <c r="K88" s="152" t="e">
        <f t="shared" si="230"/>
        <v>#DIV/0!</v>
      </c>
      <c r="L88" s="152" t="e">
        <f t="shared" si="230"/>
        <v>#DIV/0!</v>
      </c>
      <c r="M88" s="152" t="e">
        <f t="shared" si="230"/>
        <v>#DIV/0!</v>
      </c>
      <c r="N88" s="152" t="e">
        <f t="shared" si="230"/>
        <v>#DIV/0!</v>
      </c>
      <c r="O88" s="152">
        <f t="shared" si="230"/>
        <v>0.47342995169082125</v>
      </c>
      <c r="P88" s="152">
        <f t="shared" si="230"/>
        <v>0.38793103448275862</v>
      </c>
      <c r="Q88" s="118">
        <f t="shared" si="217"/>
        <v>-2.1887622019451047E-2</v>
      </c>
      <c r="R88" s="20"/>
      <c r="S88" s="152">
        <f t="shared" ref="S88:AB88" si="231">S20/S25</f>
        <v>0.38793103448275862</v>
      </c>
      <c r="T88" s="152">
        <f t="shared" si="231"/>
        <v>0.38793103448275862</v>
      </c>
      <c r="U88" s="152">
        <f t="shared" si="231"/>
        <v>0.38793103448275867</v>
      </c>
      <c r="V88" s="152">
        <f t="shared" si="231"/>
        <v>0.38793103448275873</v>
      </c>
      <c r="W88" s="152">
        <f t="shared" si="231"/>
        <v>0.38793103448275867</v>
      </c>
      <c r="X88" s="152">
        <f t="shared" si="231"/>
        <v>0.38793103448275867</v>
      </c>
      <c r="Y88" s="152">
        <f t="shared" si="231"/>
        <v>0.38793103448275867</v>
      </c>
      <c r="Z88" s="152">
        <f t="shared" si="231"/>
        <v>0.38793103448275862</v>
      </c>
      <c r="AA88" s="152">
        <f t="shared" si="231"/>
        <v>0.38793103448275862</v>
      </c>
      <c r="AB88" s="152">
        <f t="shared" si="231"/>
        <v>0.38793103448275862</v>
      </c>
      <c r="AC88" s="138">
        <f t="shared" si="219"/>
        <v>-1.0428212915068791E-2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0</v>
      </c>
      <c r="H90" s="152" t="e">
        <f t="shared" ref="H90:P90" si="232">H29/H25</f>
        <v>#DIV/0!</v>
      </c>
      <c r="I90" s="152" t="e">
        <f t="shared" si="232"/>
        <v>#DIV/0!</v>
      </c>
      <c r="J90" s="152" t="e">
        <f t="shared" si="232"/>
        <v>#DIV/0!</v>
      </c>
      <c r="K90" s="152" t="e">
        <f t="shared" si="232"/>
        <v>#DIV/0!</v>
      </c>
      <c r="L90" s="152" t="e">
        <f t="shared" si="232"/>
        <v>#DIV/0!</v>
      </c>
      <c r="M90" s="152" t="e">
        <f t="shared" si="232"/>
        <v>#DIV/0!</v>
      </c>
      <c r="N90" s="152" t="e">
        <f t="shared" si="232"/>
        <v>#DIV/0!</v>
      </c>
      <c r="O90" s="152">
        <f t="shared" si="232"/>
        <v>0</v>
      </c>
      <c r="P90" s="152">
        <f t="shared" si="232"/>
        <v>0</v>
      </c>
      <c r="Q90" s="118" t="e">
        <f t="shared" si="217"/>
        <v>#DIV/0!</v>
      </c>
      <c r="R90" s="20"/>
      <c r="S90" s="152">
        <f t="shared" ref="S90:AB90" si="233">S29/S25</f>
        <v>0</v>
      </c>
      <c r="T90" s="152">
        <f t="shared" si="233"/>
        <v>0</v>
      </c>
      <c r="U90" s="152">
        <f t="shared" si="233"/>
        <v>0</v>
      </c>
      <c r="V90" s="152">
        <f t="shared" si="233"/>
        <v>0</v>
      </c>
      <c r="W90" s="152">
        <f t="shared" si="233"/>
        <v>0</v>
      </c>
      <c r="X90" s="152">
        <f t="shared" si="233"/>
        <v>0</v>
      </c>
      <c r="Y90" s="152">
        <f t="shared" si="233"/>
        <v>0</v>
      </c>
      <c r="Z90" s="152">
        <f t="shared" si="233"/>
        <v>0</v>
      </c>
      <c r="AA90" s="152">
        <f t="shared" si="233"/>
        <v>0</v>
      </c>
      <c r="AB90" s="152">
        <f t="shared" si="233"/>
        <v>0</v>
      </c>
      <c r="AC90" s="138" t="e">
        <f t="shared" si="219"/>
        <v>#DIV/0!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0</v>
      </c>
      <c r="H91" s="152" t="e">
        <f t="shared" ref="H91:P91" si="234">H29/H36</f>
        <v>#DIV/0!</v>
      </c>
      <c r="I91" s="152" t="e">
        <f t="shared" si="234"/>
        <v>#DIV/0!</v>
      </c>
      <c r="J91" s="152" t="e">
        <f t="shared" si="234"/>
        <v>#DIV/0!</v>
      </c>
      <c r="K91" s="152" t="e">
        <f t="shared" si="234"/>
        <v>#DIV/0!</v>
      </c>
      <c r="L91" s="152" t="e">
        <f t="shared" si="234"/>
        <v>#DIV/0!</v>
      </c>
      <c r="M91" s="152" t="e">
        <f t="shared" si="234"/>
        <v>#DIV/0!</v>
      </c>
      <c r="N91" s="152" t="e">
        <f t="shared" si="234"/>
        <v>#DIV/0!</v>
      </c>
      <c r="O91" s="152">
        <f t="shared" si="234"/>
        <v>0</v>
      </c>
      <c r="P91" s="152">
        <f t="shared" si="234"/>
        <v>0</v>
      </c>
      <c r="Q91" s="118" t="e">
        <f t="shared" ref="Q91" si="235">((P91/G91)^(1/($H$2-$H$1) ))-1</f>
        <v>#DIV/0!</v>
      </c>
      <c r="R91" s="20"/>
      <c r="S91" s="152">
        <f t="shared" ref="S91:AB91" si="236">S29/S36</f>
        <v>0</v>
      </c>
      <c r="T91" s="152">
        <f t="shared" si="236"/>
        <v>0</v>
      </c>
      <c r="U91" s="152">
        <f t="shared" si="236"/>
        <v>0</v>
      </c>
      <c r="V91" s="152">
        <f t="shared" si="236"/>
        <v>0</v>
      </c>
      <c r="W91" s="152">
        <f t="shared" si="236"/>
        <v>0</v>
      </c>
      <c r="X91" s="152">
        <f t="shared" si="236"/>
        <v>0</v>
      </c>
      <c r="Y91" s="152">
        <f t="shared" si="236"/>
        <v>0</v>
      </c>
      <c r="Z91" s="152">
        <f t="shared" si="236"/>
        <v>0</v>
      </c>
      <c r="AA91" s="152">
        <f t="shared" si="236"/>
        <v>0</v>
      </c>
      <c r="AB91" s="152">
        <f t="shared" si="236"/>
        <v>0</v>
      </c>
      <c r="AC91" s="138" t="e">
        <f t="shared" ref="AC91" si="237">((AB91/G91)^(1/($AB$3-$H$1) ))-1</f>
        <v>#DIV/0!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38">G29/G40</f>
        <v>0</v>
      </c>
      <c r="H92" s="171" t="e">
        <f t="shared" si="238"/>
        <v>#DIV/0!</v>
      </c>
      <c r="I92" s="171" t="e">
        <f t="shared" si="238"/>
        <v>#DIV/0!</v>
      </c>
      <c r="J92" s="171" t="e">
        <f t="shared" si="238"/>
        <v>#DIV/0!</v>
      </c>
      <c r="K92" s="171" t="e">
        <f t="shared" si="238"/>
        <v>#DIV/0!</v>
      </c>
      <c r="L92" s="171" t="e">
        <f t="shared" si="238"/>
        <v>#DIV/0!</v>
      </c>
      <c r="M92" s="171" t="e">
        <f t="shared" si="238"/>
        <v>#DIV/0!</v>
      </c>
      <c r="N92" s="171" t="e">
        <f t="shared" si="238"/>
        <v>#DIV/0!</v>
      </c>
      <c r="O92" s="171">
        <f t="shared" si="238"/>
        <v>0</v>
      </c>
      <c r="P92" s="171">
        <f t="shared" si="238"/>
        <v>0</v>
      </c>
      <c r="Q92" s="118" t="e">
        <f t="shared" ref="Q92" si="239">((P92/G92)^(1/($H$2-$H$1) ))-1</f>
        <v>#DIV/0!</v>
      </c>
      <c r="R92" s="20"/>
      <c r="S92" s="171">
        <f t="shared" ref="S92:AB92" si="240">S29/S40</f>
        <v>0</v>
      </c>
      <c r="T92" s="171">
        <f t="shared" si="240"/>
        <v>0</v>
      </c>
      <c r="U92" s="171">
        <f t="shared" si="240"/>
        <v>0</v>
      </c>
      <c r="V92" s="171">
        <f t="shared" si="240"/>
        <v>0</v>
      </c>
      <c r="W92" s="171">
        <f t="shared" si="240"/>
        <v>0</v>
      </c>
      <c r="X92" s="171">
        <f t="shared" si="240"/>
        <v>0</v>
      </c>
      <c r="Y92" s="171">
        <f t="shared" si="240"/>
        <v>0</v>
      </c>
      <c r="Z92" s="171">
        <f t="shared" si="240"/>
        <v>0</v>
      </c>
      <c r="AA92" s="171">
        <f t="shared" si="240"/>
        <v>0</v>
      </c>
      <c r="AB92" s="171">
        <f t="shared" si="240"/>
        <v>0</v>
      </c>
      <c r="AC92" s="138" t="e">
        <f t="shared" ref="AC92" si="241">((AB92/G92)^(1/($AB$3-$H$1) ))-1</f>
        <v>#DIV/0!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42">G29/G12</f>
        <v>0</v>
      </c>
      <c r="H93" s="171" t="e">
        <f t="shared" si="242"/>
        <v>#DIV/0!</v>
      </c>
      <c r="I93" s="171" t="e">
        <f t="shared" si="242"/>
        <v>#DIV/0!</v>
      </c>
      <c r="J93" s="171" t="e">
        <f t="shared" si="242"/>
        <v>#DIV/0!</v>
      </c>
      <c r="K93" s="171" t="e">
        <f t="shared" si="242"/>
        <v>#DIV/0!</v>
      </c>
      <c r="L93" s="171" t="e">
        <f t="shared" si="242"/>
        <v>#DIV/0!</v>
      </c>
      <c r="M93" s="171" t="e">
        <f t="shared" si="242"/>
        <v>#DIV/0!</v>
      </c>
      <c r="N93" s="171" t="e">
        <f t="shared" si="242"/>
        <v>#DIV/0!</v>
      </c>
      <c r="O93" s="171">
        <f t="shared" si="242"/>
        <v>0</v>
      </c>
      <c r="P93" s="171">
        <f t="shared" si="242"/>
        <v>0</v>
      </c>
      <c r="Q93" s="118" t="e">
        <f t="shared" si="217"/>
        <v>#DIV/0!</v>
      </c>
      <c r="R93" s="20"/>
      <c r="S93" s="152">
        <f t="shared" ref="S93:AB93" si="243">S29/S12</f>
        <v>0</v>
      </c>
      <c r="T93" s="152">
        <f t="shared" si="243"/>
        <v>0</v>
      </c>
      <c r="U93" s="152">
        <f t="shared" si="243"/>
        <v>0</v>
      </c>
      <c r="V93" s="152">
        <f t="shared" si="243"/>
        <v>0</v>
      </c>
      <c r="W93" s="152">
        <f t="shared" si="243"/>
        <v>0</v>
      </c>
      <c r="X93" s="152">
        <f t="shared" si="243"/>
        <v>0</v>
      </c>
      <c r="Y93" s="152">
        <f t="shared" si="243"/>
        <v>0</v>
      </c>
      <c r="Z93" s="152">
        <f t="shared" si="243"/>
        <v>0</v>
      </c>
      <c r="AA93" s="152">
        <f t="shared" si="243"/>
        <v>0</v>
      </c>
      <c r="AB93" s="152">
        <f t="shared" si="243"/>
        <v>0</v>
      </c>
      <c r="AC93" s="138" t="e">
        <f t="shared" si="219"/>
        <v>#DIV/0!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>
        <f>G29/G23</f>
        <v>0</v>
      </c>
      <c r="H94" s="171" t="e">
        <f t="shared" ref="H94:P94" si="244">H29/H23</f>
        <v>#DIV/0!</v>
      </c>
      <c r="I94" s="171" t="e">
        <f t="shared" si="244"/>
        <v>#DIV/0!</v>
      </c>
      <c r="J94" s="171" t="e">
        <f t="shared" si="244"/>
        <v>#DIV/0!</v>
      </c>
      <c r="K94" s="171" t="e">
        <f t="shared" si="244"/>
        <v>#DIV/0!</v>
      </c>
      <c r="L94" s="171" t="e">
        <f t="shared" si="244"/>
        <v>#DIV/0!</v>
      </c>
      <c r="M94" s="171" t="e">
        <f t="shared" si="244"/>
        <v>#DIV/0!</v>
      </c>
      <c r="N94" s="171" t="e">
        <f t="shared" si="244"/>
        <v>#DIV/0!</v>
      </c>
      <c r="O94" s="171">
        <f t="shared" si="244"/>
        <v>0</v>
      </c>
      <c r="P94" s="171">
        <f t="shared" si="244"/>
        <v>0</v>
      </c>
      <c r="Q94" s="118" t="e">
        <f t="shared" ref="Q94" si="245">((P94/G94)^(1/($H$2-$H$1) ))-1</f>
        <v>#DIV/0!</v>
      </c>
      <c r="R94" s="20"/>
      <c r="S94" s="171">
        <f t="shared" ref="S94:AB94" si="246">S29/S23</f>
        <v>0</v>
      </c>
      <c r="T94" s="171">
        <f t="shared" si="246"/>
        <v>0</v>
      </c>
      <c r="U94" s="171">
        <f t="shared" si="246"/>
        <v>0</v>
      </c>
      <c r="V94" s="171">
        <f t="shared" si="246"/>
        <v>0</v>
      </c>
      <c r="W94" s="171">
        <f t="shared" si="246"/>
        <v>0</v>
      </c>
      <c r="X94" s="171">
        <f t="shared" si="246"/>
        <v>0</v>
      </c>
      <c r="Y94" s="171">
        <f t="shared" si="246"/>
        <v>0</v>
      </c>
      <c r="Z94" s="171">
        <f t="shared" si="246"/>
        <v>0</v>
      </c>
      <c r="AA94" s="171">
        <f t="shared" si="246"/>
        <v>0</v>
      </c>
      <c r="AB94" s="171">
        <f t="shared" si="246"/>
        <v>0</v>
      </c>
      <c r="AC94" s="138" t="e">
        <f t="shared" ref="AC94" si="247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 t="e">
        <f>1/G90</f>
        <v>#DIV/0!</v>
      </c>
      <c r="H96" s="127" t="e">
        <f t="shared" ref="H96:P96" si="248">1/H90</f>
        <v>#DIV/0!</v>
      </c>
      <c r="I96" s="127" t="e">
        <f t="shared" si="248"/>
        <v>#DIV/0!</v>
      </c>
      <c r="J96" s="127" t="e">
        <f t="shared" si="248"/>
        <v>#DIV/0!</v>
      </c>
      <c r="K96" s="127" t="e">
        <f t="shared" si="248"/>
        <v>#DIV/0!</v>
      </c>
      <c r="L96" s="127" t="e">
        <f t="shared" si="248"/>
        <v>#DIV/0!</v>
      </c>
      <c r="M96" s="127" t="e">
        <f t="shared" si="248"/>
        <v>#DIV/0!</v>
      </c>
      <c r="N96" s="127" t="e">
        <f t="shared" si="248"/>
        <v>#DIV/0!</v>
      </c>
      <c r="O96" s="127" t="e">
        <f t="shared" si="248"/>
        <v>#DIV/0!</v>
      </c>
      <c r="P96" s="127" t="e">
        <f t="shared" si="248"/>
        <v>#DIV/0!</v>
      </c>
      <c r="Q96" s="118" t="e">
        <f t="shared" si="217"/>
        <v>#DIV/0!</v>
      </c>
      <c r="R96" s="20"/>
      <c r="S96" s="127" t="e">
        <f t="shared" ref="S96:AB96" si="249">1/S90</f>
        <v>#DIV/0!</v>
      </c>
      <c r="T96" s="127" t="e">
        <f t="shared" si="249"/>
        <v>#DIV/0!</v>
      </c>
      <c r="U96" s="127" t="e">
        <f t="shared" si="249"/>
        <v>#DIV/0!</v>
      </c>
      <c r="V96" s="127" t="e">
        <f t="shared" si="249"/>
        <v>#DIV/0!</v>
      </c>
      <c r="W96" s="127" t="e">
        <f t="shared" si="249"/>
        <v>#DIV/0!</v>
      </c>
      <c r="X96" s="127" t="e">
        <f t="shared" si="249"/>
        <v>#DIV/0!</v>
      </c>
      <c r="Y96" s="127" t="e">
        <f t="shared" si="249"/>
        <v>#DIV/0!</v>
      </c>
      <c r="Z96" s="127" t="e">
        <f t="shared" si="249"/>
        <v>#DIV/0!</v>
      </c>
      <c r="AA96" s="127" t="e">
        <f t="shared" si="249"/>
        <v>#DIV/0!</v>
      </c>
      <c r="AB96" s="127" t="e">
        <f t="shared" si="249"/>
        <v>#DIV/0!</v>
      </c>
      <c r="AC96" s="138" t="e">
        <f t="shared" si="219"/>
        <v>#DIV/0!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 t="e">
        <f t="shared" ref="G97:P100" si="250">1/G91</f>
        <v>#DIV/0!</v>
      </c>
      <c r="H97" s="127" t="e">
        <f t="shared" si="250"/>
        <v>#DIV/0!</v>
      </c>
      <c r="I97" s="127" t="e">
        <f t="shared" si="250"/>
        <v>#DIV/0!</v>
      </c>
      <c r="J97" s="127" t="e">
        <f t="shared" si="250"/>
        <v>#DIV/0!</v>
      </c>
      <c r="K97" s="127" t="e">
        <f t="shared" si="250"/>
        <v>#DIV/0!</v>
      </c>
      <c r="L97" s="127" t="e">
        <f t="shared" si="250"/>
        <v>#DIV/0!</v>
      </c>
      <c r="M97" s="127" t="e">
        <f t="shared" si="250"/>
        <v>#DIV/0!</v>
      </c>
      <c r="N97" s="127" t="e">
        <f t="shared" si="250"/>
        <v>#DIV/0!</v>
      </c>
      <c r="O97" s="127" t="e">
        <f t="shared" si="250"/>
        <v>#DIV/0!</v>
      </c>
      <c r="P97" s="127" t="e">
        <f t="shared" si="250"/>
        <v>#DIV/0!</v>
      </c>
      <c r="Q97" s="118" t="e">
        <f t="shared" si="217"/>
        <v>#DIV/0!</v>
      </c>
      <c r="R97" s="20"/>
      <c r="S97" s="127" t="e">
        <f t="shared" ref="S97:AB97" si="251">1/S91</f>
        <v>#DIV/0!</v>
      </c>
      <c r="T97" s="127" t="e">
        <f t="shared" si="251"/>
        <v>#DIV/0!</v>
      </c>
      <c r="U97" s="127" t="e">
        <f t="shared" si="251"/>
        <v>#DIV/0!</v>
      </c>
      <c r="V97" s="127" t="e">
        <f t="shared" si="251"/>
        <v>#DIV/0!</v>
      </c>
      <c r="W97" s="127" t="e">
        <f t="shared" si="251"/>
        <v>#DIV/0!</v>
      </c>
      <c r="X97" s="127" t="e">
        <f t="shared" si="251"/>
        <v>#DIV/0!</v>
      </c>
      <c r="Y97" s="127" t="e">
        <f t="shared" si="251"/>
        <v>#DIV/0!</v>
      </c>
      <c r="Z97" s="127" t="e">
        <f t="shared" si="251"/>
        <v>#DIV/0!</v>
      </c>
      <c r="AA97" s="127" t="e">
        <f t="shared" si="251"/>
        <v>#DIV/0!</v>
      </c>
      <c r="AB97" s="127" t="e">
        <f t="shared" si="251"/>
        <v>#DIV/0!</v>
      </c>
      <c r="AC97" s="138" t="e">
        <f t="shared" si="219"/>
        <v>#DIV/0!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 t="e">
        <f t="shared" si="250"/>
        <v>#DIV/0!</v>
      </c>
      <c r="H98" s="127" t="e">
        <f t="shared" si="250"/>
        <v>#DIV/0!</v>
      </c>
      <c r="I98" s="127" t="e">
        <f t="shared" si="250"/>
        <v>#DIV/0!</v>
      </c>
      <c r="J98" s="127" t="e">
        <f t="shared" si="250"/>
        <v>#DIV/0!</v>
      </c>
      <c r="K98" s="127" t="e">
        <f t="shared" si="250"/>
        <v>#DIV/0!</v>
      </c>
      <c r="L98" s="127" t="e">
        <f t="shared" si="250"/>
        <v>#DIV/0!</v>
      </c>
      <c r="M98" s="127" t="e">
        <f t="shared" si="250"/>
        <v>#DIV/0!</v>
      </c>
      <c r="N98" s="127" t="e">
        <f t="shared" si="250"/>
        <v>#DIV/0!</v>
      </c>
      <c r="O98" s="127" t="e">
        <f t="shared" si="250"/>
        <v>#DIV/0!</v>
      </c>
      <c r="P98" s="127" t="e">
        <f t="shared" si="250"/>
        <v>#DIV/0!</v>
      </c>
      <c r="Q98" s="118" t="e">
        <f t="shared" si="217"/>
        <v>#DIV/0!</v>
      </c>
      <c r="R98" s="20"/>
      <c r="S98" s="127" t="e">
        <f t="shared" ref="S98:AB98" si="252">1/S92</f>
        <v>#DIV/0!</v>
      </c>
      <c r="T98" s="127" t="e">
        <f t="shared" si="252"/>
        <v>#DIV/0!</v>
      </c>
      <c r="U98" s="127" t="e">
        <f t="shared" si="252"/>
        <v>#DIV/0!</v>
      </c>
      <c r="V98" s="127" t="e">
        <f t="shared" si="252"/>
        <v>#DIV/0!</v>
      </c>
      <c r="W98" s="127" t="e">
        <f t="shared" si="252"/>
        <v>#DIV/0!</v>
      </c>
      <c r="X98" s="127" t="e">
        <f t="shared" si="252"/>
        <v>#DIV/0!</v>
      </c>
      <c r="Y98" s="127" t="e">
        <f t="shared" si="252"/>
        <v>#DIV/0!</v>
      </c>
      <c r="Z98" s="127" t="e">
        <f t="shared" si="252"/>
        <v>#DIV/0!</v>
      </c>
      <c r="AA98" s="127" t="e">
        <f t="shared" si="252"/>
        <v>#DIV/0!</v>
      </c>
      <c r="AB98" s="127" t="e">
        <f t="shared" si="252"/>
        <v>#DIV/0!</v>
      </c>
      <c r="AC98" s="138" t="e">
        <f t="shared" si="219"/>
        <v>#DIV/0!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 t="e">
        <f t="shared" si="250"/>
        <v>#DIV/0!</v>
      </c>
      <c r="H99" s="127" t="e">
        <f t="shared" si="250"/>
        <v>#DIV/0!</v>
      </c>
      <c r="I99" s="127" t="e">
        <f t="shared" si="250"/>
        <v>#DIV/0!</v>
      </c>
      <c r="J99" s="127" t="e">
        <f t="shared" si="250"/>
        <v>#DIV/0!</v>
      </c>
      <c r="K99" s="127" t="e">
        <f t="shared" si="250"/>
        <v>#DIV/0!</v>
      </c>
      <c r="L99" s="127" t="e">
        <f t="shared" si="250"/>
        <v>#DIV/0!</v>
      </c>
      <c r="M99" s="127" t="e">
        <f t="shared" si="250"/>
        <v>#DIV/0!</v>
      </c>
      <c r="N99" s="127" t="e">
        <f t="shared" si="250"/>
        <v>#DIV/0!</v>
      </c>
      <c r="O99" s="127" t="e">
        <f t="shared" si="250"/>
        <v>#DIV/0!</v>
      </c>
      <c r="P99" s="127" t="e">
        <f t="shared" si="250"/>
        <v>#DIV/0!</v>
      </c>
      <c r="Q99" s="118" t="e">
        <f t="shared" si="217"/>
        <v>#DIV/0!</v>
      </c>
      <c r="R99" s="20"/>
      <c r="S99" s="127" t="e">
        <f t="shared" ref="S99:AB99" si="253">1/S93</f>
        <v>#DIV/0!</v>
      </c>
      <c r="T99" s="127" t="e">
        <f t="shared" si="253"/>
        <v>#DIV/0!</v>
      </c>
      <c r="U99" s="127" t="e">
        <f t="shared" si="253"/>
        <v>#DIV/0!</v>
      </c>
      <c r="V99" s="127" t="e">
        <f t="shared" si="253"/>
        <v>#DIV/0!</v>
      </c>
      <c r="W99" s="127" t="e">
        <f t="shared" si="253"/>
        <v>#DIV/0!</v>
      </c>
      <c r="X99" s="127" t="e">
        <f t="shared" si="253"/>
        <v>#DIV/0!</v>
      </c>
      <c r="Y99" s="127" t="e">
        <f t="shared" si="253"/>
        <v>#DIV/0!</v>
      </c>
      <c r="Z99" s="127" t="e">
        <f t="shared" si="253"/>
        <v>#DIV/0!</v>
      </c>
      <c r="AA99" s="127" t="e">
        <f t="shared" si="253"/>
        <v>#DIV/0!</v>
      </c>
      <c r="AB99" s="127" t="e">
        <f t="shared" si="253"/>
        <v>#DIV/0!</v>
      </c>
      <c r="AC99" s="138" t="e">
        <f t="shared" si="219"/>
        <v>#DIV/0!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 t="e">
        <f t="shared" si="250"/>
        <v>#DIV/0!</v>
      </c>
      <c r="H100" s="127" t="e">
        <f t="shared" si="250"/>
        <v>#DIV/0!</v>
      </c>
      <c r="I100" s="127" t="e">
        <f t="shared" si="250"/>
        <v>#DIV/0!</v>
      </c>
      <c r="J100" s="127" t="e">
        <f t="shared" si="250"/>
        <v>#DIV/0!</v>
      </c>
      <c r="K100" s="127" t="e">
        <f t="shared" si="250"/>
        <v>#DIV/0!</v>
      </c>
      <c r="L100" s="127" t="e">
        <f t="shared" si="250"/>
        <v>#DIV/0!</v>
      </c>
      <c r="M100" s="127" t="e">
        <f t="shared" si="250"/>
        <v>#DIV/0!</v>
      </c>
      <c r="N100" s="127" t="e">
        <f t="shared" si="250"/>
        <v>#DIV/0!</v>
      </c>
      <c r="O100" s="127" t="e">
        <f t="shared" si="250"/>
        <v>#DIV/0!</v>
      </c>
      <c r="P100" s="127" t="e">
        <f t="shared" si="250"/>
        <v>#DIV/0!</v>
      </c>
      <c r="Q100" s="118" t="e">
        <f t="shared" si="217"/>
        <v>#DIV/0!</v>
      </c>
      <c r="R100" s="20"/>
      <c r="S100" s="127" t="e">
        <f t="shared" ref="S100:AB100" si="254">1/S94</f>
        <v>#DIV/0!</v>
      </c>
      <c r="T100" s="127" t="e">
        <f t="shared" si="254"/>
        <v>#DIV/0!</v>
      </c>
      <c r="U100" s="127" t="e">
        <f t="shared" si="254"/>
        <v>#DIV/0!</v>
      </c>
      <c r="V100" s="127" t="e">
        <f t="shared" si="254"/>
        <v>#DIV/0!</v>
      </c>
      <c r="W100" s="127" t="e">
        <f t="shared" si="254"/>
        <v>#DIV/0!</v>
      </c>
      <c r="X100" s="127" t="e">
        <f t="shared" si="254"/>
        <v>#DIV/0!</v>
      </c>
      <c r="Y100" s="127" t="e">
        <f t="shared" si="254"/>
        <v>#DIV/0!</v>
      </c>
      <c r="Z100" s="127" t="e">
        <f t="shared" si="254"/>
        <v>#DIV/0!</v>
      </c>
      <c r="AA100" s="127" t="e">
        <f t="shared" si="254"/>
        <v>#DIV/0!</v>
      </c>
      <c r="AB100" s="127" t="e">
        <f t="shared" si="254"/>
        <v>#DIV/0!</v>
      </c>
      <c r="AC100" s="138" t="e">
        <f t="shared" si="219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55">F10-(F12+F13)</f>
        <v>0</v>
      </c>
      <c r="G103" s="163">
        <f t="shared" si="255"/>
        <v>-336</v>
      </c>
      <c r="H103" s="163">
        <f t="shared" si="255"/>
        <v>0</v>
      </c>
      <c r="I103" s="163">
        <f t="shared" si="255"/>
        <v>0</v>
      </c>
      <c r="J103" s="163">
        <f t="shared" si="255"/>
        <v>0</v>
      </c>
      <c r="K103" s="163">
        <f t="shared" si="255"/>
        <v>0</v>
      </c>
      <c r="L103" s="163">
        <f t="shared" si="255"/>
        <v>0</v>
      </c>
      <c r="M103" s="163">
        <f t="shared" si="255"/>
        <v>0</v>
      </c>
      <c r="N103" s="163">
        <f t="shared" si="255"/>
        <v>0</v>
      </c>
      <c r="O103" s="163">
        <f t="shared" si="255"/>
        <v>-336</v>
      </c>
      <c r="P103" s="163">
        <f>P10-(P12+P13)</f>
        <v>-416</v>
      </c>
      <c r="Q103" s="118">
        <f t="shared" si="217"/>
        <v>2.4014263366006539E-2</v>
      </c>
      <c r="R103" s="20"/>
      <c r="S103" s="163">
        <f>S10-(S12+S13)</f>
        <v>-465.92</v>
      </c>
      <c r="T103" s="163">
        <f t="shared" ref="T103:AB103" si="256">T10-(T12+T13)</f>
        <v>-521.83040000000005</v>
      </c>
      <c r="U103" s="163">
        <f t="shared" si="256"/>
        <v>-584.45004800000015</v>
      </c>
      <c r="V103" s="163">
        <f t="shared" si="256"/>
        <v>-654.58405376000019</v>
      </c>
      <c r="W103" s="163">
        <f t="shared" si="256"/>
        <v>-733.13414021120025</v>
      </c>
      <c r="X103" s="163">
        <f t="shared" si="256"/>
        <v>-821.11023703654439</v>
      </c>
      <c r="Y103" s="163">
        <f t="shared" si="256"/>
        <v>-919.64346548092976</v>
      </c>
      <c r="Z103" s="163">
        <f t="shared" si="256"/>
        <v>-1030.0006813386415</v>
      </c>
      <c r="AA103" s="163">
        <f t="shared" si="256"/>
        <v>-1153.6007630992783</v>
      </c>
      <c r="AB103" s="163">
        <f t="shared" si="256"/>
        <v>-1292.0328546711919</v>
      </c>
      <c r="AC103" s="138">
        <f t="shared" si="219"/>
        <v>7.3460367392468306E-2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57">G40/G18</f>
        <v>1.9107142857142858</v>
      </c>
      <c r="H104" s="152" t="e">
        <f t="shared" si="257"/>
        <v>#DIV/0!</v>
      </c>
      <c r="I104" s="152" t="e">
        <f t="shared" si="257"/>
        <v>#DIV/0!</v>
      </c>
      <c r="J104" s="152" t="e">
        <f t="shared" si="257"/>
        <v>#DIV/0!</v>
      </c>
      <c r="K104" s="152" t="e">
        <f t="shared" si="257"/>
        <v>#DIV/0!</v>
      </c>
      <c r="L104" s="152" t="e">
        <f t="shared" si="257"/>
        <v>#DIV/0!</v>
      </c>
      <c r="M104" s="152" t="e">
        <f t="shared" si="257"/>
        <v>#DIV/0!</v>
      </c>
      <c r="N104" s="152" t="e">
        <f t="shared" si="257"/>
        <v>#DIV/0!</v>
      </c>
      <c r="O104" s="152">
        <f t="shared" si="257"/>
        <v>1.9107142857142858</v>
      </c>
      <c r="P104" s="152">
        <f t="shared" si="257"/>
        <v>1.9655172413793103</v>
      </c>
      <c r="Q104" s="118">
        <f t="shared" si="217"/>
        <v>3.1469740387761735E-3</v>
      </c>
      <c r="R104" s="20"/>
      <c r="S104" s="152">
        <f t="shared" ref="S104:AB104" si="258">S40/S18</f>
        <v>1.9655172413793103</v>
      </c>
      <c r="T104" s="152">
        <f t="shared" si="258"/>
        <v>1.9655172413793103</v>
      </c>
      <c r="U104" s="152">
        <f t="shared" si="258"/>
        <v>1.9655172413793105</v>
      </c>
      <c r="V104" s="152">
        <f t="shared" si="258"/>
        <v>1.9655172413793105</v>
      </c>
      <c r="W104" s="152">
        <f t="shared" si="258"/>
        <v>1.9655172413793105</v>
      </c>
      <c r="X104" s="152">
        <f t="shared" si="258"/>
        <v>1.9655172413793105</v>
      </c>
      <c r="Y104" s="152">
        <f t="shared" si="258"/>
        <v>1.9655172413793103</v>
      </c>
      <c r="Z104" s="152">
        <f t="shared" si="258"/>
        <v>1.9655172413793101</v>
      </c>
      <c r="AA104" s="152">
        <f t="shared" si="258"/>
        <v>1.9655172413793101</v>
      </c>
      <c r="AB104" s="152">
        <f t="shared" si="258"/>
        <v>1.9655172413793101</v>
      </c>
      <c r="AC104" s="138">
        <f t="shared" si="219"/>
        <v>1.4894393842062037E-3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59">G40/G25</f>
        <v>0.51690821256038644</v>
      </c>
      <c r="H105" s="152" t="e">
        <f t="shared" si="259"/>
        <v>#DIV/0!</v>
      </c>
      <c r="I105" s="152" t="e">
        <f t="shared" si="259"/>
        <v>#DIV/0!</v>
      </c>
      <c r="J105" s="152" t="e">
        <f t="shared" si="259"/>
        <v>#DIV/0!</v>
      </c>
      <c r="K105" s="152" t="e">
        <f t="shared" si="259"/>
        <v>#DIV/0!</v>
      </c>
      <c r="L105" s="152" t="e">
        <f t="shared" si="259"/>
        <v>#DIV/0!</v>
      </c>
      <c r="M105" s="152" t="e">
        <f t="shared" si="259"/>
        <v>#DIV/0!</v>
      </c>
      <c r="N105" s="152" t="e">
        <f t="shared" si="259"/>
        <v>#DIV/0!</v>
      </c>
      <c r="O105" s="152">
        <f t="shared" si="259"/>
        <v>0.51690821256038644</v>
      </c>
      <c r="P105" s="152">
        <f t="shared" si="259"/>
        <v>0.49137931034482757</v>
      </c>
      <c r="Q105" s="118">
        <f t="shared" si="217"/>
        <v>-5.6118570883531005E-3</v>
      </c>
      <c r="R105" s="20"/>
      <c r="S105" s="152">
        <f t="shared" ref="S105:AB105" si="260">S40/S25</f>
        <v>0.49137931034482757</v>
      </c>
      <c r="T105" s="152">
        <f t="shared" si="260"/>
        <v>0.49137931034482757</v>
      </c>
      <c r="U105" s="152">
        <f t="shared" si="260"/>
        <v>0.49137931034482762</v>
      </c>
      <c r="V105" s="152">
        <f t="shared" si="260"/>
        <v>0.49137931034482762</v>
      </c>
      <c r="W105" s="152">
        <f t="shared" si="260"/>
        <v>0.49137931034482762</v>
      </c>
      <c r="X105" s="152">
        <f t="shared" si="260"/>
        <v>0.49137931034482762</v>
      </c>
      <c r="Y105" s="152">
        <f t="shared" si="260"/>
        <v>0.49137931034482757</v>
      </c>
      <c r="Z105" s="152">
        <f t="shared" si="260"/>
        <v>0.49137931034482751</v>
      </c>
      <c r="AA105" s="152">
        <f t="shared" si="260"/>
        <v>0.49137931034482751</v>
      </c>
      <c r="AB105" s="152">
        <f t="shared" si="260"/>
        <v>0.49137931034482751</v>
      </c>
      <c r="AC105" s="138">
        <f t="shared" si="219"/>
        <v>-2.6621850556273197E-3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61">G25/G18</f>
        <v>3.6964285714285716</v>
      </c>
      <c r="H106" s="152" t="e">
        <f t="shared" si="261"/>
        <v>#DIV/0!</v>
      </c>
      <c r="I106" s="152" t="e">
        <f t="shared" si="261"/>
        <v>#DIV/0!</v>
      </c>
      <c r="J106" s="152" t="e">
        <f t="shared" si="261"/>
        <v>#DIV/0!</v>
      </c>
      <c r="K106" s="152" t="e">
        <f t="shared" si="261"/>
        <v>#DIV/0!</v>
      </c>
      <c r="L106" s="152" t="e">
        <f t="shared" si="261"/>
        <v>#DIV/0!</v>
      </c>
      <c r="M106" s="152" t="e">
        <f t="shared" si="261"/>
        <v>#DIV/0!</v>
      </c>
      <c r="N106" s="152" t="e">
        <f t="shared" si="261"/>
        <v>#DIV/0!</v>
      </c>
      <c r="O106" s="152">
        <f t="shared" si="261"/>
        <v>3.6964285714285716</v>
      </c>
      <c r="P106" s="152">
        <f>P25/P18</f>
        <v>4</v>
      </c>
      <c r="Q106" s="118">
        <f t="shared" si="217"/>
        <v>8.8082618337370633E-3</v>
      </c>
      <c r="R106" s="20"/>
      <c r="S106" s="152">
        <f>S25/S18</f>
        <v>4</v>
      </c>
      <c r="T106" s="152">
        <f t="shared" ref="T106:AB106" si="262">T25/T18</f>
        <v>4</v>
      </c>
      <c r="U106" s="152">
        <f t="shared" si="262"/>
        <v>4</v>
      </c>
      <c r="V106" s="152">
        <f t="shared" si="262"/>
        <v>4</v>
      </c>
      <c r="W106" s="152">
        <f t="shared" si="262"/>
        <v>4</v>
      </c>
      <c r="X106" s="152">
        <f t="shared" si="262"/>
        <v>4</v>
      </c>
      <c r="Y106" s="152">
        <f t="shared" si="262"/>
        <v>4</v>
      </c>
      <c r="Z106" s="152">
        <f t="shared" si="262"/>
        <v>4</v>
      </c>
      <c r="AA106" s="152">
        <f t="shared" si="262"/>
        <v>4</v>
      </c>
      <c r="AB106" s="152">
        <f t="shared" si="262"/>
        <v>4</v>
      </c>
      <c r="AC106" s="138">
        <f t="shared" si="219"/>
        <v>4.1627063344278348E-3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63">E68*E42</f>
        <v>0</v>
      </c>
      <c r="F108" s="165">
        <f t="shared" si="263"/>
        <v>0</v>
      </c>
      <c r="G108" s="165">
        <f>G68*G42</f>
        <v>0</v>
      </c>
      <c r="H108" s="165">
        <f t="shared" ref="H108:P108" si="264">H68*H42</f>
        <v>0</v>
      </c>
      <c r="I108" s="165">
        <f t="shared" si="264"/>
        <v>0</v>
      </c>
      <c r="J108" s="165">
        <f t="shared" si="264"/>
        <v>0</v>
      </c>
      <c r="K108" s="165">
        <f t="shared" si="264"/>
        <v>0</v>
      </c>
      <c r="L108" s="165">
        <f t="shared" si="264"/>
        <v>0</v>
      </c>
      <c r="M108" s="165">
        <f t="shared" si="264"/>
        <v>0</v>
      </c>
      <c r="N108" s="165">
        <f t="shared" si="264"/>
        <v>0</v>
      </c>
      <c r="O108" s="165">
        <f t="shared" si="264"/>
        <v>0</v>
      </c>
      <c r="P108" s="165">
        <f t="shared" si="264"/>
        <v>57</v>
      </c>
      <c r="Q108" s="118" t="e">
        <f t="shared" si="217"/>
        <v>#DIV/0!</v>
      </c>
      <c r="R108" s="20"/>
      <c r="S108" s="165">
        <f t="shared" ref="S108:AB108" si="265">S68*S42</f>
        <v>62.842500000000001</v>
      </c>
      <c r="T108" s="165">
        <f t="shared" si="265"/>
        <v>69.283856250000014</v>
      </c>
      <c r="U108" s="165">
        <f t="shared" si="265"/>
        <v>76.385451515625022</v>
      </c>
      <c r="V108" s="165">
        <f t="shared" si="265"/>
        <v>84.214960295976596</v>
      </c>
      <c r="W108" s="165">
        <f t="shared" si="265"/>
        <v>92.846993726314196</v>
      </c>
      <c r="X108" s="165">
        <f t="shared" si="265"/>
        <v>102.36381058326141</v>
      </c>
      <c r="Y108" s="165">
        <f t="shared" si="265"/>
        <v>112.85610116804571</v>
      </c>
      <c r="Z108" s="165">
        <f t="shared" si="265"/>
        <v>124.42385153777042</v>
      </c>
      <c r="AA108" s="165">
        <f t="shared" si="265"/>
        <v>137.17729632039192</v>
      </c>
      <c r="AB108" s="165">
        <f t="shared" si="265"/>
        <v>151.23796919323209</v>
      </c>
      <c r="AC108" s="138" t="e">
        <f t="shared" si="219"/>
        <v>#DIV/0!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66">(G108*0.17)+G108</f>
        <v>0</v>
      </c>
      <c r="H109" s="165">
        <f t="shared" si="266"/>
        <v>0</v>
      </c>
      <c r="I109" s="165">
        <f t="shared" si="266"/>
        <v>0</v>
      </c>
      <c r="J109" s="165">
        <f t="shared" si="266"/>
        <v>0</v>
      </c>
      <c r="K109" s="165">
        <f t="shared" si="266"/>
        <v>0</v>
      </c>
      <c r="L109" s="165">
        <f t="shared" si="266"/>
        <v>0</v>
      </c>
      <c r="M109" s="165">
        <f t="shared" si="266"/>
        <v>0</v>
      </c>
      <c r="N109" s="165">
        <f t="shared" si="266"/>
        <v>0</v>
      </c>
      <c r="O109" s="165">
        <f t="shared" si="266"/>
        <v>0</v>
      </c>
      <c r="P109" s="165">
        <f t="shared" si="266"/>
        <v>66.69</v>
      </c>
      <c r="Q109" s="118" t="e">
        <f t="shared" si="217"/>
        <v>#DIV/0!</v>
      </c>
      <c r="R109" s="20"/>
      <c r="S109" s="165">
        <f t="shared" ref="S109:AB109" si="267">(S108*0.17)+S108</f>
        <v>73.525724999999994</v>
      </c>
      <c r="T109" s="165">
        <f t="shared" si="267"/>
        <v>81.062111812500021</v>
      </c>
      <c r="U109" s="165">
        <f t="shared" si="267"/>
        <v>89.370978273281281</v>
      </c>
      <c r="V109" s="165">
        <f t="shared" si="267"/>
        <v>98.531503546292612</v>
      </c>
      <c r="W109" s="165">
        <f t="shared" si="267"/>
        <v>108.63098265978761</v>
      </c>
      <c r="X109" s="165">
        <f t="shared" si="267"/>
        <v>119.76565838241585</v>
      </c>
      <c r="Y109" s="165">
        <f t="shared" si="267"/>
        <v>132.04163836661348</v>
      </c>
      <c r="Z109" s="165">
        <f t="shared" si="267"/>
        <v>145.57590629919139</v>
      </c>
      <c r="AA109" s="165">
        <f t="shared" si="267"/>
        <v>160.49743669485855</v>
      </c>
      <c r="AB109" s="165">
        <f t="shared" si="267"/>
        <v>176.94842395608154</v>
      </c>
      <c r="AC109" s="138" t="e">
        <f t="shared" si="219"/>
        <v>#DIV/0!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68">F109/F40</f>
        <v>#DIV/0!</v>
      </c>
      <c r="G110" s="152">
        <f t="shared" si="268"/>
        <v>0</v>
      </c>
      <c r="H110" s="152" t="e">
        <f t="shared" si="268"/>
        <v>#DIV/0!</v>
      </c>
      <c r="I110" s="152" t="e">
        <f t="shared" si="268"/>
        <v>#DIV/0!</v>
      </c>
      <c r="J110" s="152" t="e">
        <f t="shared" si="268"/>
        <v>#DIV/0!</v>
      </c>
      <c r="K110" s="152" t="e">
        <f t="shared" si="268"/>
        <v>#DIV/0!</v>
      </c>
      <c r="L110" s="152" t="e">
        <f t="shared" si="268"/>
        <v>#DIV/0!</v>
      </c>
      <c r="M110" s="152" t="e">
        <f t="shared" si="268"/>
        <v>#DIV/0!</v>
      </c>
      <c r="N110" s="152" t="e">
        <f t="shared" si="268"/>
        <v>#DIV/0!</v>
      </c>
      <c r="O110" s="152">
        <f t="shared" si="268"/>
        <v>0</v>
      </c>
      <c r="P110" s="152">
        <f t="shared" si="268"/>
        <v>0.58499999999999996</v>
      </c>
      <c r="Q110" s="118" t="e">
        <f t="shared" si="217"/>
        <v>#DIV/0!</v>
      </c>
      <c r="R110" s="20"/>
      <c r="S110" s="152">
        <f t="shared" ref="S110:AB110" si="269">S109/S40</f>
        <v>0.57585937499999995</v>
      </c>
      <c r="T110" s="152">
        <f t="shared" si="269"/>
        <v>0.56686157226562506</v>
      </c>
      <c r="U110" s="152">
        <f t="shared" si="269"/>
        <v>0.55800436019897459</v>
      </c>
      <c r="V110" s="152">
        <f t="shared" si="269"/>
        <v>0.54928554207086555</v>
      </c>
      <c r="W110" s="152">
        <f t="shared" si="269"/>
        <v>0.54070295547600833</v>
      </c>
      <c r="X110" s="152">
        <f t="shared" si="269"/>
        <v>0.53225447179669561</v>
      </c>
      <c r="Y110" s="152">
        <f t="shared" si="269"/>
        <v>0.52393799567487231</v>
      </c>
      <c r="Z110" s="152">
        <f t="shared" si="269"/>
        <v>0.51575146449245246</v>
      </c>
      <c r="AA110" s="152">
        <f t="shared" si="269"/>
        <v>0.50769284785975799</v>
      </c>
      <c r="AB110" s="152">
        <f t="shared" si="269"/>
        <v>0.49976014711194922</v>
      </c>
      <c r="AC110" s="138" t="e">
        <f t="shared" si="219"/>
        <v>#DIV/0!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1</v>
      </c>
      <c r="H111" s="152" t="e">
        <f t="shared" ref="H111:P111" si="270">1-H110</f>
        <v>#DIV/0!</v>
      </c>
      <c r="I111" s="152" t="e">
        <f t="shared" si="270"/>
        <v>#DIV/0!</v>
      </c>
      <c r="J111" s="152" t="e">
        <f t="shared" si="270"/>
        <v>#DIV/0!</v>
      </c>
      <c r="K111" s="152" t="e">
        <f t="shared" si="270"/>
        <v>#DIV/0!</v>
      </c>
      <c r="L111" s="152" t="e">
        <f t="shared" si="270"/>
        <v>#DIV/0!</v>
      </c>
      <c r="M111" s="152" t="e">
        <f t="shared" si="270"/>
        <v>#DIV/0!</v>
      </c>
      <c r="N111" s="152" t="e">
        <f t="shared" si="270"/>
        <v>#DIV/0!</v>
      </c>
      <c r="O111" s="152">
        <f t="shared" si="270"/>
        <v>1</v>
      </c>
      <c r="P111" s="152">
        <f t="shared" si="270"/>
        <v>0.41500000000000004</v>
      </c>
      <c r="Q111" s="118">
        <f t="shared" si="217"/>
        <v>-9.3096872398192643E-2</v>
      </c>
      <c r="R111" s="20"/>
      <c r="S111" s="152">
        <f t="shared" ref="S111:AB111" si="271">1-S110</f>
        <v>0.42414062500000005</v>
      </c>
      <c r="T111" s="152">
        <f t="shared" si="271"/>
        <v>0.43313842773437494</v>
      </c>
      <c r="U111" s="152">
        <f t="shared" si="271"/>
        <v>0.44199563980102541</v>
      </c>
      <c r="V111" s="152">
        <f t="shared" si="271"/>
        <v>0.45071445792913445</v>
      </c>
      <c r="W111" s="152">
        <f t="shared" si="271"/>
        <v>0.45929704452399167</v>
      </c>
      <c r="X111" s="152">
        <f t="shared" si="271"/>
        <v>0.46774552820330439</v>
      </c>
      <c r="Y111" s="152">
        <f t="shared" si="271"/>
        <v>0.47606200432512769</v>
      </c>
      <c r="Z111" s="152">
        <f t="shared" si="271"/>
        <v>0.48424853550754754</v>
      </c>
      <c r="AA111" s="152">
        <f t="shared" si="271"/>
        <v>0.49230715214024201</v>
      </c>
      <c r="AB111" s="152">
        <f t="shared" si="271"/>
        <v>0.50023985288805073</v>
      </c>
      <c r="AC111" s="138">
        <f t="shared" si="219"/>
        <v>-3.5799664387507812E-2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 t="e">
        <f t="shared" ref="H113:P113" si="272">H31/H25</f>
        <v>#DIV/0!</v>
      </c>
      <c r="I113" s="152" t="e">
        <f t="shared" si="272"/>
        <v>#DIV/0!</v>
      </c>
      <c r="J113" s="152" t="e">
        <f t="shared" si="272"/>
        <v>#DIV/0!</v>
      </c>
      <c r="K113" s="152" t="e">
        <f t="shared" si="272"/>
        <v>#DIV/0!</v>
      </c>
      <c r="L113" s="152" t="e">
        <f t="shared" si="272"/>
        <v>#DIV/0!</v>
      </c>
      <c r="M113" s="152" t="e">
        <f t="shared" si="272"/>
        <v>#DIV/0!</v>
      </c>
      <c r="N113" s="152" t="e">
        <f t="shared" si="272"/>
        <v>#DIV/0!</v>
      </c>
      <c r="O113" s="152">
        <f t="shared" si="272"/>
        <v>0</v>
      </c>
      <c r="P113" s="152">
        <f t="shared" si="272"/>
        <v>0</v>
      </c>
      <c r="Q113" s="118" t="e">
        <f t="shared" si="217"/>
        <v>#DIV/0!</v>
      </c>
      <c r="R113" s="20"/>
      <c r="S113" s="152">
        <f t="shared" ref="S113:AB113" si="273">S31/S25</f>
        <v>0</v>
      </c>
      <c r="T113" s="152">
        <f t="shared" si="273"/>
        <v>0</v>
      </c>
      <c r="U113" s="152">
        <f t="shared" si="273"/>
        <v>0</v>
      </c>
      <c r="V113" s="152">
        <f t="shared" si="273"/>
        <v>0</v>
      </c>
      <c r="W113" s="152">
        <f t="shared" si="273"/>
        <v>0</v>
      </c>
      <c r="X113" s="152">
        <f t="shared" si="273"/>
        <v>0</v>
      </c>
      <c r="Y113" s="152">
        <f t="shared" si="273"/>
        <v>0</v>
      </c>
      <c r="Z113" s="152">
        <f t="shared" si="273"/>
        <v>0</v>
      </c>
      <c r="AA113" s="152">
        <f t="shared" si="273"/>
        <v>0</v>
      </c>
      <c r="AB113" s="152">
        <f t="shared" si="273"/>
        <v>0</v>
      </c>
      <c r="AC113" s="138" t="e">
        <f t="shared" si="219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 t="e">
        <f t="shared" ref="H114:P114" si="274">H32/H25</f>
        <v>#DIV/0!</v>
      </c>
      <c r="I114" s="152" t="e">
        <f t="shared" si="274"/>
        <v>#DIV/0!</v>
      </c>
      <c r="J114" s="152" t="e">
        <f t="shared" si="274"/>
        <v>#DIV/0!</v>
      </c>
      <c r="K114" s="152" t="e">
        <f t="shared" si="274"/>
        <v>#DIV/0!</v>
      </c>
      <c r="L114" s="152" t="e">
        <f t="shared" si="274"/>
        <v>#DIV/0!</v>
      </c>
      <c r="M114" s="152" t="e">
        <f t="shared" si="274"/>
        <v>#DIV/0!</v>
      </c>
      <c r="N114" s="152" t="e">
        <f t="shared" si="274"/>
        <v>#DIV/0!</v>
      </c>
      <c r="O114" s="152">
        <f t="shared" si="274"/>
        <v>0</v>
      </c>
      <c r="P114" s="152">
        <f t="shared" si="274"/>
        <v>0</v>
      </c>
      <c r="Q114" s="118" t="e">
        <f t="shared" si="217"/>
        <v>#DIV/0!</v>
      </c>
      <c r="R114" s="20"/>
      <c r="S114" s="152">
        <f t="shared" ref="S114:AB114" si="275">S32/S25</f>
        <v>0</v>
      </c>
      <c r="T114" s="152">
        <f t="shared" si="275"/>
        <v>0</v>
      </c>
      <c r="U114" s="152">
        <f t="shared" si="275"/>
        <v>0</v>
      </c>
      <c r="V114" s="152">
        <f t="shared" si="275"/>
        <v>0</v>
      </c>
      <c r="W114" s="152">
        <f t="shared" si="275"/>
        <v>0</v>
      </c>
      <c r="X114" s="152">
        <f t="shared" si="275"/>
        <v>0</v>
      </c>
      <c r="Y114" s="152">
        <f t="shared" si="275"/>
        <v>0</v>
      </c>
      <c r="Z114" s="152">
        <f t="shared" si="275"/>
        <v>0</v>
      </c>
      <c r="AA114" s="152">
        <f t="shared" si="275"/>
        <v>0</v>
      </c>
      <c r="AB114" s="152">
        <f t="shared" si="275"/>
        <v>0</v>
      </c>
      <c r="AC114" s="138" t="e">
        <f t="shared" si="219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0.27053140096618356</v>
      </c>
      <c r="H116" s="152" t="e">
        <f t="shared" ref="H116:P116" si="276">H27/H25</f>
        <v>#DIV/0!</v>
      </c>
      <c r="I116" s="152" t="e">
        <f t="shared" si="276"/>
        <v>#DIV/0!</v>
      </c>
      <c r="J116" s="152" t="e">
        <f t="shared" si="276"/>
        <v>#DIV/0!</v>
      </c>
      <c r="K116" s="152" t="e">
        <f t="shared" si="276"/>
        <v>#DIV/0!</v>
      </c>
      <c r="L116" s="152" t="e">
        <f t="shared" si="276"/>
        <v>#DIV/0!</v>
      </c>
      <c r="M116" s="152" t="e">
        <f t="shared" si="276"/>
        <v>#DIV/0!</v>
      </c>
      <c r="N116" s="152" t="e">
        <f t="shared" si="276"/>
        <v>#DIV/0!</v>
      </c>
      <c r="O116" s="152">
        <f t="shared" si="276"/>
        <v>0.27053140096618356</v>
      </c>
      <c r="P116" s="152">
        <f t="shared" si="276"/>
        <v>0.29310344827586204</v>
      </c>
      <c r="Q116" s="118">
        <f t="shared" si="217"/>
        <v>8.943919510768783E-3</v>
      </c>
      <c r="R116" s="20"/>
      <c r="S116" s="152">
        <f t="shared" ref="S116:AB116" si="277">S27/S25</f>
        <v>0.2931034482758621</v>
      </c>
      <c r="T116" s="152">
        <f t="shared" si="277"/>
        <v>0.29310344827586204</v>
      </c>
      <c r="U116" s="152">
        <f t="shared" si="277"/>
        <v>0.29310344827586204</v>
      </c>
      <c r="V116" s="152">
        <f t="shared" si="277"/>
        <v>0.29310344827586204</v>
      </c>
      <c r="W116" s="152">
        <f t="shared" si="277"/>
        <v>0.29310344827586204</v>
      </c>
      <c r="X116" s="152">
        <f t="shared" si="277"/>
        <v>0.29310344827586204</v>
      </c>
      <c r="Y116" s="152">
        <f t="shared" si="277"/>
        <v>0.29310344827586204</v>
      </c>
      <c r="Z116" s="152">
        <f t="shared" si="277"/>
        <v>0.29310344827586204</v>
      </c>
      <c r="AA116" s="152">
        <f t="shared" si="277"/>
        <v>0.29310344827586204</v>
      </c>
      <c r="AB116" s="152">
        <f t="shared" si="277"/>
        <v>0.29310344827586204</v>
      </c>
      <c r="AC116" s="138">
        <f t="shared" si="219"/>
        <v>4.2266670589115041E-3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</v>
      </c>
      <c r="H117" s="152" t="e">
        <f t="shared" ref="H117:P117" si="278">H33/H25</f>
        <v>#DIV/0!</v>
      </c>
      <c r="I117" s="152" t="e">
        <f t="shared" si="278"/>
        <v>#DIV/0!</v>
      </c>
      <c r="J117" s="152" t="e">
        <f t="shared" si="278"/>
        <v>#DIV/0!</v>
      </c>
      <c r="K117" s="152" t="e">
        <f t="shared" si="278"/>
        <v>#DIV/0!</v>
      </c>
      <c r="L117" s="152" t="e">
        <f t="shared" si="278"/>
        <v>#DIV/0!</v>
      </c>
      <c r="M117" s="152" t="e">
        <f t="shared" si="278"/>
        <v>#DIV/0!</v>
      </c>
      <c r="N117" s="152" t="e">
        <f t="shared" si="278"/>
        <v>#DIV/0!</v>
      </c>
      <c r="O117" s="152">
        <f t="shared" si="278"/>
        <v>0</v>
      </c>
      <c r="P117" s="152">
        <f t="shared" si="278"/>
        <v>0</v>
      </c>
      <c r="Q117" s="118" t="e">
        <f t="shared" si="217"/>
        <v>#DIV/0!</v>
      </c>
      <c r="R117" s="20"/>
      <c r="S117" s="152">
        <f t="shared" ref="S117:AB117" si="279">S33/S25</f>
        <v>0</v>
      </c>
      <c r="T117" s="152">
        <f t="shared" si="279"/>
        <v>0</v>
      </c>
      <c r="U117" s="152">
        <f t="shared" si="279"/>
        <v>0</v>
      </c>
      <c r="V117" s="152">
        <f t="shared" si="279"/>
        <v>0</v>
      </c>
      <c r="W117" s="152">
        <f t="shared" si="279"/>
        <v>0</v>
      </c>
      <c r="X117" s="152">
        <f t="shared" si="279"/>
        <v>0</v>
      </c>
      <c r="Y117" s="152">
        <f t="shared" si="279"/>
        <v>0</v>
      </c>
      <c r="Z117" s="152">
        <f t="shared" si="279"/>
        <v>0</v>
      </c>
      <c r="AA117" s="152">
        <f t="shared" si="279"/>
        <v>0</v>
      </c>
      <c r="AB117" s="152">
        <f t="shared" si="279"/>
        <v>0</v>
      </c>
      <c r="AC117" s="138" t="e">
        <f t="shared" si="219"/>
        <v>#DIV/0!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0.20772946859903382</v>
      </c>
      <c r="H118" s="152" t="e">
        <f t="shared" ref="H118:N118" si="280">H34/H25</f>
        <v>#DIV/0!</v>
      </c>
      <c r="I118" s="152" t="e">
        <f t="shared" si="280"/>
        <v>#DIV/0!</v>
      </c>
      <c r="J118" s="152" t="e">
        <f t="shared" si="280"/>
        <v>#DIV/0!</v>
      </c>
      <c r="K118" s="152" t="e">
        <f t="shared" si="280"/>
        <v>#DIV/0!</v>
      </c>
      <c r="L118" s="152" t="e">
        <f t="shared" si="280"/>
        <v>#DIV/0!</v>
      </c>
      <c r="M118" s="152" t="e">
        <f t="shared" si="280"/>
        <v>#DIV/0!</v>
      </c>
      <c r="N118" s="152" t="e">
        <f t="shared" si="280"/>
        <v>#DIV/0!</v>
      </c>
      <c r="O118" s="152" t="e">
        <f>#REF!/O25</f>
        <v>#REF!</v>
      </c>
      <c r="P118" s="152" t="e">
        <f>#REF!/P25</f>
        <v>#REF!</v>
      </c>
      <c r="Q118" s="118" t="e">
        <f t="shared" si="217"/>
        <v>#REF!</v>
      </c>
      <c r="R118" s="20"/>
      <c r="S118" s="152" t="e">
        <f t="shared" ref="S118:AB118" si="281">S34/S25</f>
        <v>#REF!</v>
      </c>
      <c r="T118" s="152" t="e">
        <f t="shared" si="281"/>
        <v>#REF!</v>
      </c>
      <c r="U118" s="152" t="e">
        <f t="shared" si="281"/>
        <v>#REF!</v>
      </c>
      <c r="V118" s="152" t="e">
        <f t="shared" si="281"/>
        <v>#REF!</v>
      </c>
      <c r="W118" s="152" t="e">
        <f t="shared" si="281"/>
        <v>#REF!</v>
      </c>
      <c r="X118" s="152" t="e">
        <f t="shared" si="281"/>
        <v>#REF!</v>
      </c>
      <c r="Y118" s="152" t="e">
        <f t="shared" si="281"/>
        <v>#REF!</v>
      </c>
      <c r="Z118" s="152" t="e">
        <f t="shared" si="281"/>
        <v>#REF!</v>
      </c>
      <c r="AA118" s="152" t="e">
        <f t="shared" si="281"/>
        <v>#REF!</v>
      </c>
      <c r="AB118" s="152" t="e">
        <f t="shared" si="281"/>
        <v>#REF!</v>
      </c>
      <c r="AC118" s="138" t="e">
        <f t="shared" si="219"/>
        <v>#REF!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2.0476190476190474</v>
      </c>
      <c r="H121" s="25" t="e">
        <f t="shared" ref="H121:AB121" si="282">H15/H9</f>
        <v>#DIV/0!</v>
      </c>
      <c r="I121" s="25" t="e">
        <f t="shared" si="282"/>
        <v>#DIV/0!</v>
      </c>
      <c r="J121" s="25" t="e">
        <f t="shared" si="282"/>
        <v>#DIV/0!</v>
      </c>
      <c r="K121" s="25" t="e">
        <f t="shared" si="282"/>
        <v>#DIV/0!</v>
      </c>
      <c r="L121" s="25" t="e">
        <f t="shared" si="282"/>
        <v>#DIV/0!</v>
      </c>
      <c r="M121" s="25" t="e">
        <f t="shared" si="282"/>
        <v>#DIV/0!</v>
      </c>
      <c r="N121" s="25" t="e">
        <f t="shared" si="282"/>
        <v>#DIV/0!</v>
      </c>
      <c r="O121" s="25">
        <f t="shared" si="282"/>
        <v>2.0476190476190474</v>
      </c>
      <c r="P121" s="25">
        <f t="shared" si="282"/>
        <v>1.125</v>
      </c>
      <c r="Q121" s="118">
        <f t="shared" si="217"/>
        <v>-6.437811126393933E-2</v>
      </c>
      <c r="R121" s="20"/>
      <c r="S121" s="20">
        <f t="shared" si="282"/>
        <v>1.125</v>
      </c>
      <c r="T121" s="20">
        <f t="shared" si="282"/>
        <v>1.125</v>
      </c>
      <c r="U121" s="20">
        <f t="shared" si="282"/>
        <v>1.125</v>
      </c>
      <c r="V121" s="20">
        <f t="shared" si="282"/>
        <v>1.125</v>
      </c>
      <c r="W121" s="20">
        <f t="shared" si="282"/>
        <v>1.125</v>
      </c>
      <c r="X121" s="20">
        <f t="shared" si="282"/>
        <v>1.125</v>
      </c>
      <c r="Y121" s="20">
        <f t="shared" si="282"/>
        <v>1.1249999999999998</v>
      </c>
      <c r="Z121" s="20">
        <f t="shared" si="282"/>
        <v>1.1249999999999998</v>
      </c>
      <c r="AA121" s="20">
        <f t="shared" si="282"/>
        <v>1.125</v>
      </c>
      <c r="AB121" s="20">
        <f t="shared" si="282"/>
        <v>1.125</v>
      </c>
      <c r="AC121" s="138">
        <f t="shared" si="219"/>
        <v>-3.102916990740201E-2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1.6666666666666667</v>
      </c>
      <c r="H122" s="25" t="e">
        <f t="shared" ref="H122:P122" si="283">H12/H9</f>
        <v>#DIV/0!</v>
      </c>
      <c r="I122" s="25" t="e">
        <f t="shared" si="283"/>
        <v>#DIV/0!</v>
      </c>
      <c r="J122" s="25" t="e">
        <f t="shared" si="283"/>
        <v>#DIV/0!</v>
      </c>
      <c r="K122" s="25" t="e">
        <f t="shared" si="283"/>
        <v>#DIV/0!</v>
      </c>
      <c r="L122" s="25" t="e">
        <f t="shared" si="283"/>
        <v>#DIV/0!</v>
      </c>
      <c r="M122" s="25" t="e">
        <f t="shared" si="283"/>
        <v>#DIV/0!</v>
      </c>
      <c r="N122" s="25" t="e">
        <f t="shared" si="283"/>
        <v>#DIV/0!</v>
      </c>
      <c r="O122" s="25">
        <f t="shared" si="283"/>
        <v>1.6666666666666667</v>
      </c>
      <c r="P122" s="25">
        <f t="shared" si="283"/>
        <v>0.6071428571428571</v>
      </c>
      <c r="Q122" s="118">
        <f t="shared" si="217"/>
        <v>-0.10613620101415744</v>
      </c>
      <c r="R122" s="128"/>
      <c r="S122" s="20">
        <f t="shared" ref="S122:AB122" si="284">S12/S9</f>
        <v>0.60714285714285721</v>
      </c>
      <c r="T122" s="20">
        <f t="shared" si="284"/>
        <v>0.60714285714285721</v>
      </c>
      <c r="U122" s="20">
        <f t="shared" si="284"/>
        <v>0.60714285714285721</v>
      </c>
      <c r="V122" s="20">
        <f t="shared" si="284"/>
        <v>0.60714285714285721</v>
      </c>
      <c r="W122" s="20">
        <f t="shared" si="284"/>
        <v>0.60714285714285721</v>
      </c>
      <c r="X122" s="20">
        <f t="shared" si="284"/>
        <v>0.60714285714285721</v>
      </c>
      <c r="Y122" s="20">
        <f t="shared" si="284"/>
        <v>0.60714285714285721</v>
      </c>
      <c r="Z122" s="20">
        <f t="shared" si="284"/>
        <v>0.60714285714285732</v>
      </c>
      <c r="AA122" s="20">
        <f t="shared" si="284"/>
        <v>0.60714285714285732</v>
      </c>
      <c r="AB122" s="20">
        <f t="shared" si="284"/>
        <v>0.60714285714285743</v>
      </c>
      <c r="AC122" s="118">
        <f t="shared" ref="AC122" si="285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0.57499999999999996</v>
      </c>
      <c r="H123" s="25">
        <f t="shared" ref="H123:P123" si="286">H25/360</f>
        <v>0</v>
      </c>
      <c r="I123" s="25">
        <f t="shared" si="286"/>
        <v>0</v>
      </c>
      <c r="J123" s="25">
        <f t="shared" si="286"/>
        <v>0</v>
      </c>
      <c r="K123" s="25">
        <f t="shared" si="286"/>
        <v>0</v>
      </c>
      <c r="L123" s="25">
        <f t="shared" si="286"/>
        <v>0</v>
      </c>
      <c r="M123" s="25">
        <f t="shared" si="286"/>
        <v>0</v>
      </c>
      <c r="N123" s="25">
        <f t="shared" si="286"/>
        <v>0</v>
      </c>
      <c r="O123" s="25">
        <f t="shared" si="286"/>
        <v>0.57499999999999996</v>
      </c>
      <c r="P123" s="25">
        <f t="shared" si="286"/>
        <v>0.64444444444444449</v>
      </c>
      <c r="Q123" s="118">
        <f t="shared" si="217"/>
        <v>1.2749319262871595E-2</v>
      </c>
      <c r="R123" s="128"/>
      <c r="S123" s="25">
        <f t="shared" ref="S123:AB123" si="287">S25/360</f>
        <v>0.72177777777777785</v>
      </c>
      <c r="T123" s="25">
        <f t="shared" si="287"/>
        <v>0.80839111111111128</v>
      </c>
      <c r="U123" s="25">
        <f t="shared" si="287"/>
        <v>0.90539804444444472</v>
      </c>
      <c r="V123" s="25">
        <f t="shared" si="287"/>
        <v>1.014045809777778</v>
      </c>
      <c r="W123" s="25">
        <f t="shared" si="287"/>
        <v>1.1357313069511115</v>
      </c>
      <c r="X123" s="25">
        <f t="shared" si="287"/>
        <v>1.2720190637852451</v>
      </c>
      <c r="Y123" s="25">
        <f t="shared" si="287"/>
        <v>1.4246613514394748</v>
      </c>
      <c r="Z123" s="25">
        <f t="shared" si="287"/>
        <v>1.595620713612212</v>
      </c>
      <c r="AA123" s="25">
        <f t="shared" si="287"/>
        <v>1.7870951992456776</v>
      </c>
      <c r="AB123" s="25">
        <f t="shared" si="287"/>
        <v>2.0015466231551593</v>
      </c>
      <c r="AC123" s="118">
        <f t="shared" ref="AC123:AC134" si="288">((AB123/S123)^(1/($H$2-$H$1) ))-1</f>
        <v>0.12000000000000011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0.15555555555555556</v>
      </c>
      <c r="H124" s="25">
        <f t="shared" ref="H124:P124" si="289">H27/360</f>
        <v>0</v>
      </c>
      <c r="I124" s="25">
        <f t="shared" si="289"/>
        <v>0</v>
      </c>
      <c r="J124" s="25">
        <f t="shared" si="289"/>
        <v>0</v>
      </c>
      <c r="K124" s="25">
        <f t="shared" si="289"/>
        <v>0</v>
      </c>
      <c r="L124" s="25">
        <f t="shared" si="289"/>
        <v>0</v>
      </c>
      <c r="M124" s="25">
        <f t="shared" si="289"/>
        <v>0</v>
      </c>
      <c r="N124" s="25">
        <f t="shared" si="289"/>
        <v>0</v>
      </c>
      <c r="O124" s="25">
        <f t="shared" si="289"/>
        <v>0.15555555555555556</v>
      </c>
      <c r="P124" s="25">
        <f t="shared" si="289"/>
        <v>0.18888888888888888</v>
      </c>
      <c r="Q124" s="118">
        <f t="shared" si="217"/>
        <v>2.1807267658944696E-2</v>
      </c>
      <c r="R124" s="128"/>
      <c r="S124" s="25">
        <f t="shared" ref="S124:AB124" si="290">S27/360</f>
        <v>0.21155555555555558</v>
      </c>
      <c r="T124" s="25">
        <f t="shared" si="290"/>
        <v>0.23694222222222225</v>
      </c>
      <c r="U124" s="25">
        <f t="shared" si="290"/>
        <v>0.26537528888888895</v>
      </c>
      <c r="V124" s="25">
        <f t="shared" si="290"/>
        <v>0.29722032355555567</v>
      </c>
      <c r="W124" s="25">
        <f t="shared" si="290"/>
        <v>0.33288676238222237</v>
      </c>
      <c r="X124" s="25">
        <f t="shared" si="290"/>
        <v>0.37283317386808906</v>
      </c>
      <c r="Y124" s="25">
        <f t="shared" si="290"/>
        <v>0.41757315473225981</v>
      </c>
      <c r="Z124" s="25">
        <f t="shared" si="290"/>
        <v>0.46768193330013103</v>
      </c>
      <c r="AA124" s="25">
        <f t="shared" si="290"/>
        <v>0.52380376529614681</v>
      </c>
      <c r="AB124" s="25">
        <f t="shared" si="290"/>
        <v>0.58666021713168448</v>
      </c>
      <c r="AC124" s="118">
        <f t="shared" si="288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0</v>
      </c>
      <c r="H126" s="25" t="e">
        <f t="shared" ref="H126:P126" si="291">H10/H7</f>
        <v>#DIV/0!</v>
      </c>
      <c r="I126" s="25" t="e">
        <f t="shared" si="291"/>
        <v>#DIV/0!</v>
      </c>
      <c r="J126" s="25" t="e">
        <f t="shared" si="291"/>
        <v>#DIV/0!</v>
      </c>
      <c r="K126" s="25" t="e">
        <f t="shared" si="291"/>
        <v>#DIV/0!</v>
      </c>
      <c r="L126" s="25" t="e">
        <f t="shared" si="291"/>
        <v>#DIV/0!</v>
      </c>
      <c r="M126" s="25" t="e">
        <f t="shared" si="291"/>
        <v>#DIV/0!</v>
      </c>
      <c r="N126" s="25" t="e">
        <f t="shared" si="291"/>
        <v>#DIV/0!</v>
      </c>
      <c r="O126" s="25">
        <f t="shared" si="291"/>
        <v>0</v>
      </c>
      <c r="P126" s="25">
        <f t="shared" si="291"/>
        <v>0</v>
      </c>
      <c r="Q126" s="118" t="e">
        <f t="shared" si="217"/>
        <v>#DIV/0!</v>
      </c>
      <c r="R126" s="128"/>
      <c r="S126" s="25">
        <f t="shared" ref="S126:AB126" si="292">S10/S7</f>
        <v>0</v>
      </c>
      <c r="T126" s="25">
        <f t="shared" si="292"/>
        <v>0</v>
      </c>
      <c r="U126" s="25">
        <f t="shared" si="292"/>
        <v>0</v>
      </c>
      <c r="V126" s="25">
        <f t="shared" si="292"/>
        <v>0</v>
      </c>
      <c r="W126" s="25">
        <f t="shared" si="292"/>
        <v>0</v>
      </c>
      <c r="X126" s="25">
        <f t="shared" si="292"/>
        <v>0</v>
      </c>
      <c r="Y126" s="25">
        <f t="shared" si="292"/>
        <v>0</v>
      </c>
      <c r="Z126" s="25">
        <f t="shared" si="292"/>
        <v>0</v>
      </c>
      <c r="AA126" s="25">
        <f t="shared" si="292"/>
        <v>0</v>
      </c>
      <c r="AB126" s="25">
        <f t="shared" si="292"/>
        <v>0</v>
      </c>
      <c r="AC126" s="118" t="e">
        <f t="shared" si="288"/>
        <v>#DIV/0!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</v>
      </c>
      <c r="H127" s="25" t="e">
        <f t="shared" ref="H127:P127" si="293">H10/(H10+H7)</f>
        <v>#DIV/0!</v>
      </c>
      <c r="I127" s="25" t="e">
        <f t="shared" si="293"/>
        <v>#DIV/0!</v>
      </c>
      <c r="J127" s="25" t="e">
        <f t="shared" si="293"/>
        <v>#DIV/0!</v>
      </c>
      <c r="K127" s="25" t="e">
        <f t="shared" si="293"/>
        <v>#DIV/0!</v>
      </c>
      <c r="L127" s="25" t="e">
        <f t="shared" si="293"/>
        <v>#DIV/0!</v>
      </c>
      <c r="M127" s="25" t="e">
        <f t="shared" si="293"/>
        <v>#DIV/0!</v>
      </c>
      <c r="N127" s="25" t="e">
        <f t="shared" si="293"/>
        <v>#DIV/0!</v>
      </c>
      <c r="O127" s="25">
        <f t="shared" si="293"/>
        <v>0</v>
      </c>
      <c r="P127" s="25">
        <f t="shared" si="293"/>
        <v>0</v>
      </c>
      <c r="Q127" s="118" t="e">
        <f t="shared" si="217"/>
        <v>#DIV/0!</v>
      </c>
      <c r="R127" s="128"/>
      <c r="S127" s="25">
        <f t="shared" ref="S127:AB127" si="294">S10/(S10+S7)</f>
        <v>0</v>
      </c>
      <c r="T127" s="25">
        <f t="shared" si="294"/>
        <v>0</v>
      </c>
      <c r="U127" s="25">
        <f t="shared" si="294"/>
        <v>0</v>
      </c>
      <c r="V127" s="25">
        <f t="shared" si="294"/>
        <v>0</v>
      </c>
      <c r="W127" s="25">
        <f t="shared" si="294"/>
        <v>0</v>
      </c>
      <c r="X127" s="25">
        <f t="shared" si="294"/>
        <v>0</v>
      </c>
      <c r="Y127" s="25">
        <f t="shared" si="294"/>
        <v>0</v>
      </c>
      <c r="Z127" s="25">
        <f t="shared" si="294"/>
        <v>0</v>
      </c>
      <c r="AA127" s="25">
        <f t="shared" si="294"/>
        <v>0</v>
      </c>
      <c r="AB127" s="25">
        <f t="shared" si="294"/>
        <v>0</v>
      </c>
      <c r="AC127" s="118" t="e">
        <f t="shared" si="288"/>
        <v>#DIV/0!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55.5</v>
      </c>
      <c r="H129" s="25">
        <f t="shared" ref="H129:P129" si="295">H16</f>
        <v>0</v>
      </c>
      <c r="I129" s="25">
        <f t="shared" si="295"/>
        <v>0</v>
      </c>
      <c r="J129" s="25">
        <f t="shared" si="295"/>
        <v>0</v>
      </c>
      <c r="K129" s="25">
        <f t="shared" si="295"/>
        <v>0</v>
      </c>
      <c r="L129" s="25">
        <f t="shared" si="295"/>
        <v>0</v>
      </c>
      <c r="M129" s="25">
        <f t="shared" si="295"/>
        <v>0</v>
      </c>
      <c r="N129" s="25">
        <f t="shared" si="295"/>
        <v>0</v>
      </c>
      <c r="O129" s="25">
        <f t="shared" si="295"/>
        <v>55.5</v>
      </c>
      <c r="P129" s="25">
        <f t="shared" si="295"/>
        <v>-15</v>
      </c>
      <c r="Q129" s="118">
        <f t="shared" si="217"/>
        <v>-1.8647020231593647</v>
      </c>
      <c r="R129" s="128"/>
      <c r="S129" s="25">
        <f t="shared" ref="S129:AB129" si="296">S16</f>
        <v>-16.8</v>
      </c>
      <c r="T129" s="25">
        <f t="shared" si="296"/>
        <v>-18.816000000000003</v>
      </c>
      <c r="U129" s="25">
        <f t="shared" si="296"/>
        <v>-21.073920000000005</v>
      </c>
      <c r="V129" s="25">
        <f t="shared" si="296"/>
        <v>-23.602790400000007</v>
      </c>
      <c r="W129" s="25">
        <f t="shared" si="296"/>
        <v>-26.435125248000009</v>
      </c>
      <c r="X129" s="25">
        <f t="shared" si="296"/>
        <v>-29.607340277760013</v>
      </c>
      <c r="Y129" s="25">
        <f t="shared" si="296"/>
        <v>-33.160221111091218</v>
      </c>
      <c r="Z129" s="25">
        <f t="shared" si="296"/>
        <v>-37.13944764442217</v>
      </c>
      <c r="AA129" s="25">
        <f t="shared" si="296"/>
        <v>-41.596181361752834</v>
      </c>
      <c r="AB129" s="25">
        <f t="shared" si="296"/>
        <v>-46.58772312516318</v>
      </c>
      <c r="AC129" s="118">
        <f t="shared" si="288"/>
        <v>0.12000000000000011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97">G129*365/G25</f>
        <v>97.862318840579704</v>
      </c>
      <c r="H130" s="119" t="e">
        <f t="shared" si="297"/>
        <v>#DIV/0!</v>
      </c>
      <c r="I130" s="119" t="e">
        <f t="shared" si="297"/>
        <v>#DIV/0!</v>
      </c>
      <c r="J130" s="119" t="e">
        <f t="shared" si="297"/>
        <v>#DIV/0!</v>
      </c>
      <c r="K130" s="119" t="e">
        <f t="shared" si="297"/>
        <v>#DIV/0!</v>
      </c>
      <c r="L130" s="119" t="e">
        <f t="shared" si="297"/>
        <v>#DIV/0!</v>
      </c>
      <c r="M130" s="119" t="e">
        <f t="shared" si="297"/>
        <v>#DIV/0!</v>
      </c>
      <c r="N130" s="119" t="e">
        <f t="shared" si="297"/>
        <v>#DIV/0!</v>
      </c>
      <c r="O130" s="119">
        <f t="shared" si="297"/>
        <v>97.862318840579704</v>
      </c>
      <c r="P130" s="119">
        <f t="shared" si="297"/>
        <v>-23.599137931034484</v>
      </c>
      <c r="Q130" s="118">
        <f t="shared" si="217"/>
        <v>-1.8538164447138183</v>
      </c>
      <c r="R130" s="128"/>
      <c r="S130" s="119">
        <f t="shared" ref="S130:AB130" si="298">S129*365/S25</f>
        <v>-23.59913793103448</v>
      </c>
      <c r="T130" s="119">
        <f t="shared" si="298"/>
        <v>-23.59913793103448</v>
      </c>
      <c r="U130" s="119">
        <f t="shared" si="298"/>
        <v>-23.599137931034484</v>
      </c>
      <c r="V130" s="119">
        <f t="shared" si="298"/>
        <v>-23.59913793103448</v>
      </c>
      <c r="W130" s="119">
        <f t="shared" si="298"/>
        <v>-23.59913793103448</v>
      </c>
      <c r="X130" s="119">
        <f t="shared" si="298"/>
        <v>-23.59913793103448</v>
      </c>
      <c r="Y130" s="119">
        <f t="shared" si="298"/>
        <v>-23.599137931034477</v>
      </c>
      <c r="Z130" s="119">
        <f t="shared" si="298"/>
        <v>-23.599137931034477</v>
      </c>
      <c r="AA130" s="119">
        <f t="shared" si="298"/>
        <v>-23.59913793103448</v>
      </c>
      <c r="AB130" s="119">
        <f t="shared" si="298"/>
        <v>-23.59913793103448</v>
      </c>
      <c r="AC130" s="118">
        <f t="shared" si="288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 t="e">
        <f>G78/G29</f>
        <v>#DIV/0!</v>
      </c>
      <c r="H131" s="133" t="e">
        <f t="shared" ref="H131:P131" si="299">H78/H29</f>
        <v>#DIV/0!</v>
      </c>
      <c r="I131" s="133" t="e">
        <f t="shared" si="299"/>
        <v>#DIV/0!</v>
      </c>
      <c r="J131" s="133" t="e">
        <f t="shared" si="299"/>
        <v>#DIV/0!</v>
      </c>
      <c r="K131" s="133" t="e">
        <f t="shared" si="299"/>
        <v>#DIV/0!</v>
      </c>
      <c r="L131" s="133" t="e">
        <f t="shared" si="299"/>
        <v>#DIV/0!</v>
      </c>
      <c r="M131" s="133" t="e">
        <f t="shared" si="299"/>
        <v>#DIV/0!</v>
      </c>
      <c r="N131" s="133" t="e">
        <f t="shared" si="299"/>
        <v>#DIV/0!</v>
      </c>
      <c r="O131" s="133" t="e">
        <f t="shared" si="299"/>
        <v>#DIV/0!</v>
      </c>
      <c r="P131" s="133" t="e">
        <f t="shared" si="299"/>
        <v>#DIV/0!</v>
      </c>
      <c r="Q131" s="118" t="e">
        <f t="shared" si="217"/>
        <v>#DIV/0!</v>
      </c>
      <c r="R131" s="128"/>
      <c r="S131" s="133" t="e">
        <f t="shared" ref="S131:AB131" si="300">S78/S29</f>
        <v>#DIV/0!</v>
      </c>
      <c r="T131" s="133" t="e">
        <f t="shared" si="300"/>
        <v>#DIV/0!</v>
      </c>
      <c r="U131" s="133" t="e">
        <f t="shared" si="300"/>
        <v>#DIV/0!</v>
      </c>
      <c r="V131" s="133" t="e">
        <f t="shared" si="300"/>
        <v>#DIV/0!</v>
      </c>
      <c r="W131" s="133" t="e">
        <f t="shared" si="300"/>
        <v>#DIV/0!</v>
      </c>
      <c r="X131" s="133" t="e">
        <f t="shared" si="300"/>
        <v>#DIV/0!</v>
      </c>
      <c r="Y131" s="133" t="e">
        <f t="shared" si="300"/>
        <v>#DIV/0!</v>
      </c>
      <c r="Z131" s="133" t="e">
        <f t="shared" si="300"/>
        <v>#DIV/0!</v>
      </c>
      <c r="AA131" s="133" t="e">
        <f t="shared" si="300"/>
        <v>#DIV/0!</v>
      </c>
      <c r="AB131" s="133" t="e">
        <f t="shared" si="300"/>
        <v>#DIV/0!</v>
      </c>
      <c r="AC131" s="118" t="e">
        <f t="shared" si="288"/>
        <v>#DIV/0!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 t="e">
        <f>G25/G14</f>
        <v>#DIV/0!</v>
      </c>
      <c r="H133" s="180" t="e">
        <f t="shared" ref="H133:P133" si="301">H25/H14</f>
        <v>#DIV/0!</v>
      </c>
      <c r="I133" s="180" t="e">
        <f t="shared" si="301"/>
        <v>#DIV/0!</v>
      </c>
      <c r="J133" s="180" t="e">
        <f t="shared" si="301"/>
        <v>#DIV/0!</v>
      </c>
      <c r="K133" s="180" t="e">
        <f t="shared" si="301"/>
        <v>#DIV/0!</v>
      </c>
      <c r="L133" s="180" t="e">
        <f t="shared" si="301"/>
        <v>#DIV/0!</v>
      </c>
      <c r="M133" s="180" t="e">
        <f t="shared" si="301"/>
        <v>#DIV/0!</v>
      </c>
      <c r="N133" s="180" t="e">
        <f t="shared" si="301"/>
        <v>#DIV/0!</v>
      </c>
      <c r="O133" s="180" t="e">
        <f t="shared" si="301"/>
        <v>#DIV/0!</v>
      </c>
      <c r="P133" s="180" t="e">
        <f t="shared" si="301"/>
        <v>#DIV/0!</v>
      </c>
      <c r="Q133" s="118" t="e">
        <f t="shared" si="217"/>
        <v>#DIV/0!</v>
      </c>
      <c r="R133" s="128"/>
      <c r="S133" s="20" t="e">
        <f t="shared" ref="S133" si="302">S25/S14</f>
        <v>#DIV/0!</v>
      </c>
      <c r="T133" s="20" t="e">
        <f t="shared" ref="T133:AB133" si="303">T25/T14</f>
        <v>#DIV/0!</v>
      </c>
      <c r="U133" s="20" t="e">
        <f t="shared" si="303"/>
        <v>#DIV/0!</v>
      </c>
      <c r="V133" s="20" t="e">
        <f t="shared" si="303"/>
        <v>#DIV/0!</v>
      </c>
      <c r="W133" s="20" t="e">
        <f t="shared" si="303"/>
        <v>#DIV/0!</v>
      </c>
      <c r="X133" s="20" t="e">
        <f t="shared" si="303"/>
        <v>#DIV/0!</v>
      </c>
      <c r="Y133" s="20" t="e">
        <f t="shared" si="303"/>
        <v>#DIV/0!</v>
      </c>
      <c r="Z133" s="20" t="e">
        <f t="shared" si="303"/>
        <v>#DIV/0!</v>
      </c>
      <c r="AA133" s="20" t="e">
        <f t="shared" si="303"/>
        <v>#DIV/0!</v>
      </c>
      <c r="AB133" s="20" t="e">
        <f t="shared" si="303"/>
        <v>#DIV/0!</v>
      </c>
      <c r="AC133" s="118" t="e">
        <f t="shared" si="288"/>
        <v>#DIV/0!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 t="e">
        <f>G27/G14</f>
        <v>#DIV/0!</v>
      </c>
      <c r="H134" s="180" t="e">
        <f t="shared" ref="H134:P134" si="304">H27/H14</f>
        <v>#DIV/0!</v>
      </c>
      <c r="I134" s="180" t="e">
        <f t="shared" si="304"/>
        <v>#DIV/0!</v>
      </c>
      <c r="J134" s="180" t="e">
        <f t="shared" si="304"/>
        <v>#DIV/0!</v>
      </c>
      <c r="K134" s="180" t="e">
        <f t="shared" si="304"/>
        <v>#DIV/0!</v>
      </c>
      <c r="L134" s="180" t="e">
        <f t="shared" si="304"/>
        <v>#DIV/0!</v>
      </c>
      <c r="M134" s="180" t="e">
        <f t="shared" si="304"/>
        <v>#DIV/0!</v>
      </c>
      <c r="N134" s="180" t="e">
        <f t="shared" si="304"/>
        <v>#DIV/0!</v>
      </c>
      <c r="O134" s="180" t="e">
        <f t="shared" si="304"/>
        <v>#DIV/0!</v>
      </c>
      <c r="P134" s="180" t="e">
        <f t="shared" si="304"/>
        <v>#DIV/0!</v>
      </c>
      <c r="Q134" s="118" t="e">
        <f t="shared" si="217"/>
        <v>#DIV/0!</v>
      </c>
      <c r="R134" s="128"/>
      <c r="S134" s="20" t="e">
        <f t="shared" ref="S134:AB134" si="305">S27/S14</f>
        <v>#DIV/0!</v>
      </c>
      <c r="T134" s="20" t="e">
        <f t="shared" si="305"/>
        <v>#DIV/0!</v>
      </c>
      <c r="U134" s="20" t="e">
        <f t="shared" si="305"/>
        <v>#DIV/0!</v>
      </c>
      <c r="V134" s="20" t="e">
        <f t="shared" si="305"/>
        <v>#DIV/0!</v>
      </c>
      <c r="W134" s="20" t="e">
        <f t="shared" si="305"/>
        <v>#DIV/0!</v>
      </c>
      <c r="X134" s="20" t="e">
        <f t="shared" si="305"/>
        <v>#DIV/0!</v>
      </c>
      <c r="Y134" s="20" t="e">
        <f t="shared" si="305"/>
        <v>#DIV/0!</v>
      </c>
      <c r="Z134" s="20" t="e">
        <f t="shared" si="305"/>
        <v>#DIV/0!</v>
      </c>
      <c r="AA134" s="20" t="e">
        <f t="shared" si="305"/>
        <v>#DIV/0!</v>
      </c>
      <c r="AB134" s="20" t="e">
        <f t="shared" si="305"/>
        <v>#DIV/0!</v>
      </c>
      <c r="AC134" s="118" t="e">
        <f t="shared" si="288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 t="e">
        <f>AVERAGE(G52:P52)</f>
        <v>#DIV/0!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91.415462440377595</v>
      </c>
      <c r="S138" s="133">
        <f>PV($C$1, ($AB$3-$S$3), 0, -AB52)</f>
        <v>12.738220176118189</v>
      </c>
      <c r="T138" s="133">
        <f>PV($C$1, ($AB$3-$S$3), 0, -AE52)</f>
        <v>78.677242264259405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306">S139+T139</f>
        <v>340.00136907649204</v>
      </c>
      <c r="S139" s="133">
        <f>PV($C$1, ($AB$3-$S$3), 0, -AB54)</f>
        <v>47.377239953281666</v>
      </c>
      <c r="T139" s="133">
        <f>PV($C$1, ($AB$3-$S$3), 0, -AE54)</f>
        <v>292.62412912321037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306"/>
        <v>316.7465584556943</v>
      </c>
      <c r="S140" s="133">
        <f>PV($C$1, ($AB$3-$S$3), 0, -AB55)</f>
        <v>44.136815522514773</v>
      </c>
      <c r="T140" s="133">
        <f>PV($C$1, ($AB$3-$S$3), 0, -AE55)</f>
        <v>272.60974293317952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6"/>
        <v>0</v>
      </c>
      <c r="S141" s="133">
        <f>PV($C$1, ($AB$3-$S$3), 0, -AB56)</f>
        <v>0</v>
      </c>
      <c r="T141" s="133">
        <f>PV($C$1, ($AB$3-$S$3), 0, -AE56)</f>
        <v>0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6"/>
        <v>27.264260727831914</v>
      </c>
      <c r="S142" s="133">
        <f>PV($C$1, ($AB$3-$S$3), 0, -AB62)</f>
        <v>3.7991182981405123</v>
      </c>
      <c r="T142" s="133">
        <f>PV($C$1, ($AB$3-$S$3), 0, -AE62)</f>
        <v>23.465142429691401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06"/>
        <v>340.00136907649204</v>
      </c>
      <c r="S144" s="133">
        <f>PV($C$1, ($AB$3-$S$3), 0, -AB58)</f>
        <v>47.377239953281666</v>
      </c>
      <c r="T144" s="133">
        <f>PV($C$1, ($AB$3-$S$3), 0, -$AE$58)</f>
        <v>292.62412912321037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6"/>
        <v>295.09552787771014</v>
      </c>
      <c r="S145" s="133">
        <f>PV($C$1, ($AB$3-$S$3), 0, -AB59)</f>
        <v>41.119868638697305</v>
      </c>
      <c r="T145" s="133">
        <f>PV($C$1, ($AB$3-$S$3), 0, -$AE$59)</f>
        <v>253.97565923901283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6"/>
        <v>345.61459922633981</v>
      </c>
      <c r="S146" s="133">
        <f>PV($C$1, ($AB$3-$S$3), 0, -AB60)</f>
        <v>48.159411367604719</v>
      </c>
      <c r="T146" s="133">
        <f>PV($C$1, ($AB$3-$S$3), 0, -$AE$60)</f>
        <v>297.45518785873509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06"/>
        <v>50.519071348629708</v>
      </c>
      <c r="S148" s="133">
        <f>PV($C$1, ($AB$3-$S$3), 0, -AB65)</f>
        <v>7.0395427289074171</v>
      </c>
      <c r="T148" s="133">
        <f>PV($C$1, ($AB$3-$S$3), 0, -AE65)</f>
        <v>43.479528619722288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06"/>
        <v>-9.294634339033605</v>
      </c>
      <c r="S149" s="133">
        <f>PV($C$1, ($AB$3-$S$3), 0, -AB66)</f>
        <v>-1.6760816021208143</v>
      </c>
      <c r="T149" s="133">
        <f>PV($C$1, ($AB$3-$S$3), 0, -AE66)</f>
        <v>-7.6185527369127914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7">S151+T151</f>
        <v>126.57023223748023</v>
      </c>
      <c r="S151" s="133">
        <f>PV($C$1, ($AB$3-$S$3), 0, -AB12)</f>
        <v>17.636835639648883</v>
      </c>
      <c r="T151" s="133">
        <f>PV($C$1, ($AB$3-$S$3), 0, -AE12)</f>
        <v>108.93339659783135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44.410607802624639</v>
      </c>
      <c r="S152" s="140">
        <f>S151/P42</f>
        <v>6.1883633823329411</v>
      </c>
      <c r="T152" s="140">
        <f>T151/P42</f>
        <v>38.222244420291702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8">S155+T155</f>
        <v>189.53369873006184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155.9270746545501</v>
      </c>
      <c r="T155" s="133">
        <f>PV($C$1, ($AB$3-$S$3), 0, -AE68)</f>
        <v>33.606624075511753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6"/>
        <v>54.208193299729572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44.596423011685594</v>
      </c>
      <c r="T157" s="133">
        <f>PV($C$1, ($AB$3-$S$3), 0, -AE70)</f>
        <v>9.6117702880439744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309">S159+T159</f>
        <v>11.676887128843283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9.6064333850469765</v>
      </c>
      <c r="T159" s="133">
        <f>PV($C$1, ($AB$3-$S$3), 0, -AE72)</f>
        <v>2.0704537437963069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09"/>
        <v>350.30661386529732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288.19300155140832</v>
      </c>
      <c r="T160" s="133">
        <f>PV($C$1, ($AB$3-$S$3), 0, -AE73)</f>
        <v>62.113612313889007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09"/>
        <v>-338.62972673645407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-278.58656816636136</v>
      </c>
      <c r="T161" s="133">
        <f>PV($C$1, ($AB$3-$S$3), 0, -AE74)</f>
        <v>-60.043158570092693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09"/>
        <v>-155.69182838457658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-128.08577846729258</v>
      </c>
      <c r="T162" s="133">
        <f>PV($C$1, ($AB$3-$S$3), 0, -AE75)</f>
        <v>-27.606049917284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120.66116699804684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99.266478312151747</v>
      </c>
      <c r="T164" s="133">
        <f>PV($C$1, ($AB$3-$S$3), 0, -AE76)</f>
        <v>21.394688685895098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740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800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350</v>
      </c>
      <c r="Q167" s="118" t="e">
        <f t="shared" ref="Q167:Q172" si="310">((P167/G167)^(1/($H$2-$H$1) ))-1</f>
        <v>#DIV/0!</v>
      </c>
      <c r="R167" s="31">
        <f>L2-3%</f>
        <v>0.09</v>
      </c>
      <c r="S167" s="119">
        <f t="shared" ref="S167" si="311">P167*(1+$R167)</f>
        <v>381.5</v>
      </c>
      <c r="T167" s="119">
        <f t="shared" ref="T167:AB167" si="312">S167*(1+$R167)</f>
        <v>415.83500000000004</v>
      </c>
      <c r="U167" s="119">
        <f t="shared" si="312"/>
        <v>453.26015000000007</v>
      </c>
      <c r="V167" s="119">
        <f t="shared" si="312"/>
        <v>494.05356350000011</v>
      </c>
      <c r="W167" s="119">
        <f t="shared" si="312"/>
        <v>538.5183842150002</v>
      </c>
      <c r="X167" s="119">
        <f t="shared" si="312"/>
        <v>586.9850387943502</v>
      </c>
      <c r="Y167" s="119">
        <f t="shared" si="312"/>
        <v>639.81369228584174</v>
      </c>
      <c r="Z167" s="119">
        <f t="shared" si="312"/>
        <v>697.39692459156754</v>
      </c>
      <c r="AA167" s="119">
        <f t="shared" si="312"/>
        <v>760.16264780480867</v>
      </c>
      <c r="AB167" s="119">
        <f t="shared" si="312"/>
        <v>828.57728610724155</v>
      </c>
      <c r="AC167" s="138" t="e">
        <f t="shared" ref="AC167:AC172" si="313">((AB167/G167)^(1/($AB$3-$H$1) ))-1</f>
        <v>#DIV/0!</v>
      </c>
      <c r="AD167" s="31">
        <v>0.08</v>
      </c>
      <c r="AE167" s="127" t="e">
        <f t="shared" ref="AE167:AE175" si="314">(AB167*(1+AC167))/($C$1-AD167)</f>
        <v>#DIV/0!</v>
      </c>
    </row>
    <row r="168" spans="2:31" x14ac:dyDescent="0.2">
      <c r="B168" s="20" t="s">
        <v>361</v>
      </c>
      <c r="C168" s="25" t="e">
        <f t="shared" ref="C168:P168" si="315">C167/C49</f>
        <v>#DIV/0!</v>
      </c>
      <c r="D168" s="25" t="e">
        <f t="shared" si="315"/>
        <v>#DIV/0!</v>
      </c>
      <c r="E168" s="25" t="e">
        <f t="shared" si="315"/>
        <v>#DIV/0!</v>
      </c>
      <c r="F168" s="25" t="e">
        <f t="shared" si="315"/>
        <v>#DIV/0!</v>
      </c>
      <c r="G168" s="25">
        <f t="shared" si="315"/>
        <v>0</v>
      </c>
      <c r="H168" s="25" t="e">
        <f t="shared" si="315"/>
        <v>#DIV/0!</v>
      </c>
      <c r="I168" s="25" t="e">
        <f t="shared" si="315"/>
        <v>#DIV/0!</v>
      </c>
      <c r="J168" s="25" t="e">
        <f t="shared" si="315"/>
        <v>#DIV/0!</v>
      </c>
      <c r="K168" s="25" t="e">
        <f t="shared" si="315"/>
        <v>#DIV/0!</v>
      </c>
      <c r="L168" s="25" t="e">
        <f t="shared" si="315"/>
        <v>#DIV/0!</v>
      </c>
      <c r="M168" s="25" t="e">
        <f t="shared" si="315"/>
        <v>#DIV/0!</v>
      </c>
      <c r="N168" s="25" t="e">
        <f t="shared" si="315"/>
        <v>#DIV/0!</v>
      </c>
      <c r="O168" s="25">
        <f t="shared" si="315"/>
        <v>0</v>
      </c>
      <c r="P168" s="25">
        <f t="shared" si="315"/>
        <v>4.2995689655172411</v>
      </c>
      <c r="Q168" s="118" t="e">
        <f t="shared" ref="Q168" si="316">((P168/G168)^(1/($H$2-$H$1) ))-1</f>
        <v>#DIV/0!</v>
      </c>
      <c r="R168" s="128"/>
      <c r="S168" s="25">
        <f t="shared" ref="S168:AB168" si="317">S167/S49</f>
        <v>4.3936220366379306</v>
      </c>
      <c r="T168" s="25">
        <f t="shared" si="317"/>
        <v>4.4897325186893857</v>
      </c>
      <c r="U168" s="25">
        <f t="shared" si="317"/>
        <v>4.5879454175357166</v>
      </c>
      <c r="V168" s="25">
        <f t="shared" si="317"/>
        <v>4.6883067235443106</v>
      </c>
      <c r="W168" s="25">
        <f t="shared" si="317"/>
        <v>4.7908634331218432</v>
      </c>
      <c r="X168" s="25">
        <f t="shared" si="317"/>
        <v>4.895663570721382</v>
      </c>
      <c r="Y168" s="25">
        <f t="shared" si="317"/>
        <v>5.0027562113309116</v>
      </c>
      <c r="Z168" s="25">
        <f t="shared" si="317"/>
        <v>5.1121915034537757</v>
      </c>
      <c r="AA168" s="25">
        <f t="shared" si="317"/>
        <v>5.2240206925918269</v>
      </c>
      <c r="AB168" s="25">
        <f t="shared" si="317"/>
        <v>5.3382961452422739</v>
      </c>
      <c r="AC168" s="138" t="e">
        <f t="shared" ref="AC168" si="318">((AB168/G168)^(1/($AB$3-$H$1) ))-1</f>
        <v>#DIV/0!</v>
      </c>
      <c r="AD168" s="31">
        <v>0.08</v>
      </c>
      <c r="AE168" s="127" t="e">
        <f t="shared" ref="AE168" si="319">(AB168*(1+AC168))/($C$1-AD168)</f>
        <v>#DIV/0!</v>
      </c>
    </row>
    <row r="169" spans="2:31" x14ac:dyDescent="0.2">
      <c r="B169" s="20" t="s">
        <v>389</v>
      </c>
      <c r="C169" s="25" t="e">
        <f t="shared" ref="C169:P169" si="320">C167/C52</f>
        <v>#DIV/0!</v>
      </c>
      <c r="D169" s="25" t="e">
        <f t="shared" si="320"/>
        <v>#DIV/0!</v>
      </c>
      <c r="E169" s="25" t="e">
        <f t="shared" si="320"/>
        <v>#DIV/0!</v>
      </c>
      <c r="F169" s="25" t="e">
        <f t="shared" si="320"/>
        <v>#DIV/0!</v>
      </c>
      <c r="G169" s="25">
        <f t="shared" si="320"/>
        <v>0</v>
      </c>
      <c r="H169" s="25" t="e">
        <f t="shared" si="320"/>
        <v>#DIV/0!</v>
      </c>
      <c r="I169" s="25" t="e">
        <f t="shared" si="320"/>
        <v>#DIV/0!</v>
      </c>
      <c r="J169" s="25" t="e">
        <f t="shared" si="320"/>
        <v>#DIV/0!</v>
      </c>
      <c r="K169" s="25" t="e">
        <f t="shared" si="320"/>
        <v>#DIV/0!</v>
      </c>
      <c r="L169" s="25" t="e">
        <f t="shared" si="320"/>
        <v>#DIV/0!</v>
      </c>
      <c r="M169" s="25" t="e">
        <f t="shared" si="320"/>
        <v>#DIV/0!</v>
      </c>
      <c r="N169" s="25" t="e">
        <f t="shared" si="320"/>
        <v>#DIV/0!</v>
      </c>
      <c r="O169" s="25">
        <f t="shared" si="320"/>
        <v>0</v>
      </c>
      <c r="P169" s="25">
        <f t="shared" si="320"/>
        <v>8.75</v>
      </c>
      <c r="Q169" s="118" t="e">
        <f t="shared" si="310"/>
        <v>#DIV/0!</v>
      </c>
      <c r="R169" s="128"/>
      <c r="S169" s="119">
        <f t="shared" ref="S169:AB169" si="321">S167/S52</f>
        <v>8.94140625</v>
      </c>
      <c r="T169" s="119">
        <f t="shared" si="321"/>
        <v>9.1369995117187504</v>
      </c>
      <c r="U169" s="119">
        <f t="shared" si="321"/>
        <v>9.3368713760375979</v>
      </c>
      <c r="V169" s="119">
        <f t="shared" si="321"/>
        <v>9.5411154373884202</v>
      </c>
      <c r="W169" s="119">
        <f t="shared" si="321"/>
        <v>9.7498273375812943</v>
      </c>
      <c r="X169" s="119">
        <f t="shared" si="321"/>
        <v>9.9631048105908828</v>
      </c>
      <c r="Y169" s="119">
        <f t="shared" si="321"/>
        <v>10.181047728322557</v>
      </c>
      <c r="Z169" s="119">
        <f t="shared" si="321"/>
        <v>10.403758147379616</v>
      </c>
      <c r="AA169" s="119">
        <f t="shared" si="321"/>
        <v>10.631340356853544</v>
      </c>
      <c r="AB169" s="119">
        <f t="shared" si="321"/>
        <v>10.863900927159717</v>
      </c>
      <c r="AC169" s="138" t="e">
        <f t="shared" si="313"/>
        <v>#DIV/0!</v>
      </c>
      <c r="AD169" s="31">
        <v>0.08</v>
      </c>
      <c r="AE169" s="127" t="e">
        <f t="shared" si="314"/>
        <v>#DIV/0!</v>
      </c>
    </row>
    <row r="170" spans="2:31" x14ac:dyDescent="0.2">
      <c r="B170" s="20" t="s">
        <v>258</v>
      </c>
      <c r="C170" s="25" t="e">
        <f t="shared" ref="C170:P170" si="322">C167/C55</f>
        <v>#DIV/0!</v>
      </c>
      <c r="D170" s="25" t="e">
        <f t="shared" si="322"/>
        <v>#DIV/0!</v>
      </c>
      <c r="E170" s="25" t="e">
        <f t="shared" si="322"/>
        <v>#DIV/0!</v>
      </c>
      <c r="F170" s="25" t="e">
        <f t="shared" si="322"/>
        <v>#DIV/0!</v>
      </c>
      <c r="G170" s="25">
        <f t="shared" si="322"/>
        <v>0</v>
      </c>
      <c r="H170" s="25" t="e">
        <f t="shared" si="322"/>
        <v>#DIV/0!</v>
      </c>
      <c r="I170" s="25" t="e">
        <f t="shared" si="322"/>
        <v>#DIV/0!</v>
      </c>
      <c r="J170" s="25" t="e">
        <f t="shared" si="322"/>
        <v>#DIV/0!</v>
      </c>
      <c r="K170" s="25" t="e">
        <f t="shared" si="322"/>
        <v>#DIV/0!</v>
      </c>
      <c r="L170" s="25" t="e">
        <f t="shared" si="322"/>
        <v>#DIV/0!</v>
      </c>
      <c r="M170" s="25" t="e">
        <f t="shared" si="322"/>
        <v>#DIV/0!</v>
      </c>
      <c r="N170" s="25" t="e">
        <f t="shared" si="322"/>
        <v>#DIV/0!</v>
      </c>
      <c r="O170" s="25">
        <f t="shared" si="322"/>
        <v>0</v>
      </c>
      <c r="P170" s="25">
        <f t="shared" si="322"/>
        <v>2.5253164556962027</v>
      </c>
      <c r="Q170" s="118" t="e">
        <f t="shared" si="310"/>
        <v>#DIV/0!</v>
      </c>
      <c r="R170" s="128"/>
      <c r="S170" s="119">
        <f t="shared" ref="S170:AB170" si="323">S167/S55</f>
        <v>2.5805577531645572</v>
      </c>
      <c r="T170" s="119">
        <f t="shared" si="323"/>
        <v>2.6370074540150314</v>
      </c>
      <c r="U170" s="119">
        <f t="shared" si="323"/>
        <v>2.6946919920716104</v>
      </c>
      <c r="V170" s="119">
        <f t="shared" si="323"/>
        <v>2.7536383793981769</v>
      </c>
      <c r="W170" s="119">
        <f t="shared" si="323"/>
        <v>2.8138742189475119</v>
      </c>
      <c r="X170" s="119">
        <f t="shared" si="323"/>
        <v>2.8754277174869887</v>
      </c>
      <c r="Y170" s="119">
        <f t="shared" si="323"/>
        <v>2.9383276988070164</v>
      </c>
      <c r="Z170" s="119">
        <f t="shared" si="323"/>
        <v>3.0026036172184201</v>
      </c>
      <c r="AA170" s="119">
        <f t="shared" si="323"/>
        <v>3.0682855713450734</v>
      </c>
      <c r="AB170" s="119">
        <f t="shared" si="323"/>
        <v>3.1354043182182476</v>
      </c>
      <c r="AC170" s="138" t="e">
        <f t="shared" si="313"/>
        <v>#DIV/0!</v>
      </c>
      <c r="AD170" s="31">
        <v>0.08</v>
      </c>
      <c r="AE170" s="127" t="e">
        <f t="shared" si="314"/>
        <v>#DIV/0!</v>
      </c>
    </row>
    <row r="171" spans="2:31" x14ac:dyDescent="0.2">
      <c r="B171" s="20" t="s">
        <v>259</v>
      </c>
      <c r="C171" s="25" t="e">
        <f t="shared" ref="C171:P171" si="324">C167/C64</f>
        <v>#DIV/0!</v>
      </c>
      <c r="D171" s="25" t="e">
        <f t="shared" si="324"/>
        <v>#DIV/0!</v>
      </c>
      <c r="E171" s="25" t="e">
        <f t="shared" si="324"/>
        <v>#DIV/0!</v>
      </c>
      <c r="F171" s="25" t="e">
        <f t="shared" si="324"/>
        <v>#DIV/0!</v>
      </c>
      <c r="G171" s="25">
        <f t="shared" si="324"/>
        <v>0</v>
      </c>
      <c r="H171" s="25" t="e">
        <f t="shared" si="324"/>
        <v>#DIV/0!</v>
      </c>
      <c r="I171" s="25" t="e">
        <f t="shared" si="324"/>
        <v>#DIV/0!</v>
      </c>
      <c r="J171" s="25" t="e">
        <f t="shared" si="324"/>
        <v>#DIV/0!</v>
      </c>
      <c r="K171" s="25" t="e">
        <f t="shared" si="324"/>
        <v>#DIV/0!</v>
      </c>
      <c r="L171" s="25" t="e">
        <f t="shared" si="324"/>
        <v>#DIV/0!</v>
      </c>
      <c r="M171" s="25" t="e">
        <f t="shared" si="324"/>
        <v>#DIV/0!</v>
      </c>
      <c r="N171" s="25" t="e">
        <f t="shared" si="324"/>
        <v>#DIV/0!</v>
      </c>
      <c r="O171" s="25">
        <f t="shared" si="324"/>
        <v>0</v>
      </c>
      <c r="P171" s="25">
        <f t="shared" si="324"/>
        <v>2.3978365384615383</v>
      </c>
      <c r="Q171" s="118" t="e">
        <f t="shared" si="310"/>
        <v>#DIV/0!</v>
      </c>
      <c r="R171" s="128"/>
      <c r="S171" s="119">
        <f t="shared" ref="S171:AB171" si="325">S167/S64</f>
        <v>2.4502892127403846</v>
      </c>
      <c r="T171" s="119">
        <f t="shared" si="325"/>
        <v>2.5038892892690807</v>
      </c>
      <c r="U171" s="119">
        <f t="shared" si="325"/>
        <v>2.5586618674718418</v>
      </c>
      <c r="V171" s="119">
        <f t="shared" si="325"/>
        <v>2.6146325958227887</v>
      </c>
      <c r="W171" s="119">
        <f t="shared" si="325"/>
        <v>2.6718276838564123</v>
      </c>
      <c r="X171" s="119">
        <f t="shared" si="325"/>
        <v>2.7302739144407711</v>
      </c>
      <c r="Y171" s="119">
        <f t="shared" si="325"/>
        <v>2.7899986563191628</v>
      </c>
      <c r="Z171" s="119">
        <f t="shared" si="325"/>
        <v>2.8510298769261446</v>
      </c>
      <c r="AA171" s="119">
        <f t="shared" si="325"/>
        <v>2.9133961554839045</v>
      </c>
      <c r="AB171" s="119">
        <f t="shared" si="325"/>
        <v>2.9771266963851155</v>
      </c>
      <c r="AC171" s="138" t="e">
        <f t="shared" si="313"/>
        <v>#DIV/0!</v>
      </c>
      <c r="AD171" s="31">
        <v>0.08</v>
      </c>
      <c r="AE171" s="127" t="e">
        <f t="shared" si="314"/>
        <v>#DIV/0!</v>
      </c>
    </row>
    <row r="172" spans="2:31" x14ac:dyDescent="0.2">
      <c r="B172" s="20" t="s">
        <v>260</v>
      </c>
      <c r="C172" s="25" t="e">
        <f t="shared" ref="C172:P172" si="326">C167/C66</f>
        <v>#DIV/0!</v>
      </c>
      <c r="D172" s="25" t="e">
        <f t="shared" si="326"/>
        <v>#DIV/0!</v>
      </c>
      <c r="E172" s="25" t="e">
        <f t="shared" si="326"/>
        <v>#DIV/0!</v>
      </c>
      <c r="F172" s="25" t="e">
        <f t="shared" si="326"/>
        <v>#DIV/0!</v>
      </c>
      <c r="G172" s="25">
        <f t="shared" si="326"/>
        <v>0</v>
      </c>
      <c r="H172" s="25" t="e">
        <f t="shared" si="326"/>
        <v>#DIV/0!</v>
      </c>
      <c r="I172" s="25" t="e">
        <f t="shared" si="326"/>
        <v>#DIV/0!</v>
      </c>
      <c r="J172" s="25" t="e">
        <f t="shared" si="326"/>
        <v>#DIV/0!</v>
      </c>
      <c r="K172" s="25" t="e">
        <f t="shared" si="326"/>
        <v>#DIV/0!</v>
      </c>
      <c r="L172" s="25" t="e">
        <f t="shared" si="326"/>
        <v>#DIV/0!</v>
      </c>
      <c r="M172" s="25" t="e">
        <f t="shared" si="326"/>
        <v>#DIV/0!</v>
      </c>
      <c r="N172" s="25" t="e">
        <f t="shared" si="326"/>
        <v>#DIV/0!</v>
      </c>
      <c r="O172" s="25">
        <f t="shared" si="326"/>
        <v>0</v>
      </c>
      <c r="P172" s="25">
        <f t="shared" si="326"/>
        <v>-66.5</v>
      </c>
      <c r="Q172" s="118" t="e">
        <f t="shared" si="310"/>
        <v>#DIV/0!</v>
      </c>
      <c r="R172" s="128"/>
      <c r="S172" s="119">
        <f t="shared" ref="S172:AB172" si="327">S167/S66</f>
        <v>-67.954687500000006</v>
      </c>
      <c r="T172" s="119">
        <f t="shared" si="327"/>
        <v>-69.441196289062503</v>
      </c>
      <c r="U172" s="119">
        <f t="shared" si="327"/>
        <v>-70.960222457885749</v>
      </c>
      <c r="V172" s="119">
        <f t="shared" si="327"/>
        <v>-72.512477324152002</v>
      </c>
      <c r="W172" s="119">
        <f t="shared" si="327"/>
        <v>-74.098687765617839</v>
      </c>
      <c r="X172" s="119">
        <f t="shared" si="327"/>
        <v>-75.719596560490714</v>
      </c>
      <c r="Y172" s="119">
        <f t="shared" si="327"/>
        <v>-77.375962735251449</v>
      </c>
      <c r="Z172" s="119">
        <f t="shared" si="327"/>
        <v>-79.068561920085074</v>
      </c>
      <c r="AA172" s="119">
        <f t="shared" si="327"/>
        <v>-80.798186712086945</v>
      </c>
      <c r="AB172" s="119">
        <f t="shared" si="327"/>
        <v>-82.565647046413844</v>
      </c>
      <c r="AC172" s="138" t="e">
        <f t="shared" si="313"/>
        <v>#DIV/0!</v>
      </c>
      <c r="AD172" s="31">
        <v>0.08</v>
      </c>
      <c r="AE172" s="127" t="e">
        <f t="shared" si="314"/>
        <v>#DIV/0!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28">G167/G60</f>
        <v>0</v>
      </c>
      <c r="H173" s="182" t="e">
        <f t="shared" si="328"/>
        <v>#DIV/0!</v>
      </c>
      <c r="I173" s="182" t="e">
        <f t="shared" si="328"/>
        <v>#DIV/0!</v>
      </c>
      <c r="J173" s="182" t="e">
        <f t="shared" si="328"/>
        <v>#DIV/0!</v>
      </c>
      <c r="K173" s="182" t="e">
        <f t="shared" si="328"/>
        <v>#DIV/0!</v>
      </c>
      <c r="L173" s="182" t="e">
        <f t="shared" si="328"/>
        <v>#DIV/0!</v>
      </c>
      <c r="M173" s="182" t="e">
        <f t="shared" si="328"/>
        <v>#DIV/0!</v>
      </c>
      <c r="N173" s="182" t="e">
        <f t="shared" si="328"/>
        <v>#DIV/0!</v>
      </c>
      <c r="O173" s="182">
        <f t="shared" si="328"/>
        <v>0</v>
      </c>
      <c r="P173" s="182">
        <f t="shared" si="328"/>
        <v>2.3143851508120648</v>
      </c>
      <c r="Q173" s="118" t="e">
        <f t="shared" ref="Q173:Q175" si="329">((P173/G173)^(1/($H$2-$H$1) ))-1</f>
        <v>#DIV/0!</v>
      </c>
      <c r="R173" s="128"/>
      <c r="S173" s="135">
        <f t="shared" ref="S173:AB173" si="330">S167/S60</f>
        <v>2.3650123259860787</v>
      </c>
      <c r="T173" s="135">
        <f t="shared" si="330"/>
        <v>2.4167469706170244</v>
      </c>
      <c r="U173" s="135">
        <f t="shared" si="330"/>
        <v>2.4696133105992719</v>
      </c>
      <c r="V173" s="135">
        <f t="shared" si="330"/>
        <v>2.5236361017686306</v>
      </c>
      <c r="W173" s="135">
        <f t="shared" si="330"/>
        <v>2.5788406414948204</v>
      </c>
      <c r="X173" s="135">
        <f t="shared" si="330"/>
        <v>2.635252780527519</v>
      </c>
      <c r="Y173" s="135">
        <f t="shared" si="330"/>
        <v>2.6928989351015584</v>
      </c>
      <c r="Z173" s="135">
        <f t="shared" si="330"/>
        <v>2.7518060993069056</v>
      </c>
      <c r="AA173" s="135">
        <f t="shared" si="330"/>
        <v>2.812001857729244</v>
      </c>
      <c r="AB173" s="135">
        <f t="shared" si="330"/>
        <v>2.8735143983670715</v>
      </c>
      <c r="AC173" s="138" t="e">
        <f t="shared" ref="AC173" si="331">((AB173/G173)^(1/($AB$3-$H$1) ))-1</f>
        <v>#DIV/0!</v>
      </c>
      <c r="AD173" s="31">
        <v>0.08</v>
      </c>
      <c r="AE173" s="127" t="e">
        <f t="shared" si="314"/>
        <v>#DIV/0!</v>
      </c>
    </row>
    <row r="174" spans="2:31" x14ac:dyDescent="0.2">
      <c r="B174" s="20" t="s">
        <v>371</v>
      </c>
      <c r="C174" s="161" t="e">
        <f t="shared" ref="C174:P174" si="332">C52/C167</f>
        <v>#DIV/0!</v>
      </c>
      <c r="D174" s="161" t="e">
        <f t="shared" si="332"/>
        <v>#DIV/0!</v>
      </c>
      <c r="E174" s="161" t="e">
        <f t="shared" si="332"/>
        <v>#DIV/0!</v>
      </c>
      <c r="F174" s="161" t="e">
        <f t="shared" si="332"/>
        <v>#DIV/0!</v>
      </c>
      <c r="G174" s="161" t="e">
        <f t="shared" si="332"/>
        <v>#DIV/0!</v>
      </c>
      <c r="H174" s="161" t="e">
        <f t="shared" si="332"/>
        <v>#DIV/0!</v>
      </c>
      <c r="I174" s="161" t="e">
        <f t="shared" si="332"/>
        <v>#DIV/0!</v>
      </c>
      <c r="J174" s="161" t="e">
        <f t="shared" si="332"/>
        <v>#DIV/0!</v>
      </c>
      <c r="K174" s="161" t="e">
        <f t="shared" si="332"/>
        <v>#DIV/0!</v>
      </c>
      <c r="L174" s="161" t="e">
        <f t="shared" si="332"/>
        <v>#DIV/0!</v>
      </c>
      <c r="M174" s="161" t="e">
        <f t="shared" si="332"/>
        <v>#DIV/0!</v>
      </c>
      <c r="N174" s="161" t="e">
        <f t="shared" si="332"/>
        <v>#DIV/0!</v>
      </c>
      <c r="O174" s="161" t="e">
        <f t="shared" si="332"/>
        <v>#DIV/0!</v>
      </c>
      <c r="P174" s="161">
        <f t="shared" si="332"/>
        <v>0.11428571428571428</v>
      </c>
      <c r="Q174" s="118" t="e">
        <f t="shared" si="329"/>
        <v>#DIV/0!</v>
      </c>
      <c r="R174" s="128"/>
      <c r="S174" s="161">
        <f t="shared" ref="S174:AB174" si="333">S52/S167</f>
        <v>0.11183923110528614</v>
      </c>
      <c r="T174" s="161">
        <f t="shared" si="333"/>
        <v>0.10944511912443904</v>
      </c>
      <c r="U174" s="161">
        <f t="shared" si="333"/>
        <v>0.10710225724715747</v>
      </c>
      <c r="V174" s="161">
        <f t="shared" si="333"/>
        <v>0.10480954837642321</v>
      </c>
      <c r="W174" s="161">
        <f t="shared" si="333"/>
        <v>0.1025659189004753</v>
      </c>
      <c r="X174" s="161">
        <f t="shared" si="333"/>
        <v>0.1003703181900676</v>
      </c>
      <c r="Y174" s="161">
        <f t="shared" si="333"/>
        <v>9.8221718106488179E-2</v>
      </c>
      <c r="Z174" s="161">
        <f t="shared" si="333"/>
        <v>9.6119112520110725E-2</v>
      </c>
      <c r="AA174" s="161">
        <f t="shared" si="333"/>
        <v>9.4061516839252096E-2</v>
      </c>
      <c r="AB174" s="161">
        <f t="shared" si="333"/>
        <v>9.2047967549115192E-2</v>
      </c>
      <c r="AC174" s="138" t="e">
        <f t="shared" ref="AC174:AC175" si="334">((AB174/G174)^(1/($AB$3-$H$1) ))-1</f>
        <v>#DIV/0!</v>
      </c>
      <c r="AD174" s="31">
        <v>0.08</v>
      </c>
      <c r="AE174" s="127" t="e">
        <f t="shared" si="314"/>
        <v>#DIV/0!</v>
      </c>
    </row>
    <row r="175" spans="2:31" x14ac:dyDescent="0.2">
      <c r="B175" s="20" t="s">
        <v>320</v>
      </c>
      <c r="C175" s="152" t="e">
        <f t="shared" ref="C175:P175" si="335">C43/C167</f>
        <v>#DIV/0!</v>
      </c>
      <c r="D175" s="152" t="e">
        <f t="shared" si="335"/>
        <v>#DIV/0!</v>
      </c>
      <c r="E175" s="152" t="e">
        <f t="shared" si="335"/>
        <v>#DIV/0!</v>
      </c>
      <c r="F175" s="152" t="e">
        <f t="shared" si="335"/>
        <v>#DIV/0!</v>
      </c>
      <c r="G175" s="152" t="e">
        <f t="shared" si="335"/>
        <v>#DIV/0!</v>
      </c>
      <c r="H175" s="152" t="e">
        <f t="shared" si="335"/>
        <v>#DIV/0!</v>
      </c>
      <c r="I175" s="152" t="e">
        <f t="shared" si="335"/>
        <v>#DIV/0!</v>
      </c>
      <c r="J175" s="152" t="e">
        <f t="shared" si="335"/>
        <v>#DIV/0!</v>
      </c>
      <c r="K175" s="152" t="e">
        <f t="shared" si="335"/>
        <v>#DIV/0!</v>
      </c>
      <c r="L175" s="152" t="e">
        <f t="shared" si="335"/>
        <v>#DIV/0!</v>
      </c>
      <c r="M175" s="152" t="e">
        <f t="shared" si="335"/>
        <v>#DIV/0!</v>
      </c>
      <c r="N175" s="152" t="e">
        <f t="shared" si="335"/>
        <v>#DIV/0!</v>
      </c>
      <c r="O175" s="152" t="e">
        <f t="shared" si="335"/>
        <v>#DIV/0!</v>
      </c>
      <c r="P175" s="152">
        <f t="shared" si="335"/>
        <v>5.7142857142857141E-2</v>
      </c>
      <c r="Q175" s="118" t="e">
        <f t="shared" si="329"/>
        <v>#DIV/0!</v>
      </c>
      <c r="R175" s="128"/>
      <c r="S175" s="152">
        <f t="shared" ref="S175:AB175" si="336">S43/S167</f>
        <v>5.5045871559633031E-2</v>
      </c>
      <c r="T175" s="152">
        <f t="shared" si="336"/>
        <v>5.3025839575793279E-2</v>
      </c>
      <c r="U175" s="152">
        <f t="shared" si="336"/>
        <v>5.10799372060394E-2</v>
      </c>
      <c r="V175" s="152">
        <f t="shared" si="336"/>
        <v>4.9205444097560884E-2</v>
      </c>
      <c r="W175" s="152">
        <f t="shared" si="336"/>
        <v>4.7399739727008186E-2</v>
      </c>
      <c r="X175" s="152">
        <f t="shared" si="336"/>
        <v>4.566029973702624E-2</v>
      </c>
      <c r="Y175" s="152">
        <f t="shared" si="336"/>
        <v>4.3984692407227112E-2</v>
      </c>
      <c r="Z175" s="152">
        <f t="shared" si="336"/>
        <v>4.2370575254668322E-2</v>
      </c>
      <c r="AA175" s="152">
        <f t="shared" si="336"/>
        <v>4.0815691759084165E-2</v>
      </c>
      <c r="AB175" s="152">
        <f t="shared" si="336"/>
        <v>3.9317868208292077E-2</v>
      </c>
      <c r="AC175" s="138" t="e">
        <f t="shared" si="334"/>
        <v>#DIV/0!</v>
      </c>
      <c r="AD175" s="31">
        <v>0.08</v>
      </c>
      <c r="AE175" s="127" t="e">
        <f t="shared" si="314"/>
        <v>#DIV/0!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9" t="s">
        <v>351</v>
      </c>
      <c r="L178" s="20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0.45847514648553761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1.2529716496171983E-2</v>
      </c>
      <c r="N180" s="20"/>
      <c r="O180" s="20"/>
      <c r="P180" s="128">
        <f>(P167-R146)/P167</f>
        <v>1.2529716496171983E-2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2.8567516924308457E-2</v>
      </c>
      <c r="N181" s="20"/>
      <c r="O181" s="20"/>
      <c r="P181" s="128">
        <f>(P167-R139)/P167</f>
        <v>2.8567516924308457E-2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0.87311254913535807</v>
      </c>
      <c r="N182" s="20"/>
      <c r="O182" s="20"/>
      <c r="P182" s="128">
        <f>(P167-R152)/P167</f>
        <v>0.87311254913535807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0.65525380857700899</v>
      </c>
      <c r="N183" s="20"/>
      <c r="O183" s="20"/>
      <c r="P183" s="128">
        <f>(P167-R164)/P167</f>
        <v>0.65525380857700899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3.8286739535806071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0.26118703554393602</v>
      </c>
      <c r="Q185" s="20"/>
      <c r="R185" s="20"/>
      <c r="S185" s="185" t="e">
        <f>P167-S186</f>
        <v>#DIV/0!</v>
      </c>
      <c r="T185" s="185" t="e">
        <f>S185-T186</f>
        <v>#DIV/0!</v>
      </c>
      <c r="U185" s="185" t="e">
        <f t="shared" ref="U185:W185" si="337">T185-U186</f>
        <v>#DIV/0!</v>
      </c>
      <c r="V185" s="185" t="e">
        <f t="shared" si="337"/>
        <v>#DIV/0!</v>
      </c>
      <c r="W185" s="185" t="e">
        <f t="shared" si="337"/>
        <v>#DIV/0!</v>
      </c>
      <c r="X185" s="185" t="e">
        <f>W185-X186</f>
        <v>#DIV/0!</v>
      </c>
      <c r="Y185" s="185" t="e">
        <f t="shared" ref="Y185:AB185" si="338">X185-Y186</f>
        <v>#DIV/0!</v>
      </c>
      <c r="Z185" s="185" t="e">
        <f t="shared" si="338"/>
        <v>#DIV/0!</v>
      </c>
      <c r="AA185" s="185" t="e">
        <f t="shared" si="338"/>
        <v>#DIV/0!</v>
      </c>
      <c r="AB185" s="185" t="e">
        <f t="shared" si="338"/>
        <v>#DIV/0!</v>
      </c>
      <c r="AC185" s="185" t="e">
        <f t="shared" ref="AC185" si="339">AB185-AC186</f>
        <v>#DIV/0!</v>
      </c>
      <c r="AD185" s="185" t="e">
        <f t="shared" ref="AD185" si="340">AC185-AD186</f>
        <v>#DIV/0!</v>
      </c>
      <c r="AE185" s="185" t="e">
        <f t="shared" ref="AE185" si="341">AD185-AE186</f>
        <v>#DIV/0!</v>
      </c>
      <c r="AF185" s="185" t="e">
        <f t="shared" ref="AF185" si="342">AE185-AF186</f>
        <v>#DIV/0!</v>
      </c>
      <c r="AG185" s="185" t="e">
        <f t="shared" ref="AG185" si="343">AF185-AG186</f>
        <v>#DIV/0!</v>
      </c>
      <c r="AH185" s="185" t="e">
        <f t="shared" ref="AH185" si="344">AG185-AH186</f>
        <v>#DIV/0!</v>
      </c>
      <c r="AI185" s="185" t="e">
        <f t="shared" ref="AI185" si="345">AH185-AI186</f>
        <v>#DIV/0!</v>
      </c>
      <c r="AJ185" s="185" t="e">
        <f t="shared" ref="AJ185" si="346">AI185-AJ186</f>
        <v>#DIV/0!</v>
      </c>
      <c r="AK185" s="185" t="e">
        <f t="shared" ref="AK185" si="347">AJ185-AK186</f>
        <v>#DIV/0!</v>
      </c>
      <c r="AL185" s="185" t="e">
        <f t="shared" ref="AL185" si="348">AK185-AL186</f>
        <v>#DIV/0!</v>
      </c>
      <c r="AM185" s="185" t="e">
        <f t="shared" ref="AM185" si="349">AL185-AM186</f>
        <v>#DIV/0!</v>
      </c>
      <c r="AN185" s="185" t="e">
        <f t="shared" ref="AN185" si="350">AM185-AN186</f>
        <v>#DIV/0!</v>
      </c>
      <c r="AO185" s="185" t="e">
        <f t="shared" ref="AO185" si="351">AN185-AO186</f>
        <v>#DIV/0!</v>
      </c>
      <c r="AP185" s="185" t="e">
        <f t="shared" ref="AP185" si="352">AO185-AP186</f>
        <v>#DIV/0!</v>
      </c>
      <c r="AQ185" s="185" t="e">
        <f t="shared" ref="AQ185" si="353">AP185-AQ186</f>
        <v>#DIV/0!</v>
      </c>
      <c r="AR185" s="185" t="e">
        <f t="shared" ref="AR185" si="354">AQ185-AR186</f>
        <v>#DIV/0!</v>
      </c>
      <c r="AS185" s="185" t="e">
        <f t="shared" ref="AS185" si="355">AR185-AS186</f>
        <v>#DIV/0!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/>
      <c r="N186" s="20"/>
      <c r="O186" s="20"/>
      <c r="P186" s="181" t="e">
        <f>P167/Q137</f>
        <v>#DIV/0!</v>
      </c>
      <c r="Q186" s="20"/>
      <c r="R186" s="20"/>
      <c r="S186" s="186" t="e">
        <f>Q137*(1+$K$186)</f>
        <v>#DIV/0!</v>
      </c>
      <c r="T186" s="186" t="e">
        <f>S186*(1+$K$186)</f>
        <v>#DIV/0!</v>
      </c>
      <c r="U186" s="186" t="e">
        <f t="shared" ref="U186:AB186" si="356">T186*(1+$K$186)</f>
        <v>#DIV/0!</v>
      </c>
      <c r="V186" s="186" t="e">
        <f t="shared" si="356"/>
        <v>#DIV/0!</v>
      </c>
      <c r="W186" s="186" t="e">
        <f t="shared" si="356"/>
        <v>#DIV/0!</v>
      </c>
      <c r="X186" s="186" t="e">
        <f t="shared" si="356"/>
        <v>#DIV/0!</v>
      </c>
      <c r="Y186" s="186" t="e">
        <f t="shared" si="356"/>
        <v>#DIV/0!</v>
      </c>
      <c r="Z186" s="186" t="e">
        <f t="shared" si="356"/>
        <v>#DIV/0!</v>
      </c>
      <c r="AA186" s="186" t="e">
        <f t="shared" si="356"/>
        <v>#DIV/0!</v>
      </c>
      <c r="AB186" s="186" t="e">
        <f t="shared" si="356"/>
        <v>#DIV/0!</v>
      </c>
      <c r="AC186" s="186" t="e">
        <f t="shared" ref="AC186" si="357">AB186*(1+$K$186)</f>
        <v>#DIV/0!</v>
      </c>
      <c r="AD186" s="186" t="e">
        <f t="shared" ref="AD186" si="358">AC186*(1+$K$186)</f>
        <v>#DIV/0!</v>
      </c>
      <c r="AE186" s="186" t="e">
        <f t="shared" ref="AE186" si="359">AD186*(1+$K$186)</f>
        <v>#DIV/0!</v>
      </c>
      <c r="AF186" s="186" t="e">
        <f t="shared" ref="AF186" si="360">AE186*(1+$K$186)</f>
        <v>#DIV/0!</v>
      </c>
      <c r="AG186" s="186" t="e">
        <f t="shared" ref="AG186" si="361">AF186*(1+$K$186)</f>
        <v>#DIV/0!</v>
      </c>
      <c r="AH186" s="186" t="e">
        <f t="shared" ref="AH186" si="362">AG186*(1+$K$186)</f>
        <v>#DIV/0!</v>
      </c>
      <c r="AI186" s="186" t="e">
        <f t="shared" ref="AI186" si="363">AH186*(1+$K$186)</f>
        <v>#DIV/0!</v>
      </c>
      <c r="AJ186" s="186" t="e">
        <f t="shared" ref="AJ186" si="364">AI186*(1+$K$186)</f>
        <v>#DIV/0!</v>
      </c>
      <c r="AK186" s="186" t="e">
        <f t="shared" ref="AK186" si="365">AJ186*(1+$K$186)</f>
        <v>#DIV/0!</v>
      </c>
      <c r="AL186" s="186" t="e">
        <f t="shared" ref="AL186" si="366">AK186*(1+$K$186)</f>
        <v>#DIV/0!</v>
      </c>
      <c r="AM186" s="186" t="e">
        <f t="shared" ref="AM186" si="367">AL186*(1+$K$186)</f>
        <v>#DIV/0!</v>
      </c>
      <c r="AN186" s="186" t="e">
        <f t="shared" ref="AN186" si="368">AM186*(1+$K$186)</f>
        <v>#DIV/0!</v>
      </c>
      <c r="AO186" s="186" t="e">
        <f t="shared" ref="AO186" si="369">AN186*(1+$K$186)</f>
        <v>#DIV/0!</v>
      </c>
      <c r="AP186" s="186" t="e">
        <f t="shared" ref="AP186" si="370">AO186*(1+$K$186)</f>
        <v>#DIV/0!</v>
      </c>
      <c r="AQ186" s="186" t="e">
        <f t="shared" ref="AQ186" si="371">AP186*(1+$K$186)</f>
        <v>#DIV/0!</v>
      </c>
      <c r="AR186" s="186" t="e">
        <f t="shared" ref="AR186" si="372">AQ186*(1+$K$186)</f>
        <v>#DIV/0!</v>
      </c>
      <c r="AS186" s="186" t="e">
        <f t="shared" ref="AS186" si="373">AR186*(1+$K$186)</f>
        <v>#DIV/0!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7"/>
      <c r="N187" s="20"/>
      <c r="O187" s="20"/>
      <c r="P187" s="181">
        <f>P167/P52</f>
        <v>8.75</v>
      </c>
      <c r="Q187" s="20"/>
      <c r="R187" s="20"/>
      <c r="S187" s="186">
        <f>P52*(1+$K$187)</f>
        <v>42</v>
      </c>
      <c r="T187" s="186">
        <f>S187*(1+$K$187)</f>
        <v>44.1</v>
      </c>
      <c r="U187" s="186">
        <f t="shared" ref="U187:AB187" si="374">T187*(1+$K$187)</f>
        <v>46.305000000000007</v>
      </c>
      <c r="V187" s="186">
        <f t="shared" si="374"/>
        <v>48.620250000000006</v>
      </c>
      <c r="W187" s="186">
        <f t="shared" si="374"/>
        <v>51.051262500000007</v>
      </c>
      <c r="X187" s="186">
        <f t="shared" si="374"/>
        <v>53.603825625000013</v>
      </c>
      <c r="Y187" s="186">
        <f t="shared" si="374"/>
        <v>56.284016906250017</v>
      </c>
      <c r="Z187" s="186">
        <f t="shared" si="374"/>
        <v>59.098217751562522</v>
      </c>
      <c r="AA187" s="186">
        <f t="shared" si="374"/>
        <v>62.053128639140652</v>
      </c>
      <c r="AB187" s="186">
        <f t="shared" si="374"/>
        <v>65.155785071097682</v>
      </c>
      <c r="AC187" s="186">
        <f t="shared" ref="AC187" si="375">AB187*(1+$K$187)</f>
        <v>68.413574324652572</v>
      </c>
      <c r="AD187" s="186">
        <f t="shared" ref="AD187" si="376">AC187*(1+$K$187)</f>
        <v>71.834253040885201</v>
      </c>
      <c r="AE187" s="186">
        <f t="shared" ref="AE187" si="377">AD187*(1+$K$187)</f>
        <v>75.425965692929466</v>
      </c>
      <c r="AF187" s="186">
        <f t="shared" ref="AF187" si="378">AE187*(1+$K$187)</f>
        <v>79.197263977575943</v>
      </c>
      <c r="AG187" s="186">
        <f t="shared" ref="AG187" si="379">AF187*(1+$K$187)</f>
        <v>83.15712717645475</v>
      </c>
      <c r="AH187" s="186">
        <f t="shared" ref="AH187" si="380">AG187*(1+$K$187)</f>
        <v>87.314983535277491</v>
      </c>
      <c r="AI187" s="186">
        <f t="shared" ref="AI187" si="381">AH187*(1+$K$187)</f>
        <v>91.680732712041376</v>
      </c>
      <c r="AJ187" s="186">
        <f t="shared" ref="AJ187" si="382">AI187*(1+$K$187)</f>
        <v>96.264769347643451</v>
      </c>
      <c r="AK187" s="186">
        <f t="shared" ref="AK187" si="383">AJ187*(1+$K$187)</f>
        <v>101.07800781502563</v>
      </c>
      <c r="AL187" s="186">
        <f t="shared" ref="AL187" si="384">AK187*(1+$K$187)</f>
        <v>106.13190820577691</v>
      </c>
      <c r="AM187" s="186">
        <f t="shared" ref="AM187" si="385">AL187*(1+$K$187)</f>
        <v>111.43850361606576</v>
      </c>
      <c r="AN187" s="186">
        <f t="shared" ref="AN187" si="386">AM187*(1+$K$187)</f>
        <v>117.01042879686905</v>
      </c>
      <c r="AO187" s="186">
        <f t="shared" ref="AO187" si="387">AN187*(1+$K$187)</f>
        <v>122.86095023671251</v>
      </c>
      <c r="AP187" s="186">
        <f t="shared" ref="AP187" si="388">AO187*(1+$K$187)</f>
        <v>129.00399774854813</v>
      </c>
      <c r="AQ187" s="186">
        <f t="shared" ref="AQ187" si="389">AP187*(1+$K$187)</f>
        <v>135.45419763597553</v>
      </c>
      <c r="AR187" s="186">
        <f t="shared" ref="AR187" si="390">AQ187*(1+$K$187)</f>
        <v>142.22690751777432</v>
      </c>
      <c r="AS187" s="186">
        <f t="shared" ref="AS187" si="391">AR187*(1+$K$187)</f>
        <v>149.33825289366305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308</v>
      </c>
      <c r="T188" s="185">
        <f>S188-T187</f>
        <v>263.89999999999998</v>
      </c>
      <c r="U188" s="185">
        <f t="shared" ref="U188:Z188" si="392">T188-U187</f>
        <v>217.59499999999997</v>
      </c>
      <c r="V188" s="185">
        <f t="shared" si="392"/>
        <v>168.97474999999997</v>
      </c>
      <c r="W188" s="185">
        <f t="shared" si="392"/>
        <v>117.92348749999996</v>
      </c>
      <c r="X188" s="185">
        <f t="shared" si="392"/>
        <v>64.319661874999952</v>
      </c>
      <c r="Y188" s="185">
        <f t="shared" si="392"/>
        <v>8.0356449687499349</v>
      </c>
      <c r="Z188" s="185">
        <f t="shared" si="392"/>
        <v>-51.062572782812587</v>
      </c>
      <c r="AA188" s="185">
        <f>Z188-AA187</f>
        <v>-113.11570142195325</v>
      </c>
      <c r="AB188" s="185">
        <f t="shared" ref="AB188" si="393">AA188-AB187</f>
        <v>-178.27148649305093</v>
      </c>
      <c r="AC188" s="185">
        <f t="shared" ref="AC188" si="394">AB188-AC187</f>
        <v>-246.68506081770352</v>
      </c>
      <c r="AD188" s="185">
        <f t="shared" ref="AD188" si="395">AC188-AD187</f>
        <v>-318.5193138585887</v>
      </c>
      <c r="AE188" s="185">
        <f t="shared" ref="AE188" si="396">AD188-AE187</f>
        <v>-393.94527955151818</v>
      </c>
      <c r="AF188" s="185">
        <f t="shared" ref="AF188" si="397">AE188-AF187</f>
        <v>-473.14254352909416</v>
      </c>
      <c r="AG188" s="185">
        <f t="shared" ref="AG188" si="398">AF188-AG187</f>
        <v>-556.29967070554892</v>
      </c>
      <c r="AH188" s="185">
        <f t="shared" ref="AH188" si="399">AG188-AH187</f>
        <v>-643.61465424082644</v>
      </c>
      <c r="AI188" s="185">
        <f t="shared" ref="AI188" si="400">AH188-AI187</f>
        <v>-735.29538695286783</v>
      </c>
      <c r="AJ188" s="185">
        <f t="shared" ref="AJ188" si="401">AI188-AJ187</f>
        <v>-831.56015630051127</v>
      </c>
      <c r="AK188" s="185">
        <f t="shared" ref="AK188" si="402">AJ188-AK187</f>
        <v>-932.63816411553694</v>
      </c>
      <c r="AL188" s="185">
        <f t="shared" ref="AL188" si="403">AK188-AL187</f>
        <v>-1038.7700723213138</v>
      </c>
      <c r="AM188" s="185">
        <f t="shared" ref="AM188" si="404">AL188-AM187</f>
        <v>-1150.2085759373795</v>
      </c>
      <c r="AN188" s="185">
        <f t="shared" ref="AN188" si="405">AM188-AN187</f>
        <v>-1267.2190047342485</v>
      </c>
      <c r="AO188" s="185">
        <f t="shared" ref="AO188" si="406">AN188-AO187</f>
        <v>-1390.0799549709611</v>
      </c>
      <c r="AP188" s="185">
        <f t="shared" ref="AP188" si="407">AO188-AP187</f>
        <v>-1519.0839527195092</v>
      </c>
      <c r="AQ188" s="185">
        <f t="shared" ref="AQ188" si="408">AP188-AQ187</f>
        <v>-1654.5381503554847</v>
      </c>
      <c r="AR188" s="185">
        <f t="shared" ref="AR188" si="409">AQ188-AR187</f>
        <v>-1796.7650578732591</v>
      </c>
      <c r="AS188" s="185">
        <f t="shared" ref="AS188" si="410">AR188-AS187</f>
        <v>-1946.1033107669223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11">C10/C7</f>
        <v>#DIV/0!</v>
      </c>
      <c r="D190" s="25" t="e">
        <f t="shared" si="411"/>
        <v>#DIV/0!</v>
      </c>
      <c r="E190" s="25" t="e">
        <f t="shared" si="411"/>
        <v>#DIV/0!</v>
      </c>
      <c r="F190" s="25" t="e">
        <f t="shared" si="411"/>
        <v>#DIV/0!</v>
      </c>
      <c r="G190" s="25">
        <f t="shared" si="411"/>
        <v>0</v>
      </c>
      <c r="H190" s="25" t="e">
        <f t="shared" si="411"/>
        <v>#DIV/0!</v>
      </c>
      <c r="I190" s="25" t="e">
        <f t="shared" si="411"/>
        <v>#DIV/0!</v>
      </c>
      <c r="J190" s="25" t="e">
        <f t="shared" si="411"/>
        <v>#DIV/0!</v>
      </c>
      <c r="K190" s="25" t="e">
        <f t="shared" si="411"/>
        <v>#DIV/0!</v>
      </c>
      <c r="L190" s="25" t="e">
        <f t="shared" si="411"/>
        <v>#DIV/0!</v>
      </c>
      <c r="M190" s="25" t="e">
        <f t="shared" si="411"/>
        <v>#DIV/0!</v>
      </c>
      <c r="N190" s="25" t="e">
        <f t="shared" si="411"/>
        <v>#DIV/0!</v>
      </c>
      <c r="O190" s="25">
        <f t="shared" si="411"/>
        <v>0</v>
      </c>
      <c r="P190" s="25">
        <f t="shared" si="411"/>
        <v>0</v>
      </c>
      <c r="Q190" s="118" t="e">
        <f t="shared" ref="Q190:Q192" si="412">((P190/G190)^(1/($H$2-$H$1) ))-1</f>
        <v>#DIV/0!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0</v>
      </c>
      <c r="H191" s="112" t="e">
        <f t="shared" ref="H191:P191" si="413">H10/H12</f>
        <v>#DIV/0!</v>
      </c>
      <c r="I191" s="112" t="e">
        <f t="shared" si="413"/>
        <v>#DIV/0!</v>
      </c>
      <c r="J191" s="112" t="e">
        <f t="shared" si="413"/>
        <v>#DIV/0!</v>
      </c>
      <c r="K191" s="112" t="e">
        <f t="shared" si="413"/>
        <v>#DIV/0!</v>
      </c>
      <c r="L191" s="112" t="e">
        <f t="shared" si="413"/>
        <v>#DIV/0!</v>
      </c>
      <c r="M191" s="112" t="e">
        <f t="shared" si="413"/>
        <v>#DIV/0!</v>
      </c>
      <c r="N191" s="112" t="e">
        <f t="shared" si="413"/>
        <v>#DIV/0!</v>
      </c>
      <c r="O191" s="112">
        <f t="shared" si="413"/>
        <v>0</v>
      </c>
      <c r="P191" s="112">
        <f t="shared" si="413"/>
        <v>0</v>
      </c>
      <c r="Q191" s="118" t="e">
        <f t="shared" si="412"/>
        <v>#DIV/0!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0</v>
      </c>
      <c r="H192" s="25" t="e">
        <f t="shared" ref="H192:P192" si="414">H10/(H12+H13)</f>
        <v>#DIV/0!</v>
      </c>
      <c r="I192" s="25" t="e">
        <f t="shared" si="414"/>
        <v>#DIV/0!</v>
      </c>
      <c r="J192" s="25" t="e">
        <f t="shared" si="414"/>
        <v>#DIV/0!</v>
      </c>
      <c r="K192" s="25" t="e">
        <f t="shared" si="414"/>
        <v>#DIV/0!</v>
      </c>
      <c r="L192" s="25" t="e">
        <f t="shared" si="414"/>
        <v>#DIV/0!</v>
      </c>
      <c r="M192" s="25" t="e">
        <f t="shared" si="414"/>
        <v>#DIV/0!</v>
      </c>
      <c r="N192" s="25" t="e">
        <f t="shared" si="414"/>
        <v>#DIV/0!</v>
      </c>
      <c r="O192" s="25">
        <f t="shared" si="414"/>
        <v>0</v>
      </c>
      <c r="P192" s="25">
        <f t="shared" si="414"/>
        <v>0</v>
      </c>
      <c r="Q192" s="118" t="e">
        <f t="shared" si="412"/>
        <v>#DIV/0!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6" t="s">
        <v>337</v>
      </c>
      <c r="M195" s="197"/>
      <c r="N195" s="198"/>
      <c r="O195" s="23" t="s">
        <v>340</v>
      </c>
      <c r="P195" s="20"/>
      <c r="Q195" s="196" t="s">
        <v>338</v>
      </c>
      <c r="R195" s="197"/>
      <c r="S195" s="198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1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1</v>
      </c>
      <c r="O197" s="173">
        <f>N197</f>
        <v>1</v>
      </c>
      <c r="P197" s="20"/>
      <c r="Q197" s="167" t="s">
        <v>341</v>
      </c>
      <c r="R197" s="167"/>
      <c r="S197" s="21">
        <v>1</v>
      </c>
      <c r="T197" s="173">
        <f>S197</f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2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1</v>
      </c>
      <c r="E199" s="176" t="s">
        <v>398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2</v>
      </c>
      <c r="K199" s="20"/>
      <c r="L199" s="167" t="s">
        <v>343</v>
      </c>
      <c r="M199" s="167"/>
      <c r="N199" s="168">
        <f>N197*N198</f>
        <v>1</v>
      </c>
      <c r="O199" s="173">
        <f>N199</f>
        <v>1</v>
      </c>
      <c r="P199" s="20"/>
      <c r="Q199" s="167" t="s">
        <v>344</v>
      </c>
      <c r="R199" s="167"/>
      <c r="S199" s="168">
        <f>S197*S198</f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1</v>
      </c>
      <c r="H200" s="167">
        <f>F200/G200</f>
        <v>10</v>
      </c>
      <c r="I200" s="167">
        <f>H200*J199</f>
        <v>20</v>
      </c>
      <c r="J200" s="167">
        <f>I200</f>
        <v>20</v>
      </c>
      <c r="K200" s="20"/>
      <c r="L200" s="167" t="s">
        <v>345</v>
      </c>
      <c r="M200" s="167"/>
      <c r="N200" s="21">
        <v>1</v>
      </c>
      <c r="O200" s="21">
        <v>1</v>
      </c>
      <c r="P200" s="20"/>
      <c r="Q200" s="167" t="s">
        <v>345</v>
      </c>
      <c r="R200" s="167"/>
      <c r="S200" s="21">
        <v>1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1</v>
      </c>
      <c r="E201" s="176"/>
      <c r="F201" s="167"/>
      <c r="G201" s="167"/>
      <c r="H201" s="169" t="s">
        <v>387</v>
      </c>
      <c r="I201" s="167"/>
      <c r="J201" s="167">
        <f>J200</f>
        <v>20</v>
      </c>
      <c r="K201" s="20"/>
      <c r="L201" s="167" t="s">
        <v>346</v>
      </c>
      <c r="M201" s="167"/>
      <c r="N201" s="168">
        <f>N200*N198</f>
        <v>1</v>
      </c>
      <c r="O201" s="168">
        <f>O200*O198</f>
        <v>1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1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1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1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1</v>
      </c>
      <c r="O204" s="170">
        <f>O201/O199</f>
        <v>1</v>
      </c>
      <c r="P204" s="20"/>
      <c r="Q204" s="169" t="s">
        <v>347</v>
      </c>
      <c r="R204" s="169"/>
      <c r="S204" s="170">
        <f>S202/S199</f>
        <v>1</v>
      </c>
      <c r="T204" s="170">
        <f>T202/T199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9" t="s">
        <v>27</v>
      </c>
      <c r="E208" s="190"/>
      <c r="F208" s="190"/>
      <c r="G208" s="191"/>
      <c r="H208" s="20"/>
      <c r="I208" s="189" t="s">
        <v>393</v>
      </c>
      <c r="J208" s="190"/>
      <c r="K208" s="19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1</v>
      </c>
      <c r="H209" s="20"/>
      <c r="I209" s="20" t="s">
        <v>28</v>
      </c>
      <c r="J209" s="127"/>
      <c r="K209" s="21">
        <f>G209</f>
        <v>1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1</v>
      </c>
      <c r="H210" s="20"/>
      <c r="I210" s="20" t="s">
        <v>29</v>
      </c>
      <c r="J210" s="20"/>
      <c r="K210" s="21">
        <f>G210</f>
        <v>1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</v>
      </c>
      <c r="H212" s="20"/>
      <c r="I212" s="23" t="s">
        <v>394</v>
      </c>
      <c r="J212" s="23"/>
      <c r="K212" s="23">
        <f>(K210-K209)/K209</f>
        <v>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395</v>
      </c>
      <c r="J213" s="23"/>
      <c r="K213" s="23">
        <f>K210/K209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1" t="s">
        <v>27</v>
      </c>
      <c r="K5" s="201"/>
      <c r="M5" s="201" t="s">
        <v>65</v>
      </c>
      <c r="N5" s="20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1" t="s">
        <v>36</v>
      </c>
      <c r="K14" s="201"/>
      <c r="L14" s="20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1" t="s">
        <v>27</v>
      </c>
      <c r="S5" s="20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1" t="s">
        <v>36</v>
      </c>
      <c r="S14" s="201"/>
      <c r="T14" s="20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1" t="s">
        <v>27</v>
      </c>
      <c r="C2" s="201"/>
      <c r="E2" s="201" t="s">
        <v>65</v>
      </c>
      <c r="F2" s="201"/>
      <c r="H2" s="205" t="s">
        <v>36</v>
      </c>
      <c r="I2" s="20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2" t="s">
        <v>68</v>
      </c>
      <c r="E10" s="203"/>
      <c r="F10" s="203"/>
      <c r="G10" s="203"/>
      <c r="H10" s="204"/>
      <c r="I10" s="202" t="s">
        <v>72</v>
      </c>
      <c r="J10" s="203"/>
      <c r="K10" s="203"/>
      <c r="L10" s="20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2014-08-03T17:21:51Z</dcterms:modified>
</cp:coreProperties>
</file>
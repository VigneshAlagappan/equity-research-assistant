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L12" i="18" l="1"/>
  <c r="R43" i="18" l="1"/>
  <c r="G210" i="18"/>
  <c r="G209" i="18"/>
  <c r="S42" i="18" l="1"/>
  <c r="G212" i="18" l="1"/>
  <c r="K183" i="18" l="1"/>
  <c r="K182" i="18"/>
  <c r="K181" i="18"/>
  <c r="K180" i="18"/>
  <c r="AD38" i="18" l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Q38" i="18"/>
  <c r="P39" i="18"/>
  <c r="O39" i="18"/>
  <c r="N39" i="18"/>
  <c r="M39" i="18"/>
  <c r="L39" i="18"/>
  <c r="K39" i="18"/>
  <c r="J39" i="18"/>
  <c r="I39" i="18"/>
  <c r="H39" i="18"/>
  <c r="G39" i="18"/>
  <c r="AE38" i="18" l="1"/>
  <c r="AC38" i="18"/>
  <c r="K186" i="18" l="1"/>
  <c r="T201" i="18" l="1"/>
  <c r="T202" i="18" s="1"/>
  <c r="D199" i="18"/>
  <c r="H199" i="18"/>
  <c r="L26" i="18"/>
  <c r="L103" i="18"/>
  <c r="J103" i="18"/>
  <c r="H103" i="18"/>
  <c r="F103" i="18"/>
  <c r="G103" i="18"/>
  <c r="I103" i="18"/>
  <c r="K103" i="18"/>
  <c r="M103" i="18"/>
  <c r="N103" i="18"/>
  <c r="O103" i="18"/>
  <c r="P103" i="18"/>
  <c r="H134" i="18"/>
  <c r="I134" i="18"/>
  <c r="J134" i="18"/>
  <c r="K134" i="18"/>
  <c r="L134" i="18"/>
  <c r="M134" i="18"/>
  <c r="N134" i="18"/>
  <c r="O134" i="18"/>
  <c r="P134" i="18"/>
  <c r="H133" i="18"/>
  <c r="I133" i="18"/>
  <c r="J133" i="18"/>
  <c r="K133" i="18"/>
  <c r="L133" i="18"/>
  <c r="M133" i="18"/>
  <c r="N133" i="18"/>
  <c r="O133" i="18"/>
  <c r="P133" i="18"/>
  <c r="G213" i="18"/>
  <c r="G214" i="18" s="1"/>
  <c r="G215" i="18" s="1"/>
  <c r="K210" i="18"/>
  <c r="K209" i="18"/>
  <c r="AD53" i="18"/>
  <c r="C53" i="18"/>
  <c r="D53" i="18"/>
  <c r="E53" i="18"/>
  <c r="F53" i="18"/>
  <c r="H53" i="18"/>
  <c r="I53" i="18"/>
  <c r="J53" i="18"/>
  <c r="K53" i="18"/>
  <c r="L53" i="18"/>
  <c r="M53" i="18"/>
  <c r="N53" i="18"/>
  <c r="O53" i="18"/>
  <c r="P53" i="18"/>
  <c r="G53" i="18"/>
  <c r="H204" i="18"/>
  <c r="D203" i="18"/>
  <c r="H202" i="18"/>
  <c r="I202" i="18" s="1"/>
  <c r="J202" i="18" s="1"/>
  <c r="J203" i="18" s="1"/>
  <c r="H200" i="18"/>
  <c r="H198" i="18"/>
  <c r="H197" i="18"/>
  <c r="I197" i="18" s="1"/>
  <c r="J197" i="18" s="1"/>
  <c r="D205" i="18" l="1"/>
  <c r="K213" i="18"/>
  <c r="Q53" i="18"/>
  <c r="K212" i="18"/>
  <c r="I198" i="18"/>
  <c r="J198" i="18" s="1"/>
  <c r="I204" i="18"/>
  <c r="J204" i="18" s="1"/>
  <c r="J205" i="18" s="1"/>
  <c r="H88" i="18"/>
  <c r="I88" i="18"/>
  <c r="J88" i="18"/>
  <c r="K88" i="18"/>
  <c r="L88" i="18"/>
  <c r="M88" i="18"/>
  <c r="N88" i="18"/>
  <c r="O88" i="18"/>
  <c r="P88" i="18"/>
  <c r="G88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4" i="18"/>
  <c r="G133" i="18"/>
  <c r="AD14" i="18"/>
  <c r="R14" i="18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Q14" i="18"/>
  <c r="T198" i="18"/>
  <c r="T197" i="18"/>
  <c r="O198" i="18"/>
  <c r="O201" i="18" s="1"/>
  <c r="O197" i="18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1" i="18"/>
  <c r="H97" i="18" s="1"/>
  <c r="I91" i="18"/>
  <c r="I97" i="18" s="1"/>
  <c r="J91" i="18"/>
  <c r="J97" i="18" s="1"/>
  <c r="K91" i="18"/>
  <c r="K97" i="18" s="1"/>
  <c r="L91" i="18"/>
  <c r="L97" i="18" s="1"/>
  <c r="M91" i="18"/>
  <c r="M97" i="18" s="1"/>
  <c r="N91" i="18"/>
  <c r="N97" i="18" s="1"/>
  <c r="O91" i="18"/>
  <c r="O97" i="18" s="1"/>
  <c r="P91" i="18"/>
  <c r="P97" i="18" s="1"/>
  <c r="G91" i="18"/>
  <c r="G97" i="18" s="1"/>
  <c r="H92" i="18"/>
  <c r="H98" i="18" s="1"/>
  <c r="I92" i="18"/>
  <c r="I98" i="18" s="1"/>
  <c r="J92" i="18"/>
  <c r="J98" i="18" s="1"/>
  <c r="K92" i="18"/>
  <c r="K98" i="18" s="1"/>
  <c r="L92" i="18"/>
  <c r="L98" i="18" s="1"/>
  <c r="M92" i="18"/>
  <c r="M98" i="18" s="1"/>
  <c r="N92" i="18"/>
  <c r="N98" i="18" s="1"/>
  <c r="O92" i="18"/>
  <c r="O98" i="18" s="1"/>
  <c r="P92" i="18"/>
  <c r="P98" i="18" s="1"/>
  <c r="G92" i="18"/>
  <c r="G98" i="18" s="1"/>
  <c r="H129" i="18"/>
  <c r="H130" i="18" s="1"/>
  <c r="I129" i="18"/>
  <c r="I130" i="18" s="1"/>
  <c r="J129" i="18"/>
  <c r="J130" i="18" s="1"/>
  <c r="K129" i="18"/>
  <c r="K130" i="18" s="1"/>
  <c r="L129" i="18"/>
  <c r="L130" i="18" s="1"/>
  <c r="M129" i="18"/>
  <c r="M130" i="18" s="1"/>
  <c r="N129" i="18"/>
  <c r="N130" i="18" s="1"/>
  <c r="O129" i="18"/>
  <c r="O130" i="18" s="1"/>
  <c r="P129" i="18"/>
  <c r="P130" i="18" s="1"/>
  <c r="G129" i="18"/>
  <c r="G130" i="18" s="1"/>
  <c r="Q97" i="18" l="1"/>
  <c r="Q98" i="18"/>
  <c r="Q100" i="18"/>
  <c r="I199" i="18"/>
  <c r="J199" i="18" s="1"/>
  <c r="I200" i="18" s="1"/>
  <c r="J200" i="18" s="1"/>
  <c r="J201" i="18" s="1"/>
  <c r="Q133" i="18"/>
  <c r="Q134" i="18"/>
  <c r="Q88" i="18"/>
  <c r="Q94" i="18"/>
  <c r="AC14" i="18"/>
  <c r="AE14" i="18"/>
  <c r="Q91" i="18"/>
  <c r="Q130" i="18"/>
  <c r="Q129" i="18"/>
  <c r="Q92" i="18"/>
  <c r="P87" i="18"/>
  <c r="P86" i="18"/>
  <c r="E87" i="18"/>
  <c r="F87" i="18"/>
  <c r="H87" i="18"/>
  <c r="I87" i="18"/>
  <c r="J87" i="18"/>
  <c r="K87" i="18"/>
  <c r="L87" i="18"/>
  <c r="M87" i="18"/>
  <c r="N87" i="18"/>
  <c r="O87" i="18"/>
  <c r="G87" i="18"/>
  <c r="G86" i="18"/>
  <c r="H127" i="18"/>
  <c r="I127" i="18"/>
  <c r="J127" i="18"/>
  <c r="K127" i="18"/>
  <c r="L127" i="18"/>
  <c r="M127" i="18"/>
  <c r="N127" i="18"/>
  <c r="O127" i="18"/>
  <c r="P127" i="18"/>
  <c r="G127" i="18"/>
  <c r="H126" i="18"/>
  <c r="I126" i="18"/>
  <c r="J126" i="18"/>
  <c r="K126" i="18"/>
  <c r="L126" i="18"/>
  <c r="M126" i="18"/>
  <c r="N126" i="18"/>
  <c r="O126" i="18"/>
  <c r="P126" i="18"/>
  <c r="G126" i="18"/>
  <c r="H123" i="18"/>
  <c r="I123" i="18"/>
  <c r="J123" i="18"/>
  <c r="K123" i="18"/>
  <c r="L123" i="18"/>
  <c r="M123" i="18"/>
  <c r="N123" i="18"/>
  <c r="O123" i="18"/>
  <c r="P123" i="18"/>
  <c r="G123" i="18"/>
  <c r="H124" i="18"/>
  <c r="I124" i="18"/>
  <c r="J124" i="18"/>
  <c r="K124" i="18"/>
  <c r="L124" i="18"/>
  <c r="M124" i="18"/>
  <c r="N124" i="18"/>
  <c r="O124" i="18"/>
  <c r="P124" i="18"/>
  <c r="G124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R167" i="18"/>
  <c r="H118" i="18"/>
  <c r="I118" i="18"/>
  <c r="J118" i="18"/>
  <c r="K118" i="18"/>
  <c r="L118" i="18"/>
  <c r="M118" i="18"/>
  <c r="N118" i="18"/>
  <c r="O118" i="18"/>
  <c r="P118" i="18"/>
  <c r="G118" i="18"/>
  <c r="H117" i="18"/>
  <c r="I117" i="18"/>
  <c r="J117" i="18"/>
  <c r="K117" i="18"/>
  <c r="L117" i="18"/>
  <c r="M117" i="18"/>
  <c r="N117" i="18"/>
  <c r="O117" i="18"/>
  <c r="P117" i="18"/>
  <c r="G117" i="18"/>
  <c r="H116" i="18"/>
  <c r="I116" i="18"/>
  <c r="J116" i="18"/>
  <c r="K116" i="18"/>
  <c r="L116" i="18"/>
  <c r="M116" i="18"/>
  <c r="N116" i="18"/>
  <c r="O116" i="18"/>
  <c r="P116" i="18"/>
  <c r="G116" i="18"/>
  <c r="B118" i="18"/>
  <c r="B117" i="18"/>
  <c r="AD32" i="18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Q32" i="18"/>
  <c r="G106" i="18"/>
  <c r="H106" i="18"/>
  <c r="I106" i="18"/>
  <c r="J106" i="18"/>
  <c r="K106" i="18"/>
  <c r="L106" i="18"/>
  <c r="M106" i="18"/>
  <c r="N106" i="18"/>
  <c r="O106" i="18"/>
  <c r="P106" i="18"/>
  <c r="S202" i="18"/>
  <c r="N201" i="18"/>
  <c r="S199" i="18"/>
  <c r="T199" i="18" s="1"/>
  <c r="T204" i="18" s="1"/>
  <c r="N199" i="18"/>
  <c r="O199" i="18" s="1"/>
  <c r="O204" i="18" s="1"/>
  <c r="F114" i="18"/>
  <c r="H114" i="18"/>
  <c r="I114" i="18"/>
  <c r="J114" i="18"/>
  <c r="K114" i="18"/>
  <c r="L114" i="18"/>
  <c r="M114" i="18"/>
  <c r="N114" i="18"/>
  <c r="O114" i="18"/>
  <c r="P114" i="18"/>
  <c r="G114" i="18"/>
  <c r="F113" i="18"/>
  <c r="H113" i="18"/>
  <c r="I113" i="18"/>
  <c r="J113" i="18"/>
  <c r="K113" i="18"/>
  <c r="L113" i="18"/>
  <c r="M113" i="18"/>
  <c r="N113" i="18"/>
  <c r="O113" i="18"/>
  <c r="P113" i="18"/>
  <c r="G113" i="18"/>
  <c r="Q124" i="18" l="1"/>
  <c r="Q87" i="18"/>
  <c r="Q121" i="18"/>
  <c r="Q127" i="18"/>
  <c r="Q126" i="18"/>
  <c r="Q122" i="18"/>
  <c r="Q123" i="18"/>
  <c r="Q116" i="18"/>
  <c r="Q117" i="18"/>
  <c r="Q118" i="18"/>
  <c r="Q106" i="18"/>
  <c r="AC32" i="18"/>
  <c r="AE32" i="18"/>
  <c r="N204" i="18"/>
  <c r="S204" i="18"/>
  <c r="Q114" i="18"/>
  <c r="Q113" i="18"/>
  <c r="R9" i="18"/>
  <c r="R10" i="18"/>
  <c r="R12" i="18"/>
  <c r="R13" i="18"/>
  <c r="R15" i="18"/>
  <c r="R16" i="18"/>
  <c r="R18" i="18"/>
  <c r="R20" i="18"/>
  <c r="R21" i="18"/>
  <c r="R22" i="18"/>
  <c r="R23" i="18"/>
  <c r="R25" i="18"/>
  <c r="R27" i="18"/>
  <c r="R29" i="18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R33" i="18"/>
  <c r="R34" i="18"/>
  <c r="R36" i="18"/>
  <c r="R40" i="18"/>
  <c r="R7" i="18"/>
  <c r="R6" i="18"/>
  <c r="AD9" i="18"/>
  <c r="AD10" i="18"/>
  <c r="AD11" i="18"/>
  <c r="AD12" i="18"/>
  <c r="AD13" i="18"/>
  <c r="AD15" i="18"/>
  <c r="AD16" i="18"/>
  <c r="AD18" i="18"/>
  <c r="AD20" i="18"/>
  <c r="AD21" i="18"/>
  <c r="AD22" i="18"/>
  <c r="AD23" i="18"/>
  <c r="AD25" i="18"/>
  <c r="AD27" i="18"/>
  <c r="AD29" i="18"/>
  <c r="AD31" i="18"/>
  <c r="AD33" i="18"/>
  <c r="AD34" i="18"/>
  <c r="AD36" i="18"/>
  <c r="AD40" i="18"/>
  <c r="AD42" i="18"/>
  <c r="AD43" i="18"/>
  <c r="AD49" i="18"/>
  <c r="AD50" i="18"/>
  <c r="AD52" i="18"/>
  <c r="AD54" i="18"/>
  <c r="AD55" i="18"/>
  <c r="AD56" i="18"/>
  <c r="AD58" i="18"/>
  <c r="AD59" i="18"/>
  <c r="AD60" i="18"/>
  <c r="AD62" i="18"/>
  <c r="AD63" i="18"/>
  <c r="AD64" i="18"/>
  <c r="AD65" i="18"/>
  <c r="AD67" i="18"/>
  <c r="AD68" i="18"/>
  <c r="AD70" i="18"/>
  <c r="AD72" i="18"/>
  <c r="AD73" i="18"/>
  <c r="AD74" i="18"/>
  <c r="AD75" i="18"/>
  <c r="AD76" i="18"/>
  <c r="AD78" i="18"/>
  <c r="AD79" i="18"/>
  <c r="AD80" i="18"/>
  <c r="AD7" i="18"/>
  <c r="AD6" i="18"/>
  <c r="Q103" i="18" l="1"/>
  <c r="H90" i="18"/>
  <c r="H96" i="18" s="1"/>
  <c r="I90" i="18"/>
  <c r="I96" i="18" s="1"/>
  <c r="J90" i="18"/>
  <c r="J96" i="18" s="1"/>
  <c r="K90" i="18"/>
  <c r="K96" i="18" s="1"/>
  <c r="L90" i="18"/>
  <c r="L96" i="18" s="1"/>
  <c r="M90" i="18"/>
  <c r="M96" i="18" s="1"/>
  <c r="N90" i="18"/>
  <c r="N96" i="18" s="1"/>
  <c r="O90" i="18"/>
  <c r="O96" i="18" s="1"/>
  <c r="P90" i="18"/>
  <c r="P96" i="18" s="1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G93" i="18"/>
  <c r="G99" i="18" s="1"/>
  <c r="G90" i="18"/>
  <c r="G96" i="18" s="1"/>
  <c r="S29" i="18"/>
  <c r="Q29" i="18"/>
  <c r="L30" i="18"/>
  <c r="K30" i="18"/>
  <c r="J30" i="18"/>
  <c r="I30" i="18"/>
  <c r="H30" i="18"/>
  <c r="G30" i="18"/>
  <c r="Q96" i="18" l="1"/>
  <c r="Q99" i="18"/>
  <c r="T29" i="18"/>
  <c r="Q93" i="18"/>
  <c r="Q90" i="18"/>
  <c r="H105" i="18"/>
  <c r="I105" i="18"/>
  <c r="J105" i="18"/>
  <c r="K105" i="18"/>
  <c r="L105" i="18"/>
  <c r="M105" i="18"/>
  <c r="N105" i="18"/>
  <c r="O105" i="18"/>
  <c r="P105" i="18"/>
  <c r="G105" i="18"/>
  <c r="H104" i="18"/>
  <c r="I104" i="18"/>
  <c r="J104" i="18"/>
  <c r="K104" i="18"/>
  <c r="L104" i="18"/>
  <c r="M104" i="18"/>
  <c r="N104" i="18"/>
  <c r="O104" i="18"/>
  <c r="P104" i="18"/>
  <c r="G104" i="18"/>
  <c r="U29" i="18" l="1"/>
  <c r="Q104" i="18"/>
  <c r="Q105" i="18"/>
  <c r="AE67" i="18"/>
  <c r="V29" i="18" l="1"/>
  <c r="C175" i="18"/>
  <c r="D175" i="18"/>
  <c r="E175" i="18"/>
  <c r="F175" i="18"/>
  <c r="G175" i="18"/>
  <c r="H175" i="18"/>
  <c r="I175" i="18"/>
  <c r="J175" i="18"/>
  <c r="K175" i="18"/>
  <c r="L175" i="18"/>
  <c r="M175" i="18"/>
  <c r="N175" i="18"/>
  <c r="O175" i="18"/>
  <c r="P175" i="18"/>
  <c r="C9" i="15"/>
  <c r="D68" i="18"/>
  <c r="E68" i="18"/>
  <c r="E108" i="18" s="1"/>
  <c r="E109" i="18" s="1"/>
  <c r="F68" i="18"/>
  <c r="F108" i="18" s="1"/>
  <c r="F109" i="18" s="1"/>
  <c r="G68" i="18"/>
  <c r="G108" i="18" s="1"/>
  <c r="G109" i="18" s="1"/>
  <c r="H68" i="18"/>
  <c r="H108" i="18" s="1"/>
  <c r="H109" i="18" s="1"/>
  <c r="I68" i="18"/>
  <c r="I108" i="18" s="1"/>
  <c r="I109" i="18" s="1"/>
  <c r="J68" i="18"/>
  <c r="J108" i="18" s="1"/>
  <c r="J109" i="18" s="1"/>
  <c r="K68" i="18"/>
  <c r="K108" i="18" s="1"/>
  <c r="K109" i="18" s="1"/>
  <c r="L68" i="18"/>
  <c r="L108" i="18" s="1"/>
  <c r="L109" i="18" s="1"/>
  <c r="M68" i="18"/>
  <c r="M108" i="18" s="1"/>
  <c r="M109" i="18" s="1"/>
  <c r="N68" i="18"/>
  <c r="N108" i="18" s="1"/>
  <c r="N109" i="18" s="1"/>
  <c r="O68" i="18"/>
  <c r="O108" i="18" s="1"/>
  <c r="O109" i="18" s="1"/>
  <c r="P68" i="18"/>
  <c r="P108" i="18" s="1"/>
  <c r="C68" i="18"/>
  <c r="S43" i="18"/>
  <c r="Q43" i="18"/>
  <c r="S68" i="18" l="1"/>
  <c r="S108" i="18" s="1"/>
  <c r="S109" i="18" s="1"/>
  <c r="W29" i="18"/>
  <c r="Q175" i="18"/>
  <c r="N110" i="18"/>
  <c r="N111" i="18" s="1"/>
  <c r="J110" i="18"/>
  <c r="J111" i="18" s="1"/>
  <c r="L110" i="18"/>
  <c r="L111" i="18" s="1"/>
  <c r="H110" i="18"/>
  <c r="H111" i="18" s="1"/>
  <c r="M110" i="18"/>
  <c r="M111" i="18" s="1"/>
  <c r="I110" i="18"/>
  <c r="I111" i="18" s="1"/>
  <c r="F110" i="18"/>
  <c r="F111" i="18" s="1"/>
  <c r="O110" i="18"/>
  <c r="O111" i="18" s="1"/>
  <c r="K110" i="18"/>
  <c r="K111" i="18" s="1"/>
  <c r="G110" i="18"/>
  <c r="G111" i="18" s="1"/>
  <c r="P109" i="18"/>
  <c r="Q108" i="18"/>
  <c r="T43" i="18"/>
  <c r="U43" i="18" l="1"/>
  <c r="X29" i="18"/>
  <c r="P110" i="18"/>
  <c r="Q109" i="18"/>
  <c r="T68" i="18"/>
  <c r="C78" i="18"/>
  <c r="D78" i="18"/>
  <c r="E78" i="18"/>
  <c r="F78" i="18"/>
  <c r="G78" i="18"/>
  <c r="G131" i="18" s="1"/>
  <c r="H78" i="18"/>
  <c r="H131" i="18" s="1"/>
  <c r="I78" i="18"/>
  <c r="I131" i="18" s="1"/>
  <c r="J78" i="18"/>
  <c r="J131" i="18" s="1"/>
  <c r="K78" i="18"/>
  <c r="K131" i="18" s="1"/>
  <c r="L78" i="18"/>
  <c r="L131" i="18" s="1"/>
  <c r="M78" i="18"/>
  <c r="M131" i="18" s="1"/>
  <c r="N78" i="18"/>
  <c r="N131" i="18" s="1"/>
  <c r="O78" i="18"/>
  <c r="O131" i="18" s="1"/>
  <c r="C79" i="18"/>
  <c r="D79" i="18"/>
  <c r="E79" i="18"/>
  <c r="F79" i="18"/>
  <c r="G79" i="18"/>
  <c r="H79" i="18"/>
  <c r="I79" i="18"/>
  <c r="J79" i="18"/>
  <c r="K79" i="18"/>
  <c r="L79" i="18"/>
  <c r="M79" i="18"/>
  <c r="N79" i="18"/>
  <c r="O79" i="18"/>
  <c r="C80" i="18"/>
  <c r="D80" i="18"/>
  <c r="E80" i="18"/>
  <c r="F80" i="18"/>
  <c r="G80" i="18"/>
  <c r="H80" i="18"/>
  <c r="I80" i="18"/>
  <c r="J80" i="18"/>
  <c r="K80" i="18"/>
  <c r="L80" i="18"/>
  <c r="M80" i="18"/>
  <c r="N80" i="18"/>
  <c r="O80" i="18"/>
  <c r="P80" i="18"/>
  <c r="P79" i="18"/>
  <c r="P78" i="18"/>
  <c r="P131" i="18" s="1"/>
  <c r="E86" i="18"/>
  <c r="F86" i="18"/>
  <c r="H86" i="18"/>
  <c r="I86" i="18"/>
  <c r="J86" i="18"/>
  <c r="K86" i="18"/>
  <c r="L86" i="18"/>
  <c r="M86" i="18"/>
  <c r="N86" i="18"/>
  <c r="O86" i="18"/>
  <c r="E84" i="18"/>
  <c r="E85" i="18"/>
  <c r="F85" i="18"/>
  <c r="G85" i="18"/>
  <c r="H85" i="18"/>
  <c r="I85" i="18"/>
  <c r="J85" i="18"/>
  <c r="K85" i="18"/>
  <c r="L85" i="18"/>
  <c r="M85" i="18"/>
  <c r="N85" i="18"/>
  <c r="O85" i="18"/>
  <c r="F84" i="18"/>
  <c r="G84" i="18"/>
  <c r="H84" i="18"/>
  <c r="I84" i="18"/>
  <c r="J84" i="18"/>
  <c r="K84" i="18"/>
  <c r="L84" i="18"/>
  <c r="M84" i="18"/>
  <c r="N84" i="18"/>
  <c r="O84" i="18"/>
  <c r="P85" i="18"/>
  <c r="G41" i="18"/>
  <c r="G28" i="18"/>
  <c r="G11" i="18"/>
  <c r="G8" i="18"/>
  <c r="G26" i="18"/>
  <c r="V43" i="18" l="1"/>
  <c r="U68" i="18"/>
  <c r="Q131" i="18"/>
  <c r="Y29" i="18"/>
  <c r="Q80" i="18"/>
  <c r="Q78" i="18"/>
  <c r="Q79" i="18"/>
  <c r="Q85" i="18"/>
  <c r="Q86" i="18"/>
  <c r="P84" i="18"/>
  <c r="Q84" i="18" s="1"/>
  <c r="C190" i="18"/>
  <c r="D190" i="18"/>
  <c r="E190" i="18"/>
  <c r="F190" i="18"/>
  <c r="C191" i="18"/>
  <c r="D191" i="18"/>
  <c r="E191" i="18"/>
  <c r="F191" i="18"/>
  <c r="C192" i="18"/>
  <c r="D192" i="18"/>
  <c r="E192" i="18"/>
  <c r="F192" i="18"/>
  <c r="H192" i="18"/>
  <c r="I192" i="18"/>
  <c r="J192" i="18"/>
  <c r="K192" i="18"/>
  <c r="L192" i="18"/>
  <c r="M192" i="18"/>
  <c r="N192" i="18"/>
  <c r="O192" i="18"/>
  <c r="P192" i="18"/>
  <c r="G192" i="18"/>
  <c r="H191" i="18"/>
  <c r="I191" i="18"/>
  <c r="J191" i="18"/>
  <c r="K191" i="18"/>
  <c r="L191" i="18"/>
  <c r="M191" i="18"/>
  <c r="N191" i="18"/>
  <c r="O191" i="18"/>
  <c r="P191" i="18"/>
  <c r="G191" i="18"/>
  <c r="H190" i="18"/>
  <c r="I190" i="18"/>
  <c r="J190" i="18"/>
  <c r="K190" i="18"/>
  <c r="L190" i="18"/>
  <c r="M190" i="18"/>
  <c r="N190" i="18"/>
  <c r="O190" i="18"/>
  <c r="P190" i="18"/>
  <c r="G190" i="18"/>
  <c r="H50" i="18"/>
  <c r="I50" i="18"/>
  <c r="J50" i="18"/>
  <c r="K50" i="18"/>
  <c r="L50" i="18"/>
  <c r="M50" i="18"/>
  <c r="N50" i="18"/>
  <c r="O50" i="18"/>
  <c r="P50" i="18"/>
  <c r="C50" i="18"/>
  <c r="D50" i="18"/>
  <c r="E50" i="18"/>
  <c r="F50" i="18"/>
  <c r="G50" i="18"/>
  <c r="G52" i="18"/>
  <c r="G174" i="18" s="1"/>
  <c r="H49" i="18"/>
  <c r="H168" i="18" s="1"/>
  <c r="I49" i="18"/>
  <c r="I168" i="18" s="1"/>
  <c r="J49" i="18"/>
  <c r="J168" i="18" s="1"/>
  <c r="K49" i="18"/>
  <c r="K168" i="18" s="1"/>
  <c r="L49" i="18"/>
  <c r="L168" i="18" s="1"/>
  <c r="M49" i="18"/>
  <c r="M168" i="18" s="1"/>
  <c r="N49" i="18"/>
  <c r="N168" i="18" s="1"/>
  <c r="O49" i="18"/>
  <c r="O168" i="18" s="1"/>
  <c r="P49" i="18"/>
  <c r="P168" i="18" s="1"/>
  <c r="C49" i="18"/>
  <c r="C168" i="18" s="1"/>
  <c r="D49" i="18"/>
  <c r="D168" i="18" s="1"/>
  <c r="E49" i="18"/>
  <c r="E168" i="18" s="1"/>
  <c r="F49" i="18"/>
  <c r="F168" i="18" s="1"/>
  <c r="G49" i="18"/>
  <c r="G168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Q42" i="18"/>
  <c r="S36" i="18"/>
  <c r="S91" i="18" s="1"/>
  <c r="S97" i="18" s="1"/>
  <c r="Q36" i="18"/>
  <c r="W43" i="18" l="1"/>
  <c r="V68" i="18"/>
  <c r="Q168" i="18"/>
  <c r="Z29" i="18"/>
  <c r="T36" i="18"/>
  <c r="T91" i="18" s="1"/>
  <c r="T97" i="18" s="1"/>
  <c r="Q192" i="18"/>
  <c r="Q50" i="18"/>
  <c r="Q49" i="18"/>
  <c r="Q191" i="18"/>
  <c r="Q190" i="18"/>
  <c r="Q31" i="18"/>
  <c r="Q34" i="18"/>
  <c r="X43" i="18" l="1"/>
  <c r="W68" i="18"/>
  <c r="AA29" i="18"/>
  <c r="U36" i="18"/>
  <c r="U91" i="18" s="1"/>
  <c r="U97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I70" i="18"/>
  <c r="I72" i="18" s="1"/>
  <c r="J70" i="18"/>
  <c r="J72" i="18" s="1"/>
  <c r="K70" i="18"/>
  <c r="K72" i="18" s="1"/>
  <c r="L70" i="18"/>
  <c r="L72" i="18" s="1"/>
  <c r="M70" i="18"/>
  <c r="M72" i="18" s="1"/>
  <c r="N70" i="18"/>
  <c r="N72" i="18" s="1"/>
  <c r="O70" i="18"/>
  <c r="O72" i="18" s="1"/>
  <c r="P70" i="18"/>
  <c r="P72" i="18" s="1"/>
  <c r="I73" i="18"/>
  <c r="J73" i="18"/>
  <c r="K73" i="18"/>
  <c r="L73" i="18"/>
  <c r="M73" i="18"/>
  <c r="N73" i="18"/>
  <c r="O73" i="18"/>
  <c r="P73" i="18"/>
  <c r="I74" i="18"/>
  <c r="J74" i="18"/>
  <c r="K74" i="18"/>
  <c r="L74" i="18"/>
  <c r="M74" i="18"/>
  <c r="N74" i="18"/>
  <c r="O74" i="18"/>
  <c r="P74" i="18"/>
  <c r="C73" i="18"/>
  <c r="D73" i="18"/>
  <c r="E73" i="18"/>
  <c r="F73" i="18"/>
  <c r="G73" i="18"/>
  <c r="C74" i="18"/>
  <c r="D74" i="18"/>
  <c r="E74" i="18"/>
  <c r="F74" i="18"/>
  <c r="G74" i="18"/>
  <c r="C75" i="18"/>
  <c r="D75" i="18"/>
  <c r="E75" i="18"/>
  <c r="F75" i="18"/>
  <c r="G75" i="18"/>
  <c r="C76" i="18"/>
  <c r="D76" i="18"/>
  <c r="E76" i="18"/>
  <c r="F76" i="18"/>
  <c r="G76" i="18"/>
  <c r="H76" i="18"/>
  <c r="H75" i="18"/>
  <c r="S23" i="18"/>
  <c r="Q23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S21" i="18"/>
  <c r="Q20" i="18"/>
  <c r="C70" i="18"/>
  <c r="C72" i="18" s="1"/>
  <c r="D70" i="18"/>
  <c r="D72" i="18" s="1"/>
  <c r="E70" i="18"/>
  <c r="E72" i="18" s="1"/>
  <c r="F70" i="18"/>
  <c r="F72" i="18" s="1"/>
  <c r="G70" i="18"/>
  <c r="G72" i="18" s="1"/>
  <c r="H70" i="18"/>
  <c r="H72" i="18" s="1"/>
  <c r="H74" i="18"/>
  <c r="H73" i="18"/>
  <c r="Y43" i="18" l="1"/>
  <c r="X68" i="18"/>
  <c r="T23" i="18"/>
  <c r="S94" i="18"/>
  <c r="S100" i="18" s="1"/>
  <c r="AB29" i="18"/>
  <c r="AE31" i="18"/>
  <c r="AC31" i="18"/>
  <c r="AC22" i="18"/>
  <c r="AE22" i="18"/>
  <c r="V36" i="18"/>
  <c r="V91" i="18" s="1"/>
  <c r="V97" i="18" s="1"/>
  <c r="Q75" i="18"/>
  <c r="Q76" i="18"/>
  <c r="Q74" i="18"/>
  <c r="Q72" i="18"/>
  <c r="Q73" i="18"/>
  <c r="Q22" i="18"/>
  <c r="Q21" i="18"/>
  <c r="Q70" i="18"/>
  <c r="S20" i="18"/>
  <c r="S53" i="18" s="1"/>
  <c r="T21" i="18"/>
  <c r="Q68" i="18"/>
  <c r="Q167" i="18"/>
  <c r="Y68" i="18" l="1"/>
  <c r="Z43" i="18"/>
  <c r="U23" i="18"/>
  <c r="T94" i="18"/>
  <c r="T100" i="18" s="1"/>
  <c r="AE29" i="18"/>
  <c r="AC29" i="18"/>
  <c r="T20" i="18"/>
  <c r="S70" i="18"/>
  <c r="U21" i="18"/>
  <c r="C19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AE9" i="18" s="1"/>
  <c r="Q40" i="18"/>
  <c r="Q33" i="18"/>
  <c r="Q27" i="18"/>
  <c r="Q25" i="18"/>
  <c r="Q18" i="18"/>
  <c r="Q16" i="18"/>
  <c r="Q15" i="18"/>
  <c r="Q13" i="18"/>
  <c r="Q12" i="18"/>
  <c r="Q10" i="18"/>
  <c r="Q9" i="18"/>
  <c r="Q7" i="18"/>
  <c r="Q6" i="18"/>
  <c r="S18" i="18"/>
  <c r="S25" i="18"/>
  <c r="S88" i="18" s="1"/>
  <c r="S27" i="18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AE33" i="18" s="1"/>
  <c r="S34" i="18"/>
  <c r="T34" i="18" s="1"/>
  <c r="U34" i="18" s="1"/>
  <c r="V34" i="18" s="1"/>
  <c r="W34" i="18" s="1"/>
  <c r="X34" i="18" s="1"/>
  <c r="Y34" i="18" s="1"/>
  <c r="Z34" i="18" s="1"/>
  <c r="AA34" i="18" s="1"/>
  <c r="AB34" i="18" s="1"/>
  <c r="AE34" i="18" s="1"/>
  <c r="W36" i="18"/>
  <c r="W91" i="18" s="1"/>
  <c r="W97" i="18" s="1"/>
  <c r="O66" i="18"/>
  <c r="O172" i="18" s="1"/>
  <c r="O65" i="18"/>
  <c r="O63" i="18"/>
  <c r="O62" i="18"/>
  <c r="O60" i="18"/>
  <c r="O173" i="18" s="1"/>
  <c r="O59" i="18"/>
  <c r="O58" i="18"/>
  <c r="O56" i="18"/>
  <c r="O55" i="18"/>
  <c r="O170" i="18" s="1"/>
  <c r="O54" i="18"/>
  <c r="O52" i="18"/>
  <c r="Z68" i="18" l="1"/>
  <c r="AA43" i="18"/>
  <c r="T70" i="18"/>
  <c r="S123" i="18"/>
  <c r="S133" i="18"/>
  <c r="S124" i="18"/>
  <c r="S134" i="18"/>
  <c r="V23" i="18"/>
  <c r="U94" i="18"/>
  <c r="U100" i="18" s="1"/>
  <c r="S117" i="18"/>
  <c r="S118" i="18"/>
  <c r="S116" i="18"/>
  <c r="S106" i="18"/>
  <c r="P111" i="18"/>
  <c r="Q111" i="18" s="1"/>
  <c r="Q110" i="18"/>
  <c r="S90" i="18"/>
  <c r="S96" i="18" s="1"/>
  <c r="S114" i="18"/>
  <c r="S113" i="18"/>
  <c r="T18" i="18"/>
  <c r="O169" i="18"/>
  <c r="O174" i="18"/>
  <c r="U20" i="18"/>
  <c r="T27" i="18"/>
  <c r="X36" i="18"/>
  <c r="X91" i="18" s="1"/>
  <c r="X97" i="18" s="1"/>
  <c r="T25" i="18"/>
  <c r="T88" i="18" s="1"/>
  <c r="S84" i="18"/>
  <c r="V21" i="18"/>
  <c r="AC33" i="18"/>
  <c r="AC34" i="18"/>
  <c r="AC9" i="18"/>
  <c r="O64" i="18"/>
  <c r="O171" i="18" s="1"/>
  <c r="D60" i="18"/>
  <c r="E60" i="18"/>
  <c r="F60" i="18"/>
  <c r="G60" i="18"/>
  <c r="G173" i="18" s="1"/>
  <c r="H60" i="18"/>
  <c r="H173" i="18" s="1"/>
  <c r="I60" i="18"/>
  <c r="I173" i="18" s="1"/>
  <c r="J60" i="18"/>
  <c r="J173" i="18" s="1"/>
  <c r="K60" i="18"/>
  <c r="K173" i="18" s="1"/>
  <c r="L60" i="18"/>
  <c r="L173" i="18" s="1"/>
  <c r="M60" i="18"/>
  <c r="M173" i="18" s="1"/>
  <c r="N60" i="18"/>
  <c r="N173" i="18" s="1"/>
  <c r="P60" i="18"/>
  <c r="C60" i="18"/>
  <c r="C59" i="18"/>
  <c r="AB43" i="18" l="1"/>
  <c r="AA68" i="18"/>
  <c r="T124" i="18"/>
  <c r="T134" i="18"/>
  <c r="T123" i="18"/>
  <c r="T133" i="18"/>
  <c r="W23" i="18"/>
  <c r="V94" i="18"/>
  <c r="V100" i="18" s="1"/>
  <c r="T116" i="18"/>
  <c r="T118" i="18"/>
  <c r="T117" i="18"/>
  <c r="T106" i="18"/>
  <c r="T90" i="18"/>
  <c r="T96" i="18" s="1"/>
  <c r="T114" i="18"/>
  <c r="T113" i="18"/>
  <c r="U18" i="18"/>
  <c r="V20" i="18"/>
  <c r="U70" i="18"/>
  <c r="U27" i="18"/>
  <c r="U25" i="18"/>
  <c r="T84" i="18"/>
  <c r="Y36" i="18"/>
  <c r="Y91" i="18" s="1"/>
  <c r="Y97" i="18" s="1"/>
  <c r="W21" i="18"/>
  <c r="P173" i="18"/>
  <c r="Q173" i="18" s="1"/>
  <c r="Q60" i="18"/>
  <c r="D59" i="18"/>
  <c r="E59" i="18"/>
  <c r="F59" i="18"/>
  <c r="G59" i="18"/>
  <c r="H59" i="18"/>
  <c r="I59" i="18"/>
  <c r="J59" i="18"/>
  <c r="K59" i="18"/>
  <c r="L59" i="18"/>
  <c r="M59" i="18"/>
  <c r="N59" i="18"/>
  <c r="P59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C58" i="18"/>
  <c r="AE43" i="18" l="1"/>
  <c r="AB68" i="18"/>
  <c r="AC43" i="18"/>
  <c r="U123" i="18"/>
  <c r="U133" i="18"/>
  <c r="U124" i="18"/>
  <c r="U134" i="18"/>
  <c r="U88" i="18"/>
  <c r="X23" i="18"/>
  <c r="W94" i="18"/>
  <c r="W100" i="18" s="1"/>
  <c r="U118" i="18"/>
  <c r="U117" i="18"/>
  <c r="U116" i="18"/>
  <c r="U106" i="18"/>
  <c r="U90" i="18"/>
  <c r="U96" i="18" s="1"/>
  <c r="U114" i="18"/>
  <c r="U113" i="18"/>
  <c r="V18" i="18"/>
  <c r="W20" i="18"/>
  <c r="V70" i="18"/>
  <c r="V27" i="18"/>
  <c r="V25" i="18"/>
  <c r="V88" i="18" s="1"/>
  <c r="U84" i="18"/>
  <c r="Z36" i="18"/>
  <c r="Z91" i="18" s="1"/>
  <c r="Z97" i="18" s="1"/>
  <c r="X21" i="18"/>
  <c r="Q58" i="18"/>
  <c r="Q59" i="18"/>
  <c r="C46" i="15"/>
  <c r="S155" i="18" l="1"/>
  <c r="AE68" i="18"/>
  <c r="T155" i="18" s="1"/>
  <c r="AC68" i="18"/>
  <c r="V124" i="18"/>
  <c r="V134" i="18"/>
  <c r="V123" i="18"/>
  <c r="V133" i="18"/>
  <c r="Y23" i="18"/>
  <c r="X94" i="18"/>
  <c r="X100" i="18" s="1"/>
  <c r="V106" i="18"/>
  <c r="V118" i="18"/>
  <c r="V117" i="18"/>
  <c r="V116" i="18"/>
  <c r="V90" i="18"/>
  <c r="V96" i="18" s="1"/>
  <c r="V114" i="18"/>
  <c r="V113" i="18"/>
  <c r="W18" i="18"/>
  <c r="X20" i="18"/>
  <c r="W70" i="18"/>
  <c r="W27" i="18"/>
  <c r="W25" i="18"/>
  <c r="V84" i="18"/>
  <c r="AA36" i="18"/>
  <c r="AA91" i="18" s="1"/>
  <c r="AA97" i="18" s="1"/>
  <c r="Y21" i="18"/>
  <c r="S167" i="18"/>
  <c r="S175" i="18" s="1"/>
  <c r="C52" i="18"/>
  <c r="D52" i="18"/>
  <c r="E52" i="18"/>
  <c r="F52" i="18"/>
  <c r="H52" i="18"/>
  <c r="I52" i="18"/>
  <c r="J52" i="18"/>
  <c r="K52" i="18"/>
  <c r="L52" i="18"/>
  <c r="L174" i="18" s="1"/>
  <c r="M52" i="18"/>
  <c r="N52" i="18"/>
  <c r="N174" i="18" s="1"/>
  <c r="P52" i="18"/>
  <c r="D66" i="18"/>
  <c r="D172" i="18" s="1"/>
  <c r="E66" i="18"/>
  <c r="E172" i="18" s="1"/>
  <c r="F66" i="18"/>
  <c r="F172" i="18" s="1"/>
  <c r="G66" i="18"/>
  <c r="H66" i="18"/>
  <c r="H172" i="18" s="1"/>
  <c r="I66" i="18"/>
  <c r="I172" i="18" s="1"/>
  <c r="J66" i="18"/>
  <c r="J172" i="18" s="1"/>
  <c r="K66" i="18"/>
  <c r="K172" i="18" s="1"/>
  <c r="L66" i="18"/>
  <c r="L172" i="18" s="1"/>
  <c r="M66" i="18"/>
  <c r="M172" i="18" s="1"/>
  <c r="N66" i="18"/>
  <c r="P66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3" i="18"/>
  <c r="E63" i="18"/>
  <c r="F63" i="18"/>
  <c r="G63" i="18"/>
  <c r="H63" i="18"/>
  <c r="I63" i="18"/>
  <c r="J63" i="18"/>
  <c r="K63" i="18"/>
  <c r="L63" i="18"/>
  <c r="M63" i="18"/>
  <c r="N63" i="18"/>
  <c r="P63" i="18"/>
  <c r="D62" i="18"/>
  <c r="D64" i="18" s="1"/>
  <c r="D171" i="18" s="1"/>
  <c r="E62" i="18"/>
  <c r="E64" i="18" s="1"/>
  <c r="E171" i="18" s="1"/>
  <c r="F62" i="18"/>
  <c r="G62" i="18"/>
  <c r="H62" i="18"/>
  <c r="I62" i="18"/>
  <c r="J62" i="18"/>
  <c r="K62" i="18"/>
  <c r="L62" i="18"/>
  <c r="M62" i="18"/>
  <c r="N62" i="18"/>
  <c r="P62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5" i="18"/>
  <c r="D170" i="18" s="1"/>
  <c r="E55" i="18"/>
  <c r="E170" i="18" s="1"/>
  <c r="F55" i="18"/>
  <c r="F170" i="18" s="1"/>
  <c r="G55" i="18"/>
  <c r="H55" i="18"/>
  <c r="H170" i="18" s="1"/>
  <c r="I55" i="18"/>
  <c r="I170" i="18" s="1"/>
  <c r="J55" i="18"/>
  <c r="J170" i="18" s="1"/>
  <c r="K55" i="18"/>
  <c r="K170" i="18" s="1"/>
  <c r="L55" i="18"/>
  <c r="L170" i="18" s="1"/>
  <c r="M55" i="18"/>
  <c r="M170" i="18" s="1"/>
  <c r="N55" i="18"/>
  <c r="P55" i="18"/>
  <c r="C66" i="18"/>
  <c r="C172" i="18" s="1"/>
  <c r="C65" i="18"/>
  <c r="C63" i="18"/>
  <c r="C62" i="18"/>
  <c r="C56" i="18"/>
  <c r="C55" i="18"/>
  <c r="C170" i="18" s="1"/>
  <c r="D54" i="18"/>
  <c r="E54" i="18"/>
  <c r="F54" i="18"/>
  <c r="G54" i="18"/>
  <c r="H54" i="18"/>
  <c r="I54" i="18"/>
  <c r="J54" i="18"/>
  <c r="K54" i="18"/>
  <c r="L54" i="18"/>
  <c r="M54" i="18"/>
  <c r="N54" i="18"/>
  <c r="P54" i="18"/>
  <c r="C54" i="18"/>
  <c r="S15" i="18"/>
  <c r="S121" i="18" s="1"/>
  <c r="S16" i="18"/>
  <c r="S129" i="18" s="1"/>
  <c r="S130" i="18" s="1"/>
  <c r="S40" i="18"/>
  <c r="S92" i="18" s="1"/>
  <c r="S98" i="18" s="1"/>
  <c r="S10" i="18"/>
  <c r="S12" i="18"/>
  <c r="S13" i="18"/>
  <c r="S7" i="18"/>
  <c r="S6" i="18"/>
  <c r="P187" i="18" l="1"/>
  <c r="S187" i="18"/>
  <c r="S103" i="18"/>
  <c r="R155" i="18"/>
  <c r="P179" i="18" s="1"/>
  <c r="W123" i="18"/>
  <c r="W133" i="18"/>
  <c r="W88" i="18"/>
  <c r="W124" i="18"/>
  <c r="W134" i="18"/>
  <c r="Z23" i="18"/>
  <c r="Y94" i="18"/>
  <c r="Y100" i="18" s="1"/>
  <c r="S86" i="18"/>
  <c r="S87" i="18"/>
  <c r="S127" i="18"/>
  <c r="S126" i="18"/>
  <c r="S93" i="18"/>
  <c r="S99" i="18" s="1"/>
  <c r="S122" i="18"/>
  <c r="H174" i="18"/>
  <c r="H169" i="18"/>
  <c r="W106" i="18"/>
  <c r="W117" i="18"/>
  <c r="W116" i="18"/>
  <c r="W118" i="18"/>
  <c r="S105" i="18"/>
  <c r="S110" i="18"/>
  <c r="S111" i="18" s="1"/>
  <c r="W90" i="18"/>
  <c r="W96" i="18" s="1"/>
  <c r="W114" i="18"/>
  <c r="W113" i="18"/>
  <c r="S104" i="18"/>
  <c r="X18" i="18"/>
  <c r="D169" i="18"/>
  <c r="D173" i="18" s="1"/>
  <c r="D174" i="18"/>
  <c r="E169" i="18"/>
  <c r="E173" i="18" s="1"/>
  <c r="E174" i="18"/>
  <c r="C169" i="18"/>
  <c r="C173" i="18" s="1"/>
  <c r="C174" i="18"/>
  <c r="P169" i="18"/>
  <c r="P174" i="18"/>
  <c r="Q174" i="18" s="1"/>
  <c r="K169" i="18"/>
  <c r="K174" i="18"/>
  <c r="F169" i="18"/>
  <c r="F173" i="18" s="1"/>
  <c r="F174" i="18"/>
  <c r="J169" i="18"/>
  <c r="J174" i="18"/>
  <c r="M169" i="18"/>
  <c r="M174" i="18"/>
  <c r="I169" i="18"/>
  <c r="I174" i="18"/>
  <c r="Q137" i="18"/>
  <c r="Y20" i="18"/>
  <c r="X70" i="18"/>
  <c r="H64" i="18"/>
  <c r="H171" i="18" s="1"/>
  <c r="X27" i="18"/>
  <c r="T12" i="18"/>
  <c r="T15" i="18"/>
  <c r="T121" i="18" s="1"/>
  <c r="T13" i="18"/>
  <c r="T10" i="18"/>
  <c r="T16" i="18"/>
  <c r="T129" i="18" s="1"/>
  <c r="T130" i="18" s="1"/>
  <c r="T6" i="18"/>
  <c r="T7" i="18"/>
  <c r="X25" i="18"/>
  <c r="X88" i="18" s="1"/>
  <c r="W84" i="18"/>
  <c r="T40" i="18"/>
  <c r="T92" i="18" s="1"/>
  <c r="T98" i="18" s="1"/>
  <c r="S85" i="18"/>
  <c r="AB36" i="18"/>
  <c r="F64" i="18"/>
  <c r="F171" i="18" s="1"/>
  <c r="L64" i="18"/>
  <c r="L171" i="18" s="1"/>
  <c r="K64" i="18"/>
  <c r="K171" i="18" s="1"/>
  <c r="J64" i="18"/>
  <c r="J171" i="18" s="1"/>
  <c r="Z21" i="18"/>
  <c r="C64" i="18"/>
  <c r="C171" i="18" s="1"/>
  <c r="T167" i="18"/>
  <c r="T175" i="18" s="1"/>
  <c r="I64" i="18"/>
  <c r="I171" i="18" s="1"/>
  <c r="Q54" i="18"/>
  <c r="G170" i="18"/>
  <c r="Q55" i="18"/>
  <c r="Q56" i="18"/>
  <c r="Q63" i="18"/>
  <c r="Q65" i="18"/>
  <c r="G169" i="18"/>
  <c r="Q52" i="18"/>
  <c r="G172" i="18"/>
  <c r="Q66" i="18"/>
  <c r="G64" i="18"/>
  <c r="Q62" i="18"/>
  <c r="N170" i="18"/>
  <c r="N169" i="18"/>
  <c r="N172" i="18"/>
  <c r="P170" i="18"/>
  <c r="L169" i="18"/>
  <c r="N64" i="18"/>
  <c r="M64" i="18"/>
  <c r="M171" i="18" s="1"/>
  <c r="P172" i="18"/>
  <c r="P64" i="18"/>
  <c r="S63" i="18"/>
  <c r="C6" i="12"/>
  <c r="C26" i="15"/>
  <c r="C58" i="15"/>
  <c r="C57" i="15"/>
  <c r="C54" i="15"/>
  <c r="C53" i="15"/>
  <c r="C50" i="15"/>
  <c r="C49" i="15"/>
  <c r="C45" i="15"/>
  <c r="T187" i="18" l="1"/>
  <c r="U187" i="18" s="1"/>
  <c r="V187" i="18" s="1"/>
  <c r="W187" i="18" s="1"/>
  <c r="X187" i="18" s="1"/>
  <c r="Y187" i="18" s="1"/>
  <c r="Z187" i="18" s="1"/>
  <c r="AA187" i="18" s="1"/>
  <c r="AB187" i="18" s="1"/>
  <c r="AC187" i="18" s="1"/>
  <c r="AD187" i="18" s="1"/>
  <c r="AE187" i="18" s="1"/>
  <c r="AF187" i="18" s="1"/>
  <c r="AG187" i="18" s="1"/>
  <c r="AH187" i="18" s="1"/>
  <c r="AI187" i="18" s="1"/>
  <c r="AJ187" i="18" s="1"/>
  <c r="AK187" i="18" s="1"/>
  <c r="AL187" i="18" s="1"/>
  <c r="AM187" i="18" s="1"/>
  <c r="AN187" i="18" s="1"/>
  <c r="AO187" i="18" s="1"/>
  <c r="AP187" i="18" s="1"/>
  <c r="AQ187" i="18" s="1"/>
  <c r="AR187" i="18" s="1"/>
  <c r="AS187" i="18" s="1"/>
  <c r="S188" i="18"/>
  <c r="P186" i="18"/>
  <c r="S186" i="18"/>
  <c r="T103" i="18"/>
  <c r="X123" i="18"/>
  <c r="X133" i="18"/>
  <c r="X124" i="18"/>
  <c r="X134" i="18"/>
  <c r="AE36" i="18"/>
  <c r="AB91" i="18"/>
  <c r="AA23" i="18"/>
  <c r="Z94" i="18"/>
  <c r="Z100" i="18" s="1"/>
  <c r="T127" i="18"/>
  <c r="T126" i="18"/>
  <c r="T93" i="18"/>
  <c r="T99" i="18" s="1"/>
  <c r="T122" i="18"/>
  <c r="T87" i="18"/>
  <c r="X116" i="18"/>
  <c r="X117" i="18"/>
  <c r="X118" i="18"/>
  <c r="X106" i="18"/>
  <c r="X90" i="18"/>
  <c r="X96" i="18" s="1"/>
  <c r="X114" i="18"/>
  <c r="X113" i="18"/>
  <c r="T104" i="18"/>
  <c r="T105" i="18"/>
  <c r="Y18" i="18"/>
  <c r="Z20" i="18"/>
  <c r="Y70" i="18"/>
  <c r="S62" i="18"/>
  <c r="S79" i="18"/>
  <c r="S58" i="18"/>
  <c r="S60" i="18"/>
  <c r="S173" i="18" s="1"/>
  <c r="S66" i="18"/>
  <c r="S172" i="18" s="1"/>
  <c r="S76" i="18"/>
  <c r="S78" i="18"/>
  <c r="S131" i="18" s="1"/>
  <c r="S50" i="18"/>
  <c r="S49" i="18"/>
  <c r="S168" i="18" s="1"/>
  <c r="S59" i="18"/>
  <c r="S55" i="18"/>
  <c r="S56" i="18"/>
  <c r="S65" i="18"/>
  <c r="S54" i="18"/>
  <c r="S80" i="18"/>
  <c r="S52" i="18"/>
  <c r="S174" i="18" s="1"/>
  <c r="Y27" i="18"/>
  <c r="U15" i="18"/>
  <c r="U121" i="18" s="1"/>
  <c r="U13" i="18"/>
  <c r="U12" i="18"/>
  <c r="S64" i="18"/>
  <c r="U16" i="18"/>
  <c r="U129" i="18" s="1"/>
  <c r="U130" i="18" s="1"/>
  <c r="U10" i="18"/>
  <c r="U7" i="18"/>
  <c r="U6" i="18"/>
  <c r="AC36" i="18"/>
  <c r="Y25" i="18"/>
  <c r="Y88" i="18" s="1"/>
  <c r="X84" i="18"/>
  <c r="U40" i="18"/>
  <c r="U92" i="18" s="1"/>
  <c r="U98" i="18" s="1"/>
  <c r="T86" i="18"/>
  <c r="T85" i="18"/>
  <c r="T42" i="18"/>
  <c r="S73" i="18"/>
  <c r="S74" i="18"/>
  <c r="S75" i="18"/>
  <c r="S72" i="18"/>
  <c r="AA21" i="18"/>
  <c r="U167" i="18"/>
  <c r="U175" i="18" s="1"/>
  <c r="Q170" i="18"/>
  <c r="Q169" i="18"/>
  <c r="Q172" i="18"/>
  <c r="G171" i="18"/>
  <c r="Q64" i="18"/>
  <c r="N171" i="18"/>
  <c r="P171" i="18"/>
  <c r="C16" i="15"/>
  <c r="C21" i="15"/>
  <c r="C10" i="15"/>
  <c r="T188" i="18" l="1"/>
  <c r="U188" i="18" s="1"/>
  <c r="V188" i="18" s="1"/>
  <c r="W188" i="18" s="1"/>
  <c r="X188" i="18" s="1"/>
  <c r="Y188" i="18" s="1"/>
  <c r="Z188" i="18" s="1"/>
  <c r="AA188" i="18" s="1"/>
  <c r="AB188" i="18" s="1"/>
  <c r="AC188" i="18" s="1"/>
  <c r="AD188" i="18" s="1"/>
  <c r="AE188" i="18" s="1"/>
  <c r="AF188" i="18" s="1"/>
  <c r="AG188" i="18" s="1"/>
  <c r="AH188" i="18" s="1"/>
  <c r="AI188" i="18" s="1"/>
  <c r="AJ188" i="18" s="1"/>
  <c r="AK188" i="18" s="1"/>
  <c r="AL188" i="18" s="1"/>
  <c r="AM188" i="18" s="1"/>
  <c r="AN188" i="18" s="1"/>
  <c r="AO188" i="18" s="1"/>
  <c r="AP188" i="18" s="1"/>
  <c r="AQ188" i="18" s="1"/>
  <c r="AR188" i="18" s="1"/>
  <c r="AS188" i="18" s="1"/>
  <c r="AC91" i="18"/>
  <c r="AB97" i="18"/>
  <c r="AC97" i="18" s="1"/>
  <c r="T186" i="18"/>
  <c r="U186" i="18" s="1"/>
  <c r="V186" i="18" s="1"/>
  <c r="W186" i="18" s="1"/>
  <c r="X186" i="18" s="1"/>
  <c r="Y186" i="18" s="1"/>
  <c r="Z186" i="18" s="1"/>
  <c r="AA186" i="18" s="1"/>
  <c r="AB186" i="18" s="1"/>
  <c r="AC186" i="18" s="1"/>
  <c r="S185" i="18"/>
  <c r="U103" i="18"/>
  <c r="T108" i="18"/>
  <c r="T109" i="18" s="1"/>
  <c r="T110" i="18" s="1"/>
  <c r="T111" i="18" s="1"/>
  <c r="T53" i="18"/>
  <c r="Y123" i="18"/>
  <c r="Y133" i="18"/>
  <c r="Y124" i="18"/>
  <c r="Y134" i="18"/>
  <c r="AB23" i="18"/>
  <c r="AA94" i="18"/>
  <c r="AA100" i="18" s="1"/>
  <c r="U93" i="18"/>
  <c r="U99" i="18" s="1"/>
  <c r="U122" i="18"/>
  <c r="U127" i="18"/>
  <c r="U126" i="18"/>
  <c r="U87" i="18"/>
  <c r="Y118" i="18"/>
  <c r="Y117" i="18"/>
  <c r="Y116" i="18"/>
  <c r="Y106" i="18"/>
  <c r="T62" i="18"/>
  <c r="Y90" i="18"/>
  <c r="Y96" i="18" s="1"/>
  <c r="Y114" i="18"/>
  <c r="Y113" i="18"/>
  <c r="U104" i="18"/>
  <c r="U105" i="18"/>
  <c r="T58" i="18"/>
  <c r="Z18" i="18"/>
  <c r="AA20" i="18"/>
  <c r="Z70" i="18"/>
  <c r="T60" i="18"/>
  <c r="T173" i="18" s="1"/>
  <c r="T66" i="18"/>
  <c r="T172" i="18" s="1"/>
  <c r="T76" i="18"/>
  <c r="T78" i="18"/>
  <c r="T131" i="18" s="1"/>
  <c r="T49" i="18"/>
  <c r="T168" i="18" s="1"/>
  <c r="T50" i="18"/>
  <c r="T55" i="18"/>
  <c r="T54" i="18"/>
  <c r="T65" i="18"/>
  <c r="T80" i="18"/>
  <c r="T59" i="18"/>
  <c r="T56" i="18"/>
  <c r="T52" i="18"/>
  <c r="T174" i="18" s="1"/>
  <c r="T63" i="18"/>
  <c r="T79" i="18"/>
  <c r="Z27" i="18"/>
  <c r="V13" i="18"/>
  <c r="V12" i="18"/>
  <c r="V15" i="18"/>
  <c r="V121" i="18" s="1"/>
  <c r="V10" i="18"/>
  <c r="V16" i="18"/>
  <c r="V129" i="18" s="1"/>
  <c r="V130" i="18" s="1"/>
  <c r="V6" i="18"/>
  <c r="V7" i="18"/>
  <c r="V40" i="18"/>
  <c r="V92" i="18" s="1"/>
  <c r="V98" i="18" s="1"/>
  <c r="U86" i="18"/>
  <c r="U85" i="18"/>
  <c r="Z25" i="18"/>
  <c r="Z88" i="18" s="1"/>
  <c r="Y84" i="18"/>
  <c r="U42" i="18"/>
  <c r="T75" i="18"/>
  <c r="T74" i="18"/>
  <c r="T73" i="18"/>
  <c r="T72" i="18"/>
  <c r="AB21" i="18"/>
  <c r="AE21" i="18" s="1"/>
  <c r="S171" i="18"/>
  <c r="V167" i="18"/>
  <c r="V175" i="18" s="1"/>
  <c r="S169" i="18"/>
  <c r="S170" i="18"/>
  <c r="Q171" i="18"/>
  <c r="D31" i="8"/>
  <c r="D29" i="8"/>
  <c r="D28" i="8"/>
  <c r="D13" i="8"/>
  <c r="D30" i="8" s="1"/>
  <c r="E14" i="8"/>
  <c r="F14" i="8" s="1"/>
  <c r="G14" i="8" s="1"/>
  <c r="H14" i="8" s="1"/>
  <c r="I14" i="8" s="1"/>
  <c r="T185" i="18" l="1"/>
  <c r="U185" i="18" s="1"/>
  <c r="V185" i="18" s="1"/>
  <c r="W185" i="18" s="1"/>
  <c r="X185" i="18" s="1"/>
  <c r="Y185" i="18" s="1"/>
  <c r="Z185" i="18" s="1"/>
  <c r="AA185" i="18" s="1"/>
  <c r="AB185" i="18" s="1"/>
  <c r="AC185" i="18" s="1"/>
  <c r="AD186" i="18"/>
  <c r="AE186" i="18" s="1"/>
  <c r="AF186" i="18" s="1"/>
  <c r="AG186" i="18" s="1"/>
  <c r="AH186" i="18" s="1"/>
  <c r="AI186" i="18" s="1"/>
  <c r="AJ186" i="18" s="1"/>
  <c r="AK186" i="18" s="1"/>
  <c r="AL186" i="18" s="1"/>
  <c r="AM186" i="18" s="1"/>
  <c r="AN186" i="18" s="1"/>
  <c r="AO186" i="18" s="1"/>
  <c r="AP186" i="18" s="1"/>
  <c r="AQ186" i="18" s="1"/>
  <c r="AR186" i="18" s="1"/>
  <c r="AS186" i="18" s="1"/>
  <c r="V103" i="18"/>
  <c r="U108" i="18"/>
  <c r="U109" i="18" s="1"/>
  <c r="U110" i="18" s="1"/>
  <c r="U111" i="18" s="1"/>
  <c r="U53" i="18"/>
  <c r="Z123" i="18"/>
  <c r="Z133" i="18"/>
  <c r="Z124" i="18"/>
  <c r="Z134" i="18"/>
  <c r="AE23" i="18"/>
  <c r="AB94" i="18"/>
  <c r="AC23" i="18"/>
  <c r="V87" i="18"/>
  <c r="V126" i="18"/>
  <c r="V127" i="18"/>
  <c r="V93" i="18"/>
  <c r="V99" i="18" s="1"/>
  <c r="V122" i="18"/>
  <c r="Z118" i="18"/>
  <c r="Z117" i="18"/>
  <c r="Z116" i="18"/>
  <c r="Z106" i="18"/>
  <c r="U62" i="18"/>
  <c r="T64" i="18"/>
  <c r="T171" i="18" s="1"/>
  <c r="Z90" i="18"/>
  <c r="Z96" i="18" s="1"/>
  <c r="Z114" i="18"/>
  <c r="Z113" i="18"/>
  <c r="V105" i="18"/>
  <c r="V104" i="18"/>
  <c r="AA18" i="18"/>
  <c r="AB20" i="18"/>
  <c r="AA70" i="18"/>
  <c r="U80" i="18"/>
  <c r="U79" i="18"/>
  <c r="U58" i="18"/>
  <c r="U66" i="18"/>
  <c r="U172" i="18" s="1"/>
  <c r="U65" i="18"/>
  <c r="U60" i="18"/>
  <c r="U173" i="18" s="1"/>
  <c r="U63" i="18"/>
  <c r="U54" i="18"/>
  <c r="U76" i="18"/>
  <c r="U78" i="18"/>
  <c r="U131" i="18" s="1"/>
  <c r="U50" i="18"/>
  <c r="U49" i="18"/>
  <c r="U168" i="18" s="1"/>
  <c r="U59" i="18"/>
  <c r="U55" i="18"/>
  <c r="U56" i="18"/>
  <c r="U52" i="18"/>
  <c r="U174" i="18" s="1"/>
  <c r="AA27" i="18"/>
  <c r="W12" i="18"/>
  <c r="W15" i="18"/>
  <c r="W121" i="18" s="1"/>
  <c r="W13" i="18"/>
  <c r="W16" i="18"/>
  <c r="W129" i="18" s="1"/>
  <c r="W130" i="18" s="1"/>
  <c r="W10" i="18"/>
  <c r="W7" i="18"/>
  <c r="W6" i="18"/>
  <c r="AA25" i="18"/>
  <c r="Z84" i="18"/>
  <c r="W40" i="18"/>
  <c r="W92" i="18" s="1"/>
  <c r="W98" i="18" s="1"/>
  <c r="V85" i="18"/>
  <c r="V86" i="18"/>
  <c r="V42" i="18"/>
  <c r="U75" i="18"/>
  <c r="U73" i="18"/>
  <c r="U74" i="18"/>
  <c r="U72" i="18"/>
  <c r="AC21" i="18"/>
  <c r="W167" i="18"/>
  <c r="W175" i="18" s="1"/>
  <c r="T169" i="18"/>
  <c r="T170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D185" i="18" l="1"/>
  <c r="AE185" i="18" s="1"/>
  <c r="AF185" i="18" s="1"/>
  <c r="AG185" i="18" s="1"/>
  <c r="AH185" i="18" s="1"/>
  <c r="AI185" i="18" s="1"/>
  <c r="AJ185" i="18" s="1"/>
  <c r="AK185" i="18" s="1"/>
  <c r="AL185" i="18" s="1"/>
  <c r="AM185" i="18" s="1"/>
  <c r="AN185" i="18" s="1"/>
  <c r="AO185" i="18" s="1"/>
  <c r="AP185" i="18" s="1"/>
  <c r="AQ185" i="18" s="1"/>
  <c r="AR185" i="18" s="1"/>
  <c r="AS185" i="18" s="1"/>
  <c r="AC94" i="18"/>
  <c r="AB100" i="18"/>
  <c r="AC100" i="18" s="1"/>
  <c r="W103" i="18"/>
  <c r="V108" i="18"/>
  <c r="V109" i="18" s="1"/>
  <c r="V110" i="18" s="1"/>
  <c r="V111" i="18" s="1"/>
  <c r="V53" i="18"/>
  <c r="AA123" i="18"/>
  <c r="AA133" i="18"/>
  <c r="AA124" i="18"/>
  <c r="AA134" i="18"/>
  <c r="AE20" i="18"/>
  <c r="AA88" i="18"/>
  <c r="W127" i="18"/>
  <c r="W126" i="18"/>
  <c r="W93" i="18"/>
  <c r="W99" i="18" s="1"/>
  <c r="W122" i="18"/>
  <c r="W87" i="18"/>
  <c r="AA117" i="18"/>
  <c r="AA116" i="18"/>
  <c r="AA118" i="18"/>
  <c r="AA106" i="18"/>
  <c r="U64" i="18"/>
  <c r="U171" i="18" s="1"/>
  <c r="AA90" i="18"/>
  <c r="AA96" i="18" s="1"/>
  <c r="AA114" i="18"/>
  <c r="AA113" i="18"/>
  <c r="V65" i="18"/>
  <c r="W105" i="18"/>
  <c r="W104" i="18"/>
  <c r="AB18" i="18"/>
  <c r="V80" i="18"/>
  <c r="V56" i="18"/>
  <c r="V63" i="18"/>
  <c r="AC20" i="18"/>
  <c r="AB70" i="18"/>
  <c r="V54" i="18"/>
  <c r="V62" i="18"/>
  <c r="V59" i="18"/>
  <c r="V79" i="18"/>
  <c r="V55" i="18"/>
  <c r="V60" i="18"/>
  <c r="V173" i="18" s="1"/>
  <c r="V76" i="18"/>
  <c r="V78" i="18"/>
  <c r="V131" i="18" s="1"/>
  <c r="V49" i="18"/>
  <c r="V168" i="18" s="1"/>
  <c r="V50" i="18"/>
  <c r="V58" i="18"/>
  <c r="V66" i="18"/>
  <c r="V172" i="18" s="1"/>
  <c r="V52" i="18"/>
  <c r="V174" i="18" s="1"/>
  <c r="AB27" i="18"/>
  <c r="AB134" i="18" s="1"/>
  <c r="AC134" i="18" s="1"/>
  <c r="X15" i="18"/>
  <c r="X121" i="18" s="1"/>
  <c r="X13" i="18"/>
  <c r="X12" i="18"/>
  <c r="X10" i="18"/>
  <c r="X16" i="18"/>
  <c r="X129" i="18" s="1"/>
  <c r="X130" i="18" s="1"/>
  <c r="X6" i="18"/>
  <c r="X7" i="18"/>
  <c r="X40" i="18"/>
  <c r="X92" i="18" s="1"/>
  <c r="X98" i="18" s="1"/>
  <c r="W86" i="18"/>
  <c r="W85" i="18"/>
  <c r="AB25" i="18"/>
  <c r="AB88" i="18" s="1"/>
  <c r="AC88" i="18" s="1"/>
  <c r="AA84" i="18"/>
  <c r="W42" i="18"/>
  <c r="V75" i="18"/>
  <c r="V73" i="18"/>
  <c r="V74" i="18"/>
  <c r="V72" i="18"/>
  <c r="X167" i="18"/>
  <c r="X175" i="18" s="1"/>
  <c r="U169" i="18"/>
  <c r="U170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103" i="18" l="1"/>
  <c r="W108" i="18"/>
  <c r="W109" i="18" s="1"/>
  <c r="W110" i="18" s="1"/>
  <c r="W111" i="18" s="1"/>
  <c r="W53" i="18"/>
  <c r="AB123" i="18"/>
  <c r="AC123" i="18" s="1"/>
  <c r="AB133" i="18"/>
  <c r="AC133" i="18" s="1"/>
  <c r="X93" i="18"/>
  <c r="X99" i="18" s="1"/>
  <c r="X122" i="18"/>
  <c r="X127" i="18"/>
  <c r="X126" i="18"/>
  <c r="AE27" i="18"/>
  <c r="AB124" i="18"/>
  <c r="AC124" i="18" s="1"/>
  <c r="X87" i="18"/>
  <c r="AB116" i="18"/>
  <c r="AC116" i="18" s="1"/>
  <c r="AB118" i="18"/>
  <c r="AC118" i="18" s="1"/>
  <c r="AB117" i="18"/>
  <c r="AC117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B106" i="18"/>
  <c r="AC106" i="18" s="1"/>
  <c r="V64" i="18"/>
  <c r="V171" i="18" s="1"/>
  <c r="W63" i="18"/>
  <c r="AB90" i="18"/>
  <c r="AB114" i="18"/>
  <c r="AC114" i="18" s="1"/>
  <c r="AB113" i="18"/>
  <c r="AC113" i="18" s="1"/>
  <c r="X105" i="18"/>
  <c r="X104" i="18"/>
  <c r="AE25" i="18"/>
  <c r="AE18" i="18"/>
  <c r="AC18" i="18"/>
  <c r="S157" i="18"/>
  <c r="AE70" i="18"/>
  <c r="AC70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W66" i="18"/>
  <c r="W172" i="18" s="1"/>
  <c r="W65" i="18"/>
  <c r="W60" i="18"/>
  <c r="W173" i="18" s="1"/>
  <c r="W62" i="18"/>
  <c r="W59" i="18"/>
  <c r="W79" i="18"/>
  <c r="W58" i="18"/>
  <c r="W80" i="18"/>
  <c r="W76" i="18"/>
  <c r="W78" i="18"/>
  <c r="W131" i="18" s="1"/>
  <c r="W50" i="18"/>
  <c r="W49" i="18"/>
  <c r="W168" i="18" s="1"/>
  <c r="W54" i="18"/>
  <c r="W55" i="18"/>
  <c r="W56" i="18"/>
  <c r="W52" i="18"/>
  <c r="W174" i="18" s="1"/>
  <c r="AC27" i="18"/>
  <c r="Y12" i="18"/>
  <c r="Y15" i="18"/>
  <c r="Y121" i="18" s="1"/>
  <c r="Y13" i="18"/>
  <c r="Y10" i="18"/>
  <c r="Y16" i="18"/>
  <c r="Y129" i="18" s="1"/>
  <c r="Y130" i="18" s="1"/>
  <c r="Y7" i="18"/>
  <c r="Y6" i="18"/>
  <c r="AC25" i="18"/>
  <c r="AB84" i="18"/>
  <c r="AC84" i="18" s="1"/>
  <c r="Y40" i="18"/>
  <c r="Y92" i="18" s="1"/>
  <c r="Y98" i="18" s="1"/>
  <c r="X86" i="18"/>
  <c r="X85" i="18"/>
  <c r="O31" i="9"/>
  <c r="O32" i="9" s="1"/>
  <c r="X42" i="18"/>
  <c r="W75" i="18"/>
  <c r="W73" i="18"/>
  <c r="W74" i="18"/>
  <c r="W72" i="18"/>
  <c r="Y167" i="18"/>
  <c r="Y175" i="18" s="1"/>
  <c r="V169" i="18"/>
  <c r="V170" i="18"/>
  <c r="P31" i="11"/>
  <c r="N32" i="11"/>
  <c r="T19" i="9"/>
  <c r="D22" i="9"/>
  <c r="AC90" i="18" l="1"/>
  <c r="AB96" i="18"/>
  <c r="AC96" i="18" s="1"/>
  <c r="Y103" i="18"/>
  <c r="X108" i="18"/>
  <c r="X109" i="18" s="1"/>
  <c r="X110" i="18" s="1"/>
  <c r="X111" i="18" s="1"/>
  <c r="X53" i="18"/>
  <c r="Y127" i="18"/>
  <c r="Y126" i="18"/>
  <c r="Y93" i="18"/>
  <c r="Y99" i="18" s="1"/>
  <c r="Y122" i="18"/>
  <c r="Y87" i="18"/>
  <c r="W64" i="18"/>
  <c r="W171" i="18" s="1"/>
  <c r="X56" i="18"/>
  <c r="Y104" i="18"/>
  <c r="Y105" i="18"/>
  <c r="T157" i="18"/>
  <c r="R157" i="18" s="1"/>
  <c r="X58" i="18"/>
  <c r="X65" i="18"/>
  <c r="X52" i="18"/>
  <c r="X174" i="18" s="1"/>
  <c r="X60" i="18"/>
  <c r="X173" i="18" s="1"/>
  <c r="X55" i="18"/>
  <c r="X54" i="18"/>
  <c r="X76" i="18"/>
  <c r="X78" i="18"/>
  <c r="X131" i="18" s="1"/>
  <c r="X50" i="18"/>
  <c r="X49" i="18"/>
  <c r="X168" i="18" s="1"/>
  <c r="X80" i="18"/>
  <c r="X59" i="18"/>
  <c r="X66" i="18"/>
  <c r="X172" i="18" s="1"/>
  <c r="X63" i="18"/>
  <c r="X62" i="18"/>
  <c r="X79" i="18"/>
  <c r="Z13" i="18"/>
  <c r="Z12" i="18"/>
  <c r="Z15" i="18"/>
  <c r="Z121" i="18" s="1"/>
  <c r="Z10" i="18"/>
  <c r="Z16" i="18"/>
  <c r="Z129" i="18" s="1"/>
  <c r="Z130" i="18" s="1"/>
  <c r="Z6" i="18"/>
  <c r="Z7" i="18"/>
  <c r="Z40" i="18"/>
  <c r="Z92" i="18" s="1"/>
  <c r="Z98" i="18" s="1"/>
  <c r="Y86" i="18"/>
  <c r="Y85" i="18"/>
  <c r="Y42" i="18"/>
  <c r="X75" i="18"/>
  <c r="X73" i="18"/>
  <c r="X74" i="18"/>
  <c r="X72" i="18"/>
  <c r="Z167" i="18"/>
  <c r="Z175" i="18" s="1"/>
  <c r="W169" i="18"/>
  <c r="W170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103" i="18" l="1"/>
  <c r="Y108" i="18"/>
  <c r="Y109" i="18" s="1"/>
  <c r="Y110" i="18" s="1"/>
  <c r="Y111" i="18" s="1"/>
  <c r="Y53" i="18"/>
  <c r="Z93" i="18"/>
  <c r="Z99" i="18" s="1"/>
  <c r="Z122" i="18"/>
  <c r="Z126" i="18"/>
  <c r="Z127" i="18"/>
  <c r="Z87" i="18"/>
  <c r="Z104" i="18"/>
  <c r="Z105" i="18"/>
  <c r="X64" i="18"/>
  <c r="X171" i="18" s="1"/>
  <c r="Y76" i="18"/>
  <c r="Y78" i="18"/>
  <c r="Y131" i="18" s="1"/>
  <c r="Y49" i="18"/>
  <c r="Y168" i="18" s="1"/>
  <c r="Y50" i="18"/>
  <c r="Y60" i="18"/>
  <c r="Y173" i="18" s="1"/>
  <c r="Y66" i="18"/>
  <c r="Y172" i="18" s="1"/>
  <c r="Y65" i="18"/>
  <c r="Y63" i="18"/>
  <c r="Y54" i="18"/>
  <c r="Y52" i="18"/>
  <c r="Y174" i="18" s="1"/>
  <c r="Y59" i="18"/>
  <c r="Y55" i="18"/>
  <c r="Y56" i="18"/>
  <c r="Y62" i="18"/>
  <c r="Y79" i="18"/>
  <c r="Y58" i="18"/>
  <c r="Y80" i="18"/>
  <c r="AA12" i="18"/>
  <c r="AA15" i="18"/>
  <c r="AA121" i="18" s="1"/>
  <c r="AA13" i="18"/>
  <c r="AA10" i="18"/>
  <c r="AA16" i="18"/>
  <c r="AA129" i="18" s="1"/>
  <c r="AA130" i="18" s="1"/>
  <c r="AA7" i="18"/>
  <c r="AA6" i="18"/>
  <c r="AA40" i="18"/>
  <c r="AA92" i="18" s="1"/>
  <c r="AA98" i="18" s="1"/>
  <c r="Z85" i="18"/>
  <c r="Z86" i="18"/>
  <c r="Z42" i="18"/>
  <c r="Y75" i="18"/>
  <c r="Y73" i="18"/>
  <c r="Y74" i="18"/>
  <c r="Y72" i="18"/>
  <c r="AA167" i="18"/>
  <c r="AA175" i="18" s="1"/>
  <c r="X169" i="18"/>
  <c r="X170" i="18"/>
  <c r="N34" i="11"/>
  <c r="O33" i="11"/>
  <c r="D25" i="8"/>
  <c r="D23" i="8"/>
  <c r="AA103" i="18" l="1"/>
  <c r="Z108" i="18"/>
  <c r="Z109" i="18" s="1"/>
  <c r="Z110" i="18" s="1"/>
  <c r="Z111" i="18" s="1"/>
  <c r="Z53" i="18"/>
  <c r="AA87" i="18"/>
  <c r="AA126" i="18"/>
  <c r="AA127" i="18"/>
  <c r="AA93" i="18"/>
  <c r="AA99" i="18" s="1"/>
  <c r="AA122" i="18"/>
  <c r="AA104" i="18"/>
  <c r="AA105" i="18"/>
  <c r="Y64" i="18"/>
  <c r="Y171" i="18" s="1"/>
  <c r="Z76" i="18"/>
  <c r="Z78" i="18"/>
  <c r="Z131" i="18" s="1"/>
  <c r="Z50" i="18"/>
  <c r="Z49" i="18"/>
  <c r="Z168" i="18" s="1"/>
  <c r="Z54" i="18"/>
  <c r="Z65" i="18"/>
  <c r="Z55" i="18"/>
  <c r="Z60" i="18"/>
  <c r="Z173" i="18" s="1"/>
  <c r="Z63" i="18"/>
  <c r="Z62" i="18"/>
  <c r="Z80" i="18"/>
  <c r="Z66" i="18"/>
  <c r="Z172" i="18" s="1"/>
  <c r="Z52" i="18"/>
  <c r="Z174" i="18" s="1"/>
  <c r="Z59" i="18"/>
  <c r="Z79" i="18"/>
  <c r="Z58" i="18"/>
  <c r="Z56" i="18"/>
  <c r="AB15" i="18"/>
  <c r="AB13" i="18"/>
  <c r="AE13" i="18" s="1"/>
  <c r="AB12" i="18"/>
  <c r="AB122" i="18" s="1"/>
  <c r="AC122" i="18" s="1"/>
  <c r="AB10" i="18"/>
  <c r="AB16" i="18"/>
  <c r="AB6" i="18"/>
  <c r="AE6" i="18" s="1"/>
  <c r="AB7" i="18"/>
  <c r="AE7" i="18" s="1"/>
  <c r="AB40" i="18"/>
  <c r="AB92" i="18" s="1"/>
  <c r="AA86" i="18"/>
  <c r="AA85" i="18"/>
  <c r="AA42" i="18"/>
  <c r="Z75" i="18"/>
  <c r="Z73" i="18"/>
  <c r="Z74" i="18"/>
  <c r="Z72" i="18"/>
  <c r="AB167" i="18"/>
  <c r="AB175" i="18" s="1"/>
  <c r="Y169" i="18"/>
  <c r="Y170" i="18"/>
  <c r="N35" i="11"/>
  <c r="O34" i="11"/>
  <c r="D35" i="8"/>
  <c r="E5" i="8"/>
  <c r="E18" i="8" s="1"/>
  <c r="D18" i="8"/>
  <c r="D19" i="8"/>
  <c r="D21" i="8"/>
  <c r="D20" i="8"/>
  <c r="AC92" i="18" l="1"/>
  <c r="AB98" i="18"/>
  <c r="AC98" i="18" s="1"/>
  <c r="AB103" i="18"/>
  <c r="AC175" i="18"/>
  <c r="AE175" i="18" s="1"/>
  <c r="AA108" i="18"/>
  <c r="AA109" i="18" s="1"/>
  <c r="AA110" i="18" s="1"/>
  <c r="AA111" i="18" s="1"/>
  <c r="AA53" i="18"/>
  <c r="AE16" i="18"/>
  <c r="AB129" i="18"/>
  <c r="AB127" i="18"/>
  <c r="AC127" i="18" s="1"/>
  <c r="AB126" i="18"/>
  <c r="AC126" i="18" s="1"/>
  <c r="AE15" i="18"/>
  <c r="AB121" i="18"/>
  <c r="AC121" i="18" s="1"/>
  <c r="AB87" i="18"/>
  <c r="AC87" i="18" s="1"/>
  <c r="AE10" i="18"/>
  <c r="AC103" i="18"/>
  <c r="AE12" i="18"/>
  <c r="AB93" i="18"/>
  <c r="AE40" i="18"/>
  <c r="AB104" i="18"/>
  <c r="AC104" i="18" s="1"/>
  <c r="AB105" i="18"/>
  <c r="AC105" i="18" s="1"/>
  <c r="Z64" i="18"/>
  <c r="Z171" i="18" s="1"/>
  <c r="AA76" i="18"/>
  <c r="AA78" i="18"/>
  <c r="AA131" i="18" s="1"/>
  <c r="AA49" i="18"/>
  <c r="AA168" i="18" s="1"/>
  <c r="AA50" i="18"/>
  <c r="AA58" i="18"/>
  <c r="AA66" i="18"/>
  <c r="AA172" i="18" s="1"/>
  <c r="AA52" i="18"/>
  <c r="AA174" i="18" s="1"/>
  <c r="AA60" i="18"/>
  <c r="AA173" i="18" s="1"/>
  <c r="AA63" i="18"/>
  <c r="AA79" i="18"/>
  <c r="AA54" i="18"/>
  <c r="AA55" i="18"/>
  <c r="AA56" i="18"/>
  <c r="AA59" i="18"/>
  <c r="AA80" i="18"/>
  <c r="AA62" i="18"/>
  <c r="AA65" i="18"/>
  <c r="AC15" i="18"/>
  <c r="AC13" i="18"/>
  <c r="S151" i="18"/>
  <c r="AC12" i="18"/>
  <c r="AC10" i="18"/>
  <c r="AC16" i="18"/>
  <c r="AC7" i="18"/>
  <c r="AC6" i="18"/>
  <c r="AB86" i="18"/>
  <c r="AC86" i="18" s="1"/>
  <c r="AB85" i="18"/>
  <c r="AC85" i="18" s="1"/>
  <c r="AC40" i="18"/>
  <c r="AB42" i="18"/>
  <c r="AA75" i="18"/>
  <c r="AA73" i="18"/>
  <c r="AA74" i="18"/>
  <c r="AA72" i="18"/>
  <c r="AC167" i="18"/>
  <c r="AE167" i="18" s="1"/>
  <c r="Z169" i="18"/>
  <c r="Z170" i="18"/>
  <c r="N36" i="11"/>
  <c r="O35" i="11"/>
  <c r="F5" i="8"/>
  <c r="G5" i="8" s="1"/>
  <c r="H5" i="8" s="1"/>
  <c r="I5" i="8" s="1"/>
  <c r="AC93" i="18" l="1"/>
  <c r="AB99" i="18"/>
  <c r="AC99" i="18" s="1"/>
  <c r="AB108" i="18"/>
  <c r="AB109" i="18" s="1"/>
  <c r="AB110" i="18" s="1"/>
  <c r="AB111" i="18" s="1"/>
  <c r="AB53" i="18"/>
  <c r="AC129" i="18"/>
  <c r="AB130" i="18"/>
  <c r="AC130" i="18" s="1"/>
  <c r="AE42" i="18"/>
  <c r="T151" i="18"/>
  <c r="T152" i="18" s="1"/>
  <c r="AA64" i="18"/>
  <c r="AA171" i="18" s="1"/>
  <c r="AB76" i="18"/>
  <c r="AB78" i="18"/>
  <c r="AB49" i="18"/>
  <c r="AB168" i="18" s="1"/>
  <c r="AC168" i="18" s="1"/>
  <c r="AE168" i="18" s="1"/>
  <c r="AB50" i="18"/>
  <c r="AB58" i="18"/>
  <c r="AB63" i="18"/>
  <c r="AB52" i="18"/>
  <c r="AB60" i="18"/>
  <c r="AB56" i="18"/>
  <c r="AB79" i="18"/>
  <c r="AB55" i="18"/>
  <c r="AE55" i="18" s="1"/>
  <c r="AB54" i="18"/>
  <c r="AB65" i="18"/>
  <c r="AB80" i="18"/>
  <c r="AB59" i="18"/>
  <c r="AB66" i="18"/>
  <c r="AB62" i="18"/>
  <c r="S152" i="18"/>
  <c r="AB75" i="18"/>
  <c r="AB73" i="18"/>
  <c r="AC42" i="18"/>
  <c r="AB74" i="18"/>
  <c r="AB72" i="18"/>
  <c r="AA169" i="18"/>
  <c r="AA170" i="18"/>
  <c r="N37" i="11"/>
  <c r="O36" i="11"/>
  <c r="F18" i="8"/>
  <c r="G18" i="8"/>
  <c r="AE52" i="18" l="1"/>
  <c r="AB174" i="18"/>
  <c r="AE53" i="18"/>
  <c r="AC53" i="18"/>
  <c r="AE78" i="18"/>
  <c r="AB131" i="18"/>
  <c r="AC131" i="18" s="1"/>
  <c r="AC108" i="18"/>
  <c r="R151" i="18"/>
  <c r="R152" i="18"/>
  <c r="M182" i="18" s="1"/>
  <c r="AC79" i="18"/>
  <c r="AE79" i="18"/>
  <c r="AC50" i="18"/>
  <c r="AE50" i="18"/>
  <c r="S148" i="18"/>
  <c r="AE65" i="18"/>
  <c r="AB172" i="18"/>
  <c r="AC172" i="18" s="1"/>
  <c r="AE172" i="18" s="1"/>
  <c r="AE66" i="18"/>
  <c r="AC49" i="18"/>
  <c r="AE49" i="18"/>
  <c r="AC63" i="18"/>
  <c r="AE63" i="18"/>
  <c r="S142" i="18"/>
  <c r="AE62" i="18"/>
  <c r="S141" i="18"/>
  <c r="AE56" i="18"/>
  <c r="AB173" i="18"/>
  <c r="AC173" i="18" s="1"/>
  <c r="AE173" i="18" s="1"/>
  <c r="AE60" i="18"/>
  <c r="AC59" i="18"/>
  <c r="AE59" i="18"/>
  <c r="S139" i="18"/>
  <c r="AE54" i="18"/>
  <c r="S144" i="18"/>
  <c r="AE58" i="18"/>
  <c r="AC80" i="18"/>
  <c r="AE80" i="18"/>
  <c r="S164" i="18"/>
  <c r="AE76" i="18"/>
  <c r="S162" i="18"/>
  <c r="AE75" i="18"/>
  <c r="S161" i="18"/>
  <c r="AE74" i="18"/>
  <c r="S159" i="18"/>
  <c r="AE72" i="18"/>
  <c r="S160" i="18"/>
  <c r="AE73" i="18"/>
  <c r="AC65" i="18"/>
  <c r="S145" i="18"/>
  <c r="AC54" i="18"/>
  <c r="AC56" i="18"/>
  <c r="T141" i="18" s="1"/>
  <c r="AC58" i="18"/>
  <c r="S146" i="18"/>
  <c r="AC76" i="18"/>
  <c r="AC62" i="18"/>
  <c r="S149" i="18"/>
  <c r="AB64" i="18"/>
  <c r="AC60" i="18"/>
  <c r="AC66" i="18"/>
  <c r="AC78" i="18"/>
  <c r="AC74" i="18"/>
  <c r="AC73" i="18"/>
  <c r="AC72" i="18"/>
  <c r="AC75" i="18"/>
  <c r="S138" i="18"/>
  <c r="AC52" i="18"/>
  <c r="AB169" i="18"/>
  <c r="AC55" i="18"/>
  <c r="T140" i="18" s="1"/>
  <c r="AB170" i="18"/>
  <c r="S140" i="18"/>
  <c r="N38" i="11"/>
  <c r="O37" i="11"/>
  <c r="H18" i="8"/>
  <c r="AC174" i="18" l="1"/>
  <c r="AE174" i="18" s="1"/>
  <c r="T138" i="18"/>
  <c r="R138" i="18" s="1"/>
  <c r="P184" i="18" s="1"/>
  <c r="P185" i="18" s="1"/>
  <c r="P182" i="18"/>
  <c r="AC109" i="18"/>
  <c r="T149" i="18"/>
  <c r="R149" i="18" s="1"/>
  <c r="T139" i="18"/>
  <c r="R139" i="18" s="1"/>
  <c r="M181" i="18" s="1"/>
  <c r="T148" i="18"/>
  <c r="R148" i="18" s="1"/>
  <c r="T144" i="18"/>
  <c r="R144" i="18" s="1"/>
  <c r="T146" i="18"/>
  <c r="R146" i="18" s="1"/>
  <c r="T164" i="18"/>
  <c r="R164" i="18" s="1"/>
  <c r="T161" i="18"/>
  <c r="R161" i="18" s="1"/>
  <c r="AC64" i="18"/>
  <c r="AE64" i="18"/>
  <c r="T142" i="18"/>
  <c r="R142" i="18" s="1"/>
  <c r="R141" i="18"/>
  <c r="T145" i="18"/>
  <c r="R145" i="18" s="1"/>
  <c r="T159" i="18"/>
  <c r="R159" i="18" s="1"/>
  <c r="AB171" i="18"/>
  <c r="AC171" i="18" s="1"/>
  <c r="AE171" i="18" s="1"/>
  <c r="T162" i="18"/>
  <c r="R162" i="18" s="1"/>
  <c r="T160" i="18"/>
  <c r="R160" i="18" s="1"/>
  <c r="AC170" i="18"/>
  <c r="AE170" i="18" s="1"/>
  <c r="AC169" i="18"/>
  <c r="AE169" i="18" s="1"/>
  <c r="R140" i="18"/>
  <c r="N39" i="11"/>
  <c r="O38" i="11"/>
  <c r="I18" i="8"/>
  <c r="P183" i="18" l="1"/>
  <c r="M183" i="18"/>
  <c r="P181" i="18"/>
  <c r="P180" i="18"/>
  <c r="M180" i="18"/>
  <c r="AC111" i="18"/>
  <c r="AC110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6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</commentList>
</comments>
</file>

<file path=xl/sharedStrings.xml><?xml version="1.0" encoding="utf-8"?>
<sst xmlns="http://schemas.openxmlformats.org/spreadsheetml/2006/main" count="620" uniqueCount="430">
  <si>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</si>
  <si>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</si>
  <si>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</si>
  <si>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</si>
  <si>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</si>
  <si>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</si>
  <si>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</si>
  <si>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</si>
  <si>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</si>
  <si>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</si>
  <si>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</si>
  <si>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</si>
  <si>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</si>
  <si>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</si>
  <si>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</si>
  <si>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</si>
  <si>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</si>
  <si>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</si>
  <si>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</si>
  <si>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</si>
  <si>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</si>
  <si>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</si>
  <si>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</si>
  <si>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</si>
  <si>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</si>
  <si>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</si>
  <si>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</si>
  <si>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</si>
  <si>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</si>
  <si>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</si>
  <si>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</si>
  <si>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</si>
  <si>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</si>
  <si>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</si>
  <si>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</si>
  <si>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</si>
  <si>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</si>
  <si>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</si>
  <si>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</si>
  <si>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</si>
  <si>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</si>
  <si>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</si>
  <si>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</si>
  <si>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</si>
  <si>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</si>
  <si>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</si>
  <si>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</si>
  <si>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</si>
  <si>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</si>
  <si>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</si>
  <si>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</si>
  <si>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</si>
  <si>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</si>
  <si>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</si>
  <si>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</si>
  <si>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</si>
  <si>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</si>
  <si>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</si>
  <si>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</si>
  <si>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</si>
  <si>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</si>
  <si>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</si>
  <si>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</si>
  <si>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</si>
  <si>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</si>
  <si>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</si>
  <si>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</si>
  <si>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</si>
  <si>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</si>
  <si>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</si>
  <si>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</si>
  <si>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</si>
  <si>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</si>
  <si>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</si>
  <si>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</si>
  <si>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</si>
  <si>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</si>
  <si>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</si>
  <si>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</si>
  <si>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</si>
  <si>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</si>
  <si>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</si>
  <si>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</si>
  <si>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</si>
  <si>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</si>
  <si>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</si>
  <si>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</si>
  <si>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</si>
  <si>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</si>
  <si>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</si>
  <si>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</si>
  <si>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</si>
  <si>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</si>
  <si>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</si>
  <si>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</si>
  <si>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</si>
  <si>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</si>
  <si>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</si>
  <si>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</si>
  <si>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</si>
  <si>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</si>
  <si>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</si>
  <si>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</si>
  <si>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</si>
  <si>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</si>
  <si>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</si>
  <si>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</si>
  <si>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</si>
  <si>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</si>
  <si>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</si>
  <si>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</si>
  <si>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</si>
  <si>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</si>
  <si>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</si>
  <si>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</si>
  <si>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</si>
  <si>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</si>
  <si>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</si>
  <si>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</si>
  <si>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</si>
  <si>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</si>
  <si>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</si>
  <si>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</si>
  <si>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</si>
  <si>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</si>
  <si>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</si>
  <si>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</si>
  <si>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</si>
  <si>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</si>
  <si>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</si>
  <si>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</si>
  <si>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</si>
  <si>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</si>
  <si>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</si>
  <si>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</si>
  <si>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</si>
  <si>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</si>
  <si>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</si>
  <si>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</si>
  <si>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</si>
  <si>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</si>
  <si>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</si>
  <si>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</si>
  <si>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</si>
  <si>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</si>
  <si>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</si>
  <si>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</si>
  <si>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</si>
  <si>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</si>
  <si>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</si>
  <si>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</si>
  <si>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</si>
  <si>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</si>
  <si>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</si>
  <si>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</si>
  <si>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</si>
  <si>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</si>
  <si>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</si>
  <si>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</si>
  <si>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</si>
  <si>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</si>
  <si>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</si>
  <si>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</si>
  <si>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</si>
  <si>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</si>
  <si>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</si>
  <si>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</si>
  <si>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</si>
  <si>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</si>
  <si>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</si>
  <si>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</si>
  <si>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</si>
  <si>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</si>
  <si>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</si>
  <si>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</si>
  <si>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</si>
  <si>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</si>
  <si>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</si>
  <si>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</si>
  <si>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</si>
  <si>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</si>
  <si>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</si>
  <si>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</si>
  <si>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</si>
  <si>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</si>
  <si>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</si>
  <si>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</si>
  <si>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</si>
  <si>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</si>
  <si>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</si>
  <si>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</si>
  <si>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</si>
  <si>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</si>
  <si>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</si>
  <si>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</si>
  <si>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</si>
  <si>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</si>
  <si>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</si>
  <si>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</si>
  <si>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</si>
  <si>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</si>
  <si>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</si>
  <si>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</si>
  <si>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</si>
  <si>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</si>
  <si>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</si>
  <si>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</si>
  <si>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</si>
  <si>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</si>
  <si>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</si>
  <si>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</si>
  <si>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</si>
  <si>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</si>
  <si>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</si>
  <si>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</si>
  <si>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</si>
  <si>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</si>
  <si>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</si>
  <si>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</si>
  <si>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</si>
  <si>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</si>
  <si>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</si>
  <si>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</si>
  <si>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</si>
  <si>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</si>
  <si>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</si>
  <si>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</si>
  <si>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</si>
  <si>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</si>
  <si>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</si>
  <si>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</si>
  <si>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</si>
  <si>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</si>
  <si>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</si>
  <si>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</si>
  <si>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</si>
  <si>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</si>
  <si>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</si>
  <si>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</si>
  <si>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</si>
  <si>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</si>
  <si>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</si>
  <si>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</si>
  <si>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</si>
  <si>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</si>
  <si>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</si>
  <si>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</si>
  <si>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</si>
  <si>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</si>
  <si>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</si>
  <si>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</si>
  <si>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</si>
  <si>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</si>
  <si>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</si>
  <si>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</si>
  <si>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</si>
  <si>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</si>
  <si>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</si>
  <si>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</si>
  <si>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</si>
  <si>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</si>
  <si>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</si>
  <si>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</si>
  <si>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</si>
  <si>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</si>
  <si>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</si>
  <si>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</si>
  <si>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</si>
  <si>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</si>
  <si>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</si>
  <si>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</si>
  <si>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</si>
  <si>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</si>
  <si>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</si>
  <si>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</si>
  <si>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</si>
  <si>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</si>
  <si>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</si>
  <si>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</si>
  <si>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</si>
  <si>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</si>
  <si>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</si>
  <si>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</si>
  <si>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</si>
  <si>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</si>
  <si>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</si>
  <si>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</si>
  <si>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</si>
  <si>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</si>
  <si>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</si>
  <si>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</si>
  <si>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</si>
  <si>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</si>
  <si>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</si>
  <si>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</si>
  <si>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</si>
  <si>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</si>
  <si>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</si>
  <si>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</si>
  <si>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</si>
  <si>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</si>
  <si>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</si>
  <si>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</si>
  <si>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</si>
  <si>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</si>
  <si>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</si>
  <si>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</si>
  <si>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</si>
  <si>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</si>
  <si>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</si>
  <si>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</si>
  <si>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</si>
  <si>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</si>
  <si>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</si>
  <si>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</si>
  <si>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</si>
  <si>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</si>
  <si>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</si>
  <si>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</si>
  <si>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</si>
  <si>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</si>
  <si>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</si>
  <si>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</si>
  <si>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</si>
  <si>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</si>
  <si>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</si>
  <si>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</si>
  <si>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</si>
  <si>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</si>
  <si>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</si>
  <si>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</si>
  <si>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</si>
  <si>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</si>
  <si>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</si>
  <si>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</si>
  <si>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</si>
  <si>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</si>
  <si>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</si>
  <si>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</si>
  <si>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</si>
  <si>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</si>
  <si>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</si>
  <si>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</si>
  <si>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</si>
  <si>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</si>
  <si>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</si>
  <si>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</si>
  <si>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</si>
  <si>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</si>
  <si>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</si>
  <si>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</si>
  <si>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</si>
  <si>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</si>
  <si>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</si>
  <si>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</si>
  <si>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</si>
  <si>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</si>
  <si>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</si>
  <si>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</si>
  <si>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</si>
  <si>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</si>
  <si>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</si>
  <si>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</si>
  <si>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</si>
  <si>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</si>
  <si>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</si>
  <si>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</si>
  <si>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</si>
  <si>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</si>
  <si>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</si>
  <si>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</si>
  <si>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</si>
  <si>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</si>
  <si>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</si>
  <si>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</si>
  <si>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</si>
  <si>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</si>
  <si>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</si>
  <si>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</si>
  <si>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</si>
  <si>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</si>
  <si>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</si>
  <si>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</si>
  <si>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</si>
  <si>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</si>
  <si>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</si>
  <si>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</si>
  <si>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</si>
  <si>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</si>
  <si>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</si>
  <si>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</si>
  <si>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</si>
  <si>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</si>
  <si>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</si>
  <si>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</si>
  <si>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</si>
  <si>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</si>
  <si>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</si>
  <si>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</si>
  <si>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</si>
  <si>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</si>
  <si>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</si>
  <si>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</si>
  <si>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</si>
  <si>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</si>
  <si>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</si>
  <si>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</si>
  <si>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</si>
  <si>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</si>
  <si>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</si>
  <si>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</si>
  <si>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</si>
  <si>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</si>
  <si>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</si>
  <si>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</si>
  <si>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</si>
  <si>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</si>
  <si>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</si>
  <si>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</si>
  <si>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</si>
  <si>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</si>
  <si>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</si>
  <si>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</si>
  <si>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</si>
  <si>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</si>
  <si>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</si>
  <si>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</si>
  <si>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</si>
  <si>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1x1</t>
  </si>
  <si>
    <t>2x3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</si>
</sst>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7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2" fontId="4" fillId="6" borderId="1" xfId="1" applyNumberFormat="1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74" fontId="8" fillId="5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06816"/>
        <c:axId val="91908352"/>
      </c:lineChart>
      <c:catAx>
        <c:axId val="91906816"/>
        <c:scaling>
          <c:orientation val="minMax"/>
        </c:scaling>
        <c:delete val="0"/>
        <c:axPos val="b"/>
        <c:majorTickMark val="out"/>
        <c:minorTickMark val="none"/>
        <c:tickLblPos val="nextTo"/>
        <c:crossAx val="91908352"/>
        <c:crosses val="autoZero"/>
        <c:auto val="1"/>
        <c:lblAlgn val="ctr"/>
        <c:lblOffset val="100"/>
        <c:noMultiLvlLbl val="0"/>
      </c:catAx>
      <c:valAx>
        <c:axId val="9190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906816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319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S217"/>
  <sheetViews>
    <sheetView tabSelected="1" zoomScale="80" zoomScaleNormal="80" workbookViewId="0">
      <pane xSplit="2" ySplit="3" topLeftCell="C164" activePane="bottomRight" state="frozen"/>
      <selection pane="topRight" activeCell="C1" sqref="C1"/>
      <selection pane="bottomLeft" activeCell="A5" sqref="A5"/>
      <selection pane="bottomRight" activeCell="C1" sqref="C1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11.2851562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327</v>
      </c>
      <c r="L1" s="164">
        <v>0.05</v>
      </c>
      <c r="N1" s="104" t="s">
        <v>399</v>
      </c>
      <c r="P1" s="164">
        <v>0.05</v>
      </c>
    </row>
    <row r="2" spans="2:31" x14ac:dyDescent="0.2">
      <c r="B2" s="153" t="s">
        <v>315</v>
      </c>
      <c r="C2" s="120"/>
      <c r="F2" s="104" t="s">
        <v>253</v>
      </c>
      <c r="H2" s="126">
        <v>2013</v>
      </c>
      <c r="J2" s="104" t="s">
        <v>328</v>
      </c>
      <c r="L2" s="164">
        <v>0.1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91" t="s">
        <v>291</v>
      </c>
      <c r="AE2" s="192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93" t="s">
        <v>292</v>
      </c>
      <c r="AE3" s="194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 x14ac:dyDescent="0.2">
      <c r="B6" s="20" t="s">
        <v>16</v>
      </c>
      <c r="C6" s="141"/>
      <c r="D6" s="141"/>
      <c r="E6" s="147"/>
      <c r="F6" s="147"/>
      <c r="G6" s="147">
        <v>249</v>
      </c>
      <c r="H6" s="147">
        <v>298</v>
      </c>
      <c r="I6" s="147">
        <v>380</v>
      </c>
      <c r="J6" s="147">
        <v>485</v>
      </c>
      <c r="K6" s="147">
        <v>318</v>
      </c>
      <c r="L6" s="147">
        <v>627</v>
      </c>
      <c r="M6" s="147">
        <v>745</v>
      </c>
      <c r="N6" s="147">
        <v>862</v>
      </c>
      <c r="O6" s="147">
        <v>1009</v>
      </c>
      <c r="P6" s="147">
        <v>1232</v>
      </c>
      <c r="Q6" s="118">
        <f>((P6/G6)^(1/($H$2-$H$1) ))-1</f>
        <v>0.19441931525552314</v>
      </c>
      <c r="R6" s="31">
        <f>$L$2</f>
        <v>0.1</v>
      </c>
      <c r="S6" s="154">
        <f>P6*(1+$R6)</f>
        <v>1355.2</v>
      </c>
      <c r="T6" s="154">
        <f>S6*(1+$R6)</f>
        <v>1490.7200000000003</v>
      </c>
      <c r="U6" s="154">
        <f t="shared" ref="U6:AB6" si="0">T6*(1+$R6)</f>
        <v>1639.7920000000004</v>
      </c>
      <c r="V6" s="154">
        <f t="shared" si="0"/>
        <v>1803.7712000000006</v>
      </c>
      <c r="W6" s="154">
        <f t="shared" si="0"/>
        <v>1984.1483200000009</v>
      </c>
      <c r="X6" s="154">
        <f t="shared" si="0"/>
        <v>2182.5631520000011</v>
      </c>
      <c r="Y6" s="154">
        <f t="shared" si="0"/>
        <v>2400.8194672000013</v>
      </c>
      <c r="Z6" s="154">
        <f t="shared" si="0"/>
        <v>2640.9014139200017</v>
      </c>
      <c r="AA6" s="154">
        <f t="shared" si="0"/>
        <v>2904.9915553120022</v>
      </c>
      <c r="AB6" s="154">
        <f t="shared" si="0"/>
        <v>3195.4907108432026</v>
      </c>
      <c r="AC6" s="138">
        <f>((AB6/G6)^(1/($AB$3-$H$1) ))-1</f>
        <v>0.14375653932671151</v>
      </c>
      <c r="AD6" s="31">
        <f>$L$1</f>
        <v>0.05</v>
      </c>
      <c r="AE6" s="146">
        <f t="shared" ref="AE6:AE43" si="1">(AB6*(1+AD6))/($C$1-AD6)</f>
        <v>19736.854390502136</v>
      </c>
    </row>
    <row r="7" spans="2:31" x14ac:dyDescent="0.2">
      <c r="B7" s="20" t="s">
        <v>240</v>
      </c>
      <c r="C7" s="141"/>
      <c r="D7" s="141"/>
      <c r="E7" s="147"/>
      <c r="F7" s="147"/>
      <c r="G7" s="147">
        <v>265</v>
      </c>
      <c r="H7" s="147">
        <v>323</v>
      </c>
      <c r="I7" s="147">
        <v>406</v>
      </c>
      <c r="J7" s="147">
        <v>511</v>
      </c>
      <c r="K7" s="147">
        <v>344</v>
      </c>
      <c r="L7" s="147">
        <v>654</v>
      </c>
      <c r="M7" s="147">
        <v>772</v>
      </c>
      <c r="N7" s="147">
        <v>916</v>
      </c>
      <c r="O7" s="147">
        <v>1063</v>
      </c>
      <c r="P7" s="147">
        <v>1286</v>
      </c>
      <c r="Q7" s="118">
        <f>((P7/G7)^(1/($H$2-$H$1) ))-1</f>
        <v>0.19185020958338828</v>
      </c>
      <c r="R7" s="31">
        <f>$L$2</f>
        <v>0.1</v>
      </c>
      <c r="S7" s="154">
        <f t="shared" ref="S7:S16" si="2">P7*(1+$R7)</f>
        <v>1414.6000000000001</v>
      </c>
      <c r="T7" s="154">
        <f t="shared" ref="T7:AB7" si="3">S7*(1+$R7)</f>
        <v>1556.0600000000002</v>
      </c>
      <c r="U7" s="154">
        <f t="shared" si="3"/>
        <v>1711.6660000000004</v>
      </c>
      <c r="V7" s="154">
        <f t="shared" si="3"/>
        <v>1882.8326000000006</v>
      </c>
      <c r="W7" s="154">
        <f t="shared" si="3"/>
        <v>2071.1158600000008</v>
      </c>
      <c r="X7" s="154">
        <f t="shared" si="3"/>
        <v>2278.2274460000012</v>
      </c>
      <c r="Y7" s="154">
        <f t="shared" si="3"/>
        <v>2506.0501906000018</v>
      </c>
      <c r="Z7" s="154">
        <f t="shared" si="3"/>
        <v>2756.6552096600021</v>
      </c>
      <c r="AA7" s="154">
        <f t="shared" si="3"/>
        <v>3032.3207306260024</v>
      </c>
      <c r="AB7" s="154">
        <f t="shared" si="3"/>
        <v>3335.552803688603</v>
      </c>
      <c r="AC7" s="138">
        <f>((AB7/G7)^(1/($AB$3-$H$1) ))-1</f>
        <v>0.14259055242078911</v>
      </c>
      <c r="AD7" s="31">
        <f>$L$1</f>
        <v>0.05</v>
      </c>
      <c r="AE7" s="146">
        <f t="shared" si="1"/>
        <v>20601.943787488432</v>
      </c>
    </row>
    <row r="8" spans="2:31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0.17956656346749225</v>
      </c>
      <c r="I8" s="151">
        <f t="shared" ref="I8:P8" si="4">(I7-H7)/I7</f>
        <v>0.20443349753694581</v>
      </c>
      <c r="J8" s="151">
        <f t="shared" si="4"/>
        <v>0.20547945205479451</v>
      </c>
      <c r="K8" s="151">
        <f t="shared" si="4"/>
        <v>-0.48546511627906974</v>
      </c>
      <c r="L8" s="151">
        <f t="shared" si="4"/>
        <v>0.47400611620795108</v>
      </c>
      <c r="M8" s="151">
        <f t="shared" si="4"/>
        <v>0.15284974093264247</v>
      </c>
      <c r="N8" s="151">
        <f t="shared" si="4"/>
        <v>0.15720524017467249</v>
      </c>
      <c r="O8" s="151">
        <f t="shared" si="4"/>
        <v>0.13828786453433678</v>
      </c>
      <c r="P8" s="151">
        <f t="shared" si="4"/>
        <v>0.17340590979782269</v>
      </c>
      <c r="Q8" s="128"/>
      <c r="R8" s="20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137"/>
      <c r="AE8" s="146"/>
    </row>
    <row r="9" spans="2:31" x14ac:dyDescent="0.2">
      <c r="B9" s="20" t="s">
        <v>269</v>
      </c>
      <c r="C9" s="141"/>
      <c r="D9" s="141"/>
      <c r="E9" s="147"/>
      <c r="F9" s="147"/>
      <c r="G9" s="147">
        <v>151</v>
      </c>
      <c r="H9" s="147">
        <v>147</v>
      </c>
      <c r="I9" s="147">
        <v>155</v>
      </c>
      <c r="J9" s="147">
        <v>157</v>
      </c>
      <c r="K9" s="147">
        <v>149</v>
      </c>
      <c r="L9" s="147">
        <v>245</v>
      </c>
      <c r="M9" s="147">
        <v>305</v>
      </c>
      <c r="N9" s="147">
        <v>363</v>
      </c>
      <c r="O9" s="147">
        <v>450</v>
      </c>
      <c r="P9" s="147">
        <v>597</v>
      </c>
      <c r="Q9" s="118">
        <f t="shared" ref="Q9:Q16" si="5">((P9/G9)^(1/($H$2-$H$1) ))-1</f>
        <v>0.16501909236008694</v>
      </c>
      <c r="R9" s="31">
        <f t="shared" ref="R9:R40" si="6">$L$2</f>
        <v>0.1</v>
      </c>
      <c r="S9" s="154">
        <f t="shared" ref="S9" si="7">P9*(1+$R9)</f>
        <v>656.7</v>
      </c>
      <c r="T9" s="154">
        <f t="shared" ref="T9" si="8">S9*(1+$R9)</f>
        <v>722.37000000000012</v>
      </c>
      <c r="U9" s="154">
        <f t="shared" ref="U9" si="9">T9*(1+$R9)</f>
        <v>794.6070000000002</v>
      </c>
      <c r="V9" s="154">
        <f t="shared" ref="V9" si="10">U9*(1+$R9)</f>
        <v>874.06770000000029</v>
      </c>
      <c r="W9" s="154">
        <f t="shared" ref="W9" si="11">V9*(1+$R9)</f>
        <v>961.47447000000034</v>
      </c>
      <c r="X9" s="154">
        <f t="shared" ref="X9" si="12">W9*(1+$R9)</f>
        <v>1057.6219170000004</v>
      </c>
      <c r="Y9" s="154">
        <f t="shared" ref="Y9" si="13">X9*(1+$R9)</f>
        <v>1163.3841087000005</v>
      </c>
      <c r="Z9" s="154">
        <f t="shared" ref="Z9" si="14">Y9*(1+$R9)</f>
        <v>1279.7225195700007</v>
      </c>
      <c r="AA9" s="154">
        <f t="shared" ref="AA9" si="15">Z9*(1+$R9)</f>
        <v>1407.694771527001</v>
      </c>
      <c r="AB9" s="154">
        <f t="shared" ref="AB9" si="16">AA9*(1+$R9)</f>
        <v>1548.4642486797011</v>
      </c>
      <c r="AC9" s="138">
        <f>((AB9/G9)^(1/($AB$3-$H$1) ))-1</f>
        <v>0.13033334282744802</v>
      </c>
      <c r="AD9" s="31">
        <f t="shared" ref="AD9:AD79" si="17">$L$1</f>
        <v>0.05</v>
      </c>
      <c r="AE9" s="146">
        <f t="shared" si="1"/>
        <v>9564.0438889040379</v>
      </c>
    </row>
    <row r="10" spans="2:31" x14ac:dyDescent="0.2">
      <c r="B10" s="20" t="s">
        <v>4</v>
      </c>
      <c r="C10" s="141"/>
      <c r="D10" s="141"/>
      <c r="E10" s="147"/>
      <c r="F10" s="147"/>
      <c r="G10" s="147">
        <v>70</v>
      </c>
      <c r="H10" s="147">
        <v>87</v>
      </c>
      <c r="I10" s="147">
        <v>110</v>
      </c>
      <c r="J10" s="147">
        <v>98</v>
      </c>
      <c r="K10" s="147">
        <v>87</v>
      </c>
      <c r="L10" s="147">
        <v>93</v>
      </c>
      <c r="M10" s="147">
        <v>110</v>
      </c>
      <c r="N10" s="147">
        <v>82</v>
      </c>
      <c r="O10" s="147">
        <v>69</v>
      </c>
      <c r="P10" s="147">
        <v>60</v>
      </c>
      <c r="Q10" s="118">
        <f t="shared" si="5"/>
        <v>-1.6982005508324627E-2</v>
      </c>
      <c r="R10" s="31">
        <f t="shared" si="6"/>
        <v>0.1</v>
      </c>
      <c r="S10" s="154">
        <f t="shared" si="2"/>
        <v>66</v>
      </c>
      <c r="T10" s="154">
        <f t="shared" ref="T10:AB10" si="18">S10*(1+$R10)</f>
        <v>72.600000000000009</v>
      </c>
      <c r="U10" s="154">
        <f t="shared" si="18"/>
        <v>79.860000000000014</v>
      </c>
      <c r="V10" s="154">
        <f t="shared" si="18"/>
        <v>87.846000000000018</v>
      </c>
      <c r="W10" s="154">
        <f t="shared" si="18"/>
        <v>96.63060000000003</v>
      </c>
      <c r="X10" s="154">
        <f t="shared" si="18"/>
        <v>106.29366000000005</v>
      </c>
      <c r="Y10" s="154">
        <f t="shared" si="18"/>
        <v>116.92302600000006</v>
      </c>
      <c r="Z10" s="154">
        <f t="shared" si="18"/>
        <v>128.61532860000008</v>
      </c>
      <c r="AA10" s="154">
        <f t="shared" si="18"/>
        <v>141.47686146000009</v>
      </c>
      <c r="AB10" s="154">
        <f t="shared" si="18"/>
        <v>155.62454760600011</v>
      </c>
      <c r="AC10" s="138">
        <f t="shared" ref="AC10:AC42" si="19">((AB10/G10)^(1/($AB$3-$H$1) ))-1</f>
        <v>4.2946686159373693E-2</v>
      </c>
      <c r="AD10" s="31">
        <f t="shared" si="17"/>
        <v>0.05</v>
      </c>
      <c r="AE10" s="146">
        <f t="shared" si="1"/>
        <v>961.21044109588308</v>
      </c>
    </row>
    <row r="11" spans="2:31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P11" si="20">(H10-G10)/H10</f>
        <v>0.19540229885057472</v>
      </c>
      <c r="I11" s="148">
        <f t="shared" si="20"/>
        <v>0.20909090909090908</v>
      </c>
      <c r="J11" s="148">
        <f t="shared" si="20"/>
        <v>-0.12244897959183673</v>
      </c>
      <c r="K11" s="148">
        <f t="shared" si="20"/>
        <v>-0.12643678160919541</v>
      </c>
      <c r="L11" s="148">
        <f t="shared" si="20"/>
        <v>6.4516129032258063E-2</v>
      </c>
      <c r="M11" s="148">
        <f t="shared" si="20"/>
        <v>0.15454545454545454</v>
      </c>
      <c r="N11" s="148">
        <f t="shared" si="20"/>
        <v>-0.34146341463414637</v>
      </c>
      <c r="O11" s="148">
        <f t="shared" si="20"/>
        <v>-0.18840579710144928</v>
      </c>
      <c r="P11" s="148">
        <f t="shared" si="20"/>
        <v>-0.15</v>
      </c>
      <c r="Q11" s="128"/>
      <c r="R11" s="20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31">
        <f t="shared" si="17"/>
        <v>0.05</v>
      </c>
      <c r="AE11" s="154"/>
    </row>
    <row r="12" spans="2:31" x14ac:dyDescent="0.2">
      <c r="B12" s="20" t="s">
        <v>2</v>
      </c>
      <c r="C12" s="141"/>
      <c r="D12" s="141"/>
      <c r="E12" s="147"/>
      <c r="F12" s="147"/>
      <c r="G12" s="147">
        <v>18.7</v>
      </c>
      <c r="H12" s="147">
        <v>13</v>
      </c>
      <c r="I12" s="147">
        <v>16</v>
      </c>
      <c r="J12" s="147">
        <v>21</v>
      </c>
      <c r="K12" s="147">
        <v>14.3</v>
      </c>
      <c r="L12" s="147">
        <f>32+43</f>
        <v>75</v>
      </c>
      <c r="M12" s="147">
        <v>41</v>
      </c>
      <c r="N12" s="147">
        <v>40</v>
      </c>
      <c r="O12" s="147">
        <v>59</v>
      </c>
      <c r="P12" s="147">
        <v>60</v>
      </c>
      <c r="Q12" s="118">
        <f t="shared" si="5"/>
        <v>0.13829971494698179</v>
      </c>
      <c r="R12" s="31">
        <f t="shared" si="6"/>
        <v>0.1</v>
      </c>
      <c r="S12" s="154">
        <f t="shared" si="2"/>
        <v>66</v>
      </c>
      <c r="T12" s="154">
        <f t="shared" ref="T12:AB12" si="21">S12*(1+$R12)</f>
        <v>72.600000000000009</v>
      </c>
      <c r="U12" s="154">
        <f t="shared" si="21"/>
        <v>79.860000000000014</v>
      </c>
      <c r="V12" s="154">
        <f t="shared" si="21"/>
        <v>87.846000000000018</v>
      </c>
      <c r="W12" s="154">
        <f t="shared" si="21"/>
        <v>96.63060000000003</v>
      </c>
      <c r="X12" s="154">
        <f t="shared" si="21"/>
        <v>106.29366000000005</v>
      </c>
      <c r="Y12" s="154">
        <f t="shared" si="21"/>
        <v>116.92302600000006</v>
      </c>
      <c r="Z12" s="154">
        <f t="shared" si="21"/>
        <v>128.61532860000008</v>
      </c>
      <c r="AA12" s="154">
        <f t="shared" si="21"/>
        <v>141.47686146000009</v>
      </c>
      <c r="AB12" s="154">
        <f t="shared" si="21"/>
        <v>155.62454760600011</v>
      </c>
      <c r="AC12" s="138">
        <f t="shared" si="19"/>
        <v>0.11797862383720914</v>
      </c>
      <c r="AD12" s="31">
        <f t="shared" si="17"/>
        <v>0.05</v>
      </c>
      <c r="AE12" s="146">
        <f t="shared" si="1"/>
        <v>961.21044109588308</v>
      </c>
    </row>
    <row r="13" spans="2:31" x14ac:dyDescent="0.2">
      <c r="B13" s="20" t="s">
        <v>218</v>
      </c>
      <c r="C13" s="141"/>
      <c r="D13" s="141"/>
      <c r="E13" s="147"/>
      <c r="F13" s="147"/>
      <c r="G13" s="147">
        <v>130</v>
      </c>
      <c r="H13" s="147">
        <v>179</v>
      </c>
      <c r="I13" s="147">
        <v>164</v>
      </c>
      <c r="J13" s="147">
        <v>155</v>
      </c>
      <c r="K13" s="147">
        <v>195</v>
      </c>
      <c r="L13" s="147">
        <v>294</v>
      </c>
      <c r="M13" s="147">
        <v>401</v>
      </c>
      <c r="N13" s="147">
        <v>372</v>
      </c>
      <c r="O13" s="147">
        <v>183</v>
      </c>
      <c r="P13" s="147">
        <v>60</v>
      </c>
      <c r="Q13" s="118">
        <f t="shared" si="5"/>
        <v>-8.2323170186499595E-2</v>
      </c>
      <c r="R13" s="31">
        <f t="shared" si="6"/>
        <v>0.1</v>
      </c>
      <c r="S13" s="154">
        <f t="shared" si="2"/>
        <v>66</v>
      </c>
      <c r="T13" s="154">
        <f t="shared" ref="T13:AB13" si="22">S13*(1+$R13)</f>
        <v>72.600000000000009</v>
      </c>
      <c r="U13" s="154">
        <f t="shared" si="22"/>
        <v>79.860000000000014</v>
      </c>
      <c r="V13" s="154">
        <f t="shared" si="22"/>
        <v>87.846000000000018</v>
      </c>
      <c r="W13" s="154">
        <f t="shared" si="22"/>
        <v>96.63060000000003</v>
      </c>
      <c r="X13" s="154">
        <f t="shared" si="22"/>
        <v>106.29366000000005</v>
      </c>
      <c r="Y13" s="154">
        <f t="shared" si="22"/>
        <v>116.92302600000006</v>
      </c>
      <c r="Z13" s="154">
        <f t="shared" si="22"/>
        <v>128.61532860000008</v>
      </c>
      <c r="AA13" s="154">
        <f t="shared" si="22"/>
        <v>141.47686146000009</v>
      </c>
      <c r="AB13" s="154">
        <f t="shared" si="22"/>
        <v>155.62454760600011</v>
      </c>
      <c r="AC13" s="138">
        <f t="shared" si="19"/>
        <v>9.5140211579227696E-3</v>
      </c>
      <c r="AD13" s="31">
        <f t="shared" si="17"/>
        <v>0.05</v>
      </c>
      <c r="AE13" s="146">
        <f t="shared" si="1"/>
        <v>961.21044109588308</v>
      </c>
    </row>
    <row r="14" spans="2:31" x14ac:dyDescent="0.2">
      <c r="B14" s="20" t="s">
        <v>373</v>
      </c>
      <c r="C14" s="141"/>
      <c r="D14" s="141"/>
      <c r="E14" s="147"/>
      <c r="F14" s="147"/>
      <c r="G14" s="147">
        <v>107</v>
      </c>
      <c r="H14" s="147">
        <v>114</v>
      </c>
      <c r="I14" s="147">
        <v>178</v>
      </c>
      <c r="J14" s="147">
        <v>180</v>
      </c>
      <c r="K14" s="147">
        <v>118</v>
      </c>
      <c r="L14" s="147">
        <v>170</v>
      </c>
      <c r="M14" s="147">
        <v>247</v>
      </c>
      <c r="N14" s="147">
        <v>354</v>
      </c>
      <c r="O14" s="147">
        <v>453</v>
      </c>
      <c r="P14" s="147">
        <v>534</v>
      </c>
      <c r="Q14" s="118">
        <f t="shared" ref="Q14" si="23">((P14/G14)^(1/($H$2-$H$1) ))-1</f>
        <v>0.19556461629650124</v>
      </c>
      <c r="R14" s="31">
        <f t="shared" si="6"/>
        <v>0.1</v>
      </c>
      <c r="S14" s="154">
        <f t="shared" ref="S14" si="24">P14*(1+$R14)</f>
        <v>587.40000000000009</v>
      </c>
      <c r="T14" s="154">
        <f t="shared" ref="T14" si="25">S14*(1+$R14)</f>
        <v>646.1400000000001</v>
      </c>
      <c r="U14" s="154">
        <f t="shared" ref="U14" si="26">T14*(1+$R14)</f>
        <v>710.75400000000013</v>
      </c>
      <c r="V14" s="154">
        <f t="shared" ref="V14" si="27">U14*(1+$R14)</f>
        <v>781.82940000000019</v>
      </c>
      <c r="W14" s="154">
        <f t="shared" ref="W14" si="28">V14*(1+$R14)</f>
        <v>860.01234000000034</v>
      </c>
      <c r="X14" s="154">
        <f t="shared" ref="X14" si="29">W14*(1+$R14)</f>
        <v>946.0135740000004</v>
      </c>
      <c r="Y14" s="154">
        <f t="shared" ref="Y14" si="30">X14*(1+$R14)</f>
        <v>1040.6149314000006</v>
      </c>
      <c r="Z14" s="154">
        <f t="shared" ref="Z14" si="31">Y14*(1+$R14)</f>
        <v>1144.6764245400009</v>
      </c>
      <c r="AA14" s="154">
        <f t="shared" ref="AA14" si="32">Z14*(1+$R14)</f>
        <v>1259.1440669940012</v>
      </c>
      <c r="AB14" s="154">
        <f t="shared" ref="AB14" si="33">AA14*(1+$R14)</f>
        <v>1385.0584736934013</v>
      </c>
      <c r="AC14" s="138">
        <f t="shared" ref="AC14" si="34">((AB14/G14)^(1/($AB$3-$H$1) ))-1</f>
        <v>0.14427590804412316</v>
      </c>
      <c r="AD14" s="31">
        <f t="shared" si="17"/>
        <v>0.05</v>
      </c>
      <c r="AE14" s="146">
        <f t="shared" ref="AE14" si="35">(AB14*(1+AD14))/($C$1-AD14)</f>
        <v>8554.7729257533629</v>
      </c>
    </row>
    <row r="15" spans="2:31" x14ac:dyDescent="0.2">
      <c r="B15" s="20" t="s">
        <v>19</v>
      </c>
      <c r="C15" s="141"/>
      <c r="D15" s="141"/>
      <c r="E15" s="147"/>
      <c r="F15" s="147"/>
      <c r="G15" s="147">
        <v>237</v>
      </c>
      <c r="H15" s="147">
        <v>232</v>
      </c>
      <c r="I15" s="147">
        <v>338</v>
      </c>
      <c r="J15" s="147">
        <v>396</v>
      </c>
      <c r="K15" s="147">
        <v>241</v>
      </c>
      <c r="L15" s="147">
        <v>413</v>
      </c>
      <c r="M15" s="147">
        <v>521</v>
      </c>
      <c r="N15" s="147">
        <v>654</v>
      </c>
      <c r="O15" s="147">
        <v>872</v>
      </c>
      <c r="P15" s="147">
        <v>1014</v>
      </c>
      <c r="Q15" s="118">
        <f t="shared" si="5"/>
        <v>0.17528526125660226</v>
      </c>
      <c r="R15" s="31">
        <f t="shared" si="6"/>
        <v>0.1</v>
      </c>
      <c r="S15" s="154">
        <f t="shared" si="2"/>
        <v>1115.4000000000001</v>
      </c>
      <c r="T15" s="154">
        <f t="shared" ref="T15:AB15" si="36">S15*(1+$R15)</f>
        <v>1226.9400000000003</v>
      </c>
      <c r="U15" s="154">
        <f t="shared" si="36"/>
        <v>1349.6340000000005</v>
      </c>
      <c r="V15" s="154">
        <f t="shared" si="36"/>
        <v>1484.5974000000006</v>
      </c>
      <c r="W15" s="154">
        <f t="shared" si="36"/>
        <v>1633.0571400000008</v>
      </c>
      <c r="X15" s="154">
        <f t="shared" si="36"/>
        <v>1796.3628540000011</v>
      </c>
      <c r="Y15" s="154">
        <f t="shared" si="36"/>
        <v>1975.9991394000015</v>
      </c>
      <c r="Z15" s="154">
        <f t="shared" si="36"/>
        <v>2173.5990533400018</v>
      </c>
      <c r="AA15" s="154">
        <f t="shared" si="36"/>
        <v>2390.9589586740021</v>
      </c>
      <c r="AB15" s="154">
        <f t="shared" si="36"/>
        <v>2630.0548545414026</v>
      </c>
      <c r="AC15" s="138">
        <f t="shared" si="19"/>
        <v>0.13504059031653393</v>
      </c>
      <c r="AD15" s="31">
        <f t="shared" si="17"/>
        <v>0.05</v>
      </c>
      <c r="AE15" s="146">
        <f t="shared" si="1"/>
        <v>16244.45645452043</v>
      </c>
    </row>
    <row r="16" spans="2:31" x14ac:dyDescent="0.2">
      <c r="B16" s="20" t="s">
        <v>23</v>
      </c>
      <c r="C16" s="141"/>
      <c r="D16" s="141"/>
      <c r="E16" s="147"/>
      <c r="F16" s="147"/>
      <c r="G16" s="147">
        <v>96</v>
      </c>
      <c r="H16" s="147">
        <v>70</v>
      </c>
      <c r="I16" s="147">
        <v>174</v>
      </c>
      <c r="J16" s="147">
        <v>259</v>
      </c>
      <c r="K16" s="147">
        <v>74</v>
      </c>
      <c r="L16" s="147">
        <v>181</v>
      </c>
      <c r="M16" s="147">
        <v>175</v>
      </c>
      <c r="N16" s="147">
        <v>245</v>
      </c>
      <c r="O16" s="147">
        <v>373</v>
      </c>
      <c r="P16" s="147">
        <v>388</v>
      </c>
      <c r="Q16" s="118">
        <f t="shared" si="5"/>
        <v>0.16787297892614195</v>
      </c>
      <c r="R16" s="31">
        <f t="shared" si="6"/>
        <v>0.1</v>
      </c>
      <c r="S16" s="154">
        <f t="shared" si="2"/>
        <v>426.8</v>
      </c>
      <c r="T16" s="154">
        <f t="shared" ref="T16:AB16" si="37">S16*(1+$R16)</f>
        <v>469.48000000000008</v>
      </c>
      <c r="U16" s="154">
        <f t="shared" si="37"/>
        <v>516.42800000000011</v>
      </c>
      <c r="V16" s="154">
        <f t="shared" si="37"/>
        <v>568.07080000000019</v>
      </c>
      <c r="W16" s="154">
        <f t="shared" si="37"/>
        <v>624.87788000000023</v>
      </c>
      <c r="X16" s="154">
        <f t="shared" si="37"/>
        <v>687.36566800000026</v>
      </c>
      <c r="Y16" s="154">
        <f t="shared" si="37"/>
        <v>756.10223480000036</v>
      </c>
      <c r="Z16" s="154">
        <f t="shared" si="37"/>
        <v>831.71245828000042</v>
      </c>
      <c r="AA16" s="154">
        <f t="shared" si="37"/>
        <v>914.88370410800053</v>
      </c>
      <c r="AB16" s="154">
        <f t="shared" si="37"/>
        <v>1006.3720745188007</v>
      </c>
      <c r="AC16" s="138">
        <f t="shared" si="19"/>
        <v>0.13164409143374356</v>
      </c>
      <c r="AD16" s="31">
        <f t="shared" si="17"/>
        <v>0.05</v>
      </c>
      <c r="AE16" s="146">
        <f t="shared" si="1"/>
        <v>6215.8275190867098</v>
      </c>
    </row>
    <row r="17" spans="2:31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28"/>
      <c r="R17" s="20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39"/>
      <c r="AD17" s="137"/>
      <c r="AE17" s="154"/>
    </row>
    <row r="18" spans="2:31" x14ac:dyDescent="0.2">
      <c r="B18" s="20" t="s">
        <v>277</v>
      </c>
      <c r="C18" s="141"/>
      <c r="D18" s="141"/>
      <c r="E18" s="147"/>
      <c r="F18" s="147"/>
      <c r="G18" s="147">
        <v>87</v>
      </c>
      <c r="H18" s="147">
        <v>131</v>
      </c>
      <c r="I18" s="147">
        <v>160</v>
      </c>
      <c r="J18" s="147">
        <v>189</v>
      </c>
      <c r="K18" s="147">
        <v>133</v>
      </c>
      <c r="L18" s="147">
        <v>237</v>
      </c>
      <c r="M18" s="147">
        <v>289</v>
      </c>
      <c r="N18" s="147">
        <v>278</v>
      </c>
      <c r="O18" s="147">
        <v>396</v>
      </c>
      <c r="P18" s="147">
        <v>775</v>
      </c>
      <c r="Q18" s="118">
        <f>((P18/G18)^(1/($H$2-$H$1) ))-1</f>
        <v>0.27506223613965108</v>
      </c>
      <c r="R18" s="31">
        <f t="shared" si="6"/>
        <v>0.1</v>
      </c>
      <c r="S18" s="154">
        <f t="shared" ref="S18:S34" si="38">P18*(1+$R18)</f>
        <v>852.50000000000011</v>
      </c>
      <c r="T18" s="154">
        <f t="shared" ref="T18:T34" si="39">S18*(1+$R18)</f>
        <v>937.75000000000023</v>
      </c>
      <c r="U18" s="154">
        <f t="shared" ref="U18:U34" si="40">T18*(1+$R18)</f>
        <v>1031.5250000000003</v>
      </c>
      <c r="V18" s="154">
        <f t="shared" ref="V18:V34" si="41">U18*(1+$R18)</f>
        <v>1134.6775000000005</v>
      </c>
      <c r="W18" s="154">
        <f t="shared" ref="W18:W36" si="42">V18*(1+$R18)</f>
        <v>1248.1452500000007</v>
      </c>
      <c r="X18" s="154">
        <f t="shared" ref="X18:X36" si="43">W18*(1+$R18)</f>
        <v>1372.9597750000009</v>
      </c>
      <c r="Y18" s="154">
        <f t="shared" ref="Y18:Y36" si="44">X18*(1+$R18)</f>
        <v>1510.2557525000011</v>
      </c>
      <c r="Z18" s="154">
        <f t="shared" ref="Z18:Z36" si="45">Y18*(1+$R18)</f>
        <v>1661.2813277500013</v>
      </c>
      <c r="AA18" s="154">
        <f t="shared" ref="AA18:AA36" si="46">Z18*(1+$R18)</f>
        <v>1827.4094605250016</v>
      </c>
      <c r="AB18" s="154">
        <f t="shared" ref="AB18:AB36" si="47">AA18*(1+$R18)</f>
        <v>2010.1504065775018</v>
      </c>
      <c r="AC18" s="138">
        <f t="shared" si="19"/>
        <v>0.17970704719459607</v>
      </c>
      <c r="AD18" s="31">
        <f t="shared" si="17"/>
        <v>0.05</v>
      </c>
      <c r="AE18" s="146">
        <f t="shared" si="1"/>
        <v>12415.634864155159</v>
      </c>
    </row>
    <row r="19" spans="2:31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28"/>
      <c r="R19" s="20"/>
      <c r="S19" s="154"/>
      <c r="T19" s="154"/>
      <c r="U19" s="154"/>
      <c r="V19" s="154"/>
      <c r="W19" s="154"/>
      <c r="X19" s="154"/>
      <c r="Y19" s="154"/>
      <c r="Z19" s="154"/>
      <c r="AA19" s="154"/>
      <c r="AB19" s="154"/>
      <c r="AC19" s="139"/>
      <c r="AD19" s="137"/>
      <c r="AE19" s="154"/>
    </row>
    <row r="20" spans="2:31" x14ac:dyDescent="0.2">
      <c r="B20" s="20" t="s">
        <v>283</v>
      </c>
      <c r="C20" s="141"/>
      <c r="D20" s="141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18" t="e">
        <f>((P20/G20)^(1/($H$2-$H$1) ))-1</f>
        <v>#DIV/0!</v>
      </c>
      <c r="R20" s="31">
        <f t="shared" si="6"/>
        <v>0.1</v>
      </c>
      <c r="S20" s="154">
        <f t="shared" ref="S20:S22" si="48">P20*(1+$R20)</f>
        <v>0</v>
      </c>
      <c r="T20" s="154">
        <f t="shared" ref="T20:T22" si="49">S20*(1+$R20)</f>
        <v>0</v>
      </c>
      <c r="U20" s="154">
        <f t="shared" ref="U20:U22" si="50">T20*(1+$R20)</f>
        <v>0</v>
      </c>
      <c r="V20" s="154">
        <f t="shared" ref="V20:V22" si="51">U20*(1+$R20)</f>
        <v>0</v>
      </c>
      <c r="W20" s="154">
        <f t="shared" ref="W20:W22" si="52">V20*(1+$R20)</f>
        <v>0</v>
      </c>
      <c r="X20" s="154">
        <f t="shared" ref="X20:X22" si="53">W20*(1+$R20)</f>
        <v>0</v>
      </c>
      <c r="Y20" s="154">
        <f t="shared" ref="Y20:Y22" si="54">X20*(1+$R20)</f>
        <v>0</v>
      </c>
      <c r="Z20" s="154">
        <f t="shared" ref="Z20:Z22" si="55">Y20*(1+$R20)</f>
        <v>0</v>
      </c>
      <c r="AA20" s="154">
        <f t="shared" ref="AA20:AA22" si="56">Z20*(1+$R20)</f>
        <v>0</v>
      </c>
      <c r="AB20" s="154">
        <f t="shared" ref="AB20:AB22" si="57">AA20*(1+$R20)</f>
        <v>0</v>
      </c>
      <c r="AC20" s="138" t="e">
        <f t="shared" ref="AC20:AC22" si="58">((AB20/G20)^(1/($AB$3-$H$1) ))-1</f>
        <v>#DIV/0!</v>
      </c>
      <c r="AD20" s="31">
        <f t="shared" si="17"/>
        <v>0.05</v>
      </c>
      <c r="AE20" s="146">
        <f t="shared" si="1"/>
        <v>0</v>
      </c>
    </row>
    <row r="21" spans="2:31" x14ac:dyDescent="0.2">
      <c r="B21" s="20" t="s">
        <v>284</v>
      </c>
      <c r="C21" s="141"/>
      <c r="D21" s="141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18" t="e">
        <f>((P21/G21)^(1/($H$2-$H$1) ))-1</f>
        <v>#DIV/0!</v>
      </c>
      <c r="R21" s="31">
        <f t="shared" si="6"/>
        <v>0.1</v>
      </c>
      <c r="S21" s="154">
        <f t="shared" si="48"/>
        <v>0</v>
      </c>
      <c r="T21" s="154">
        <f t="shared" si="49"/>
        <v>0</v>
      </c>
      <c r="U21" s="154">
        <f t="shared" si="50"/>
        <v>0</v>
      </c>
      <c r="V21" s="154">
        <f t="shared" si="51"/>
        <v>0</v>
      </c>
      <c r="W21" s="154">
        <f t="shared" si="52"/>
        <v>0</v>
      </c>
      <c r="X21" s="154">
        <f t="shared" si="53"/>
        <v>0</v>
      </c>
      <c r="Y21" s="154">
        <f t="shared" si="54"/>
        <v>0</v>
      </c>
      <c r="Z21" s="154">
        <f t="shared" si="55"/>
        <v>0</v>
      </c>
      <c r="AA21" s="154">
        <f t="shared" si="56"/>
        <v>0</v>
      </c>
      <c r="AB21" s="154">
        <f t="shared" si="57"/>
        <v>0</v>
      </c>
      <c r="AC21" s="138" t="e">
        <f t="shared" si="58"/>
        <v>#DIV/0!</v>
      </c>
      <c r="AD21" s="31">
        <f t="shared" si="17"/>
        <v>0.05</v>
      </c>
      <c r="AE21" s="146">
        <f t="shared" si="1"/>
        <v>0</v>
      </c>
    </row>
    <row r="22" spans="2:31" x14ac:dyDescent="0.2">
      <c r="B22" s="20" t="s">
        <v>285</v>
      </c>
      <c r="C22" s="141"/>
      <c r="D22" s="141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18" t="e">
        <f>((P22/G22)^(1/($H$2-$H$1) ))-1</f>
        <v>#DIV/0!</v>
      </c>
      <c r="R22" s="31">
        <f t="shared" si="6"/>
        <v>0.1</v>
      </c>
      <c r="S22" s="154">
        <f t="shared" si="48"/>
        <v>0</v>
      </c>
      <c r="T22" s="154">
        <f t="shared" si="49"/>
        <v>0</v>
      </c>
      <c r="U22" s="154">
        <f t="shared" si="50"/>
        <v>0</v>
      </c>
      <c r="V22" s="154">
        <f t="shared" si="51"/>
        <v>0</v>
      </c>
      <c r="W22" s="154">
        <f t="shared" si="52"/>
        <v>0</v>
      </c>
      <c r="X22" s="154">
        <f t="shared" si="53"/>
        <v>0</v>
      </c>
      <c r="Y22" s="154">
        <f t="shared" si="54"/>
        <v>0</v>
      </c>
      <c r="Z22" s="154">
        <f t="shared" si="55"/>
        <v>0</v>
      </c>
      <c r="AA22" s="154">
        <f t="shared" si="56"/>
        <v>0</v>
      </c>
      <c r="AB22" s="154">
        <f t="shared" si="57"/>
        <v>0</v>
      </c>
      <c r="AC22" s="138" t="e">
        <f t="shared" si="58"/>
        <v>#DIV/0!</v>
      </c>
      <c r="AD22" s="31">
        <f t="shared" si="17"/>
        <v>0.05</v>
      </c>
      <c r="AE22" s="146">
        <f t="shared" si="1"/>
        <v>0</v>
      </c>
    </row>
    <row r="23" spans="2:31" x14ac:dyDescent="0.2">
      <c r="B23" s="20" t="s">
        <v>295</v>
      </c>
      <c r="C23" s="141"/>
      <c r="D23" s="141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18" t="e">
        <f>((P23/G23)^(1/($H$2-$H$1) ))-1</f>
        <v>#DIV/0!</v>
      </c>
      <c r="R23" s="31">
        <f t="shared" si="6"/>
        <v>0.1</v>
      </c>
      <c r="S23" s="154">
        <f t="shared" ref="S23" si="59">P23*(1+$R23)</f>
        <v>0</v>
      </c>
      <c r="T23" s="154">
        <f t="shared" ref="T23" si="60">S23*(1+$R23)</f>
        <v>0</v>
      </c>
      <c r="U23" s="154">
        <f t="shared" ref="U23" si="61">T23*(1+$R23)</f>
        <v>0</v>
      </c>
      <c r="V23" s="154">
        <f t="shared" ref="V23" si="62">U23*(1+$R23)</f>
        <v>0</v>
      </c>
      <c r="W23" s="154">
        <f t="shared" ref="W23" si="63">V23*(1+$R23)</f>
        <v>0</v>
      </c>
      <c r="X23" s="154">
        <f t="shared" ref="X23" si="64">W23*(1+$R23)</f>
        <v>0</v>
      </c>
      <c r="Y23" s="154">
        <f t="shared" ref="Y23" si="65">X23*(1+$R23)</f>
        <v>0</v>
      </c>
      <c r="Z23" s="154">
        <f t="shared" ref="Z23" si="66">Y23*(1+$R23)</f>
        <v>0</v>
      </c>
      <c r="AA23" s="154">
        <f t="shared" ref="AA23" si="67">Z23*(1+$R23)</f>
        <v>0</v>
      </c>
      <c r="AB23" s="154">
        <f t="shared" ref="AB23" si="68">AA23*(1+$R23)</f>
        <v>0</v>
      </c>
      <c r="AC23" s="138" t="e">
        <f t="shared" ref="AC23" si="69">((AB23/G23)^(1/($AB$3-$H$1) ))-1</f>
        <v>#DIV/0!</v>
      </c>
      <c r="AD23" s="31">
        <f t="shared" si="17"/>
        <v>0.05</v>
      </c>
      <c r="AE23" s="146">
        <f t="shared" si="1"/>
        <v>0</v>
      </c>
    </row>
    <row r="24" spans="2:31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28"/>
      <c r="R24" s="20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19"/>
      <c r="AD24" s="137"/>
      <c r="AE24" s="154"/>
    </row>
    <row r="25" spans="2:31" x14ac:dyDescent="0.2">
      <c r="B25" s="20" t="s">
        <v>89</v>
      </c>
      <c r="C25" s="141"/>
      <c r="D25" s="141"/>
      <c r="E25" s="147"/>
      <c r="F25" s="147"/>
      <c r="G25" s="147">
        <v>823</v>
      </c>
      <c r="H25" s="147">
        <v>890</v>
      </c>
      <c r="I25" s="147">
        <v>1177</v>
      </c>
      <c r="J25" s="147">
        <v>1317</v>
      </c>
      <c r="K25" s="147">
        <v>1337</v>
      </c>
      <c r="L25" s="147">
        <v>1497</v>
      </c>
      <c r="M25" s="147">
        <v>1882</v>
      </c>
      <c r="N25" s="147">
        <v>2377</v>
      </c>
      <c r="O25" s="147">
        <v>2816</v>
      </c>
      <c r="P25" s="147">
        <v>3100</v>
      </c>
      <c r="Q25" s="118">
        <f>((P25/G25)^(1/($H$2-$H$1) ))-1</f>
        <v>0.15876604863316812</v>
      </c>
      <c r="R25" s="31">
        <f t="shared" si="6"/>
        <v>0.1</v>
      </c>
      <c r="S25" s="154">
        <f t="shared" si="38"/>
        <v>3410.0000000000005</v>
      </c>
      <c r="T25" s="154">
        <f t="shared" si="39"/>
        <v>3751.0000000000009</v>
      </c>
      <c r="U25" s="154">
        <f t="shared" si="40"/>
        <v>4126.1000000000013</v>
      </c>
      <c r="V25" s="154">
        <f t="shared" si="41"/>
        <v>4538.7100000000019</v>
      </c>
      <c r="W25" s="154">
        <f t="shared" si="42"/>
        <v>4992.5810000000029</v>
      </c>
      <c r="X25" s="154">
        <f t="shared" si="43"/>
        <v>5491.8391000000038</v>
      </c>
      <c r="Y25" s="154">
        <f t="shared" si="44"/>
        <v>6041.0230100000044</v>
      </c>
      <c r="Z25" s="154">
        <f t="shared" si="45"/>
        <v>6645.1253110000052</v>
      </c>
      <c r="AA25" s="154">
        <f t="shared" si="46"/>
        <v>7309.6378421000063</v>
      </c>
      <c r="AB25" s="154">
        <f t="shared" si="47"/>
        <v>8040.6016263100073</v>
      </c>
      <c r="AC25" s="138">
        <f t="shared" si="19"/>
        <v>0.12745549028454306</v>
      </c>
      <c r="AD25" s="31">
        <f t="shared" si="17"/>
        <v>0.05</v>
      </c>
      <c r="AE25" s="146">
        <f t="shared" si="1"/>
        <v>49662.539456620638</v>
      </c>
    </row>
    <row r="26" spans="2:31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7.528089887640449E-2</v>
      </c>
      <c r="I26" s="148">
        <f t="shared" ref="I26" si="70">(I25-H25)/I25</f>
        <v>0.24384027187765506</v>
      </c>
      <c r="J26" s="148">
        <f t="shared" ref="J26" si="71">(J25-I25)/J25</f>
        <v>0.10630220197418375</v>
      </c>
      <c r="K26" s="148">
        <f t="shared" ref="K26" si="72">(K25-J25)/K25</f>
        <v>1.4958863126402393E-2</v>
      </c>
      <c r="L26" s="148">
        <f t="shared" ref="L26" si="73">(L25-K25)/L25</f>
        <v>0.10688042752171009</v>
      </c>
      <c r="M26" s="148">
        <f t="shared" ref="M26" si="74">(M25-L25)/M25</f>
        <v>0.20456960680127523</v>
      </c>
      <c r="N26" s="148">
        <f t="shared" ref="N26" si="75">(N25-M25)/N25</f>
        <v>0.20824568784181741</v>
      </c>
      <c r="O26" s="148">
        <f t="shared" ref="O26" si="76">(O25-N25)/O25</f>
        <v>0.15589488636363635</v>
      </c>
      <c r="P26" s="148">
        <f t="shared" ref="P26" si="77">(P25-O25)/P25</f>
        <v>9.1612903225806452E-2</v>
      </c>
      <c r="Q26" s="128"/>
      <c r="R26" s="20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19"/>
      <c r="AD26" s="137"/>
      <c r="AE26" s="154"/>
    </row>
    <row r="27" spans="2:31" x14ac:dyDescent="0.2">
      <c r="B27" s="20" t="s">
        <v>261</v>
      </c>
      <c r="C27" s="141"/>
      <c r="D27" s="141"/>
      <c r="E27" s="147"/>
      <c r="F27" s="147"/>
      <c r="G27" s="147">
        <v>710</v>
      </c>
      <c r="H27" s="147">
        <v>744</v>
      </c>
      <c r="I27" s="147">
        <v>944</v>
      </c>
      <c r="J27" s="147">
        <v>1121</v>
      </c>
      <c r="K27" s="147">
        <v>1125</v>
      </c>
      <c r="L27" s="147">
        <v>1317</v>
      </c>
      <c r="M27" s="147">
        <v>1597</v>
      </c>
      <c r="N27" s="147">
        <v>2037</v>
      </c>
      <c r="O27" s="147">
        <v>2455</v>
      </c>
      <c r="P27" s="147">
        <v>2747</v>
      </c>
      <c r="Q27" s="118">
        <f>((P27/G27)^(1/($H$2-$H$1) ))-1</f>
        <v>0.16222154869590133</v>
      </c>
      <c r="R27" s="31">
        <f t="shared" si="6"/>
        <v>0.1</v>
      </c>
      <c r="S27" s="154">
        <f t="shared" si="38"/>
        <v>3021.7000000000003</v>
      </c>
      <c r="T27" s="154">
        <f t="shared" si="39"/>
        <v>3323.8700000000003</v>
      </c>
      <c r="U27" s="154">
        <f t="shared" si="40"/>
        <v>3656.2570000000005</v>
      </c>
      <c r="V27" s="154">
        <f t="shared" si="41"/>
        <v>4021.882700000001</v>
      </c>
      <c r="W27" s="154">
        <f t="shared" si="42"/>
        <v>4424.0709700000016</v>
      </c>
      <c r="X27" s="154">
        <f t="shared" si="43"/>
        <v>4866.4780670000018</v>
      </c>
      <c r="Y27" s="154">
        <f t="shared" si="44"/>
        <v>5353.1258737000026</v>
      </c>
      <c r="Z27" s="154">
        <f t="shared" si="45"/>
        <v>5888.4384610700035</v>
      </c>
      <c r="AA27" s="154">
        <f t="shared" si="46"/>
        <v>6477.2823071770044</v>
      </c>
      <c r="AB27" s="154">
        <f t="shared" si="47"/>
        <v>7125.0105378947055</v>
      </c>
      <c r="AC27" s="138">
        <f t="shared" si="19"/>
        <v>0.12904683046037957</v>
      </c>
      <c r="AD27" s="31">
        <f t="shared" si="17"/>
        <v>0.05</v>
      </c>
      <c r="AE27" s="146">
        <f t="shared" si="1"/>
        <v>44007.418028173182</v>
      </c>
    </row>
    <row r="28" spans="2:31" s="123" customFormat="1" x14ac:dyDescent="0.2">
      <c r="B28" s="23"/>
      <c r="C28" s="149"/>
      <c r="D28" s="149"/>
      <c r="E28" s="150"/>
      <c r="F28" s="150"/>
      <c r="G28" s="148">
        <f t="shared" ref="G28:M28" si="78">(G27-F27)/G27</f>
        <v>1</v>
      </c>
      <c r="H28" s="148">
        <f t="shared" si="78"/>
        <v>4.5698924731182797E-2</v>
      </c>
      <c r="I28" s="148">
        <f t="shared" si="78"/>
        <v>0.21186440677966101</v>
      </c>
      <c r="J28" s="148">
        <f t="shared" si="78"/>
        <v>0.15789473684210525</v>
      </c>
      <c r="K28" s="148">
        <f t="shared" si="78"/>
        <v>3.5555555555555557E-3</v>
      </c>
      <c r="L28" s="148">
        <f t="shared" si="78"/>
        <v>0.14578587699316628</v>
      </c>
      <c r="M28" s="148">
        <f t="shared" si="78"/>
        <v>0.17532874139010646</v>
      </c>
      <c r="N28" s="148">
        <f t="shared" ref="N28" si="79">(N27-M27)/N27</f>
        <v>0.21600392734413354</v>
      </c>
      <c r="O28" s="148">
        <f t="shared" ref="O28" si="80">(O27-N27)/O27</f>
        <v>0.17026476578411406</v>
      </c>
      <c r="P28" s="148">
        <f t="shared" ref="P28" si="81">(P27-O27)/P27</f>
        <v>0.10629777939570441</v>
      </c>
      <c r="Q28" s="128"/>
      <c r="R28" s="20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19"/>
      <c r="AD28" s="137"/>
      <c r="AE28" s="154"/>
    </row>
    <row r="29" spans="2:31" s="123" customFormat="1" x14ac:dyDescent="0.2">
      <c r="B29" s="20" t="s">
        <v>324</v>
      </c>
      <c r="C29" s="149"/>
      <c r="D29" s="149"/>
      <c r="E29" s="150"/>
      <c r="F29" s="147"/>
      <c r="G29" s="147">
        <v>2.5</v>
      </c>
      <c r="H29" s="147">
        <v>0.77</v>
      </c>
      <c r="I29" s="147">
        <v>2.5</v>
      </c>
      <c r="J29" s="147">
        <v>1</v>
      </c>
      <c r="K29" s="147">
        <v>1.81</v>
      </c>
      <c r="L29" s="147">
        <v>2.2599999999999998</v>
      </c>
      <c r="M29" s="147">
        <v>1.64</v>
      </c>
      <c r="N29" s="147">
        <v>1.23</v>
      </c>
      <c r="O29" s="147">
        <v>0.09</v>
      </c>
      <c r="P29" s="147">
        <v>0.68</v>
      </c>
      <c r="Q29" s="118">
        <f>((P29/G29)^(1/($H$2-$H$1) ))-1</f>
        <v>-0.13468481965523249</v>
      </c>
      <c r="R29" s="31">
        <f t="shared" si="6"/>
        <v>0.1</v>
      </c>
      <c r="S29" s="154">
        <f t="shared" ref="S29" si="82">P29*(1+$R29)</f>
        <v>0.74800000000000011</v>
      </c>
      <c r="T29" s="154">
        <f t="shared" ref="T29" si="83">S29*(1+$R29)</f>
        <v>0.8228000000000002</v>
      </c>
      <c r="U29" s="154">
        <f t="shared" ref="U29" si="84">T29*(1+$R29)</f>
        <v>0.90508000000000033</v>
      </c>
      <c r="V29" s="154">
        <f t="shared" ref="V29" si="85">U29*(1+$R29)</f>
        <v>0.99558800000000047</v>
      </c>
      <c r="W29" s="154">
        <f t="shared" ref="W29" si="86">V29*(1+$R29)</f>
        <v>1.0951468000000006</v>
      </c>
      <c r="X29" s="154">
        <f t="shared" ref="X29" si="87">W29*(1+$R29)</f>
        <v>1.2046614800000008</v>
      </c>
      <c r="Y29" s="154">
        <f t="shared" ref="Y29" si="88">X29*(1+$R29)</f>
        <v>1.3251276280000011</v>
      </c>
      <c r="Z29" s="154">
        <f t="shared" ref="Z29" si="89">Y29*(1+$R29)</f>
        <v>1.4576403908000013</v>
      </c>
      <c r="AA29" s="154">
        <f t="shared" ref="AA29" si="90">Z29*(1+$R29)</f>
        <v>1.6034044298800016</v>
      </c>
      <c r="AB29" s="154">
        <f t="shared" ref="AB29" si="91">AA29*(1+$R29)</f>
        <v>1.7637448728680019</v>
      </c>
      <c r="AC29" s="138">
        <f t="shared" ref="AC29" si="92">((AB29/G29)^(1/($AB$3-$H$1) ))-1</f>
        <v>-1.8193071817941497E-2</v>
      </c>
      <c r="AD29" s="31">
        <f t="shared" si="17"/>
        <v>0.05</v>
      </c>
      <c r="AE29" s="146">
        <f t="shared" ref="AE29" si="93">(AB29*(1+AD29))/($C$1-AD29)</f>
        <v>10.893718332420013</v>
      </c>
    </row>
    <row r="30" spans="2:31" s="123" customFormat="1" x14ac:dyDescent="0.2">
      <c r="B30" s="23"/>
      <c r="C30" s="149"/>
      <c r="D30" s="149"/>
      <c r="E30" s="150"/>
      <c r="F30" s="150"/>
      <c r="G30" s="148">
        <f t="shared" ref="G30:L30" si="94">(G29-F29)/G29</f>
        <v>1</v>
      </c>
      <c r="H30" s="148">
        <f t="shared" si="94"/>
        <v>-2.2467532467532467</v>
      </c>
      <c r="I30" s="148">
        <f t="shared" si="94"/>
        <v>0.69199999999999995</v>
      </c>
      <c r="J30" s="148">
        <f t="shared" si="94"/>
        <v>-1.5</v>
      </c>
      <c r="K30" s="148">
        <f t="shared" si="94"/>
        <v>0.44751381215469616</v>
      </c>
      <c r="L30" s="148">
        <f t="shared" si="94"/>
        <v>0.1991150442477875</v>
      </c>
      <c r="M30" s="148">
        <f t="shared" ref="M30" si="95">(M29-L29)/M29</f>
        <v>-0.37804878048780483</v>
      </c>
      <c r="N30" s="148">
        <f t="shared" ref="N30" si="96">(N29-M29)/N29</f>
        <v>-0.33333333333333326</v>
      </c>
      <c r="O30" s="148">
        <f t="shared" ref="O30" si="97">(O29-N29)/O29</f>
        <v>-12.666666666666666</v>
      </c>
      <c r="P30" s="148">
        <f t="shared" ref="P30" si="98">(P29-O29)/P29</f>
        <v>0.86764705882352944</v>
      </c>
      <c r="Q30" s="128"/>
      <c r="R30" s="20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62"/>
      <c r="AD30" s="137"/>
      <c r="AE30" s="154"/>
    </row>
    <row r="31" spans="2:31" x14ac:dyDescent="0.2">
      <c r="B31" s="20" t="s">
        <v>332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18" t="e">
        <f>((P31/G31)^(1/($H$2-$H$1) ))-1</f>
        <v>#DIV/0!</v>
      </c>
      <c r="R31" s="31">
        <f t="shared" si="6"/>
        <v>0.1</v>
      </c>
      <c r="S31" s="154">
        <f>P31*(1+$R31)</f>
        <v>0</v>
      </c>
      <c r="T31" s="154">
        <f>S31*(1+$R31)</f>
        <v>0</v>
      </c>
      <c r="U31" s="154">
        <f t="shared" ref="U31:AB32" si="99">T31*(1+$R31)</f>
        <v>0</v>
      </c>
      <c r="V31" s="154">
        <f t="shared" si="99"/>
        <v>0</v>
      </c>
      <c r="W31" s="154">
        <f t="shared" si="99"/>
        <v>0</v>
      </c>
      <c r="X31" s="154">
        <f t="shared" si="99"/>
        <v>0</v>
      </c>
      <c r="Y31" s="154">
        <f t="shared" si="99"/>
        <v>0</v>
      </c>
      <c r="Z31" s="154">
        <f t="shared" si="99"/>
        <v>0</v>
      </c>
      <c r="AA31" s="154">
        <f t="shared" si="99"/>
        <v>0</v>
      </c>
      <c r="AB31" s="154">
        <f t="shared" si="99"/>
        <v>0</v>
      </c>
      <c r="AC31" s="138" t="e">
        <f t="shared" ref="AC31" si="100">((AB31/G31)^(1/($AB$3-$H$1) ))-1</f>
        <v>#DIV/0!</v>
      </c>
      <c r="AD31" s="31">
        <f t="shared" si="17"/>
        <v>0.05</v>
      </c>
      <c r="AE31" s="146">
        <f t="shared" si="1"/>
        <v>0</v>
      </c>
    </row>
    <row r="32" spans="2:31" x14ac:dyDescent="0.2">
      <c r="B32" s="20" t="s">
        <v>331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18" t="e">
        <f>((P32/G32)^(1/($H$2-$H$1) ))-1</f>
        <v>#DIV/0!</v>
      </c>
      <c r="R32" s="31">
        <f t="shared" si="6"/>
        <v>0.1</v>
      </c>
      <c r="S32" s="154">
        <f>P32*(1+$R32)</f>
        <v>0</v>
      </c>
      <c r="T32" s="154">
        <f>S32*(1+$R32)</f>
        <v>0</v>
      </c>
      <c r="U32" s="154">
        <f t="shared" si="99"/>
        <v>0</v>
      </c>
      <c r="V32" s="154">
        <f t="shared" si="99"/>
        <v>0</v>
      </c>
      <c r="W32" s="154">
        <f t="shared" si="99"/>
        <v>0</v>
      </c>
      <c r="X32" s="154">
        <f t="shared" si="99"/>
        <v>0</v>
      </c>
      <c r="Y32" s="154">
        <f t="shared" si="99"/>
        <v>0</v>
      </c>
      <c r="Z32" s="154">
        <f t="shared" si="99"/>
        <v>0</v>
      </c>
      <c r="AA32" s="154">
        <f t="shared" si="99"/>
        <v>0</v>
      </c>
      <c r="AB32" s="154">
        <f t="shared" si="99"/>
        <v>0</v>
      </c>
      <c r="AC32" s="138" t="e">
        <f t="shared" ref="AC32" si="101">((AB32/G32)^(1/($AB$3-$H$1) ))-1</f>
        <v>#DIV/0!</v>
      </c>
      <c r="AD32" s="31">
        <f t="shared" si="17"/>
        <v>0.05</v>
      </c>
      <c r="AE32" s="146">
        <f t="shared" si="1"/>
        <v>0</v>
      </c>
    </row>
    <row r="33" spans="2:31" x14ac:dyDescent="0.2">
      <c r="B33" s="20" t="s">
        <v>316</v>
      </c>
      <c r="C33" s="141"/>
      <c r="D33" s="141"/>
      <c r="E33" s="147"/>
      <c r="F33" s="147"/>
      <c r="G33" s="147">
        <v>465</v>
      </c>
      <c r="H33" s="147">
        <v>538</v>
      </c>
      <c r="I33" s="147">
        <v>658</v>
      </c>
      <c r="J33" s="147">
        <v>791</v>
      </c>
      <c r="K33" s="147">
        <v>840</v>
      </c>
      <c r="L33" s="147">
        <v>915</v>
      </c>
      <c r="M33" s="147">
        <v>1122</v>
      </c>
      <c r="N33" s="147">
        <v>1478</v>
      </c>
      <c r="O33" s="147">
        <v>1803</v>
      </c>
      <c r="P33" s="147">
        <v>2026</v>
      </c>
      <c r="Q33" s="118">
        <f>((P33/G33)^(1/($H$2-$H$1) ))-1</f>
        <v>0.17766216037843319</v>
      </c>
      <c r="R33" s="31">
        <f t="shared" si="6"/>
        <v>0.1</v>
      </c>
      <c r="S33" s="154">
        <f t="shared" si="38"/>
        <v>2228.6000000000004</v>
      </c>
      <c r="T33" s="154">
        <f t="shared" si="39"/>
        <v>2451.4600000000005</v>
      </c>
      <c r="U33" s="154">
        <f t="shared" si="40"/>
        <v>2696.6060000000007</v>
      </c>
      <c r="V33" s="154">
        <f t="shared" si="41"/>
        <v>2966.2666000000008</v>
      </c>
      <c r="W33" s="154">
        <f t="shared" si="42"/>
        <v>3262.8932600000012</v>
      </c>
      <c r="X33" s="154">
        <f t="shared" si="43"/>
        <v>3589.1825860000017</v>
      </c>
      <c r="Y33" s="154">
        <f t="shared" si="44"/>
        <v>3948.1008446000023</v>
      </c>
      <c r="Z33" s="154">
        <f t="shared" si="45"/>
        <v>4342.9109290600027</v>
      </c>
      <c r="AA33" s="154">
        <f t="shared" si="46"/>
        <v>4777.2020219660035</v>
      </c>
      <c r="AB33" s="154">
        <f t="shared" si="47"/>
        <v>5254.9222241626039</v>
      </c>
      <c r="AC33" s="138">
        <f t="shared" si="19"/>
        <v>0.13612735821437782</v>
      </c>
      <c r="AD33" s="31">
        <f t="shared" si="17"/>
        <v>0.05</v>
      </c>
      <c r="AE33" s="146">
        <f t="shared" si="1"/>
        <v>32456.872561004322</v>
      </c>
    </row>
    <row r="34" spans="2:31" x14ac:dyDescent="0.2">
      <c r="B34" s="20" t="s">
        <v>308</v>
      </c>
      <c r="C34" s="141"/>
      <c r="D34" s="141"/>
      <c r="E34" s="147"/>
      <c r="F34" s="147"/>
      <c r="G34" s="147">
        <v>53</v>
      </c>
      <c r="H34" s="147">
        <v>49</v>
      </c>
      <c r="I34" s="147">
        <v>53</v>
      </c>
      <c r="J34" s="147">
        <v>60</v>
      </c>
      <c r="K34" s="147">
        <v>69</v>
      </c>
      <c r="L34" s="147">
        <v>74</v>
      </c>
      <c r="M34" s="147">
        <v>76</v>
      </c>
      <c r="N34" s="147">
        <v>92</v>
      </c>
      <c r="O34" s="147">
        <v>107</v>
      </c>
      <c r="P34" s="147">
        <v>119</v>
      </c>
      <c r="Q34" s="118">
        <f>((P34/G34)^(1/($H$2-$H$1) ))-1</f>
        <v>9.4032242303563995E-2</v>
      </c>
      <c r="R34" s="31">
        <f t="shared" si="6"/>
        <v>0.1</v>
      </c>
      <c r="S34" s="154">
        <f t="shared" si="38"/>
        <v>130.9</v>
      </c>
      <c r="T34" s="154">
        <f t="shared" si="39"/>
        <v>143.99</v>
      </c>
      <c r="U34" s="154">
        <f t="shared" si="40"/>
        <v>158.38900000000001</v>
      </c>
      <c r="V34" s="154">
        <f t="shared" si="41"/>
        <v>174.22790000000003</v>
      </c>
      <c r="W34" s="154">
        <f t="shared" si="42"/>
        <v>191.65069000000005</v>
      </c>
      <c r="X34" s="154">
        <f t="shared" si="43"/>
        <v>210.81575900000007</v>
      </c>
      <c r="Y34" s="154">
        <f t="shared" si="44"/>
        <v>231.89733490000009</v>
      </c>
      <c r="Z34" s="154">
        <f t="shared" si="45"/>
        <v>255.08706839000013</v>
      </c>
      <c r="AA34" s="154">
        <f t="shared" si="46"/>
        <v>280.59577522900014</v>
      </c>
      <c r="AB34" s="154">
        <f t="shared" si="47"/>
        <v>308.65535275190018</v>
      </c>
      <c r="AC34" s="138">
        <f t="shared" si="19"/>
        <v>9.7169120379102303E-2</v>
      </c>
      <c r="AD34" s="31">
        <f t="shared" si="17"/>
        <v>0.05</v>
      </c>
      <c r="AE34" s="146">
        <f t="shared" si="1"/>
        <v>1906.4007081735015</v>
      </c>
    </row>
    <row r="35" spans="2:31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28"/>
      <c r="R35" s="20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137"/>
      <c r="AE35" s="154"/>
    </row>
    <row r="36" spans="2:31" x14ac:dyDescent="0.2">
      <c r="B36" s="20" t="s">
        <v>278</v>
      </c>
      <c r="C36" s="141"/>
      <c r="D36" s="141"/>
      <c r="E36" s="147"/>
      <c r="F36" s="147"/>
      <c r="G36" s="147">
        <v>104</v>
      </c>
      <c r="H36" s="147">
        <v>131</v>
      </c>
      <c r="I36" s="147">
        <v>157</v>
      </c>
      <c r="J36" s="147">
        <v>172</v>
      </c>
      <c r="K36" s="147">
        <v>188</v>
      </c>
      <c r="L36" s="147">
        <v>158</v>
      </c>
      <c r="M36" s="147">
        <v>265</v>
      </c>
      <c r="N36" s="147">
        <v>291</v>
      </c>
      <c r="O36" s="147">
        <v>336</v>
      </c>
      <c r="P36" s="147">
        <v>338</v>
      </c>
      <c r="Q36" s="118">
        <f>((P36/G36)^(1/($H$2-$H$1) ))-1</f>
        <v>0.13992408292122827</v>
      </c>
      <c r="R36" s="31">
        <f t="shared" si="6"/>
        <v>0.1</v>
      </c>
      <c r="S36" s="154">
        <f t="shared" ref="S36" si="102">P36*(1+$R36)</f>
        <v>371.8</v>
      </c>
      <c r="T36" s="154">
        <f t="shared" ref="T36" si="103">S36*(1+$R36)</f>
        <v>408.98</v>
      </c>
      <c r="U36" s="154">
        <f t="shared" ref="U36" si="104">T36*(1+$R36)</f>
        <v>449.87800000000004</v>
      </c>
      <c r="V36" s="154">
        <f t="shared" ref="V36" si="105">U36*(1+$R36)</f>
        <v>494.86580000000009</v>
      </c>
      <c r="W36" s="154">
        <f t="shared" si="42"/>
        <v>544.35238000000015</v>
      </c>
      <c r="X36" s="154">
        <f t="shared" si="43"/>
        <v>598.78761800000018</v>
      </c>
      <c r="Y36" s="154">
        <f t="shared" si="44"/>
        <v>658.6663798000003</v>
      </c>
      <c r="Z36" s="154">
        <f t="shared" si="45"/>
        <v>724.53301778000036</v>
      </c>
      <c r="AA36" s="154">
        <f t="shared" si="46"/>
        <v>796.98631955800045</v>
      </c>
      <c r="AB36" s="154">
        <f t="shared" si="47"/>
        <v>876.68495151380057</v>
      </c>
      <c r="AC36" s="138">
        <f t="shared" si="19"/>
        <v>0.11873404160748269</v>
      </c>
      <c r="AD36" s="31">
        <f t="shared" si="17"/>
        <v>0.05</v>
      </c>
      <c r="AE36" s="146">
        <f t="shared" si="1"/>
        <v>5414.8188181734749</v>
      </c>
    </row>
    <row r="37" spans="2:31" s="123" customFormat="1" x14ac:dyDescent="0.2">
      <c r="B37" s="23"/>
      <c r="C37" s="149"/>
      <c r="D37" s="149"/>
      <c r="E37" s="150"/>
      <c r="F37" s="150"/>
      <c r="G37" s="148">
        <f t="shared" ref="G37" si="106">(G36-F36)/G36</f>
        <v>1</v>
      </c>
      <c r="H37" s="148">
        <f t="shared" ref="H37" si="107">(H36-G36)/H36</f>
        <v>0.20610687022900764</v>
      </c>
      <c r="I37" s="148">
        <f t="shared" ref="I37" si="108">(I36-H36)/I36</f>
        <v>0.16560509554140126</v>
      </c>
      <c r="J37" s="148">
        <f t="shared" ref="J37" si="109">(J36-I36)/J36</f>
        <v>8.7209302325581398E-2</v>
      </c>
      <c r="K37" s="148">
        <f t="shared" ref="K37" si="110">(K36-J36)/K36</f>
        <v>8.5106382978723402E-2</v>
      </c>
      <c r="L37" s="148">
        <f t="shared" ref="L37" si="111">(L36-K36)/L36</f>
        <v>-0.189873417721519</v>
      </c>
      <c r="M37" s="148">
        <f t="shared" ref="M37" si="112">(M36-L36)/M36</f>
        <v>0.4037735849056604</v>
      </c>
      <c r="N37" s="148">
        <f t="shared" ref="N37" si="113">(N36-M36)/N36</f>
        <v>8.9347079037800689E-2</v>
      </c>
      <c r="O37" s="148">
        <f t="shared" ref="O37" si="114">(O36-N36)/O36</f>
        <v>0.13392857142857142</v>
      </c>
      <c r="P37" s="148">
        <f t="shared" ref="P37" si="115">(P36-O36)/P36</f>
        <v>5.9171597633136093E-3</v>
      </c>
      <c r="Q37" s="128"/>
      <c r="R37" s="20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39"/>
      <c r="AD37" s="137"/>
      <c r="AE37" s="156"/>
    </row>
    <row r="38" spans="2:31" s="123" customFormat="1" x14ac:dyDescent="0.2">
      <c r="B38" s="20" t="s">
        <v>401</v>
      </c>
      <c r="C38" s="149"/>
      <c r="D38" s="149"/>
      <c r="E38" s="150"/>
      <c r="F38" s="150"/>
      <c r="G38" s="147">
        <v>89</v>
      </c>
      <c r="H38" s="147">
        <v>134</v>
      </c>
      <c r="I38" s="147">
        <v>89</v>
      </c>
      <c r="J38" s="147">
        <v>138</v>
      </c>
      <c r="K38" s="147">
        <v>200</v>
      </c>
      <c r="L38" s="147">
        <v>140</v>
      </c>
      <c r="M38" s="147">
        <v>238</v>
      </c>
      <c r="N38" s="147">
        <v>289</v>
      </c>
      <c r="O38" s="147">
        <v>305</v>
      </c>
      <c r="P38" s="147">
        <v>306</v>
      </c>
      <c r="Q38" s="118">
        <f>((P38/G38)^(1/($H$2-$H$1) ))-1</f>
        <v>0.14707649329085326</v>
      </c>
      <c r="R38" s="31">
        <f t="shared" si="6"/>
        <v>0.1</v>
      </c>
      <c r="S38" s="154">
        <f t="shared" ref="S38" si="116">P38*(1+$R38)</f>
        <v>336.6</v>
      </c>
      <c r="T38" s="154">
        <f t="shared" ref="T38" si="117">S38*(1+$R38)</f>
        <v>370.26000000000005</v>
      </c>
      <c r="U38" s="154">
        <f t="shared" ref="U38" si="118">T38*(1+$R38)</f>
        <v>407.28600000000006</v>
      </c>
      <c r="V38" s="154">
        <f t="shared" ref="V38" si="119">U38*(1+$R38)</f>
        <v>448.01460000000009</v>
      </c>
      <c r="W38" s="154">
        <f t="shared" ref="W38" si="120">V38*(1+$R38)</f>
        <v>492.81606000000011</v>
      </c>
      <c r="X38" s="154">
        <f t="shared" ref="X38" si="121">W38*(1+$R38)</f>
        <v>542.09766600000012</v>
      </c>
      <c r="Y38" s="154">
        <f t="shared" ref="Y38" si="122">X38*(1+$R38)</f>
        <v>596.3074326000002</v>
      </c>
      <c r="Z38" s="154">
        <f t="shared" ref="Z38" si="123">Y38*(1+$R38)</f>
        <v>655.93817586000023</v>
      </c>
      <c r="AA38" s="154">
        <f t="shared" ref="AA38" si="124">Z38*(1+$R38)</f>
        <v>721.53199344600034</v>
      </c>
      <c r="AB38" s="154">
        <f t="shared" ref="AB38" si="125">AA38*(1+$R38)</f>
        <v>793.68519279060047</v>
      </c>
      <c r="AC38" s="138">
        <f t="shared" ref="AC38" si="126">((AB38/G38)^(1/($AB$3-$H$1) ))-1</f>
        <v>0.12205357355198543</v>
      </c>
      <c r="AD38" s="31">
        <f t="shared" si="17"/>
        <v>0.05</v>
      </c>
      <c r="AE38" s="146">
        <f t="shared" ref="AE38" si="127">(AB38*(1+AD38))/($C$1-AD38)</f>
        <v>4902.1732495890037</v>
      </c>
    </row>
    <row r="39" spans="2:31" s="123" customFormat="1" x14ac:dyDescent="0.2">
      <c r="B39" s="23"/>
      <c r="C39" s="149"/>
      <c r="D39" s="149"/>
      <c r="E39" s="150"/>
      <c r="F39" s="150"/>
      <c r="G39" s="148">
        <f t="shared" ref="G39" si="128">(G38-F38)/G38</f>
        <v>1</v>
      </c>
      <c r="H39" s="148">
        <f t="shared" ref="H39" si="129">(H38-G38)/H38</f>
        <v>0.33582089552238809</v>
      </c>
      <c r="I39" s="148">
        <f t="shared" ref="I39" si="130">(I38-H38)/I38</f>
        <v>-0.5056179775280899</v>
      </c>
      <c r="J39" s="148">
        <f t="shared" ref="J39" si="131">(J38-I38)/J38</f>
        <v>0.35507246376811596</v>
      </c>
      <c r="K39" s="148">
        <f t="shared" ref="K39" si="132">(K38-J38)/K38</f>
        <v>0.31</v>
      </c>
      <c r="L39" s="148">
        <f t="shared" ref="L39" si="133">(L38-K38)/L38</f>
        <v>-0.42857142857142855</v>
      </c>
      <c r="M39" s="148">
        <f t="shared" ref="M39" si="134">(M38-L38)/M38</f>
        <v>0.41176470588235292</v>
      </c>
      <c r="N39" s="148">
        <f t="shared" ref="N39" si="135">(N38-M38)/N38</f>
        <v>0.17647058823529413</v>
      </c>
      <c r="O39" s="148">
        <f t="shared" ref="O39" si="136">(O38-N38)/O38</f>
        <v>5.2459016393442623E-2</v>
      </c>
      <c r="P39" s="148">
        <f t="shared" ref="P39" si="137">(P38-O38)/P38</f>
        <v>3.2679738562091504E-3</v>
      </c>
      <c r="Q39" s="128"/>
      <c r="R39" s="20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39"/>
      <c r="AD39" s="137"/>
      <c r="AE39" s="156"/>
    </row>
    <row r="40" spans="2:31" x14ac:dyDescent="0.2">
      <c r="B40" s="20" t="s">
        <v>402</v>
      </c>
      <c r="C40" s="141"/>
      <c r="D40" s="141"/>
      <c r="E40" s="147"/>
      <c r="F40" s="147"/>
      <c r="G40" s="147">
        <v>58</v>
      </c>
      <c r="H40" s="147">
        <v>88</v>
      </c>
      <c r="I40" s="147">
        <v>58</v>
      </c>
      <c r="J40" s="147">
        <v>107</v>
      </c>
      <c r="K40" s="147">
        <v>119</v>
      </c>
      <c r="L40" s="147">
        <v>98</v>
      </c>
      <c r="M40" s="147">
        <v>165</v>
      </c>
      <c r="N40" s="147">
        <v>206</v>
      </c>
      <c r="O40" s="147">
        <v>215</v>
      </c>
      <c r="P40" s="147">
        <v>293</v>
      </c>
      <c r="Q40" s="118">
        <f>((P40/G40)^(1/($H$2-$H$1) ))-1</f>
        <v>0.19718139372816124</v>
      </c>
      <c r="R40" s="31">
        <f t="shared" si="6"/>
        <v>0.1</v>
      </c>
      <c r="S40" s="154">
        <f>P40*(1+$R40)</f>
        <v>322.3</v>
      </c>
      <c r="T40" s="154">
        <f t="shared" ref="T40:AB40" si="138">S40*(1+$R40)</f>
        <v>354.53000000000003</v>
      </c>
      <c r="U40" s="154">
        <f t="shared" si="138"/>
        <v>389.98300000000006</v>
      </c>
      <c r="V40" s="154">
        <f t="shared" si="138"/>
        <v>428.98130000000009</v>
      </c>
      <c r="W40" s="154">
        <f t="shared" si="138"/>
        <v>471.87943000000013</v>
      </c>
      <c r="X40" s="154">
        <f t="shared" si="138"/>
        <v>519.0673730000002</v>
      </c>
      <c r="Y40" s="154">
        <f t="shared" si="138"/>
        <v>570.97411030000023</v>
      </c>
      <c r="Z40" s="154">
        <f t="shared" si="138"/>
        <v>628.07152133000034</v>
      </c>
      <c r="AA40" s="154">
        <f t="shared" si="138"/>
        <v>690.87867346300038</v>
      </c>
      <c r="AB40" s="154">
        <f t="shared" si="138"/>
        <v>759.96654080930045</v>
      </c>
      <c r="AC40" s="138">
        <f t="shared" si="19"/>
        <v>0.14500863534511366</v>
      </c>
      <c r="AD40" s="31">
        <f t="shared" si="17"/>
        <v>0.05</v>
      </c>
      <c r="AE40" s="146">
        <f t="shared" si="1"/>
        <v>4693.9109873515617</v>
      </c>
    </row>
    <row r="41" spans="2:31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P41" si="139">(H40-G40)/H40</f>
        <v>0.34090909090909088</v>
      </c>
      <c r="I41" s="148">
        <f t="shared" si="139"/>
        <v>-0.51724137931034486</v>
      </c>
      <c r="J41" s="148">
        <f t="shared" si="139"/>
        <v>0.45794392523364486</v>
      </c>
      <c r="K41" s="148">
        <f t="shared" si="139"/>
        <v>0.10084033613445378</v>
      </c>
      <c r="L41" s="148">
        <f t="shared" si="139"/>
        <v>-0.21428571428571427</v>
      </c>
      <c r="M41" s="148">
        <f t="shared" si="139"/>
        <v>0.40606060606060607</v>
      </c>
      <c r="N41" s="148">
        <f t="shared" si="139"/>
        <v>0.19902912621359223</v>
      </c>
      <c r="O41" s="148">
        <f t="shared" si="139"/>
        <v>4.1860465116279069E-2</v>
      </c>
      <c r="P41" s="148">
        <f t="shared" si="139"/>
        <v>0.26621160409556316</v>
      </c>
      <c r="Q41" s="128"/>
      <c r="R41" s="20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  <c r="AC41" s="139"/>
      <c r="AD41" s="137"/>
      <c r="AE41" s="156"/>
    </row>
    <row r="42" spans="2:31" x14ac:dyDescent="0.2">
      <c r="B42" s="20" t="s">
        <v>239</v>
      </c>
      <c r="C42" s="142">
        <v>1</v>
      </c>
      <c r="D42" s="142">
        <v>1</v>
      </c>
      <c r="E42" s="143">
        <v>1</v>
      </c>
      <c r="F42" s="147">
        <v>1</v>
      </c>
      <c r="G42" s="206">
        <v>1.53</v>
      </c>
      <c r="H42" s="206">
        <v>2.5499999999999998</v>
      </c>
      <c r="I42" s="206">
        <v>2.5499999999999998</v>
      </c>
      <c r="J42" s="206">
        <v>2.5499999999999998</v>
      </c>
      <c r="K42" s="206">
        <v>2.69</v>
      </c>
      <c r="L42" s="206">
        <v>2.69</v>
      </c>
      <c r="M42" s="206">
        <v>2.69</v>
      </c>
      <c r="N42" s="206">
        <v>5.38</v>
      </c>
      <c r="O42" s="206">
        <v>5.38</v>
      </c>
      <c r="P42" s="206">
        <v>5.38</v>
      </c>
      <c r="Q42" s="118">
        <f>((P42/G42)^(1/($H$2-$H$1) ))-1</f>
        <v>0.14994418257707465</v>
      </c>
      <c r="R42" s="31">
        <v>0</v>
      </c>
      <c r="S42" s="154">
        <f t="shared" ref="S42:S43" si="140">P42*(1+$R42)</f>
        <v>5.38</v>
      </c>
      <c r="T42" s="154">
        <f t="shared" ref="T42:AB42" si="141">S42*(1+$R42)</f>
        <v>5.38</v>
      </c>
      <c r="U42" s="154">
        <f t="shared" si="141"/>
        <v>5.38</v>
      </c>
      <c r="V42" s="154">
        <f t="shared" si="141"/>
        <v>5.38</v>
      </c>
      <c r="W42" s="154">
        <f t="shared" si="141"/>
        <v>5.38</v>
      </c>
      <c r="X42" s="154">
        <f t="shared" si="141"/>
        <v>5.38</v>
      </c>
      <c r="Y42" s="154">
        <f t="shared" si="141"/>
        <v>5.38</v>
      </c>
      <c r="Z42" s="154">
        <f t="shared" si="141"/>
        <v>5.38</v>
      </c>
      <c r="AA42" s="154">
        <f t="shared" si="141"/>
        <v>5.38</v>
      </c>
      <c r="AB42" s="154">
        <f t="shared" si="141"/>
        <v>5.38</v>
      </c>
      <c r="AC42" s="138">
        <f t="shared" si="19"/>
        <v>6.8419051201043413E-2</v>
      </c>
      <c r="AD42" s="31">
        <f t="shared" si="17"/>
        <v>0.05</v>
      </c>
      <c r="AE42" s="146">
        <f t="shared" si="1"/>
        <v>33.229411764705887</v>
      </c>
    </row>
    <row r="43" spans="2:31" x14ac:dyDescent="0.2">
      <c r="B43" s="20" t="s">
        <v>282</v>
      </c>
      <c r="C43" s="145"/>
      <c r="D43" s="145"/>
      <c r="E43" s="145"/>
      <c r="F43" s="147"/>
      <c r="G43" s="206">
        <v>12.5</v>
      </c>
      <c r="H43" s="206">
        <v>11.5</v>
      </c>
      <c r="I43" s="206">
        <v>20</v>
      </c>
      <c r="J43" s="206">
        <v>11.5</v>
      </c>
      <c r="K43" s="206">
        <v>12</v>
      </c>
      <c r="L43" s="206">
        <v>12</v>
      </c>
      <c r="M43" s="206">
        <v>15</v>
      </c>
      <c r="N43" s="206">
        <v>10</v>
      </c>
      <c r="O43" s="206">
        <v>11</v>
      </c>
      <c r="P43" s="206">
        <v>11</v>
      </c>
      <c r="Q43" s="118">
        <f>((P43/G43)^(1/($H$2-$H$1) ))-1</f>
        <v>-1.4103311183364942E-2</v>
      </c>
      <c r="R43" s="31">
        <f>P1</f>
        <v>0.05</v>
      </c>
      <c r="S43" s="154">
        <f t="shared" si="140"/>
        <v>11.55</v>
      </c>
      <c r="T43" s="154">
        <f t="shared" ref="T43" si="142">S43*(1+$R43)</f>
        <v>12.127500000000001</v>
      </c>
      <c r="U43" s="154">
        <f t="shared" ref="U43" si="143">T43*(1+$R43)</f>
        <v>12.733875000000001</v>
      </c>
      <c r="V43" s="154">
        <f t="shared" ref="V43" si="144">U43*(1+$R43)</f>
        <v>13.370568750000002</v>
      </c>
      <c r="W43" s="154">
        <f t="shared" ref="W43" si="145">V43*(1+$R43)</f>
        <v>14.039097187500003</v>
      </c>
      <c r="X43" s="154">
        <f t="shared" ref="X43" si="146">W43*(1+$R43)</f>
        <v>14.741052046875003</v>
      </c>
      <c r="Y43" s="154">
        <f t="shared" ref="Y43" si="147">X43*(1+$R43)</f>
        <v>15.478104649218754</v>
      </c>
      <c r="Z43" s="154">
        <f t="shared" ref="Z43" si="148">Y43*(1+$R43)</f>
        <v>16.25200988167969</v>
      </c>
      <c r="AA43" s="154">
        <f t="shared" ref="AA43" si="149">Z43*(1+$R43)</f>
        <v>17.064610375763674</v>
      </c>
      <c r="AB43" s="154">
        <f t="shared" ref="AB43" si="150">AA43*(1+$R43)</f>
        <v>17.917840894551858</v>
      </c>
      <c r="AC43" s="138">
        <f t="shared" ref="AC43" si="151">((AB43/G43)^(1/($AB$3-$H$1) ))-1</f>
        <v>1.9131670793913758E-2</v>
      </c>
      <c r="AD43" s="31">
        <f t="shared" si="17"/>
        <v>0.05</v>
      </c>
      <c r="AE43" s="146">
        <f t="shared" si="1"/>
        <v>110.66901728987914</v>
      </c>
    </row>
    <row r="44" spans="2:31" x14ac:dyDescent="0.2">
      <c r="B44" s="20" t="s">
        <v>427</v>
      </c>
      <c r="C44" s="20"/>
      <c r="D44" s="20"/>
      <c r="E44" s="127"/>
      <c r="F44" s="12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28"/>
      <c r="R44" s="128"/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9"/>
      <c r="AD44" s="137"/>
      <c r="AE44" s="154"/>
    </row>
    <row r="45" spans="2:31" x14ac:dyDescent="0.2">
      <c r="B45" s="20" t="s">
        <v>425</v>
      </c>
      <c r="C45" s="20"/>
      <c r="D45" s="20"/>
      <c r="E45" s="127"/>
      <c r="F45" s="127"/>
      <c r="G45" s="147"/>
      <c r="H45" s="147" t="s">
        <v>429</v>
      </c>
      <c r="I45" s="147"/>
      <c r="J45" s="147"/>
      <c r="K45" s="147"/>
      <c r="L45" s="147"/>
      <c r="M45" s="147"/>
      <c r="N45" s="147" t="s">
        <v>428</v>
      </c>
      <c r="O45" s="147"/>
      <c r="P45" s="147"/>
      <c r="Q45" s="128"/>
      <c r="R45" s="128"/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9"/>
      <c r="AD45" s="137"/>
      <c r="AE45" s="154"/>
    </row>
    <row r="46" spans="2:31" x14ac:dyDescent="0.2">
      <c r="B46" s="20" t="s">
        <v>426</v>
      </c>
      <c r="C46" s="20"/>
      <c r="D46" s="20"/>
      <c r="E46" s="127"/>
      <c r="F46" s="12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28"/>
      <c r="R46" s="128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9"/>
      <c r="AD46" s="137"/>
      <c r="AE46" s="154"/>
    </row>
    <row r="47" spans="2:31" x14ac:dyDescent="0.2">
      <c r="B47" s="20"/>
      <c r="C47" s="20"/>
      <c r="D47" s="20"/>
      <c r="E47" s="127"/>
      <c r="F47" s="127"/>
      <c r="G47" s="127"/>
      <c r="H47" s="20"/>
      <c r="I47" s="20"/>
      <c r="J47" s="20"/>
      <c r="K47" s="20"/>
      <c r="L47" s="20"/>
      <c r="M47" s="20"/>
      <c r="N47" s="20"/>
      <c r="O47" s="20"/>
      <c r="P47" s="20"/>
      <c r="Q47" s="128"/>
      <c r="R47" s="128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139"/>
      <c r="AD47" s="137"/>
      <c r="AE47" s="154"/>
    </row>
    <row r="48" spans="2:31" x14ac:dyDescent="0.2">
      <c r="B48" s="108" t="s">
        <v>243</v>
      </c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128"/>
      <c r="R48" s="128"/>
      <c r="S48" s="154"/>
      <c r="T48" s="154"/>
      <c r="U48" s="154"/>
      <c r="V48" s="154"/>
      <c r="W48" s="154"/>
      <c r="X48" s="154"/>
      <c r="Y48" s="154"/>
      <c r="Z48" s="154"/>
      <c r="AA48" s="154"/>
      <c r="AB48" s="154"/>
      <c r="AC48" s="139"/>
      <c r="AD48" s="137"/>
      <c r="AE48" s="154"/>
    </row>
    <row r="49" spans="2:31" x14ac:dyDescent="0.2">
      <c r="B49" s="20" t="s">
        <v>303</v>
      </c>
      <c r="C49" s="133">
        <f t="shared" ref="C49:P49" si="152">C25/C42</f>
        <v>0</v>
      </c>
      <c r="D49" s="133">
        <f t="shared" si="152"/>
        <v>0</v>
      </c>
      <c r="E49" s="133">
        <f t="shared" si="152"/>
        <v>0</v>
      </c>
      <c r="F49" s="133">
        <f t="shared" si="152"/>
        <v>0</v>
      </c>
      <c r="G49" s="133">
        <f t="shared" si="152"/>
        <v>537.90849673202615</v>
      </c>
      <c r="H49" s="133">
        <f t="shared" si="152"/>
        <v>349.01960784313729</v>
      </c>
      <c r="I49" s="133">
        <f t="shared" si="152"/>
        <v>461.56862745098044</v>
      </c>
      <c r="J49" s="133">
        <f t="shared" si="152"/>
        <v>516.47058823529414</v>
      </c>
      <c r="K49" s="133">
        <f t="shared" si="152"/>
        <v>497.02602230483274</v>
      </c>
      <c r="L49" s="133">
        <f t="shared" si="152"/>
        <v>556.50557620817847</v>
      </c>
      <c r="M49" s="133">
        <f t="shared" si="152"/>
        <v>699.62825278810408</v>
      </c>
      <c r="N49" s="133">
        <f t="shared" si="152"/>
        <v>441.82156133829</v>
      </c>
      <c r="O49" s="133">
        <f t="shared" si="152"/>
        <v>523.42007434944242</v>
      </c>
      <c r="P49" s="133">
        <f t="shared" si="152"/>
        <v>576.20817843866178</v>
      </c>
      <c r="Q49" s="118">
        <f>((P49/G49)^(1/($H$2-$H$1) ))-1</f>
        <v>7.6715602285351014E-3</v>
      </c>
      <c r="R49" s="128"/>
      <c r="S49" s="158">
        <f t="shared" ref="S49:AB49" si="153">S25/S42</f>
        <v>633.82899628252801</v>
      </c>
      <c r="T49" s="158">
        <f t="shared" si="153"/>
        <v>697.21189591078087</v>
      </c>
      <c r="U49" s="158">
        <f t="shared" si="153"/>
        <v>766.93308550185895</v>
      </c>
      <c r="V49" s="158">
        <f t="shared" si="153"/>
        <v>843.62639405204493</v>
      </c>
      <c r="W49" s="158">
        <f t="shared" si="153"/>
        <v>927.98903345724966</v>
      </c>
      <c r="X49" s="158">
        <f t="shared" si="153"/>
        <v>1020.7879368029747</v>
      </c>
      <c r="Y49" s="158">
        <f t="shared" si="153"/>
        <v>1122.8667304832722</v>
      </c>
      <c r="Z49" s="158">
        <f t="shared" si="153"/>
        <v>1235.1534035315995</v>
      </c>
      <c r="AA49" s="158">
        <f t="shared" si="153"/>
        <v>1358.6687438847596</v>
      </c>
      <c r="AB49" s="158">
        <f t="shared" si="153"/>
        <v>1494.5356182732355</v>
      </c>
      <c r="AC49" s="138">
        <f t="shared" ref="AC49" si="154">((AB49/G49)^(1/($AB$3-$H$1) ))-1</f>
        <v>5.5255883931623062E-2</v>
      </c>
      <c r="AD49" s="31">
        <f t="shared" si="17"/>
        <v>0.05</v>
      </c>
      <c r="AE49" s="146">
        <f t="shared" ref="AE49:AE50" si="155">(AB49*(1+AD49))/($C$1-AD49)</f>
        <v>9230.95528933469</v>
      </c>
    </row>
    <row r="50" spans="2:31" x14ac:dyDescent="0.2">
      <c r="B50" s="20" t="s">
        <v>304</v>
      </c>
      <c r="C50" s="133">
        <f t="shared" ref="C50:P50" si="156">C27/C42</f>
        <v>0</v>
      </c>
      <c r="D50" s="133">
        <f t="shared" si="156"/>
        <v>0</v>
      </c>
      <c r="E50" s="133">
        <f t="shared" si="156"/>
        <v>0</v>
      </c>
      <c r="F50" s="133">
        <f t="shared" si="156"/>
        <v>0</v>
      </c>
      <c r="G50" s="133">
        <f t="shared" si="156"/>
        <v>464.05228758169932</v>
      </c>
      <c r="H50" s="133">
        <f t="shared" si="156"/>
        <v>291.76470588235298</v>
      </c>
      <c r="I50" s="133">
        <f t="shared" si="156"/>
        <v>370.1960784313726</v>
      </c>
      <c r="J50" s="133">
        <f t="shared" si="156"/>
        <v>439.60784313725492</v>
      </c>
      <c r="K50" s="133">
        <f t="shared" si="156"/>
        <v>418.21561338289962</v>
      </c>
      <c r="L50" s="133">
        <f t="shared" si="156"/>
        <v>489.59107806691452</v>
      </c>
      <c r="M50" s="133">
        <f t="shared" si="156"/>
        <v>593.68029739776955</v>
      </c>
      <c r="N50" s="133">
        <f t="shared" si="156"/>
        <v>378.62453531598516</v>
      </c>
      <c r="O50" s="133">
        <f t="shared" si="156"/>
        <v>456.31970260223051</v>
      </c>
      <c r="P50" s="133">
        <f t="shared" si="156"/>
        <v>510.59479553903344</v>
      </c>
      <c r="Q50" s="118">
        <f>((P50/G50)^(1/($H$2-$H$1) ))-1</f>
        <v>1.0676488741664603E-2</v>
      </c>
      <c r="R50" s="128"/>
      <c r="S50" s="158">
        <f t="shared" ref="S50:AB50" si="157">S27/S42</f>
        <v>561.65427509293681</v>
      </c>
      <c r="T50" s="158">
        <f t="shared" si="157"/>
        <v>617.81970260223056</v>
      </c>
      <c r="U50" s="158">
        <f t="shared" si="157"/>
        <v>679.6016728624536</v>
      </c>
      <c r="V50" s="158">
        <f t="shared" si="157"/>
        <v>747.56184014869905</v>
      </c>
      <c r="W50" s="158">
        <f t="shared" si="157"/>
        <v>822.31802416356913</v>
      </c>
      <c r="X50" s="158">
        <f t="shared" si="157"/>
        <v>904.54982657992605</v>
      </c>
      <c r="Y50" s="158">
        <f t="shared" si="157"/>
        <v>995.00480923791872</v>
      </c>
      <c r="Z50" s="158">
        <f t="shared" si="157"/>
        <v>1094.5052901617107</v>
      </c>
      <c r="AA50" s="158">
        <f t="shared" si="157"/>
        <v>1203.9558191778819</v>
      </c>
      <c r="AB50" s="158">
        <f t="shared" si="157"/>
        <v>1324.3514010956701</v>
      </c>
      <c r="AC50" s="138">
        <f t="shared" ref="AC50" si="158">((AB50/G50)^(1/($AB$3-$H$1) ))-1</f>
        <v>5.6745318413391033E-2</v>
      </c>
      <c r="AD50" s="31">
        <f t="shared" si="17"/>
        <v>0.05</v>
      </c>
      <c r="AE50" s="146">
        <f t="shared" si="155"/>
        <v>8179.8174773556111</v>
      </c>
    </row>
    <row r="51" spans="2:31" x14ac:dyDescent="0.2">
      <c r="B51" s="20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28"/>
      <c r="R51" s="12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19"/>
      <c r="AD51" s="137"/>
      <c r="AE51" s="146"/>
    </row>
    <row r="52" spans="2:31" x14ac:dyDescent="0.2">
      <c r="B52" s="20" t="s">
        <v>257</v>
      </c>
      <c r="C52" s="25">
        <f t="shared" ref="C52:P52" si="159">C40/C42</f>
        <v>0</v>
      </c>
      <c r="D52" s="25">
        <f t="shared" si="159"/>
        <v>0</v>
      </c>
      <c r="E52" s="25">
        <f t="shared" si="159"/>
        <v>0</v>
      </c>
      <c r="F52" s="133">
        <f t="shared" si="159"/>
        <v>0</v>
      </c>
      <c r="G52" s="133">
        <f t="shared" si="159"/>
        <v>37.908496732026144</v>
      </c>
      <c r="H52" s="133">
        <f t="shared" si="159"/>
        <v>34.509803921568633</v>
      </c>
      <c r="I52" s="133">
        <f t="shared" si="159"/>
        <v>22.745098039215687</v>
      </c>
      <c r="J52" s="133">
        <f t="shared" si="159"/>
        <v>41.96078431372549</v>
      </c>
      <c r="K52" s="133">
        <f t="shared" si="159"/>
        <v>44.237918215613384</v>
      </c>
      <c r="L52" s="133">
        <f t="shared" si="159"/>
        <v>36.431226765799259</v>
      </c>
      <c r="M52" s="133">
        <f t="shared" si="159"/>
        <v>61.338289962825279</v>
      </c>
      <c r="N52" s="133">
        <f t="shared" si="159"/>
        <v>38.289962825278813</v>
      </c>
      <c r="O52" s="133">
        <f t="shared" si="159"/>
        <v>39.962825278810406</v>
      </c>
      <c r="P52" s="133">
        <f t="shared" si="159"/>
        <v>54.460966542750931</v>
      </c>
      <c r="Q52" s="118">
        <f>((P52/G52)^(1/($H$2-$H$1) ))-1</f>
        <v>4.1077829573628488E-2</v>
      </c>
      <c r="R52" s="128"/>
      <c r="S52" s="158">
        <f t="shared" ref="S52:AB52" si="160">S40/S42</f>
        <v>59.907063197026027</v>
      </c>
      <c r="T52" s="158">
        <f t="shared" si="160"/>
        <v>65.89776951672863</v>
      </c>
      <c r="U52" s="158">
        <f t="shared" si="160"/>
        <v>72.487546468401504</v>
      </c>
      <c r="V52" s="158">
        <f t="shared" si="160"/>
        <v>79.736301115241659</v>
      </c>
      <c r="W52" s="158">
        <f t="shared" si="160"/>
        <v>87.709931226765818</v>
      </c>
      <c r="X52" s="158">
        <f t="shared" si="160"/>
        <v>96.480924349442418</v>
      </c>
      <c r="Y52" s="158">
        <f t="shared" si="160"/>
        <v>106.12901678438666</v>
      </c>
      <c r="Z52" s="158">
        <f t="shared" si="160"/>
        <v>116.74191846282534</v>
      </c>
      <c r="AA52" s="158">
        <f t="shared" si="160"/>
        <v>128.41611030910789</v>
      </c>
      <c r="AB52" s="158">
        <f t="shared" si="160"/>
        <v>141.25772134001866</v>
      </c>
      <c r="AC52" s="138">
        <f t="shared" ref="AC52:AC66" si="161">((AB52/G52)^(1/($AB$3-$H$1) ))-1</f>
        <v>7.1684966734703481E-2</v>
      </c>
      <c r="AD52" s="31">
        <f t="shared" si="17"/>
        <v>0.05</v>
      </c>
      <c r="AE52" s="146">
        <f t="shared" ref="AE52:AE80" si="162">(AB52*(1+AD52))/($C$1-AD52)</f>
        <v>872.47416121776234</v>
      </c>
    </row>
    <row r="53" spans="2:31" x14ac:dyDescent="0.2">
      <c r="B53" s="20" t="s">
        <v>388</v>
      </c>
      <c r="C53" s="133">
        <f t="shared" ref="C53:F53" si="163">C20/C42</f>
        <v>0</v>
      </c>
      <c r="D53" s="133">
        <f t="shared" si="163"/>
        <v>0</v>
      </c>
      <c r="E53" s="133">
        <f t="shared" si="163"/>
        <v>0</v>
      </c>
      <c r="F53" s="133">
        <f t="shared" si="163"/>
        <v>0</v>
      </c>
      <c r="G53" s="133">
        <f>G20/G42</f>
        <v>0</v>
      </c>
      <c r="H53" s="133">
        <f t="shared" ref="H53:P53" si="164">H20/H42</f>
        <v>0</v>
      </c>
      <c r="I53" s="133">
        <f t="shared" si="164"/>
        <v>0</v>
      </c>
      <c r="J53" s="133">
        <f t="shared" si="164"/>
        <v>0</v>
      </c>
      <c r="K53" s="133">
        <f t="shared" si="164"/>
        <v>0</v>
      </c>
      <c r="L53" s="133">
        <f t="shared" si="164"/>
        <v>0</v>
      </c>
      <c r="M53" s="133">
        <f t="shared" si="164"/>
        <v>0</v>
      </c>
      <c r="N53" s="133">
        <f t="shared" si="164"/>
        <v>0</v>
      </c>
      <c r="O53" s="133">
        <f t="shared" si="164"/>
        <v>0</v>
      </c>
      <c r="P53" s="133">
        <f t="shared" si="164"/>
        <v>0</v>
      </c>
      <c r="Q53" s="118" t="e">
        <f>((P53/G53)^(1/($H$2-$H$1) ))-1</f>
        <v>#DIV/0!</v>
      </c>
      <c r="R53" s="128"/>
      <c r="S53" s="133">
        <f t="shared" ref="S53:AB53" si="165">S20/S42</f>
        <v>0</v>
      </c>
      <c r="T53" s="133">
        <f t="shared" si="165"/>
        <v>0</v>
      </c>
      <c r="U53" s="133">
        <f t="shared" si="165"/>
        <v>0</v>
      </c>
      <c r="V53" s="133">
        <f t="shared" si="165"/>
        <v>0</v>
      </c>
      <c r="W53" s="133">
        <f t="shared" si="165"/>
        <v>0</v>
      </c>
      <c r="X53" s="133">
        <f t="shared" si="165"/>
        <v>0</v>
      </c>
      <c r="Y53" s="133">
        <f t="shared" si="165"/>
        <v>0</v>
      </c>
      <c r="Z53" s="133">
        <f t="shared" si="165"/>
        <v>0</v>
      </c>
      <c r="AA53" s="133">
        <f t="shared" si="165"/>
        <v>0</v>
      </c>
      <c r="AB53" s="133">
        <f t="shared" si="165"/>
        <v>0</v>
      </c>
      <c r="AC53" s="138" t="e">
        <f t="shared" ref="AC53" si="166">((AB53/G53)^(1/($AB$3-$H$1) ))-1</f>
        <v>#DIV/0!</v>
      </c>
      <c r="AD53" s="31">
        <f t="shared" si="17"/>
        <v>0.05</v>
      </c>
      <c r="AE53" s="146">
        <f t="shared" si="162"/>
        <v>0</v>
      </c>
    </row>
    <row r="54" spans="2:31" x14ac:dyDescent="0.2">
      <c r="B54" s="20" t="s">
        <v>245</v>
      </c>
      <c r="C54" s="25">
        <f t="shared" ref="C54:P54" si="167">C7/C42</f>
        <v>0</v>
      </c>
      <c r="D54" s="25">
        <f t="shared" si="167"/>
        <v>0</v>
      </c>
      <c r="E54" s="25">
        <f t="shared" si="167"/>
        <v>0</v>
      </c>
      <c r="F54" s="133">
        <f t="shared" si="167"/>
        <v>0</v>
      </c>
      <c r="G54" s="133">
        <f t="shared" si="167"/>
        <v>173.20261437908496</v>
      </c>
      <c r="H54" s="133">
        <f t="shared" si="167"/>
        <v>126.66666666666667</v>
      </c>
      <c r="I54" s="133">
        <f t="shared" si="167"/>
        <v>159.21568627450981</v>
      </c>
      <c r="J54" s="133">
        <f t="shared" si="167"/>
        <v>200.39215686274511</v>
      </c>
      <c r="K54" s="133">
        <f t="shared" si="167"/>
        <v>127.88104089219331</v>
      </c>
      <c r="L54" s="133">
        <f t="shared" si="167"/>
        <v>243.12267657992567</v>
      </c>
      <c r="M54" s="133">
        <f t="shared" si="167"/>
        <v>286.98884758364312</v>
      </c>
      <c r="N54" s="133">
        <f t="shared" si="167"/>
        <v>170.26022304832713</v>
      </c>
      <c r="O54" s="133">
        <f t="shared" si="167"/>
        <v>197.58364312267659</v>
      </c>
      <c r="P54" s="133">
        <f t="shared" si="167"/>
        <v>239.03345724907064</v>
      </c>
      <c r="Q54" s="118">
        <f>((P54/G54)^(1/($H$2-$H$1) ))-1</f>
        <v>3.6441792254994887E-2</v>
      </c>
      <c r="R54" s="128"/>
      <c r="S54" s="158">
        <f t="shared" ref="S54:AB54" si="168">S7/S42</f>
        <v>262.93680297397771</v>
      </c>
      <c r="T54" s="158">
        <f t="shared" si="168"/>
        <v>289.23048327137548</v>
      </c>
      <c r="U54" s="158">
        <f t="shared" si="168"/>
        <v>318.1535315985131</v>
      </c>
      <c r="V54" s="158">
        <f t="shared" si="168"/>
        <v>349.96888475836442</v>
      </c>
      <c r="W54" s="158">
        <f t="shared" si="168"/>
        <v>384.96577323420092</v>
      </c>
      <c r="X54" s="158">
        <f t="shared" si="168"/>
        <v>423.46235055762105</v>
      </c>
      <c r="Y54" s="158">
        <f t="shared" si="168"/>
        <v>465.80858561338323</v>
      </c>
      <c r="Z54" s="158">
        <f t="shared" si="168"/>
        <v>512.38944417472158</v>
      </c>
      <c r="AA54" s="158">
        <f t="shared" si="168"/>
        <v>563.6283885921938</v>
      </c>
      <c r="AB54" s="158">
        <f t="shared" si="168"/>
        <v>619.99122745141324</v>
      </c>
      <c r="AC54" s="138">
        <f t="shared" si="161"/>
        <v>6.942173217181713E-2</v>
      </c>
      <c r="AD54" s="31">
        <f t="shared" si="17"/>
        <v>0.05</v>
      </c>
      <c r="AE54" s="146">
        <f t="shared" si="162"/>
        <v>3829.357581317553</v>
      </c>
    </row>
    <row r="55" spans="2:31" x14ac:dyDescent="0.2">
      <c r="B55" s="20" t="s">
        <v>246</v>
      </c>
      <c r="C55" s="127">
        <f t="shared" ref="C55:P55" si="169">C6/C42</f>
        <v>0</v>
      </c>
      <c r="D55" s="127">
        <f t="shared" si="169"/>
        <v>0</v>
      </c>
      <c r="E55" s="127">
        <f t="shared" si="169"/>
        <v>0</v>
      </c>
      <c r="F55" s="144">
        <f t="shared" si="169"/>
        <v>0</v>
      </c>
      <c r="G55" s="144">
        <f t="shared" si="169"/>
        <v>162.74509803921569</v>
      </c>
      <c r="H55" s="144">
        <f t="shared" si="169"/>
        <v>116.86274509803923</v>
      </c>
      <c r="I55" s="144">
        <f t="shared" si="169"/>
        <v>149.01960784313727</v>
      </c>
      <c r="J55" s="144">
        <f t="shared" si="169"/>
        <v>190.19607843137257</v>
      </c>
      <c r="K55" s="144">
        <f t="shared" si="169"/>
        <v>118.21561338289963</v>
      </c>
      <c r="L55" s="144">
        <f t="shared" si="169"/>
        <v>233.08550185873605</v>
      </c>
      <c r="M55" s="144">
        <f t="shared" si="169"/>
        <v>276.95167286245356</v>
      </c>
      <c r="N55" s="144">
        <f t="shared" si="169"/>
        <v>160.22304832713755</v>
      </c>
      <c r="O55" s="144">
        <f t="shared" si="169"/>
        <v>187.546468401487</v>
      </c>
      <c r="P55" s="144">
        <f t="shared" si="169"/>
        <v>228.99628252788105</v>
      </c>
      <c r="Q55" s="118">
        <f>((P55/G55)^(1/($H$2-$H$1) ))-1</f>
        <v>3.8675905624199647E-2</v>
      </c>
      <c r="R55" s="128"/>
      <c r="S55" s="157">
        <f t="shared" ref="S55:AB55" si="170">S6/S42</f>
        <v>251.89591078066917</v>
      </c>
      <c r="T55" s="157">
        <f t="shared" si="170"/>
        <v>277.08550185873611</v>
      </c>
      <c r="U55" s="157">
        <f t="shared" si="170"/>
        <v>304.79405204460971</v>
      </c>
      <c r="V55" s="157">
        <f t="shared" si="170"/>
        <v>335.27345724907076</v>
      </c>
      <c r="W55" s="157">
        <f t="shared" si="170"/>
        <v>368.80080297397785</v>
      </c>
      <c r="X55" s="157">
        <f t="shared" si="170"/>
        <v>405.68088327137565</v>
      </c>
      <c r="Y55" s="157">
        <f t="shared" si="170"/>
        <v>446.24897159851326</v>
      </c>
      <c r="Z55" s="157">
        <f t="shared" si="170"/>
        <v>490.87386875836461</v>
      </c>
      <c r="AA55" s="157">
        <f t="shared" si="170"/>
        <v>539.96125563420117</v>
      </c>
      <c r="AB55" s="157">
        <f t="shared" si="170"/>
        <v>593.95738119762132</v>
      </c>
      <c r="AC55" s="138">
        <f t="shared" si="161"/>
        <v>7.0513052009863353E-2</v>
      </c>
      <c r="AD55" s="31">
        <f t="shared" si="17"/>
        <v>0.05</v>
      </c>
      <c r="AE55" s="146">
        <f t="shared" si="162"/>
        <v>3668.5602956323673</v>
      </c>
    </row>
    <row r="56" spans="2:31" x14ac:dyDescent="0.2">
      <c r="B56" s="20" t="s">
        <v>247</v>
      </c>
      <c r="C56" s="127">
        <f t="shared" ref="C56:P56" si="171">C10/C42</f>
        <v>0</v>
      </c>
      <c r="D56" s="127">
        <f t="shared" si="171"/>
        <v>0</v>
      </c>
      <c r="E56" s="127">
        <f t="shared" si="171"/>
        <v>0</v>
      </c>
      <c r="F56" s="144">
        <f t="shared" si="171"/>
        <v>0</v>
      </c>
      <c r="G56" s="144">
        <f t="shared" si="171"/>
        <v>45.751633986928105</v>
      </c>
      <c r="H56" s="144">
        <f t="shared" si="171"/>
        <v>34.117647058823529</v>
      </c>
      <c r="I56" s="144">
        <f t="shared" si="171"/>
        <v>43.137254901960787</v>
      </c>
      <c r="J56" s="144">
        <f t="shared" si="171"/>
        <v>38.431372549019613</v>
      </c>
      <c r="K56" s="144">
        <f t="shared" si="171"/>
        <v>32.342007434944236</v>
      </c>
      <c r="L56" s="144">
        <f t="shared" si="171"/>
        <v>34.572490706319705</v>
      </c>
      <c r="M56" s="144">
        <f t="shared" si="171"/>
        <v>40.892193308550183</v>
      </c>
      <c r="N56" s="144">
        <f t="shared" si="171"/>
        <v>15.241635687732343</v>
      </c>
      <c r="O56" s="144">
        <f t="shared" si="171"/>
        <v>12.825278810408923</v>
      </c>
      <c r="P56" s="144">
        <f t="shared" si="171"/>
        <v>11.152416356877323</v>
      </c>
      <c r="Q56" s="118">
        <f>((P56/G56)^(1/($H$2-$H$1) ))-1</f>
        <v>-0.14516025265792509</v>
      </c>
      <c r="R56" s="128"/>
      <c r="S56" s="157">
        <f t="shared" ref="S56:AB56" si="172">S10/S42</f>
        <v>12.267657992565056</v>
      </c>
      <c r="T56" s="157">
        <f t="shared" si="172"/>
        <v>13.494423791821562</v>
      </c>
      <c r="U56" s="157">
        <f t="shared" si="172"/>
        <v>14.84386617100372</v>
      </c>
      <c r="V56" s="157">
        <f t="shared" si="172"/>
        <v>16.328252788104091</v>
      </c>
      <c r="W56" s="157">
        <f t="shared" si="172"/>
        <v>17.961078066914503</v>
      </c>
      <c r="X56" s="157">
        <f t="shared" si="172"/>
        <v>19.757185873605955</v>
      </c>
      <c r="Y56" s="157">
        <f t="shared" si="172"/>
        <v>21.732904460966555</v>
      </c>
      <c r="Z56" s="157">
        <f t="shared" si="172"/>
        <v>23.906194907063213</v>
      </c>
      <c r="AA56" s="157">
        <f t="shared" si="172"/>
        <v>26.296814397769534</v>
      </c>
      <c r="AB56" s="157">
        <f t="shared" si="172"/>
        <v>28.92649583754649</v>
      </c>
      <c r="AC56" s="138">
        <f t="shared" si="161"/>
        <v>-2.3841174502677975E-2</v>
      </c>
      <c r="AD56" s="31">
        <f t="shared" si="17"/>
        <v>0.05</v>
      </c>
      <c r="AE56" s="146">
        <f t="shared" si="162"/>
        <v>178.66365076131657</v>
      </c>
    </row>
    <row r="57" spans="2:31" x14ac:dyDescent="0.2">
      <c r="B57" s="20"/>
      <c r="C57" s="127"/>
      <c r="D57" s="127"/>
      <c r="E57" s="127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28"/>
      <c r="R57" s="128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39"/>
      <c r="AD57" s="137"/>
      <c r="AE57" s="146"/>
    </row>
    <row r="58" spans="2:31" x14ac:dyDescent="0.2">
      <c r="B58" s="20" t="s">
        <v>270</v>
      </c>
      <c r="C58" s="127">
        <f t="shared" ref="C58:P58" si="173">(C7-C10)/C42</f>
        <v>0</v>
      </c>
      <c r="D58" s="127">
        <f t="shared" si="173"/>
        <v>0</v>
      </c>
      <c r="E58" s="127">
        <f t="shared" si="173"/>
        <v>0</v>
      </c>
      <c r="F58" s="144">
        <f t="shared" si="173"/>
        <v>0</v>
      </c>
      <c r="G58" s="144">
        <f t="shared" si="173"/>
        <v>127.45098039215686</v>
      </c>
      <c r="H58" s="144">
        <f t="shared" si="173"/>
        <v>92.54901960784315</v>
      </c>
      <c r="I58" s="144">
        <f t="shared" si="173"/>
        <v>116.07843137254903</v>
      </c>
      <c r="J58" s="144">
        <f t="shared" si="173"/>
        <v>161.9607843137255</v>
      </c>
      <c r="K58" s="144">
        <f t="shared" si="173"/>
        <v>95.539033457249076</v>
      </c>
      <c r="L58" s="144">
        <f t="shared" si="173"/>
        <v>208.55018587360595</v>
      </c>
      <c r="M58" s="144">
        <f t="shared" si="173"/>
        <v>246.09665427509293</v>
      </c>
      <c r="N58" s="144">
        <f t="shared" si="173"/>
        <v>155.01858736059481</v>
      </c>
      <c r="O58" s="144">
        <f t="shared" si="173"/>
        <v>184.75836431226767</v>
      </c>
      <c r="P58" s="144">
        <f t="shared" si="173"/>
        <v>227.88104089219331</v>
      </c>
      <c r="Q58" s="118">
        <f>((P58/G58)^(1/($H$2-$H$1) ))-1</f>
        <v>6.6695731231515065E-2</v>
      </c>
      <c r="R58" s="128"/>
      <c r="S58" s="157">
        <f t="shared" ref="S58:AB58" si="174">(S7-S10)/S42</f>
        <v>250.66914498141267</v>
      </c>
      <c r="T58" s="157">
        <f t="shared" si="174"/>
        <v>275.73605947955394</v>
      </c>
      <c r="U58" s="157">
        <f t="shared" si="174"/>
        <v>303.3096654275094</v>
      </c>
      <c r="V58" s="157">
        <f t="shared" si="174"/>
        <v>333.64063197026036</v>
      </c>
      <c r="W58" s="157">
        <f t="shared" si="174"/>
        <v>367.0046951672864</v>
      </c>
      <c r="X58" s="157">
        <f t="shared" si="174"/>
        <v>403.70516468401513</v>
      </c>
      <c r="Y58" s="157">
        <f t="shared" si="174"/>
        <v>444.07568115241673</v>
      </c>
      <c r="Z58" s="157">
        <f t="shared" si="174"/>
        <v>488.48324926765844</v>
      </c>
      <c r="AA58" s="157">
        <f t="shared" si="174"/>
        <v>537.33157419442421</v>
      </c>
      <c r="AB58" s="157">
        <f t="shared" si="174"/>
        <v>591.06473161386668</v>
      </c>
      <c r="AC58" s="138">
        <f t="shared" si="161"/>
        <v>8.4096626353904691E-2</v>
      </c>
      <c r="AD58" s="31">
        <f t="shared" si="17"/>
        <v>0.05</v>
      </c>
      <c r="AE58" s="146">
        <f t="shared" si="162"/>
        <v>3650.693930556236</v>
      </c>
    </row>
    <row r="59" spans="2:31" x14ac:dyDescent="0.2">
      <c r="B59" s="20" t="s">
        <v>271</v>
      </c>
      <c r="C59" s="127">
        <f t="shared" ref="C59:P59" si="175">(C7-C10-C9)/C42</f>
        <v>0</v>
      </c>
      <c r="D59" s="127">
        <f t="shared" si="175"/>
        <v>0</v>
      </c>
      <c r="E59" s="127">
        <f t="shared" si="175"/>
        <v>0</v>
      </c>
      <c r="F59" s="144">
        <f t="shared" si="175"/>
        <v>0</v>
      </c>
      <c r="G59" s="144">
        <f t="shared" si="175"/>
        <v>28.758169934640524</v>
      </c>
      <c r="H59" s="144">
        <f t="shared" si="175"/>
        <v>34.901960784313729</v>
      </c>
      <c r="I59" s="144">
        <f t="shared" si="175"/>
        <v>55.294117647058826</v>
      </c>
      <c r="J59" s="144">
        <f t="shared" si="175"/>
        <v>100.39215686274511</v>
      </c>
      <c r="K59" s="144">
        <f t="shared" si="175"/>
        <v>40.148698884758367</v>
      </c>
      <c r="L59" s="144">
        <f t="shared" si="175"/>
        <v>117.4721189591078</v>
      </c>
      <c r="M59" s="144">
        <f t="shared" si="175"/>
        <v>132.71375464684016</v>
      </c>
      <c r="N59" s="144">
        <f t="shared" si="175"/>
        <v>87.54646840148699</v>
      </c>
      <c r="O59" s="144">
        <f t="shared" si="175"/>
        <v>101.11524163568774</v>
      </c>
      <c r="P59" s="144">
        <f t="shared" si="175"/>
        <v>116.91449814126395</v>
      </c>
      <c r="Q59" s="118">
        <f>((P59/G59)^(1/($H$2-$H$1) ))-1</f>
        <v>0.16863413968939334</v>
      </c>
      <c r="R59" s="128"/>
      <c r="S59" s="157">
        <f t="shared" ref="S59:AB59" si="176">(S7-S10-S9)/S42</f>
        <v>128.60594795539035</v>
      </c>
      <c r="T59" s="157">
        <f t="shared" si="176"/>
        <v>141.46654275092939</v>
      </c>
      <c r="U59" s="157">
        <f t="shared" si="176"/>
        <v>155.61319702602236</v>
      </c>
      <c r="V59" s="157">
        <f t="shared" si="176"/>
        <v>171.17451672862461</v>
      </c>
      <c r="W59" s="157">
        <f t="shared" si="176"/>
        <v>188.29196840148708</v>
      </c>
      <c r="X59" s="157">
        <f t="shared" si="176"/>
        <v>207.12116524163588</v>
      </c>
      <c r="Y59" s="157">
        <f t="shared" si="176"/>
        <v>227.83328176579951</v>
      </c>
      <c r="Z59" s="157">
        <f t="shared" si="176"/>
        <v>250.61660994237948</v>
      </c>
      <c r="AA59" s="157">
        <f t="shared" si="176"/>
        <v>275.67827093661731</v>
      </c>
      <c r="AB59" s="157">
        <f t="shared" si="176"/>
        <v>303.24609803027914</v>
      </c>
      <c r="AC59" s="138">
        <f t="shared" si="161"/>
        <v>0.13199339665915066</v>
      </c>
      <c r="AD59" s="31">
        <f t="shared" si="17"/>
        <v>0.05</v>
      </c>
      <c r="AE59" s="146">
        <f t="shared" si="162"/>
        <v>1872.9906054811361</v>
      </c>
    </row>
    <row r="60" spans="2:31" x14ac:dyDescent="0.2">
      <c r="B60" s="20" t="s">
        <v>276</v>
      </c>
      <c r="C60" s="127">
        <f t="shared" ref="C60:P60" si="177">(C7+C15-C10-C9)/C42</f>
        <v>0</v>
      </c>
      <c r="D60" s="127">
        <f t="shared" si="177"/>
        <v>0</v>
      </c>
      <c r="E60" s="127">
        <f t="shared" si="177"/>
        <v>0</v>
      </c>
      <c r="F60" s="144">
        <f t="shared" si="177"/>
        <v>0</v>
      </c>
      <c r="G60" s="144">
        <f t="shared" si="177"/>
        <v>183.66013071895424</v>
      </c>
      <c r="H60" s="144">
        <f t="shared" si="177"/>
        <v>125.88235294117648</v>
      </c>
      <c r="I60" s="144">
        <f t="shared" si="177"/>
        <v>187.84313725490196</v>
      </c>
      <c r="J60" s="144">
        <f t="shared" si="177"/>
        <v>255.68627450980395</v>
      </c>
      <c r="K60" s="144">
        <f t="shared" si="177"/>
        <v>129.73977695167287</v>
      </c>
      <c r="L60" s="144">
        <f t="shared" si="177"/>
        <v>271.00371747211898</v>
      </c>
      <c r="M60" s="144">
        <f t="shared" si="177"/>
        <v>326.39405204460968</v>
      </c>
      <c r="N60" s="144">
        <f t="shared" si="177"/>
        <v>209.10780669144981</v>
      </c>
      <c r="O60" s="144">
        <f t="shared" si="177"/>
        <v>263.19702602230484</v>
      </c>
      <c r="P60" s="144">
        <f t="shared" si="177"/>
        <v>305.3903345724907</v>
      </c>
      <c r="Q60" s="118">
        <f>((P60/G60)^(1/($H$2-$H$1) ))-1</f>
        <v>5.8127062732848511E-2</v>
      </c>
      <c r="R60" s="128"/>
      <c r="S60" s="157">
        <f t="shared" ref="S60:AB60" si="178">(S7+S15-S10-S9)/S42</f>
        <v>335.92936802973975</v>
      </c>
      <c r="T60" s="157">
        <f t="shared" si="178"/>
        <v>369.52230483271381</v>
      </c>
      <c r="U60" s="157">
        <f t="shared" si="178"/>
        <v>406.47453531598524</v>
      </c>
      <c r="V60" s="157">
        <f t="shared" si="178"/>
        <v>447.12198884758385</v>
      </c>
      <c r="W60" s="157">
        <f t="shared" si="178"/>
        <v>491.83418773234223</v>
      </c>
      <c r="X60" s="157">
        <f t="shared" si="178"/>
        <v>541.01760650557662</v>
      </c>
      <c r="Y60" s="157">
        <f t="shared" si="178"/>
        <v>595.11936715613433</v>
      </c>
      <c r="Z60" s="157">
        <f t="shared" si="178"/>
        <v>654.63130387174795</v>
      </c>
      <c r="AA60" s="157">
        <f t="shared" si="178"/>
        <v>720.09443425892277</v>
      </c>
      <c r="AB60" s="157">
        <f t="shared" si="178"/>
        <v>792.10387768481496</v>
      </c>
      <c r="AC60" s="138">
        <f t="shared" si="161"/>
        <v>7.9962816034985229E-2</v>
      </c>
      <c r="AD60" s="31">
        <f t="shared" si="17"/>
        <v>0.05</v>
      </c>
      <c r="AE60" s="146">
        <f t="shared" si="162"/>
        <v>4892.4063033473867</v>
      </c>
    </row>
    <row r="61" spans="2:31" x14ac:dyDescent="0.2">
      <c r="B61" s="20"/>
      <c r="C61" s="127"/>
      <c r="D61" s="127"/>
      <c r="E61" s="127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28"/>
      <c r="R61" s="128"/>
      <c r="S61" s="154"/>
      <c r="T61" s="154"/>
      <c r="U61" s="154"/>
      <c r="V61" s="154"/>
      <c r="W61" s="154"/>
      <c r="X61" s="154"/>
      <c r="Y61" s="154"/>
      <c r="Z61" s="154"/>
      <c r="AA61" s="154"/>
      <c r="AB61" s="154"/>
      <c r="AC61" s="139"/>
      <c r="AD61" s="137"/>
      <c r="AE61" s="154"/>
    </row>
    <row r="62" spans="2:31" x14ac:dyDescent="0.2">
      <c r="B62" s="20" t="s">
        <v>248</v>
      </c>
      <c r="C62" s="127">
        <f t="shared" ref="C62:P62" si="179">C12/C42</f>
        <v>0</v>
      </c>
      <c r="D62" s="127">
        <f t="shared" si="179"/>
        <v>0</v>
      </c>
      <c r="E62" s="127">
        <f t="shared" si="179"/>
        <v>0</v>
      </c>
      <c r="F62" s="144">
        <f t="shared" si="179"/>
        <v>0</v>
      </c>
      <c r="G62" s="144">
        <f t="shared" si="179"/>
        <v>12.222222222222221</v>
      </c>
      <c r="H62" s="144">
        <f t="shared" si="179"/>
        <v>5.098039215686275</v>
      </c>
      <c r="I62" s="144">
        <f t="shared" si="179"/>
        <v>6.2745098039215694</v>
      </c>
      <c r="J62" s="144">
        <f t="shared" si="179"/>
        <v>8.2352941176470598</v>
      </c>
      <c r="K62" s="144">
        <f t="shared" si="179"/>
        <v>5.3159851301115246</v>
      </c>
      <c r="L62" s="144">
        <f t="shared" si="179"/>
        <v>27.881040892193308</v>
      </c>
      <c r="M62" s="144">
        <f t="shared" si="179"/>
        <v>15.241635687732343</v>
      </c>
      <c r="N62" s="144">
        <f t="shared" si="179"/>
        <v>7.4349442379182156</v>
      </c>
      <c r="O62" s="144">
        <f t="shared" si="179"/>
        <v>10.966542750929369</v>
      </c>
      <c r="P62" s="144">
        <f t="shared" si="179"/>
        <v>11.152416356877323</v>
      </c>
      <c r="Q62" s="118">
        <f>((P62/G62)^(1/($H$2-$H$1) ))-1</f>
        <v>-1.012611551631748E-2</v>
      </c>
      <c r="R62" s="128"/>
      <c r="S62" s="157">
        <f t="shared" ref="S62:AB62" si="180">S12/S42</f>
        <v>12.267657992565056</v>
      </c>
      <c r="T62" s="157">
        <f t="shared" si="180"/>
        <v>13.494423791821562</v>
      </c>
      <c r="U62" s="157">
        <f t="shared" si="180"/>
        <v>14.84386617100372</v>
      </c>
      <c r="V62" s="157">
        <f t="shared" si="180"/>
        <v>16.328252788104091</v>
      </c>
      <c r="W62" s="157">
        <f t="shared" si="180"/>
        <v>17.961078066914503</v>
      </c>
      <c r="X62" s="157">
        <f t="shared" si="180"/>
        <v>19.757185873605955</v>
      </c>
      <c r="Y62" s="157">
        <f t="shared" si="180"/>
        <v>21.732904460966555</v>
      </c>
      <c r="Z62" s="157">
        <f t="shared" si="180"/>
        <v>23.906194907063213</v>
      </c>
      <c r="AA62" s="157">
        <f t="shared" si="180"/>
        <v>26.296814397769534</v>
      </c>
      <c r="AB62" s="157">
        <f t="shared" si="180"/>
        <v>28.92649583754649</v>
      </c>
      <c r="AC62" s="138">
        <f t="shared" si="161"/>
        <v>4.6385893793689181E-2</v>
      </c>
      <c r="AD62" s="31">
        <f t="shared" si="17"/>
        <v>0.05</v>
      </c>
      <c r="AE62" s="146">
        <f t="shared" si="162"/>
        <v>178.66365076131657</v>
      </c>
    </row>
    <row r="63" spans="2:31" x14ac:dyDescent="0.2">
      <c r="B63" s="20" t="s">
        <v>255</v>
      </c>
      <c r="C63" s="127">
        <f t="shared" ref="C63:P63" si="181">C13/C42</f>
        <v>0</v>
      </c>
      <c r="D63" s="127">
        <f t="shared" si="181"/>
        <v>0</v>
      </c>
      <c r="E63" s="127">
        <f t="shared" si="181"/>
        <v>0</v>
      </c>
      <c r="F63" s="144">
        <f t="shared" si="181"/>
        <v>0</v>
      </c>
      <c r="G63" s="144">
        <f t="shared" si="181"/>
        <v>84.967320261437905</v>
      </c>
      <c r="H63" s="144">
        <f t="shared" si="181"/>
        <v>70.196078431372555</v>
      </c>
      <c r="I63" s="144">
        <f t="shared" si="181"/>
        <v>64.313725490196077</v>
      </c>
      <c r="J63" s="144">
        <f t="shared" si="181"/>
        <v>60.7843137254902</v>
      </c>
      <c r="K63" s="144">
        <f t="shared" si="181"/>
        <v>72.49070631970261</v>
      </c>
      <c r="L63" s="144">
        <f t="shared" si="181"/>
        <v>109.29368029739777</v>
      </c>
      <c r="M63" s="144">
        <f t="shared" si="181"/>
        <v>149.07063197026022</v>
      </c>
      <c r="N63" s="144">
        <f t="shared" si="181"/>
        <v>69.14498141263941</v>
      </c>
      <c r="O63" s="144">
        <f t="shared" si="181"/>
        <v>34.014869888475836</v>
      </c>
      <c r="P63" s="144">
        <f t="shared" si="181"/>
        <v>11.152416356877323</v>
      </c>
      <c r="Q63" s="118">
        <f>((P63/G63)^(1/($H$2-$H$1) ))-1</f>
        <v>-0.20198141464836405</v>
      </c>
      <c r="R63" s="128"/>
      <c r="S63" s="157">
        <f t="shared" ref="S63:AB63" si="182">S13/S42</f>
        <v>12.267657992565056</v>
      </c>
      <c r="T63" s="157">
        <f t="shared" si="182"/>
        <v>13.494423791821562</v>
      </c>
      <c r="U63" s="157">
        <f t="shared" si="182"/>
        <v>14.84386617100372</v>
      </c>
      <c r="V63" s="157">
        <f t="shared" si="182"/>
        <v>16.328252788104091</v>
      </c>
      <c r="W63" s="157">
        <f t="shared" si="182"/>
        <v>17.961078066914503</v>
      </c>
      <c r="X63" s="157">
        <f t="shared" si="182"/>
        <v>19.757185873605955</v>
      </c>
      <c r="Y63" s="157">
        <f t="shared" si="182"/>
        <v>21.732904460966555</v>
      </c>
      <c r="Z63" s="157">
        <f t="shared" si="182"/>
        <v>23.906194907063213</v>
      </c>
      <c r="AA63" s="157">
        <f t="shared" si="182"/>
        <v>26.296814397769534</v>
      </c>
      <c r="AB63" s="157">
        <f t="shared" si="182"/>
        <v>28.92649583754649</v>
      </c>
      <c r="AC63" s="138">
        <f t="shared" si="161"/>
        <v>-5.5132890018110059E-2</v>
      </c>
      <c r="AD63" s="31">
        <f t="shared" si="17"/>
        <v>0.05</v>
      </c>
      <c r="AE63" s="146">
        <f t="shared" si="162"/>
        <v>178.66365076131657</v>
      </c>
    </row>
    <row r="64" spans="2:31" x14ac:dyDescent="0.2">
      <c r="B64" s="20" t="s">
        <v>256</v>
      </c>
      <c r="C64" s="127">
        <f>(C62+C63)</f>
        <v>0</v>
      </c>
      <c r="D64" s="127">
        <f t="shared" ref="D64:P64" si="183">(D62+D63)</f>
        <v>0</v>
      </c>
      <c r="E64" s="127">
        <f t="shared" si="183"/>
        <v>0</v>
      </c>
      <c r="F64" s="144">
        <f t="shared" si="183"/>
        <v>0</v>
      </c>
      <c r="G64" s="144">
        <f t="shared" si="183"/>
        <v>97.189542483660119</v>
      </c>
      <c r="H64" s="144">
        <f t="shared" si="183"/>
        <v>75.294117647058826</v>
      </c>
      <c r="I64" s="144">
        <f t="shared" si="183"/>
        <v>70.588235294117652</v>
      </c>
      <c r="J64" s="144">
        <f t="shared" si="183"/>
        <v>69.019607843137265</v>
      </c>
      <c r="K64" s="144">
        <f t="shared" si="183"/>
        <v>77.806691449814139</v>
      </c>
      <c r="L64" s="144">
        <f t="shared" si="183"/>
        <v>137.17472118959108</v>
      </c>
      <c r="M64" s="144">
        <f t="shared" si="183"/>
        <v>164.31226765799258</v>
      </c>
      <c r="N64" s="144">
        <f t="shared" si="183"/>
        <v>76.579925650557627</v>
      </c>
      <c r="O64" s="144">
        <f t="shared" ref="O64" si="184">(O62+O63)</f>
        <v>44.981412639405207</v>
      </c>
      <c r="P64" s="144">
        <f t="shared" si="183"/>
        <v>22.304832713754646</v>
      </c>
      <c r="Q64" s="118">
        <f>((P64/G64)^(1/($H$2-$H$1) ))-1</f>
        <v>-0.15086744334046742</v>
      </c>
      <c r="R64" s="128"/>
      <c r="S64" s="157">
        <f t="shared" ref="S64:AB64" si="185">(S62+S63)</f>
        <v>24.535315985130111</v>
      </c>
      <c r="T64" s="157">
        <f t="shared" si="185"/>
        <v>26.988847583643125</v>
      </c>
      <c r="U64" s="157">
        <f t="shared" si="185"/>
        <v>29.68773234200744</v>
      </c>
      <c r="V64" s="157">
        <f t="shared" si="185"/>
        <v>32.656505576208183</v>
      </c>
      <c r="W64" s="157">
        <f t="shared" si="185"/>
        <v>35.922156133829006</v>
      </c>
      <c r="X64" s="157">
        <f t="shared" si="185"/>
        <v>39.514371747211911</v>
      </c>
      <c r="Y64" s="157">
        <f t="shared" si="185"/>
        <v>43.46580892193311</v>
      </c>
      <c r="Z64" s="157">
        <f t="shared" si="185"/>
        <v>47.812389814126426</v>
      </c>
      <c r="AA64" s="157">
        <f t="shared" si="185"/>
        <v>52.593628795539068</v>
      </c>
      <c r="AB64" s="157">
        <f t="shared" si="185"/>
        <v>57.85299167509298</v>
      </c>
      <c r="AC64" s="138">
        <f t="shared" si="161"/>
        <v>-2.6933690980233238E-2</v>
      </c>
      <c r="AD64" s="31">
        <f t="shared" si="17"/>
        <v>0.05</v>
      </c>
      <c r="AE64" s="146">
        <f t="shared" si="162"/>
        <v>357.32730152263315</v>
      </c>
    </row>
    <row r="65" spans="2:31" x14ac:dyDescent="0.2">
      <c r="B65" s="20" t="s">
        <v>249</v>
      </c>
      <c r="C65" s="127">
        <f t="shared" ref="C65:P65" si="186">C15/C42</f>
        <v>0</v>
      </c>
      <c r="D65" s="127">
        <f t="shared" si="186"/>
        <v>0</v>
      </c>
      <c r="E65" s="127">
        <f t="shared" si="186"/>
        <v>0</v>
      </c>
      <c r="F65" s="144">
        <f t="shared" si="186"/>
        <v>0</v>
      </c>
      <c r="G65" s="144">
        <f t="shared" si="186"/>
        <v>154.90196078431373</v>
      </c>
      <c r="H65" s="144">
        <f t="shared" si="186"/>
        <v>90.980392156862749</v>
      </c>
      <c r="I65" s="144">
        <f t="shared" si="186"/>
        <v>132.54901960784315</v>
      </c>
      <c r="J65" s="144">
        <f t="shared" si="186"/>
        <v>155.29411764705884</v>
      </c>
      <c r="K65" s="144">
        <f t="shared" si="186"/>
        <v>89.591078066914505</v>
      </c>
      <c r="L65" s="144">
        <f t="shared" si="186"/>
        <v>153.53159851301115</v>
      </c>
      <c r="M65" s="144">
        <f t="shared" si="186"/>
        <v>193.68029739776952</v>
      </c>
      <c r="N65" s="144">
        <f t="shared" si="186"/>
        <v>121.56133828996283</v>
      </c>
      <c r="O65" s="144">
        <f t="shared" si="186"/>
        <v>162.0817843866171</v>
      </c>
      <c r="P65" s="144">
        <f t="shared" si="186"/>
        <v>188.47583643122678</v>
      </c>
      <c r="Q65" s="118">
        <f>((P65/G65)^(1/($H$2-$H$1) ))-1</f>
        <v>2.2036790188143973E-2</v>
      </c>
      <c r="R65" s="128"/>
      <c r="S65" s="157">
        <f t="shared" ref="S65:AB65" si="187">S15/S42</f>
        <v>207.32342007434946</v>
      </c>
      <c r="T65" s="157">
        <f t="shared" si="187"/>
        <v>228.05576208178445</v>
      </c>
      <c r="U65" s="157">
        <f t="shared" si="187"/>
        <v>250.86133828996293</v>
      </c>
      <c r="V65" s="157">
        <f t="shared" si="187"/>
        <v>275.94747211895924</v>
      </c>
      <c r="W65" s="157">
        <f t="shared" si="187"/>
        <v>303.54221933085518</v>
      </c>
      <c r="X65" s="157">
        <f t="shared" si="187"/>
        <v>333.89644126394074</v>
      </c>
      <c r="Y65" s="157">
        <f t="shared" si="187"/>
        <v>367.28608539033485</v>
      </c>
      <c r="Z65" s="157">
        <f t="shared" si="187"/>
        <v>404.01469392936838</v>
      </c>
      <c r="AA65" s="157">
        <f t="shared" si="187"/>
        <v>444.41616332230524</v>
      </c>
      <c r="AB65" s="157">
        <f t="shared" si="187"/>
        <v>488.85777965453582</v>
      </c>
      <c r="AC65" s="138">
        <f t="shared" si="161"/>
        <v>6.235525194033098E-2</v>
      </c>
      <c r="AD65" s="31">
        <f t="shared" si="17"/>
        <v>0.05</v>
      </c>
      <c r="AE65" s="146">
        <f t="shared" si="162"/>
        <v>3019.4156978662513</v>
      </c>
    </row>
    <row r="66" spans="2:31" x14ac:dyDescent="0.2">
      <c r="B66" s="20" t="s">
        <v>250</v>
      </c>
      <c r="C66" s="127">
        <f t="shared" ref="C66:P66" si="188">C16/C42</f>
        <v>0</v>
      </c>
      <c r="D66" s="127">
        <f t="shared" si="188"/>
        <v>0</v>
      </c>
      <c r="E66" s="127">
        <f t="shared" si="188"/>
        <v>0</v>
      </c>
      <c r="F66" s="144">
        <f t="shared" si="188"/>
        <v>0</v>
      </c>
      <c r="G66" s="144">
        <f t="shared" si="188"/>
        <v>62.745098039215684</v>
      </c>
      <c r="H66" s="144">
        <f t="shared" si="188"/>
        <v>27.450980392156865</v>
      </c>
      <c r="I66" s="144">
        <f t="shared" si="188"/>
        <v>68.235294117647058</v>
      </c>
      <c r="J66" s="144">
        <f t="shared" si="188"/>
        <v>101.5686274509804</v>
      </c>
      <c r="K66" s="144">
        <f t="shared" si="188"/>
        <v>27.509293680297397</v>
      </c>
      <c r="L66" s="144">
        <f t="shared" si="188"/>
        <v>67.286245353159856</v>
      </c>
      <c r="M66" s="144">
        <f t="shared" si="188"/>
        <v>65.055762081784394</v>
      </c>
      <c r="N66" s="144">
        <f t="shared" si="188"/>
        <v>45.539033457249069</v>
      </c>
      <c r="O66" s="144">
        <f t="shared" si="188"/>
        <v>69.330855018587357</v>
      </c>
      <c r="P66" s="144">
        <f t="shared" si="188"/>
        <v>72.118959107806688</v>
      </c>
      <c r="Q66" s="118">
        <f>((P66/G66)^(1/($H$2-$H$1) ))-1</f>
        <v>1.5591014434185979E-2</v>
      </c>
      <c r="R66" s="128"/>
      <c r="S66" s="157">
        <f t="shared" ref="S66:AB66" si="189">S16/S42</f>
        <v>79.330855018587371</v>
      </c>
      <c r="T66" s="157">
        <f t="shared" si="189"/>
        <v>87.263940520446113</v>
      </c>
      <c r="U66" s="157">
        <f t="shared" si="189"/>
        <v>95.990334572490724</v>
      </c>
      <c r="V66" s="157">
        <f t="shared" si="189"/>
        <v>105.58936802973982</v>
      </c>
      <c r="W66" s="157">
        <f t="shared" si="189"/>
        <v>116.14830483271381</v>
      </c>
      <c r="X66" s="157">
        <f t="shared" si="189"/>
        <v>127.76313531598518</v>
      </c>
      <c r="Y66" s="157">
        <f t="shared" si="189"/>
        <v>140.53944884758371</v>
      </c>
      <c r="Z66" s="157">
        <f t="shared" si="189"/>
        <v>154.59339373234209</v>
      </c>
      <c r="AA66" s="157">
        <f t="shared" si="189"/>
        <v>170.05273310557632</v>
      </c>
      <c r="AB66" s="157">
        <f t="shared" si="189"/>
        <v>187.05800641613396</v>
      </c>
      <c r="AC66" s="138">
        <f t="shared" si="161"/>
        <v>5.9176256883127554E-2</v>
      </c>
      <c r="AD66" s="137"/>
      <c r="AE66" s="146">
        <f t="shared" si="162"/>
        <v>850.2636655278817</v>
      </c>
    </row>
    <row r="67" spans="2:31" x14ac:dyDescent="0.2">
      <c r="B67" s="20"/>
      <c r="C67" s="127"/>
      <c r="D67" s="127"/>
      <c r="E67" s="127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28"/>
      <c r="R67" s="128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39"/>
      <c r="AD67" s="31">
        <f t="shared" si="17"/>
        <v>0.05</v>
      </c>
      <c r="AE67" s="146">
        <f t="shared" si="162"/>
        <v>0</v>
      </c>
    </row>
    <row r="68" spans="2:31" x14ac:dyDescent="0.2">
      <c r="B68" s="20" t="s">
        <v>282</v>
      </c>
      <c r="C68" s="159">
        <f>C43</f>
        <v>0</v>
      </c>
      <c r="D68" s="159">
        <f t="shared" ref="D68:P68" si="190">D43</f>
        <v>0</v>
      </c>
      <c r="E68" s="159">
        <f t="shared" si="190"/>
        <v>0</v>
      </c>
      <c r="F68" s="159">
        <f t="shared" si="190"/>
        <v>0</v>
      </c>
      <c r="G68" s="159">
        <f t="shared" si="190"/>
        <v>12.5</v>
      </c>
      <c r="H68" s="159">
        <f t="shared" si="190"/>
        <v>11.5</v>
      </c>
      <c r="I68" s="159">
        <f t="shared" si="190"/>
        <v>20</v>
      </c>
      <c r="J68" s="159">
        <f t="shared" si="190"/>
        <v>11.5</v>
      </c>
      <c r="K68" s="159">
        <f t="shared" si="190"/>
        <v>12</v>
      </c>
      <c r="L68" s="159">
        <f t="shared" si="190"/>
        <v>12</v>
      </c>
      <c r="M68" s="159">
        <f t="shared" si="190"/>
        <v>15</v>
      </c>
      <c r="N68" s="159">
        <f t="shared" si="190"/>
        <v>10</v>
      </c>
      <c r="O68" s="159">
        <f t="shared" si="190"/>
        <v>11</v>
      </c>
      <c r="P68" s="159">
        <f t="shared" si="190"/>
        <v>11</v>
      </c>
      <c r="Q68" s="118">
        <f>((P68/G68)^(1/($H$2-$H$1) ))-1</f>
        <v>-1.4103311183364942E-2</v>
      </c>
      <c r="R68" s="128"/>
      <c r="S68" s="159">
        <f t="shared" ref="S68:AB68" si="191">S43</f>
        <v>11.55</v>
      </c>
      <c r="T68" s="159">
        <f t="shared" si="191"/>
        <v>12.127500000000001</v>
      </c>
      <c r="U68" s="159">
        <f t="shared" si="191"/>
        <v>12.733875000000001</v>
      </c>
      <c r="V68" s="159">
        <f t="shared" si="191"/>
        <v>13.370568750000002</v>
      </c>
      <c r="W68" s="159">
        <f t="shared" si="191"/>
        <v>14.039097187500003</v>
      </c>
      <c r="X68" s="159">
        <f t="shared" si="191"/>
        <v>14.741052046875003</v>
      </c>
      <c r="Y68" s="159">
        <f t="shared" si="191"/>
        <v>15.478104649218754</v>
      </c>
      <c r="Z68" s="159">
        <f t="shared" si="191"/>
        <v>16.25200988167969</v>
      </c>
      <c r="AA68" s="159">
        <f t="shared" si="191"/>
        <v>17.064610375763674</v>
      </c>
      <c r="AB68" s="159">
        <f t="shared" si="191"/>
        <v>17.917840894551858</v>
      </c>
      <c r="AC68" s="138">
        <f t="shared" ref="AC68" si="192">((AB68/G68)^(1/($AB$3-$H$1) ))-1</f>
        <v>1.9131670793913758E-2</v>
      </c>
      <c r="AD68" s="31">
        <f t="shared" si="17"/>
        <v>0.05</v>
      </c>
      <c r="AE68" s="146">
        <f t="shared" si="162"/>
        <v>110.66901728987914</v>
      </c>
    </row>
    <row r="69" spans="2:31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28"/>
      <c r="R69" s="128"/>
      <c r="S69" s="154"/>
      <c r="T69" s="154"/>
      <c r="U69" s="154"/>
      <c r="V69" s="154"/>
      <c r="W69" s="154"/>
      <c r="X69" s="154"/>
      <c r="Y69" s="154"/>
      <c r="Z69" s="154"/>
      <c r="AA69" s="154"/>
      <c r="AB69" s="154"/>
      <c r="AC69" s="139"/>
      <c r="AD69" s="137"/>
      <c r="AE69" s="154"/>
    </row>
    <row r="70" spans="2:31" x14ac:dyDescent="0.2">
      <c r="B70" s="20" t="s">
        <v>317</v>
      </c>
      <c r="C70" s="127">
        <f t="shared" ref="C70:P70" si="193">C20+C21</f>
        <v>0</v>
      </c>
      <c r="D70" s="127">
        <f t="shared" si="193"/>
        <v>0</v>
      </c>
      <c r="E70" s="127">
        <f t="shared" si="193"/>
        <v>0</v>
      </c>
      <c r="F70" s="144">
        <f t="shared" si="193"/>
        <v>0</v>
      </c>
      <c r="G70" s="144">
        <f t="shared" si="193"/>
        <v>0</v>
      </c>
      <c r="H70" s="144">
        <f t="shared" si="193"/>
        <v>0</v>
      </c>
      <c r="I70" s="144">
        <f t="shared" si="193"/>
        <v>0</v>
      </c>
      <c r="J70" s="144">
        <f t="shared" si="193"/>
        <v>0</v>
      </c>
      <c r="K70" s="144">
        <f t="shared" si="193"/>
        <v>0</v>
      </c>
      <c r="L70" s="144">
        <f t="shared" si="193"/>
        <v>0</v>
      </c>
      <c r="M70" s="144">
        <f t="shared" si="193"/>
        <v>0</v>
      </c>
      <c r="N70" s="144">
        <f t="shared" si="193"/>
        <v>0</v>
      </c>
      <c r="O70" s="144">
        <f t="shared" si="193"/>
        <v>0</v>
      </c>
      <c r="P70" s="144">
        <f t="shared" si="193"/>
        <v>0</v>
      </c>
      <c r="Q70" s="118" t="e">
        <f>((P70/G70)^(1/($H$2-$H$1) ))-1</f>
        <v>#DIV/0!</v>
      </c>
      <c r="R70" s="128"/>
      <c r="S70" s="144">
        <f t="shared" ref="S70:AB70" si="194">S20+S21</f>
        <v>0</v>
      </c>
      <c r="T70" s="144">
        <f t="shared" si="194"/>
        <v>0</v>
      </c>
      <c r="U70" s="144">
        <f t="shared" si="194"/>
        <v>0</v>
      </c>
      <c r="V70" s="144">
        <f t="shared" si="194"/>
        <v>0</v>
      </c>
      <c r="W70" s="144">
        <f t="shared" si="194"/>
        <v>0</v>
      </c>
      <c r="X70" s="144">
        <f t="shared" si="194"/>
        <v>0</v>
      </c>
      <c r="Y70" s="144">
        <f t="shared" si="194"/>
        <v>0</v>
      </c>
      <c r="Z70" s="144">
        <f t="shared" si="194"/>
        <v>0</v>
      </c>
      <c r="AA70" s="144">
        <f t="shared" si="194"/>
        <v>0</v>
      </c>
      <c r="AB70" s="144">
        <f t="shared" si="194"/>
        <v>0</v>
      </c>
      <c r="AC70" s="138" t="e">
        <f t="shared" ref="AC70:AC75" si="195">((AB70/G70)^(1/($AB$3-$H$1) ))-1</f>
        <v>#DIV/0!</v>
      </c>
      <c r="AD70" s="31">
        <f t="shared" si="17"/>
        <v>0.05</v>
      </c>
      <c r="AE70" s="146">
        <f t="shared" si="162"/>
        <v>0</v>
      </c>
    </row>
    <row r="71" spans="2:31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28"/>
      <c r="R71" s="128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39"/>
      <c r="AD71" s="137"/>
      <c r="AE71" s="146"/>
    </row>
    <row r="72" spans="2:31" x14ac:dyDescent="0.2">
      <c r="B72" s="20" t="s">
        <v>318</v>
      </c>
      <c r="C72" s="127">
        <f t="shared" ref="C72:P72" si="196">C70/C42</f>
        <v>0</v>
      </c>
      <c r="D72" s="127">
        <f t="shared" si="196"/>
        <v>0</v>
      </c>
      <c r="E72" s="127">
        <f t="shared" si="196"/>
        <v>0</v>
      </c>
      <c r="F72" s="144">
        <f t="shared" si="196"/>
        <v>0</v>
      </c>
      <c r="G72" s="144">
        <f t="shared" si="196"/>
        <v>0</v>
      </c>
      <c r="H72" s="144">
        <f t="shared" si="196"/>
        <v>0</v>
      </c>
      <c r="I72" s="144">
        <f t="shared" si="196"/>
        <v>0</v>
      </c>
      <c r="J72" s="144">
        <f t="shared" si="196"/>
        <v>0</v>
      </c>
      <c r="K72" s="144">
        <f t="shared" si="196"/>
        <v>0</v>
      </c>
      <c r="L72" s="144">
        <f t="shared" si="196"/>
        <v>0</v>
      </c>
      <c r="M72" s="144">
        <f t="shared" si="196"/>
        <v>0</v>
      </c>
      <c r="N72" s="144">
        <f t="shared" si="196"/>
        <v>0</v>
      </c>
      <c r="O72" s="144">
        <f t="shared" si="196"/>
        <v>0</v>
      </c>
      <c r="P72" s="144">
        <f t="shared" si="196"/>
        <v>0</v>
      </c>
      <c r="Q72" s="118" t="e">
        <f>((P72/G72)^(1/($H$2-$H$1) ))-1</f>
        <v>#DIV/0!</v>
      </c>
      <c r="R72" s="128"/>
      <c r="S72" s="146">
        <f t="shared" ref="S72:AB72" si="197">S70/S42</f>
        <v>0</v>
      </c>
      <c r="T72" s="146">
        <f t="shared" si="197"/>
        <v>0</v>
      </c>
      <c r="U72" s="146">
        <f t="shared" si="197"/>
        <v>0</v>
      </c>
      <c r="V72" s="146">
        <f t="shared" si="197"/>
        <v>0</v>
      </c>
      <c r="W72" s="146">
        <f t="shared" si="197"/>
        <v>0</v>
      </c>
      <c r="X72" s="146">
        <f t="shared" si="197"/>
        <v>0</v>
      </c>
      <c r="Y72" s="146">
        <f t="shared" si="197"/>
        <v>0</v>
      </c>
      <c r="Z72" s="146">
        <f t="shared" si="197"/>
        <v>0</v>
      </c>
      <c r="AA72" s="146">
        <f t="shared" si="197"/>
        <v>0</v>
      </c>
      <c r="AB72" s="146">
        <f t="shared" si="197"/>
        <v>0</v>
      </c>
      <c r="AC72" s="138" t="e">
        <f t="shared" si="195"/>
        <v>#DIV/0!</v>
      </c>
      <c r="AD72" s="31">
        <f t="shared" si="17"/>
        <v>0.05</v>
      </c>
      <c r="AE72" s="146">
        <f t="shared" si="162"/>
        <v>0</v>
      </c>
    </row>
    <row r="73" spans="2:31" x14ac:dyDescent="0.2">
      <c r="B73" s="20" t="s">
        <v>287</v>
      </c>
      <c r="C73" s="127">
        <f t="shared" ref="C73:P73" si="198">C20/C42</f>
        <v>0</v>
      </c>
      <c r="D73" s="127">
        <f t="shared" si="198"/>
        <v>0</v>
      </c>
      <c r="E73" s="127">
        <f t="shared" si="198"/>
        <v>0</v>
      </c>
      <c r="F73" s="144">
        <f t="shared" si="198"/>
        <v>0</v>
      </c>
      <c r="G73" s="144">
        <f t="shared" si="198"/>
        <v>0</v>
      </c>
      <c r="H73" s="144">
        <f t="shared" si="198"/>
        <v>0</v>
      </c>
      <c r="I73" s="144">
        <f t="shared" si="198"/>
        <v>0</v>
      </c>
      <c r="J73" s="144">
        <f t="shared" si="198"/>
        <v>0</v>
      </c>
      <c r="K73" s="144">
        <f t="shared" si="198"/>
        <v>0</v>
      </c>
      <c r="L73" s="144">
        <f t="shared" si="198"/>
        <v>0</v>
      </c>
      <c r="M73" s="144">
        <f t="shared" si="198"/>
        <v>0</v>
      </c>
      <c r="N73" s="144">
        <f t="shared" si="198"/>
        <v>0</v>
      </c>
      <c r="O73" s="144">
        <f t="shared" si="198"/>
        <v>0</v>
      </c>
      <c r="P73" s="144">
        <f t="shared" si="198"/>
        <v>0</v>
      </c>
      <c r="Q73" s="118" t="e">
        <f>((P73/G73)^(1/($H$2-$H$1) ))-1</f>
        <v>#DIV/0!</v>
      </c>
      <c r="R73" s="128"/>
      <c r="S73" s="146">
        <f t="shared" ref="S73:AB73" si="199">S20/S42</f>
        <v>0</v>
      </c>
      <c r="T73" s="146">
        <f t="shared" si="199"/>
        <v>0</v>
      </c>
      <c r="U73" s="146">
        <f t="shared" si="199"/>
        <v>0</v>
      </c>
      <c r="V73" s="146">
        <f t="shared" si="199"/>
        <v>0</v>
      </c>
      <c r="W73" s="146">
        <f t="shared" si="199"/>
        <v>0</v>
      </c>
      <c r="X73" s="146">
        <f t="shared" si="199"/>
        <v>0</v>
      </c>
      <c r="Y73" s="146">
        <f t="shared" si="199"/>
        <v>0</v>
      </c>
      <c r="Z73" s="146">
        <f t="shared" si="199"/>
        <v>0</v>
      </c>
      <c r="AA73" s="146">
        <f t="shared" si="199"/>
        <v>0</v>
      </c>
      <c r="AB73" s="146">
        <f t="shared" si="199"/>
        <v>0</v>
      </c>
      <c r="AC73" s="138" t="e">
        <f t="shared" si="195"/>
        <v>#DIV/0!</v>
      </c>
      <c r="AD73" s="31">
        <f t="shared" si="17"/>
        <v>0.05</v>
      </c>
      <c r="AE73" s="146">
        <f t="shared" si="162"/>
        <v>0</v>
      </c>
    </row>
    <row r="74" spans="2:31" x14ac:dyDescent="0.2">
      <c r="B74" s="20" t="s">
        <v>288</v>
      </c>
      <c r="C74" s="127">
        <f t="shared" ref="C74:P74" si="200">C21/C42</f>
        <v>0</v>
      </c>
      <c r="D74" s="127">
        <f t="shared" si="200"/>
        <v>0</v>
      </c>
      <c r="E74" s="127">
        <f t="shared" si="200"/>
        <v>0</v>
      </c>
      <c r="F74" s="144">
        <f t="shared" si="200"/>
        <v>0</v>
      </c>
      <c r="G74" s="144">
        <f t="shared" si="200"/>
        <v>0</v>
      </c>
      <c r="H74" s="144">
        <f t="shared" si="200"/>
        <v>0</v>
      </c>
      <c r="I74" s="144">
        <f t="shared" si="200"/>
        <v>0</v>
      </c>
      <c r="J74" s="144">
        <f t="shared" si="200"/>
        <v>0</v>
      </c>
      <c r="K74" s="144">
        <f t="shared" si="200"/>
        <v>0</v>
      </c>
      <c r="L74" s="144">
        <f t="shared" si="200"/>
        <v>0</v>
      </c>
      <c r="M74" s="144">
        <f t="shared" si="200"/>
        <v>0</v>
      </c>
      <c r="N74" s="144">
        <f t="shared" si="200"/>
        <v>0</v>
      </c>
      <c r="O74" s="144">
        <f t="shared" si="200"/>
        <v>0</v>
      </c>
      <c r="P74" s="144">
        <f t="shared" si="200"/>
        <v>0</v>
      </c>
      <c r="Q74" s="118" t="e">
        <f>((P74/G74)^(1/($H$2-$H$1) ))-1</f>
        <v>#DIV/0!</v>
      </c>
      <c r="R74" s="128"/>
      <c r="S74" s="146">
        <f t="shared" ref="S74:AB74" si="201">S21/S42</f>
        <v>0</v>
      </c>
      <c r="T74" s="146">
        <f t="shared" si="201"/>
        <v>0</v>
      </c>
      <c r="U74" s="146">
        <f t="shared" si="201"/>
        <v>0</v>
      </c>
      <c r="V74" s="146">
        <f t="shared" si="201"/>
        <v>0</v>
      </c>
      <c r="W74" s="146">
        <f t="shared" si="201"/>
        <v>0</v>
      </c>
      <c r="X74" s="146">
        <f t="shared" si="201"/>
        <v>0</v>
      </c>
      <c r="Y74" s="146">
        <f t="shared" si="201"/>
        <v>0</v>
      </c>
      <c r="Z74" s="146">
        <f t="shared" si="201"/>
        <v>0</v>
      </c>
      <c r="AA74" s="146">
        <f t="shared" si="201"/>
        <v>0</v>
      </c>
      <c r="AB74" s="146">
        <f t="shared" si="201"/>
        <v>0</v>
      </c>
      <c r="AC74" s="138" t="e">
        <f t="shared" si="195"/>
        <v>#DIV/0!</v>
      </c>
      <c r="AD74" s="31">
        <f t="shared" si="17"/>
        <v>0.05</v>
      </c>
      <c r="AE74" s="146">
        <f t="shared" si="162"/>
        <v>0</v>
      </c>
    </row>
    <row r="75" spans="2:31" x14ac:dyDescent="0.2">
      <c r="B75" s="20" t="s">
        <v>289</v>
      </c>
      <c r="C75" s="127">
        <f t="shared" ref="C75:P75" si="202">C22/C42</f>
        <v>0</v>
      </c>
      <c r="D75" s="127">
        <f t="shared" si="202"/>
        <v>0</v>
      </c>
      <c r="E75" s="127">
        <f t="shared" si="202"/>
        <v>0</v>
      </c>
      <c r="F75" s="144">
        <f t="shared" si="202"/>
        <v>0</v>
      </c>
      <c r="G75" s="144">
        <f t="shared" si="202"/>
        <v>0</v>
      </c>
      <c r="H75" s="144">
        <f t="shared" si="202"/>
        <v>0</v>
      </c>
      <c r="I75" s="144">
        <f t="shared" si="202"/>
        <v>0</v>
      </c>
      <c r="J75" s="144">
        <f t="shared" si="202"/>
        <v>0</v>
      </c>
      <c r="K75" s="144">
        <f t="shared" si="202"/>
        <v>0</v>
      </c>
      <c r="L75" s="144">
        <f t="shared" si="202"/>
        <v>0</v>
      </c>
      <c r="M75" s="144">
        <f t="shared" si="202"/>
        <v>0</v>
      </c>
      <c r="N75" s="144">
        <f t="shared" si="202"/>
        <v>0</v>
      </c>
      <c r="O75" s="144">
        <f t="shared" si="202"/>
        <v>0</v>
      </c>
      <c r="P75" s="144">
        <f t="shared" si="202"/>
        <v>0</v>
      </c>
      <c r="Q75" s="118" t="e">
        <f>((P75/G75)^(1/($H$2-$H$1) ))-1</f>
        <v>#DIV/0!</v>
      </c>
      <c r="R75" s="128"/>
      <c r="S75" s="146">
        <f t="shared" ref="S75:AB75" si="203">S22/S42</f>
        <v>0</v>
      </c>
      <c r="T75" s="146">
        <f t="shared" si="203"/>
        <v>0</v>
      </c>
      <c r="U75" s="146">
        <f t="shared" si="203"/>
        <v>0</v>
      </c>
      <c r="V75" s="146">
        <f t="shared" si="203"/>
        <v>0</v>
      </c>
      <c r="W75" s="146">
        <f t="shared" si="203"/>
        <v>0</v>
      </c>
      <c r="X75" s="146">
        <f t="shared" si="203"/>
        <v>0</v>
      </c>
      <c r="Y75" s="146">
        <f t="shared" si="203"/>
        <v>0</v>
      </c>
      <c r="Z75" s="146">
        <f t="shared" si="203"/>
        <v>0</v>
      </c>
      <c r="AA75" s="146">
        <f t="shared" si="203"/>
        <v>0</v>
      </c>
      <c r="AB75" s="146">
        <f t="shared" si="203"/>
        <v>0</v>
      </c>
      <c r="AC75" s="138" t="e">
        <f t="shared" si="195"/>
        <v>#DIV/0!</v>
      </c>
      <c r="AD75" s="31">
        <f t="shared" si="17"/>
        <v>0.05</v>
      </c>
      <c r="AE75" s="146">
        <f t="shared" si="162"/>
        <v>0</v>
      </c>
    </row>
    <row r="76" spans="2:31" x14ac:dyDescent="0.2">
      <c r="B76" s="20" t="s">
        <v>296</v>
      </c>
      <c r="C76" s="127">
        <f t="shared" ref="C76:P76" si="204">C23/C42</f>
        <v>0</v>
      </c>
      <c r="D76" s="127">
        <f t="shared" si="204"/>
        <v>0</v>
      </c>
      <c r="E76" s="127">
        <f t="shared" si="204"/>
        <v>0</v>
      </c>
      <c r="F76" s="144">
        <f t="shared" si="204"/>
        <v>0</v>
      </c>
      <c r="G76" s="144">
        <f t="shared" si="204"/>
        <v>0</v>
      </c>
      <c r="H76" s="144">
        <f t="shared" si="204"/>
        <v>0</v>
      </c>
      <c r="I76" s="144">
        <f t="shared" si="204"/>
        <v>0</v>
      </c>
      <c r="J76" s="144">
        <f t="shared" si="204"/>
        <v>0</v>
      </c>
      <c r="K76" s="144">
        <f t="shared" si="204"/>
        <v>0</v>
      </c>
      <c r="L76" s="144">
        <f t="shared" si="204"/>
        <v>0</v>
      </c>
      <c r="M76" s="144">
        <f t="shared" si="204"/>
        <v>0</v>
      </c>
      <c r="N76" s="144">
        <f t="shared" si="204"/>
        <v>0</v>
      </c>
      <c r="O76" s="144">
        <f t="shared" si="204"/>
        <v>0</v>
      </c>
      <c r="P76" s="144">
        <f t="shared" si="204"/>
        <v>0</v>
      </c>
      <c r="Q76" s="118" t="e">
        <f>((P76/G76)^(1/($H$2-$H$1) ))-1</f>
        <v>#DIV/0!</v>
      </c>
      <c r="R76" s="128"/>
      <c r="S76" s="146">
        <f t="shared" ref="S76:AB76" si="205">S23/S42</f>
        <v>0</v>
      </c>
      <c r="T76" s="146">
        <f t="shared" si="205"/>
        <v>0</v>
      </c>
      <c r="U76" s="146">
        <f t="shared" si="205"/>
        <v>0</v>
      </c>
      <c r="V76" s="146">
        <f t="shared" si="205"/>
        <v>0</v>
      </c>
      <c r="W76" s="146">
        <f t="shared" si="205"/>
        <v>0</v>
      </c>
      <c r="X76" s="146">
        <f t="shared" si="205"/>
        <v>0</v>
      </c>
      <c r="Y76" s="146">
        <f t="shared" si="205"/>
        <v>0</v>
      </c>
      <c r="Z76" s="146">
        <f t="shared" si="205"/>
        <v>0</v>
      </c>
      <c r="AA76" s="146">
        <f t="shared" si="205"/>
        <v>0</v>
      </c>
      <c r="AB76" s="146">
        <f t="shared" si="205"/>
        <v>0</v>
      </c>
      <c r="AC76" s="138" t="e">
        <f t="shared" ref="AC76" si="206">((AB76/G76)^(1/($AB$3-$H$1) ))-1</f>
        <v>#DIV/0!</v>
      </c>
      <c r="AD76" s="31">
        <f t="shared" si="17"/>
        <v>0.05</v>
      </c>
      <c r="AE76" s="146">
        <f t="shared" si="162"/>
        <v>0</v>
      </c>
    </row>
    <row r="77" spans="2:31" x14ac:dyDescent="0.2">
      <c r="B77" s="20"/>
      <c r="C77" s="127"/>
      <c r="D77" s="127"/>
      <c r="E77" s="127"/>
      <c r="F77" s="144"/>
      <c r="G77" s="144"/>
      <c r="H77" s="144"/>
      <c r="I77" s="144"/>
      <c r="J77" s="144"/>
      <c r="K77" s="144"/>
      <c r="L77" s="144"/>
      <c r="M77" s="144"/>
      <c r="N77" s="144"/>
      <c r="O77" s="144"/>
      <c r="P77" s="144"/>
      <c r="Q77" s="128"/>
      <c r="R77" s="128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39"/>
      <c r="AD77" s="137"/>
      <c r="AE77" s="154"/>
    </row>
    <row r="78" spans="2:31" x14ac:dyDescent="0.2">
      <c r="B78" s="20" t="s">
        <v>311</v>
      </c>
      <c r="C78" s="144">
        <f t="shared" ref="C78:P78" si="207">C36/C42</f>
        <v>0</v>
      </c>
      <c r="D78" s="144">
        <f t="shared" si="207"/>
        <v>0</v>
      </c>
      <c r="E78" s="144">
        <f t="shared" si="207"/>
        <v>0</v>
      </c>
      <c r="F78" s="144">
        <f t="shared" si="207"/>
        <v>0</v>
      </c>
      <c r="G78" s="144">
        <f t="shared" si="207"/>
        <v>67.973856209150327</v>
      </c>
      <c r="H78" s="144">
        <f t="shared" si="207"/>
        <v>51.372549019607845</v>
      </c>
      <c r="I78" s="144">
        <f t="shared" si="207"/>
        <v>61.568627450980394</v>
      </c>
      <c r="J78" s="144">
        <f t="shared" si="207"/>
        <v>67.450980392156865</v>
      </c>
      <c r="K78" s="144">
        <f t="shared" si="207"/>
        <v>69.888475836431226</v>
      </c>
      <c r="L78" s="144">
        <f t="shared" si="207"/>
        <v>58.736059479553901</v>
      </c>
      <c r="M78" s="144">
        <f t="shared" si="207"/>
        <v>98.513011152416354</v>
      </c>
      <c r="N78" s="144">
        <f t="shared" si="207"/>
        <v>54.089219330855016</v>
      </c>
      <c r="O78" s="144">
        <f t="shared" si="207"/>
        <v>62.45353159851301</v>
      </c>
      <c r="P78" s="144">
        <f t="shared" si="207"/>
        <v>62.825278810408925</v>
      </c>
      <c r="Q78" s="118">
        <f>((P78/G78)^(1/($H$2-$H$1) ))-1</f>
        <v>-8.7135530642807879E-3</v>
      </c>
      <c r="R78" s="128"/>
      <c r="S78" s="144">
        <f t="shared" ref="S78:AB78" si="208">S36/S42</f>
        <v>69.107806691449824</v>
      </c>
      <c r="T78" s="144">
        <f t="shared" si="208"/>
        <v>76.018587360594807</v>
      </c>
      <c r="U78" s="144">
        <f t="shared" si="208"/>
        <v>83.620446096654291</v>
      </c>
      <c r="V78" s="144">
        <f t="shared" si="208"/>
        <v>91.982490706319723</v>
      </c>
      <c r="W78" s="144">
        <f t="shared" si="208"/>
        <v>101.1807397769517</v>
      </c>
      <c r="X78" s="144">
        <f t="shared" si="208"/>
        <v>111.29881375464687</v>
      </c>
      <c r="Y78" s="144">
        <f t="shared" si="208"/>
        <v>122.42869513011158</v>
      </c>
      <c r="Z78" s="144">
        <f t="shared" si="208"/>
        <v>134.67156464312274</v>
      </c>
      <c r="AA78" s="144">
        <f t="shared" si="208"/>
        <v>148.13872110743503</v>
      </c>
      <c r="AB78" s="144">
        <f t="shared" si="208"/>
        <v>162.95259321817855</v>
      </c>
      <c r="AC78" s="138">
        <f t="shared" ref="AC78:AC80" si="209">((AB78/G78)^(1/($AB$3-$H$1) ))-1</f>
        <v>4.7092936380981554E-2</v>
      </c>
      <c r="AD78" s="31">
        <f t="shared" si="17"/>
        <v>0.05</v>
      </c>
      <c r="AE78" s="146">
        <f t="shared" si="162"/>
        <v>1006.47189928875</v>
      </c>
    </row>
    <row r="79" spans="2:31" x14ac:dyDescent="0.2">
      <c r="B79" s="20" t="s">
        <v>312</v>
      </c>
      <c r="C79" s="144">
        <f t="shared" ref="C79:P79" si="210">C40/C42</f>
        <v>0</v>
      </c>
      <c r="D79" s="144">
        <f t="shared" si="210"/>
        <v>0</v>
      </c>
      <c r="E79" s="144">
        <f t="shared" si="210"/>
        <v>0</v>
      </c>
      <c r="F79" s="144">
        <f t="shared" si="210"/>
        <v>0</v>
      </c>
      <c r="G79" s="144">
        <f t="shared" si="210"/>
        <v>37.908496732026144</v>
      </c>
      <c r="H79" s="144">
        <f t="shared" si="210"/>
        <v>34.509803921568633</v>
      </c>
      <c r="I79" s="144">
        <f t="shared" si="210"/>
        <v>22.745098039215687</v>
      </c>
      <c r="J79" s="144">
        <f t="shared" si="210"/>
        <v>41.96078431372549</v>
      </c>
      <c r="K79" s="144">
        <f t="shared" si="210"/>
        <v>44.237918215613384</v>
      </c>
      <c r="L79" s="144">
        <f t="shared" si="210"/>
        <v>36.431226765799259</v>
      </c>
      <c r="M79" s="144">
        <f t="shared" si="210"/>
        <v>61.338289962825279</v>
      </c>
      <c r="N79" s="144">
        <f t="shared" si="210"/>
        <v>38.289962825278813</v>
      </c>
      <c r="O79" s="144">
        <f t="shared" si="210"/>
        <v>39.962825278810406</v>
      </c>
      <c r="P79" s="144">
        <f t="shared" si="210"/>
        <v>54.460966542750931</v>
      </c>
      <c r="Q79" s="118">
        <f>((P79/G79)^(1/($H$2-$H$1) ))-1</f>
        <v>4.1077829573628488E-2</v>
      </c>
      <c r="R79" s="128"/>
      <c r="S79" s="144">
        <f t="shared" ref="S79:AB79" si="211">S40/S42</f>
        <v>59.907063197026027</v>
      </c>
      <c r="T79" s="144">
        <f t="shared" si="211"/>
        <v>65.89776951672863</v>
      </c>
      <c r="U79" s="144">
        <f t="shared" si="211"/>
        <v>72.487546468401504</v>
      </c>
      <c r="V79" s="144">
        <f t="shared" si="211"/>
        <v>79.736301115241659</v>
      </c>
      <c r="W79" s="144">
        <f t="shared" si="211"/>
        <v>87.709931226765818</v>
      </c>
      <c r="X79" s="144">
        <f t="shared" si="211"/>
        <v>96.480924349442418</v>
      </c>
      <c r="Y79" s="144">
        <f t="shared" si="211"/>
        <v>106.12901678438666</v>
      </c>
      <c r="Z79" s="144">
        <f t="shared" si="211"/>
        <v>116.74191846282534</v>
      </c>
      <c r="AA79" s="144">
        <f t="shared" si="211"/>
        <v>128.41611030910789</v>
      </c>
      <c r="AB79" s="144">
        <f t="shared" si="211"/>
        <v>141.25772134001866</v>
      </c>
      <c r="AC79" s="138">
        <f t="shared" si="209"/>
        <v>7.1684966734703481E-2</v>
      </c>
      <c r="AD79" s="31">
        <f t="shared" si="17"/>
        <v>0.05</v>
      </c>
      <c r="AE79" s="146">
        <f t="shared" si="162"/>
        <v>872.47416121776234</v>
      </c>
    </row>
    <row r="80" spans="2:31" x14ac:dyDescent="0.2">
      <c r="B80" s="20" t="s">
        <v>313</v>
      </c>
      <c r="C80" s="144">
        <f t="shared" ref="C80:P80" si="212">C6/C42</f>
        <v>0</v>
      </c>
      <c r="D80" s="144">
        <f t="shared" si="212"/>
        <v>0</v>
      </c>
      <c r="E80" s="144">
        <f t="shared" si="212"/>
        <v>0</v>
      </c>
      <c r="F80" s="144">
        <f t="shared" si="212"/>
        <v>0</v>
      </c>
      <c r="G80" s="144">
        <f t="shared" si="212"/>
        <v>162.74509803921569</v>
      </c>
      <c r="H80" s="144">
        <f t="shared" si="212"/>
        <v>116.86274509803923</v>
      </c>
      <c r="I80" s="144">
        <f t="shared" si="212"/>
        <v>149.01960784313727</v>
      </c>
      <c r="J80" s="144">
        <f t="shared" si="212"/>
        <v>190.19607843137257</v>
      </c>
      <c r="K80" s="144">
        <f t="shared" si="212"/>
        <v>118.21561338289963</v>
      </c>
      <c r="L80" s="144">
        <f t="shared" si="212"/>
        <v>233.08550185873605</v>
      </c>
      <c r="M80" s="144">
        <f t="shared" si="212"/>
        <v>276.95167286245356</v>
      </c>
      <c r="N80" s="144">
        <f t="shared" si="212"/>
        <v>160.22304832713755</v>
      </c>
      <c r="O80" s="144">
        <f t="shared" si="212"/>
        <v>187.546468401487</v>
      </c>
      <c r="P80" s="144">
        <f t="shared" si="212"/>
        <v>228.99628252788105</v>
      </c>
      <c r="Q80" s="118">
        <f>((P80/G80)^(1/($H$2-$H$1) ))-1</f>
        <v>3.8675905624199647E-2</v>
      </c>
      <c r="R80" s="128"/>
      <c r="S80" s="144">
        <f t="shared" ref="S80:AB80" si="213">S6/S42</f>
        <v>251.89591078066917</v>
      </c>
      <c r="T80" s="144">
        <f t="shared" si="213"/>
        <v>277.08550185873611</v>
      </c>
      <c r="U80" s="144">
        <f t="shared" si="213"/>
        <v>304.79405204460971</v>
      </c>
      <c r="V80" s="144">
        <f t="shared" si="213"/>
        <v>335.27345724907076</v>
      </c>
      <c r="W80" s="144">
        <f t="shared" si="213"/>
        <v>368.80080297397785</v>
      </c>
      <c r="X80" s="144">
        <f t="shared" si="213"/>
        <v>405.68088327137565</v>
      </c>
      <c r="Y80" s="144">
        <f t="shared" si="213"/>
        <v>446.24897159851326</v>
      </c>
      <c r="Z80" s="144">
        <f t="shared" si="213"/>
        <v>490.87386875836461</v>
      </c>
      <c r="AA80" s="144">
        <f t="shared" si="213"/>
        <v>539.96125563420117</v>
      </c>
      <c r="AB80" s="144">
        <f t="shared" si="213"/>
        <v>593.95738119762132</v>
      </c>
      <c r="AC80" s="138">
        <f t="shared" si="209"/>
        <v>7.0513052009863353E-2</v>
      </c>
      <c r="AD80" s="31">
        <f t="shared" ref="AD80" si="214">$L$1</f>
        <v>0.05</v>
      </c>
      <c r="AE80" s="146">
        <f t="shared" si="162"/>
        <v>3668.5602956323673</v>
      </c>
    </row>
    <row r="81" spans="2:31" x14ac:dyDescent="0.2">
      <c r="B81" s="20"/>
      <c r="C81" s="127"/>
      <c r="D81" s="127"/>
      <c r="E81" s="127"/>
      <c r="F81" s="144"/>
      <c r="G81" s="144"/>
      <c r="H81" s="144"/>
      <c r="I81" s="144"/>
      <c r="J81" s="144"/>
      <c r="K81" s="144"/>
      <c r="L81" s="144"/>
      <c r="M81" s="144"/>
      <c r="N81" s="144"/>
      <c r="O81" s="144"/>
      <c r="P81" s="144"/>
      <c r="Q81" s="128"/>
      <c r="R81" s="128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39"/>
      <c r="AD81" s="20"/>
      <c r="AE81" s="154"/>
    </row>
    <row r="82" spans="2:31" x14ac:dyDescent="0.2">
      <c r="B82" s="20"/>
      <c r="C82" s="127"/>
      <c r="D82" s="127"/>
      <c r="E82" s="127"/>
      <c r="F82" s="144"/>
      <c r="G82" s="144"/>
      <c r="H82" s="144"/>
      <c r="I82" s="144"/>
      <c r="J82" s="144"/>
      <c r="K82" s="144"/>
      <c r="L82" s="144"/>
      <c r="M82" s="144"/>
      <c r="N82" s="144"/>
      <c r="O82" s="144"/>
      <c r="P82" s="144"/>
      <c r="Q82" s="128"/>
      <c r="R82" s="128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39"/>
      <c r="AD82" s="20"/>
      <c r="AE82" s="154"/>
    </row>
    <row r="83" spans="2:31" x14ac:dyDescent="0.2">
      <c r="B83" s="108" t="s">
        <v>310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</row>
    <row r="84" spans="2:31" x14ac:dyDescent="0.2">
      <c r="B84" s="20" t="s">
        <v>309</v>
      </c>
      <c r="C84" s="152"/>
      <c r="D84" s="152"/>
      <c r="E84" s="152" t="e">
        <f t="shared" ref="E84:P84" si="215">E36/E25</f>
        <v>#DIV/0!</v>
      </c>
      <c r="F84" s="152" t="e">
        <f t="shared" si="215"/>
        <v>#DIV/0!</v>
      </c>
      <c r="G84" s="152">
        <f t="shared" si="215"/>
        <v>0.12636695018226002</v>
      </c>
      <c r="H84" s="152">
        <f t="shared" si="215"/>
        <v>0.14719101123595504</v>
      </c>
      <c r="I84" s="152">
        <f t="shared" si="215"/>
        <v>0.13338997451146983</v>
      </c>
      <c r="J84" s="152">
        <f t="shared" si="215"/>
        <v>0.13059984813971146</v>
      </c>
      <c r="K84" s="152">
        <f t="shared" si="215"/>
        <v>0.1406133133881825</v>
      </c>
      <c r="L84" s="152">
        <f t="shared" si="215"/>
        <v>0.10554442217768871</v>
      </c>
      <c r="M84" s="152">
        <f t="shared" si="215"/>
        <v>0.14080765143464399</v>
      </c>
      <c r="N84" s="152">
        <f t="shared" si="215"/>
        <v>0.12242322254943205</v>
      </c>
      <c r="O84" s="152">
        <f t="shared" si="215"/>
        <v>0.11931818181818182</v>
      </c>
      <c r="P84" s="152">
        <f t="shared" si="215"/>
        <v>0.10903225806451614</v>
      </c>
      <c r="Q84" s="118">
        <f t="shared" ref="Q84:Q134" si="216">((P84/G84)^(1/($H$2-$H$1) ))-1</f>
        <v>-1.6260370878284691E-2</v>
      </c>
      <c r="R84" s="152"/>
      <c r="S84" s="152">
        <f t="shared" ref="S84:AB84" si="217">S36/S25</f>
        <v>0.10903225806451612</v>
      </c>
      <c r="T84" s="152">
        <f t="shared" si="217"/>
        <v>0.10903225806451611</v>
      </c>
      <c r="U84" s="152">
        <f t="shared" si="217"/>
        <v>0.10903225806451611</v>
      </c>
      <c r="V84" s="152">
        <f t="shared" si="217"/>
        <v>0.10903225806451611</v>
      </c>
      <c r="W84" s="152">
        <f t="shared" si="217"/>
        <v>0.10903225806451609</v>
      </c>
      <c r="X84" s="152">
        <f t="shared" si="217"/>
        <v>0.10903225806451608</v>
      </c>
      <c r="Y84" s="152">
        <f t="shared" si="217"/>
        <v>0.10903225806451609</v>
      </c>
      <c r="Z84" s="152">
        <f t="shared" si="217"/>
        <v>0.10903225806451609</v>
      </c>
      <c r="AA84" s="152">
        <f t="shared" si="217"/>
        <v>0.10903225806451609</v>
      </c>
      <c r="AB84" s="152">
        <f t="shared" si="217"/>
        <v>0.10903225806451611</v>
      </c>
      <c r="AC84" s="138">
        <f t="shared" ref="AC84:AC121" si="218">((AB84/G84)^(1/($AB$3-$H$1) ))-1</f>
        <v>-7.7355148404655294E-3</v>
      </c>
      <c r="AD84" s="146"/>
      <c r="AE84" s="146"/>
    </row>
    <row r="85" spans="2:31" x14ac:dyDescent="0.2">
      <c r="B85" s="20" t="s">
        <v>266</v>
      </c>
      <c r="C85" s="152"/>
      <c r="D85" s="152"/>
      <c r="E85" s="152" t="e">
        <f t="shared" ref="E85:P85" si="219">E40/E25</f>
        <v>#DIV/0!</v>
      </c>
      <c r="F85" s="152" t="e">
        <f t="shared" si="219"/>
        <v>#DIV/0!</v>
      </c>
      <c r="G85" s="152">
        <f t="shared" si="219"/>
        <v>7.0473876063183477E-2</v>
      </c>
      <c r="H85" s="152">
        <f t="shared" si="219"/>
        <v>9.8876404494382023E-2</v>
      </c>
      <c r="I85" s="152">
        <f t="shared" si="219"/>
        <v>4.9277824978759557E-2</v>
      </c>
      <c r="J85" s="152">
        <f t="shared" si="219"/>
        <v>8.1245254365983302E-2</v>
      </c>
      <c r="K85" s="152">
        <f t="shared" si="219"/>
        <v>8.9005235602094238E-2</v>
      </c>
      <c r="L85" s="152">
        <f t="shared" si="219"/>
        <v>6.5464261857047429E-2</v>
      </c>
      <c r="M85" s="152">
        <f t="shared" si="219"/>
        <v>8.7672688629117965E-2</v>
      </c>
      <c r="N85" s="152">
        <f t="shared" si="219"/>
        <v>8.6663862010938161E-2</v>
      </c>
      <c r="O85" s="152">
        <f t="shared" si="219"/>
        <v>7.6349431818181823E-2</v>
      </c>
      <c r="P85" s="152">
        <f t="shared" si="219"/>
        <v>9.4516129032258062E-2</v>
      </c>
      <c r="Q85" s="118">
        <f t="shared" si="216"/>
        <v>3.3151942223631936E-2</v>
      </c>
      <c r="R85" s="152"/>
      <c r="S85" s="152">
        <f t="shared" ref="S85:AB85" si="220">S40/S25</f>
        <v>9.4516129032258062E-2</v>
      </c>
      <c r="T85" s="152">
        <f t="shared" si="220"/>
        <v>9.4516129032258048E-2</v>
      </c>
      <c r="U85" s="152">
        <f t="shared" si="220"/>
        <v>9.4516129032258048E-2</v>
      </c>
      <c r="V85" s="152">
        <f t="shared" si="220"/>
        <v>9.4516129032258048E-2</v>
      </c>
      <c r="W85" s="152">
        <f t="shared" si="220"/>
        <v>9.4516129032258034E-2</v>
      </c>
      <c r="X85" s="152">
        <f t="shared" si="220"/>
        <v>9.4516129032258034E-2</v>
      </c>
      <c r="Y85" s="152">
        <f t="shared" si="220"/>
        <v>9.4516129032258034E-2</v>
      </c>
      <c r="Z85" s="152">
        <f t="shared" si="220"/>
        <v>9.4516129032258034E-2</v>
      </c>
      <c r="AA85" s="152">
        <f t="shared" si="220"/>
        <v>9.4516129032258034E-2</v>
      </c>
      <c r="AB85" s="152">
        <f t="shared" si="220"/>
        <v>9.4516129032258034E-2</v>
      </c>
      <c r="AC85" s="138">
        <f t="shared" si="218"/>
        <v>1.5568814212027604E-2</v>
      </c>
      <c r="AD85" s="146"/>
      <c r="AE85" s="146"/>
    </row>
    <row r="86" spans="2:31" x14ac:dyDescent="0.2">
      <c r="B86" s="20" t="s">
        <v>359</v>
      </c>
      <c r="C86" s="152"/>
      <c r="D86" s="152"/>
      <c r="E86" s="152" t="e">
        <f t="shared" ref="E86:O86" si="221">E40/E7</f>
        <v>#DIV/0!</v>
      </c>
      <c r="F86" s="152" t="e">
        <f t="shared" si="221"/>
        <v>#DIV/0!</v>
      </c>
      <c r="G86" s="152">
        <f>G40/G7</f>
        <v>0.21886792452830189</v>
      </c>
      <c r="H86" s="152">
        <f t="shared" si="221"/>
        <v>0.27244582043343651</v>
      </c>
      <c r="I86" s="152">
        <f t="shared" si="221"/>
        <v>0.14285714285714285</v>
      </c>
      <c r="J86" s="152">
        <f t="shared" si="221"/>
        <v>0.20939334637964774</v>
      </c>
      <c r="K86" s="152">
        <f t="shared" si="221"/>
        <v>0.34593023255813954</v>
      </c>
      <c r="L86" s="152">
        <f t="shared" si="221"/>
        <v>0.14984709480122324</v>
      </c>
      <c r="M86" s="152">
        <f t="shared" si="221"/>
        <v>0.21373056994818654</v>
      </c>
      <c r="N86" s="152">
        <f t="shared" si="221"/>
        <v>0.22489082969432314</v>
      </c>
      <c r="O86" s="152">
        <f t="shared" si="221"/>
        <v>0.20225776105362184</v>
      </c>
      <c r="P86" s="152">
        <f t="shared" ref="P86" si="222">P40/P7</f>
        <v>0.22783825816485226</v>
      </c>
      <c r="Q86" s="118">
        <f t="shared" si="216"/>
        <v>4.4730320151862291E-3</v>
      </c>
      <c r="R86" s="20"/>
      <c r="S86" s="152">
        <f t="shared" ref="S86" si="223">S40/S7</f>
        <v>0.22783825816485223</v>
      </c>
      <c r="T86" s="152">
        <f t="shared" ref="T86:AB86" si="224">T40/T7</f>
        <v>0.22783825816485226</v>
      </c>
      <c r="U86" s="152">
        <f t="shared" si="224"/>
        <v>0.22783825816485223</v>
      </c>
      <c r="V86" s="152">
        <f t="shared" si="224"/>
        <v>0.22783825816485223</v>
      </c>
      <c r="W86" s="152">
        <f t="shared" si="224"/>
        <v>0.22783825816485223</v>
      </c>
      <c r="X86" s="152">
        <f t="shared" si="224"/>
        <v>0.22783825816485223</v>
      </c>
      <c r="Y86" s="152">
        <f t="shared" si="224"/>
        <v>0.22783825816485218</v>
      </c>
      <c r="Z86" s="152">
        <f t="shared" si="224"/>
        <v>0.2278382581648522</v>
      </c>
      <c r="AA86" s="152">
        <f t="shared" si="224"/>
        <v>0.2278382581648522</v>
      </c>
      <c r="AB86" s="152">
        <f t="shared" si="224"/>
        <v>0.22783825816485218</v>
      </c>
      <c r="AC86" s="138">
        <f t="shared" si="218"/>
        <v>2.1163162247415102E-3</v>
      </c>
      <c r="AD86" s="146"/>
      <c r="AE86" s="146"/>
    </row>
    <row r="87" spans="2:31" x14ac:dyDescent="0.2">
      <c r="B87" s="20" t="s">
        <v>360</v>
      </c>
      <c r="C87" s="152"/>
      <c r="D87" s="152"/>
      <c r="E87" s="152" t="e">
        <f t="shared" ref="E87:F87" si="225">(E40)/(E7+E10)</f>
        <v>#DIV/0!</v>
      </c>
      <c r="F87" s="152" t="e">
        <f t="shared" si="225"/>
        <v>#DIV/0!</v>
      </c>
      <c r="G87" s="152">
        <f>(G40)/(G7+G10)</f>
        <v>0.17313432835820897</v>
      </c>
      <c r="H87" s="152">
        <f t="shared" ref="H87:O87" si="226">(H40)/(H7+H10)</f>
        <v>0.21463414634146341</v>
      </c>
      <c r="I87" s="152">
        <f t="shared" si="226"/>
        <v>0.1124031007751938</v>
      </c>
      <c r="J87" s="152">
        <f t="shared" si="226"/>
        <v>0.17569786535303777</v>
      </c>
      <c r="K87" s="152">
        <f t="shared" si="226"/>
        <v>0.27610208816705334</v>
      </c>
      <c r="L87" s="152">
        <f t="shared" si="226"/>
        <v>0.13119143239625167</v>
      </c>
      <c r="M87" s="152">
        <f t="shared" si="226"/>
        <v>0.1870748299319728</v>
      </c>
      <c r="N87" s="152">
        <f t="shared" si="226"/>
        <v>0.20641282565130262</v>
      </c>
      <c r="O87" s="152">
        <f t="shared" si="226"/>
        <v>0.18992932862190812</v>
      </c>
      <c r="P87" s="152">
        <f t="shared" ref="P87" si="227">(P40)/(P7+P10)</f>
        <v>0.21768202080237742</v>
      </c>
      <c r="Q87" s="118">
        <f t="shared" si="216"/>
        <v>2.5767226935448972E-2</v>
      </c>
      <c r="R87" s="20"/>
      <c r="S87" s="152">
        <f t="shared" ref="S87:AB87" si="228">(S40)/(S7+S10)</f>
        <v>0.21768202080237739</v>
      </c>
      <c r="T87" s="152">
        <f t="shared" si="228"/>
        <v>0.21768202080237742</v>
      </c>
      <c r="U87" s="152">
        <f t="shared" si="228"/>
        <v>0.21768202080237742</v>
      </c>
      <c r="V87" s="152">
        <f t="shared" si="228"/>
        <v>0.21768202080237739</v>
      </c>
      <c r="W87" s="152">
        <f t="shared" si="228"/>
        <v>0.21768202080237739</v>
      </c>
      <c r="X87" s="152">
        <f t="shared" si="228"/>
        <v>0.21768202080237739</v>
      </c>
      <c r="Y87" s="152">
        <f t="shared" si="228"/>
        <v>0.21768202080237736</v>
      </c>
      <c r="Z87" s="152">
        <f t="shared" si="228"/>
        <v>0.21768202080237739</v>
      </c>
      <c r="AA87" s="152">
        <f t="shared" si="228"/>
        <v>0.21768202080237736</v>
      </c>
      <c r="AB87" s="152">
        <f t="shared" si="228"/>
        <v>0.21768202080237734</v>
      </c>
      <c r="AC87" s="138">
        <f t="shared" si="218"/>
        <v>1.2123832361727427E-2</v>
      </c>
      <c r="AD87" s="146"/>
      <c r="AE87" s="146"/>
    </row>
    <row r="88" spans="2:31" x14ac:dyDescent="0.2">
      <c r="B88" s="20" t="s">
        <v>376</v>
      </c>
      <c r="C88" s="152"/>
      <c r="D88" s="152"/>
      <c r="E88" s="152"/>
      <c r="F88" s="152"/>
      <c r="G88" s="152">
        <f>G20/G25</f>
        <v>0</v>
      </c>
      <c r="H88" s="152">
        <f t="shared" ref="H88:P88" si="229">H20/H25</f>
        <v>0</v>
      </c>
      <c r="I88" s="152">
        <f t="shared" si="229"/>
        <v>0</v>
      </c>
      <c r="J88" s="152">
        <f t="shared" si="229"/>
        <v>0</v>
      </c>
      <c r="K88" s="152">
        <f t="shared" si="229"/>
        <v>0</v>
      </c>
      <c r="L88" s="152">
        <f t="shared" si="229"/>
        <v>0</v>
      </c>
      <c r="M88" s="152">
        <f t="shared" si="229"/>
        <v>0</v>
      </c>
      <c r="N88" s="152">
        <f t="shared" si="229"/>
        <v>0</v>
      </c>
      <c r="O88" s="152">
        <f t="shared" si="229"/>
        <v>0</v>
      </c>
      <c r="P88" s="152">
        <f t="shared" si="229"/>
        <v>0</v>
      </c>
      <c r="Q88" s="118" t="e">
        <f t="shared" si="216"/>
        <v>#DIV/0!</v>
      </c>
      <c r="R88" s="20"/>
      <c r="S88" s="152">
        <f t="shared" ref="S88:AB88" si="230">S20/S25</f>
        <v>0</v>
      </c>
      <c r="T88" s="152">
        <f t="shared" si="230"/>
        <v>0</v>
      </c>
      <c r="U88" s="152">
        <f t="shared" si="230"/>
        <v>0</v>
      </c>
      <c r="V88" s="152">
        <f t="shared" si="230"/>
        <v>0</v>
      </c>
      <c r="W88" s="152">
        <f t="shared" si="230"/>
        <v>0</v>
      </c>
      <c r="X88" s="152">
        <f t="shared" si="230"/>
        <v>0</v>
      </c>
      <c r="Y88" s="152">
        <f t="shared" si="230"/>
        <v>0</v>
      </c>
      <c r="Z88" s="152">
        <f t="shared" si="230"/>
        <v>0</v>
      </c>
      <c r="AA88" s="152">
        <f t="shared" si="230"/>
        <v>0</v>
      </c>
      <c r="AB88" s="152">
        <f t="shared" si="230"/>
        <v>0</v>
      </c>
      <c r="AC88" s="138" t="e">
        <f t="shared" si="218"/>
        <v>#DIV/0!</v>
      </c>
      <c r="AD88" s="146"/>
      <c r="AE88" s="146"/>
    </row>
    <row r="89" spans="2:31" x14ac:dyDescent="0.2">
      <c r="B89" s="20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2"/>
      <c r="Q89" s="152"/>
      <c r="R89" s="20"/>
      <c r="S89" s="152"/>
      <c r="T89" s="152"/>
      <c r="U89" s="152"/>
      <c r="V89" s="152"/>
      <c r="W89" s="152"/>
      <c r="X89" s="152"/>
      <c r="Y89" s="152"/>
      <c r="Z89" s="152"/>
      <c r="AA89" s="152"/>
      <c r="AB89" s="152"/>
      <c r="AC89" s="3"/>
      <c r="AD89" s="146"/>
      <c r="AE89" s="146"/>
    </row>
    <row r="90" spans="2:31" x14ac:dyDescent="0.2">
      <c r="B90" s="20" t="s">
        <v>323</v>
      </c>
      <c r="C90" s="152"/>
      <c r="D90" s="152"/>
      <c r="E90" s="152"/>
      <c r="F90" s="152"/>
      <c r="G90" s="152">
        <f>G29/G25</f>
        <v>3.0376670716889429E-3</v>
      </c>
      <c r="H90" s="152">
        <f t="shared" ref="H90:P90" si="231">H29/H25</f>
        <v>8.651685393258427E-4</v>
      </c>
      <c r="I90" s="152">
        <f t="shared" si="231"/>
        <v>2.1240441801189465E-3</v>
      </c>
      <c r="J90" s="152">
        <f t="shared" si="231"/>
        <v>7.5930144267274111E-4</v>
      </c>
      <c r="K90" s="152">
        <f t="shared" si="231"/>
        <v>1.3537771129394167E-3</v>
      </c>
      <c r="L90" s="152">
        <f t="shared" si="231"/>
        <v>1.5096860387441549E-3</v>
      </c>
      <c r="M90" s="152">
        <f t="shared" si="231"/>
        <v>8.714133900106269E-4</v>
      </c>
      <c r="N90" s="152">
        <f t="shared" si="231"/>
        <v>5.1745898190997059E-4</v>
      </c>
      <c r="O90" s="152">
        <f t="shared" si="231"/>
        <v>3.1960227272727268E-5</v>
      </c>
      <c r="P90" s="152">
        <f t="shared" si="231"/>
        <v>2.1935483870967745E-4</v>
      </c>
      <c r="Q90" s="118">
        <f t="shared" si="216"/>
        <v>-0.25324427535182181</v>
      </c>
      <c r="R90" s="20"/>
      <c r="S90" s="152">
        <f t="shared" ref="S90:AB90" si="232">S29/S25</f>
        <v>2.1935483870967742E-4</v>
      </c>
      <c r="T90" s="152">
        <f t="shared" si="232"/>
        <v>2.1935483870967742E-4</v>
      </c>
      <c r="U90" s="152">
        <f t="shared" si="232"/>
        <v>2.1935483870967742E-4</v>
      </c>
      <c r="V90" s="152">
        <f t="shared" si="232"/>
        <v>2.1935483870967745E-4</v>
      </c>
      <c r="W90" s="152">
        <f t="shared" si="232"/>
        <v>2.1935483870967742E-4</v>
      </c>
      <c r="X90" s="152">
        <f t="shared" si="232"/>
        <v>2.1935483870967742E-4</v>
      </c>
      <c r="Y90" s="152">
        <f t="shared" si="232"/>
        <v>2.1935483870967742E-4</v>
      </c>
      <c r="Z90" s="152">
        <f t="shared" si="232"/>
        <v>2.1935483870967745E-4</v>
      </c>
      <c r="AA90" s="152">
        <f t="shared" si="232"/>
        <v>2.1935483870967745E-4</v>
      </c>
      <c r="AB90" s="152">
        <f t="shared" si="232"/>
        <v>2.1935483870967745E-4</v>
      </c>
      <c r="AC90" s="138">
        <f t="shared" si="218"/>
        <v>-0.12918342529488802</v>
      </c>
      <c r="AD90" s="146"/>
      <c r="AE90" s="146"/>
    </row>
    <row r="91" spans="2:31" x14ac:dyDescent="0.2">
      <c r="B91" s="20" t="s">
        <v>369</v>
      </c>
      <c r="C91" s="152"/>
      <c r="D91" s="152"/>
      <c r="E91" s="152"/>
      <c r="F91" s="152"/>
      <c r="G91" s="152">
        <f>G29/G36</f>
        <v>2.403846153846154E-2</v>
      </c>
      <c r="H91" s="152">
        <f t="shared" ref="H91:P91" si="233">H29/H36</f>
        <v>5.8778625954198473E-3</v>
      </c>
      <c r="I91" s="152">
        <f t="shared" si="233"/>
        <v>1.5923566878980892E-2</v>
      </c>
      <c r="J91" s="152">
        <f t="shared" si="233"/>
        <v>5.8139534883720929E-3</v>
      </c>
      <c r="K91" s="152">
        <f t="shared" si="233"/>
        <v>9.6276595744680862E-3</v>
      </c>
      <c r="L91" s="152">
        <f t="shared" si="233"/>
        <v>1.4303797468354428E-2</v>
      </c>
      <c r="M91" s="152">
        <f t="shared" si="233"/>
        <v>6.1886792452830186E-3</v>
      </c>
      <c r="N91" s="152">
        <f t="shared" si="233"/>
        <v>4.2268041237113405E-3</v>
      </c>
      <c r="O91" s="152">
        <f t="shared" si="233"/>
        <v>2.6785714285714287E-4</v>
      </c>
      <c r="P91" s="152">
        <f t="shared" si="233"/>
        <v>2.0118343195266275E-3</v>
      </c>
      <c r="Q91" s="118">
        <f t="shared" ref="Q91" si="234">((P91/G91)^(1/($H$2-$H$1) ))-1</f>
        <v>-0.24090104480706631</v>
      </c>
      <c r="R91" s="20"/>
      <c r="S91" s="152">
        <f t="shared" ref="S91:AB91" si="235">S29/S36</f>
        <v>2.0118343195266275E-3</v>
      </c>
      <c r="T91" s="152">
        <f t="shared" si="235"/>
        <v>2.0118343195266275E-3</v>
      </c>
      <c r="U91" s="152">
        <f t="shared" si="235"/>
        <v>2.0118343195266279E-3</v>
      </c>
      <c r="V91" s="152">
        <f t="shared" si="235"/>
        <v>2.0118343195266279E-3</v>
      </c>
      <c r="W91" s="152">
        <f t="shared" si="235"/>
        <v>2.0118343195266279E-3</v>
      </c>
      <c r="X91" s="152">
        <f t="shared" si="235"/>
        <v>2.0118343195266279E-3</v>
      </c>
      <c r="Y91" s="152">
        <f t="shared" si="235"/>
        <v>2.0118343195266279E-3</v>
      </c>
      <c r="Z91" s="152">
        <f t="shared" si="235"/>
        <v>2.0118343195266279E-3</v>
      </c>
      <c r="AA91" s="152">
        <f t="shared" si="235"/>
        <v>2.0118343195266284E-3</v>
      </c>
      <c r="AB91" s="152">
        <f t="shared" si="235"/>
        <v>2.0118343195266279E-3</v>
      </c>
      <c r="AC91" s="138">
        <f t="shared" ref="AC91" si="236">((AB91/G91)^(1/($AB$3-$H$1) ))-1</f>
        <v>-0.12239469644516832</v>
      </c>
      <c r="AD91" s="146"/>
      <c r="AE91" s="146"/>
    </row>
    <row r="92" spans="2:31" ht="12" customHeight="1" x14ac:dyDescent="0.2">
      <c r="B92" s="20" t="s">
        <v>368</v>
      </c>
      <c r="C92" s="152"/>
      <c r="D92" s="152"/>
      <c r="E92" s="152"/>
      <c r="F92" s="152"/>
      <c r="G92" s="171">
        <f t="shared" ref="G92:P92" si="237">G29/G40</f>
        <v>4.3103448275862072E-2</v>
      </c>
      <c r="H92" s="171">
        <f t="shared" si="237"/>
        <v>8.7500000000000008E-3</v>
      </c>
      <c r="I92" s="171">
        <f t="shared" si="237"/>
        <v>4.3103448275862072E-2</v>
      </c>
      <c r="J92" s="171">
        <f t="shared" si="237"/>
        <v>9.3457943925233638E-3</v>
      </c>
      <c r="K92" s="171">
        <f t="shared" si="237"/>
        <v>1.5210084033613446E-2</v>
      </c>
      <c r="L92" s="171">
        <f t="shared" si="237"/>
        <v>2.3061224489795917E-2</v>
      </c>
      <c r="M92" s="171">
        <f t="shared" si="237"/>
        <v>9.9393939393939389E-3</v>
      </c>
      <c r="N92" s="171">
        <f t="shared" si="237"/>
        <v>5.9708737864077668E-3</v>
      </c>
      <c r="O92" s="171">
        <f t="shared" si="237"/>
        <v>4.1860465116279067E-4</v>
      </c>
      <c r="P92" s="171">
        <f t="shared" si="237"/>
        <v>2.3208191126279864E-3</v>
      </c>
      <c r="Q92" s="118">
        <f t="shared" ref="Q92" si="238">((P92/G92)^(1/($H$2-$H$1) ))-1</f>
        <v>-0.2772062906439966</v>
      </c>
      <c r="R92" s="20"/>
      <c r="S92" s="171">
        <f t="shared" ref="S92:AB92" si="239">S29/S40</f>
        <v>2.3208191126279868E-3</v>
      </c>
      <c r="T92" s="171">
        <f t="shared" si="239"/>
        <v>2.3208191126279868E-3</v>
      </c>
      <c r="U92" s="171">
        <f t="shared" si="239"/>
        <v>2.3208191126279868E-3</v>
      </c>
      <c r="V92" s="171">
        <f t="shared" si="239"/>
        <v>2.3208191126279868E-3</v>
      </c>
      <c r="W92" s="171">
        <f t="shared" si="239"/>
        <v>2.3208191126279872E-3</v>
      </c>
      <c r="X92" s="171">
        <f t="shared" si="239"/>
        <v>2.3208191126279872E-3</v>
      </c>
      <c r="Y92" s="171">
        <f t="shared" si="239"/>
        <v>2.3208191126279872E-3</v>
      </c>
      <c r="Z92" s="171">
        <f t="shared" si="239"/>
        <v>2.3208191126279872E-3</v>
      </c>
      <c r="AA92" s="171">
        <f t="shared" si="239"/>
        <v>2.3208191126279872E-3</v>
      </c>
      <c r="AB92" s="171">
        <f t="shared" si="239"/>
        <v>2.3208191126279872E-3</v>
      </c>
      <c r="AC92" s="138">
        <f t="shared" ref="AC92" si="240">((AB92/G92)^(1/($AB$3-$H$1) ))-1</f>
        <v>-0.14253316710914155</v>
      </c>
      <c r="AD92" s="146"/>
      <c r="AE92" s="146"/>
    </row>
    <row r="93" spans="2:31" ht="12" customHeight="1" x14ac:dyDescent="0.2">
      <c r="B93" s="20" t="s">
        <v>325</v>
      </c>
      <c r="C93" s="152"/>
      <c r="D93" s="152"/>
      <c r="E93" s="152"/>
      <c r="F93" s="152"/>
      <c r="G93" s="171">
        <f t="shared" ref="G93:P93" si="241">G29/G12</f>
        <v>0.13368983957219252</v>
      </c>
      <c r="H93" s="171">
        <f t="shared" si="241"/>
        <v>5.9230769230769233E-2</v>
      </c>
      <c r="I93" s="171">
        <f t="shared" si="241"/>
        <v>0.15625</v>
      </c>
      <c r="J93" s="171">
        <f t="shared" si="241"/>
        <v>4.7619047619047616E-2</v>
      </c>
      <c r="K93" s="171">
        <f t="shared" si="241"/>
        <v>0.12657342657342657</v>
      </c>
      <c r="L93" s="171">
        <f t="shared" si="241"/>
        <v>3.0133333333333331E-2</v>
      </c>
      <c r="M93" s="171">
        <f t="shared" si="241"/>
        <v>0.04</v>
      </c>
      <c r="N93" s="171">
        <f t="shared" si="241"/>
        <v>3.075E-2</v>
      </c>
      <c r="O93" s="171">
        <f t="shared" si="241"/>
        <v>1.5254237288135593E-3</v>
      </c>
      <c r="P93" s="171">
        <f t="shared" si="241"/>
        <v>1.1333333333333334E-2</v>
      </c>
      <c r="Q93" s="118">
        <f t="shared" si="216"/>
        <v>-0.2398178010744112</v>
      </c>
      <c r="R93" s="20"/>
      <c r="S93" s="152">
        <f t="shared" ref="S93:AB93" si="242">S29/S12</f>
        <v>1.1333333333333334E-2</v>
      </c>
      <c r="T93" s="152">
        <f t="shared" si="242"/>
        <v>1.1333333333333334E-2</v>
      </c>
      <c r="U93" s="152">
        <f t="shared" si="242"/>
        <v>1.1333333333333336E-2</v>
      </c>
      <c r="V93" s="152">
        <f t="shared" si="242"/>
        <v>1.1333333333333336E-2</v>
      </c>
      <c r="W93" s="152">
        <f t="shared" si="242"/>
        <v>1.1333333333333336E-2</v>
      </c>
      <c r="X93" s="152">
        <f t="shared" si="242"/>
        <v>1.1333333333333336E-2</v>
      </c>
      <c r="Y93" s="152">
        <f t="shared" si="242"/>
        <v>1.1333333333333336E-2</v>
      </c>
      <c r="Z93" s="152">
        <f t="shared" si="242"/>
        <v>1.1333333333333336E-2</v>
      </c>
      <c r="AA93" s="152">
        <f t="shared" si="242"/>
        <v>1.1333333333333338E-2</v>
      </c>
      <c r="AB93" s="152">
        <f t="shared" si="242"/>
        <v>1.1333333333333338E-2</v>
      </c>
      <c r="AC93" s="138">
        <f t="shared" si="218"/>
        <v>-0.12180169884444836</v>
      </c>
      <c r="AD93" s="146"/>
      <c r="AE93" s="146"/>
    </row>
    <row r="94" spans="2:31" ht="12" customHeight="1" x14ac:dyDescent="0.2">
      <c r="B94" s="20" t="s">
        <v>370</v>
      </c>
      <c r="C94" s="152"/>
      <c r="D94" s="152"/>
      <c r="E94" s="152"/>
      <c r="F94" s="152"/>
      <c r="G94" s="171" t="e">
        <f>G29/G23</f>
        <v>#DIV/0!</v>
      </c>
      <c r="H94" s="171" t="e">
        <f t="shared" ref="H94:P94" si="243">H29/H23</f>
        <v>#DIV/0!</v>
      </c>
      <c r="I94" s="171" t="e">
        <f t="shared" si="243"/>
        <v>#DIV/0!</v>
      </c>
      <c r="J94" s="171" t="e">
        <f t="shared" si="243"/>
        <v>#DIV/0!</v>
      </c>
      <c r="K94" s="171" t="e">
        <f t="shared" si="243"/>
        <v>#DIV/0!</v>
      </c>
      <c r="L94" s="171" t="e">
        <f t="shared" si="243"/>
        <v>#DIV/0!</v>
      </c>
      <c r="M94" s="171" t="e">
        <f t="shared" si="243"/>
        <v>#DIV/0!</v>
      </c>
      <c r="N94" s="171" t="e">
        <f t="shared" si="243"/>
        <v>#DIV/0!</v>
      </c>
      <c r="O94" s="171" t="e">
        <f t="shared" si="243"/>
        <v>#DIV/0!</v>
      </c>
      <c r="P94" s="171" t="e">
        <f t="shared" si="243"/>
        <v>#DIV/0!</v>
      </c>
      <c r="Q94" s="118" t="e">
        <f t="shared" ref="Q94" si="244">((P94/G94)^(1/($H$2-$H$1) ))-1</f>
        <v>#DIV/0!</v>
      </c>
      <c r="R94" s="20"/>
      <c r="S94" s="171" t="e">
        <f t="shared" ref="S94:AB94" si="245">S29/S23</f>
        <v>#DIV/0!</v>
      </c>
      <c r="T94" s="171" t="e">
        <f t="shared" si="245"/>
        <v>#DIV/0!</v>
      </c>
      <c r="U94" s="171" t="e">
        <f t="shared" si="245"/>
        <v>#DIV/0!</v>
      </c>
      <c r="V94" s="171" t="e">
        <f t="shared" si="245"/>
        <v>#DIV/0!</v>
      </c>
      <c r="W94" s="171" t="e">
        <f t="shared" si="245"/>
        <v>#DIV/0!</v>
      </c>
      <c r="X94" s="171" t="e">
        <f t="shared" si="245"/>
        <v>#DIV/0!</v>
      </c>
      <c r="Y94" s="171" t="e">
        <f t="shared" si="245"/>
        <v>#DIV/0!</v>
      </c>
      <c r="Z94" s="171" t="e">
        <f t="shared" si="245"/>
        <v>#DIV/0!</v>
      </c>
      <c r="AA94" s="171" t="e">
        <f t="shared" si="245"/>
        <v>#DIV/0!</v>
      </c>
      <c r="AB94" s="171" t="e">
        <f t="shared" si="245"/>
        <v>#DIV/0!</v>
      </c>
      <c r="AC94" s="138" t="e">
        <f t="shared" ref="AC94" si="246">((AB94/G94)^(1/($AB$3-$H$1) ))-1</f>
        <v>#DIV/0!</v>
      </c>
      <c r="AD94" s="146"/>
      <c r="AE94" s="146"/>
    </row>
    <row r="95" spans="2:31" ht="12" customHeight="1" x14ac:dyDescent="0.2">
      <c r="B95" s="20"/>
      <c r="C95" s="152"/>
      <c r="D95" s="152"/>
      <c r="E95" s="152"/>
      <c r="F95" s="152"/>
      <c r="G95" s="171"/>
      <c r="H95" s="171"/>
      <c r="I95" s="171"/>
      <c r="J95" s="171"/>
      <c r="K95" s="171"/>
      <c r="L95" s="171"/>
      <c r="M95" s="171"/>
      <c r="N95" s="171"/>
      <c r="O95" s="171"/>
      <c r="P95" s="171"/>
      <c r="Q95" s="171"/>
      <c r="R95" s="20"/>
      <c r="S95" s="152"/>
      <c r="T95" s="152"/>
      <c r="U95" s="152"/>
      <c r="V95" s="152"/>
      <c r="W95" s="152"/>
      <c r="X95" s="152"/>
      <c r="Y95" s="152"/>
      <c r="Z95" s="152"/>
      <c r="AA95" s="152"/>
      <c r="AB95" s="152"/>
      <c r="AC95" s="152"/>
      <c r="AD95" s="146"/>
      <c r="AE95" s="146"/>
    </row>
    <row r="96" spans="2:31" ht="12" customHeight="1" x14ac:dyDescent="0.2">
      <c r="B96" s="20" t="s">
        <v>403</v>
      </c>
      <c r="C96" s="152"/>
      <c r="D96" s="152"/>
      <c r="E96" s="152"/>
      <c r="F96" s="152"/>
      <c r="G96" s="127">
        <f>1/G90</f>
        <v>329.2</v>
      </c>
      <c r="H96" s="127">
        <f t="shared" ref="H96:P96" si="247">1/H90</f>
        <v>1155.8441558441559</v>
      </c>
      <c r="I96" s="127">
        <f t="shared" si="247"/>
        <v>470.8</v>
      </c>
      <c r="J96" s="127">
        <f t="shared" si="247"/>
        <v>1317</v>
      </c>
      <c r="K96" s="127">
        <f t="shared" si="247"/>
        <v>738.67403314917124</v>
      </c>
      <c r="L96" s="127">
        <f t="shared" si="247"/>
        <v>662.38938053097354</v>
      </c>
      <c r="M96" s="127">
        <f t="shared" si="247"/>
        <v>1147.5609756097563</v>
      </c>
      <c r="N96" s="127">
        <f t="shared" si="247"/>
        <v>1932.5203252032518</v>
      </c>
      <c r="O96" s="127">
        <f t="shared" si="247"/>
        <v>31288.888888888894</v>
      </c>
      <c r="P96" s="127">
        <f t="shared" si="247"/>
        <v>4558.823529411764</v>
      </c>
      <c r="Q96" s="118">
        <f t="shared" si="216"/>
        <v>0.33912599126191312</v>
      </c>
      <c r="R96" s="20"/>
      <c r="S96" s="127">
        <f t="shared" ref="S96:AB96" si="248">1/S90</f>
        <v>4558.8235294117649</v>
      </c>
      <c r="T96" s="127">
        <f t="shared" si="248"/>
        <v>4558.8235294117649</v>
      </c>
      <c r="U96" s="127">
        <f t="shared" si="248"/>
        <v>4558.8235294117649</v>
      </c>
      <c r="V96" s="127">
        <f t="shared" si="248"/>
        <v>4558.823529411764</v>
      </c>
      <c r="W96" s="127">
        <f t="shared" si="248"/>
        <v>4558.8235294117649</v>
      </c>
      <c r="X96" s="127">
        <f t="shared" si="248"/>
        <v>4558.8235294117649</v>
      </c>
      <c r="Y96" s="127">
        <f t="shared" si="248"/>
        <v>4558.8235294117649</v>
      </c>
      <c r="Z96" s="127">
        <f t="shared" si="248"/>
        <v>4558.823529411764</v>
      </c>
      <c r="AA96" s="127">
        <f t="shared" si="248"/>
        <v>4558.823529411764</v>
      </c>
      <c r="AB96" s="127">
        <f t="shared" si="248"/>
        <v>4558.823529411764</v>
      </c>
      <c r="AC96" s="138">
        <f t="shared" si="218"/>
        <v>0.14834745806099736</v>
      </c>
      <c r="AD96" s="146"/>
      <c r="AE96" s="146"/>
    </row>
    <row r="97" spans="2:31" ht="12" customHeight="1" x14ac:dyDescent="0.2">
      <c r="B97" s="20" t="s">
        <v>404</v>
      </c>
      <c r="C97" s="152"/>
      <c r="D97" s="152"/>
      <c r="E97" s="152"/>
      <c r="F97" s="152"/>
      <c r="G97" s="127">
        <f t="shared" ref="G97:P100" si="249">1/G91</f>
        <v>41.599999999999994</v>
      </c>
      <c r="H97" s="127">
        <f t="shared" si="249"/>
        <v>170.12987012987014</v>
      </c>
      <c r="I97" s="127">
        <f t="shared" si="249"/>
        <v>62.8</v>
      </c>
      <c r="J97" s="127">
        <f t="shared" si="249"/>
        <v>172</v>
      </c>
      <c r="K97" s="127">
        <f t="shared" si="249"/>
        <v>103.86740331491711</v>
      </c>
      <c r="L97" s="127">
        <f t="shared" si="249"/>
        <v>69.911504424778769</v>
      </c>
      <c r="M97" s="127">
        <f t="shared" si="249"/>
        <v>161.58536585365854</v>
      </c>
      <c r="N97" s="127">
        <f t="shared" si="249"/>
        <v>236.58536585365852</v>
      </c>
      <c r="O97" s="127">
        <f t="shared" si="249"/>
        <v>3733.333333333333</v>
      </c>
      <c r="P97" s="127">
        <f t="shared" si="249"/>
        <v>497.05882352941171</v>
      </c>
      <c r="Q97" s="118">
        <f t="shared" si="216"/>
        <v>0.31735130599124406</v>
      </c>
      <c r="R97" s="20"/>
      <c r="S97" s="127">
        <f t="shared" ref="S97:AB97" si="250">1/S91</f>
        <v>497.05882352941171</v>
      </c>
      <c r="T97" s="127">
        <f t="shared" si="250"/>
        <v>497.05882352941171</v>
      </c>
      <c r="U97" s="127">
        <f t="shared" si="250"/>
        <v>497.0588235294116</v>
      </c>
      <c r="V97" s="127">
        <f t="shared" si="250"/>
        <v>497.0588235294116</v>
      </c>
      <c r="W97" s="127">
        <f t="shared" si="250"/>
        <v>497.0588235294116</v>
      </c>
      <c r="X97" s="127">
        <f t="shared" si="250"/>
        <v>497.0588235294116</v>
      </c>
      <c r="Y97" s="127">
        <f t="shared" si="250"/>
        <v>497.0588235294116</v>
      </c>
      <c r="Z97" s="127">
        <f t="shared" si="250"/>
        <v>497.0588235294116</v>
      </c>
      <c r="AA97" s="127">
        <f t="shared" si="250"/>
        <v>497.05882352941148</v>
      </c>
      <c r="AB97" s="127">
        <f t="shared" si="250"/>
        <v>497.0588235294116</v>
      </c>
      <c r="AC97" s="138">
        <f t="shared" si="218"/>
        <v>0.13946439925715559</v>
      </c>
      <c r="AD97" s="146"/>
      <c r="AE97" s="146"/>
    </row>
    <row r="98" spans="2:31" ht="12" customHeight="1" x14ac:dyDescent="0.2">
      <c r="B98" s="20" t="s">
        <v>405</v>
      </c>
      <c r="C98" s="152"/>
      <c r="D98" s="152"/>
      <c r="E98" s="152"/>
      <c r="F98" s="152"/>
      <c r="G98" s="127">
        <f t="shared" si="249"/>
        <v>23.2</v>
      </c>
      <c r="H98" s="127">
        <f t="shared" si="249"/>
        <v>114.28571428571428</v>
      </c>
      <c r="I98" s="127">
        <f t="shared" si="249"/>
        <v>23.2</v>
      </c>
      <c r="J98" s="127">
        <f t="shared" si="249"/>
        <v>107.00000000000001</v>
      </c>
      <c r="K98" s="127">
        <f t="shared" si="249"/>
        <v>65.745856353591165</v>
      </c>
      <c r="L98" s="127">
        <f t="shared" si="249"/>
        <v>43.362831858407084</v>
      </c>
      <c r="M98" s="127">
        <f t="shared" si="249"/>
        <v>100.60975609756098</v>
      </c>
      <c r="N98" s="127">
        <f t="shared" si="249"/>
        <v>167.47967479674799</v>
      </c>
      <c r="O98" s="127">
        <f t="shared" si="249"/>
        <v>2388.8888888888891</v>
      </c>
      <c r="P98" s="127">
        <f t="shared" si="249"/>
        <v>430.88235294117646</v>
      </c>
      <c r="Q98" s="118">
        <f t="shared" si="216"/>
        <v>0.38352061875439203</v>
      </c>
      <c r="R98" s="20"/>
      <c r="S98" s="127">
        <f t="shared" ref="S98:AB98" si="251">1/S92</f>
        <v>430.88235294117641</v>
      </c>
      <c r="T98" s="127">
        <f t="shared" si="251"/>
        <v>430.88235294117641</v>
      </c>
      <c r="U98" s="127">
        <f t="shared" si="251"/>
        <v>430.88235294117641</v>
      </c>
      <c r="V98" s="127">
        <f t="shared" si="251"/>
        <v>430.88235294117641</v>
      </c>
      <c r="W98" s="127">
        <f t="shared" si="251"/>
        <v>430.88235294117629</v>
      </c>
      <c r="X98" s="127">
        <f t="shared" si="251"/>
        <v>430.88235294117629</v>
      </c>
      <c r="Y98" s="127">
        <f t="shared" si="251"/>
        <v>430.88235294117629</v>
      </c>
      <c r="Z98" s="127">
        <f t="shared" si="251"/>
        <v>430.88235294117629</v>
      </c>
      <c r="AA98" s="127">
        <f t="shared" si="251"/>
        <v>430.88235294117629</v>
      </c>
      <c r="AB98" s="127">
        <f t="shared" si="251"/>
        <v>430.88235294117629</v>
      </c>
      <c r="AC98" s="138">
        <f t="shared" si="218"/>
        <v>0.16622586628640312</v>
      </c>
      <c r="AD98" s="146"/>
      <c r="AE98" s="146"/>
    </row>
    <row r="99" spans="2:31" ht="12" customHeight="1" x14ac:dyDescent="0.2">
      <c r="B99" s="20" t="s">
        <v>406</v>
      </c>
      <c r="C99" s="152"/>
      <c r="D99" s="152"/>
      <c r="E99" s="152"/>
      <c r="F99" s="152"/>
      <c r="G99" s="127">
        <f t="shared" si="249"/>
        <v>7.4799999999999995</v>
      </c>
      <c r="H99" s="127">
        <f t="shared" si="249"/>
        <v>16.883116883116884</v>
      </c>
      <c r="I99" s="127">
        <f t="shared" si="249"/>
        <v>6.4</v>
      </c>
      <c r="J99" s="127">
        <f t="shared" si="249"/>
        <v>21</v>
      </c>
      <c r="K99" s="127">
        <f t="shared" si="249"/>
        <v>7.9005524861878458</v>
      </c>
      <c r="L99" s="127">
        <f t="shared" si="249"/>
        <v>33.185840707964601</v>
      </c>
      <c r="M99" s="127">
        <f t="shared" si="249"/>
        <v>25</v>
      </c>
      <c r="N99" s="127">
        <f t="shared" si="249"/>
        <v>32.520325203252035</v>
      </c>
      <c r="O99" s="127">
        <f t="shared" si="249"/>
        <v>655.55555555555554</v>
      </c>
      <c r="P99" s="127">
        <f t="shared" si="249"/>
        <v>88.235294117647058</v>
      </c>
      <c r="Q99" s="118">
        <f t="shared" si="216"/>
        <v>0.31547410793538733</v>
      </c>
      <c r="R99" s="20"/>
      <c r="S99" s="127">
        <f t="shared" ref="S99:AB99" si="252">1/S93</f>
        <v>88.235294117647058</v>
      </c>
      <c r="T99" s="127">
        <f t="shared" si="252"/>
        <v>88.235294117647058</v>
      </c>
      <c r="U99" s="127">
        <f t="shared" si="252"/>
        <v>88.235294117647044</v>
      </c>
      <c r="V99" s="127">
        <f t="shared" si="252"/>
        <v>88.235294117647044</v>
      </c>
      <c r="W99" s="127">
        <f t="shared" si="252"/>
        <v>88.235294117647044</v>
      </c>
      <c r="X99" s="127">
        <f t="shared" si="252"/>
        <v>88.235294117647044</v>
      </c>
      <c r="Y99" s="127">
        <f t="shared" si="252"/>
        <v>88.235294117647044</v>
      </c>
      <c r="Z99" s="127">
        <f t="shared" si="252"/>
        <v>88.235294117647044</v>
      </c>
      <c r="AA99" s="127">
        <f t="shared" si="252"/>
        <v>88.23529411764703</v>
      </c>
      <c r="AB99" s="127">
        <f t="shared" si="252"/>
        <v>88.23529411764703</v>
      </c>
      <c r="AC99" s="138">
        <f t="shared" si="218"/>
        <v>0.13869498344984188</v>
      </c>
      <c r="AD99" s="146"/>
      <c r="AE99" s="146"/>
    </row>
    <row r="100" spans="2:31" ht="12" customHeight="1" x14ac:dyDescent="0.2">
      <c r="B100" s="20" t="s">
        <v>407</v>
      </c>
      <c r="C100" s="152"/>
      <c r="D100" s="152"/>
      <c r="E100" s="152"/>
      <c r="F100" s="152"/>
      <c r="G100" s="127" t="e">
        <f t="shared" si="249"/>
        <v>#DIV/0!</v>
      </c>
      <c r="H100" s="127" t="e">
        <f t="shared" si="249"/>
        <v>#DIV/0!</v>
      </c>
      <c r="I100" s="127" t="e">
        <f t="shared" si="249"/>
        <v>#DIV/0!</v>
      </c>
      <c r="J100" s="127" t="e">
        <f t="shared" si="249"/>
        <v>#DIV/0!</v>
      </c>
      <c r="K100" s="127" t="e">
        <f t="shared" si="249"/>
        <v>#DIV/0!</v>
      </c>
      <c r="L100" s="127" t="e">
        <f t="shared" si="249"/>
        <v>#DIV/0!</v>
      </c>
      <c r="M100" s="127" t="e">
        <f t="shared" si="249"/>
        <v>#DIV/0!</v>
      </c>
      <c r="N100" s="127" t="e">
        <f t="shared" si="249"/>
        <v>#DIV/0!</v>
      </c>
      <c r="O100" s="127" t="e">
        <f t="shared" si="249"/>
        <v>#DIV/0!</v>
      </c>
      <c r="P100" s="127" t="e">
        <f t="shared" si="249"/>
        <v>#DIV/0!</v>
      </c>
      <c r="Q100" s="118" t="e">
        <f t="shared" si="216"/>
        <v>#DIV/0!</v>
      </c>
      <c r="R100" s="20"/>
      <c r="S100" s="127" t="e">
        <f t="shared" ref="S100:AB100" si="253">1/S94</f>
        <v>#DIV/0!</v>
      </c>
      <c r="T100" s="127" t="e">
        <f t="shared" si="253"/>
        <v>#DIV/0!</v>
      </c>
      <c r="U100" s="127" t="e">
        <f t="shared" si="253"/>
        <v>#DIV/0!</v>
      </c>
      <c r="V100" s="127" t="e">
        <f t="shared" si="253"/>
        <v>#DIV/0!</v>
      </c>
      <c r="W100" s="127" t="e">
        <f t="shared" si="253"/>
        <v>#DIV/0!</v>
      </c>
      <c r="X100" s="127" t="e">
        <f t="shared" si="253"/>
        <v>#DIV/0!</v>
      </c>
      <c r="Y100" s="127" t="e">
        <f t="shared" si="253"/>
        <v>#DIV/0!</v>
      </c>
      <c r="Z100" s="127" t="e">
        <f t="shared" si="253"/>
        <v>#DIV/0!</v>
      </c>
      <c r="AA100" s="127" t="e">
        <f t="shared" si="253"/>
        <v>#DIV/0!</v>
      </c>
      <c r="AB100" s="127" t="e">
        <f t="shared" si="253"/>
        <v>#DIV/0!</v>
      </c>
      <c r="AC100" s="138" t="e">
        <f t="shared" si="218"/>
        <v>#DIV/0!</v>
      </c>
      <c r="AD100" s="146"/>
      <c r="AE100" s="146"/>
    </row>
    <row r="101" spans="2:31" ht="12" customHeight="1" x14ac:dyDescent="0.2">
      <c r="B101" s="20"/>
      <c r="C101" s="152"/>
      <c r="D101" s="152"/>
      <c r="E101" s="152"/>
      <c r="F101" s="152"/>
      <c r="G101" s="171"/>
      <c r="H101" s="171"/>
      <c r="I101" s="171"/>
      <c r="J101" s="171"/>
      <c r="K101" s="171"/>
      <c r="L101" s="171"/>
      <c r="M101" s="171"/>
      <c r="N101" s="171"/>
      <c r="O101" s="171"/>
      <c r="P101" s="171"/>
      <c r="Q101" s="171"/>
      <c r="R101" s="20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46"/>
      <c r="AE101" s="146"/>
    </row>
    <row r="102" spans="2:31" ht="12" customHeight="1" x14ac:dyDescent="0.2">
      <c r="B102" s="20"/>
      <c r="C102" s="152"/>
      <c r="D102" s="152"/>
      <c r="E102" s="152"/>
      <c r="F102" s="152"/>
      <c r="G102" s="171"/>
      <c r="H102" s="171"/>
      <c r="I102" s="171"/>
      <c r="J102" s="171"/>
      <c r="K102" s="171"/>
      <c r="L102" s="171"/>
      <c r="M102" s="171"/>
      <c r="N102" s="171"/>
      <c r="O102" s="171"/>
      <c r="P102" s="171"/>
      <c r="Q102" s="171"/>
      <c r="R102" s="20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46"/>
      <c r="AE102" s="146"/>
    </row>
    <row r="103" spans="2:31" x14ac:dyDescent="0.2">
      <c r="B103" s="20" t="s">
        <v>326</v>
      </c>
      <c r="C103" s="152"/>
      <c r="D103" s="152"/>
      <c r="E103" s="152"/>
      <c r="F103" s="163">
        <f t="shared" ref="F103:O103" si="254">F10-(F12+F13)</f>
        <v>0</v>
      </c>
      <c r="G103" s="163">
        <f t="shared" si="254"/>
        <v>-78.699999999999989</v>
      </c>
      <c r="H103" s="163">
        <f t="shared" si="254"/>
        <v>-105</v>
      </c>
      <c r="I103" s="163">
        <f t="shared" si="254"/>
        <v>-70</v>
      </c>
      <c r="J103" s="163">
        <f t="shared" si="254"/>
        <v>-78</v>
      </c>
      <c r="K103" s="163">
        <f t="shared" si="254"/>
        <v>-122.30000000000001</v>
      </c>
      <c r="L103" s="163">
        <f t="shared" si="254"/>
        <v>-276</v>
      </c>
      <c r="M103" s="163">
        <f t="shared" si="254"/>
        <v>-332</v>
      </c>
      <c r="N103" s="163">
        <f t="shared" si="254"/>
        <v>-330</v>
      </c>
      <c r="O103" s="163">
        <f t="shared" si="254"/>
        <v>-173</v>
      </c>
      <c r="P103" s="163">
        <f>P10-(P12+P13)</f>
        <v>-60</v>
      </c>
      <c r="Q103" s="118">
        <f t="shared" si="216"/>
        <v>-2.9694480124766054E-2</v>
      </c>
      <c r="R103" s="20"/>
      <c r="S103" s="163">
        <f>S10-(S12+S13)</f>
        <v>-66</v>
      </c>
      <c r="T103" s="163">
        <f t="shared" ref="T103:AB103" si="255">T10-(T12+T13)</f>
        <v>-72.600000000000009</v>
      </c>
      <c r="U103" s="163">
        <f t="shared" si="255"/>
        <v>-79.860000000000014</v>
      </c>
      <c r="V103" s="163">
        <f t="shared" si="255"/>
        <v>-87.846000000000018</v>
      </c>
      <c r="W103" s="163">
        <f t="shared" si="255"/>
        <v>-96.63060000000003</v>
      </c>
      <c r="X103" s="163">
        <f t="shared" si="255"/>
        <v>-106.29366000000005</v>
      </c>
      <c r="Y103" s="163">
        <f t="shared" si="255"/>
        <v>-116.92302600000006</v>
      </c>
      <c r="Z103" s="163">
        <f t="shared" si="255"/>
        <v>-128.61532860000008</v>
      </c>
      <c r="AA103" s="163">
        <f t="shared" si="255"/>
        <v>-141.47686146000009</v>
      </c>
      <c r="AB103" s="163">
        <f t="shared" si="255"/>
        <v>-155.62454760600011</v>
      </c>
      <c r="AC103" s="138">
        <f t="shared" si="218"/>
        <v>3.6535994443747111E-2</v>
      </c>
      <c r="AD103" s="146"/>
      <c r="AE103" s="146"/>
    </row>
    <row r="104" spans="2:31" ht="12" customHeight="1" x14ac:dyDescent="0.2">
      <c r="B104" s="20" t="s">
        <v>321</v>
      </c>
      <c r="C104" s="20"/>
      <c r="D104" s="20"/>
      <c r="E104" s="20"/>
      <c r="F104" s="20"/>
      <c r="G104" s="152">
        <f t="shared" ref="G104:P104" si="256">G40/G18</f>
        <v>0.66666666666666663</v>
      </c>
      <c r="H104" s="152">
        <f t="shared" si="256"/>
        <v>0.6717557251908397</v>
      </c>
      <c r="I104" s="152">
        <f t="shared" si="256"/>
        <v>0.36249999999999999</v>
      </c>
      <c r="J104" s="152">
        <f t="shared" si="256"/>
        <v>0.56613756613756616</v>
      </c>
      <c r="K104" s="152">
        <f t="shared" si="256"/>
        <v>0.89473684210526316</v>
      </c>
      <c r="L104" s="152">
        <f t="shared" si="256"/>
        <v>0.41350210970464135</v>
      </c>
      <c r="M104" s="152">
        <f t="shared" si="256"/>
        <v>0.5709342560553633</v>
      </c>
      <c r="N104" s="152">
        <f t="shared" si="256"/>
        <v>0.74100719424460426</v>
      </c>
      <c r="O104" s="152">
        <f t="shared" si="256"/>
        <v>0.54292929292929293</v>
      </c>
      <c r="P104" s="152">
        <f t="shared" si="256"/>
        <v>0.37806451612903225</v>
      </c>
      <c r="Q104" s="118">
        <f t="shared" si="216"/>
        <v>-6.1080032177315724E-2</v>
      </c>
      <c r="R104" s="20"/>
      <c r="S104" s="152">
        <f t="shared" ref="S104:AB104" si="257">S40/S18</f>
        <v>0.37806451612903225</v>
      </c>
      <c r="T104" s="152">
        <f t="shared" si="257"/>
        <v>0.37806451612903219</v>
      </c>
      <c r="U104" s="152">
        <f t="shared" si="257"/>
        <v>0.37806451612903219</v>
      </c>
      <c r="V104" s="152">
        <f t="shared" si="257"/>
        <v>0.37806451612903219</v>
      </c>
      <c r="W104" s="152">
        <f t="shared" si="257"/>
        <v>0.37806451612903214</v>
      </c>
      <c r="X104" s="152">
        <f t="shared" si="257"/>
        <v>0.37806451612903214</v>
      </c>
      <c r="Y104" s="152">
        <f t="shared" si="257"/>
        <v>0.37806451612903214</v>
      </c>
      <c r="Z104" s="152">
        <f t="shared" si="257"/>
        <v>0.37806451612903214</v>
      </c>
      <c r="AA104" s="152">
        <f t="shared" si="257"/>
        <v>0.37806451612903214</v>
      </c>
      <c r="AB104" s="152">
        <f t="shared" si="257"/>
        <v>0.37806451612903214</v>
      </c>
      <c r="AC104" s="138">
        <f t="shared" si="218"/>
        <v>-2.9412735926259814E-2</v>
      </c>
      <c r="AD104" s="20"/>
      <c r="AE104" s="20"/>
    </row>
    <row r="105" spans="2:31" x14ac:dyDescent="0.2">
      <c r="B105" s="20" t="s">
        <v>322</v>
      </c>
      <c r="C105" s="20"/>
      <c r="D105" s="20"/>
      <c r="E105" s="20"/>
      <c r="F105" s="20"/>
      <c r="G105" s="152">
        <f t="shared" ref="G105:P105" si="258">G40/G25</f>
        <v>7.0473876063183477E-2</v>
      </c>
      <c r="H105" s="152">
        <f t="shared" si="258"/>
        <v>9.8876404494382023E-2</v>
      </c>
      <c r="I105" s="152">
        <f t="shared" si="258"/>
        <v>4.9277824978759557E-2</v>
      </c>
      <c r="J105" s="152">
        <f t="shared" si="258"/>
        <v>8.1245254365983302E-2</v>
      </c>
      <c r="K105" s="152">
        <f t="shared" si="258"/>
        <v>8.9005235602094238E-2</v>
      </c>
      <c r="L105" s="152">
        <f t="shared" si="258"/>
        <v>6.5464261857047429E-2</v>
      </c>
      <c r="M105" s="152">
        <f t="shared" si="258"/>
        <v>8.7672688629117965E-2</v>
      </c>
      <c r="N105" s="152">
        <f t="shared" si="258"/>
        <v>8.6663862010938161E-2</v>
      </c>
      <c r="O105" s="152">
        <f t="shared" si="258"/>
        <v>7.6349431818181823E-2</v>
      </c>
      <c r="P105" s="152">
        <f t="shared" si="258"/>
        <v>9.4516129032258062E-2</v>
      </c>
      <c r="Q105" s="118">
        <f t="shared" si="216"/>
        <v>3.3151942223631936E-2</v>
      </c>
      <c r="R105" s="20"/>
      <c r="S105" s="152">
        <f t="shared" ref="S105:AB105" si="259">S40/S25</f>
        <v>9.4516129032258062E-2</v>
      </c>
      <c r="T105" s="152">
        <f t="shared" si="259"/>
        <v>9.4516129032258048E-2</v>
      </c>
      <c r="U105" s="152">
        <f t="shared" si="259"/>
        <v>9.4516129032258048E-2</v>
      </c>
      <c r="V105" s="152">
        <f t="shared" si="259"/>
        <v>9.4516129032258048E-2</v>
      </c>
      <c r="W105" s="152">
        <f t="shared" si="259"/>
        <v>9.4516129032258034E-2</v>
      </c>
      <c r="X105" s="152">
        <f t="shared" si="259"/>
        <v>9.4516129032258034E-2</v>
      </c>
      <c r="Y105" s="152">
        <f t="shared" si="259"/>
        <v>9.4516129032258034E-2</v>
      </c>
      <c r="Z105" s="152">
        <f t="shared" si="259"/>
        <v>9.4516129032258034E-2</v>
      </c>
      <c r="AA105" s="152">
        <f t="shared" si="259"/>
        <v>9.4516129032258034E-2</v>
      </c>
      <c r="AB105" s="152">
        <f t="shared" si="259"/>
        <v>9.4516129032258034E-2</v>
      </c>
      <c r="AC105" s="138">
        <f t="shared" si="218"/>
        <v>1.5568814212027604E-2</v>
      </c>
      <c r="AD105" s="20"/>
      <c r="AE105" s="20"/>
    </row>
    <row r="106" spans="2:31" x14ac:dyDescent="0.2">
      <c r="B106" s="20" t="s">
        <v>348</v>
      </c>
      <c r="C106" s="20"/>
      <c r="D106" s="20"/>
      <c r="E106" s="152"/>
      <c r="F106" s="152"/>
      <c r="G106" s="152">
        <f t="shared" ref="G106:O106" si="260">G25/G18</f>
        <v>9.4597701149425291</v>
      </c>
      <c r="H106" s="152">
        <f t="shared" si="260"/>
        <v>6.7938931297709928</v>
      </c>
      <c r="I106" s="152">
        <f t="shared" si="260"/>
        <v>7.3562500000000002</v>
      </c>
      <c r="J106" s="152">
        <f t="shared" si="260"/>
        <v>6.9682539682539684</v>
      </c>
      <c r="K106" s="152">
        <f t="shared" si="260"/>
        <v>10.052631578947368</v>
      </c>
      <c r="L106" s="152">
        <f t="shared" si="260"/>
        <v>6.3164556962025316</v>
      </c>
      <c r="M106" s="152">
        <f t="shared" si="260"/>
        <v>6.5121107266435985</v>
      </c>
      <c r="N106" s="152">
        <f t="shared" si="260"/>
        <v>8.5503597122302164</v>
      </c>
      <c r="O106" s="152">
        <f t="shared" si="260"/>
        <v>7.1111111111111107</v>
      </c>
      <c r="P106" s="152">
        <f>P25/P18</f>
        <v>4</v>
      </c>
      <c r="Q106" s="118">
        <f t="shared" si="216"/>
        <v>-9.1208243966646507E-2</v>
      </c>
      <c r="R106" s="20"/>
      <c r="S106" s="152">
        <f>S25/S18</f>
        <v>4</v>
      </c>
      <c r="T106" s="152">
        <f t="shared" ref="T106:AB106" si="261">T25/T18</f>
        <v>4</v>
      </c>
      <c r="U106" s="152">
        <f t="shared" si="261"/>
        <v>4</v>
      </c>
      <c r="V106" s="152">
        <f t="shared" si="261"/>
        <v>4</v>
      </c>
      <c r="W106" s="152">
        <f t="shared" si="261"/>
        <v>4</v>
      </c>
      <c r="X106" s="152">
        <f t="shared" si="261"/>
        <v>4</v>
      </c>
      <c r="Y106" s="152">
        <f t="shared" si="261"/>
        <v>4</v>
      </c>
      <c r="Z106" s="152">
        <f t="shared" si="261"/>
        <v>4</v>
      </c>
      <c r="AA106" s="152">
        <f t="shared" si="261"/>
        <v>4</v>
      </c>
      <c r="AB106" s="152">
        <f t="shared" si="261"/>
        <v>4</v>
      </c>
      <c r="AC106" s="138">
        <f t="shared" si="218"/>
        <v>-4.4291976583771153E-2</v>
      </c>
      <c r="AD106" s="20"/>
      <c r="AE106" s="20"/>
    </row>
    <row r="107" spans="2:31" x14ac:dyDescent="0.2">
      <c r="B107" s="20"/>
      <c r="C107" s="20"/>
      <c r="D107" s="20"/>
      <c r="E107" s="20"/>
      <c r="F107" s="20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28"/>
      <c r="R107" s="20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28"/>
      <c r="AD107" s="20"/>
      <c r="AE107" s="20"/>
    </row>
    <row r="108" spans="2:31" x14ac:dyDescent="0.2">
      <c r="B108" s="20" t="s">
        <v>334</v>
      </c>
      <c r="C108" s="20"/>
      <c r="D108" s="20"/>
      <c r="E108" s="165">
        <f t="shared" ref="E108:F108" si="262">E68*E42</f>
        <v>0</v>
      </c>
      <c r="F108" s="165">
        <f t="shared" si="262"/>
        <v>0</v>
      </c>
      <c r="G108" s="165">
        <f>G68*G42</f>
        <v>19.125</v>
      </c>
      <c r="H108" s="165">
        <f t="shared" ref="H108:P108" si="263">H68*H42</f>
        <v>29.324999999999999</v>
      </c>
      <c r="I108" s="165">
        <f t="shared" si="263"/>
        <v>51</v>
      </c>
      <c r="J108" s="165">
        <f t="shared" si="263"/>
        <v>29.324999999999999</v>
      </c>
      <c r="K108" s="165">
        <f t="shared" si="263"/>
        <v>32.28</v>
      </c>
      <c r="L108" s="165">
        <f t="shared" si="263"/>
        <v>32.28</v>
      </c>
      <c r="M108" s="165">
        <f t="shared" si="263"/>
        <v>40.35</v>
      </c>
      <c r="N108" s="165">
        <f t="shared" si="263"/>
        <v>53.8</v>
      </c>
      <c r="O108" s="165">
        <f t="shared" si="263"/>
        <v>59.18</v>
      </c>
      <c r="P108" s="165">
        <f t="shared" si="263"/>
        <v>59.18</v>
      </c>
      <c r="Q108" s="118">
        <f t="shared" si="216"/>
        <v>0.13372616192668985</v>
      </c>
      <c r="R108" s="20"/>
      <c r="S108" s="165">
        <f t="shared" ref="S108:AB108" si="264">S68*S42</f>
        <v>62.139000000000003</v>
      </c>
      <c r="T108" s="165">
        <f t="shared" si="264"/>
        <v>65.245950000000008</v>
      </c>
      <c r="U108" s="165">
        <f t="shared" si="264"/>
        <v>68.50824750000001</v>
      </c>
      <c r="V108" s="165">
        <f t="shared" si="264"/>
        <v>71.933659875000004</v>
      </c>
      <c r="W108" s="165">
        <f t="shared" si="264"/>
        <v>75.530342868750012</v>
      </c>
      <c r="X108" s="165">
        <f t="shared" si="264"/>
        <v>79.306860012187514</v>
      </c>
      <c r="Y108" s="165">
        <f t="shared" si="264"/>
        <v>83.272203012796894</v>
      </c>
      <c r="Z108" s="165">
        <f t="shared" si="264"/>
        <v>87.435813163436734</v>
      </c>
      <c r="AA108" s="165">
        <f t="shared" si="264"/>
        <v>91.807603821608566</v>
      </c>
      <c r="AB108" s="165">
        <f t="shared" si="264"/>
        <v>96.397984012688994</v>
      </c>
      <c r="AC108" s="138">
        <f t="shared" si="218"/>
        <v>8.8859692758567421E-2</v>
      </c>
      <c r="AD108" s="20"/>
      <c r="AE108" s="20"/>
    </row>
    <row r="109" spans="2:31" x14ac:dyDescent="0.2">
      <c r="B109" s="20" t="s">
        <v>335</v>
      </c>
      <c r="C109" s="20"/>
      <c r="D109" s="20"/>
      <c r="E109" s="165">
        <f>(E108*0.17)+E108</f>
        <v>0</v>
      </c>
      <c r="F109" s="165">
        <f>(F108*0.17)+F108</f>
        <v>0</v>
      </c>
      <c r="G109" s="165">
        <f t="shared" ref="G109:P109" si="265">(G108*0.17)+G108</f>
        <v>22.376249999999999</v>
      </c>
      <c r="H109" s="165">
        <f t="shared" si="265"/>
        <v>34.310249999999996</v>
      </c>
      <c r="I109" s="165">
        <f t="shared" si="265"/>
        <v>59.67</v>
      </c>
      <c r="J109" s="165">
        <f t="shared" si="265"/>
        <v>34.310249999999996</v>
      </c>
      <c r="K109" s="165">
        <f t="shared" si="265"/>
        <v>37.767600000000002</v>
      </c>
      <c r="L109" s="165">
        <f t="shared" si="265"/>
        <v>37.767600000000002</v>
      </c>
      <c r="M109" s="165">
        <f t="shared" si="265"/>
        <v>47.209500000000006</v>
      </c>
      <c r="N109" s="165">
        <f t="shared" si="265"/>
        <v>62.945999999999998</v>
      </c>
      <c r="O109" s="165">
        <f t="shared" si="265"/>
        <v>69.240600000000001</v>
      </c>
      <c r="P109" s="165">
        <f t="shared" si="265"/>
        <v>69.240600000000001</v>
      </c>
      <c r="Q109" s="118">
        <f t="shared" si="216"/>
        <v>0.13372616192668985</v>
      </c>
      <c r="R109" s="20"/>
      <c r="S109" s="165">
        <f t="shared" ref="S109:AB109" si="266">(S108*0.17)+S108</f>
        <v>72.702629999999999</v>
      </c>
      <c r="T109" s="165">
        <f t="shared" si="266"/>
        <v>76.337761500000013</v>
      </c>
      <c r="U109" s="165">
        <f t="shared" si="266"/>
        <v>80.154649575000008</v>
      </c>
      <c r="V109" s="165">
        <f t="shared" si="266"/>
        <v>84.162382053750008</v>
      </c>
      <c r="W109" s="165">
        <f t="shared" si="266"/>
        <v>88.370501156437513</v>
      </c>
      <c r="X109" s="165">
        <f t="shared" si="266"/>
        <v>92.789026214259394</v>
      </c>
      <c r="Y109" s="165">
        <f t="shared" si="266"/>
        <v>97.428477524972365</v>
      </c>
      <c r="Z109" s="165">
        <f t="shared" si="266"/>
        <v>102.29990140122098</v>
      </c>
      <c r="AA109" s="165">
        <f t="shared" si="266"/>
        <v>107.41489647128202</v>
      </c>
      <c r="AB109" s="165">
        <f t="shared" si="266"/>
        <v>112.78564129484613</v>
      </c>
      <c r="AC109" s="138">
        <f t="shared" si="218"/>
        <v>8.8859692758567421E-2</v>
      </c>
      <c r="AD109" s="20"/>
      <c r="AE109" s="20"/>
    </row>
    <row r="110" spans="2:31" x14ac:dyDescent="0.2">
      <c r="B110" s="20" t="s">
        <v>336</v>
      </c>
      <c r="C110" s="20"/>
      <c r="D110" s="20"/>
      <c r="E110" s="20"/>
      <c r="F110" s="152" t="e">
        <f t="shared" ref="F110:P110" si="267">F109/F40</f>
        <v>#DIV/0!</v>
      </c>
      <c r="G110" s="152">
        <f t="shared" si="267"/>
        <v>0.38579741379310345</v>
      </c>
      <c r="H110" s="152">
        <f t="shared" si="267"/>
        <v>0.3898892045454545</v>
      </c>
      <c r="I110" s="152">
        <f t="shared" si="267"/>
        <v>1.0287931034482758</v>
      </c>
      <c r="J110" s="152">
        <f t="shared" si="267"/>
        <v>0.32065654205607474</v>
      </c>
      <c r="K110" s="152">
        <f t="shared" si="267"/>
        <v>0.3173747899159664</v>
      </c>
      <c r="L110" s="152">
        <f t="shared" si="267"/>
        <v>0.38538367346938779</v>
      </c>
      <c r="M110" s="152">
        <f t="shared" si="267"/>
        <v>0.28611818181818183</v>
      </c>
      <c r="N110" s="152">
        <f t="shared" si="267"/>
        <v>0.30556310679611648</v>
      </c>
      <c r="O110" s="152">
        <f t="shared" si="267"/>
        <v>0.32204930232558138</v>
      </c>
      <c r="P110" s="152">
        <f t="shared" si="267"/>
        <v>0.23631604095563141</v>
      </c>
      <c r="Q110" s="118">
        <f t="shared" si="216"/>
        <v>-5.3003857338497662E-2</v>
      </c>
      <c r="R110" s="20"/>
      <c r="S110" s="152">
        <f t="shared" ref="S110:AB110" si="268">S109/S40</f>
        <v>0.22557440273037541</v>
      </c>
      <c r="T110" s="152">
        <f t="shared" si="268"/>
        <v>0.21532102078808565</v>
      </c>
      <c r="U110" s="152">
        <f t="shared" si="268"/>
        <v>0.20553370166135446</v>
      </c>
      <c r="V110" s="152">
        <f t="shared" si="268"/>
        <v>0.19619126067674741</v>
      </c>
      <c r="W110" s="152">
        <f t="shared" si="268"/>
        <v>0.18727347610053163</v>
      </c>
      <c r="X110" s="152">
        <f t="shared" si="268"/>
        <v>0.17876104536868928</v>
      </c>
      <c r="Y110" s="152">
        <f t="shared" si="268"/>
        <v>0.17063554330647612</v>
      </c>
      <c r="Z110" s="152">
        <f t="shared" si="268"/>
        <v>0.16287938224709081</v>
      </c>
      <c r="AA110" s="152">
        <f t="shared" si="268"/>
        <v>0.15547577396313214</v>
      </c>
      <c r="AB110" s="152">
        <f t="shared" si="268"/>
        <v>0.14840869332844431</v>
      </c>
      <c r="AC110" s="138">
        <f t="shared" si="218"/>
        <v>-4.9038007970675701E-2</v>
      </c>
      <c r="AD110" s="20"/>
      <c r="AE110" s="20"/>
    </row>
    <row r="111" spans="2:31" x14ac:dyDescent="0.2">
      <c r="B111" s="20" t="s">
        <v>329</v>
      </c>
      <c r="C111" s="20"/>
      <c r="D111" s="20"/>
      <c r="E111" s="20"/>
      <c r="F111" s="152" t="e">
        <f>1-F110</f>
        <v>#DIV/0!</v>
      </c>
      <c r="G111" s="152">
        <f>1-G110</f>
        <v>0.61420258620689649</v>
      </c>
      <c r="H111" s="152">
        <f t="shared" ref="H111:P111" si="269">1-H110</f>
        <v>0.6101107954545455</v>
      </c>
      <c r="I111" s="152">
        <f t="shared" si="269"/>
        <v>-2.8793103448275792E-2</v>
      </c>
      <c r="J111" s="152">
        <f t="shared" si="269"/>
        <v>0.67934345794392526</v>
      </c>
      <c r="K111" s="152">
        <f t="shared" si="269"/>
        <v>0.68262521008403354</v>
      </c>
      <c r="L111" s="152">
        <f t="shared" si="269"/>
        <v>0.61461632653061216</v>
      </c>
      <c r="M111" s="152">
        <f t="shared" si="269"/>
        <v>0.71388181818181817</v>
      </c>
      <c r="N111" s="152">
        <f t="shared" si="269"/>
        <v>0.69443689320388358</v>
      </c>
      <c r="O111" s="152">
        <f t="shared" si="269"/>
        <v>0.67795069767441862</v>
      </c>
      <c r="P111" s="152">
        <f t="shared" si="269"/>
        <v>0.76368395904436859</v>
      </c>
      <c r="Q111" s="118">
        <f t="shared" si="216"/>
        <v>2.4498522495597808E-2</v>
      </c>
      <c r="R111" s="20"/>
      <c r="S111" s="152">
        <f t="shared" ref="S111:AB111" si="270">1-S110</f>
        <v>0.77442559726962457</v>
      </c>
      <c r="T111" s="152">
        <f t="shared" si="270"/>
        <v>0.78467897921191432</v>
      </c>
      <c r="U111" s="152">
        <f t="shared" si="270"/>
        <v>0.79446629833864557</v>
      </c>
      <c r="V111" s="152">
        <f t="shared" si="270"/>
        <v>0.80380873932325259</v>
      </c>
      <c r="W111" s="152">
        <f t="shared" si="270"/>
        <v>0.81272652389946831</v>
      </c>
      <c r="X111" s="152">
        <f t="shared" si="270"/>
        <v>0.82123895463131069</v>
      </c>
      <c r="Y111" s="152">
        <f t="shared" si="270"/>
        <v>0.82936445669352388</v>
      </c>
      <c r="Z111" s="152">
        <f t="shared" si="270"/>
        <v>0.83712061775290914</v>
      </c>
      <c r="AA111" s="152">
        <f t="shared" si="270"/>
        <v>0.84452422603686783</v>
      </c>
      <c r="AB111" s="152">
        <f t="shared" si="270"/>
        <v>0.85159130667155569</v>
      </c>
      <c r="AC111" s="138">
        <f t="shared" si="218"/>
        <v>1.734780289969251E-2</v>
      </c>
      <c r="AD111" s="20"/>
      <c r="AE111" s="20"/>
    </row>
    <row r="112" spans="2:31" x14ac:dyDescent="0.2">
      <c r="B112" s="20"/>
      <c r="C112" s="20"/>
      <c r="D112" s="20"/>
      <c r="E112" s="20"/>
      <c r="F112" s="20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28"/>
      <c r="R112" s="20"/>
      <c r="S112" s="152"/>
      <c r="T112" s="152"/>
      <c r="U112" s="152"/>
      <c r="V112" s="152"/>
      <c r="W112" s="152"/>
      <c r="X112" s="152"/>
      <c r="Y112" s="152"/>
      <c r="Z112" s="152"/>
      <c r="AA112" s="152"/>
      <c r="AB112" s="152"/>
      <c r="AC112" s="128"/>
      <c r="AD112" s="20"/>
      <c r="AE112" s="20"/>
    </row>
    <row r="113" spans="2:31" x14ac:dyDescent="0.2">
      <c r="B113" s="20" t="s">
        <v>333</v>
      </c>
      <c r="C113" s="152"/>
      <c r="D113" s="152"/>
      <c r="E113" s="152"/>
      <c r="F113" s="152" t="e">
        <f>F31/F25</f>
        <v>#DIV/0!</v>
      </c>
      <c r="G113" s="152">
        <f>G31/G25</f>
        <v>0</v>
      </c>
      <c r="H113" s="152">
        <f t="shared" ref="H113:P113" si="271">H31/H25</f>
        <v>0</v>
      </c>
      <c r="I113" s="152">
        <f t="shared" si="271"/>
        <v>0</v>
      </c>
      <c r="J113" s="152">
        <f t="shared" si="271"/>
        <v>0</v>
      </c>
      <c r="K113" s="152">
        <f t="shared" si="271"/>
        <v>0</v>
      </c>
      <c r="L113" s="152">
        <f t="shared" si="271"/>
        <v>0</v>
      </c>
      <c r="M113" s="152">
        <f t="shared" si="271"/>
        <v>0</v>
      </c>
      <c r="N113" s="152">
        <f t="shared" si="271"/>
        <v>0</v>
      </c>
      <c r="O113" s="152">
        <f t="shared" si="271"/>
        <v>0</v>
      </c>
      <c r="P113" s="152">
        <f t="shared" si="271"/>
        <v>0</v>
      </c>
      <c r="Q113" s="118" t="e">
        <f t="shared" si="216"/>
        <v>#DIV/0!</v>
      </c>
      <c r="R113" s="20"/>
      <c r="S113" s="152">
        <f t="shared" ref="S113:AB113" si="272">S31/S25</f>
        <v>0</v>
      </c>
      <c r="T113" s="152">
        <f t="shared" si="272"/>
        <v>0</v>
      </c>
      <c r="U113" s="152">
        <f t="shared" si="272"/>
        <v>0</v>
      </c>
      <c r="V113" s="152">
        <f t="shared" si="272"/>
        <v>0</v>
      </c>
      <c r="W113" s="152">
        <f t="shared" si="272"/>
        <v>0</v>
      </c>
      <c r="X113" s="152">
        <f t="shared" si="272"/>
        <v>0</v>
      </c>
      <c r="Y113" s="152">
        <f t="shared" si="272"/>
        <v>0</v>
      </c>
      <c r="Z113" s="152">
        <f t="shared" si="272"/>
        <v>0</v>
      </c>
      <c r="AA113" s="152">
        <f t="shared" si="272"/>
        <v>0</v>
      </c>
      <c r="AB113" s="152">
        <f t="shared" si="272"/>
        <v>0</v>
      </c>
      <c r="AC113" s="138" t="e">
        <f t="shared" si="218"/>
        <v>#DIV/0!</v>
      </c>
      <c r="AD113" s="20"/>
      <c r="AE113" s="20"/>
    </row>
    <row r="114" spans="2:31" x14ac:dyDescent="0.2">
      <c r="B114" s="20" t="s">
        <v>330</v>
      </c>
      <c r="C114" s="152"/>
      <c r="D114" s="152"/>
      <c r="E114" s="152"/>
      <c r="F114" s="152" t="e">
        <f>F32/F25</f>
        <v>#DIV/0!</v>
      </c>
      <c r="G114" s="152">
        <f>G32/G25</f>
        <v>0</v>
      </c>
      <c r="H114" s="152">
        <f t="shared" ref="H114:P114" si="273">H32/H25</f>
        <v>0</v>
      </c>
      <c r="I114" s="152">
        <f t="shared" si="273"/>
        <v>0</v>
      </c>
      <c r="J114" s="152">
        <f t="shared" si="273"/>
        <v>0</v>
      </c>
      <c r="K114" s="152">
        <f t="shared" si="273"/>
        <v>0</v>
      </c>
      <c r="L114" s="152">
        <f t="shared" si="273"/>
        <v>0</v>
      </c>
      <c r="M114" s="152">
        <f t="shared" si="273"/>
        <v>0</v>
      </c>
      <c r="N114" s="152">
        <f t="shared" si="273"/>
        <v>0</v>
      </c>
      <c r="O114" s="152">
        <f t="shared" si="273"/>
        <v>0</v>
      </c>
      <c r="P114" s="152">
        <f t="shared" si="273"/>
        <v>0</v>
      </c>
      <c r="Q114" s="118" t="e">
        <f t="shared" si="216"/>
        <v>#DIV/0!</v>
      </c>
      <c r="R114" s="20"/>
      <c r="S114" s="152">
        <f t="shared" ref="S114:AB114" si="274">S32/S25</f>
        <v>0</v>
      </c>
      <c r="T114" s="152">
        <f t="shared" si="274"/>
        <v>0</v>
      </c>
      <c r="U114" s="152">
        <f t="shared" si="274"/>
        <v>0</v>
      </c>
      <c r="V114" s="152">
        <f t="shared" si="274"/>
        <v>0</v>
      </c>
      <c r="W114" s="152">
        <f t="shared" si="274"/>
        <v>0</v>
      </c>
      <c r="X114" s="152">
        <f t="shared" si="274"/>
        <v>0</v>
      </c>
      <c r="Y114" s="152">
        <f t="shared" si="274"/>
        <v>0</v>
      </c>
      <c r="Z114" s="152">
        <f t="shared" si="274"/>
        <v>0</v>
      </c>
      <c r="AA114" s="152">
        <f t="shared" si="274"/>
        <v>0</v>
      </c>
      <c r="AB114" s="152">
        <f t="shared" si="274"/>
        <v>0</v>
      </c>
      <c r="AC114" s="138" t="e">
        <f t="shared" si="218"/>
        <v>#DIV/0!</v>
      </c>
      <c r="AD114" s="20"/>
      <c r="AE114" s="20"/>
    </row>
    <row r="115" spans="2:31" x14ac:dyDescent="0.2">
      <c r="B115" s="20"/>
      <c r="C115" s="20"/>
      <c r="D115" s="20"/>
      <c r="E115" s="20"/>
      <c r="F115" s="20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Q115" s="128"/>
      <c r="R115" s="20"/>
      <c r="S115" s="152"/>
      <c r="T115" s="152"/>
      <c r="U115" s="152"/>
      <c r="V115" s="152"/>
      <c r="W115" s="152"/>
      <c r="X115" s="152"/>
      <c r="Y115" s="152"/>
      <c r="Z115" s="152"/>
      <c r="AA115" s="152"/>
      <c r="AB115" s="152"/>
      <c r="AC115" s="128"/>
      <c r="AD115" s="20"/>
      <c r="AE115" s="20"/>
    </row>
    <row r="116" spans="2:31" x14ac:dyDescent="0.2">
      <c r="B116" s="20" t="s">
        <v>354</v>
      </c>
      <c r="C116" s="20"/>
      <c r="D116" s="20"/>
      <c r="E116" s="20"/>
      <c r="F116" s="20"/>
      <c r="G116" s="152">
        <f>G27/G25</f>
        <v>0.86269744835965978</v>
      </c>
      <c r="H116" s="152">
        <f t="shared" ref="H116:P116" si="275">H27/H25</f>
        <v>0.83595505617977528</v>
      </c>
      <c r="I116" s="152">
        <f t="shared" si="275"/>
        <v>0.80203908241291422</v>
      </c>
      <c r="J116" s="152">
        <f t="shared" si="275"/>
        <v>0.85117691723614275</v>
      </c>
      <c r="K116" s="152">
        <f t="shared" si="275"/>
        <v>0.84143605086013462</v>
      </c>
      <c r="L116" s="152">
        <f t="shared" si="275"/>
        <v>0.87975951903807614</v>
      </c>
      <c r="M116" s="152">
        <f t="shared" si="275"/>
        <v>0.84856535600425076</v>
      </c>
      <c r="N116" s="152">
        <f t="shared" si="275"/>
        <v>0.85696255784602438</v>
      </c>
      <c r="O116" s="152">
        <f t="shared" si="275"/>
        <v>0.87180397727272729</v>
      </c>
      <c r="P116" s="152">
        <f t="shared" si="275"/>
        <v>0.8861290322580645</v>
      </c>
      <c r="Q116" s="118">
        <f t="shared" si="216"/>
        <v>2.9820515252489965E-3</v>
      </c>
      <c r="R116" s="20"/>
      <c r="S116" s="152">
        <f t="shared" ref="S116:AB116" si="276">S27/S25</f>
        <v>0.8861290322580645</v>
      </c>
      <c r="T116" s="152">
        <f t="shared" si="276"/>
        <v>0.88612903225806439</v>
      </c>
      <c r="U116" s="152">
        <f t="shared" si="276"/>
        <v>0.88612903225806439</v>
      </c>
      <c r="V116" s="152">
        <f t="shared" si="276"/>
        <v>0.88612903225806439</v>
      </c>
      <c r="W116" s="152">
        <f t="shared" si="276"/>
        <v>0.88612903225806428</v>
      </c>
      <c r="X116" s="152">
        <f t="shared" si="276"/>
        <v>0.88612903225806428</v>
      </c>
      <c r="Y116" s="152">
        <f t="shared" si="276"/>
        <v>0.88612903225806428</v>
      </c>
      <c r="Z116" s="152">
        <f t="shared" si="276"/>
        <v>0.88612903225806439</v>
      </c>
      <c r="AA116" s="152">
        <f t="shared" si="276"/>
        <v>0.88612903225806439</v>
      </c>
      <c r="AB116" s="152">
        <f t="shared" si="276"/>
        <v>0.88612903225806439</v>
      </c>
      <c r="AC116" s="138">
        <f t="shared" si="218"/>
        <v>1.4114439013772628E-3</v>
      </c>
      <c r="AD116" s="20"/>
      <c r="AE116" s="20"/>
    </row>
    <row r="117" spans="2:31" x14ac:dyDescent="0.2">
      <c r="B117" s="20" t="str">
        <f>B33</f>
        <v>Top Expenses ( Raw material )</v>
      </c>
      <c r="C117" s="20"/>
      <c r="D117" s="20"/>
      <c r="E117" s="20"/>
      <c r="F117" s="20"/>
      <c r="G117" s="152">
        <f>G33/G25</f>
        <v>0.56500607533414338</v>
      </c>
      <c r="H117" s="152">
        <f t="shared" ref="H117:P117" si="277">H33/H25</f>
        <v>0.60449438202247197</v>
      </c>
      <c r="I117" s="152">
        <f t="shared" si="277"/>
        <v>0.55904842820730671</v>
      </c>
      <c r="J117" s="152">
        <f t="shared" si="277"/>
        <v>0.60060744115413822</v>
      </c>
      <c r="K117" s="152">
        <f t="shared" si="277"/>
        <v>0.62827225130890052</v>
      </c>
      <c r="L117" s="152">
        <f t="shared" si="277"/>
        <v>0.6112224448897795</v>
      </c>
      <c r="M117" s="152">
        <f t="shared" si="277"/>
        <v>0.5961742826780021</v>
      </c>
      <c r="N117" s="152">
        <f t="shared" si="277"/>
        <v>0.62179217501051742</v>
      </c>
      <c r="O117" s="152">
        <f t="shared" si="277"/>
        <v>0.64026988636363635</v>
      </c>
      <c r="P117" s="152">
        <f t="shared" si="277"/>
        <v>0.65354838709677421</v>
      </c>
      <c r="Q117" s="118">
        <f t="shared" si="216"/>
        <v>1.6307098199463077E-2</v>
      </c>
      <c r="R117" s="20"/>
      <c r="S117" s="152">
        <f t="shared" ref="S117:AB117" si="278">S33/S25</f>
        <v>0.65354838709677421</v>
      </c>
      <c r="T117" s="152">
        <f t="shared" si="278"/>
        <v>0.65354838709677421</v>
      </c>
      <c r="U117" s="152">
        <f t="shared" si="278"/>
        <v>0.65354838709677421</v>
      </c>
      <c r="V117" s="152">
        <f t="shared" si="278"/>
        <v>0.6535483870967741</v>
      </c>
      <c r="W117" s="152">
        <f t="shared" si="278"/>
        <v>0.6535483870967741</v>
      </c>
      <c r="X117" s="152">
        <f t="shared" si="278"/>
        <v>0.6535483870967741</v>
      </c>
      <c r="Y117" s="152">
        <f t="shared" si="278"/>
        <v>0.6535483870967741</v>
      </c>
      <c r="Z117" s="152">
        <f t="shared" si="278"/>
        <v>0.6535483870967741</v>
      </c>
      <c r="AA117" s="152">
        <f t="shared" si="278"/>
        <v>0.6535483870967741</v>
      </c>
      <c r="AB117" s="152">
        <f t="shared" si="278"/>
        <v>0.6535483870967741</v>
      </c>
      <c r="AC117" s="138">
        <f t="shared" si="218"/>
        <v>7.6915390492677815E-3</v>
      </c>
      <c r="AD117" s="20"/>
      <c r="AE117" s="20"/>
    </row>
    <row r="118" spans="2:31" x14ac:dyDescent="0.2">
      <c r="B118" s="20" t="str">
        <f>B34</f>
        <v>2nd highest Expenses Comp. ( Empl )</v>
      </c>
      <c r="C118" s="20"/>
      <c r="D118" s="20"/>
      <c r="E118" s="20"/>
      <c r="F118" s="20"/>
      <c r="G118" s="152">
        <f>G34/G25</f>
        <v>6.4398541919805583E-2</v>
      </c>
      <c r="H118" s="152">
        <f t="shared" ref="H118:P118" si="279">H34/H25</f>
        <v>5.5056179775280899E-2</v>
      </c>
      <c r="I118" s="152">
        <f t="shared" si="279"/>
        <v>4.5029736618521665E-2</v>
      </c>
      <c r="J118" s="152">
        <f t="shared" si="279"/>
        <v>4.5558086560364468E-2</v>
      </c>
      <c r="K118" s="152">
        <f t="shared" si="279"/>
        <v>5.1608077786088259E-2</v>
      </c>
      <c r="L118" s="152">
        <f t="shared" si="279"/>
        <v>4.9432197728790914E-2</v>
      </c>
      <c r="M118" s="152">
        <f t="shared" si="279"/>
        <v>4.0382571732199786E-2</v>
      </c>
      <c r="N118" s="152">
        <f t="shared" si="279"/>
        <v>3.8704249053428695E-2</v>
      </c>
      <c r="O118" s="152">
        <f t="shared" si="279"/>
        <v>3.7997159090909088E-2</v>
      </c>
      <c r="P118" s="152">
        <f t="shared" si="279"/>
        <v>3.8387096774193545E-2</v>
      </c>
      <c r="Q118" s="118">
        <f t="shared" si="216"/>
        <v>-5.586443131118779E-2</v>
      </c>
      <c r="R118" s="20"/>
      <c r="S118" s="152">
        <f t="shared" ref="S118:AB118" si="280">S34/S25</f>
        <v>3.8387096774193545E-2</v>
      </c>
      <c r="T118" s="152">
        <f t="shared" si="280"/>
        <v>3.8387096774193538E-2</v>
      </c>
      <c r="U118" s="152">
        <f t="shared" si="280"/>
        <v>3.8387096774193538E-2</v>
      </c>
      <c r="V118" s="152">
        <f t="shared" si="280"/>
        <v>3.8387096774193538E-2</v>
      </c>
      <c r="W118" s="152">
        <f t="shared" si="280"/>
        <v>3.8387096774193538E-2</v>
      </c>
      <c r="X118" s="152">
        <f t="shared" si="280"/>
        <v>3.8387096774193538E-2</v>
      </c>
      <c r="Y118" s="152">
        <f t="shared" si="280"/>
        <v>3.8387096774193538E-2</v>
      </c>
      <c r="Z118" s="152">
        <f t="shared" si="280"/>
        <v>3.8387096774193538E-2</v>
      </c>
      <c r="AA118" s="152">
        <f t="shared" si="280"/>
        <v>3.8387096774193531E-2</v>
      </c>
      <c r="AB118" s="152">
        <f t="shared" si="280"/>
        <v>3.8387096774193538E-2</v>
      </c>
      <c r="AC118" s="138">
        <f t="shared" si="218"/>
        <v>-2.6862585854983356E-2</v>
      </c>
      <c r="AD118" s="20"/>
      <c r="AE118" s="20"/>
    </row>
    <row r="119" spans="2:31" x14ac:dyDescent="0.2"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128"/>
      <c r="R119" s="128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39"/>
      <c r="AD119" s="20"/>
      <c r="AE119" s="20"/>
    </row>
    <row r="120" spans="2:31" x14ac:dyDescent="0.2">
      <c r="B120" s="108" t="s">
        <v>362</v>
      </c>
      <c r="C120" s="20"/>
      <c r="D120" s="20"/>
      <c r="E120" s="20"/>
      <c r="F120" s="20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118"/>
      <c r="R120" s="128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138"/>
      <c r="AD120" s="20"/>
      <c r="AE120" s="20"/>
    </row>
    <row r="121" spans="2:31" x14ac:dyDescent="0.2">
      <c r="B121" s="20" t="s">
        <v>365</v>
      </c>
      <c r="C121" s="20"/>
      <c r="D121" s="20"/>
      <c r="E121" s="20"/>
      <c r="F121" s="20"/>
      <c r="G121" s="25">
        <f>G15/G9</f>
        <v>1.5695364238410596</v>
      </c>
      <c r="H121" s="25">
        <f t="shared" ref="H121:AB121" si="281">H15/H9</f>
        <v>1.5782312925170068</v>
      </c>
      <c r="I121" s="25">
        <f t="shared" si="281"/>
        <v>2.1806451612903226</v>
      </c>
      <c r="J121" s="25">
        <f t="shared" si="281"/>
        <v>2.5222929936305731</v>
      </c>
      <c r="K121" s="25">
        <f t="shared" si="281"/>
        <v>1.6174496644295302</v>
      </c>
      <c r="L121" s="25">
        <f t="shared" si="281"/>
        <v>1.6857142857142857</v>
      </c>
      <c r="M121" s="25">
        <f t="shared" si="281"/>
        <v>1.7081967213114755</v>
      </c>
      <c r="N121" s="25">
        <f t="shared" si="281"/>
        <v>1.8016528925619835</v>
      </c>
      <c r="O121" s="25">
        <f t="shared" si="281"/>
        <v>1.9377777777777778</v>
      </c>
      <c r="P121" s="25">
        <f t="shared" si="281"/>
        <v>1.6984924623115578</v>
      </c>
      <c r="Q121" s="118">
        <f t="shared" si="216"/>
        <v>8.8120177290125223E-3</v>
      </c>
      <c r="R121" s="20"/>
      <c r="S121" s="20">
        <f t="shared" si="281"/>
        <v>1.6984924623115578</v>
      </c>
      <c r="T121" s="20">
        <f t="shared" si="281"/>
        <v>1.6984924623115578</v>
      </c>
      <c r="U121" s="20">
        <f t="shared" si="281"/>
        <v>1.698492462311558</v>
      </c>
      <c r="V121" s="20">
        <f t="shared" si="281"/>
        <v>1.6984924623115578</v>
      </c>
      <c r="W121" s="20">
        <f t="shared" si="281"/>
        <v>1.698492462311558</v>
      </c>
      <c r="X121" s="20">
        <f t="shared" si="281"/>
        <v>1.6984924623115583</v>
      </c>
      <c r="Y121" s="20">
        <f t="shared" si="281"/>
        <v>1.6984924623115583</v>
      </c>
      <c r="Z121" s="20">
        <f t="shared" si="281"/>
        <v>1.6984924623115583</v>
      </c>
      <c r="AA121" s="20">
        <f t="shared" si="281"/>
        <v>1.698492462311558</v>
      </c>
      <c r="AB121" s="20">
        <f t="shared" si="281"/>
        <v>1.6984924623115583</v>
      </c>
      <c r="AC121" s="138">
        <f t="shared" si="218"/>
        <v>4.1644772481990167E-3</v>
      </c>
      <c r="AD121" s="20"/>
      <c r="AE121" s="20"/>
    </row>
    <row r="122" spans="2:31" x14ac:dyDescent="0.2">
      <c r="B122" s="20" t="s">
        <v>355</v>
      </c>
      <c r="C122" s="20"/>
      <c r="D122" s="20"/>
      <c r="E122" s="20"/>
      <c r="F122" s="20"/>
      <c r="G122" s="25">
        <f>G12/G9</f>
        <v>0.123841059602649</v>
      </c>
      <c r="H122" s="25">
        <f t="shared" ref="H122:P122" si="282">H12/H9</f>
        <v>8.8435374149659865E-2</v>
      </c>
      <c r="I122" s="25">
        <f t="shared" si="282"/>
        <v>0.1032258064516129</v>
      </c>
      <c r="J122" s="25">
        <f t="shared" si="282"/>
        <v>0.13375796178343949</v>
      </c>
      <c r="K122" s="25">
        <f t="shared" si="282"/>
        <v>9.5973154362416116E-2</v>
      </c>
      <c r="L122" s="25">
        <f t="shared" si="282"/>
        <v>0.30612244897959184</v>
      </c>
      <c r="M122" s="25">
        <f t="shared" si="282"/>
        <v>0.13442622950819672</v>
      </c>
      <c r="N122" s="25">
        <f t="shared" si="282"/>
        <v>0.11019283746556474</v>
      </c>
      <c r="O122" s="25">
        <f t="shared" si="282"/>
        <v>0.13111111111111112</v>
      </c>
      <c r="P122" s="25">
        <f t="shared" si="282"/>
        <v>0.10050251256281408</v>
      </c>
      <c r="Q122" s="118">
        <f t="shared" si="216"/>
        <v>-2.2934712047488648E-2</v>
      </c>
      <c r="R122" s="128"/>
      <c r="S122" s="20">
        <f t="shared" ref="S122:AB122" si="283">S12/S9</f>
        <v>0.10050251256281406</v>
      </c>
      <c r="T122" s="20">
        <f t="shared" si="283"/>
        <v>0.10050251256281406</v>
      </c>
      <c r="U122" s="20">
        <f t="shared" si="283"/>
        <v>0.10050251256281406</v>
      </c>
      <c r="V122" s="20">
        <f t="shared" si="283"/>
        <v>0.10050251256281406</v>
      </c>
      <c r="W122" s="20">
        <f t="shared" si="283"/>
        <v>0.10050251256281406</v>
      </c>
      <c r="X122" s="20">
        <f t="shared" si="283"/>
        <v>0.10050251256281408</v>
      </c>
      <c r="Y122" s="20">
        <f t="shared" si="283"/>
        <v>0.10050251256281408</v>
      </c>
      <c r="Z122" s="20">
        <f t="shared" si="283"/>
        <v>0.10050251256281408</v>
      </c>
      <c r="AA122" s="20">
        <f t="shared" si="283"/>
        <v>0.10050251256281408</v>
      </c>
      <c r="AB122" s="20">
        <f t="shared" si="283"/>
        <v>0.10050251256281408</v>
      </c>
      <c r="AC122" s="118">
        <f t="shared" ref="AC122" si="284">((AB122/S122)^(1/($H$2-$H$1) ))-1</f>
        <v>0</v>
      </c>
      <c r="AD122" s="20"/>
      <c r="AE122" s="20"/>
    </row>
    <row r="123" spans="2:31" x14ac:dyDescent="0.2">
      <c r="B123" s="20" t="s">
        <v>357</v>
      </c>
      <c r="C123" s="20"/>
      <c r="D123" s="20"/>
      <c r="E123" s="20"/>
      <c r="F123" s="20"/>
      <c r="G123" s="25">
        <f>G25/360</f>
        <v>2.286111111111111</v>
      </c>
      <c r="H123" s="25">
        <f t="shared" ref="H123:P123" si="285">H25/360</f>
        <v>2.4722222222222223</v>
      </c>
      <c r="I123" s="25">
        <f t="shared" si="285"/>
        <v>3.2694444444444444</v>
      </c>
      <c r="J123" s="25">
        <f t="shared" si="285"/>
        <v>3.6583333333333332</v>
      </c>
      <c r="K123" s="25">
        <f t="shared" si="285"/>
        <v>3.713888888888889</v>
      </c>
      <c r="L123" s="25">
        <f t="shared" si="285"/>
        <v>4.1583333333333332</v>
      </c>
      <c r="M123" s="25">
        <f t="shared" si="285"/>
        <v>5.2277777777777779</v>
      </c>
      <c r="N123" s="25">
        <f t="shared" si="285"/>
        <v>6.6027777777777779</v>
      </c>
      <c r="O123" s="25">
        <f t="shared" si="285"/>
        <v>7.822222222222222</v>
      </c>
      <c r="P123" s="25">
        <f t="shared" si="285"/>
        <v>8.6111111111111107</v>
      </c>
      <c r="Q123" s="118">
        <f t="shared" si="216"/>
        <v>0.15876604863316812</v>
      </c>
      <c r="R123" s="128"/>
      <c r="S123" s="25">
        <f t="shared" ref="S123:AB123" si="286">S25/360</f>
        <v>9.4722222222222232</v>
      </c>
      <c r="T123" s="25">
        <f t="shared" si="286"/>
        <v>10.419444444444448</v>
      </c>
      <c r="U123" s="25">
        <f t="shared" si="286"/>
        <v>11.461388888888893</v>
      </c>
      <c r="V123" s="25">
        <f t="shared" si="286"/>
        <v>12.607527777777783</v>
      </c>
      <c r="W123" s="25">
        <f t="shared" si="286"/>
        <v>13.868280555555563</v>
      </c>
      <c r="X123" s="25">
        <f t="shared" si="286"/>
        <v>15.255108611111122</v>
      </c>
      <c r="Y123" s="25">
        <f t="shared" si="286"/>
        <v>16.780619472222234</v>
      </c>
      <c r="Z123" s="25">
        <f t="shared" si="286"/>
        <v>18.45868141944446</v>
      </c>
      <c r="AA123" s="25">
        <f t="shared" si="286"/>
        <v>20.304549561388907</v>
      </c>
      <c r="AB123" s="25">
        <f t="shared" si="286"/>
        <v>22.3350045175278</v>
      </c>
      <c r="AC123" s="118">
        <f t="shared" ref="AC123:AC134" si="287">((AB123/S123)^(1/($H$2-$H$1) ))-1</f>
        <v>0.10000000000000009</v>
      </c>
      <c r="AD123" s="20"/>
      <c r="AE123" s="20"/>
    </row>
    <row r="124" spans="2:31" x14ac:dyDescent="0.2">
      <c r="B124" s="20" t="s">
        <v>356</v>
      </c>
      <c r="C124" s="20"/>
      <c r="D124" s="20"/>
      <c r="E124" s="20"/>
      <c r="F124" s="20"/>
      <c r="G124" s="25">
        <f>G27/360</f>
        <v>1.9722222222222223</v>
      </c>
      <c r="H124" s="25">
        <f t="shared" ref="H124:P124" si="288">H27/360</f>
        <v>2.0666666666666669</v>
      </c>
      <c r="I124" s="25">
        <f t="shared" si="288"/>
        <v>2.6222222222222222</v>
      </c>
      <c r="J124" s="25">
        <f t="shared" si="288"/>
        <v>3.1138888888888889</v>
      </c>
      <c r="K124" s="25">
        <f t="shared" si="288"/>
        <v>3.125</v>
      </c>
      <c r="L124" s="25">
        <f t="shared" si="288"/>
        <v>3.6583333333333332</v>
      </c>
      <c r="M124" s="25">
        <f t="shared" si="288"/>
        <v>4.4361111111111109</v>
      </c>
      <c r="N124" s="25">
        <f t="shared" si="288"/>
        <v>5.6583333333333332</v>
      </c>
      <c r="O124" s="25">
        <f t="shared" si="288"/>
        <v>6.8194444444444446</v>
      </c>
      <c r="P124" s="25">
        <f t="shared" si="288"/>
        <v>7.6305555555555555</v>
      </c>
      <c r="Q124" s="118">
        <f t="shared" si="216"/>
        <v>0.16222154869590133</v>
      </c>
      <c r="R124" s="128"/>
      <c r="S124" s="25">
        <f t="shared" ref="S124:AB124" si="289">S27/360</f>
        <v>8.3936111111111114</v>
      </c>
      <c r="T124" s="25">
        <f t="shared" si="289"/>
        <v>9.232972222222223</v>
      </c>
      <c r="U124" s="25">
        <f t="shared" si="289"/>
        <v>10.156269444444446</v>
      </c>
      <c r="V124" s="25">
        <f t="shared" si="289"/>
        <v>11.171896388888891</v>
      </c>
      <c r="W124" s="25">
        <f t="shared" si="289"/>
        <v>12.289086027777783</v>
      </c>
      <c r="X124" s="25">
        <f t="shared" si="289"/>
        <v>13.517994630555561</v>
      </c>
      <c r="Y124" s="25">
        <f t="shared" si="289"/>
        <v>14.869794093611118</v>
      </c>
      <c r="Z124" s="25">
        <f t="shared" si="289"/>
        <v>16.356773502972231</v>
      </c>
      <c r="AA124" s="25">
        <f t="shared" si="289"/>
        <v>17.992450853269457</v>
      </c>
      <c r="AB124" s="25">
        <f t="shared" si="289"/>
        <v>19.791695938596405</v>
      </c>
      <c r="AC124" s="118">
        <f t="shared" si="287"/>
        <v>0.10000000000000009</v>
      </c>
      <c r="AD124" s="20"/>
      <c r="AE124" s="20"/>
    </row>
    <row r="125" spans="2:31" x14ac:dyDescent="0.2">
      <c r="B125" s="20"/>
      <c r="C125" s="20"/>
      <c r="D125" s="20"/>
      <c r="E125" s="20"/>
      <c r="F125" s="20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128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128"/>
      <c r="AD125" s="20"/>
      <c r="AE125" s="20"/>
    </row>
    <row r="126" spans="2:31" x14ac:dyDescent="0.2">
      <c r="B126" s="20" t="s">
        <v>366</v>
      </c>
      <c r="C126" s="20"/>
      <c r="D126" s="20"/>
      <c r="E126" s="20"/>
      <c r="F126" s="20"/>
      <c r="G126" s="25">
        <f>G10/G7</f>
        <v>0.26415094339622641</v>
      </c>
      <c r="H126" s="25">
        <f t="shared" ref="H126:P126" si="290">H10/H7</f>
        <v>0.26934984520123839</v>
      </c>
      <c r="I126" s="25">
        <f t="shared" si="290"/>
        <v>0.27093596059113301</v>
      </c>
      <c r="J126" s="25">
        <f t="shared" si="290"/>
        <v>0.19178082191780821</v>
      </c>
      <c r="K126" s="25">
        <f t="shared" si="290"/>
        <v>0.25290697674418605</v>
      </c>
      <c r="L126" s="25">
        <f t="shared" si="290"/>
        <v>0.14220183486238533</v>
      </c>
      <c r="M126" s="25">
        <f t="shared" si="290"/>
        <v>0.14248704663212436</v>
      </c>
      <c r="N126" s="25">
        <f t="shared" si="290"/>
        <v>8.9519650655021835E-2</v>
      </c>
      <c r="O126" s="25">
        <f t="shared" si="290"/>
        <v>6.4910630291627469E-2</v>
      </c>
      <c r="P126" s="25">
        <f t="shared" si="290"/>
        <v>4.6656298600311043E-2</v>
      </c>
      <c r="Q126" s="118">
        <f t="shared" si="216"/>
        <v>-0.17521682960873952</v>
      </c>
      <c r="R126" s="128"/>
      <c r="S126" s="25">
        <f t="shared" ref="S126:AB126" si="291">S10/S7</f>
        <v>4.6656298600311036E-2</v>
      </c>
      <c r="T126" s="25">
        <f t="shared" si="291"/>
        <v>4.6656298600311043E-2</v>
      </c>
      <c r="U126" s="25">
        <f t="shared" si="291"/>
        <v>4.6656298600311036E-2</v>
      </c>
      <c r="V126" s="25">
        <f t="shared" si="291"/>
        <v>4.6656298600311036E-2</v>
      </c>
      <c r="W126" s="25">
        <f t="shared" si="291"/>
        <v>4.6656298600311036E-2</v>
      </c>
      <c r="X126" s="25">
        <f t="shared" si="291"/>
        <v>4.6656298600311036E-2</v>
      </c>
      <c r="Y126" s="25">
        <f t="shared" si="291"/>
        <v>4.6656298600311036E-2</v>
      </c>
      <c r="Z126" s="25">
        <f t="shared" si="291"/>
        <v>4.6656298600311036E-2</v>
      </c>
      <c r="AA126" s="25">
        <f t="shared" si="291"/>
        <v>4.6656298600311036E-2</v>
      </c>
      <c r="AB126" s="25">
        <f t="shared" si="291"/>
        <v>4.6656298600311029E-2</v>
      </c>
      <c r="AC126" s="118">
        <f t="shared" si="287"/>
        <v>0</v>
      </c>
      <c r="AD126" s="20"/>
      <c r="AE126" s="20"/>
    </row>
    <row r="127" spans="2:31" x14ac:dyDescent="0.2">
      <c r="B127" s="20" t="s">
        <v>358</v>
      </c>
      <c r="C127" s="20"/>
      <c r="D127" s="20"/>
      <c r="E127" s="20"/>
      <c r="F127" s="20"/>
      <c r="G127" s="25">
        <f>G10/(G10+G7)</f>
        <v>0.20895522388059701</v>
      </c>
      <c r="H127" s="25">
        <f t="shared" ref="H127:P127" si="292">H10/(H10+H7)</f>
        <v>0.21219512195121951</v>
      </c>
      <c r="I127" s="25">
        <f t="shared" si="292"/>
        <v>0.2131782945736434</v>
      </c>
      <c r="J127" s="25">
        <f t="shared" si="292"/>
        <v>0.16091954022988506</v>
      </c>
      <c r="K127" s="25">
        <f t="shared" si="292"/>
        <v>0.20185614849187936</v>
      </c>
      <c r="L127" s="25">
        <f t="shared" si="292"/>
        <v>0.12449799196787148</v>
      </c>
      <c r="M127" s="25">
        <f t="shared" si="292"/>
        <v>0.12471655328798185</v>
      </c>
      <c r="N127" s="25">
        <f t="shared" si="292"/>
        <v>8.2164328657314628E-2</v>
      </c>
      <c r="O127" s="25">
        <f t="shared" si="292"/>
        <v>6.0954063604240286E-2</v>
      </c>
      <c r="P127" s="25">
        <f t="shared" si="292"/>
        <v>4.4576523031203567E-2</v>
      </c>
      <c r="Q127" s="118">
        <f t="shared" si="216"/>
        <v>-0.15773194645361022</v>
      </c>
      <c r="R127" s="128"/>
      <c r="S127" s="25">
        <f t="shared" ref="S127:AB127" si="293">S10/(S10+S7)</f>
        <v>4.457652303120356E-2</v>
      </c>
      <c r="T127" s="25">
        <f t="shared" si="293"/>
        <v>4.4576523031203567E-2</v>
      </c>
      <c r="U127" s="25">
        <f t="shared" si="293"/>
        <v>4.4576523031203567E-2</v>
      </c>
      <c r="V127" s="25">
        <f t="shared" si="293"/>
        <v>4.457652303120356E-2</v>
      </c>
      <c r="W127" s="25">
        <f t="shared" si="293"/>
        <v>4.4576523031203567E-2</v>
      </c>
      <c r="X127" s="25">
        <f t="shared" si="293"/>
        <v>4.4576523031203567E-2</v>
      </c>
      <c r="Y127" s="25">
        <f t="shared" si="293"/>
        <v>4.457652303120356E-2</v>
      </c>
      <c r="Z127" s="25">
        <f t="shared" si="293"/>
        <v>4.4576523031203567E-2</v>
      </c>
      <c r="AA127" s="25">
        <f t="shared" si="293"/>
        <v>4.457652303120356E-2</v>
      </c>
      <c r="AB127" s="25">
        <f t="shared" si="293"/>
        <v>4.4576523031203553E-2</v>
      </c>
      <c r="AC127" s="118">
        <f t="shared" si="287"/>
        <v>0</v>
      </c>
      <c r="AD127" s="20"/>
      <c r="AE127" s="20"/>
    </row>
    <row r="128" spans="2:31" x14ac:dyDescent="0.2">
      <c r="B128" s="20"/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128"/>
      <c r="R128" s="128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137"/>
      <c r="AD128" s="20"/>
      <c r="AE128" s="20"/>
    </row>
    <row r="129" spans="2:31" x14ac:dyDescent="0.2">
      <c r="B129" s="20" t="s">
        <v>363</v>
      </c>
      <c r="C129" s="20"/>
      <c r="D129" s="20"/>
      <c r="E129" s="20"/>
      <c r="F129" s="20"/>
      <c r="G129" s="25">
        <f>G16</f>
        <v>96</v>
      </c>
      <c r="H129" s="25">
        <f t="shared" ref="H129:P129" si="294">H16</f>
        <v>70</v>
      </c>
      <c r="I129" s="25">
        <f t="shared" si="294"/>
        <v>174</v>
      </c>
      <c r="J129" s="25">
        <f t="shared" si="294"/>
        <v>259</v>
      </c>
      <c r="K129" s="25">
        <f t="shared" si="294"/>
        <v>74</v>
      </c>
      <c r="L129" s="25">
        <f t="shared" si="294"/>
        <v>181</v>
      </c>
      <c r="M129" s="25">
        <f t="shared" si="294"/>
        <v>175</v>
      </c>
      <c r="N129" s="25">
        <f t="shared" si="294"/>
        <v>245</v>
      </c>
      <c r="O129" s="25">
        <f t="shared" si="294"/>
        <v>373</v>
      </c>
      <c r="P129" s="25">
        <f t="shared" si="294"/>
        <v>388</v>
      </c>
      <c r="Q129" s="118">
        <f t="shared" si="216"/>
        <v>0.16787297892614195</v>
      </c>
      <c r="R129" s="128"/>
      <c r="S129" s="25">
        <f t="shared" ref="S129:AB129" si="295">S16</f>
        <v>426.8</v>
      </c>
      <c r="T129" s="25">
        <f t="shared" si="295"/>
        <v>469.48000000000008</v>
      </c>
      <c r="U129" s="25">
        <f t="shared" si="295"/>
        <v>516.42800000000011</v>
      </c>
      <c r="V129" s="25">
        <f t="shared" si="295"/>
        <v>568.07080000000019</v>
      </c>
      <c r="W129" s="25">
        <f t="shared" si="295"/>
        <v>624.87788000000023</v>
      </c>
      <c r="X129" s="25">
        <f t="shared" si="295"/>
        <v>687.36566800000026</v>
      </c>
      <c r="Y129" s="25">
        <f t="shared" si="295"/>
        <v>756.10223480000036</v>
      </c>
      <c r="Z129" s="25">
        <f t="shared" si="295"/>
        <v>831.71245828000042</v>
      </c>
      <c r="AA129" s="25">
        <f t="shared" si="295"/>
        <v>914.88370410800053</v>
      </c>
      <c r="AB129" s="25">
        <f t="shared" si="295"/>
        <v>1006.3720745188007</v>
      </c>
      <c r="AC129" s="118">
        <f t="shared" si="287"/>
        <v>0.10000000000000009</v>
      </c>
      <c r="AD129" s="20"/>
      <c r="AE129" s="20"/>
    </row>
    <row r="130" spans="2:31" x14ac:dyDescent="0.2">
      <c r="B130" s="20" t="s">
        <v>364</v>
      </c>
      <c r="C130" s="20"/>
      <c r="D130" s="20"/>
      <c r="E130" s="20"/>
      <c r="F130" s="20"/>
      <c r="G130" s="119">
        <f t="shared" ref="G130:P130" si="296">G129*365/G25</f>
        <v>42.575941676792226</v>
      </c>
      <c r="H130" s="119">
        <f t="shared" si="296"/>
        <v>28.707865168539325</v>
      </c>
      <c r="I130" s="119">
        <f t="shared" si="296"/>
        <v>53.959218351741718</v>
      </c>
      <c r="J130" s="119">
        <f t="shared" si="296"/>
        <v>71.780561883067577</v>
      </c>
      <c r="K130" s="119">
        <f t="shared" si="296"/>
        <v>20.201944652206432</v>
      </c>
      <c r="L130" s="119">
        <f t="shared" si="296"/>
        <v>44.131596526386105</v>
      </c>
      <c r="M130" s="119">
        <f t="shared" si="296"/>
        <v>33.939957492029755</v>
      </c>
      <c r="N130" s="119">
        <f t="shared" si="296"/>
        <v>37.620950778291963</v>
      </c>
      <c r="O130" s="119">
        <f t="shared" si="296"/>
        <v>48.346946022727273</v>
      </c>
      <c r="P130" s="119">
        <f t="shared" si="296"/>
        <v>45.683870967741939</v>
      </c>
      <c r="Q130" s="118">
        <f t="shared" si="216"/>
        <v>7.8591621697201575E-3</v>
      </c>
      <c r="R130" s="128"/>
      <c r="S130" s="119">
        <f t="shared" ref="S130:AB130" si="297">S129*365/S25</f>
        <v>45.683870967741932</v>
      </c>
      <c r="T130" s="119">
        <f t="shared" si="297"/>
        <v>45.683870967741939</v>
      </c>
      <c r="U130" s="119">
        <f t="shared" si="297"/>
        <v>45.683870967741932</v>
      </c>
      <c r="V130" s="119">
        <f t="shared" si="297"/>
        <v>45.683870967741932</v>
      </c>
      <c r="W130" s="119">
        <f t="shared" si="297"/>
        <v>45.683870967741925</v>
      </c>
      <c r="X130" s="119">
        <f t="shared" si="297"/>
        <v>45.683870967741925</v>
      </c>
      <c r="Y130" s="119">
        <f t="shared" si="297"/>
        <v>45.683870967741917</v>
      </c>
      <c r="Z130" s="119">
        <f t="shared" si="297"/>
        <v>45.683870967741925</v>
      </c>
      <c r="AA130" s="119">
        <f t="shared" si="297"/>
        <v>45.683870967741925</v>
      </c>
      <c r="AB130" s="119">
        <f t="shared" si="297"/>
        <v>45.683870967741925</v>
      </c>
      <c r="AC130" s="118">
        <f t="shared" si="287"/>
        <v>0</v>
      </c>
      <c r="AD130" s="20"/>
      <c r="AE130" s="20"/>
    </row>
    <row r="131" spans="2:31" x14ac:dyDescent="0.2">
      <c r="B131" s="20" t="s">
        <v>367</v>
      </c>
      <c r="C131" s="20"/>
      <c r="D131" s="20"/>
      <c r="E131" s="20"/>
      <c r="F131" s="20"/>
      <c r="G131" s="133">
        <f>G78/G29</f>
        <v>27.18954248366013</v>
      </c>
      <c r="H131" s="133">
        <f t="shared" ref="H131:P131" si="298">H78/H29</f>
        <v>66.717596129360842</v>
      </c>
      <c r="I131" s="133">
        <f t="shared" si="298"/>
        <v>24.627450980392158</v>
      </c>
      <c r="J131" s="133">
        <f t="shared" si="298"/>
        <v>67.450980392156865</v>
      </c>
      <c r="K131" s="133">
        <f t="shared" si="298"/>
        <v>38.612417589188524</v>
      </c>
      <c r="L131" s="133">
        <f t="shared" si="298"/>
        <v>25.989406849360137</v>
      </c>
      <c r="M131" s="133">
        <f t="shared" si="298"/>
        <v>60.06890923927827</v>
      </c>
      <c r="N131" s="133">
        <f t="shared" si="298"/>
        <v>43.974975065735784</v>
      </c>
      <c r="O131" s="133">
        <f t="shared" si="298"/>
        <v>693.92812887236676</v>
      </c>
      <c r="P131" s="133">
        <f t="shared" si="298"/>
        <v>92.390115897660181</v>
      </c>
      <c r="Q131" s="118">
        <f t="shared" si="216"/>
        <v>0.14557847759097564</v>
      </c>
      <c r="R131" s="128"/>
      <c r="S131" s="133">
        <f t="shared" ref="S131:AB131" si="299">S78/S29</f>
        <v>92.390115897660181</v>
      </c>
      <c r="T131" s="133">
        <f t="shared" si="299"/>
        <v>92.390115897660166</v>
      </c>
      <c r="U131" s="133">
        <f t="shared" si="299"/>
        <v>92.390115897660166</v>
      </c>
      <c r="V131" s="133">
        <f t="shared" si="299"/>
        <v>92.390115897660152</v>
      </c>
      <c r="W131" s="133">
        <f t="shared" si="299"/>
        <v>92.390115897660152</v>
      </c>
      <c r="X131" s="133">
        <f t="shared" si="299"/>
        <v>92.390115897660138</v>
      </c>
      <c r="Y131" s="133">
        <f t="shared" si="299"/>
        <v>92.390115897660152</v>
      </c>
      <c r="Z131" s="133">
        <f t="shared" si="299"/>
        <v>92.390115897660138</v>
      </c>
      <c r="AA131" s="133">
        <f t="shared" si="299"/>
        <v>92.390115897660138</v>
      </c>
      <c r="AB131" s="133">
        <f t="shared" si="299"/>
        <v>92.390115897660138</v>
      </c>
      <c r="AC131" s="118">
        <f t="shared" si="287"/>
        <v>0</v>
      </c>
      <c r="AD131" s="20"/>
      <c r="AE131" s="20"/>
    </row>
    <row r="132" spans="2:31" x14ac:dyDescent="0.2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128"/>
      <c r="R132" s="128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137"/>
      <c r="AD132" s="20"/>
      <c r="AE132" s="20"/>
    </row>
    <row r="133" spans="2:31" x14ac:dyDescent="0.2">
      <c r="B133" s="20" t="s">
        <v>374</v>
      </c>
      <c r="C133" s="20"/>
      <c r="D133" s="20"/>
      <c r="E133" s="20"/>
      <c r="F133" s="20"/>
      <c r="G133" s="180">
        <f>G25/G14</f>
        <v>7.6915887850467293</v>
      </c>
      <c r="H133" s="180">
        <f t="shared" ref="H133:P133" si="300">H25/H14</f>
        <v>7.807017543859649</v>
      </c>
      <c r="I133" s="180">
        <f t="shared" si="300"/>
        <v>6.6123595505617976</v>
      </c>
      <c r="J133" s="180">
        <f t="shared" si="300"/>
        <v>7.3166666666666664</v>
      </c>
      <c r="K133" s="180">
        <f t="shared" si="300"/>
        <v>11.330508474576272</v>
      </c>
      <c r="L133" s="180">
        <f t="shared" si="300"/>
        <v>8.8058823529411772</v>
      </c>
      <c r="M133" s="180">
        <f t="shared" si="300"/>
        <v>7.619433198380567</v>
      </c>
      <c r="N133" s="180">
        <f t="shared" si="300"/>
        <v>6.7146892655367232</v>
      </c>
      <c r="O133" s="180">
        <f t="shared" si="300"/>
        <v>6.2163355408388519</v>
      </c>
      <c r="P133" s="180">
        <f t="shared" si="300"/>
        <v>5.8052434456928843</v>
      </c>
      <c r="Q133" s="118">
        <f t="shared" si="216"/>
        <v>-3.0779237827666672E-2</v>
      </c>
      <c r="R133" s="128"/>
      <c r="S133" s="20">
        <f t="shared" ref="S133" si="301">S25/S14</f>
        <v>5.8052434456928834</v>
      </c>
      <c r="T133" s="20">
        <f t="shared" ref="T133:AB133" si="302">T25/T14</f>
        <v>5.8052434456928843</v>
      </c>
      <c r="U133" s="20">
        <f t="shared" si="302"/>
        <v>5.8052434456928843</v>
      </c>
      <c r="V133" s="20">
        <f t="shared" si="302"/>
        <v>5.8052434456928852</v>
      </c>
      <c r="W133" s="20">
        <f t="shared" si="302"/>
        <v>5.8052434456928852</v>
      </c>
      <c r="X133" s="20">
        <f t="shared" si="302"/>
        <v>5.8052434456928852</v>
      </c>
      <c r="Y133" s="20">
        <f t="shared" si="302"/>
        <v>5.8052434456928843</v>
      </c>
      <c r="Z133" s="20">
        <f t="shared" si="302"/>
        <v>5.8052434456928843</v>
      </c>
      <c r="AA133" s="20">
        <f t="shared" si="302"/>
        <v>5.8052434456928834</v>
      </c>
      <c r="AB133" s="20">
        <f t="shared" si="302"/>
        <v>5.8052434456928834</v>
      </c>
      <c r="AC133" s="118">
        <f t="shared" si="287"/>
        <v>0</v>
      </c>
      <c r="AD133" s="20"/>
      <c r="AE133" s="20"/>
    </row>
    <row r="134" spans="2:31" x14ac:dyDescent="0.2">
      <c r="B134" s="20" t="s">
        <v>375</v>
      </c>
      <c r="C134" s="20"/>
      <c r="D134" s="20"/>
      <c r="E134" s="20"/>
      <c r="F134" s="20"/>
      <c r="G134" s="180">
        <f>G27/G14</f>
        <v>6.6355140186915884</v>
      </c>
      <c r="H134" s="180">
        <f t="shared" ref="H134:P134" si="303">H27/H14</f>
        <v>6.5263157894736841</v>
      </c>
      <c r="I134" s="180">
        <f t="shared" si="303"/>
        <v>5.3033707865168536</v>
      </c>
      <c r="J134" s="180">
        <f t="shared" si="303"/>
        <v>6.2277777777777779</v>
      </c>
      <c r="K134" s="180">
        <f t="shared" si="303"/>
        <v>9.5338983050847457</v>
      </c>
      <c r="L134" s="180">
        <f t="shared" si="303"/>
        <v>7.7470588235294118</v>
      </c>
      <c r="M134" s="180">
        <f t="shared" si="303"/>
        <v>6.4655870445344128</v>
      </c>
      <c r="N134" s="180">
        <f t="shared" si="303"/>
        <v>5.7542372881355934</v>
      </c>
      <c r="O134" s="180">
        <f t="shared" si="303"/>
        <v>5.4194260485651213</v>
      </c>
      <c r="P134" s="180">
        <f t="shared" si="303"/>
        <v>5.1441947565543069</v>
      </c>
      <c r="Q134" s="118">
        <f t="shared" si="216"/>
        <v>-2.788897157552761E-2</v>
      </c>
      <c r="R134" s="128"/>
      <c r="S134" s="20">
        <f t="shared" ref="S134:AB134" si="304">S27/S14</f>
        <v>5.1441947565543069</v>
      </c>
      <c r="T134" s="20">
        <f t="shared" si="304"/>
        <v>5.1441947565543069</v>
      </c>
      <c r="U134" s="20">
        <f t="shared" si="304"/>
        <v>5.1441947565543069</v>
      </c>
      <c r="V134" s="20">
        <f t="shared" si="304"/>
        <v>5.1441947565543069</v>
      </c>
      <c r="W134" s="20">
        <f t="shared" si="304"/>
        <v>5.1441947565543069</v>
      </c>
      <c r="X134" s="20">
        <f t="shared" si="304"/>
        <v>5.1441947565543069</v>
      </c>
      <c r="Y134" s="20">
        <f t="shared" si="304"/>
        <v>5.1441947565543069</v>
      </c>
      <c r="Z134" s="20">
        <f t="shared" si="304"/>
        <v>5.144194756554306</v>
      </c>
      <c r="AA134" s="20">
        <f t="shared" si="304"/>
        <v>5.144194756554306</v>
      </c>
      <c r="AB134" s="20">
        <f t="shared" si="304"/>
        <v>5.144194756554306</v>
      </c>
      <c r="AC134" s="118">
        <f t="shared" si="287"/>
        <v>0</v>
      </c>
      <c r="AD134" s="20"/>
      <c r="AE134" s="20"/>
    </row>
    <row r="135" spans="2:31" x14ac:dyDescent="0.2"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128"/>
      <c r="R135" s="128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37"/>
      <c r="AD135" s="20"/>
      <c r="AE135" s="20"/>
    </row>
    <row r="136" spans="2:31" x14ac:dyDescent="0.2">
      <c r="B136" s="108" t="s">
        <v>244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3"/>
      <c r="R136" s="23"/>
      <c r="S136" s="122" t="s">
        <v>66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137"/>
      <c r="AD136" s="20"/>
      <c r="AE136" s="20"/>
    </row>
    <row r="137" spans="2:31" x14ac:dyDescent="0.2">
      <c r="B137" s="23" t="s">
        <v>280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5"/>
      <c r="Q137" s="160">
        <f>AVERAGE(G52:P52)</f>
        <v>41.184537259761399</v>
      </c>
      <c r="R137" s="23"/>
      <c r="S137" s="134"/>
      <c r="T137" s="20"/>
      <c r="U137" s="20"/>
      <c r="V137" s="20"/>
      <c r="W137" s="20"/>
      <c r="X137" s="20"/>
      <c r="Y137" s="20"/>
      <c r="Z137" s="20"/>
      <c r="AA137" s="20"/>
      <c r="AB137" s="20"/>
      <c r="AC137" s="137"/>
      <c r="AD137" s="20"/>
      <c r="AE137" s="20"/>
    </row>
    <row r="138" spans="2:31" x14ac:dyDescent="0.2">
      <c r="B138" s="20" t="s">
        <v>25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140">
        <f>S138+T138</f>
        <v>169.31078741473257</v>
      </c>
      <c r="S138" s="133">
        <f>PV($C$1, ($AB$3-$S$3), 0, -AB52)</f>
        <v>23.592486770905357</v>
      </c>
      <c r="T138" s="133">
        <f>PV($C$1, ($AB$3-$S$3), 0, -AE52)</f>
        <v>145.71830064382721</v>
      </c>
      <c r="U138" s="20"/>
      <c r="V138" s="20"/>
      <c r="W138" s="20"/>
      <c r="X138" s="20"/>
      <c r="Y138" s="20"/>
      <c r="Z138" s="20"/>
      <c r="AA138" s="20"/>
      <c r="AB138" s="20"/>
      <c r="AC138" s="137"/>
      <c r="AD138" s="20"/>
      <c r="AE138" s="20"/>
    </row>
    <row r="139" spans="2:31" x14ac:dyDescent="0.2">
      <c r="B139" s="20" t="s">
        <v>272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40">
        <f t="shared" ref="R139:R157" si="305">S139+T139</f>
        <v>743.11833657114744</v>
      </c>
      <c r="S139" s="133">
        <f>PV($C$1, ($AB$3-$S$3), 0, -AB54)</f>
        <v>103.54927640745495</v>
      </c>
      <c r="T139" s="133">
        <f>PV($C$1, ($AB$3-$S$3), 0, -AE54)</f>
        <v>639.56906016369248</v>
      </c>
      <c r="U139" s="20"/>
      <c r="V139" s="20"/>
      <c r="W139" s="20"/>
      <c r="X139" s="20"/>
      <c r="Y139" s="20"/>
      <c r="Z139" s="20"/>
      <c r="AA139" s="20"/>
      <c r="AB139" s="20"/>
      <c r="AC139" s="137"/>
      <c r="AD139" s="20"/>
      <c r="AE139" s="20"/>
    </row>
    <row r="140" spans="2:31" x14ac:dyDescent="0.2">
      <c r="B140" s="20" t="s">
        <v>273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40">
        <f t="shared" si="305"/>
        <v>711.91430066536043</v>
      </c>
      <c r="S140" s="133">
        <f>PV($C$1, ($AB$3-$S$3), 0, -AB55)</f>
        <v>99.201173043533814</v>
      </c>
      <c r="T140" s="133">
        <f>PV($C$1, ($AB$3-$S$3), 0, -AE55)</f>
        <v>612.71312762182663</v>
      </c>
      <c r="U140" s="20"/>
      <c r="V140" s="20"/>
      <c r="W140" s="20"/>
      <c r="X140" s="20"/>
      <c r="Y140" s="20"/>
      <c r="Z140" s="20"/>
      <c r="AA140" s="20"/>
      <c r="AB140" s="20"/>
      <c r="AC140" s="137"/>
      <c r="AD140" s="20"/>
      <c r="AE140" s="20"/>
    </row>
    <row r="141" spans="2:31" x14ac:dyDescent="0.2">
      <c r="B141" s="20" t="s">
        <v>274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140">
        <f t="shared" si="305"/>
        <v>34.671151006429888</v>
      </c>
      <c r="S141" s="133">
        <f>PV($C$1, ($AB$3-$S$3), 0, -AB56)</f>
        <v>4.831225959912361</v>
      </c>
      <c r="T141" s="133">
        <f>PV($C$1, ($AB$3-$S$3), 0, -AE56)</f>
        <v>29.839925046517525</v>
      </c>
      <c r="U141" s="20"/>
      <c r="V141" s="20"/>
      <c r="W141" s="20"/>
      <c r="X141" s="20"/>
      <c r="Y141" s="20"/>
      <c r="Z141" s="20"/>
      <c r="AA141" s="20"/>
      <c r="AB141" s="20"/>
      <c r="AC141" s="137"/>
      <c r="AD141" s="20"/>
      <c r="AE141" s="20"/>
    </row>
    <row r="142" spans="2:31" x14ac:dyDescent="0.2">
      <c r="B142" s="20" t="s">
        <v>275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140">
        <f t="shared" si="305"/>
        <v>34.671151006429888</v>
      </c>
      <c r="S142" s="133">
        <f>PV($C$1, ($AB$3-$S$3), 0, -AB62)</f>
        <v>4.831225959912361</v>
      </c>
      <c r="T142" s="133">
        <f>PV($C$1, ($AB$3-$S$3), 0, -AE62)</f>
        <v>29.839925046517525</v>
      </c>
      <c r="U142" s="20"/>
      <c r="V142" s="20"/>
      <c r="W142" s="20"/>
      <c r="X142" s="20"/>
      <c r="Y142" s="20"/>
      <c r="Z142" s="20"/>
      <c r="AA142" s="20"/>
      <c r="AB142" s="20"/>
      <c r="AC142" s="137"/>
      <c r="AD142" s="20"/>
      <c r="AE142" s="20"/>
    </row>
    <row r="143" spans="2:31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40"/>
      <c r="S143" s="133"/>
      <c r="T143" s="20"/>
      <c r="U143" s="20"/>
      <c r="V143" s="20"/>
      <c r="W143" s="20"/>
      <c r="X143" s="20"/>
      <c r="Y143" s="20"/>
      <c r="Z143" s="20"/>
      <c r="AA143" s="20"/>
      <c r="AB143" s="20"/>
      <c r="AC143" s="137"/>
      <c r="AD143" s="20"/>
      <c r="AE143" s="20"/>
    </row>
    <row r="144" spans="2:31" x14ac:dyDescent="0.2">
      <c r="B144" s="20" t="s">
        <v>270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140">
        <f t="shared" si="305"/>
        <v>708.44718556471753</v>
      </c>
      <c r="S144" s="133">
        <f>PV($C$1, ($AB$3-$S$3), 0, -AB58)</f>
        <v>98.718050447542581</v>
      </c>
      <c r="T144" s="133">
        <f>PV($C$1, ($AB$3-$S$3), 0, -$AE$58)</f>
        <v>609.72913511717491</v>
      </c>
      <c r="U144" s="20"/>
      <c r="V144" s="20"/>
      <c r="W144" s="20"/>
      <c r="X144" s="20"/>
      <c r="Y144" s="20"/>
      <c r="Z144" s="20"/>
      <c r="AA144" s="20"/>
      <c r="AB144" s="20"/>
      <c r="AC144" s="137"/>
      <c r="AD144" s="20"/>
      <c r="AE144" s="20"/>
    </row>
    <row r="145" spans="2:31" x14ac:dyDescent="0.2">
      <c r="B145" s="20" t="s">
        <v>271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140">
        <f t="shared" si="305"/>
        <v>363.46923305074012</v>
      </c>
      <c r="S145" s="133">
        <f>PV($C$1, ($AB$3-$S$3), 0, -AB59)</f>
        <v>50.647352146414605</v>
      </c>
      <c r="T145" s="133">
        <f>PV($C$1, ($AB$3-$S$3), 0, -$AE$59)</f>
        <v>312.8218809043255</v>
      </c>
      <c r="U145" s="20"/>
      <c r="V145" s="20"/>
      <c r="W145" s="20"/>
      <c r="X145" s="20"/>
      <c r="Y145" s="20"/>
      <c r="Z145" s="20"/>
      <c r="AA145" s="20"/>
      <c r="AB145" s="20"/>
      <c r="AC145" s="137"/>
      <c r="AD145" s="20"/>
      <c r="AE145" s="20"/>
    </row>
    <row r="146" spans="2:31" x14ac:dyDescent="0.2">
      <c r="B146" s="20" t="s">
        <v>276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140">
        <f t="shared" si="305"/>
        <v>949.41168505940527</v>
      </c>
      <c r="S146" s="133">
        <f>PV($C$1, ($AB$3-$S$3), 0, -AB60)</f>
        <v>132.29507086893352</v>
      </c>
      <c r="T146" s="133">
        <f>PV($C$1, ($AB$3-$S$3), 0, -$AE$60)</f>
        <v>817.11661419047175</v>
      </c>
      <c r="U146" s="20"/>
      <c r="V146" s="20"/>
      <c r="W146" s="20"/>
      <c r="X146" s="20"/>
      <c r="Y146" s="20"/>
      <c r="Z146" s="20"/>
      <c r="AA146" s="20"/>
      <c r="AB146" s="20"/>
      <c r="AC146" s="137"/>
      <c r="AD146" s="20"/>
      <c r="AE146" s="20"/>
    </row>
    <row r="147" spans="2:31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140"/>
      <c r="S147" s="133"/>
      <c r="T147" s="20"/>
      <c r="U147" s="20"/>
      <c r="V147" s="20"/>
      <c r="W147" s="20"/>
      <c r="X147" s="20"/>
      <c r="Y147" s="20"/>
      <c r="Z147" s="20"/>
      <c r="AA147" s="20"/>
      <c r="AB147" s="20"/>
      <c r="AC147" s="137"/>
      <c r="AD147" s="20"/>
      <c r="AE147" s="20"/>
    </row>
    <row r="148" spans="2:31" x14ac:dyDescent="0.2">
      <c r="B148" s="20" t="s">
        <v>249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140">
        <f t="shared" si="305"/>
        <v>585.94245200866533</v>
      </c>
      <c r="S148" s="133">
        <f>PV($C$1, ($AB$3-$S$3), 0, -AB65)</f>
        <v>81.647718722518917</v>
      </c>
      <c r="T148" s="133">
        <f>PV($C$1, ($AB$3-$S$3), 0, -AE65)</f>
        <v>504.29473328614642</v>
      </c>
      <c r="U148" s="20"/>
      <c r="V148" s="20"/>
      <c r="W148" s="20"/>
      <c r="X148" s="20"/>
      <c r="Y148" s="20"/>
      <c r="Z148" s="20"/>
      <c r="AA148" s="20"/>
      <c r="AB148" s="20"/>
      <c r="AC148" s="137"/>
      <c r="AD148" s="20"/>
      <c r="AE148" s="20"/>
    </row>
    <row r="149" spans="2:31" x14ac:dyDescent="0.2">
      <c r="B149" s="20" t="s">
        <v>250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140">
        <f t="shared" si="305"/>
        <v>173.25069093819053</v>
      </c>
      <c r="S149" s="133">
        <f>PV($C$1, ($AB$3-$S$3), 0, -AB66)</f>
        <v>31.241927874099932</v>
      </c>
      <c r="T149" s="133">
        <f>PV($C$1, ($AB$3-$S$3), 0, -AE66)</f>
        <v>142.0087630640906</v>
      </c>
      <c r="U149" s="20"/>
      <c r="V149" s="20"/>
      <c r="W149" s="20"/>
      <c r="X149" s="20"/>
      <c r="Y149" s="20"/>
      <c r="Z149" s="20"/>
      <c r="AA149" s="20"/>
      <c r="AB149" s="20"/>
      <c r="AC149" s="137"/>
      <c r="AD149" s="20"/>
      <c r="AE149" s="20"/>
    </row>
    <row r="150" spans="2:31" x14ac:dyDescent="0.2"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140"/>
      <c r="S150" s="133"/>
      <c r="T150" s="133"/>
      <c r="U150" s="20"/>
      <c r="V150" s="20"/>
      <c r="W150" s="20"/>
      <c r="X150" s="20"/>
      <c r="Y150" s="20"/>
      <c r="Z150" s="20"/>
      <c r="AA150" s="20"/>
      <c r="AB150" s="20"/>
      <c r="AC150" s="137"/>
      <c r="AD150" s="20"/>
      <c r="AE150" s="20"/>
    </row>
    <row r="151" spans="2:31" x14ac:dyDescent="0.2">
      <c r="B151" s="20" t="s">
        <v>293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140">
        <f t="shared" ref="R151" si="306">S151+T151</f>
        <v>186.53079241459278</v>
      </c>
      <c r="S151" s="133">
        <f>PV($C$1, ($AB$3-$S$3), 0, -AB12)</f>
        <v>25.991995664328499</v>
      </c>
      <c r="T151" s="133">
        <f>PV($C$1, ($AB$3-$S$3), 0, -AE12)</f>
        <v>160.53879675026428</v>
      </c>
      <c r="U151" s="20"/>
      <c r="V151" s="20"/>
      <c r="W151" s="20"/>
      <c r="X151" s="20"/>
      <c r="Y151" s="20"/>
      <c r="Z151" s="20"/>
      <c r="AA151" s="20"/>
      <c r="AB151" s="20"/>
      <c r="AC151" s="137"/>
      <c r="AD151" s="20"/>
      <c r="AE151" s="20"/>
    </row>
    <row r="152" spans="2:31" x14ac:dyDescent="0.2">
      <c r="B152" s="20" t="s">
        <v>294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140">
        <f>S152+T152</f>
        <v>34.671151006429888</v>
      </c>
      <c r="S152" s="140">
        <f>S151/P42</f>
        <v>4.8312259599123601</v>
      </c>
      <c r="T152" s="140">
        <f>T151/P42</f>
        <v>29.839925046517525</v>
      </c>
      <c r="U152" s="20"/>
      <c r="V152" s="20"/>
      <c r="W152" s="20"/>
      <c r="X152" s="20"/>
      <c r="Y152" s="20"/>
      <c r="Z152" s="20"/>
      <c r="AA152" s="20"/>
      <c r="AB152" s="20"/>
      <c r="AC152" s="137"/>
      <c r="AD152" s="20"/>
      <c r="AE152" s="20"/>
    </row>
    <row r="153" spans="2:31" x14ac:dyDescent="0.2"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140"/>
      <c r="S153" s="140"/>
      <c r="T153" s="140"/>
      <c r="U153" s="20"/>
      <c r="V153" s="20"/>
      <c r="W153" s="20"/>
      <c r="X153" s="20"/>
      <c r="Y153" s="20"/>
      <c r="Z153" s="20"/>
      <c r="AA153" s="20"/>
      <c r="AB153" s="20"/>
      <c r="AC153" s="137"/>
      <c r="AD153" s="20"/>
      <c r="AE153" s="20"/>
    </row>
    <row r="154" spans="2:31" x14ac:dyDescent="0.2">
      <c r="B154" s="108" t="s">
        <v>297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140"/>
      <c r="S154" s="133"/>
      <c r="T154" s="133"/>
      <c r="U154" s="20"/>
      <c r="V154" s="20"/>
      <c r="W154" s="20"/>
      <c r="X154" s="20"/>
      <c r="Y154" s="20"/>
      <c r="Z154" s="20"/>
      <c r="AA154" s="20"/>
      <c r="AB154" s="20"/>
      <c r="AC154" s="137"/>
      <c r="AD154" s="20"/>
      <c r="AE154" s="20"/>
    </row>
    <row r="155" spans="2:31" x14ac:dyDescent="0.2">
      <c r="B155" s="20" t="s">
        <v>282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140">
        <f t="shared" ref="R155" si="307">S155+T155</f>
        <v>104.24353430153398</v>
      </c>
      <c r="S155" s="133">
        <f>PV($C$1, ($AB$3-$S$3), 0, -AB68)+PV($C$1, ($AA$3-$S$3), 0, -AB68)+PV($C$1, ($Z$3-$S$3), 0, -AB68)+PV($C$1, ($Y$3-$S$3), 0, -AB68)+PV($C$1, ($X$3-$S$3), 0, -AB68)+PV($C$1, ($W$3-$S$3), 0, -AB68)+PV($C$1, ($V$3-$S$3), 0, -AB68)+PV($C$1, ($U$3-$S$3), 0, -AB68)+PV($C$1, ($T$3-$S$3), 0, -AB68)+PV($C$1, ($S$3-$S$3), 0, -AB68)</f>
        <v>85.759891060002531</v>
      </c>
      <c r="T155" s="133">
        <f>PV($C$1, ($AB$3-$S$3), 0, -AE68)</f>
        <v>18.483643241531457</v>
      </c>
      <c r="U155" s="20"/>
      <c r="V155" s="20"/>
      <c r="W155" s="20"/>
      <c r="X155" s="20"/>
      <c r="Y155" s="20"/>
      <c r="Z155" s="20"/>
      <c r="AA155" s="20"/>
      <c r="AB155" s="20"/>
      <c r="AC155" s="137"/>
      <c r="AD155" s="20"/>
      <c r="AE155" s="20"/>
    </row>
    <row r="156" spans="2:31" x14ac:dyDescent="0.2">
      <c r="B156" s="23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140"/>
      <c r="S156" s="133"/>
      <c r="T156" s="133"/>
      <c r="U156" s="20"/>
      <c r="V156" s="20"/>
      <c r="W156" s="20"/>
      <c r="X156" s="20"/>
      <c r="Y156" s="20"/>
      <c r="Z156" s="20"/>
      <c r="AA156" s="20"/>
      <c r="AB156" s="20"/>
      <c r="AC156" s="137"/>
      <c r="AD156" s="20"/>
      <c r="AE156" s="20"/>
    </row>
    <row r="157" spans="2:31" x14ac:dyDescent="0.2">
      <c r="B157" s="20" t="s">
        <v>290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140">
        <f t="shared" si="305"/>
        <v>0</v>
      </c>
      <c r="S157" s="133">
        <f>PV($C$1, ($AB$3-$S$3), 0, -AB70)+PV($C$1, ($AA$3-$S$3), 0, -AB70)+PV($C$1, ($Z$3-$S$3), 0, -AB70)+PV($C$1, ($Y$3-$S$3), 0, -AB70)+PV($C$1, ($X$3-$S$3), 0, -AB70)+PV($C$1, ($W$3-$S$3), 0, -AB70)+PV($C$1, ($V$3-$S$3), 0, -AB70)+PV($C$1, ($U$3-$S$3), 0, -AB70)+PV($C$1, ($T$3-$S$3), 0, -AB70)+PV($C$1, ($S$3-$S$3), 0, -AB70)</f>
        <v>0</v>
      </c>
      <c r="T157" s="133">
        <f>PV($C$1, ($AB$3-$S$3), 0, -AE70)</f>
        <v>0</v>
      </c>
      <c r="U157" s="20"/>
      <c r="V157" s="20"/>
      <c r="W157" s="20"/>
      <c r="X157" s="20"/>
      <c r="Y157" s="20"/>
      <c r="Z157" s="20"/>
      <c r="AA157" s="20"/>
      <c r="AB157" s="20"/>
      <c r="AC157" s="137"/>
      <c r="AD157" s="20"/>
      <c r="AE157" s="20"/>
    </row>
    <row r="158" spans="2:31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140"/>
      <c r="S158" s="133"/>
      <c r="T158" s="133"/>
      <c r="U158" s="20"/>
      <c r="V158" s="20"/>
      <c r="W158" s="20"/>
      <c r="X158" s="20"/>
      <c r="Y158" s="20"/>
      <c r="Z158" s="20"/>
      <c r="AA158" s="20"/>
      <c r="AB158" s="20"/>
      <c r="AC158" s="137"/>
      <c r="AD158" s="20"/>
      <c r="AE158" s="20"/>
    </row>
    <row r="159" spans="2:31" x14ac:dyDescent="0.2">
      <c r="B159" s="20" t="s">
        <v>286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140">
        <f t="shared" ref="R159:R162" si="308">S159+T159</f>
        <v>0</v>
      </c>
      <c r="S159" s="133">
        <f>PV($C$1, ($AB$3-$S$3), 0, -AB72)+PV($C$1, ($AA$3-$S$3), 0, -AB72)+PV($C$1, ($Z$3-$S$3), 0, -AB72)+PV($C$1, ($Y$3-$S$3), 0, -AB72)+PV($C$1, ($X$3-$S$3), 0, -AB72)+PV($C$1, ($W$3-$S$3), 0, -AB72)+PV($C$1, ($V$3-$S$3), 0, -AB72)+PV($C$1, ($U$3-$S$3), 0, -AB72)+PV($C$1, ($T$3-$S$3), 0, -AB72)+PV($C$1, ($S$3-$S$3), 0, -AB72)</f>
        <v>0</v>
      </c>
      <c r="T159" s="133">
        <f>PV($C$1, ($AB$3-$S$3), 0, -AE72)</f>
        <v>0</v>
      </c>
      <c r="U159" s="20"/>
      <c r="V159" s="20"/>
      <c r="W159" s="20"/>
      <c r="X159" s="20"/>
      <c r="Y159" s="20"/>
      <c r="Z159" s="20"/>
      <c r="AA159" s="20"/>
      <c r="AB159" s="20"/>
      <c r="AC159" s="137"/>
      <c r="AD159" s="20"/>
      <c r="AE159" s="20"/>
    </row>
    <row r="160" spans="2:31" x14ac:dyDescent="0.2">
      <c r="B160" s="20" t="s">
        <v>287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40">
        <f t="shared" si="308"/>
        <v>0</v>
      </c>
      <c r="S160" s="133">
        <f>PV($C$1, ($AB$3-$S$3), 0, -AB73)+PV($C$1, ($AA$3-$S$3), 0, -AB73)+PV($C$1, ($Z$3-$S$3), 0, -AB73)+PV($C$1, ($Y$3-$S$3), 0, -AB73)+PV($C$1, ($X$3-$S$3), 0, -AB73)+PV($C$1, ($W$3-$S$3), 0, -AB73)+PV($C$1, ($V$3-$S$3), 0, -AB73)+PV($C$1, ($U$3-$S$3), 0, -AB73)+PV($C$1, ($T$3-$S$3), 0, -AB73)+PV($C$1, ($S$3-$S$3), 0, -AB73)</f>
        <v>0</v>
      </c>
      <c r="T160" s="133">
        <f>PV($C$1, ($AB$3-$S$3), 0, -AE73)</f>
        <v>0</v>
      </c>
      <c r="U160" s="20"/>
      <c r="V160" s="20"/>
      <c r="W160" s="20"/>
      <c r="X160" s="20"/>
      <c r="Y160" s="20"/>
      <c r="Z160" s="20"/>
      <c r="AA160" s="20"/>
      <c r="AB160" s="20"/>
      <c r="AC160" s="137"/>
      <c r="AD160" s="20"/>
      <c r="AE160" s="20"/>
    </row>
    <row r="161" spans="2:31" x14ac:dyDescent="0.2">
      <c r="B161" s="20" t="s">
        <v>288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140">
        <f t="shared" si="308"/>
        <v>0</v>
      </c>
      <c r="S161" s="133">
        <f>PV($C$1, ($AB$3-$S$3), 0, -AB74)+PV($C$1, ($AA$3-$S$3), 0, -AB74)+PV($C$1, ($Z$3-$S$3), 0, -AB74)+PV($C$1, ($Y$3-$S$3), 0, -AB74)+PV($C$1, ($X$3-$S$3), 0, -AB74)+PV($C$1, ($W$3-$S$3), 0, -AB74)+PV($C$1, ($V$3-$S$3), 0, -AB74)+PV($C$1, ($U$3-$S$3), 0, -AB74)+PV($C$1, ($T$3-$S$3), 0, -AB74)+PV($C$1, ($S$3-$S$3), 0, -AB74)</f>
        <v>0</v>
      </c>
      <c r="T161" s="133">
        <f>PV($C$1, ($AB$3-$S$3), 0, -AE74)</f>
        <v>0</v>
      </c>
      <c r="U161" s="20"/>
      <c r="V161" s="20"/>
      <c r="W161" s="20"/>
      <c r="X161" s="20"/>
      <c r="Y161" s="20"/>
      <c r="Z161" s="20"/>
      <c r="AA161" s="20"/>
      <c r="AB161" s="20"/>
      <c r="AC161" s="137"/>
      <c r="AD161" s="20"/>
      <c r="AE161" s="20"/>
    </row>
    <row r="162" spans="2:31" x14ac:dyDescent="0.2">
      <c r="B162" s="20" t="s">
        <v>289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140">
        <f t="shared" si="308"/>
        <v>0</v>
      </c>
      <c r="S162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0</v>
      </c>
      <c r="T162" s="133">
        <f>PV($C$1, ($AB$3-$S$3), 0, -AE75)</f>
        <v>0</v>
      </c>
      <c r="U162" s="20"/>
      <c r="V162" s="20"/>
      <c r="W162" s="20"/>
      <c r="X162" s="20"/>
      <c r="Y162" s="20"/>
      <c r="Z162" s="20"/>
      <c r="AA162" s="20"/>
      <c r="AB162" s="20"/>
      <c r="AC162" s="137"/>
      <c r="AD162" s="20"/>
      <c r="AE162" s="20"/>
    </row>
    <row r="163" spans="2:31" x14ac:dyDescent="0.2"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140"/>
      <c r="S163" s="133"/>
      <c r="T163" s="133"/>
      <c r="U163" s="20"/>
      <c r="V163" s="20"/>
      <c r="W163" s="20"/>
      <c r="X163" s="20"/>
      <c r="Y163" s="20"/>
      <c r="Z163" s="20"/>
      <c r="AA163" s="20"/>
      <c r="AB163" s="20"/>
      <c r="AC163" s="137"/>
      <c r="AD163" s="20"/>
      <c r="AE163" s="20"/>
    </row>
    <row r="164" spans="2:31" x14ac:dyDescent="0.2">
      <c r="B164" s="20" t="s">
        <v>298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140">
        <f>S164+T164</f>
        <v>0</v>
      </c>
      <c r="S164" s="133">
        <f>PV($C$1, ($AB$3-$S$3), 0, -AB76)+PV($C$1, ($AA$3-$S$3), 0, -AB76)+PV($C$1, ($Z$3-$S$3), 0, -AB76)+PV($C$1, ($Y$3-$S$3), 0, -AB76)+PV($C$1, ($X$3-$S$3), 0, -AB76)+PV($C$1, ($W$3-$S$3), 0, -AB76)+PV($C$1, ($V$3-$S$3), 0, -AB76)+PV($C$1, ($U$3-$S$3), 0, -AB76)+PV($C$1, ($T$3-$S$3), 0, -AB76)+PV($C$1, ($S$3-$S$3), 0, -AB76)</f>
        <v>0</v>
      </c>
      <c r="T164" s="133">
        <f>PV($C$1, ($AB$3-$S$3), 0, -AE76)</f>
        <v>0</v>
      </c>
      <c r="U164" s="20"/>
      <c r="V164" s="20"/>
      <c r="W164" s="20"/>
      <c r="X164" s="20"/>
      <c r="Y164" s="20"/>
      <c r="Z164" s="20"/>
      <c r="AA164" s="20"/>
      <c r="AB164" s="20"/>
      <c r="AC164" s="137"/>
      <c r="AD164" s="20"/>
      <c r="AE164" s="20"/>
    </row>
    <row r="165" spans="2:31" x14ac:dyDescent="0.2"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183">
        <v>41729</v>
      </c>
      <c r="P165" s="20">
        <v>1100</v>
      </c>
      <c r="Q165" s="20"/>
      <c r="R165" s="20"/>
      <c r="S165" s="121"/>
      <c r="T165" s="20"/>
      <c r="U165" s="20"/>
      <c r="V165" s="20"/>
      <c r="W165" s="20"/>
      <c r="X165" s="20"/>
      <c r="Y165" s="20"/>
      <c r="Z165" s="20"/>
      <c r="AA165" s="20"/>
      <c r="AB165" s="20"/>
      <c r="AC165" s="137"/>
      <c r="AD165" s="20"/>
      <c r="AE165" s="20"/>
    </row>
    <row r="166" spans="2:31" x14ac:dyDescent="0.2">
      <c r="B166" s="108" t="s">
        <v>251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3" t="s">
        <v>390</v>
      </c>
      <c r="P166" s="20" t="s">
        <v>392</v>
      </c>
      <c r="Q166" s="20" t="s">
        <v>392</v>
      </c>
      <c r="R166" s="23" t="s">
        <v>391</v>
      </c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137"/>
      <c r="AD166" s="20"/>
      <c r="AE166" s="20"/>
    </row>
    <row r="167" spans="2:31" x14ac:dyDescent="0.2">
      <c r="B167" s="20" t="s">
        <v>204</v>
      </c>
      <c r="C167" s="22">
        <v>0</v>
      </c>
      <c r="D167" s="22">
        <v>0</v>
      </c>
      <c r="E167" s="22">
        <v>0</v>
      </c>
      <c r="F167" s="22">
        <v>0</v>
      </c>
      <c r="G167" s="22">
        <v>0</v>
      </c>
      <c r="H167" s="22">
        <v>0</v>
      </c>
      <c r="I167" s="22">
        <v>0</v>
      </c>
      <c r="J167" s="22">
        <v>630</v>
      </c>
      <c r="K167" s="22">
        <v>501</v>
      </c>
      <c r="L167" s="22">
        <v>360</v>
      </c>
      <c r="M167" s="22">
        <v>1051</v>
      </c>
      <c r="N167" s="22">
        <v>740</v>
      </c>
      <c r="O167" s="22">
        <v>890</v>
      </c>
      <c r="P167" s="22">
        <v>900</v>
      </c>
      <c r="Q167" s="118" t="e">
        <f t="shared" ref="Q167:Q172" si="309">((P167/G167)^(1/($H$2-$H$1) ))-1</f>
        <v>#DIV/0!</v>
      </c>
      <c r="R167" s="31">
        <f>L2-3%</f>
        <v>7.0000000000000007E-2</v>
      </c>
      <c r="S167" s="119">
        <f t="shared" ref="S167" si="310">P167*(1+$R167)</f>
        <v>963</v>
      </c>
      <c r="T167" s="119">
        <f t="shared" ref="T167:AB167" si="311">S167*(1+$R167)</f>
        <v>1030.4100000000001</v>
      </c>
      <c r="U167" s="119">
        <f t="shared" si="311"/>
        <v>1102.5387000000001</v>
      </c>
      <c r="V167" s="119">
        <f t="shared" si="311"/>
        <v>1179.7164090000001</v>
      </c>
      <c r="W167" s="119">
        <f t="shared" si="311"/>
        <v>1262.2965576300003</v>
      </c>
      <c r="X167" s="119">
        <f t="shared" si="311"/>
        <v>1350.6573166641003</v>
      </c>
      <c r="Y167" s="119">
        <f t="shared" si="311"/>
        <v>1445.2033288305875</v>
      </c>
      <c r="Z167" s="119">
        <f t="shared" si="311"/>
        <v>1546.3675618487287</v>
      </c>
      <c r="AA167" s="119">
        <f t="shared" si="311"/>
        <v>1654.6132911781397</v>
      </c>
      <c r="AB167" s="119">
        <f t="shared" si="311"/>
        <v>1770.4362215606095</v>
      </c>
      <c r="AC167" s="138" t="e">
        <f t="shared" ref="AC167:AC172" si="312">((AB167/G167)^(1/($AB$3-$H$1) ))-1</f>
        <v>#DIV/0!</v>
      </c>
      <c r="AD167" s="31">
        <v>0.08</v>
      </c>
      <c r="AE167" s="127" t="e">
        <f t="shared" ref="AE167:AE175" si="313">(AB167*(1+AC167))/($C$1-AD167)</f>
        <v>#DIV/0!</v>
      </c>
    </row>
    <row r="168" spans="2:31" x14ac:dyDescent="0.2">
      <c r="B168" s="20" t="s">
        <v>361</v>
      </c>
      <c r="C168" s="25" t="e">
        <f t="shared" ref="C168:P168" si="314">C167/C49</f>
        <v>#DIV/0!</v>
      </c>
      <c r="D168" s="25" t="e">
        <f t="shared" si="314"/>
        <v>#DIV/0!</v>
      </c>
      <c r="E168" s="25" t="e">
        <f t="shared" si="314"/>
        <v>#DIV/0!</v>
      </c>
      <c r="F168" s="25" t="e">
        <f t="shared" si="314"/>
        <v>#DIV/0!</v>
      </c>
      <c r="G168" s="25">
        <f t="shared" si="314"/>
        <v>0</v>
      </c>
      <c r="H168" s="25">
        <f t="shared" si="314"/>
        <v>0</v>
      </c>
      <c r="I168" s="25">
        <f t="shared" si="314"/>
        <v>0</v>
      </c>
      <c r="J168" s="25">
        <f t="shared" si="314"/>
        <v>1.2198177676537585</v>
      </c>
      <c r="K168" s="25">
        <f t="shared" si="314"/>
        <v>1.007995512341062</v>
      </c>
      <c r="L168" s="25">
        <f t="shared" si="314"/>
        <v>0.64689378757515026</v>
      </c>
      <c r="M168" s="25">
        <f t="shared" si="314"/>
        <v>1.5022263549415515</v>
      </c>
      <c r="N168" s="25">
        <f t="shared" si="314"/>
        <v>1.6748843079511988</v>
      </c>
      <c r="O168" s="25">
        <f t="shared" si="314"/>
        <v>1.7003551136363635</v>
      </c>
      <c r="P168" s="25">
        <f t="shared" si="314"/>
        <v>1.5619354838709676</v>
      </c>
      <c r="Q168" s="118" t="e">
        <f t="shared" ref="Q168" si="315">((P168/G168)^(1/($H$2-$H$1) ))-1</f>
        <v>#DIV/0!</v>
      </c>
      <c r="R168" s="128"/>
      <c r="S168" s="25">
        <f t="shared" ref="S168:AB168" si="316">S167/S49</f>
        <v>1.5193372434017591</v>
      </c>
      <c r="T168" s="25">
        <f t="shared" si="316"/>
        <v>1.4779007731271658</v>
      </c>
      <c r="U168" s="25">
        <f t="shared" si="316"/>
        <v>1.4375943884055158</v>
      </c>
      <c r="V168" s="25">
        <f t="shared" si="316"/>
        <v>1.3983872687217289</v>
      </c>
      <c r="W168" s="25">
        <f t="shared" si="316"/>
        <v>1.3602494341202269</v>
      </c>
      <c r="X168" s="25">
        <f t="shared" si="316"/>
        <v>1.3231517222805844</v>
      </c>
      <c r="Y168" s="25">
        <f t="shared" si="316"/>
        <v>1.2870657662183866</v>
      </c>
      <c r="Z168" s="25">
        <f t="shared" si="316"/>
        <v>1.2519639725942489</v>
      </c>
      <c r="AA168" s="25">
        <f t="shared" si="316"/>
        <v>1.2178195006144057</v>
      </c>
      <c r="AB168" s="25">
        <f t="shared" si="316"/>
        <v>1.18460624150674</v>
      </c>
      <c r="AC168" s="138" t="e">
        <f t="shared" ref="AC168" si="317">((AB168/G168)^(1/($AB$3-$H$1) ))-1</f>
        <v>#DIV/0!</v>
      </c>
      <c r="AD168" s="31">
        <v>0.08</v>
      </c>
      <c r="AE168" s="127" t="e">
        <f t="shared" ref="AE168" si="318">(AB168*(1+AC168))/($C$1-AD168)</f>
        <v>#DIV/0!</v>
      </c>
    </row>
    <row r="169" spans="2:31" x14ac:dyDescent="0.2">
      <c r="B169" s="20" t="s">
        <v>389</v>
      </c>
      <c r="C169" s="25" t="e">
        <f t="shared" ref="C169:P169" si="319">C167/C52</f>
        <v>#DIV/0!</v>
      </c>
      <c r="D169" s="25" t="e">
        <f t="shared" si="319"/>
        <v>#DIV/0!</v>
      </c>
      <c r="E169" s="25" t="e">
        <f t="shared" si="319"/>
        <v>#DIV/0!</v>
      </c>
      <c r="F169" s="25" t="e">
        <f t="shared" si="319"/>
        <v>#DIV/0!</v>
      </c>
      <c r="G169" s="25">
        <f t="shared" si="319"/>
        <v>0</v>
      </c>
      <c r="H169" s="25">
        <f t="shared" si="319"/>
        <v>0</v>
      </c>
      <c r="I169" s="25">
        <f t="shared" si="319"/>
        <v>0</v>
      </c>
      <c r="J169" s="25">
        <f t="shared" si="319"/>
        <v>15.014018691588785</v>
      </c>
      <c r="K169" s="25">
        <f t="shared" si="319"/>
        <v>11.325126050420169</v>
      </c>
      <c r="L169" s="25">
        <f t="shared" si="319"/>
        <v>9.8816326530612244</v>
      </c>
      <c r="M169" s="25">
        <f t="shared" si="319"/>
        <v>17.134484848484849</v>
      </c>
      <c r="N169" s="25">
        <f t="shared" si="319"/>
        <v>19.326213592233007</v>
      </c>
      <c r="O169" s="25">
        <f t="shared" si="319"/>
        <v>22.270697674418606</v>
      </c>
      <c r="P169" s="25">
        <f t="shared" si="319"/>
        <v>16.525597269624573</v>
      </c>
      <c r="Q169" s="118" t="e">
        <f t="shared" si="309"/>
        <v>#DIV/0!</v>
      </c>
      <c r="R169" s="128"/>
      <c r="S169" s="119">
        <f t="shared" ref="S169:AB169" si="320">S167/S52</f>
        <v>16.074899162271176</v>
      </c>
      <c r="T169" s="119">
        <f t="shared" si="320"/>
        <v>15.636492821481962</v>
      </c>
      <c r="U169" s="119">
        <f t="shared" si="320"/>
        <v>15.210043017259723</v>
      </c>
      <c r="V169" s="119">
        <f t="shared" si="320"/>
        <v>14.795223662243549</v>
      </c>
      <c r="W169" s="119">
        <f t="shared" si="320"/>
        <v>14.391717562364184</v>
      </c>
      <c r="X169" s="119">
        <f t="shared" si="320"/>
        <v>13.999216174299702</v>
      </c>
      <c r="Y169" s="119">
        <f t="shared" si="320"/>
        <v>13.617419369546075</v>
      </c>
      <c r="Z169" s="119">
        <f t="shared" si="320"/>
        <v>13.246035204922091</v>
      </c>
      <c r="AA169" s="119">
        <f t="shared" si="320"/>
        <v>12.884779699333304</v>
      </c>
      <c r="AB169" s="119">
        <f t="shared" si="320"/>
        <v>12.533376616624217</v>
      </c>
      <c r="AC169" s="138" t="e">
        <f t="shared" si="312"/>
        <v>#DIV/0!</v>
      </c>
      <c r="AD169" s="31">
        <v>0.08</v>
      </c>
      <c r="AE169" s="127" t="e">
        <f t="shared" si="313"/>
        <v>#DIV/0!</v>
      </c>
    </row>
    <row r="170" spans="2:31" x14ac:dyDescent="0.2">
      <c r="B170" s="20" t="s">
        <v>258</v>
      </c>
      <c r="C170" s="25" t="e">
        <f t="shared" ref="C170:P170" si="321">C167/C55</f>
        <v>#DIV/0!</v>
      </c>
      <c r="D170" s="25" t="e">
        <f t="shared" si="321"/>
        <v>#DIV/0!</v>
      </c>
      <c r="E170" s="25" t="e">
        <f t="shared" si="321"/>
        <v>#DIV/0!</v>
      </c>
      <c r="F170" s="25" t="e">
        <f t="shared" si="321"/>
        <v>#DIV/0!</v>
      </c>
      <c r="G170" s="25">
        <f t="shared" si="321"/>
        <v>0</v>
      </c>
      <c r="H170" s="25">
        <f t="shared" si="321"/>
        <v>0</v>
      </c>
      <c r="I170" s="25">
        <f t="shared" si="321"/>
        <v>0</v>
      </c>
      <c r="J170" s="25">
        <f t="shared" si="321"/>
        <v>3.3123711340206183</v>
      </c>
      <c r="K170" s="25">
        <f t="shared" si="321"/>
        <v>4.2380188679245281</v>
      </c>
      <c r="L170" s="25">
        <f t="shared" si="321"/>
        <v>1.5444976076555024</v>
      </c>
      <c r="M170" s="25">
        <f t="shared" si="321"/>
        <v>3.794885906040268</v>
      </c>
      <c r="N170" s="25">
        <f t="shared" si="321"/>
        <v>4.6185614849187937</v>
      </c>
      <c r="O170" s="25">
        <f t="shared" si="321"/>
        <v>4.7454905847373636</v>
      </c>
      <c r="P170" s="25">
        <f t="shared" si="321"/>
        <v>3.9301948051948052</v>
      </c>
      <c r="Q170" s="118" t="e">
        <f t="shared" si="309"/>
        <v>#DIV/0!</v>
      </c>
      <c r="R170" s="128"/>
      <c r="S170" s="119">
        <f t="shared" ref="S170:AB170" si="322">S167/S55</f>
        <v>3.8230076741440375</v>
      </c>
      <c r="T170" s="119">
        <f t="shared" si="322"/>
        <v>3.7187438284855636</v>
      </c>
      <c r="U170" s="119">
        <f t="shared" si="322"/>
        <v>3.6173235422541392</v>
      </c>
      <c r="V170" s="119">
        <f t="shared" si="322"/>
        <v>3.5186692638290258</v>
      </c>
      <c r="W170" s="119">
        <f t="shared" si="322"/>
        <v>3.422705556633689</v>
      </c>
      <c r="X170" s="119">
        <f t="shared" si="322"/>
        <v>3.3293590414527703</v>
      </c>
      <c r="Y170" s="119">
        <f t="shared" si="322"/>
        <v>3.23855834032224</v>
      </c>
      <c r="Z170" s="119">
        <f t="shared" si="322"/>
        <v>3.1502340219498151</v>
      </c>
      <c r="AA170" s="119">
        <f t="shared" si="322"/>
        <v>3.0643185486239104</v>
      </c>
      <c r="AB170" s="119">
        <f t="shared" si="322"/>
        <v>2.980746224570531</v>
      </c>
      <c r="AC170" s="138" t="e">
        <f t="shared" si="312"/>
        <v>#DIV/0!</v>
      </c>
      <c r="AD170" s="31">
        <v>0.08</v>
      </c>
      <c r="AE170" s="127" t="e">
        <f t="shared" si="313"/>
        <v>#DIV/0!</v>
      </c>
    </row>
    <row r="171" spans="2:31" x14ac:dyDescent="0.2">
      <c r="B171" s="20" t="s">
        <v>259</v>
      </c>
      <c r="C171" s="25" t="e">
        <f t="shared" ref="C171:P171" si="323">C167/C64</f>
        <v>#DIV/0!</v>
      </c>
      <c r="D171" s="25" t="e">
        <f t="shared" si="323"/>
        <v>#DIV/0!</v>
      </c>
      <c r="E171" s="25" t="e">
        <f t="shared" si="323"/>
        <v>#DIV/0!</v>
      </c>
      <c r="F171" s="25" t="e">
        <f t="shared" si="323"/>
        <v>#DIV/0!</v>
      </c>
      <c r="G171" s="25">
        <f t="shared" si="323"/>
        <v>0</v>
      </c>
      <c r="H171" s="25">
        <f t="shared" si="323"/>
        <v>0</v>
      </c>
      <c r="I171" s="25">
        <f t="shared" si="323"/>
        <v>0</v>
      </c>
      <c r="J171" s="25">
        <f t="shared" si="323"/>
        <v>9.1278409090909083</v>
      </c>
      <c r="K171" s="25">
        <f t="shared" si="323"/>
        <v>6.4390348781653115</v>
      </c>
      <c r="L171" s="25">
        <f t="shared" si="323"/>
        <v>2.6243902439024391</v>
      </c>
      <c r="M171" s="25">
        <f t="shared" si="323"/>
        <v>6.396357466063348</v>
      </c>
      <c r="N171" s="25">
        <f t="shared" si="323"/>
        <v>9.6631067961165034</v>
      </c>
      <c r="O171" s="25">
        <f t="shared" si="323"/>
        <v>19.785950413223141</v>
      </c>
      <c r="P171" s="25">
        <f t="shared" si="323"/>
        <v>40.35</v>
      </c>
      <c r="Q171" s="118" t="e">
        <f t="shared" si="309"/>
        <v>#DIV/0!</v>
      </c>
      <c r="R171" s="128"/>
      <c r="S171" s="119">
        <f t="shared" ref="S171:AB171" si="324">S167/S64</f>
        <v>39.249545454545455</v>
      </c>
      <c r="T171" s="119">
        <f t="shared" si="324"/>
        <v>38.179103305785127</v>
      </c>
      <c r="U171" s="119">
        <f t="shared" si="324"/>
        <v>37.13785503380916</v>
      </c>
      <c r="V171" s="119">
        <f t="shared" si="324"/>
        <v>36.125004441978007</v>
      </c>
      <c r="W171" s="119">
        <f t="shared" si="324"/>
        <v>35.139777048105877</v>
      </c>
      <c r="X171" s="119">
        <f t="shared" si="324"/>
        <v>34.181419492248445</v>
      </c>
      <c r="Y171" s="119">
        <f t="shared" si="324"/>
        <v>33.249198960641664</v>
      </c>
      <c r="Z171" s="119">
        <f t="shared" si="324"/>
        <v>32.342402625351433</v>
      </c>
      <c r="AA171" s="119">
        <f t="shared" si="324"/>
        <v>31.460337099205486</v>
      </c>
      <c r="AB171" s="119">
        <f t="shared" si="324"/>
        <v>30.602327905590791</v>
      </c>
      <c r="AC171" s="138" t="e">
        <f t="shared" si="312"/>
        <v>#DIV/0!</v>
      </c>
      <c r="AD171" s="31">
        <v>0.08</v>
      </c>
      <c r="AE171" s="127" t="e">
        <f t="shared" si="313"/>
        <v>#DIV/0!</v>
      </c>
    </row>
    <row r="172" spans="2:31" x14ac:dyDescent="0.2">
      <c r="B172" s="20" t="s">
        <v>260</v>
      </c>
      <c r="C172" s="25" t="e">
        <f t="shared" ref="C172:P172" si="325">C167/C66</f>
        <v>#DIV/0!</v>
      </c>
      <c r="D172" s="25" t="e">
        <f t="shared" si="325"/>
        <v>#DIV/0!</v>
      </c>
      <c r="E172" s="25" t="e">
        <f t="shared" si="325"/>
        <v>#DIV/0!</v>
      </c>
      <c r="F172" s="25" t="e">
        <f t="shared" si="325"/>
        <v>#DIV/0!</v>
      </c>
      <c r="G172" s="25">
        <f t="shared" si="325"/>
        <v>0</v>
      </c>
      <c r="H172" s="25">
        <f t="shared" si="325"/>
        <v>0</v>
      </c>
      <c r="I172" s="25">
        <f t="shared" si="325"/>
        <v>0</v>
      </c>
      <c r="J172" s="25">
        <f t="shared" si="325"/>
        <v>6.2027027027027017</v>
      </c>
      <c r="K172" s="25">
        <f t="shared" si="325"/>
        <v>18.212027027027027</v>
      </c>
      <c r="L172" s="25">
        <f t="shared" si="325"/>
        <v>5.3502762430939219</v>
      </c>
      <c r="M172" s="25">
        <f t="shared" si="325"/>
        <v>16.155371428571428</v>
      </c>
      <c r="N172" s="25">
        <f t="shared" si="325"/>
        <v>16.249795918367347</v>
      </c>
      <c r="O172" s="25">
        <f t="shared" si="325"/>
        <v>12.836997319034854</v>
      </c>
      <c r="P172" s="25">
        <f t="shared" si="325"/>
        <v>12.479381443298969</v>
      </c>
      <c r="Q172" s="118" t="e">
        <f t="shared" si="309"/>
        <v>#DIV/0!</v>
      </c>
      <c r="R172" s="128"/>
      <c r="S172" s="119">
        <f t="shared" ref="S172:AB172" si="326">S167/S66</f>
        <v>12.139034676663542</v>
      </c>
      <c r="T172" s="119">
        <f t="shared" si="326"/>
        <v>11.807970094572717</v>
      </c>
      <c r="U172" s="119">
        <f t="shared" si="326"/>
        <v>11.485934546538916</v>
      </c>
      <c r="V172" s="119">
        <f t="shared" si="326"/>
        <v>11.172681786178762</v>
      </c>
      <c r="W172" s="119">
        <f t="shared" si="326"/>
        <v>10.867972282919341</v>
      </c>
      <c r="X172" s="119">
        <f t="shared" si="326"/>
        <v>10.571573038839723</v>
      </c>
      <c r="Y172" s="119">
        <f t="shared" si="326"/>
        <v>10.283257410507732</v>
      </c>
      <c r="Z172" s="119">
        <f t="shared" si="326"/>
        <v>10.002804935675702</v>
      </c>
      <c r="AA172" s="119">
        <f t="shared" si="326"/>
        <v>9.7300011647027276</v>
      </c>
      <c r="AB172" s="119">
        <f t="shared" si="326"/>
        <v>9.464637496574472</v>
      </c>
      <c r="AC172" s="138" t="e">
        <f t="shared" si="312"/>
        <v>#DIV/0!</v>
      </c>
      <c r="AD172" s="31">
        <v>0.08</v>
      </c>
      <c r="AE172" s="127" t="e">
        <f t="shared" si="313"/>
        <v>#DIV/0!</v>
      </c>
    </row>
    <row r="173" spans="2:31" x14ac:dyDescent="0.2">
      <c r="B173" s="20" t="s">
        <v>281</v>
      </c>
      <c r="C173" s="25" t="e">
        <f>C169/C119</f>
        <v>#DIV/0!</v>
      </c>
      <c r="D173" s="25" t="e">
        <f>D169/D119</f>
        <v>#DIV/0!</v>
      </c>
      <c r="E173" s="25" t="e">
        <f>E169/E119</f>
        <v>#DIV/0!</v>
      </c>
      <c r="F173" s="25" t="e">
        <f>F169/F119</f>
        <v>#DIV/0!</v>
      </c>
      <c r="G173" s="182">
        <f t="shared" ref="G173:P173" si="327">G167/G60</f>
        <v>0</v>
      </c>
      <c r="H173" s="182">
        <f t="shared" si="327"/>
        <v>0</v>
      </c>
      <c r="I173" s="182">
        <f t="shared" si="327"/>
        <v>0</v>
      </c>
      <c r="J173" s="182">
        <f t="shared" si="327"/>
        <v>2.4639570552147236</v>
      </c>
      <c r="K173" s="182">
        <f t="shared" si="327"/>
        <v>3.8615759312320916</v>
      </c>
      <c r="L173" s="182">
        <f t="shared" si="327"/>
        <v>1.3283950617283951</v>
      </c>
      <c r="M173" s="182">
        <f t="shared" si="327"/>
        <v>3.2200341685649203</v>
      </c>
      <c r="N173" s="182">
        <f t="shared" si="327"/>
        <v>3.5388444444444445</v>
      </c>
      <c r="O173" s="182">
        <f t="shared" si="327"/>
        <v>3.3814971751412428</v>
      </c>
      <c r="P173" s="182">
        <f t="shared" si="327"/>
        <v>2.9470480827754111</v>
      </c>
      <c r="Q173" s="118" t="e">
        <f t="shared" ref="Q173:Q175" si="328">((P173/G173)^(1/($H$2-$H$1) ))-1</f>
        <v>#DIV/0!</v>
      </c>
      <c r="R173" s="128"/>
      <c r="S173" s="135">
        <f t="shared" ref="S173:AB173" si="329">S167/S60</f>
        <v>2.8666740441542635</v>
      </c>
      <c r="T173" s="135">
        <f t="shared" si="329"/>
        <v>2.7884920247682379</v>
      </c>
      <c r="U173" s="135">
        <f t="shared" si="329"/>
        <v>2.712442242274558</v>
      </c>
      <c r="V173" s="135">
        <f t="shared" si="329"/>
        <v>2.6384665447579789</v>
      </c>
      <c r="W173" s="135">
        <f t="shared" si="329"/>
        <v>2.5665083662645798</v>
      </c>
      <c r="X173" s="135">
        <f t="shared" si="329"/>
        <v>2.4965126835482723</v>
      </c>
      <c r="Y173" s="135">
        <f t="shared" si="329"/>
        <v>2.4284259739969558</v>
      </c>
      <c r="Z173" s="135">
        <f t="shared" si="329"/>
        <v>2.3621961747061291</v>
      </c>
      <c r="AA173" s="135">
        <f t="shared" si="329"/>
        <v>2.2977726426686891</v>
      </c>
      <c r="AB173" s="135">
        <f t="shared" si="329"/>
        <v>2.2351061160504524</v>
      </c>
      <c r="AC173" s="138" t="e">
        <f t="shared" ref="AC173" si="330">((AB173/G173)^(1/($AB$3-$H$1) ))-1</f>
        <v>#DIV/0!</v>
      </c>
      <c r="AD173" s="31">
        <v>0.08</v>
      </c>
      <c r="AE173" s="127" t="e">
        <f t="shared" si="313"/>
        <v>#DIV/0!</v>
      </c>
    </row>
    <row r="174" spans="2:31" x14ac:dyDescent="0.2">
      <c r="B174" s="20" t="s">
        <v>371</v>
      </c>
      <c r="C174" s="161" t="e">
        <f t="shared" ref="C174:P174" si="331">C52/C167</f>
        <v>#DIV/0!</v>
      </c>
      <c r="D174" s="161" t="e">
        <f t="shared" si="331"/>
        <v>#DIV/0!</v>
      </c>
      <c r="E174" s="161" t="e">
        <f t="shared" si="331"/>
        <v>#DIV/0!</v>
      </c>
      <c r="F174" s="161" t="e">
        <f t="shared" si="331"/>
        <v>#DIV/0!</v>
      </c>
      <c r="G174" s="161" t="e">
        <f t="shared" si="331"/>
        <v>#DIV/0!</v>
      </c>
      <c r="H174" s="161" t="e">
        <f t="shared" si="331"/>
        <v>#DIV/0!</v>
      </c>
      <c r="I174" s="161" t="e">
        <f t="shared" si="331"/>
        <v>#DIV/0!</v>
      </c>
      <c r="J174" s="161">
        <f t="shared" si="331"/>
        <v>6.6604419545596011E-2</v>
      </c>
      <c r="K174" s="161">
        <f t="shared" si="331"/>
        <v>8.8299237955316134E-2</v>
      </c>
      <c r="L174" s="161">
        <f t="shared" si="331"/>
        <v>0.10119785212722017</v>
      </c>
      <c r="M174" s="161">
        <f t="shared" si="331"/>
        <v>5.836183631096601E-2</v>
      </c>
      <c r="N174" s="161">
        <f t="shared" si="331"/>
        <v>5.174319300713353E-2</v>
      </c>
      <c r="O174" s="161">
        <f t="shared" si="331"/>
        <v>4.4902050875067871E-2</v>
      </c>
      <c r="P174" s="161">
        <f t="shared" si="331"/>
        <v>6.0512185047501034E-2</v>
      </c>
      <c r="Q174" s="118" t="e">
        <f t="shared" si="328"/>
        <v>#DIV/0!</v>
      </c>
      <c r="R174" s="128"/>
      <c r="S174" s="161">
        <f t="shared" ref="S174:AB174" si="332">S52/S167</f>
        <v>6.220878836658985E-2</v>
      </c>
      <c r="T174" s="161">
        <f t="shared" si="332"/>
        <v>6.3952960003036297E-2</v>
      </c>
      <c r="U174" s="161">
        <f t="shared" si="332"/>
        <v>6.5746033647981247E-2</v>
      </c>
      <c r="V174" s="161">
        <f t="shared" si="332"/>
        <v>6.7589380385775111E-2</v>
      </c>
      <c r="W174" s="161">
        <f t="shared" si="332"/>
        <v>6.9484409742385622E-2</v>
      </c>
      <c r="X174" s="161">
        <f t="shared" si="332"/>
        <v>7.1432570763200184E-2</v>
      </c>
      <c r="Y174" s="161">
        <f t="shared" si="332"/>
        <v>7.3435353121046903E-2</v>
      </c>
      <c r="Z174" s="161">
        <f t="shared" si="332"/>
        <v>7.5494288255281872E-2</v>
      </c>
      <c r="AA174" s="161">
        <f t="shared" si="332"/>
        <v>7.7610950542813154E-2</v>
      </c>
      <c r="AB174" s="161">
        <f t="shared" si="332"/>
        <v>7.9786958501957425E-2</v>
      </c>
      <c r="AC174" s="138" t="e">
        <f t="shared" ref="AC174:AC175" si="333">((AB174/G174)^(1/($AB$3-$H$1) ))-1</f>
        <v>#DIV/0!</v>
      </c>
      <c r="AD174" s="31">
        <v>0.08</v>
      </c>
      <c r="AE174" s="127" t="e">
        <f t="shared" si="313"/>
        <v>#DIV/0!</v>
      </c>
    </row>
    <row r="175" spans="2:31" x14ac:dyDescent="0.2">
      <c r="B175" s="20" t="s">
        <v>320</v>
      </c>
      <c r="C175" s="152" t="e">
        <f t="shared" ref="C175:P175" si="334">C43/C167</f>
        <v>#DIV/0!</v>
      </c>
      <c r="D175" s="152" t="e">
        <f t="shared" si="334"/>
        <v>#DIV/0!</v>
      </c>
      <c r="E175" s="152" t="e">
        <f t="shared" si="334"/>
        <v>#DIV/0!</v>
      </c>
      <c r="F175" s="152" t="e">
        <f t="shared" si="334"/>
        <v>#DIV/0!</v>
      </c>
      <c r="G175" s="152" t="e">
        <f t="shared" si="334"/>
        <v>#DIV/0!</v>
      </c>
      <c r="H175" s="152" t="e">
        <f t="shared" si="334"/>
        <v>#DIV/0!</v>
      </c>
      <c r="I175" s="152" t="e">
        <f t="shared" si="334"/>
        <v>#DIV/0!</v>
      </c>
      <c r="J175" s="152">
        <f t="shared" si="334"/>
        <v>1.8253968253968255E-2</v>
      </c>
      <c r="K175" s="152">
        <f t="shared" si="334"/>
        <v>2.3952095808383235E-2</v>
      </c>
      <c r="L175" s="152">
        <f t="shared" si="334"/>
        <v>3.3333333333333333E-2</v>
      </c>
      <c r="M175" s="152">
        <f t="shared" si="334"/>
        <v>1.4272121788772598E-2</v>
      </c>
      <c r="N175" s="152">
        <f t="shared" si="334"/>
        <v>1.3513513513513514E-2</v>
      </c>
      <c r="O175" s="152">
        <f t="shared" si="334"/>
        <v>1.2359550561797753E-2</v>
      </c>
      <c r="P175" s="152">
        <f t="shared" si="334"/>
        <v>1.2222222222222223E-2</v>
      </c>
      <c r="Q175" s="118" t="e">
        <f t="shared" si="328"/>
        <v>#DIV/0!</v>
      </c>
      <c r="R175" s="128"/>
      <c r="S175" s="152">
        <f t="shared" ref="S175:AB175" si="335">S43/S167</f>
        <v>1.1993769470404985E-2</v>
      </c>
      <c r="T175" s="152">
        <f t="shared" si="335"/>
        <v>1.1769586863481528E-2</v>
      </c>
      <c r="U175" s="152">
        <f t="shared" si="335"/>
        <v>1.1549594585659443E-2</v>
      </c>
      <c r="V175" s="152">
        <f t="shared" si="335"/>
        <v>1.1333714313030294E-2</v>
      </c>
      <c r="W175" s="152">
        <f t="shared" si="335"/>
        <v>1.1121869185683933E-2</v>
      </c>
      <c r="X175" s="152">
        <f t="shared" si="335"/>
        <v>1.0913983780344047E-2</v>
      </c>
      <c r="Y175" s="152">
        <f t="shared" si="335"/>
        <v>1.0709984083515185E-2</v>
      </c>
      <c r="Z175" s="152">
        <f t="shared" si="335"/>
        <v>1.0509797465131723E-2</v>
      </c>
      <c r="AA175" s="152">
        <f t="shared" si="335"/>
        <v>1.0313352652699354E-2</v>
      </c>
      <c r="AB175" s="152">
        <f t="shared" si="335"/>
        <v>1.0120579705919926E-2</v>
      </c>
      <c r="AC175" s="138" t="e">
        <f t="shared" si="333"/>
        <v>#DIV/0!</v>
      </c>
      <c r="AD175" s="31">
        <v>0.08</v>
      </c>
      <c r="AE175" s="127" t="e">
        <f t="shared" si="313"/>
        <v>#DIV/0!</v>
      </c>
    </row>
    <row r="176" spans="2:31" x14ac:dyDescent="0.2">
      <c r="B176" s="20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Q176" s="128"/>
      <c r="R176" s="128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7"/>
      <c r="AD176" s="20"/>
      <c r="AE176" s="127"/>
    </row>
    <row r="177" spans="2:45" x14ac:dyDescent="0.2">
      <c r="B177" s="20"/>
      <c r="C177" s="129"/>
      <c r="D177" s="129"/>
      <c r="E177" s="129"/>
      <c r="F177" s="129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28"/>
      <c r="R177" s="128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7"/>
      <c r="AD177" s="20"/>
      <c r="AE177" s="20"/>
    </row>
    <row r="178" spans="2:45" x14ac:dyDescent="0.2">
      <c r="B178" s="108" t="s">
        <v>301</v>
      </c>
      <c r="C178" s="20"/>
      <c r="D178" s="20"/>
      <c r="E178" s="20"/>
      <c r="F178" s="20"/>
      <c r="G178" s="20"/>
      <c r="H178" s="20"/>
      <c r="I178" s="20"/>
      <c r="J178" s="20"/>
      <c r="K178" s="198" t="s">
        <v>351</v>
      </c>
      <c r="L178" s="199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137"/>
      <c r="AD178" s="20"/>
      <c r="AE178" s="20"/>
    </row>
    <row r="179" spans="2:45" x14ac:dyDescent="0.2">
      <c r="B179" s="20" t="s">
        <v>299</v>
      </c>
      <c r="C179" s="20" t="s">
        <v>314</v>
      </c>
      <c r="D179" s="20"/>
      <c r="E179" s="20"/>
      <c r="F179" s="20"/>
      <c r="G179" s="20"/>
      <c r="H179" s="20"/>
      <c r="I179" s="20"/>
      <c r="J179" s="20"/>
      <c r="K179" s="20" t="s">
        <v>352</v>
      </c>
      <c r="L179" s="22">
        <v>1</v>
      </c>
      <c r="M179" s="20"/>
      <c r="N179" s="20"/>
      <c r="O179" s="20"/>
      <c r="P179" s="128">
        <f>(P167-R155)/P167</f>
        <v>0.88417385077607336</v>
      </c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137"/>
      <c r="AD179" s="20"/>
      <c r="AE179" s="20"/>
    </row>
    <row r="180" spans="2:45" x14ac:dyDescent="0.2">
      <c r="B180" s="20" t="s">
        <v>349</v>
      </c>
      <c r="C180" s="20" t="s">
        <v>314</v>
      </c>
      <c r="D180" s="20"/>
      <c r="E180" s="20"/>
      <c r="F180" s="20"/>
      <c r="G180" s="20"/>
      <c r="H180" s="20"/>
      <c r="I180" s="20"/>
      <c r="J180" s="20"/>
      <c r="K180" s="172">
        <f>$L$179</f>
        <v>1</v>
      </c>
      <c r="L180" s="20"/>
      <c r="M180" s="128">
        <f>(P167-(K180*R146))/P167</f>
        <v>-5.4901872288228078E-2</v>
      </c>
      <c r="N180" s="20"/>
      <c r="O180" s="20"/>
      <c r="P180" s="128">
        <f>(P167-R146)/P167</f>
        <v>-5.4901872288228078E-2</v>
      </c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137"/>
      <c r="AD180" s="20"/>
      <c r="AE180" s="20"/>
    </row>
    <row r="181" spans="2:45" x14ac:dyDescent="0.2">
      <c r="B181" s="20" t="s">
        <v>350</v>
      </c>
      <c r="C181" s="20" t="s">
        <v>314</v>
      </c>
      <c r="D181" s="20"/>
      <c r="E181" s="20"/>
      <c r="F181" s="20"/>
      <c r="G181" s="20"/>
      <c r="H181" s="20"/>
      <c r="I181" s="20"/>
      <c r="J181" s="20"/>
      <c r="K181" s="172">
        <f>$L$179</f>
        <v>1</v>
      </c>
      <c r="L181" s="20"/>
      <c r="M181" s="128">
        <f>(P167-(K181*R139))/P167</f>
        <v>0.17431295936539173</v>
      </c>
      <c r="N181" s="20"/>
      <c r="O181" s="20"/>
      <c r="P181" s="128">
        <f>(P167-R139)/P167</f>
        <v>0.17431295936539173</v>
      </c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137"/>
      <c r="AD181" s="20"/>
      <c r="AE181" s="20"/>
    </row>
    <row r="182" spans="2:45" x14ac:dyDescent="0.2">
      <c r="B182" s="20" t="s">
        <v>353</v>
      </c>
      <c r="C182" s="20" t="s">
        <v>314</v>
      </c>
      <c r="D182" s="20"/>
      <c r="E182" s="20"/>
      <c r="F182" s="20"/>
      <c r="G182" s="20"/>
      <c r="H182" s="20"/>
      <c r="I182" s="20"/>
      <c r="J182" s="20"/>
      <c r="K182" s="172">
        <f>$L$179</f>
        <v>1</v>
      </c>
      <c r="L182" s="20"/>
      <c r="M182" s="128">
        <f>(P167-(K182*R152))/P167</f>
        <v>0.96147649888174458</v>
      </c>
      <c r="N182" s="20"/>
      <c r="O182" s="20"/>
      <c r="P182" s="128">
        <f>(P167-R152)/P167</f>
        <v>0.96147649888174458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137"/>
      <c r="AD182" s="20"/>
      <c r="AE182" s="20"/>
    </row>
    <row r="183" spans="2:45" x14ac:dyDescent="0.2">
      <c r="B183" s="20" t="s">
        <v>400</v>
      </c>
      <c r="C183" s="20" t="s">
        <v>314</v>
      </c>
      <c r="D183" s="20"/>
      <c r="E183" s="20"/>
      <c r="F183" s="20"/>
      <c r="G183" s="20"/>
      <c r="H183" s="20"/>
      <c r="I183" s="20"/>
      <c r="J183" s="20"/>
      <c r="K183" s="172">
        <f>$L$179</f>
        <v>1</v>
      </c>
      <c r="L183" s="20"/>
      <c r="M183" s="128">
        <f>(P167-(K183*R164))/P167</f>
        <v>1</v>
      </c>
      <c r="N183" s="20"/>
      <c r="O183" s="20"/>
      <c r="P183" s="128">
        <f>(P167-R164)/P167</f>
        <v>1</v>
      </c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137"/>
      <c r="AD183" s="20"/>
      <c r="AE183" s="20"/>
    </row>
    <row r="184" spans="2:45" x14ac:dyDescent="0.2">
      <c r="B184" s="20" t="s">
        <v>300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5">
        <f>P167/R138</f>
        <v>5.3156683855909259</v>
      </c>
      <c r="Q184" s="20"/>
      <c r="R184" s="20"/>
      <c r="S184" s="115" t="s">
        <v>11</v>
      </c>
      <c r="T184" s="115" t="s">
        <v>12</v>
      </c>
      <c r="U184" s="115" t="s">
        <v>13</v>
      </c>
      <c r="V184" s="115" t="s">
        <v>14</v>
      </c>
      <c r="W184" s="115" t="s">
        <v>15</v>
      </c>
      <c r="X184" s="115" t="s">
        <v>234</v>
      </c>
      <c r="Y184" s="115" t="s">
        <v>235</v>
      </c>
      <c r="Z184" s="115" t="s">
        <v>236</v>
      </c>
      <c r="AA184" s="115" t="s">
        <v>237</v>
      </c>
      <c r="AB184" s="115" t="s">
        <v>238</v>
      </c>
      <c r="AC184" s="115" t="s">
        <v>408</v>
      </c>
      <c r="AD184" s="115" t="s">
        <v>409</v>
      </c>
      <c r="AE184" s="115" t="s">
        <v>410</v>
      </c>
      <c r="AF184" s="115" t="s">
        <v>411</v>
      </c>
      <c r="AG184" s="115" t="s">
        <v>412</v>
      </c>
      <c r="AH184" s="115" t="s">
        <v>413</v>
      </c>
      <c r="AI184" s="115" t="s">
        <v>414</v>
      </c>
      <c r="AJ184" s="115" t="s">
        <v>415</v>
      </c>
      <c r="AK184" s="115" t="s">
        <v>416</v>
      </c>
      <c r="AL184" s="115" t="s">
        <v>417</v>
      </c>
      <c r="AM184" s="115" t="s">
        <v>418</v>
      </c>
      <c r="AN184" s="115" t="s">
        <v>419</v>
      </c>
      <c r="AO184" s="115" t="s">
        <v>420</v>
      </c>
      <c r="AP184" s="115" t="s">
        <v>421</v>
      </c>
      <c r="AQ184" s="115" t="s">
        <v>422</v>
      </c>
      <c r="AR184" s="115" t="s">
        <v>423</v>
      </c>
      <c r="AS184" s="115" t="s">
        <v>424</v>
      </c>
    </row>
    <row r="185" spans="2:45" x14ac:dyDescent="0.2">
      <c r="B185" s="20" t="s">
        <v>371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152">
        <f>1/P184</f>
        <v>0.18812309712748065</v>
      </c>
      <c r="Q185" s="20"/>
      <c r="R185" s="20"/>
      <c r="S185" s="185">
        <f>P167-S186</f>
        <v>856.75623587725056</v>
      </c>
      <c r="T185" s="185">
        <f>S185-T186</f>
        <v>811.35028354836368</v>
      </c>
      <c r="U185" s="185">
        <f t="shared" ref="U185:W185" si="336">T185-U186</f>
        <v>763.6740336030324</v>
      </c>
      <c r="V185" s="185">
        <f t="shared" si="336"/>
        <v>713.61397116043452</v>
      </c>
      <c r="W185" s="185">
        <f t="shared" si="336"/>
        <v>661.05090559570681</v>
      </c>
      <c r="X185" s="185">
        <f>W185-X186</f>
        <v>605.85968675274262</v>
      </c>
      <c r="Y185" s="185">
        <f t="shared" ref="Y185:AB185" si="337">X185-Y186</f>
        <v>547.90890696763029</v>
      </c>
      <c r="Z185" s="185">
        <f t="shared" si="337"/>
        <v>487.06058819326233</v>
      </c>
      <c r="AA185" s="185">
        <f t="shared" si="337"/>
        <v>423.16985348017596</v>
      </c>
      <c r="AB185" s="185">
        <f t="shared" si="337"/>
        <v>356.08458203143527</v>
      </c>
      <c r="AC185" s="185">
        <f t="shared" ref="AC185" si="338">AB185-AC186</f>
        <v>285.64504701025754</v>
      </c>
      <c r="AD185" s="185">
        <f t="shared" ref="AD185" si="339">AC185-AD186</f>
        <v>211.68353523802091</v>
      </c>
      <c r="AE185" s="185">
        <f t="shared" ref="AE185" si="340">AD185-AE186</f>
        <v>134.02394787717247</v>
      </c>
      <c r="AF185" s="185">
        <f t="shared" ref="AF185" si="341">AE185-AF186</f>
        <v>52.481381148281599</v>
      </c>
      <c r="AG185" s="185">
        <f t="shared" ref="AG185" si="342">AF185-AG186</f>
        <v>-33.138313917053821</v>
      </c>
      <c r="AH185" s="185">
        <f t="shared" ref="AH185" si="343">AG185-AH186</f>
        <v>-123.03899373565602</v>
      </c>
      <c r="AI185" s="185">
        <f t="shared" ref="AI185" si="344">AH185-AI186</f>
        <v>-217.43470754518833</v>
      </c>
      <c r="AJ185" s="185">
        <f t="shared" ref="AJ185" si="345">AI185-AJ186</f>
        <v>-316.55020704519723</v>
      </c>
      <c r="AK185" s="185">
        <f t="shared" ref="AK185" si="346">AJ185-AK186</f>
        <v>-420.6214815202066</v>
      </c>
      <c r="AL185" s="185">
        <f t="shared" ref="AL185" si="347">AK185-AL186</f>
        <v>-529.89631971896642</v>
      </c>
      <c r="AM185" s="185">
        <f t="shared" ref="AM185" si="348">AL185-AM186</f>
        <v>-644.6348998276643</v>
      </c>
      <c r="AN185" s="185">
        <f t="shared" ref="AN185" si="349">AM185-AN186</f>
        <v>-765.110408941797</v>
      </c>
      <c r="AO185" s="185">
        <f t="shared" ref="AO185" si="350">AN185-AO186</f>
        <v>-891.60969351163635</v>
      </c>
      <c r="AP185" s="185">
        <f t="shared" ref="AP185" si="351">AO185-AP186</f>
        <v>-1024.4339423099677</v>
      </c>
      <c r="AQ185" s="185">
        <f t="shared" ref="AQ185" si="352">AP185-AQ186</f>
        <v>-1163.8994035482156</v>
      </c>
      <c r="AR185" s="185">
        <f t="shared" ref="AR185" si="353">AQ185-AR186</f>
        <v>-1310.3381378483759</v>
      </c>
      <c r="AS185" s="185">
        <f t="shared" ref="AS185" si="354">AR185-AS186</f>
        <v>-1464.0988088635443</v>
      </c>
    </row>
    <row r="186" spans="2:45" x14ac:dyDescent="0.2">
      <c r="B186" s="20" t="s">
        <v>397</v>
      </c>
      <c r="C186" s="20"/>
      <c r="D186" s="20"/>
      <c r="E186" s="20"/>
      <c r="F186" s="20"/>
      <c r="G186" s="20"/>
      <c r="H186" s="20"/>
      <c r="I186" s="20"/>
      <c r="J186" s="20"/>
      <c r="K186" s="184">
        <f>P1</f>
        <v>0.05</v>
      </c>
      <c r="L186" s="20"/>
      <c r="M186" s="187"/>
      <c r="N186" s="20"/>
      <c r="O186" s="20"/>
      <c r="P186" s="181">
        <f>P167/Q137</f>
        <v>21.852861774880946</v>
      </c>
      <c r="Q186" s="20"/>
      <c r="R186" s="20"/>
      <c r="S186" s="186">
        <f>Q137*(1+$K$186)</f>
        <v>43.243764122749468</v>
      </c>
      <c r="T186" s="186">
        <f>S186*(1+$K$186)</f>
        <v>45.40595232888694</v>
      </c>
      <c r="U186" s="186">
        <f t="shared" ref="U186:AB186" si="355">T186*(1+$K$186)</f>
        <v>47.676249945331286</v>
      </c>
      <c r="V186" s="186">
        <f t="shared" si="355"/>
        <v>50.060062442597854</v>
      </c>
      <c r="W186" s="186">
        <f t="shared" si="355"/>
        <v>52.563065564727751</v>
      </c>
      <c r="X186" s="186">
        <f t="shared" si="355"/>
        <v>55.19121884296414</v>
      </c>
      <c r="Y186" s="186">
        <f t="shared" si="355"/>
        <v>57.950779785112353</v>
      </c>
      <c r="Z186" s="186">
        <f t="shared" si="355"/>
        <v>60.848318774367975</v>
      </c>
      <c r="AA186" s="186">
        <f t="shared" si="355"/>
        <v>63.890734713086374</v>
      </c>
      <c r="AB186" s="186">
        <f t="shared" si="355"/>
        <v>67.085271448740698</v>
      </c>
      <c r="AC186" s="186">
        <f t="shared" ref="AC186" si="356">AB186*(1+$K$186)</f>
        <v>70.439535021177733</v>
      </c>
      <c r="AD186" s="186">
        <f t="shared" ref="AD186" si="357">AC186*(1+$K$186)</f>
        <v>73.961511772236619</v>
      </c>
      <c r="AE186" s="186">
        <f t="shared" ref="AE186" si="358">AD186*(1+$K$186)</f>
        <v>77.659587360848448</v>
      </c>
      <c r="AF186" s="186">
        <f t="shared" ref="AF186" si="359">AE186*(1+$K$186)</f>
        <v>81.542566728890876</v>
      </c>
      <c r="AG186" s="186">
        <f t="shared" ref="AG186" si="360">AF186*(1+$K$186)</f>
        <v>85.619695065335421</v>
      </c>
      <c r="AH186" s="186">
        <f t="shared" ref="AH186" si="361">AG186*(1+$K$186)</f>
        <v>89.9006798186022</v>
      </c>
      <c r="AI186" s="186">
        <f t="shared" ref="AI186" si="362">AH186*(1+$K$186)</f>
        <v>94.39571380953231</v>
      </c>
      <c r="AJ186" s="186">
        <f t="shared" ref="AJ186" si="363">AI186*(1+$K$186)</f>
        <v>99.115499500008923</v>
      </c>
      <c r="AK186" s="186">
        <f t="shared" ref="AK186" si="364">AJ186*(1+$K$186)</f>
        <v>104.07127447500937</v>
      </c>
      <c r="AL186" s="186">
        <f t="shared" ref="AL186" si="365">AK186*(1+$K$186)</f>
        <v>109.27483819875985</v>
      </c>
      <c r="AM186" s="186">
        <f t="shared" ref="AM186" si="366">AL186*(1+$K$186)</f>
        <v>114.73858010869785</v>
      </c>
      <c r="AN186" s="186">
        <f t="shared" ref="AN186" si="367">AM186*(1+$K$186)</f>
        <v>120.47550911413275</v>
      </c>
      <c r="AO186" s="186">
        <f t="shared" ref="AO186" si="368">AN186*(1+$K$186)</f>
        <v>126.49928456983939</v>
      </c>
      <c r="AP186" s="186">
        <f t="shared" ref="AP186" si="369">AO186*(1+$K$186)</f>
        <v>132.82424879833135</v>
      </c>
      <c r="AQ186" s="186">
        <f t="shared" ref="AQ186" si="370">AP186*(1+$K$186)</f>
        <v>139.46546123824794</v>
      </c>
      <c r="AR186" s="186">
        <f t="shared" ref="AR186" si="371">AQ186*(1+$K$186)</f>
        <v>146.43873430016035</v>
      </c>
      <c r="AS186" s="186">
        <f t="shared" ref="AS186" si="372">AR186*(1+$K$186)</f>
        <v>153.76067101516838</v>
      </c>
    </row>
    <row r="187" spans="2:45" x14ac:dyDescent="0.2">
      <c r="B187" s="20" t="s">
        <v>396</v>
      </c>
      <c r="C187" s="20"/>
      <c r="D187" s="20"/>
      <c r="E187" s="20"/>
      <c r="F187" s="20"/>
      <c r="G187" s="20"/>
      <c r="H187" s="20"/>
      <c r="I187" s="20"/>
      <c r="J187" s="20"/>
      <c r="K187" s="184">
        <v>0.08</v>
      </c>
      <c r="L187" s="20"/>
      <c r="M187" s="187">
        <v>13</v>
      </c>
      <c r="N187" s="20"/>
      <c r="O187" s="20"/>
      <c r="P187" s="181">
        <f>P167/P52</f>
        <v>16.525597269624573</v>
      </c>
      <c r="Q187" s="20"/>
      <c r="R187" s="20"/>
      <c r="S187" s="186">
        <f>P52*(1+$K$187)</f>
        <v>58.81784386617101</v>
      </c>
      <c r="T187" s="186">
        <f>S187*(1+$K$187)</f>
        <v>63.523271375464695</v>
      </c>
      <c r="U187" s="186">
        <f t="shared" ref="U187:AB187" si="373">T187*(1+$K$187)</f>
        <v>68.605133085501876</v>
      </c>
      <c r="V187" s="186">
        <f t="shared" si="373"/>
        <v>74.093543732342027</v>
      </c>
      <c r="W187" s="186">
        <f t="shared" si="373"/>
        <v>80.021027230929391</v>
      </c>
      <c r="X187" s="186">
        <f t="shared" si="373"/>
        <v>86.422709409403751</v>
      </c>
      <c r="Y187" s="186">
        <f t="shared" si="373"/>
        <v>93.336526162156062</v>
      </c>
      <c r="Z187" s="186">
        <f t="shared" si="373"/>
        <v>100.80344825512856</v>
      </c>
      <c r="AA187" s="186">
        <f t="shared" si="373"/>
        <v>108.86772411553885</v>
      </c>
      <c r="AB187" s="186">
        <f t="shared" si="373"/>
        <v>117.57714204478197</v>
      </c>
      <c r="AC187" s="186">
        <f t="shared" ref="AC187" si="374">AB187*(1+$K$187)</f>
        <v>126.98331340836454</v>
      </c>
      <c r="AD187" s="186">
        <f t="shared" ref="AD187" si="375">AC187*(1+$K$187)</f>
        <v>137.1419784810337</v>
      </c>
      <c r="AE187" s="186">
        <f t="shared" ref="AE187" si="376">AD187*(1+$K$187)</f>
        <v>148.11333675951641</v>
      </c>
      <c r="AF187" s="186">
        <f t="shared" ref="AF187" si="377">AE187*(1+$K$187)</f>
        <v>159.96240370027775</v>
      </c>
      <c r="AG187" s="186">
        <f t="shared" ref="AG187" si="378">AF187*(1+$K$187)</f>
        <v>172.75939599629999</v>
      </c>
      <c r="AH187" s="186">
        <f t="shared" ref="AH187" si="379">AG187*(1+$K$187)</f>
        <v>186.580147676004</v>
      </c>
      <c r="AI187" s="186">
        <f t="shared" ref="AI187" si="380">AH187*(1+$K$187)</f>
        <v>201.50655949008433</v>
      </c>
      <c r="AJ187" s="186">
        <f t="shared" ref="AJ187" si="381">AI187*(1+$K$187)</f>
        <v>217.6270842492911</v>
      </c>
      <c r="AK187" s="186">
        <f t="shared" ref="AK187" si="382">AJ187*(1+$K$187)</f>
        <v>235.03725098923439</v>
      </c>
      <c r="AL187" s="186">
        <f t="shared" ref="AL187" si="383">AK187*(1+$K$187)</f>
        <v>253.84023106837316</v>
      </c>
      <c r="AM187" s="186">
        <f t="shared" ref="AM187" si="384">AL187*(1+$K$187)</f>
        <v>274.14744955384305</v>
      </c>
      <c r="AN187" s="186">
        <f t="shared" ref="AN187" si="385">AM187*(1+$K$187)</f>
        <v>296.07924551815051</v>
      </c>
      <c r="AO187" s="186">
        <f t="shared" ref="AO187" si="386">AN187*(1+$K$187)</f>
        <v>319.76558515960255</v>
      </c>
      <c r="AP187" s="186">
        <f t="shared" ref="AP187" si="387">AO187*(1+$K$187)</f>
        <v>345.34683197237075</v>
      </c>
      <c r="AQ187" s="186">
        <f t="shared" ref="AQ187" si="388">AP187*(1+$K$187)</f>
        <v>372.97457853016044</v>
      </c>
      <c r="AR187" s="186">
        <f t="shared" ref="AR187" si="389">AQ187*(1+$K$187)</f>
        <v>402.81254481257332</v>
      </c>
      <c r="AS187" s="186">
        <f t="shared" ref="AS187" si="390">AR187*(1+$K$187)</f>
        <v>435.0375483975792</v>
      </c>
    </row>
    <row r="188" spans="2:45" x14ac:dyDescent="0.2"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85">
        <f>P167-S187</f>
        <v>841.18215613382904</v>
      </c>
      <c r="T188" s="185">
        <f>S188-T187</f>
        <v>777.65888475836437</v>
      </c>
      <c r="U188" s="185">
        <f t="shared" ref="U188:Z188" si="391">T188-U187</f>
        <v>709.05375167286252</v>
      </c>
      <c r="V188" s="185">
        <f t="shared" si="391"/>
        <v>634.96020794052049</v>
      </c>
      <c r="W188" s="185">
        <f t="shared" si="391"/>
        <v>554.93918070959114</v>
      </c>
      <c r="X188" s="185">
        <f t="shared" si="391"/>
        <v>468.51647130018739</v>
      </c>
      <c r="Y188" s="185">
        <f t="shared" si="391"/>
        <v>375.17994513803131</v>
      </c>
      <c r="Z188" s="185">
        <f t="shared" si="391"/>
        <v>274.37649688290276</v>
      </c>
      <c r="AA188" s="185">
        <f>Z188-AA187</f>
        <v>165.50877276736389</v>
      </c>
      <c r="AB188" s="185">
        <f t="shared" ref="AB188" si="392">AA188-AB187</f>
        <v>47.931630722581929</v>
      </c>
      <c r="AC188" s="185">
        <f t="shared" ref="AC188" si="393">AB188-AC187</f>
        <v>-79.051682685782609</v>
      </c>
      <c r="AD188" s="185">
        <f t="shared" ref="AD188" si="394">AC188-AD187</f>
        <v>-216.1936611668163</v>
      </c>
      <c r="AE188" s="185">
        <f t="shared" ref="AE188" si="395">AD188-AE187</f>
        <v>-364.30699792633271</v>
      </c>
      <c r="AF188" s="185">
        <f t="shared" ref="AF188" si="396">AE188-AF187</f>
        <v>-524.26940162661049</v>
      </c>
      <c r="AG188" s="185">
        <f t="shared" ref="AG188" si="397">AF188-AG187</f>
        <v>-697.02879762291047</v>
      </c>
      <c r="AH188" s="185">
        <f t="shared" ref="AH188" si="398">AG188-AH187</f>
        <v>-883.60894529891448</v>
      </c>
      <c r="AI188" s="185">
        <f t="shared" ref="AI188" si="399">AH188-AI187</f>
        <v>-1085.1155047889988</v>
      </c>
      <c r="AJ188" s="185">
        <f t="shared" ref="AJ188" si="400">AI188-AJ187</f>
        <v>-1302.7425890382899</v>
      </c>
      <c r="AK188" s="185">
        <f t="shared" ref="AK188" si="401">AJ188-AK187</f>
        <v>-1537.7798400275242</v>
      </c>
      <c r="AL188" s="185">
        <f t="shared" ref="AL188" si="402">AK188-AL187</f>
        <v>-1791.6200710958974</v>
      </c>
      <c r="AM188" s="185">
        <f t="shared" ref="AM188" si="403">AL188-AM187</f>
        <v>-2065.7675206497406</v>
      </c>
      <c r="AN188" s="185">
        <f t="shared" ref="AN188" si="404">AM188-AN187</f>
        <v>-2361.846766167891</v>
      </c>
      <c r="AO188" s="185">
        <f t="shared" ref="AO188" si="405">AN188-AO187</f>
        <v>-2681.6123513274933</v>
      </c>
      <c r="AP188" s="185">
        <f t="shared" ref="AP188" si="406">AO188-AP187</f>
        <v>-3026.959183299864</v>
      </c>
      <c r="AQ188" s="185">
        <f t="shared" ref="AQ188" si="407">AP188-AQ187</f>
        <v>-3399.9337618300242</v>
      </c>
      <c r="AR188" s="185">
        <f t="shared" ref="AR188" si="408">AQ188-AR187</f>
        <v>-3802.7463066425976</v>
      </c>
      <c r="AS188" s="185">
        <f t="shared" ref="AS188" si="409">AR188-AS187</f>
        <v>-4237.7838550401766</v>
      </c>
    </row>
    <row r="189" spans="2:45" x14ac:dyDescent="0.2">
      <c r="B189" s="108" t="s">
        <v>302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</row>
    <row r="190" spans="2:45" x14ac:dyDescent="0.2">
      <c r="B190" s="20" t="s">
        <v>305</v>
      </c>
      <c r="C190" s="25" t="e">
        <f t="shared" ref="C190:P190" si="410">C10/C7</f>
        <v>#DIV/0!</v>
      </c>
      <c r="D190" s="25" t="e">
        <f t="shared" si="410"/>
        <v>#DIV/0!</v>
      </c>
      <c r="E190" s="25" t="e">
        <f t="shared" si="410"/>
        <v>#DIV/0!</v>
      </c>
      <c r="F190" s="25" t="e">
        <f t="shared" si="410"/>
        <v>#DIV/0!</v>
      </c>
      <c r="G190" s="25">
        <f t="shared" si="410"/>
        <v>0.26415094339622641</v>
      </c>
      <c r="H190" s="25">
        <f t="shared" si="410"/>
        <v>0.26934984520123839</v>
      </c>
      <c r="I190" s="25">
        <f t="shared" si="410"/>
        <v>0.27093596059113301</v>
      </c>
      <c r="J190" s="25">
        <f t="shared" si="410"/>
        <v>0.19178082191780821</v>
      </c>
      <c r="K190" s="25">
        <f t="shared" si="410"/>
        <v>0.25290697674418605</v>
      </c>
      <c r="L190" s="25">
        <f t="shared" si="410"/>
        <v>0.14220183486238533</v>
      </c>
      <c r="M190" s="25">
        <f t="shared" si="410"/>
        <v>0.14248704663212436</v>
      </c>
      <c r="N190" s="25">
        <f t="shared" si="410"/>
        <v>8.9519650655021835E-2</v>
      </c>
      <c r="O190" s="25">
        <f t="shared" si="410"/>
        <v>6.4910630291627469E-2</v>
      </c>
      <c r="P190" s="25">
        <f t="shared" si="410"/>
        <v>4.6656298600311043E-2</v>
      </c>
      <c r="Q190" s="118">
        <f t="shared" ref="Q190:Q192" si="411">((P190/G190)^(1/($H$2-$H$1) ))-1</f>
        <v>-0.17521682960873952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</row>
    <row r="191" spans="2:45" x14ac:dyDescent="0.2">
      <c r="B191" s="20" t="s">
        <v>306</v>
      </c>
      <c r="C191" s="112" t="e">
        <f>C10/C12</f>
        <v>#DIV/0!</v>
      </c>
      <c r="D191" s="112" t="e">
        <f>D10/D12</f>
        <v>#DIV/0!</v>
      </c>
      <c r="E191" s="112" t="e">
        <f>E10/E12</f>
        <v>#DIV/0!</v>
      </c>
      <c r="F191" s="112" t="e">
        <f>F10/F12</f>
        <v>#DIV/0!</v>
      </c>
      <c r="G191" s="112">
        <f>G10/G12</f>
        <v>3.7433155080213907</v>
      </c>
      <c r="H191" s="112">
        <f t="shared" ref="H191:P191" si="412">H10/H12</f>
        <v>6.6923076923076925</v>
      </c>
      <c r="I191" s="112">
        <f t="shared" si="412"/>
        <v>6.875</v>
      </c>
      <c r="J191" s="112">
        <f t="shared" si="412"/>
        <v>4.666666666666667</v>
      </c>
      <c r="K191" s="112">
        <f t="shared" si="412"/>
        <v>6.0839160839160833</v>
      </c>
      <c r="L191" s="112">
        <f t="shared" si="412"/>
        <v>1.24</v>
      </c>
      <c r="M191" s="112">
        <f t="shared" si="412"/>
        <v>2.6829268292682928</v>
      </c>
      <c r="N191" s="112">
        <f t="shared" si="412"/>
        <v>2.0499999999999998</v>
      </c>
      <c r="O191" s="112">
        <f t="shared" si="412"/>
        <v>1.1694915254237288</v>
      </c>
      <c r="P191" s="112">
        <f t="shared" si="412"/>
        <v>1</v>
      </c>
      <c r="Q191" s="118">
        <f t="shared" si="411"/>
        <v>-0.13641549621449134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</row>
    <row r="192" spans="2:45" x14ac:dyDescent="0.2">
      <c r="B192" s="20" t="s">
        <v>307</v>
      </c>
      <c r="C192" s="25" t="e">
        <f>C10/(C12+C13)</f>
        <v>#DIV/0!</v>
      </c>
      <c r="D192" s="25" t="e">
        <f>D10/(D12+D13)</f>
        <v>#DIV/0!</v>
      </c>
      <c r="E192" s="25" t="e">
        <f>E10/(E12+E13)</f>
        <v>#DIV/0!</v>
      </c>
      <c r="F192" s="25" t="e">
        <f>F10/(F12+F13)</f>
        <v>#DIV/0!</v>
      </c>
      <c r="G192" s="25">
        <f>G10/(G12+G13)</f>
        <v>0.47074646940147952</v>
      </c>
      <c r="H192" s="25">
        <f t="shared" ref="H192:P192" si="413">H10/(H12+H13)</f>
        <v>0.453125</v>
      </c>
      <c r="I192" s="25">
        <f t="shared" si="413"/>
        <v>0.61111111111111116</v>
      </c>
      <c r="J192" s="25">
        <f t="shared" si="413"/>
        <v>0.55681818181818177</v>
      </c>
      <c r="K192" s="25">
        <f t="shared" si="413"/>
        <v>0.4156712852365026</v>
      </c>
      <c r="L192" s="25">
        <f t="shared" si="413"/>
        <v>0.25203252032520324</v>
      </c>
      <c r="M192" s="25">
        <f t="shared" si="413"/>
        <v>0.24886877828054299</v>
      </c>
      <c r="N192" s="25">
        <f t="shared" si="413"/>
        <v>0.19902912621359223</v>
      </c>
      <c r="O192" s="25">
        <f t="shared" si="413"/>
        <v>0.28512396694214875</v>
      </c>
      <c r="P192" s="25">
        <f t="shared" si="413"/>
        <v>0.5</v>
      </c>
      <c r="Q192" s="118">
        <f t="shared" si="411"/>
        <v>6.7212011102180114E-3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</row>
    <row r="193" spans="2:31" x14ac:dyDescent="0.2"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</row>
    <row r="194" spans="2:31" x14ac:dyDescent="0.2"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</row>
    <row r="195" spans="2:31" x14ac:dyDescent="0.2">
      <c r="B195" s="20"/>
      <c r="C195" s="174" t="s">
        <v>377</v>
      </c>
      <c r="D195" s="175"/>
      <c r="E195" s="175"/>
      <c r="F195" s="175"/>
      <c r="G195" s="175"/>
      <c r="H195" s="175"/>
      <c r="I195" s="175"/>
      <c r="J195" s="175"/>
      <c r="K195" s="20"/>
      <c r="L195" s="195" t="s">
        <v>337</v>
      </c>
      <c r="M195" s="196"/>
      <c r="N195" s="197"/>
      <c r="O195" s="23" t="s">
        <v>340</v>
      </c>
      <c r="P195" s="20"/>
      <c r="Q195" s="195" t="s">
        <v>338</v>
      </c>
      <c r="R195" s="196"/>
      <c r="S195" s="197"/>
      <c r="T195" s="23" t="s">
        <v>340</v>
      </c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</row>
    <row r="196" spans="2:31" x14ac:dyDescent="0.2">
      <c r="B196" s="20"/>
      <c r="C196" s="166" t="s">
        <v>339</v>
      </c>
      <c r="D196" s="166" t="s">
        <v>0</v>
      </c>
      <c r="E196" s="166" t="s">
        <v>378</v>
      </c>
      <c r="F196" s="166" t="s">
        <v>379</v>
      </c>
      <c r="G196" s="166" t="s">
        <v>380</v>
      </c>
      <c r="H196" s="166" t="s">
        <v>381</v>
      </c>
      <c r="I196" s="166" t="s">
        <v>382</v>
      </c>
      <c r="J196" s="166" t="s">
        <v>383</v>
      </c>
      <c r="K196" s="20"/>
      <c r="L196" s="166" t="s">
        <v>339</v>
      </c>
      <c r="M196" s="166"/>
      <c r="N196" s="166" t="s">
        <v>0</v>
      </c>
      <c r="O196" s="166" t="s">
        <v>372</v>
      </c>
      <c r="P196" s="20"/>
      <c r="Q196" s="166" t="s">
        <v>339</v>
      </c>
      <c r="R196" s="166"/>
      <c r="S196" s="166" t="s">
        <v>0</v>
      </c>
      <c r="T196" s="166" t="s">
        <v>372</v>
      </c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</row>
    <row r="197" spans="2:31" x14ac:dyDescent="0.2">
      <c r="B197" s="20"/>
      <c r="C197" s="167" t="s">
        <v>341</v>
      </c>
      <c r="D197" s="21">
        <v>1</v>
      </c>
      <c r="E197" s="176" t="s">
        <v>384</v>
      </c>
      <c r="F197" s="22">
        <v>1</v>
      </c>
      <c r="G197" s="22">
        <v>1</v>
      </c>
      <c r="H197" s="167">
        <f>F197/G197</f>
        <v>1</v>
      </c>
      <c r="I197" s="167">
        <f>H197*D198</f>
        <v>1</v>
      </c>
      <c r="J197" s="177">
        <f>I197+D198</f>
        <v>2</v>
      </c>
      <c r="K197" s="20"/>
      <c r="L197" s="167" t="s">
        <v>341</v>
      </c>
      <c r="M197" s="167"/>
      <c r="N197" s="21">
        <v>135</v>
      </c>
      <c r="O197" s="173">
        <f>N197</f>
        <v>135</v>
      </c>
      <c r="P197" s="20"/>
      <c r="Q197" s="167" t="s">
        <v>341</v>
      </c>
      <c r="R197" s="167"/>
      <c r="S197" s="21">
        <v>1</v>
      </c>
      <c r="T197" s="173">
        <f>S197</f>
        <v>1</v>
      </c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</row>
    <row r="198" spans="2:31" x14ac:dyDescent="0.2">
      <c r="B198" s="20"/>
      <c r="C198" s="167" t="s">
        <v>342</v>
      </c>
      <c r="D198" s="21">
        <v>1</v>
      </c>
      <c r="E198" s="176" t="s">
        <v>385</v>
      </c>
      <c r="F198" s="22">
        <v>0</v>
      </c>
      <c r="G198" s="22">
        <v>1</v>
      </c>
      <c r="H198" s="167">
        <f>F198/G198</f>
        <v>0</v>
      </c>
      <c r="I198" s="167">
        <f>H198*J197</f>
        <v>0</v>
      </c>
      <c r="J198" s="167">
        <f>I198+J197</f>
        <v>2</v>
      </c>
      <c r="K198" s="20"/>
      <c r="L198" s="167" t="s">
        <v>342</v>
      </c>
      <c r="M198" s="167"/>
      <c r="N198" s="21">
        <v>1</v>
      </c>
      <c r="O198" s="173">
        <f>N198</f>
        <v>1</v>
      </c>
      <c r="P198" s="20"/>
      <c r="Q198" s="167" t="s">
        <v>342</v>
      </c>
      <c r="R198" s="167"/>
      <c r="S198" s="21">
        <v>1</v>
      </c>
      <c r="T198" s="173">
        <f>S198</f>
        <v>1</v>
      </c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</row>
    <row r="199" spans="2:31" x14ac:dyDescent="0.2">
      <c r="B199" s="20"/>
      <c r="C199" s="167" t="s">
        <v>344</v>
      </c>
      <c r="D199" s="168">
        <f>D197*D198</f>
        <v>1</v>
      </c>
      <c r="E199" s="176" t="s">
        <v>398</v>
      </c>
      <c r="F199" s="22">
        <v>0</v>
      </c>
      <c r="G199" s="22">
        <v>1</v>
      </c>
      <c r="H199" s="167">
        <f>F199/G199</f>
        <v>0</v>
      </c>
      <c r="I199" s="167">
        <f>H199*J198</f>
        <v>0</v>
      </c>
      <c r="J199" s="167">
        <f>I199+J198</f>
        <v>2</v>
      </c>
      <c r="K199" s="20"/>
      <c r="L199" s="167" t="s">
        <v>343</v>
      </c>
      <c r="M199" s="167"/>
      <c r="N199" s="168">
        <f>N197*N198</f>
        <v>135</v>
      </c>
      <c r="O199" s="173">
        <f>N199</f>
        <v>135</v>
      </c>
      <c r="P199" s="20"/>
      <c r="Q199" s="167" t="s">
        <v>344</v>
      </c>
      <c r="R199" s="167"/>
      <c r="S199" s="168">
        <f>S197*S198</f>
        <v>1</v>
      </c>
      <c r="T199" s="173">
        <f>S199</f>
        <v>1</v>
      </c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</row>
    <row r="200" spans="2:31" x14ac:dyDescent="0.2">
      <c r="B200" s="20"/>
      <c r="C200" s="167"/>
      <c r="D200" s="168"/>
      <c r="E200" s="176" t="s">
        <v>386</v>
      </c>
      <c r="F200" s="22">
        <v>10</v>
      </c>
      <c r="G200" s="22">
        <v>1</v>
      </c>
      <c r="H200" s="167">
        <f>F200/G200</f>
        <v>10</v>
      </c>
      <c r="I200" s="167">
        <f>H200*J199</f>
        <v>20</v>
      </c>
      <c r="J200" s="167">
        <f>I200</f>
        <v>20</v>
      </c>
      <c r="K200" s="20"/>
      <c r="L200" s="167" t="s">
        <v>345</v>
      </c>
      <c r="M200" s="167"/>
      <c r="N200" s="21">
        <v>1110</v>
      </c>
      <c r="O200" s="21">
        <v>1300</v>
      </c>
      <c r="P200" s="20"/>
      <c r="Q200" s="167" t="s">
        <v>345</v>
      </c>
      <c r="R200" s="167"/>
      <c r="S200" s="21">
        <v>1</v>
      </c>
      <c r="T200" s="21">
        <v>1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</row>
    <row r="201" spans="2:31" x14ac:dyDescent="0.2">
      <c r="B201" s="20"/>
      <c r="C201" s="167" t="s">
        <v>345</v>
      </c>
      <c r="D201" s="21">
        <v>1</v>
      </c>
      <c r="E201" s="176"/>
      <c r="F201" s="167"/>
      <c r="G201" s="167"/>
      <c r="H201" s="169" t="s">
        <v>387</v>
      </c>
      <c r="I201" s="167"/>
      <c r="J201" s="167">
        <f>J200</f>
        <v>20</v>
      </c>
      <c r="K201" s="20"/>
      <c r="L201" s="167" t="s">
        <v>346</v>
      </c>
      <c r="M201" s="167"/>
      <c r="N201" s="168">
        <f>N200*N198</f>
        <v>1110</v>
      </c>
      <c r="O201" s="168">
        <f>O200*O198</f>
        <v>1300</v>
      </c>
      <c r="P201" s="20"/>
      <c r="Q201" s="167" t="s">
        <v>342</v>
      </c>
      <c r="R201" s="167"/>
      <c r="S201" s="21">
        <v>1</v>
      </c>
      <c r="T201" s="127">
        <f>S201</f>
        <v>1</v>
      </c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</row>
    <row r="202" spans="2:31" x14ac:dyDescent="0.2">
      <c r="B202" s="20"/>
      <c r="C202" s="167" t="s">
        <v>342</v>
      </c>
      <c r="D202" s="21">
        <v>1</v>
      </c>
      <c r="E202" s="176" t="s">
        <v>386</v>
      </c>
      <c r="F202" s="22">
        <v>10</v>
      </c>
      <c r="G202" s="22">
        <v>2</v>
      </c>
      <c r="H202" s="167">
        <f>F202/G202</f>
        <v>5</v>
      </c>
      <c r="I202" s="177">
        <f>H202*D198</f>
        <v>5</v>
      </c>
      <c r="J202" s="177">
        <f>I202</f>
        <v>5</v>
      </c>
      <c r="K202" s="20"/>
      <c r="L202" s="167"/>
      <c r="M202" s="167"/>
      <c r="N202" s="168"/>
      <c r="O202" s="168"/>
      <c r="P202" s="20"/>
      <c r="Q202" s="167" t="s">
        <v>344</v>
      </c>
      <c r="R202" s="167"/>
      <c r="S202" s="168">
        <f>S201*S200</f>
        <v>1</v>
      </c>
      <c r="T202" s="168">
        <f>T201*T200</f>
        <v>1</v>
      </c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</row>
    <row r="203" spans="2:31" x14ac:dyDescent="0.2">
      <c r="B203" s="20"/>
      <c r="C203" s="167" t="s">
        <v>344</v>
      </c>
      <c r="D203" s="168">
        <f>D202*D201</f>
        <v>1</v>
      </c>
      <c r="E203" s="167"/>
      <c r="F203" s="167"/>
      <c r="G203" s="167"/>
      <c r="H203" s="169" t="s">
        <v>387</v>
      </c>
      <c r="I203" s="167"/>
      <c r="J203" s="167">
        <f>J202</f>
        <v>5</v>
      </c>
      <c r="K203" s="20"/>
      <c r="L203" s="167"/>
      <c r="M203" s="167"/>
      <c r="N203" s="168"/>
      <c r="O203" s="168"/>
      <c r="P203" s="20"/>
      <c r="Q203" s="167"/>
      <c r="R203" s="167"/>
      <c r="S203" s="168"/>
      <c r="T203" s="168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</row>
    <row r="204" spans="2:31" x14ac:dyDescent="0.2">
      <c r="B204" s="20"/>
      <c r="C204" s="167"/>
      <c r="D204" s="168"/>
      <c r="E204" s="176" t="s">
        <v>386</v>
      </c>
      <c r="F204" s="22">
        <v>10</v>
      </c>
      <c r="G204" s="22">
        <v>2</v>
      </c>
      <c r="H204" s="167">
        <f>F204/G204</f>
        <v>5</v>
      </c>
      <c r="I204" s="167">
        <f>H204*J203</f>
        <v>25</v>
      </c>
      <c r="J204" s="167">
        <f>I204</f>
        <v>25</v>
      </c>
      <c r="K204" s="20"/>
      <c r="L204" s="169" t="s">
        <v>347</v>
      </c>
      <c r="M204" s="169"/>
      <c r="N204" s="170">
        <f>N201/N199</f>
        <v>8.2222222222222214</v>
      </c>
      <c r="O204" s="170">
        <f>O201/O199</f>
        <v>9.6296296296296298</v>
      </c>
      <c r="P204" s="20"/>
      <c r="Q204" s="169" t="s">
        <v>347</v>
      </c>
      <c r="R204" s="169"/>
      <c r="S204" s="170">
        <f>S202/S199</f>
        <v>1</v>
      </c>
      <c r="T204" s="170">
        <f>T202/T199</f>
        <v>1</v>
      </c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</row>
    <row r="205" spans="2:31" x14ac:dyDescent="0.2">
      <c r="B205" s="20"/>
      <c r="C205" s="169" t="s">
        <v>347</v>
      </c>
      <c r="D205" s="170">
        <f>D203/D199</f>
        <v>1</v>
      </c>
      <c r="E205" s="176"/>
      <c r="F205" s="167"/>
      <c r="G205" s="167"/>
      <c r="H205" s="169" t="s">
        <v>387</v>
      </c>
      <c r="I205" s="167"/>
      <c r="J205" s="167">
        <f>J204</f>
        <v>25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</row>
    <row r="206" spans="2:31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</row>
    <row r="207" spans="2:31" x14ac:dyDescent="0.2">
      <c r="B207" s="20"/>
      <c r="C207" s="20"/>
      <c r="D207" s="137"/>
      <c r="E207" s="178"/>
      <c r="F207" s="178"/>
      <c r="G207" s="179"/>
      <c r="H207" s="20"/>
      <c r="I207" s="137"/>
      <c r="J207" s="178"/>
      <c r="K207" s="179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</row>
    <row r="208" spans="2:31" ht="14.25" x14ac:dyDescent="0.2">
      <c r="B208" s="20"/>
      <c r="C208" s="20"/>
      <c r="D208" s="188" t="s">
        <v>27</v>
      </c>
      <c r="E208" s="189"/>
      <c r="F208" s="189"/>
      <c r="G208" s="190"/>
      <c r="H208" s="20"/>
      <c r="I208" s="188" t="s">
        <v>393</v>
      </c>
      <c r="J208" s="189"/>
      <c r="K208" s="19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</row>
    <row r="209" spans="2:31" x14ac:dyDescent="0.2">
      <c r="B209" s="20"/>
      <c r="C209" s="20"/>
      <c r="D209" s="20" t="s">
        <v>28</v>
      </c>
      <c r="E209" s="127"/>
      <c r="F209" s="127"/>
      <c r="G209" s="21">
        <f>D199</f>
        <v>1</v>
      </c>
      <c r="H209" s="20"/>
      <c r="I209" s="20" t="s">
        <v>28</v>
      </c>
      <c r="J209" s="127"/>
      <c r="K209" s="21">
        <f>G209</f>
        <v>1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</row>
    <row r="210" spans="2:31" x14ac:dyDescent="0.2">
      <c r="B210" s="20"/>
      <c r="C210" s="20"/>
      <c r="D210" s="20" t="s">
        <v>29</v>
      </c>
      <c r="E210" s="127"/>
      <c r="F210" s="127"/>
      <c r="G210" s="21">
        <f>D203</f>
        <v>1</v>
      </c>
      <c r="H210" s="20"/>
      <c r="I210" s="20" t="s">
        <v>29</v>
      </c>
      <c r="J210" s="20"/>
      <c r="K210" s="21">
        <f>G210</f>
        <v>1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</row>
    <row r="211" spans="2:31" x14ac:dyDescent="0.2">
      <c r="B211" s="20"/>
      <c r="C211" s="20"/>
      <c r="D211" s="20" t="s">
        <v>30</v>
      </c>
      <c r="E211" s="20"/>
      <c r="F211" s="20"/>
      <c r="G211" s="22">
        <v>1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</row>
    <row r="212" spans="2:31" x14ac:dyDescent="0.2">
      <c r="B212" s="20"/>
      <c r="C212" s="20"/>
      <c r="D212" s="23" t="s">
        <v>31</v>
      </c>
      <c r="E212" s="3"/>
      <c r="F212" s="3"/>
      <c r="G212" s="3">
        <f>((G210/G209)^(1/G211))-1</f>
        <v>0</v>
      </c>
      <c r="H212" s="20"/>
      <c r="I212" s="23" t="s">
        <v>394</v>
      </c>
      <c r="J212" s="23"/>
      <c r="K212" s="23">
        <f>(K210-K209)/K209</f>
        <v>0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</row>
    <row r="213" spans="2:31" x14ac:dyDescent="0.2">
      <c r="B213" s="20"/>
      <c r="C213" s="20"/>
      <c r="D213" s="23" t="s">
        <v>32</v>
      </c>
      <c r="E213" s="165"/>
      <c r="F213" s="165"/>
      <c r="G213" s="24">
        <f>G211*12</f>
        <v>12</v>
      </c>
      <c r="H213" s="20"/>
      <c r="I213" s="23" t="s">
        <v>395</v>
      </c>
      <c r="J213" s="23"/>
      <c r="K213" s="23">
        <f>K210/K209</f>
        <v>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</row>
    <row r="214" spans="2:31" x14ac:dyDescent="0.2">
      <c r="B214" s="20"/>
      <c r="C214" s="20"/>
      <c r="D214" s="20" t="s">
        <v>30</v>
      </c>
      <c r="E214" s="25"/>
      <c r="F214" s="25"/>
      <c r="G214" s="25">
        <f>G213/12</f>
        <v>1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</row>
    <row r="215" spans="2:31" x14ac:dyDescent="0.2">
      <c r="B215" s="20"/>
      <c r="C215" s="20"/>
      <c r="D215" s="23" t="s">
        <v>33</v>
      </c>
      <c r="E215" s="3"/>
      <c r="F215" s="3"/>
      <c r="G215" s="3">
        <f>((G210/G209)^(1/G214))-1</f>
        <v>0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</row>
    <row r="216" spans="2:31" x14ac:dyDescent="0.2"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</row>
    <row r="217" spans="2:31" x14ac:dyDescent="0.2">
      <c r="C217" s="20"/>
      <c r="D217" s="20"/>
      <c r="E217" s="20"/>
      <c r="F217" s="20"/>
      <c r="G217" s="20"/>
      <c r="H217" s="20"/>
      <c r="I217" s="20"/>
      <c r="J217" s="20"/>
      <c r="K217" s="20"/>
    </row>
  </sheetData>
  <mergeCells count="7">
    <mergeCell ref="D208:G208"/>
    <mergeCell ref="I208:K208"/>
    <mergeCell ref="AD2:AE2"/>
    <mergeCell ref="AD3:AE3"/>
    <mergeCell ref="L195:N195"/>
    <mergeCell ref="Q195:S195"/>
    <mergeCell ref="K178:L178"/>
  </mergeCells>
  <pageMargins left="0.7" right="0.7" top="0.75" bottom="0.75" header="0.3" footer="0.3"/>
  <pageSetup orientation="portrait" r:id="rId1"/>
  <ignoredErrors>
    <ignoredError sqref="C169" evalError="1"/>
    <ignoredError sqref="T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0" t="s">
        <v>27</v>
      </c>
      <c r="K5" s="200"/>
      <c r="M5" s="200" t="s">
        <v>65</v>
      </c>
      <c r="N5" s="20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0" t="s">
        <v>36</v>
      </c>
      <c r="K14" s="200"/>
      <c r="L14" s="20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0" t="s">
        <v>27</v>
      </c>
      <c r="S5" s="20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0" t="s">
        <v>36</v>
      </c>
      <c r="S14" s="200"/>
      <c r="T14" s="20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0" t="s">
        <v>27</v>
      </c>
      <c r="C2" s="200"/>
      <c r="E2" s="200" t="s">
        <v>65</v>
      </c>
      <c r="F2" s="200"/>
      <c r="H2" s="204" t="s">
        <v>36</v>
      </c>
      <c r="I2" s="20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1" t="s">
        <v>68</v>
      </c>
      <c r="E10" s="202"/>
      <c r="F10" s="202"/>
      <c r="G10" s="202"/>
      <c r="H10" s="203"/>
      <c r="I10" s="201" t="s">
        <v>72</v>
      </c>
      <c r="J10" s="202"/>
      <c r="K10" s="202"/>
      <c r="L10" s="20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2014-04-15T10:01:51Z</dcterms:modified>
</cp:coreProperties>
</file>